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ADD9BF2D-ADE6-48DF-89EB-2FD5955AA3A4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  <sheet name="11-4" sheetId="11" r:id="rId10"/>
    <sheet name="13-4" sheetId="12" r:id="rId11"/>
    <sheet name="14-4" sheetId="13" r:id="rId12"/>
    <sheet name="15-4" sheetId="14" r:id="rId13"/>
  </sheets>
  <definedNames>
    <definedName name="_xlnm._FilterDatabase" localSheetId="8" hidden="1">'10-4'!$A$2:$P$53</definedName>
    <definedName name="_xlnm._FilterDatabase" localSheetId="9" hidden="1">'11-4'!$A$2:$P$43</definedName>
    <definedName name="_xlnm._FilterDatabase" localSheetId="10" hidden="1">'13-4'!$A$2:$P$65</definedName>
    <definedName name="_xlnm._FilterDatabase" localSheetId="0" hidden="1">'1-4'!$A$2:$P$23</definedName>
    <definedName name="_xlnm._FilterDatabase" localSheetId="11" hidden="1">'14-4'!$A$2:$P$22</definedName>
    <definedName name="_xlnm._FilterDatabase" localSheetId="12" hidden="1">'15-4'!$A$2:$P$34</definedName>
    <definedName name="_xlnm._FilterDatabase" localSheetId="1" hidden="1">'2-4'!$A$2:$P$24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4" l="1"/>
  <c r="R31" i="14"/>
  <c r="R25" i="14"/>
  <c r="R16" i="14"/>
  <c r="R9" i="14"/>
  <c r="R7" i="14"/>
  <c r="R5" i="14"/>
  <c r="R6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45" i="14"/>
  <c r="I44" i="14"/>
  <c r="I43" i="14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R36" i="14"/>
  <c r="I42" i="14" s="1"/>
  <c r="I36" i="14"/>
  <c r="I41" i="14" s="1"/>
  <c r="I29" i="13"/>
  <c r="R20" i="13"/>
  <c r="R12" i="13"/>
  <c r="R8" i="13"/>
  <c r="R5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33" i="13"/>
  <c r="I32" i="13"/>
  <c r="I31" i="13"/>
  <c r="Q24" i="13"/>
  <c r="J29" i="13" s="1"/>
  <c r="J36" i="13" s="1"/>
  <c r="P24" i="13"/>
  <c r="O24" i="13"/>
  <c r="N24" i="13"/>
  <c r="M24" i="13"/>
  <c r="L24" i="13"/>
  <c r="K24" i="13"/>
  <c r="J24" i="13"/>
  <c r="H24" i="13"/>
  <c r="G24" i="13"/>
  <c r="R24" i="13"/>
  <c r="I30" i="13" s="1"/>
  <c r="I24" i="13"/>
  <c r="R59" i="12"/>
  <c r="R54" i="12"/>
  <c r="R47" i="12"/>
  <c r="R40" i="12"/>
  <c r="R39" i="12"/>
  <c r="R38" i="12"/>
  <c r="R36" i="12"/>
  <c r="R32" i="12"/>
  <c r="R30" i="12"/>
  <c r="R26" i="12"/>
  <c r="R24" i="12"/>
  <c r="R22" i="12"/>
  <c r="R18" i="12"/>
  <c r="R14" i="12"/>
  <c r="R7" i="12"/>
  <c r="R6" i="12"/>
  <c r="R55" i="12"/>
  <c r="R15" i="12"/>
  <c r="I65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76" i="12"/>
  <c r="I75" i="12"/>
  <c r="I74" i="12"/>
  <c r="Q67" i="12"/>
  <c r="J72" i="12" s="1"/>
  <c r="J79" i="12" s="1"/>
  <c r="P67" i="12"/>
  <c r="O67" i="12"/>
  <c r="N67" i="12"/>
  <c r="M67" i="12"/>
  <c r="L67" i="12"/>
  <c r="K67" i="12"/>
  <c r="J67" i="12"/>
  <c r="H67" i="12"/>
  <c r="G67" i="12"/>
  <c r="R67" i="12"/>
  <c r="I73" i="12" s="1"/>
  <c r="R41" i="11"/>
  <c r="R34" i="11"/>
  <c r="R27" i="11"/>
  <c r="R15" i="11"/>
  <c r="R8" i="11"/>
  <c r="R7" i="11"/>
  <c r="R6" i="11"/>
  <c r="R4" i="11"/>
  <c r="R45" i="11" s="1"/>
  <c r="I51" i="11" s="1"/>
  <c r="R18" i="11"/>
  <c r="R11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54" i="11"/>
  <c r="I53" i="11"/>
  <c r="I52" i="11"/>
  <c r="Q45" i="11"/>
  <c r="J50" i="11" s="1"/>
  <c r="J57" i="11" s="1"/>
  <c r="P45" i="11"/>
  <c r="O45" i="11"/>
  <c r="N45" i="11"/>
  <c r="M45" i="11"/>
  <c r="L45" i="11"/>
  <c r="K45" i="11"/>
  <c r="J45" i="11"/>
  <c r="H45" i="11"/>
  <c r="G45" i="11"/>
  <c r="I48" i="14" l="1"/>
  <c r="I36" i="13"/>
  <c r="I67" i="12"/>
  <c r="I72" i="12" s="1"/>
  <c r="I79" i="12" s="1"/>
  <c r="I45" i="11"/>
  <c r="I50" i="11" s="1"/>
  <c r="I57" i="11" s="1"/>
  <c r="R44" i="10" l="1"/>
  <c r="R51" i="10"/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5" i="10" l="1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0" i="10" l="1"/>
  <c r="I67" i="10" s="1"/>
  <c r="I68" i="6"/>
</calcChain>
</file>

<file path=xl/sharedStrings.xml><?xml version="1.0" encoding="utf-8"?>
<sst xmlns="http://schemas.openxmlformats.org/spreadsheetml/2006/main" count="4253" uniqueCount="1445">
  <si>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</si>
  <si>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</si>
  <si>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</si>
  <si>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</si>
  <si>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</si>
  <si>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</si>
  <si>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</si>
  <si>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</si>
  <si>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</si>
  <si>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</si>
  <si>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</si>
  <si>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</si>
  <si>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</si>
  <si>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</si>
  <si>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</si>
  <si>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</si>
  <si>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</si>
  <si>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</si>
  <si>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</si>
  <si>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</si>
  <si>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</si>
  <si>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</si>
  <si>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</si>
  <si>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</si>
  <si>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</si>
  <si>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</si>
  <si>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</si>
  <si>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</si>
  <si>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</si>
  <si>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</si>
  <si>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</si>
  <si>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</si>
  <si>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</si>
  <si>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</si>
  <si>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</si>
  <si>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</si>
  <si>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</si>
  <si>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</si>
  <si>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</si>
  <si>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</si>
  <si>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</si>
  <si>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</si>
  <si>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</si>
  <si>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</si>
  <si>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</si>
  <si>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</si>
  <si>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</si>
  <si>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</si>
  <si>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</si>
  <si>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</si>
  <si>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</si>
  <si>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</si>
  <si>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</si>
  <si>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</si>
  <si>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</si>
  <si>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</si>
  <si>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</si>
  <si>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</si>
  <si>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</si>
  <si>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</si>
  <si>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</si>
  <si>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</si>
  <si>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</si>
  <si>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</si>
  <si>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</si>
  <si>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</si>
  <si>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</si>
  <si>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</si>
  <si>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</si>
  <si>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</si>
  <si>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</si>
  <si>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</si>
  <si>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</si>
  <si>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</si>
  <si>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</si>
  <si>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</si>
  <si>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</si>
  <si>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</si>
  <si>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</si>
  <si>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</si>
  <si>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</si>
  <si>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</si>
  <si>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</si>
  <si>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</si>
  <si>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</si>
  <si>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</si>
  <si>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</si>
  <si>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</si>
  <si>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</si>
  <si>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</si>
  <si>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</si>
  <si>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</si>
  <si>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</si>
  <si>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</si>
  <si>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</si>
  <si>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</si>
  <si>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</si>
  <si>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</si>
  <si>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</si>
  <si>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</si>
  <si>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</si>
  <si>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</si>
  <si>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</si>
  <si>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</si>
  <si>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</si>
  <si>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</si>
  <si>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</si>
  <si>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</si>
  <si>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</si>
  <si>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</si>
  <si>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</si>
  <si>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</si>
  <si>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</si>
  <si>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</si>
  <si>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</si>
  <si>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</si>
  <si>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</si>
  <si>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</si>
  <si>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</si>
  <si>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</si>
  <si>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</si>
  <si>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</si>
  <si>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</si>
  <si>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</si>
  <si>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</si>
  <si>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</si>
  <si>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</si>
  <si>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</si>
  <si>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</si>
  <si>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</si>
  <si>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</si>
  <si>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</si>
  <si>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</si>
  <si>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</si>
  <si>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</si>
  <si>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</si>
  <si>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</si>
  <si>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</si>
  <si>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</si>
  <si>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</si>
  <si>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</si>
  <si>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</si>
  <si>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</si>
  <si>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</si>
  <si>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</si>
  <si>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</si>
  <si>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</si>
  <si>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</si>
  <si>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</si>
  <si>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</si>
  <si>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</si>
  <si>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</si>
  <si>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</si>
  <si>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</si>
  <si>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</si>
  <si>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</si>
  <si>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</si>
  <si>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</si>
  <si>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</si>
  <si>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</si>
  <si>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</si>
  <si>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</si>
  <si>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</si>
  <si>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</si>
  <si>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</si>
  <si>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</si>
  <si>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</si>
  <si>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</si>
  <si>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</si>
  <si>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</si>
  <si>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</si>
  <si>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</si>
  <si>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</si>
  <si>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</si>
  <si>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</si>
  <si>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</si>
  <si>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</si>
  <si>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</si>
  <si>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</si>
  <si>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</si>
  <si>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</si>
  <si>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</si>
  <si>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</si>
  <si>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</si>
  <si>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</si>
  <si>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</si>
  <si>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</si>
  <si>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</si>
  <si>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</si>
  <si>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</si>
  <si>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</si>
  <si>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</si>
  <si>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</si>
  <si>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</si>
  <si>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</si>
  <si>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</si>
  <si>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</si>
  <si>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</si>
  <si>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</si>
  <si>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</si>
  <si>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</si>
  <si>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</si>
  <si>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</si>
  <si>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</si>
  <si>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</si>
  <si>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</si>
  <si>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</si>
  <si>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</si>
  <si>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</si>
  <si>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</si>
  <si>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</si>
  <si>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</si>
  <si>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</si>
  <si>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</si>
  <si>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</si>
  <si>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</si>
  <si>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</si>
  <si>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</si>
  <si>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</si>
  <si>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</si>
  <si>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</si>
  <si>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</si>
  <si>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</si>
  <si>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</si>
  <si>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</si>
  <si>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</si>
  <si>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</si>
  <si>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</si>
  <si>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</si>
  <si>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</si>
  <si>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</si>
  <si>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</si>
  <si>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</si>
  <si>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</si>
  <si>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</si>
  <si>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</si>
  <si>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</si>
  <si>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</si>
  <si>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</si>
  <si>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</si>
  <si>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</si>
  <si>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</si>
  <si>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</si>
  <si>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</si>
  <si>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</si>
  <si>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</si>
  <si>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</si>
  <si>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</si>
  <si>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</si>
  <si>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</si>
  <si>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</si>
  <si>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</si>
  <si>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</si>
  <si>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</si>
  <si>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</si>
  <si>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</si>
  <si>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</si>
  <si>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</si>
  <si>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</si>
  <si>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</si>
  <si>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</si>
  <si>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</si>
  <si>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</si>
  <si>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</si>
  <si>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</si>
  <si>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</si>
  <si>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</si>
  <si>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</si>
  <si>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</si>
  <si>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</si>
  <si>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</si>
  <si>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</si>
  <si>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</si>
  <si>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</si>
  <si>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</si>
  <si>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</si>
  <si>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</si>
  <si>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</si>
  <si>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</si>
  <si>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</si>
  <si>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</si>
  <si>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</si>
  <si>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</si>
  <si>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</si>
  <si>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</si>
  <si>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</si>
  <si>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</si>
  <si>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</si>
  <si>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</si>
  <si>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</si>
  <si>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</si>
  <si>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</si>
  <si>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</si>
  <si>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</si>
  <si>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</si>
  <si>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</si>
  <si>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</si>
  <si>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</si>
  <si>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</si>
  <si>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</si>
  <si>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</si>
  <si>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</si>
  <si>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</si>
  <si>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</si>
  <si>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</si>
  <si>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</si>
  <si>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</si>
  <si>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</si>
  <si>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</si>
  <si>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</si>
  <si>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</si>
  <si>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</si>
  <si>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</si>
  <si>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</si>
  <si>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</si>
  <si>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</si>
  <si>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</si>
  <si>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</si>
  <si>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</si>
  <si>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</si>
  <si>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</si>
  <si>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</si>
  <si>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</si>
  <si>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</si>
  <si>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</si>
  <si>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</si>
  <si>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</si>
  <si>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</si>
  <si>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</si>
  <si>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</si>
  <si>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</si>
  <si>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</si>
  <si>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</si>
  <si>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</si>
  <si>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</si>
  <si>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</si>
  <si>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</si>
  <si>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</si>
  <si>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</si>
  <si>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</si>
  <si>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</si>
  <si>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</si>
  <si>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</si>
  <si>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</si>
  <si>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</si>
  <si>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</si>
  <si>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</si>
  <si>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</si>
  <si>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</si>
  <si>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</si>
  <si>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</si>
  <si>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</si>
  <si>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</si>
  <si>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</si>
  <si>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</si>
  <si>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</si>
  <si>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</si>
  <si>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</si>
  <si>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</si>
  <si>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</si>
  <si>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</si>
  <si>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</si>
  <si>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</si>
  <si>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</si>
  <si>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</si>
  <si>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</si>
  <si>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</si>
  <si>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</si>
  <si>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</si>
  <si>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</si>
  <si>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</si>
  <si>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</si>
  <si>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</si>
  <si>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</si>
  <si>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</si>
  <si>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</si>
  <si>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</si>
  <si>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</si>
  <si>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</si>
  <si>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</si>
  <si>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</si>
  <si>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</si>
  <si>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</si>
  <si>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</si>
  <si>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</si>
  <si>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</si>
  <si>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</si>
  <si>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</si>
  <si>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</si>
  <si>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</si>
  <si>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</si>
  <si>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</si>
  <si>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</si>
  <si>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</si>
  <si>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</si>
  <si>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</si>
  <si>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</si>
  <si>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</si>
  <si>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</si>
  <si>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</si>
  <si>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</si>
  <si>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</si>
  <si>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</si>
  <si>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</si>
  <si>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</si>
  <si>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</si>
  <si>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</si>
  <si>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</si>
  <si>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</si>
  <si>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</si>
  <si>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</si>
  <si>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</si>
  <si>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</si>
  <si>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</si>
  <si>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</si>
  <si>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</si>
  <si>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</si>
  <si>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</si>
  <si>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</si>
  <si>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</si>
  <si>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</si>
  <si>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</si>
  <si>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</si>
  <si>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</si>
  <si>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</si>
  <si>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</si>
  <si>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</si>
  <si>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</si>
  <si>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</si>
  <si>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</si>
  <si>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</si>
  <si>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</si>
  <si>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</si>
  <si>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</si>
  <si>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</si>
  <si>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</si>
  <si>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</si>
  <si>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</si>
  <si>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</si>
  <si>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</si>
  <si>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</si>
  <si>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</si>
  <si>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</si>
  <si>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</si>
  <si>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</si>
  <si>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</si>
  <si>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</si>
  <si>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</si>
  <si>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</si>
  <si>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</si>
  <si>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</si>
  <si>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</si>
  <si>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</si>
  <si>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</si>
  <si>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</si>
  <si>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</si>
  <si>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</si>
  <si>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</si>
  <si>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</si>
  <si>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</si>
  <si>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</si>
  <si>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</si>
  <si>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</si>
  <si>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</si>
  <si>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</si>
  <si>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</si>
  <si>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</si>
  <si>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</si>
  <si>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</si>
  <si>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</si>
  <si>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</si>
  <si>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</si>
  <si>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</si>
  <si>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</si>
  <si>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</si>
  <si>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</si>
  <si>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</si>
  <si>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</si>
  <si>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</si>
  <si>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</si>
  <si>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</si>
  <si>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</si>
  <si>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</si>
  <si>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</si>
  <si>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</si>
  <si>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</si>
  <si>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</si>
  <si>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</si>
  <si>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</si>
  <si>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</si>
  <si>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</si>
  <si>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</si>
  <si>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</si>
  <si>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</si>
  <si>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</si>
  <si>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</si>
  <si>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</si>
  <si>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</si>
  <si>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</si>
  <si>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</si>
  <si>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</si>
  <si>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</si>
  <si>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</si>
  <si>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</si>
  <si>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</si>
  <si>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</si>
  <si>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</si>
  <si>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</si>
  <si>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</si>
  <si>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</si>
  <si>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</si>
  <si>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</si>
  <si>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</si>
  <si>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</si>
  <si>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</si>
  <si>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</si>
  <si>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</si>
  <si>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</si>
  <si>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</si>
  <si>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</si>
  <si>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</si>
  <si>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</si>
  <si>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</si>
  <si>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</si>
  <si>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</si>
  <si>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</si>
  <si>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</si>
  <si>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</si>
  <si>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</si>
  <si>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</si>
  <si>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</si>
  <si>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</si>
  <si>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</si>
  <si>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</si>
  <si>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</si>
  <si>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</si>
  <si>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</si>
  <si>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</si>
  <si>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</si>
  <si>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</si>
  <si>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</si>
  <si>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</si>
  <si>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</si>
  <si>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</si>
  <si>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</si>
  <si>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</si>
  <si>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</si>
  <si>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</si>
  <si>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</si>
  <si>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</si>
  <si>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</si>
  <si>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</si>
  <si>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</si>
  <si>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</si>
  <si>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</si>
  <si>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</si>
  <si>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</si>
  <si>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</si>
  <si>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</si>
  <si>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</si>
  <si>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</si>
  <si>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</si>
  <si>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</si>
  <si>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</si>
  <si>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</si>
  <si>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</si>
  <si>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</si>
  <si>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</si>
  <si>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</si>
  <si>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</si>
  <si>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</si>
  <si>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</si>
  <si>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</si>
  <si>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</si>
  <si>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</si>
  <si>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</si>
  <si>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</si>
  <si>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</si>
  <si>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</si>
  <si>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</si>
  <si>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</si>
  <si>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</si>
  <si>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</si>
  <si>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</si>
  <si>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</si>
  <si>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</si>
  <si>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</si>
  <si>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</si>
  <si>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</si>
  <si>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</si>
  <si>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</si>
  <si>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</si>
  <si>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</si>
  <si>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</si>
  <si>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</si>
  <si>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</si>
  <si>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</si>
  <si>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</si>
  <si>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</si>
  <si>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</si>
  <si>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</si>
  <si>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</si>
  <si>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</si>
  <si>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</si>
  <si>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</si>
  <si>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</si>
  <si>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</si>
  <si>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</si>
  <si>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</si>
  <si>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</si>
  <si>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</si>
  <si>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</si>
  <si>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</si>
  <si>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</si>
  <si>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</si>
  <si>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</si>
  <si>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</si>
  <si>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</si>
  <si>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</si>
  <si>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</si>
  <si>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</si>
  <si>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</si>
  <si>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</si>
  <si>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</si>
  <si>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</si>
  <si>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</si>
  <si>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</si>
  <si>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</si>
  <si>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</si>
  <si>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</si>
  <si>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</si>
  <si>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</si>
  <si>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</si>
  <si>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</si>
  <si>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</si>
  <si>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</si>
  <si>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</si>
  <si>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</si>
  <si>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</si>
  <si>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</si>
  <si>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</si>
  <si>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</si>
  <si>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</si>
  <si>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</si>
  <si>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</si>
  <si>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</si>
  <si>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</si>
  <si>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</si>
  <si>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</si>
  <si>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</si>
  <si>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</si>
  <si>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</si>
  <si>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</si>
  <si>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</si>
  <si>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</si>
  <si>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</si>
  <si>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</si>
  <si>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</si>
  <si>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</si>
  <si>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</si>
  <si>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</si>
  <si>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</si>
  <si>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</si>
  <si>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</si>
  <si>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</si>
  <si>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</si>
  <si>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</si>
  <si>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</si>
  <si>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</si>
  <si>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</si>
  <si>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</si>
  <si>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</si>
  <si>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</si>
  <si>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</si>
  <si>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</si>
  <si>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</si>
  <si>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</si>
  <si>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</si>
  <si>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</si>
  <si>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</si>
  <si>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</si>
  <si>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</si>
  <si>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</si>
  <si>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</si>
  <si>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</si>
  <si>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</si>
  <si>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</si>
  <si>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</si>
  <si>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</si>
  <si>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</si>
  <si>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</si>
  <si>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</si>
  <si>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</si>
  <si>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</si>
  <si>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</si>
  <si>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</si>
  <si>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</si>
  <si>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</si>
  <si>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</si>
  <si>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</si>
  <si>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</si>
  <si>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</si>
  <si>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</si>
  <si>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</si>
  <si>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</si>
  <si>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</si>
  <si>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</si>
  <si>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</si>
  <si>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</si>
  <si>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</si>
  <si>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</si>
  <si>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</si>
  <si>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</si>
  <si>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</si>
  <si>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</si>
  <si>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</si>
  <si>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</si>
  <si>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</si>
  <si>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</si>
  <si>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</si>
  <si>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</si>
  <si>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</si>
  <si>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</si>
  <si>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</si>
  <si>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</si>
  <si>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</si>
  <si>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</si>
  <si>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</si>
  <si>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</si>
  <si>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</si>
  <si>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</si>
  <si>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</si>
  <si>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</si>
  <si>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</si>
  <si>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</si>
  <si>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</si>
  <si>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</si>
  <si>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</si>
  <si>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</si>
  <si>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</si>
  <si>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</si>
  <si>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</si>
  <si>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</si>
  <si>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</si>
  <si>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</si>
  <si>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</si>
  <si>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</si>
  <si>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</si>
  <si>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</si>
  <si>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</si>
  <si>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</si>
  <si>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</si>
  <si>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</si>
  <si>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</si>
  <si>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</si>
  <si>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</si>
  <si>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</si>
  <si>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</si>
  <si>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</si>
  <si>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</si>
  <si>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</si>
  <si>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</si>
  <si>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</si>
  <si>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</si>
  <si>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</si>
  <si>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</si>
  <si>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</si>
  <si>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</si>
  <si>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</si>
  <si>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</si>
  <si>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</si>
  <si>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</si>
  <si>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</si>
  <si>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</si>
  <si>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</si>
  <si>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</si>
  <si>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</si>
  <si>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</si>
  <si>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</si>
  <si>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</si>
  <si>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</si>
  <si>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</si>
  <si>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</si>
  <si>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</si>
  <si>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</si>
  <si>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</si>
  <si>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</si>
  <si>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</si>
  <si>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</si>
  <si>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</si>
  <si>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</si>
  <si>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</si>
  <si>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</si>
  <si>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</si>
  <si>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</si>
  <si>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</si>
  <si>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</si>
  <si>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</si>
  <si>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</si>
  <si>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</si>
  <si>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</si>
  <si>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</si>
  <si>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</si>
  <si>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</si>
  <si>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</si>
  <si>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</si>
  <si>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</si>
  <si>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</si>
  <si>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</si>
  <si>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</si>
  <si>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</si>
  <si>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</si>
  <si>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</si>
  <si>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</si>
  <si>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</si>
  <si>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</si>
  <si>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</si>
  <si>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</si>
  <si>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</si>
  <si>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</si>
  <si>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</si>
  <si>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</si>
  <si>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</si>
  <si>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</si>
  <si>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</si>
  <si>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</si>
  <si>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</si>
  <si>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</si>
  <si>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</si>
  <si>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</si>
  <si>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</si>
  <si>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</si>
  <si>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</si>
  <si>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</si>
  <si>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</si>
  <si>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</si>
  <si>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</si>
  <si>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</si>
  <si>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</si>
  <si>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</si>
  <si>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</si>
  <si>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</si>
  <si>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</si>
  <si>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</si>
  <si>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</si>
  <si>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</si>
  <si>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</si>
  <si>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</si>
  <si>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</si>
  <si>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</si>
  <si>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</si>
  <si>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</si>
  <si>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</si>
  <si>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</si>
  <si>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</si>
  <si>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</si>
  <si>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</si>
  <si>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</si>
  <si>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</si>
  <si>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</si>
  <si>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</si>
  <si>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</si>
  <si>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</si>
  <si>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</si>
  <si>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</si>
  <si>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</si>
  <si>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</si>
  <si>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</si>
  <si>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</si>
  <si>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</si>
  <si>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</si>
  <si>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</si>
  <si>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</si>
  <si>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</si>
  <si>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</si>
  <si>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</si>
  <si>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</si>
  <si>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</si>
  <si>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</si>
  <si>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</si>
  <si>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</si>
  <si>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</si>
  <si>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</si>
  <si>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</si>
  <si>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</si>
  <si>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</si>
  <si>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</si>
  <si>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</si>
  <si>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</si>
  <si>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</si>
  <si>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</si>
  <si>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</si>
  <si>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</si>
  <si>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</si>
  <si>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</si>
  <si>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</si>
  <si>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</si>
  <si>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</si>
  <si>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</si>
  <si>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</si>
  <si>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</si>
  <si>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</si>
  <si>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</si>
  <si>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</si>
  <si>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</si>
  <si>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</si>
  <si>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</si>
  <si>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</si>
  <si>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</si>
  <si>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</si>
  <si>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</si>
  <si>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</si>
  <si>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</si>
  <si>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</si>
  <si>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</si>
  <si>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</si>
  <si>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</si>
  <si>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</si>
  <si>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</si>
  <si>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</si>
  <si>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</si>
  <si>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</si>
  <si>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</si>
  <si>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</si>
  <si>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</si>
  <si>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</si>
  <si>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</si>
  <si>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</si>
  <si>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</si>
  <si>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</si>
  <si>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</si>
  <si>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</si>
  <si>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</si>
  <si>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</si>
  <si>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</si>
  <si>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</si>
  <si>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</si>
  <si>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</si>
  <si>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</si>
  <si>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</si>
  <si>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</si>
  <si>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</si>
  <si>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</si>
  <si>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</si>
  <si>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</si>
  <si>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</si>
  <si>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</si>
  <si>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</si>
  <si>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</si>
  <si>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</si>
  <si>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</si>
  <si>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</si>
  <si>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</si>
  <si>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</si>
  <si>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</si>
  <si>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</si>
  <si>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</si>
  <si>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</si>
  <si>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</si>
  <si>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</si>
  <si>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</si>
  <si>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</si>
  <si>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</si>
  <si>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</si>
  <si>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</si>
  <si>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</si>
  <si>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</si>
  <si>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</si>
  <si>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</si>
  <si>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</si>
  <si>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</si>
  <si>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</si>
  <si>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</si>
  <si>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</si>
  <si>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</si>
  <si>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</si>
  <si>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</si>
  <si>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</si>
  <si>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</si>
  <si>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</si>
  <si>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</si>
  <si>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</si>
  <si>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</si>
  <si>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</si>
  <si>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</si>
  <si>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</si>
  <si>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</si>
  <si>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</si>
  <si>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</si>
  <si>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</si>
  <si>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</si>
  <si>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</si>
  <si>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</si>
  <si>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</si>
  <si>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</si>
  <si>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</si>
  <si>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</si>
  <si>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</si>
  <si>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</si>
  <si>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</si>
  <si>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</si>
  <si>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</si>
  <si>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</si>
  <si>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</si>
  <si>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</si>
  <si>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</si>
  <si>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</si>
  <si>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</si>
  <si>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</si>
  <si>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</si>
  <si>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</si>
  <si>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</si>
  <si>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</si>
  <si>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</si>
  <si>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</si>
  <si>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</si>
  <si>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</si>
  <si>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</si>
  <si>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</si>
  <si>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</si>
  <si>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</si>
  <si>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</si>
  <si>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</si>
  <si>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</si>
  <si>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</si>
  <si>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</si>
  <si>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</si>
  <si>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</si>
  <si>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</si>
  <si>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</si>
  <si>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</si>
  <si>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</si>
  <si>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</si>
  <si>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</si>
  <si>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</si>
  <si>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</si>
  <si>
    <t>đơn trả 11.4</t>
  </si>
  <si>
    <t>shop chiu ship</t>
  </si>
  <si>
    <t>T7.11.4.2026</t>
  </si>
  <si>
    <t>NGAY 11-4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</si>
  <si>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</si>
  <si>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</si>
  <si>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</si>
  <si>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</si>
  <si>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</si>
  <si>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</si>
  <si>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</si>
  <si>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</si>
  <si>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</si>
  <si>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</si>
  <si>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</si>
  <si>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</si>
  <si>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</si>
  <si>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</si>
  <si>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</si>
  <si>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</si>
  <si>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</si>
  <si>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</si>
  <si>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</si>
  <si>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</si>
  <si>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</si>
  <si>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</si>
  <si>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</si>
  <si>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</si>
  <si>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</si>
  <si>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</si>
  <si>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</si>
  <si>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</si>
  <si>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</si>
  <si>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</si>
  <si>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</si>
  <si>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</si>
  <si>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</si>
  <si>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</si>
  <si>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</si>
  <si>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</si>
  <si>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</si>
  <si>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</si>
  <si>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</si>
  <si>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</si>
  <si>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</si>
  <si>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</si>
  <si>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</si>
  <si>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</si>
  <si>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</si>
  <si>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</si>
  <si>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</si>
  <si>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</si>
  <si>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</si>
  <si>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</si>
  <si>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</si>
  <si>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</si>
  <si>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</si>
  <si>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</si>
  <si>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</si>
  <si>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</si>
  <si>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</si>
  <si>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</si>
  <si>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</si>
  <si>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</si>
  <si>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</si>
  <si>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</si>
  <si>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</si>
  <si>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</si>
  <si>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</si>
  <si>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</si>
  <si>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</si>
  <si>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</si>
  <si>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</si>
  <si>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</si>
  <si>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</si>
  <si>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</si>
  <si>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</si>
  <si>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</si>
  <si>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</si>
  <si>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</si>
  <si>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</si>
  <si>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</si>
  <si>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</si>
  <si>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</si>
  <si>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</si>
  <si>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</si>
  <si>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</si>
  <si>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</si>
  <si>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</si>
  <si>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</si>
  <si>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</si>
  <si>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</si>
  <si>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</si>
  <si>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</si>
  <si>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</si>
  <si>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</si>
  <si>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</si>
  <si>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</si>
  <si>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</si>
  <si>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</si>
  <si>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</si>
  <si>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</si>
  <si>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</si>
  <si>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</si>
  <si>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</si>
  <si>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</si>
  <si>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</si>
  <si>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</si>
  <si>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</si>
  <si>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</si>
  <si>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</si>
  <si>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</si>
  <si>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</si>
  <si>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</si>
  <si>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</si>
  <si>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</si>
  <si>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</si>
  <si>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</si>
  <si>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</si>
  <si>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T2.13.4.2026</t>
  </si>
  <si>
    <t>NGAY 13-4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</si>
  <si>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</si>
  <si>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</si>
  <si>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</si>
  <si>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</si>
  <si>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</si>
  <si>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</si>
  <si>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</si>
  <si>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</si>
  <si>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</si>
  <si>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</si>
  <si>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</si>
  <si>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</si>
  <si>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</si>
  <si>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</si>
  <si>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</si>
  <si>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</si>
  <si>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</si>
  <si>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</si>
  <si>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</si>
  <si>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</si>
  <si>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</si>
  <si>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</si>
  <si>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</si>
  <si>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</si>
  <si>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</si>
  <si>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</si>
  <si>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</si>
  <si>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</si>
  <si>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</si>
  <si>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</si>
  <si>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</si>
  <si>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</si>
  <si>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</si>
  <si>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</si>
  <si>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</si>
  <si>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</si>
  <si>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</si>
  <si>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</si>
  <si>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</si>
  <si>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</si>
  <si>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</si>
  <si>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</si>
  <si>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</si>
  <si>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</si>
  <si>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</si>
  <si>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</si>
  <si>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</si>
  <si>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</si>
  <si>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</si>
  <si>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</si>
  <si>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</si>
  <si>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</si>
  <si>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</si>
  <si>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</si>
  <si>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</si>
  <si>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</si>
  <si>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</si>
  <si>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</si>
  <si>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</si>
  <si>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</si>
  <si>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</si>
  <si>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</si>
  <si>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</si>
  <si>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</si>
  <si>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</si>
  <si>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</si>
  <si>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</si>
  <si>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</si>
  <si>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</si>
  <si>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</si>
  <si>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</si>
  <si>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</si>
  <si>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</si>
  <si>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</si>
  <si>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</si>
  <si>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</si>
  <si>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</si>
  <si>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</si>
  <si>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</si>
  <si>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</si>
  <si>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</si>
  <si>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</si>
  <si>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</si>
  <si>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</si>
  <si>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</si>
  <si>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</si>
  <si>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</si>
  <si>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</si>
  <si>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</si>
  <si>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</si>
  <si>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</si>
  <si>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</si>
  <si>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</si>
  <si>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</si>
  <si>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</si>
  <si>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</si>
  <si>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</si>
  <si>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</si>
  <si>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</si>
  <si>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</si>
  <si>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</si>
  <si>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</si>
  <si>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</si>
  <si>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</si>
  <si>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</si>
  <si>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</si>
  <si>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</si>
  <si>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</si>
  <si>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</si>
  <si>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</si>
  <si>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</si>
  <si>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</si>
  <si>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</si>
  <si>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</si>
  <si>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</si>
  <si>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</si>
  <si>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</si>
  <si>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</si>
  <si>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</si>
  <si>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</si>
  <si>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</si>
  <si>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</si>
  <si>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</si>
  <si>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</si>
  <si>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</si>
  <si>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</si>
  <si>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</si>
  <si>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</si>
  <si>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</si>
  <si>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</si>
  <si>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</si>
  <si>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</si>
  <si>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</si>
  <si>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</si>
  <si>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</si>
  <si>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</si>
  <si>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</si>
  <si>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</si>
  <si>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</si>
  <si>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</si>
  <si>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</si>
  <si>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</si>
  <si>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</si>
  <si>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</si>
  <si>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</si>
  <si>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</si>
  <si>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</si>
  <si>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</si>
  <si>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</si>
  <si>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</si>
  <si>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</si>
  <si>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</si>
  <si>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</si>
  <si>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</si>
  <si>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</si>
  <si>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</si>
  <si>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</si>
  <si>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</si>
  <si>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</si>
  <si>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</si>
  <si>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</si>
  <si>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trả 14.4</t>
  </si>
  <si>
    <t>T3.14.4.2026</t>
  </si>
  <si>
    <t>NGAY 14-4</t>
  </si>
  <si>
    <t>đơn trả 15.4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</si>
  <si>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</si>
  <si>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</si>
  <si>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</si>
  <si>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</si>
  <si>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</si>
  <si>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</si>
  <si>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</si>
  <si>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</si>
  <si>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</si>
  <si>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</si>
  <si>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</si>
  <si>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</si>
  <si>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</si>
  <si>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</si>
  <si>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</si>
  <si>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</si>
  <si>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</si>
  <si>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</si>
  <si>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</si>
  <si>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</si>
  <si>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</si>
  <si>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</si>
  <si>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</si>
  <si>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</si>
  <si>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</si>
  <si>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</si>
  <si>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</si>
  <si>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</si>
  <si>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</si>
  <si>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</si>
  <si>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</si>
  <si>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</si>
  <si>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</si>
  <si>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</si>
  <si>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</si>
  <si>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</si>
  <si>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</si>
  <si>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</si>
  <si>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</si>
  <si>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</si>
  <si>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</si>
  <si>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</si>
  <si>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</si>
  <si>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</si>
  <si>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</si>
  <si>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</si>
  <si>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</si>
  <si>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</si>
  <si>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</si>
  <si>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</si>
  <si>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</si>
  <si>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</si>
  <si>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T4.15.4.2026</t>
  </si>
  <si>
    <t>NGAY 15-4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</si>
  <si>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</si>
  <si>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</si>
  <si>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</si>
  <si>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</si>
  <si>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</si>
  <si>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</si>
  <si>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</si>
  <si>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</si>
  <si>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</si>
  <si>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</si>
  <si>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</si>
  <si>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</si>
  <si>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</si>
  <si>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</si>
  <si>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</si>
  <si>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</si>
  <si>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</si>
  <si>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</si>
  <si>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</si>
  <si>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</si>
  <si>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</si>
  <si>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</si>
  <si>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</si>
  <si>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</si>
  <si>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</si>
  <si>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</si>
  <si>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</si>
  <si>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</si>
  <si>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</si>
  <si>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</si>
  <si>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</si>
  <si>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</si>
  <si>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</si>
  <si>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</si>
  <si>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</si>
  <si>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</si>
  <si>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</si>
  <si>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</si>
  <si>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</si>
  <si>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</si>
  <si>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</si>
  <si>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</si>
  <si>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</si>
  <si>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</si>
  <si>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</si>
  <si>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</si>
  <si>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</si>
  <si>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</si>
  <si>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</si>
  <si>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</si>
  <si>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</si>
  <si>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</si>
  <si>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</si>
  <si>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</si>
  <si>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</si>
  <si>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</si>
  <si>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</si>
  <si>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</si>
  <si>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</si>
  <si>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</si>
  <si>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</si>
  <si>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</si>
  <si>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</si>
  <si>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</si>
  <si>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</si>
  <si>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</si>
  <si>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</si>
  <si>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</si>
  <si>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kh ck shop 870k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</si>
</sst>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  <xf numFmtId="0" fontId="10" fillId="12" borderId="3" xfId="0" applyFont="1" applyFill="1" applyBorder="1"/>
    <xf numFmtId="3" fontId="10" fillId="0" borderId="3" xfId="0" applyNumberFormat="1" applyFont="1" applyBorder="1"/>
    <xf numFmtId="0" fontId="11" fillId="0" borderId="1" xfId="0" applyFont="1" applyBorder="1"/>
    <xf numFmtId="3" fontId="11" fillId="0" borderId="1" xfId="0" applyNumberFormat="1" applyFont="1" applyBorder="1"/>
    <xf numFmtId="0" fontId="12" fillId="2" borderId="1" xfId="1" applyFon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0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19" workbookViewId="0">
      <selection activeCell="A26" sqref="A26:XFD26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37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28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opLeftCell="A48" zoomScaleNormal="100" workbookViewId="0">
      <selection activeCell="F50" sqref="F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760</v>
      </c>
      <c r="H42" s="19">
        <v>0</v>
      </c>
      <c r="I42" s="19">
        <f>G42-H42</f>
        <v>760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44">
        <v>790</v>
      </c>
      <c r="H44" s="44">
        <v>30</v>
      </c>
      <c r="I44" s="19">
        <f t="shared" si="3"/>
        <v>760</v>
      </c>
      <c r="J44" s="18" t="s">
        <v>160</v>
      </c>
      <c r="K44" s="18" t="s">
        <v>15</v>
      </c>
      <c r="L44" s="18" t="s">
        <v>903</v>
      </c>
      <c r="M44" s="43" t="s">
        <v>1037</v>
      </c>
      <c r="N44" s="18"/>
      <c r="O44" s="18"/>
      <c r="P44" s="18"/>
      <c r="Q44" s="18">
        <v>1</v>
      </c>
      <c r="R44" s="17">
        <f>H44</f>
        <v>30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44">
        <v>1330</v>
      </c>
      <c r="H45" s="44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43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0</v>
      </c>
      <c r="H51" s="19">
        <v>25</v>
      </c>
      <c r="I51" s="19">
        <f>G51-H51</f>
        <v>-25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  <c r="R51" s="17">
        <f>H51</f>
        <v>25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45011</v>
      </c>
      <c r="H55" s="1">
        <f t="shared" si="5"/>
        <v>1335</v>
      </c>
      <c r="I55" s="1">
        <f t="shared" si="5"/>
        <v>43676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320</v>
      </c>
    </row>
    <row r="56" spans="1:18" x14ac:dyDescent="0.25">
      <c r="I56" s="1">
        <v>-210</v>
      </c>
      <c r="J56" s="1" t="s">
        <v>1033</v>
      </c>
    </row>
    <row r="57" spans="1:18" x14ac:dyDescent="0.25">
      <c r="I57" s="1">
        <v>-765</v>
      </c>
      <c r="J57" s="1" t="s">
        <v>1036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42701</v>
      </c>
      <c r="J60" s="8">
        <f>Q55</f>
        <v>51</v>
      </c>
    </row>
    <row r="61" spans="1:18" x14ac:dyDescent="0.25">
      <c r="H61" s="9" t="s">
        <v>24</v>
      </c>
      <c r="I61" s="10">
        <f>R55</f>
        <v>320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43021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4CC74-A78E-46C3-B51A-6A668A48CD0E}">
  <dimension ref="A1:R57"/>
  <sheetViews>
    <sheetView topLeftCell="A38" workbookViewId="0">
      <selection activeCell="J24" sqref="J2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1039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1040</v>
      </c>
      <c r="D3" s="18" t="s">
        <v>1041</v>
      </c>
      <c r="E3" s="18" t="s">
        <v>1042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56</v>
      </c>
      <c r="K3" s="18" t="s">
        <v>15</v>
      </c>
      <c r="L3" s="18" t="s">
        <v>1043</v>
      </c>
      <c r="M3" s="18"/>
      <c r="N3" s="18"/>
      <c r="O3" s="18"/>
      <c r="P3" s="18"/>
      <c r="Q3" s="18">
        <v>1</v>
      </c>
    </row>
    <row r="4" spans="1:18" s="22" customFormat="1" x14ac:dyDescent="0.25">
      <c r="A4" s="20"/>
      <c r="B4" s="20" t="s">
        <v>34</v>
      </c>
      <c r="C4" s="20" t="s">
        <v>680</v>
      </c>
      <c r="D4" s="20" t="s">
        <v>1044</v>
      </c>
      <c r="E4" s="20" t="s">
        <v>682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1045</v>
      </c>
      <c r="K4" s="20" t="s">
        <v>15</v>
      </c>
      <c r="L4" s="20" t="s">
        <v>1043</v>
      </c>
      <c r="M4" s="20" t="s">
        <v>16</v>
      </c>
      <c r="N4" s="20"/>
      <c r="O4" s="20"/>
      <c r="P4" s="20"/>
      <c r="Q4" s="20">
        <v>1</v>
      </c>
      <c r="R4" s="29">
        <f>H4</f>
        <v>25</v>
      </c>
    </row>
    <row r="5" spans="1:18" customFormat="1" x14ac:dyDescent="0.25">
      <c r="A5" s="18"/>
      <c r="B5" s="18" t="s">
        <v>34</v>
      </c>
      <c r="C5" s="18" t="s">
        <v>1046</v>
      </c>
      <c r="D5" s="18" t="s">
        <v>1047</v>
      </c>
      <c r="E5" s="18" t="s">
        <v>1048</v>
      </c>
      <c r="F5" s="18" t="s">
        <v>38</v>
      </c>
      <c r="G5" s="19">
        <v>390</v>
      </c>
      <c r="H5" s="19">
        <v>30</v>
      </c>
      <c r="I5" s="19">
        <f>G5-H5</f>
        <v>360</v>
      </c>
      <c r="J5" s="18" t="s">
        <v>1045</v>
      </c>
      <c r="K5" s="18" t="s">
        <v>15</v>
      </c>
      <c r="L5" s="18" t="s">
        <v>1043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1049</v>
      </c>
      <c r="D6" s="18" t="s">
        <v>1050</v>
      </c>
      <c r="E6" s="18" t="s">
        <v>1051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1045</v>
      </c>
      <c r="K6" s="18" t="s">
        <v>15</v>
      </c>
      <c r="L6" s="18" t="s">
        <v>1043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1052</v>
      </c>
      <c r="D7" s="18" t="s">
        <v>1053</v>
      </c>
      <c r="E7" s="18" t="s">
        <v>1054</v>
      </c>
      <c r="F7" s="18" t="s">
        <v>144</v>
      </c>
      <c r="G7" s="19">
        <v>0</v>
      </c>
      <c r="H7" s="19">
        <v>30</v>
      </c>
      <c r="I7" s="19">
        <f>-H7</f>
        <v>-30</v>
      </c>
      <c r="J7" s="18" t="s">
        <v>1045</v>
      </c>
      <c r="K7" s="18" t="s">
        <v>15</v>
      </c>
      <c r="L7" s="18" t="s">
        <v>1043</v>
      </c>
      <c r="M7" s="18"/>
      <c r="N7" s="18"/>
      <c r="O7" s="18"/>
      <c r="P7" s="18"/>
      <c r="Q7" s="18">
        <v>1</v>
      </c>
      <c r="R7" s="17">
        <f t="shared" ref="R7:R8" si="0">H7</f>
        <v>30</v>
      </c>
    </row>
    <row r="8" spans="1:18" customFormat="1" x14ac:dyDescent="0.25">
      <c r="A8" s="18"/>
      <c r="B8" s="18" t="s">
        <v>34</v>
      </c>
      <c r="C8" s="18" t="s">
        <v>1055</v>
      </c>
      <c r="D8" s="18" t="s">
        <v>1056</v>
      </c>
      <c r="E8" s="18" t="s">
        <v>1057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1045</v>
      </c>
      <c r="K8" s="18" t="s">
        <v>15</v>
      </c>
      <c r="L8" s="18" t="s">
        <v>1043</v>
      </c>
      <c r="M8" s="18"/>
      <c r="N8" s="18"/>
      <c r="O8" s="18"/>
      <c r="P8" s="18"/>
      <c r="Q8" s="18">
        <v>1</v>
      </c>
      <c r="R8" s="17">
        <f t="shared" si="0"/>
        <v>25</v>
      </c>
    </row>
    <row r="9" spans="1:18" customFormat="1" x14ac:dyDescent="0.25">
      <c r="A9" s="18"/>
      <c r="B9" s="18" t="s">
        <v>34</v>
      </c>
      <c r="C9" s="18" t="s">
        <v>1058</v>
      </c>
      <c r="D9" s="18" t="s">
        <v>1059</v>
      </c>
      <c r="E9" s="18" t="s">
        <v>1060</v>
      </c>
      <c r="F9" s="19">
        <v>6</v>
      </c>
      <c r="G9" s="19">
        <v>915</v>
      </c>
      <c r="H9" s="19">
        <v>25</v>
      </c>
      <c r="I9" s="19">
        <f t="shared" ref="I9:I14" si="1">G9-H9</f>
        <v>890</v>
      </c>
      <c r="J9" s="18" t="s">
        <v>1045</v>
      </c>
      <c r="K9" s="18" t="s">
        <v>15</v>
      </c>
      <c r="L9" s="18" t="s">
        <v>1043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1061</v>
      </c>
      <c r="D10" s="18" t="s">
        <v>1062</v>
      </c>
      <c r="E10" s="18" t="s">
        <v>1063</v>
      </c>
      <c r="F10" s="18" t="s">
        <v>108</v>
      </c>
      <c r="G10" s="19">
        <v>1365</v>
      </c>
      <c r="H10" s="19">
        <v>35</v>
      </c>
      <c r="I10" s="19">
        <f t="shared" si="1"/>
        <v>1330</v>
      </c>
      <c r="J10" s="18" t="s">
        <v>1045</v>
      </c>
      <c r="K10" s="18" t="s">
        <v>15</v>
      </c>
      <c r="L10" s="18" t="s">
        <v>1043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1064</v>
      </c>
      <c r="D11" s="18" t="s">
        <v>1065</v>
      </c>
      <c r="E11" s="18" t="s">
        <v>1066</v>
      </c>
      <c r="F11" s="18" t="s">
        <v>212</v>
      </c>
      <c r="G11" s="19">
        <v>2970</v>
      </c>
      <c r="H11" s="19">
        <v>30</v>
      </c>
      <c r="I11" s="19">
        <f t="shared" si="1"/>
        <v>2940</v>
      </c>
      <c r="J11" s="18" t="s">
        <v>1045</v>
      </c>
      <c r="K11" s="18" t="s">
        <v>15</v>
      </c>
      <c r="L11" s="18" t="s">
        <v>1043</v>
      </c>
      <c r="M11" s="26" t="s">
        <v>377</v>
      </c>
      <c r="N11" s="18"/>
      <c r="O11" s="18"/>
      <c r="P11" s="18"/>
      <c r="Q11" s="18">
        <v>1</v>
      </c>
      <c r="R11" s="17">
        <f>H11</f>
        <v>30</v>
      </c>
    </row>
    <row r="12" spans="1:18" customFormat="1" x14ac:dyDescent="0.25">
      <c r="A12" s="18"/>
      <c r="B12" s="18" t="s">
        <v>34</v>
      </c>
      <c r="C12" s="18" t="s">
        <v>1067</v>
      </c>
      <c r="D12" s="18" t="s">
        <v>1068</v>
      </c>
      <c r="E12" s="18" t="s">
        <v>1069</v>
      </c>
      <c r="F12" s="19">
        <v>7</v>
      </c>
      <c r="G12" s="19">
        <v>1390</v>
      </c>
      <c r="H12" s="19">
        <v>30</v>
      </c>
      <c r="I12" s="19">
        <f t="shared" si="1"/>
        <v>1360</v>
      </c>
      <c r="J12" s="18" t="s">
        <v>1045</v>
      </c>
      <c r="K12" s="18" t="s">
        <v>15</v>
      </c>
      <c r="L12" s="18" t="s">
        <v>1043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1070</v>
      </c>
      <c r="D13" s="18" t="s">
        <v>1071</v>
      </c>
      <c r="E13" s="18" t="s">
        <v>1072</v>
      </c>
      <c r="F13" s="19">
        <v>12</v>
      </c>
      <c r="G13" s="19">
        <v>890</v>
      </c>
      <c r="H13" s="19">
        <v>30</v>
      </c>
      <c r="I13" s="19">
        <f t="shared" si="1"/>
        <v>860</v>
      </c>
      <c r="J13" s="18" t="s">
        <v>1045</v>
      </c>
      <c r="K13" s="18" t="s">
        <v>15</v>
      </c>
      <c r="L13" s="18" t="s">
        <v>1043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1073</v>
      </c>
      <c r="D14" s="18" t="s">
        <v>1074</v>
      </c>
      <c r="E14" s="18" t="s">
        <v>1075</v>
      </c>
      <c r="F14" s="18" t="s">
        <v>38</v>
      </c>
      <c r="G14" s="19">
        <v>1450</v>
      </c>
      <c r="H14" s="19">
        <v>30</v>
      </c>
      <c r="I14" s="19">
        <f t="shared" si="1"/>
        <v>1420</v>
      </c>
      <c r="J14" s="18" t="s">
        <v>1045</v>
      </c>
      <c r="K14" s="18" t="s">
        <v>15</v>
      </c>
      <c r="L14" s="18" t="s">
        <v>1043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1076</v>
      </c>
      <c r="D15" s="18" t="s">
        <v>1077</v>
      </c>
      <c r="E15" s="18" t="s">
        <v>1078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1045</v>
      </c>
      <c r="K15" s="18" t="s">
        <v>15</v>
      </c>
      <c r="L15" s="18" t="s">
        <v>1043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1079</v>
      </c>
      <c r="D16" s="18" t="s">
        <v>1080</v>
      </c>
      <c r="E16" s="18" t="s">
        <v>1081</v>
      </c>
      <c r="F16" s="19">
        <v>7</v>
      </c>
      <c r="G16" s="19">
        <v>1120</v>
      </c>
      <c r="H16" s="19">
        <v>30</v>
      </c>
      <c r="I16" s="19">
        <f t="shared" ref="I16:I26" si="2">G16-H16</f>
        <v>1090</v>
      </c>
      <c r="J16" s="18" t="s">
        <v>1045</v>
      </c>
      <c r="K16" s="18" t="s">
        <v>15</v>
      </c>
      <c r="L16" s="18" t="s">
        <v>1043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1082</v>
      </c>
      <c r="D17" s="18" t="s">
        <v>1083</v>
      </c>
      <c r="E17" s="18" t="s">
        <v>1084</v>
      </c>
      <c r="F17" s="18" t="s">
        <v>123</v>
      </c>
      <c r="G17" s="19">
        <v>925</v>
      </c>
      <c r="H17" s="19">
        <v>35</v>
      </c>
      <c r="I17" s="19">
        <f t="shared" si="2"/>
        <v>890</v>
      </c>
      <c r="J17" s="18" t="s">
        <v>1045</v>
      </c>
      <c r="K17" s="18" t="s">
        <v>15</v>
      </c>
      <c r="L17" s="18" t="s">
        <v>1043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242</v>
      </c>
      <c r="D18" s="18" t="s">
        <v>1085</v>
      </c>
      <c r="E18" s="18" t="s">
        <v>926</v>
      </c>
      <c r="F18" s="18" t="s">
        <v>38</v>
      </c>
      <c r="G18" s="19">
        <v>3250</v>
      </c>
      <c r="H18" s="19">
        <v>35</v>
      </c>
      <c r="I18" s="19">
        <f t="shared" si="2"/>
        <v>3215</v>
      </c>
      <c r="J18" s="18" t="s">
        <v>1045</v>
      </c>
      <c r="K18" s="18" t="s">
        <v>15</v>
      </c>
      <c r="L18" s="18" t="s">
        <v>1043</v>
      </c>
      <c r="M18" s="26" t="s">
        <v>377</v>
      </c>
      <c r="N18" s="18"/>
      <c r="O18" s="18"/>
      <c r="P18" s="18"/>
      <c r="Q18" s="18">
        <v>1</v>
      </c>
      <c r="R18" s="17">
        <f>H18</f>
        <v>35</v>
      </c>
    </row>
    <row r="19" spans="1:18" customFormat="1" x14ac:dyDescent="0.25">
      <c r="A19" s="18"/>
      <c r="B19" s="18" t="s">
        <v>34</v>
      </c>
      <c r="C19" s="18" t="s">
        <v>1086</v>
      </c>
      <c r="D19" s="18" t="s">
        <v>1087</v>
      </c>
      <c r="E19" s="18" t="s">
        <v>1088</v>
      </c>
      <c r="F19" s="19">
        <v>7</v>
      </c>
      <c r="G19" s="19">
        <v>380</v>
      </c>
      <c r="H19" s="19">
        <v>30</v>
      </c>
      <c r="I19" s="19">
        <f t="shared" si="2"/>
        <v>350</v>
      </c>
      <c r="J19" s="18" t="s">
        <v>1045</v>
      </c>
      <c r="K19" s="18" t="s">
        <v>15</v>
      </c>
      <c r="L19" s="18" t="s">
        <v>1043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1089</v>
      </c>
      <c r="D20" s="18" t="s">
        <v>1090</v>
      </c>
      <c r="E20" s="18" t="s">
        <v>1091</v>
      </c>
      <c r="F20" s="19">
        <v>6</v>
      </c>
      <c r="G20" s="19">
        <v>815</v>
      </c>
      <c r="H20" s="19">
        <v>25</v>
      </c>
      <c r="I20" s="19">
        <f t="shared" si="2"/>
        <v>790</v>
      </c>
      <c r="J20" s="18" t="s">
        <v>1045</v>
      </c>
      <c r="K20" s="18" t="s">
        <v>15</v>
      </c>
      <c r="L20" s="18" t="s">
        <v>1043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944</v>
      </c>
      <c r="D21" s="18"/>
      <c r="E21" s="18" t="s">
        <v>1092</v>
      </c>
      <c r="F21" s="19">
        <v>2</v>
      </c>
      <c r="G21" s="19">
        <v>35</v>
      </c>
      <c r="H21" s="19">
        <v>35</v>
      </c>
      <c r="I21" s="19">
        <f t="shared" si="2"/>
        <v>0</v>
      </c>
      <c r="J21" s="18" t="s">
        <v>15</v>
      </c>
      <c r="K21" s="18" t="s">
        <v>15</v>
      </c>
      <c r="L21" s="18" t="s">
        <v>1043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 t="shared" si="2"/>
        <v>0</v>
      </c>
      <c r="J22" s="18" t="s">
        <v>15</v>
      </c>
      <c r="K22" s="18" t="s">
        <v>15</v>
      </c>
      <c r="L22" s="18" t="s">
        <v>1043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1093</v>
      </c>
      <c r="D23" s="18" t="s">
        <v>1094</v>
      </c>
      <c r="E23" s="18" t="s">
        <v>1095</v>
      </c>
      <c r="F23" s="18" t="s">
        <v>19</v>
      </c>
      <c r="G23" s="19">
        <v>510</v>
      </c>
      <c r="H23" s="19">
        <v>20</v>
      </c>
      <c r="I23" s="19">
        <f t="shared" si="2"/>
        <v>490</v>
      </c>
      <c r="J23" s="18" t="s">
        <v>15</v>
      </c>
      <c r="K23" s="18" t="s">
        <v>15</v>
      </c>
      <c r="L23" s="18" t="s">
        <v>1043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1096</v>
      </c>
      <c r="D24" s="18" t="s">
        <v>1097</v>
      </c>
      <c r="E24" s="18" t="s">
        <v>1098</v>
      </c>
      <c r="F24" s="19">
        <v>2</v>
      </c>
      <c r="G24" s="19">
        <v>520</v>
      </c>
      <c r="H24" s="19">
        <v>30</v>
      </c>
      <c r="I24" s="19">
        <f t="shared" si="2"/>
        <v>490</v>
      </c>
      <c r="J24" s="18" t="s">
        <v>15</v>
      </c>
      <c r="K24" s="18" t="s">
        <v>15</v>
      </c>
      <c r="L24" s="18" t="s">
        <v>1043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1099</v>
      </c>
      <c r="D25" s="18" t="s">
        <v>1100</v>
      </c>
      <c r="E25" s="18" t="s">
        <v>1101</v>
      </c>
      <c r="F25" s="18" t="s">
        <v>19</v>
      </c>
      <c r="G25" s="19">
        <v>510</v>
      </c>
      <c r="H25" s="19">
        <v>20</v>
      </c>
      <c r="I25" s="19">
        <f t="shared" si="2"/>
        <v>490</v>
      </c>
      <c r="J25" s="18" t="s">
        <v>15</v>
      </c>
      <c r="K25" s="18" t="s">
        <v>15</v>
      </c>
      <c r="L25" s="18" t="s">
        <v>1043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1102</v>
      </c>
      <c r="D26" s="18" t="s">
        <v>1103</v>
      </c>
      <c r="E26" s="18" t="s">
        <v>1104</v>
      </c>
      <c r="F26" s="18" t="s">
        <v>144</v>
      </c>
      <c r="G26" s="19">
        <v>470</v>
      </c>
      <c r="H26" s="19">
        <v>30</v>
      </c>
      <c r="I26" s="19">
        <f t="shared" si="2"/>
        <v>440</v>
      </c>
      <c r="J26" s="18" t="s">
        <v>15</v>
      </c>
      <c r="K26" s="18" t="s">
        <v>15</v>
      </c>
      <c r="L26" s="18" t="s">
        <v>1043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1105</v>
      </c>
      <c r="D27" s="18" t="s">
        <v>1106</v>
      </c>
      <c r="E27" s="18" t="s">
        <v>1107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1043</v>
      </c>
      <c r="M27" s="18"/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1108</v>
      </c>
      <c r="D28" s="18" t="s">
        <v>1109</v>
      </c>
      <c r="E28" s="18" t="s">
        <v>1110</v>
      </c>
      <c r="F28" s="19">
        <v>2</v>
      </c>
      <c r="G28" s="19">
        <v>790</v>
      </c>
      <c r="H28" s="19">
        <v>30</v>
      </c>
      <c r="I28" s="19">
        <f t="shared" ref="I28:I33" si="3">G28-H28</f>
        <v>760</v>
      </c>
      <c r="J28" s="18" t="s">
        <v>15</v>
      </c>
      <c r="K28" s="18" t="s">
        <v>15</v>
      </c>
      <c r="L28" s="18" t="s">
        <v>1043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1111</v>
      </c>
      <c r="D29" s="18" t="s">
        <v>1112</v>
      </c>
      <c r="E29" s="18" t="s">
        <v>1113</v>
      </c>
      <c r="F29" s="18" t="s">
        <v>19</v>
      </c>
      <c r="G29" s="19">
        <v>910</v>
      </c>
      <c r="H29" s="19">
        <v>20</v>
      </c>
      <c r="I29" s="19">
        <f t="shared" si="3"/>
        <v>890</v>
      </c>
      <c r="J29" s="18" t="s">
        <v>15</v>
      </c>
      <c r="K29" s="18" t="s">
        <v>15</v>
      </c>
      <c r="L29" s="18" t="s">
        <v>1043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1114</v>
      </c>
      <c r="D30" s="18" t="s">
        <v>1115</v>
      </c>
      <c r="E30" s="18" t="s">
        <v>1116</v>
      </c>
      <c r="F30" s="19">
        <v>3</v>
      </c>
      <c r="G30" s="19">
        <v>535</v>
      </c>
      <c r="H30" s="19">
        <v>25</v>
      </c>
      <c r="I30" s="19">
        <f t="shared" si="3"/>
        <v>510</v>
      </c>
      <c r="J30" s="18" t="s">
        <v>160</v>
      </c>
      <c r="K30" s="18" t="s">
        <v>15</v>
      </c>
      <c r="L30" s="18" t="s">
        <v>1043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1117</v>
      </c>
      <c r="D31" s="18" t="s">
        <v>1118</v>
      </c>
      <c r="E31" s="18" t="s">
        <v>1119</v>
      </c>
      <c r="F31" s="19">
        <v>3</v>
      </c>
      <c r="G31" s="19">
        <v>1005</v>
      </c>
      <c r="H31" s="19">
        <v>25</v>
      </c>
      <c r="I31" s="19">
        <f t="shared" si="3"/>
        <v>980</v>
      </c>
      <c r="J31" s="18" t="s">
        <v>160</v>
      </c>
      <c r="K31" s="18" t="s">
        <v>15</v>
      </c>
      <c r="L31" s="18" t="s">
        <v>1043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1120</v>
      </c>
      <c r="D32" s="18" t="s">
        <v>1121</v>
      </c>
      <c r="E32" s="18" t="s">
        <v>1122</v>
      </c>
      <c r="F32" s="19">
        <v>1</v>
      </c>
      <c r="G32" s="19">
        <v>375</v>
      </c>
      <c r="H32" s="19">
        <v>25</v>
      </c>
      <c r="I32" s="19">
        <f t="shared" si="3"/>
        <v>350</v>
      </c>
      <c r="J32" s="18" t="s">
        <v>160</v>
      </c>
      <c r="K32" s="18" t="s">
        <v>15</v>
      </c>
      <c r="L32" s="18" t="s">
        <v>1043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1123</v>
      </c>
      <c r="D33" s="18" t="s">
        <v>1124</v>
      </c>
      <c r="E33" s="18" t="s">
        <v>1125</v>
      </c>
      <c r="F33" s="19">
        <v>4</v>
      </c>
      <c r="G33" s="19">
        <v>845</v>
      </c>
      <c r="H33" s="19">
        <v>25</v>
      </c>
      <c r="I33" s="19">
        <f t="shared" si="3"/>
        <v>820</v>
      </c>
      <c r="J33" s="18" t="s">
        <v>160</v>
      </c>
      <c r="K33" s="18" t="s">
        <v>15</v>
      </c>
      <c r="L33" s="18" t="s">
        <v>1043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1126</v>
      </c>
      <c r="D34" s="18" t="s">
        <v>1127</v>
      </c>
      <c r="E34" s="18" t="s">
        <v>1128</v>
      </c>
      <c r="F34" s="18" t="s">
        <v>18</v>
      </c>
      <c r="G34" s="19">
        <v>0</v>
      </c>
      <c r="H34" s="19">
        <v>25</v>
      </c>
      <c r="I34" s="19">
        <f>-H34</f>
        <v>-25</v>
      </c>
      <c r="J34" s="18" t="s">
        <v>160</v>
      </c>
      <c r="K34" s="18" t="s">
        <v>15</v>
      </c>
      <c r="L34" s="18" t="s">
        <v>1043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1129</v>
      </c>
      <c r="D35" s="18" t="s">
        <v>1130</v>
      </c>
      <c r="E35" s="18" t="s">
        <v>1131</v>
      </c>
      <c r="F35" s="18" t="s">
        <v>17</v>
      </c>
      <c r="G35" s="19">
        <v>560</v>
      </c>
      <c r="H35" s="19">
        <v>20</v>
      </c>
      <c r="I35" s="19">
        <f t="shared" ref="I35:I40" si="4">G35-H35</f>
        <v>540</v>
      </c>
      <c r="J35" s="18" t="s">
        <v>160</v>
      </c>
      <c r="K35" s="18" t="s">
        <v>15</v>
      </c>
      <c r="L35" s="18" t="s">
        <v>1043</v>
      </c>
      <c r="M35" s="18"/>
      <c r="N35" s="18"/>
      <c r="O35" s="18"/>
      <c r="P35" s="18"/>
      <c r="Q35" s="18">
        <v>1</v>
      </c>
    </row>
    <row r="36" spans="1:18" s="22" customFormat="1" x14ac:dyDescent="0.25">
      <c r="A36" s="20"/>
      <c r="B36" s="20" t="s">
        <v>34</v>
      </c>
      <c r="C36" s="20" t="s">
        <v>1132</v>
      </c>
      <c r="D36" s="20" t="s">
        <v>1133</v>
      </c>
      <c r="E36" s="20" t="s">
        <v>1134</v>
      </c>
      <c r="F36" s="21">
        <v>10</v>
      </c>
      <c r="G36" s="21">
        <v>445</v>
      </c>
      <c r="H36" s="21">
        <v>25</v>
      </c>
      <c r="I36" s="21">
        <f t="shared" si="4"/>
        <v>420</v>
      </c>
      <c r="J36" s="20" t="s">
        <v>160</v>
      </c>
      <c r="K36" s="20" t="s">
        <v>15</v>
      </c>
      <c r="L36" s="20" t="s">
        <v>1043</v>
      </c>
      <c r="M36" s="20" t="s">
        <v>16</v>
      </c>
      <c r="N36" s="20"/>
      <c r="O36" s="20"/>
      <c r="P36" s="20"/>
      <c r="Q36" s="20">
        <v>1</v>
      </c>
    </row>
    <row r="37" spans="1:18" customFormat="1" x14ac:dyDescent="0.25">
      <c r="A37" s="18"/>
      <c r="B37" s="18" t="s">
        <v>34</v>
      </c>
      <c r="C37" s="18" t="s">
        <v>1135</v>
      </c>
      <c r="D37" s="18" t="s">
        <v>1136</v>
      </c>
      <c r="E37" s="18" t="s">
        <v>1137</v>
      </c>
      <c r="F37" s="19">
        <v>5</v>
      </c>
      <c r="G37" s="19">
        <v>515</v>
      </c>
      <c r="H37" s="19">
        <v>25</v>
      </c>
      <c r="I37" s="19">
        <f t="shared" si="4"/>
        <v>490</v>
      </c>
      <c r="J37" s="18" t="s">
        <v>160</v>
      </c>
      <c r="K37" s="18" t="s">
        <v>15</v>
      </c>
      <c r="L37" s="18" t="s">
        <v>1043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1138</v>
      </c>
      <c r="D38" s="18" t="s">
        <v>1139</v>
      </c>
      <c r="E38" s="18" t="s">
        <v>1140</v>
      </c>
      <c r="F38" s="18" t="s">
        <v>17</v>
      </c>
      <c r="G38" s="19">
        <v>1350</v>
      </c>
      <c r="H38" s="19">
        <v>20</v>
      </c>
      <c r="I38" s="19">
        <f t="shared" si="4"/>
        <v>1330</v>
      </c>
      <c r="J38" s="18" t="s">
        <v>160</v>
      </c>
      <c r="K38" s="18" t="s">
        <v>15</v>
      </c>
      <c r="L38" s="18" t="s">
        <v>1043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1141</v>
      </c>
      <c r="D39" s="18" t="s">
        <v>1142</v>
      </c>
      <c r="E39" s="18" t="s">
        <v>1143</v>
      </c>
      <c r="F39" s="19">
        <v>4</v>
      </c>
      <c r="G39" s="19">
        <v>785</v>
      </c>
      <c r="H39" s="19">
        <v>25</v>
      </c>
      <c r="I39" s="19">
        <f t="shared" si="4"/>
        <v>760</v>
      </c>
      <c r="J39" s="18" t="s">
        <v>160</v>
      </c>
      <c r="K39" s="18" t="s">
        <v>15</v>
      </c>
      <c r="L39" s="18" t="s">
        <v>1043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1144</v>
      </c>
      <c r="D40" s="18" t="s">
        <v>1145</v>
      </c>
      <c r="E40" s="18" t="s">
        <v>1146</v>
      </c>
      <c r="F40" s="19">
        <v>1</v>
      </c>
      <c r="G40" s="19">
        <v>515</v>
      </c>
      <c r="H40" s="19">
        <v>25</v>
      </c>
      <c r="I40" s="19">
        <f t="shared" si="4"/>
        <v>490</v>
      </c>
      <c r="J40" s="18" t="s">
        <v>160</v>
      </c>
      <c r="K40" s="18" t="s">
        <v>15</v>
      </c>
      <c r="L40" s="18" t="s">
        <v>1043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1147</v>
      </c>
      <c r="D41" s="18" t="s">
        <v>1148</v>
      </c>
      <c r="E41" s="18" t="s">
        <v>1149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1043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/>
      <c r="B42" s="18" t="s">
        <v>34</v>
      </c>
      <c r="C42" s="18" t="s">
        <v>993</v>
      </c>
      <c r="D42" s="18" t="s">
        <v>1150</v>
      </c>
      <c r="E42" s="18" t="s">
        <v>1151</v>
      </c>
      <c r="F42" s="18" t="s">
        <v>17</v>
      </c>
      <c r="G42" s="19">
        <v>1110</v>
      </c>
      <c r="H42" s="19">
        <v>20</v>
      </c>
      <c r="I42" s="19">
        <f>G42-H42</f>
        <v>1090</v>
      </c>
      <c r="J42" s="18" t="s">
        <v>160</v>
      </c>
      <c r="K42" s="18" t="s">
        <v>15</v>
      </c>
      <c r="L42" s="18" t="s">
        <v>1043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1152</v>
      </c>
      <c r="D43" s="18" t="s">
        <v>1153</v>
      </c>
      <c r="E43" s="18" t="s">
        <v>1154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160</v>
      </c>
      <c r="K43" s="18" t="s">
        <v>15</v>
      </c>
      <c r="L43" s="18" t="s">
        <v>1043</v>
      </c>
      <c r="M43" s="18"/>
      <c r="N43" s="18"/>
      <c r="O43" s="18"/>
      <c r="P43" s="18"/>
      <c r="Q43" s="18">
        <v>1</v>
      </c>
    </row>
    <row r="45" spans="1:18" x14ac:dyDescent="0.25">
      <c r="G45" s="1">
        <f t="shared" ref="G45:R45" si="5">SUBTOTAL(9,G3:G44)</f>
        <v>29910</v>
      </c>
      <c r="H45" s="1">
        <f t="shared" si="5"/>
        <v>1110</v>
      </c>
      <c r="I45" s="1">
        <f t="shared" si="5"/>
        <v>28800</v>
      </c>
      <c r="J45" s="1">
        <f t="shared" si="5"/>
        <v>0</v>
      </c>
      <c r="K45" s="1">
        <f t="shared" si="5"/>
        <v>0</v>
      </c>
      <c r="L45" s="1">
        <f t="shared" si="5"/>
        <v>0</v>
      </c>
      <c r="M45" s="1">
        <f t="shared" si="5"/>
        <v>0</v>
      </c>
      <c r="N45" s="1">
        <f t="shared" si="5"/>
        <v>0</v>
      </c>
      <c r="O45" s="1">
        <f t="shared" si="5"/>
        <v>0</v>
      </c>
      <c r="P45" s="1">
        <f t="shared" si="5"/>
        <v>0</v>
      </c>
      <c r="Q45" s="1">
        <f t="shared" si="5"/>
        <v>41</v>
      </c>
      <c r="R45" s="1">
        <f t="shared" si="5"/>
        <v>280</v>
      </c>
    </row>
    <row r="49" spans="8:10" ht="20.25" customHeight="1" x14ac:dyDescent="0.3">
      <c r="H49" s="4" t="s">
        <v>1038</v>
      </c>
      <c r="I49" s="5" t="s">
        <v>21</v>
      </c>
      <c r="J49" s="6" t="s">
        <v>22</v>
      </c>
    </row>
    <row r="50" spans="8:10" ht="15.75" customHeight="1" x14ac:dyDescent="0.25">
      <c r="H50" s="7" t="s">
        <v>23</v>
      </c>
      <c r="I50" s="8">
        <f>SUM(I44:I48)</f>
        <v>28800</v>
      </c>
      <c r="J50" s="8">
        <f>Q45</f>
        <v>41</v>
      </c>
    </row>
    <row r="51" spans="8:10" x14ac:dyDescent="0.25">
      <c r="H51" s="9" t="s">
        <v>24</v>
      </c>
      <c r="I51" s="10">
        <f>R45</f>
        <v>280</v>
      </c>
      <c r="J51" s="11"/>
    </row>
    <row r="52" spans="8:10" x14ac:dyDescent="0.25">
      <c r="H52" s="9" t="s">
        <v>25</v>
      </c>
      <c r="I52" s="10">
        <f>S44</f>
        <v>0</v>
      </c>
      <c r="J52" s="11"/>
    </row>
    <row r="53" spans="8:10" x14ac:dyDescent="0.25">
      <c r="H53" s="9" t="s">
        <v>26</v>
      </c>
      <c r="I53" s="10">
        <f>T44</f>
        <v>0</v>
      </c>
      <c r="J53" s="11"/>
    </row>
    <row r="54" spans="8:10" x14ac:dyDescent="0.25">
      <c r="H54" s="9" t="s">
        <v>27</v>
      </c>
      <c r="I54" s="10">
        <f>U44</f>
        <v>0</v>
      </c>
      <c r="J54" s="11"/>
    </row>
    <row r="55" spans="8:10" ht="15.75" customHeight="1" x14ac:dyDescent="0.25">
      <c r="H55" s="12" t="s">
        <v>28</v>
      </c>
      <c r="I55" s="13"/>
      <c r="J55" s="13"/>
    </row>
    <row r="56" spans="8:10" ht="15.75" customHeight="1" x14ac:dyDescent="0.25">
      <c r="H56" s="14" t="s">
        <v>29</v>
      </c>
      <c r="I56" s="13"/>
      <c r="J56" s="13"/>
    </row>
    <row r="57" spans="8:10" ht="21" customHeight="1" x14ac:dyDescent="0.35">
      <c r="H57" s="15" t="s">
        <v>30</v>
      </c>
      <c r="I57" s="16">
        <f>SUM(I50:I56)</f>
        <v>29080</v>
      </c>
      <c r="J57" s="16">
        <f>SUM(J50:J54)</f>
        <v>41</v>
      </c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7337-0001-4BC5-B3FD-5D2E0203B2F2}">
  <dimension ref="A1:R79"/>
  <sheetViews>
    <sheetView topLeftCell="A59" zoomScaleNormal="100" workbookViewId="0">
      <selection activeCell="S45" sqref="S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1156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1157</v>
      </c>
      <c r="D3" s="18" t="s">
        <v>1158</v>
      </c>
      <c r="E3" s="18" t="s">
        <v>1159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1160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1161</v>
      </c>
      <c r="D4" s="18" t="s">
        <v>1162</v>
      </c>
      <c r="E4" s="18" t="s">
        <v>1163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56</v>
      </c>
      <c r="K4" s="18" t="s">
        <v>15</v>
      </c>
      <c r="L4" s="18" t="s">
        <v>1160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1164</v>
      </c>
      <c r="D5" s="18" t="s">
        <v>1165</v>
      </c>
      <c r="E5" s="18" t="s">
        <v>1166</v>
      </c>
      <c r="F5" s="18" t="s">
        <v>123</v>
      </c>
      <c r="G5" s="19">
        <v>825</v>
      </c>
      <c r="H5" s="19">
        <v>35</v>
      </c>
      <c r="I5" s="19">
        <f>G5-H5</f>
        <v>790</v>
      </c>
      <c r="J5" s="18" t="s">
        <v>1167</v>
      </c>
      <c r="K5" s="18" t="s">
        <v>15</v>
      </c>
      <c r="L5" s="18" t="s">
        <v>1160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1168</v>
      </c>
      <c r="D6" s="18" t="s">
        <v>1169</v>
      </c>
      <c r="E6" s="18" t="s">
        <v>1170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1167</v>
      </c>
      <c r="K6" s="18" t="s">
        <v>15</v>
      </c>
      <c r="L6" s="18" t="s">
        <v>1160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1171</v>
      </c>
      <c r="D7" s="18" t="s">
        <v>1172</v>
      </c>
      <c r="E7" s="18" t="s">
        <v>1173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1167</v>
      </c>
      <c r="K7" s="18" t="s">
        <v>15</v>
      </c>
      <c r="L7" s="18" t="s">
        <v>1160</v>
      </c>
      <c r="M7" s="18"/>
      <c r="N7" s="18"/>
      <c r="O7" s="18"/>
      <c r="P7" s="18"/>
      <c r="Q7" s="18">
        <v>1</v>
      </c>
      <c r="R7" s="17">
        <f>H7</f>
        <v>30</v>
      </c>
    </row>
    <row r="8" spans="1:18" customFormat="1" x14ac:dyDescent="0.25">
      <c r="A8" s="18"/>
      <c r="B8" s="18" t="s">
        <v>34</v>
      </c>
      <c r="C8" s="18" t="s">
        <v>1174</v>
      </c>
      <c r="D8" s="18" t="s">
        <v>1175</v>
      </c>
      <c r="E8" s="18" t="s">
        <v>1176</v>
      </c>
      <c r="F8" s="18" t="s">
        <v>212</v>
      </c>
      <c r="G8" s="19">
        <v>795</v>
      </c>
      <c r="H8" s="19">
        <v>25</v>
      </c>
      <c r="I8" s="19">
        <f t="shared" ref="I8:I13" si="0">G8-H8</f>
        <v>770</v>
      </c>
      <c r="J8" s="18" t="s">
        <v>1167</v>
      </c>
      <c r="K8" s="18" t="s">
        <v>15</v>
      </c>
      <c r="L8" s="18" t="s">
        <v>1160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1177</v>
      </c>
      <c r="D9" s="18" t="s">
        <v>1178</v>
      </c>
      <c r="E9" s="18" t="s">
        <v>1179</v>
      </c>
      <c r="F9" s="18" t="s">
        <v>38</v>
      </c>
      <c r="G9" s="19">
        <v>830</v>
      </c>
      <c r="H9" s="19">
        <v>30</v>
      </c>
      <c r="I9" s="19">
        <f t="shared" si="0"/>
        <v>800</v>
      </c>
      <c r="J9" s="18" t="s">
        <v>1167</v>
      </c>
      <c r="K9" s="18" t="s">
        <v>15</v>
      </c>
      <c r="L9" s="18" t="s">
        <v>1160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1180</v>
      </c>
      <c r="D10" s="18" t="s">
        <v>1181</v>
      </c>
      <c r="E10" s="18" t="s">
        <v>1182</v>
      </c>
      <c r="F10" s="18" t="s">
        <v>123</v>
      </c>
      <c r="G10" s="19">
        <v>875</v>
      </c>
      <c r="H10" s="19">
        <v>35</v>
      </c>
      <c r="I10" s="19">
        <f t="shared" si="0"/>
        <v>840</v>
      </c>
      <c r="J10" s="18" t="s">
        <v>1167</v>
      </c>
      <c r="K10" s="18" t="s">
        <v>15</v>
      </c>
      <c r="L10" s="18" t="s">
        <v>1160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1183</v>
      </c>
      <c r="D11" s="18" t="s">
        <v>1184</v>
      </c>
      <c r="E11" s="18" t="s">
        <v>1185</v>
      </c>
      <c r="F11" s="18" t="s">
        <v>212</v>
      </c>
      <c r="G11" s="19">
        <v>715</v>
      </c>
      <c r="H11" s="19">
        <v>25</v>
      </c>
      <c r="I11" s="19">
        <f t="shared" si="0"/>
        <v>690</v>
      </c>
      <c r="J11" s="18" t="s">
        <v>1167</v>
      </c>
      <c r="K11" s="18" t="s">
        <v>15</v>
      </c>
      <c r="L11" s="18" t="s">
        <v>1160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1186</v>
      </c>
      <c r="D12" s="18" t="s">
        <v>1187</v>
      </c>
      <c r="E12" s="18" t="s">
        <v>1188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1167</v>
      </c>
      <c r="K12" s="18" t="s">
        <v>15</v>
      </c>
      <c r="L12" s="18" t="s">
        <v>1160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1189</v>
      </c>
      <c r="D13" s="18" t="s">
        <v>1190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1167</v>
      </c>
      <c r="K13" s="18" t="s">
        <v>15</v>
      </c>
      <c r="L13" s="18" t="s">
        <v>1160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1191</v>
      </c>
      <c r="D14" s="18" t="s">
        <v>1192</v>
      </c>
      <c r="E14" s="18" t="s">
        <v>1193</v>
      </c>
      <c r="F14" s="18" t="s">
        <v>18</v>
      </c>
      <c r="G14" s="19">
        <v>0</v>
      </c>
      <c r="H14" s="19">
        <v>25</v>
      </c>
      <c r="I14" s="19">
        <f>-H14</f>
        <v>-25</v>
      </c>
      <c r="J14" s="18" t="s">
        <v>1167</v>
      </c>
      <c r="K14" s="18" t="s">
        <v>15</v>
      </c>
      <c r="L14" s="18" t="s">
        <v>1160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216</v>
      </c>
      <c r="D15" s="18" t="s">
        <v>1194</v>
      </c>
      <c r="E15" s="18" t="s">
        <v>218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1167</v>
      </c>
      <c r="K15" s="18" t="s">
        <v>15</v>
      </c>
      <c r="L15" s="18" t="s">
        <v>1160</v>
      </c>
      <c r="M15" s="26" t="s">
        <v>377</v>
      </c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1195</v>
      </c>
      <c r="D16" s="18" t="s">
        <v>1196</v>
      </c>
      <c r="E16" s="18" t="s">
        <v>1197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1167</v>
      </c>
      <c r="K16" s="18" t="s">
        <v>15</v>
      </c>
      <c r="L16" s="18" t="s">
        <v>1160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1198</v>
      </c>
      <c r="D17" s="18" t="s">
        <v>1199</v>
      </c>
      <c r="E17" s="18" t="s">
        <v>1200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1167</v>
      </c>
      <c r="K17" s="18" t="s">
        <v>15</v>
      </c>
      <c r="L17" s="18" t="s">
        <v>1160</v>
      </c>
      <c r="M17" s="18"/>
      <c r="N17" s="18"/>
      <c r="O17" s="18"/>
      <c r="P17" s="18"/>
      <c r="Q17" s="18">
        <v>1</v>
      </c>
    </row>
    <row r="18" spans="1:18" s="22" customFormat="1" x14ac:dyDescent="0.25">
      <c r="A18" s="20"/>
      <c r="B18" s="20" t="s">
        <v>34</v>
      </c>
      <c r="C18" s="20" t="s">
        <v>1067</v>
      </c>
      <c r="D18" s="20" t="s">
        <v>1201</v>
      </c>
      <c r="E18" s="20" t="s">
        <v>1202</v>
      </c>
      <c r="F18" s="21">
        <v>7</v>
      </c>
      <c r="G18" s="21">
        <v>0</v>
      </c>
      <c r="H18" s="21">
        <v>30</v>
      </c>
      <c r="I18" s="21">
        <f>-H18</f>
        <v>-30</v>
      </c>
      <c r="J18" s="20" t="s">
        <v>1167</v>
      </c>
      <c r="K18" s="20" t="s">
        <v>15</v>
      </c>
      <c r="L18" s="20" t="s">
        <v>1160</v>
      </c>
      <c r="M18" s="20" t="s">
        <v>16</v>
      </c>
      <c r="N18" s="20"/>
      <c r="O18" s="20"/>
      <c r="P18" s="20"/>
      <c r="Q18" s="20">
        <v>1</v>
      </c>
      <c r="R18" s="29">
        <f>H18</f>
        <v>30</v>
      </c>
    </row>
    <row r="19" spans="1:18" customFormat="1" x14ac:dyDescent="0.25">
      <c r="A19" s="18"/>
      <c r="B19" s="18" t="s">
        <v>34</v>
      </c>
      <c r="C19" s="18" t="s">
        <v>1203</v>
      </c>
      <c r="D19" s="18" t="s">
        <v>1204</v>
      </c>
      <c r="E19" s="18" t="s">
        <v>1205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1167</v>
      </c>
      <c r="K19" s="18" t="s">
        <v>15</v>
      </c>
      <c r="L19" s="18" t="s">
        <v>1160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1206</v>
      </c>
      <c r="D20" s="18" t="s">
        <v>1207</v>
      </c>
      <c r="E20" s="18" t="s">
        <v>1208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1167</v>
      </c>
      <c r="K20" s="18" t="s">
        <v>15</v>
      </c>
      <c r="L20" s="18" t="s">
        <v>1160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1209</v>
      </c>
      <c r="D21" s="18" t="s">
        <v>1210</v>
      </c>
      <c r="E21" s="18" t="s">
        <v>1211</v>
      </c>
      <c r="F21" s="18" t="s">
        <v>38</v>
      </c>
      <c r="G21" s="19">
        <v>870</v>
      </c>
      <c r="H21" s="19">
        <v>30</v>
      </c>
      <c r="I21" s="19">
        <f>G21-H21</f>
        <v>840</v>
      </c>
      <c r="J21" s="18" t="s">
        <v>1167</v>
      </c>
      <c r="K21" s="18" t="s">
        <v>15</v>
      </c>
      <c r="L21" s="18" t="s">
        <v>1160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1212</v>
      </c>
      <c r="D22" s="18" t="s">
        <v>1213</v>
      </c>
      <c r="E22" s="18" t="s">
        <v>1214</v>
      </c>
      <c r="F22" s="18" t="s">
        <v>38</v>
      </c>
      <c r="G22" s="19">
        <v>0</v>
      </c>
      <c r="H22" s="19">
        <v>30</v>
      </c>
      <c r="I22" s="19">
        <f>-H22</f>
        <v>-30</v>
      </c>
      <c r="J22" s="18" t="s">
        <v>1167</v>
      </c>
      <c r="K22" s="18" t="s">
        <v>15</v>
      </c>
      <c r="L22" s="18" t="s">
        <v>1160</v>
      </c>
      <c r="M22" s="18"/>
      <c r="N22" s="18"/>
      <c r="O22" s="18"/>
      <c r="P22" s="18"/>
      <c r="Q22" s="18">
        <v>1</v>
      </c>
      <c r="R22" s="17">
        <f>H22</f>
        <v>30</v>
      </c>
    </row>
    <row r="23" spans="1:18" customFormat="1" x14ac:dyDescent="0.25">
      <c r="A23" s="18"/>
      <c r="B23" s="18" t="s">
        <v>34</v>
      </c>
      <c r="C23" s="18" t="s">
        <v>197</v>
      </c>
      <c r="D23" s="18" t="s">
        <v>1215</v>
      </c>
      <c r="E23" s="18" t="s">
        <v>1216</v>
      </c>
      <c r="F23" s="18" t="s">
        <v>18</v>
      </c>
      <c r="G23" s="19">
        <v>815</v>
      </c>
      <c r="H23" s="19">
        <v>25</v>
      </c>
      <c r="I23" s="19">
        <f>G23-H23</f>
        <v>790</v>
      </c>
      <c r="J23" s="18" t="s">
        <v>1167</v>
      </c>
      <c r="K23" s="18" t="s">
        <v>15</v>
      </c>
      <c r="L23" s="18" t="s">
        <v>1160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1217</v>
      </c>
      <c r="D24" s="18" t="s">
        <v>1218</v>
      </c>
      <c r="E24" s="18" t="s">
        <v>1219</v>
      </c>
      <c r="F24" s="18" t="s">
        <v>38</v>
      </c>
      <c r="G24" s="19">
        <v>0</v>
      </c>
      <c r="H24" s="19">
        <v>30</v>
      </c>
      <c r="I24" s="19">
        <f>-H24</f>
        <v>-30</v>
      </c>
      <c r="J24" s="18" t="s">
        <v>1167</v>
      </c>
      <c r="K24" s="18" t="s">
        <v>15</v>
      </c>
      <c r="L24" s="18" t="s">
        <v>1160</v>
      </c>
      <c r="M24" s="18"/>
      <c r="N24" s="18"/>
      <c r="O24" s="18"/>
      <c r="P24" s="18"/>
      <c r="Q24" s="18">
        <v>1</v>
      </c>
      <c r="R24" s="17">
        <f>H24</f>
        <v>30</v>
      </c>
    </row>
    <row r="25" spans="1:18" customFormat="1" x14ac:dyDescent="0.25">
      <c r="A25" s="18"/>
      <c r="B25" s="18" t="s">
        <v>34</v>
      </c>
      <c r="C25" s="18" t="s">
        <v>1220</v>
      </c>
      <c r="D25" s="18" t="s">
        <v>1221</v>
      </c>
      <c r="E25" s="18" t="s">
        <v>1222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1167</v>
      </c>
      <c r="K25" s="18" t="s">
        <v>15</v>
      </c>
      <c r="L25" s="18" t="s">
        <v>1160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1223</v>
      </c>
      <c r="D26" s="18" t="s">
        <v>1224</v>
      </c>
      <c r="E26" s="18" t="s">
        <v>1225</v>
      </c>
      <c r="F26" s="18" t="s">
        <v>38</v>
      </c>
      <c r="G26" s="19">
        <v>0</v>
      </c>
      <c r="H26" s="19">
        <v>30</v>
      </c>
      <c r="I26" s="19">
        <f>-H26</f>
        <v>-30</v>
      </c>
      <c r="J26" s="18" t="s">
        <v>1167</v>
      </c>
      <c r="K26" s="18" t="s">
        <v>15</v>
      </c>
      <c r="L26" s="18" t="s">
        <v>1160</v>
      </c>
      <c r="M26" s="18"/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1226</v>
      </c>
      <c r="D27" s="18" t="s">
        <v>1227</v>
      </c>
      <c r="E27" s="18" t="s">
        <v>1228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1167</v>
      </c>
      <c r="K27" s="18" t="s">
        <v>15</v>
      </c>
      <c r="L27" s="18" t="s">
        <v>1160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1229</v>
      </c>
      <c r="D28" s="18" t="s">
        <v>1230</v>
      </c>
      <c r="E28" s="18" t="s">
        <v>1231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1167</v>
      </c>
      <c r="K28" s="18" t="s">
        <v>15</v>
      </c>
      <c r="L28" s="18" t="s">
        <v>1160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1232</v>
      </c>
      <c r="D29" s="18" t="s">
        <v>1233</v>
      </c>
      <c r="E29" s="18" t="s">
        <v>1234</v>
      </c>
      <c r="F29" s="18" t="s">
        <v>18</v>
      </c>
      <c r="G29" s="19">
        <v>915</v>
      </c>
      <c r="H29" s="19">
        <v>25</v>
      </c>
      <c r="I29" s="19">
        <f>G29-H29</f>
        <v>890</v>
      </c>
      <c r="J29" s="18" t="s">
        <v>1167</v>
      </c>
      <c r="K29" s="18" t="s">
        <v>15</v>
      </c>
      <c r="L29" s="18" t="s">
        <v>1160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/>
      <c r="D30" s="18"/>
      <c r="E30" s="18" t="s">
        <v>1235</v>
      </c>
      <c r="F30" s="18" t="s">
        <v>38</v>
      </c>
      <c r="G30" s="19">
        <v>0</v>
      </c>
      <c r="H30" s="19">
        <v>35</v>
      </c>
      <c r="I30" s="19">
        <f>-H30</f>
        <v>-35</v>
      </c>
      <c r="J30" s="18" t="s">
        <v>1167</v>
      </c>
      <c r="K30" s="18" t="s">
        <v>15</v>
      </c>
      <c r="L30" s="18" t="s">
        <v>1160</v>
      </c>
      <c r="M30" s="18"/>
      <c r="N30" s="18"/>
      <c r="O30" s="18"/>
      <c r="P30" s="18"/>
      <c r="Q30" s="18">
        <v>1</v>
      </c>
      <c r="R30" s="17">
        <f>H30</f>
        <v>35</v>
      </c>
    </row>
    <row r="31" spans="1:18" customFormat="1" x14ac:dyDescent="0.25">
      <c r="A31" s="18"/>
      <c r="B31" s="18" t="s">
        <v>34</v>
      </c>
      <c r="C31" s="18" t="s">
        <v>1236</v>
      </c>
      <c r="D31" s="18" t="s">
        <v>1237</v>
      </c>
      <c r="E31" s="18" t="s">
        <v>1238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15</v>
      </c>
      <c r="K31" s="18" t="s">
        <v>15</v>
      </c>
      <c r="L31" s="18" t="s">
        <v>1160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148</v>
      </c>
      <c r="D32" s="18" t="s">
        <v>1239</v>
      </c>
      <c r="E32" s="18" t="s">
        <v>150</v>
      </c>
      <c r="F32" s="18" t="s">
        <v>19</v>
      </c>
      <c r="G32" s="19">
        <v>0</v>
      </c>
      <c r="H32" s="19">
        <v>20</v>
      </c>
      <c r="I32" s="19">
        <f>-H32</f>
        <v>-20</v>
      </c>
      <c r="J32" s="18" t="s">
        <v>15</v>
      </c>
      <c r="K32" s="18" t="s">
        <v>15</v>
      </c>
      <c r="L32" s="18" t="s">
        <v>1160</v>
      </c>
      <c r="M32" s="18"/>
      <c r="N32" s="18"/>
      <c r="O32" s="18"/>
      <c r="P32" s="18"/>
      <c r="Q32" s="18">
        <v>1</v>
      </c>
      <c r="R32" s="17">
        <f>H32</f>
        <v>20</v>
      </c>
    </row>
    <row r="33" spans="1:18" customFormat="1" x14ac:dyDescent="0.25">
      <c r="A33" s="18"/>
      <c r="B33" s="18" t="s">
        <v>34</v>
      </c>
      <c r="C33" s="18" t="s">
        <v>745</v>
      </c>
      <c r="D33" s="18" t="s">
        <v>1240</v>
      </c>
      <c r="E33" s="18" t="s">
        <v>1241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15</v>
      </c>
      <c r="K33" s="18" t="s">
        <v>15</v>
      </c>
      <c r="L33" s="18" t="s">
        <v>1160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1242</v>
      </c>
      <c r="D34" s="18" t="s">
        <v>1243</v>
      </c>
      <c r="E34" s="18" t="s">
        <v>1244</v>
      </c>
      <c r="F34" s="18" t="s">
        <v>144</v>
      </c>
      <c r="G34" s="19">
        <v>820</v>
      </c>
      <c r="H34" s="19">
        <v>30</v>
      </c>
      <c r="I34" s="19">
        <f>G34-H34</f>
        <v>790</v>
      </c>
      <c r="J34" s="18" t="s">
        <v>15</v>
      </c>
      <c r="K34" s="18" t="s">
        <v>15</v>
      </c>
      <c r="L34" s="18" t="s">
        <v>1160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1245</v>
      </c>
      <c r="D35" s="18" t="s">
        <v>1246</v>
      </c>
      <c r="E35" s="18" t="s">
        <v>1247</v>
      </c>
      <c r="F35" s="18" t="s">
        <v>20</v>
      </c>
      <c r="G35" s="19">
        <v>1455</v>
      </c>
      <c r="H35" s="19">
        <v>25</v>
      </c>
      <c r="I35" s="19">
        <f>G35-H35</f>
        <v>1430</v>
      </c>
      <c r="J35" s="18" t="s">
        <v>15</v>
      </c>
      <c r="K35" s="18" t="s">
        <v>15</v>
      </c>
      <c r="L35" s="18" t="s">
        <v>1160</v>
      </c>
      <c r="M35" s="18"/>
      <c r="N35" s="18"/>
      <c r="O35" s="18"/>
      <c r="P35" s="18"/>
      <c r="Q35" s="18">
        <v>1</v>
      </c>
    </row>
    <row r="36" spans="1:18" customFormat="1" x14ac:dyDescent="0.25">
      <c r="A36" s="18" t="s">
        <v>96</v>
      </c>
      <c r="B36" s="18" t="s">
        <v>34</v>
      </c>
      <c r="C36" s="18" t="s">
        <v>1248</v>
      </c>
      <c r="D36" s="18"/>
      <c r="E36" s="18" t="s">
        <v>1249</v>
      </c>
      <c r="F36" s="18" t="s">
        <v>19</v>
      </c>
      <c r="G36" s="19">
        <v>0</v>
      </c>
      <c r="H36" s="19">
        <v>25</v>
      </c>
      <c r="I36" s="19">
        <f>-H36</f>
        <v>-25</v>
      </c>
      <c r="J36" s="18" t="s">
        <v>15</v>
      </c>
      <c r="K36" s="18" t="s">
        <v>15</v>
      </c>
      <c r="L36" s="18" t="s">
        <v>1160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customFormat="1" x14ac:dyDescent="0.25">
      <c r="A37" s="18"/>
      <c r="B37" s="18" t="s">
        <v>34</v>
      </c>
      <c r="C37" s="18" t="s">
        <v>476</v>
      </c>
      <c r="D37" s="18" t="s">
        <v>1250</v>
      </c>
      <c r="E37" s="18" t="s">
        <v>478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15</v>
      </c>
      <c r="K37" s="18" t="s">
        <v>15</v>
      </c>
      <c r="L37" s="18" t="s">
        <v>1160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1251</v>
      </c>
      <c r="D38" s="18" t="s">
        <v>1252</v>
      </c>
      <c r="E38" s="18" t="s">
        <v>1253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15</v>
      </c>
      <c r="K38" s="18" t="s">
        <v>15</v>
      </c>
      <c r="L38" s="18" t="s">
        <v>1160</v>
      </c>
      <c r="M38" s="26" t="s">
        <v>1254</v>
      </c>
      <c r="N38" s="18"/>
      <c r="O38" s="18"/>
      <c r="P38" s="18"/>
      <c r="Q38" s="18">
        <v>1</v>
      </c>
      <c r="R38" s="17">
        <f t="shared" ref="R38:R39" si="1">H38</f>
        <v>30</v>
      </c>
    </row>
    <row r="39" spans="1:18" customFormat="1" x14ac:dyDescent="0.25">
      <c r="A39" s="18"/>
      <c r="B39" s="18" t="s">
        <v>34</v>
      </c>
      <c r="C39" s="18" t="s">
        <v>1251</v>
      </c>
      <c r="D39" s="18" t="s">
        <v>1255</v>
      </c>
      <c r="E39" s="18" t="s">
        <v>1256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15</v>
      </c>
      <c r="K39" s="18" t="s">
        <v>15</v>
      </c>
      <c r="L39" s="18" t="s">
        <v>1160</v>
      </c>
      <c r="M39" s="26" t="s">
        <v>307</v>
      </c>
      <c r="N39" s="18"/>
      <c r="O39" s="18"/>
      <c r="P39" s="18"/>
      <c r="Q39" s="18">
        <v>1</v>
      </c>
      <c r="R39" s="17">
        <f t="shared" si="1"/>
        <v>0</v>
      </c>
    </row>
    <row r="40" spans="1:18" s="22" customFormat="1" x14ac:dyDescent="0.25">
      <c r="A40" s="20"/>
      <c r="B40" s="20" t="s">
        <v>34</v>
      </c>
      <c r="C40" s="20" t="s">
        <v>1257</v>
      </c>
      <c r="D40" s="20" t="s">
        <v>1258</v>
      </c>
      <c r="E40" s="20" t="s">
        <v>1259</v>
      </c>
      <c r="F40" s="21">
        <v>2</v>
      </c>
      <c r="G40" s="21">
        <v>0</v>
      </c>
      <c r="H40" s="21">
        <v>30</v>
      </c>
      <c r="I40" s="21">
        <f>-H40</f>
        <v>-30</v>
      </c>
      <c r="J40" s="20" t="s">
        <v>15</v>
      </c>
      <c r="K40" s="20" t="s">
        <v>15</v>
      </c>
      <c r="L40" s="20" t="s">
        <v>1160</v>
      </c>
      <c r="M40" s="20" t="s">
        <v>16</v>
      </c>
      <c r="N40" s="20"/>
      <c r="O40" s="20"/>
      <c r="P40" s="20"/>
      <c r="Q40" s="20">
        <v>1</v>
      </c>
      <c r="R40" s="29">
        <f>H40</f>
        <v>30</v>
      </c>
    </row>
    <row r="41" spans="1:18" customFormat="1" x14ac:dyDescent="0.25">
      <c r="A41" s="18"/>
      <c r="B41" s="18" t="s">
        <v>34</v>
      </c>
      <c r="C41" s="18" t="s">
        <v>1260</v>
      </c>
      <c r="D41" s="18" t="s">
        <v>1261</v>
      </c>
      <c r="E41" s="18" t="s">
        <v>1262</v>
      </c>
      <c r="F41" s="18" t="s">
        <v>19</v>
      </c>
      <c r="G41" s="19">
        <v>810</v>
      </c>
      <c r="H41" s="19">
        <v>20</v>
      </c>
      <c r="I41" s="19">
        <f t="shared" ref="I41:I46" si="2">G41-H41</f>
        <v>790</v>
      </c>
      <c r="J41" s="18" t="s">
        <v>15</v>
      </c>
      <c r="K41" s="18" t="s">
        <v>15</v>
      </c>
      <c r="L41" s="18" t="s">
        <v>1160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53</v>
      </c>
      <c r="D42" s="18" t="s">
        <v>1263</v>
      </c>
      <c r="E42" s="18" t="s">
        <v>1264</v>
      </c>
      <c r="F42" s="19">
        <v>2</v>
      </c>
      <c r="G42" s="19">
        <v>410</v>
      </c>
      <c r="H42" s="19">
        <v>30</v>
      </c>
      <c r="I42" s="19">
        <f t="shared" si="2"/>
        <v>380</v>
      </c>
      <c r="J42" s="18" t="s">
        <v>15</v>
      </c>
      <c r="K42" s="18" t="s">
        <v>15</v>
      </c>
      <c r="L42" s="18" t="s">
        <v>1160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1265</v>
      </c>
      <c r="D43" s="18" t="s">
        <v>1266</v>
      </c>
      <c r="E43" s="18" t="s">
        <v>1267</v>
      </c>
      <c r="F43" s="18" t="s">
        <v>20</v>
      </c>
      <c r="G43" s="19">
        <v>515</v>
      </c>
      <c r="H43" s="19">
        <v>25</v>
      </c>
      <c r="I43" s="19">
        <f t="shared" si="2"/>
        <v>490</v>
      </c>
      <c r="J43" s="18" t="s">
        <v>15</v>
      </c>
      <c r="K43" s="18" t="s">
        <v>15</v>
      </c>
      <c r="L43" s="18" t="s">
        <v>1160</v>
      </c>
      <c r="M43" s="26" t="s">
        <v>307</v>
      </c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1265</v>
      </c>
      <c r="D44" s="18" t="s">
        <v>1268</v>
      </c>
      <c r="E44" s="18" t="s">
        <v>1267</v>
      </c>
      <c r="F44" s="18" t="s">
        <v>20</v>
      </c>
      <c r="G44" s="19">
        <v>450</v>
      </c>
      <c r="H44" s="19">
        <v>0</v>
      </c>
      <c r="I44" s="19">
        <f t="shared" si="2"/>
        <v>450</v>
      </c>
      <c r="J44" s="18" t="s">
        <v>15</v>
      </c>
      <c r="K44" s="18" t="s">
        <v>15</v>
      </c>
      <c r="L44" s="18" t="s">
        <v>1160</v>
      </c>
      <c r="M44" s="26" t="s">
        <v>307</v>
      </c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640</v>
      </c>
      <c r="D45" s="18"/>
      <c r="E45" s="18" t="s">
        <v>1269</v>
      </c>
      <c r="F45" s="18" t="s">
        <v>20</v>
      </c>
      <c r="G45" s="19">
        <v>4015</v>
      </c>
      <c r="H45" s="19">
        <v>35</v>
      </c>
      <c r="I45" s="19">
        <f t="shared" si="2"/>
        <v>3980</v>
      </c>
      <c r="J45" s="18" t="s">
        <v>15</v>
      </c>
      <c r="K45" s="18" t="s">
        <v>15</v>
      </c>
      <c r="L45" s="18" t="s">
        <v>1160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1270</v>
      </c>
      <c r="D46" s="18" t="s">
        <v>1271</v>
      </c>
      <c r="E46" s="18" t="s">
        <v>1272</v>
      </c>
      <c r="F46" s="19">
        <v>10</v>
      </c>
      <c r="G46" s="19">
        <v>765</v>
      </c>
      <c r="H46" s="19">
        <v>25</v>
      </c>
      <c r="I46" s="19">
        <f t="shared" si="2"/>
        <v>740</v>
      </c>
      <c r="J46" s="18" t="s">
        <v>160</v>
      </c>
      <c r="K46" s="18" t="s">
        <v>15</v>
      </c>
      <c r="L46" s="18" t="s">
        <v>1160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1273</v>
      </c>
      <c r="D47" s="18" t="s">
        <v>1274</v>
      </c>
      <c r="E47" s="18" t="s">
        <v>1275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1160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1276</v>
      </c>
      <c r="D48" s="18" t="s">
        <v>1277</v>
      </c>
      <c r="E48" s="18" t="s">
        <v>1278</v>
      </c>
      <c r="F48" s="18" t="s">
        <v>18</v>
      </c>
      <c r="G48" s="19">
        <v>695</v>
      </c>
      <c r="H48" s="19">
        <v>25</v>
      </c>
      <c r="I48" s="19">
        <f t="shared" ref="I48:I53" si="3">G48-H48</f>
        <v>670</v>
      </c>
      <c r="J48" s="18" t="s">
        <v>160</v>
      </c>
      <c r="K48" s="18" t="s">
        <v>15</v>
      </c>
      <c r="L48" s="18" t="s">
        <v>1160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1279</v>
      </c>
      <c r="D49" s="18" t="s">
        <v>1280</v>
      </c>
      <c r="E49" s="18" t="s">
        <v>1281</v>
      </c>
      <c r="F49" s="19">
        <v>4</v>
      </c>
      <c r="G49" s="19">
        <v>375</v>
      </c>
      <c r="H49" s="19">
        <v>25</v>
      </c>
      <c r="I49" s="19">
        <f t="shared" si="3"/>
        <v>350</v>
      </c>
      <c r="J49" s="18" t="s">
        <v>160</v>
      </c>
      <c r="K49" s="18" t="s">
        <v>15</v>
      </c>
      <c r="L49" s="18" t="s">
        <v>1160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1282</v>
      </c>
      <c r="D50" s="18" t="s">
        <v>1283</v>
      </c>
      <c r="E50" s="18" t="s">
        <v>1284</v>
      </c>
      <c r="F50" s="18" t="s">
        <v>18</v>
      </c>
      <c r="G50" s="19">
        <v>1005</v>
      </c>
      <c r="H50" s="19">
        <v>25</v>
      </c>
      <c r="I50" s="19">
        <f t="shared" si="3"/>
        <v>980</v>
      </c>
      <c r="J50" s="18" t="s">
        <v>160</v>
      </c>
      <c r="K50" s="18" t="s">
        <v>15</v>
      </c>
      <c r="L50" s="18" t="s">
        <v>1160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1285</v>
      </c>
      <c r="D51" s="18" t="s">
        <v>1286</v>
      </c>
      <c r="E51" s="18" t="s">
        <v>1287</v>
      </c>
      <c r="F51" s="19">
        <v>3</v>
      </c>
      <c r="G51" s="19">
        <v>565</v>
      </c>
      <c r="H51" s="19">
        <v>25</v>
      </c>
      <c r="I51" s="19">
        <f t="shared" si="3"/>
        <v>540</v>
      </c>
      <c r="J51" s="18" t="s">
        <v>160</v>
      </c>
      <c r="K51" s="18" t="s">
        <v>15</v>
      </c>
      <c r="L51" s="18" t="s">
        <v>1160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1288</v>
      </c>
      <c r="D52" s="18" t="s">
        <v>1289</v>
      </c>
      <c r="E52" s="18" t="s">
        <v>1290</v>
      </c>
      <c r="F52" s="18" t="s">
        <v>18</v>
      </c>
      <c r="G52" s="19">
        <v>475</v>
      </c>
      <c r="H52" s="19">
        <v>25</v>
      </c>
      <c r="I52" s="19">
        <f t="shared" si="3"/>
        <v>450</v>
      </c>
      <c r="J52" s="18" t="s">
        <v>160</v>
      </c>
      <c r="K52" s="18" t="s">
        <v>15</v>
      </c>
      <c r="L52" s="18" t="s">
        <v>1160</v>
      </c>
      <c r="M52" s="26" t="s">
        <v>307</v>
      </c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1288</v>
      </c>
      <c r="D53" s="18" t="s">
        <v>1291</v>
      </c>
      <c r="E53" s="18" t="s">
        <v>1290</v>
      </c>
      <c r="F53" s="18" t="s">
        <v>18</v>
      </c>
      <c r="G53" s="19">
        <v>920</v>
      </c>
      <c r="H53" s="19">
        <v>0</v>
      </c>
      <c r="I53" s="19">
        <f t="shared" si="3"/>
        <v>920</v>
      </c>
      <c r="J53" s="18" t="s">
        <v>160</v>
      </c>
      <c r="K53" s="18" t="s">
        <v>15</v>
      </c>
      <c r="L53" s="18" t="s">
        <v>1160</v>
      </c>
      <c r="M53" s="26" t="s">
        <v>307</v>
      </c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1292</v>
      </c>
      <c r="D54" s="18" t="s">
        <v>1293</v>
      </c>
      <c r="E54" s="18" t="s">
        <v>1294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160</v>
      </c>
      <c r="K54" s="18" t="s">
        <v>15</v>
      </c>
      <c r="L54" s="18" t="s">
        <v>1160</v>
      </c>
      <c r="M54" s="18"/>
      <c r="N54" s="18"/>
      <c r="O54" s="18"/>
      <c r="P54" s="18"/>
      <c r="Q54" s="18">
        <v>1</v>
      </c>
      <c r="R54" s="17">
        <f>H54</f>
        <v>25</v>
      </c>
    </row>
    <row r="55" spans="1:18" customFormat="1" x14ac:dyDescent="0.25">
      <c r="A55" s="18"/>
      <c r="B55" s="18" t="s">
        <v>34</v>
      </c>
      <c r="C55" s="18" t="s">
        <v>1295</v>
      </c>
      <c r="D55" s="18" t="s">
        <v>1296</v>
      </c>
      <c r="E55" s="18" t="s">
        <v>1297</v>
      </c>
      <c r="F55" s="18" t="s">
        <v>17</v>
      </c>
      <c r="G55" s="19">
        <v>2220</v>
      </c>
      <c r="H55" s="19">
        <v>25</v>
      </c>
      <c r="I55" s="19">
        <f>G55-H55</f>
        <v>2195</v>
      </c>
      <c r="J55" s="18" t="s">
        <v>160</v>
      </c>
      <c r="K55" s="18" t="s">
        <v>15</v>
      </c>
      <c r="L55" s="18" t="s">
        <v>1160</v>
      </c>
      <c r="M55" s="26" t="s">
        <v>377</v>
      </c>
      <c r="N55" s="18"/>
      <c r="O55" s="18"/>
      <c r="P55" s="18"/>
      <c r="Q55" s="18">
        <v>1</v>
      </c>
      <c r="R55" s="17">
        <f>H55</f>
        <v>25</v>
      </c>
    </row>
    <row r="56" spans="1:18" customFormat="1" x14ac:dyDescent="0.25">
      <c r="A56" s="18"/>
      <c r="B56" s="18" t="s">
        <v>34</v>
      </c>
      <c r="C56" s="18" t="s">
        <v>1298</v>
      </c>
      <c r="D56" s="18" t="s">
        <v>1299</v>
      </c>
      <c r="E56" s="18" t="s">
        <v>1300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160</v>
      </c>
      <c r="K56" s="18" t="s">
        <v>15</v>
      </c>
      <c r="L56" s="18" t="s">
        <v>1160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1301</v>
      </c>
      <c r="D57" s="18" t="s">
        <v>1302</v>
      </c>
      <c r="E57" s="18" t="s">
        <v>1303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160</v>
      </c>
      <c r="K57" s="18" t="s">
        <v>15</v>
      </c>
      <c r="L57" s="18" t="s">
        <v>1160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1304</v>
      </c>
      <c r="D58" s="18" t="s">
        <v>1305</v>
      </c>
      <c r="E58" s="18" t="s">
        <v>1306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160</v>
      </c>
      <c r="K58" s="18" t="s">
        <v>15</v>
      </c>
      <c r="L58" s="18" t="s">
        <v>1160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1307</v>
      </c>
      <c r="D59" s="18" t="s">
        <v>1308</v>
      </c>
      <c r="E59" s="18" t="s">
        <v>1309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160</v>
      </c>
      <c r="K59" s="18" t="s">
        <v>15</v>
      </c>
      <c r="L59" s="18" t="s">
        <v>1160</v>
      </c>
      <c r="M59" s="18"/>
      <c r="N59" s="18"/>
      <c r="O59" s="18"/>
      <c r="P59" s="18"/>
      <c r="Q59" s="18">
        <v>1</v>
      </c>
      <c r="R59" s="17">
        <f>H59</f>
        <v>25</v>
      </c>
    </row>
    <row r="60" spans="1:18" customFormat="1" x14ac:dyDescent="0.25">
      <c r="A60" s="18"/>
      <c r="B60" s="18" t="s">
        <v>34</v>
      </c>
      <c r="C60" s="18" t="s">
        <v>1310</v>
      </c>
      <c r="D60" s="18" t="s">
        <v>1311</v>
      </c>
      <c r="E60" s="18" t="s">
        <v>1312</v>
      </c>
      <c r="F60" s="19">
        <v>4</v>
      </c>
      <c r="G60" s="19">
        <v>25</v>
      </c>
      <c r="H60" s="19">
        <v>25</v>
      </c>
      <c r="I60" s="19">
        <f t="shared" ref="I60:I65" si="4">G60-H60</f>
        <v>0</v>
      </c>
      <c r="J60" s="18" t="s">
        <v>160</v>
      </c>
      <c r="K60" s="18" t="s">
        <v>15</v>
      </c>
      <c r="L60" s="18" t="s">
        <v>1160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308</v>
      </c>
      <c r="D61" s="18" t="s">
        <v>1313</v>
      </c>
      <c r="E61" s="18" t="s">
        <v>310</v>
      </c>
      <c r="F61" s="18" t="s">
        <v>18</v>
      </c>
      <c r="G61" s="19">
        <v>1185</v>
      </c>
      <c r="H61" s="19">
        <v>25</v>
      </c>
      <c r="I61" s="19">
        <f t="shared" si="4"/>
        <v>1160</v>
      </c>
      <c r="J61" s="18" t="s">
        <v>160</v>
      </c>
      <c r="K61" s="18" t="s">
        <v>15</v>
      </c>
      <c r="L61" s="18" t="s">
        <v>1160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1314</v>
      </c>
      <c r="D62" s="18" t="s">
        <v>1315</v>
      </c>
      <c r="E62" s="18" t="s">
        <v>1316</v>
      </c>
      <c r="F62" s="18" t="s">
        <v>18</v>
      </c>
      <c r="G62" s="19">
        <v>535</v>
      </c>
      <c r="H62" s="19">
        <v>25</v>
      </c>
      <c r="I62" s="19">
        <f t="shared" si="4"/>
        <v>510</v>
      </c>
      <c r="J62" s="18" t="s">
        <v>160</v>
      </c>
      <c r="K62" s="18" t="s">
        <v>15</v>
      </c>
      <c r="L62" s="18" t="s">
        <v>1160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1152</v>
      </c>
      <c r="D63" s="18" t="s">
        <v>1317</v>
      </c>
      <c r="E63" s="18" t="s">
        <v>1154</v>
      </c>
      <c r="F63" s="19">
        <v>4</v>
      </c>
      <c r="G63" s="19">
        <v>615</v>
      </c>
      <c r="H63" s="19">
        <v>25</v>
      </c>
      <c r="I63" s="19">
        <f t="shared" si="4"/>
        <v>590</v>
      </c>
      <c r="J63" s="18" t="s">
        <v>160</v>
      </c>
      <c r="K63" s="18" t="s">
        <v>15</v>
      </c>
      <c r="L63" s="18" t="s">
        <v>1160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1016</v>
      </c>
      <c r="D64" s="18"/>
      <c r="E64" s="18" t="s">
        <v>1018</v>
      </c>
      <c r="F64" s="19">
        <v>3</v>
      </c>
      <c r="G64" s="19">
        <v>25</v>
      </c>
      <c r="H64" s="19">
        <v>25</v>
      </c>
      <c r="I64" s="19">
        <f t="shared" si="4"/>
        <v>0</v>
      </c>
      <c r="J64" s="18" t="s">
        <v>160</v>
      </c>
      <c r="K64" s="18" t="s">
        <v>15</v>
      </c>
      <c r="L64" s="18" t="s">
        <v>1160</v>
      </c>
      <c r="M64" s="18"/>
      <c r="N64" s="18"/>
      <c r="O64" s="18"/>
      <c r="P64" s="18"/>
      <c r="Q64" s="18">
        <v>1</v>
      </c>
    </row>
    <row r="65" spans="1:18" customFormat="1" x14ac:dyDescent="0.25">
      <c r="A65" s="18" t="s">
        <v>96</v>
      </c>
      <c r="B65" s="18" t="s">
        <v>34</v>
      </c>
      <c r="C65" s="18" t="s">
        <v>432</v>
      </c>
      <c r="D65" s="18"/>
      <c r="E65" s="18" t="s">
        <v>433</v>
      </c>
      <c r="F65" s="18" t="s">
        <v>18</v>
      </c>
      <c r="G65" s="19">
        <v>30</v>
      </c>
      <c r="H65" s="19">
        <v>30</v>
      </c>
      <c r="I65" s="19">
        <f t="shared" si="4"/>
        <v>0</v>
      </c>
      <c r="J65" s="18" t="s">
        <v>160</v>
      </c>
      <c r="K65" s="18" t="s">
        <v>15</v>
      </c>
      <c r="L65" s="18" t="s">
        <v>1160</v>
      </c>
      <c r="M65" s="18"/>
      <c r="N65" s="18"/>
      <c r="O65" s="18"/>
      <c r="P65" s="18"/>
      <c r="Q65" s="18">
        <v>1</v>
      </c>
    </row>
    <row r="67" spans="1:18" x14ac:dyDescent="0.25">
      <c r="G67" s="1">
        <f t="shared" ref="G67:R67" si="5">SUBTOTAL(9,G3:G66)</f>
        <v>41920</v>
      </c>
      <c r="H67" s="1">
        <f t="shared" si="5"/>
        <v>1645</v>
      </c>
      <c r="I67" s="1">
        <f t="shared" si="5"/>
        <v>40275</v>
      </c>
      <c r="J67" s="1">
        <f t="shared" si="5"/>
        <v>0</v>
      </c>
      <c r="K67" s="1">
        <f t="shared" si="5"/>
        <v>0</v>
      </c>
      <c r="L67" s="1">
        <f t="shared" si="5"/>
        <v>0</v>
      </c>
      <c r="M67" s="1">
        <f t="shared" si="5"/>
        <v>0</v>
      </c>
      <c r="N67" s="1">
        <f t="shared" si="5"/>
        <v>0</v>
      </c>
      <c r="O67" s="1">
        <f t="shared" si="5"/>
        <v>0</v>
      </c>
      <c r="P67" s="1">
        <f t="shared" si="5"/>
        <v>0</v>
      </c>
      <c r="Q67" s="1">
        <f t="shared" si="5"/>
        <v>63</v>
      </c>
      <c r="R67" s="1">
        <f t="shared" si="5"/>
        <v>475</v>
      </c>
    </row>
    <row r="68" spans="1:18" x14ac:dyDescent="0.25">
      <c r="I68" s="1">
        <v>-790</v>
      </c>
      <c r="J68" s="1" t="s">
        <v>1318</v>
      </c>
    </row>
    <row r="71" spans="1:18" ht="20.25" customHeight="1" x14ac:dyDescent="0.3">
      <c r="H71" s="4" t="s">
        <v>1155</v>
      </c>
      <c r="I71" s="5" t="s">
        <v>21</v>
      </c>
      <c r="J71" s="6" t="s">
        <v>22</v>
      </c>
    </row>
    <row r="72" spans="1:18" ht="15.75" customHeight="1" x14ac:dyDescent="0.25">
      <c r="H72" s="7" t="s">
        <v>23</v>
      </c>
      <c r="I72" s="8">
        <f>SUM(I66:I70)</f>
        <v>39485</v>
      </c>
      <c r="J72" s="8">
        <f>Q67</f>
        <v>63</v>
      </c>
    </row>
    <row r="73" spans="1:18" x14ac:dyDescent="0.25">
      <c r="H73" s="9" t="s">
        <v>24</v>
      </c>
      <c r="I73" s="10">
        <f>R67</f>
        <v>475</v>
      </c>
      <c r="J73" s="11"/>
    </row>
    <row r="74" spans="1:18" x14ac:dyDescent="0.25">
      <c r="H74" s="9" t="s">
        <v>25</v>
      </c>
      <c r="I74" s="10">
        <f>S66</f>
        <v>0</v>
      </c>
      <c r="J74" s="11"/>
    </row>
    <row r="75" spans="1:18" x14ac:dyDescent="0.25">
      <c r="H75" s="9" t="s">
        <v>26</v>
      </c>
      <c r="I75" s="10">
        <f>T66</f>
        <v>0</v>
      </c>
      <c r="J75" s="11"/>
    </row>
    <row r="76" spans="1:18" x14ac:dyDescent="0.25">
      <c r="H76" s="9" t="s">
        <v>27</v>
      </c>
      <c r="I76" s="10">
        <f>U66</f>
        <v>0</v>
      </c>
      <c r="J76" s="11"/>
    </row>
    <row r="77" spans="1:18" ht="15.75" customHeight="1" x14ac:dyDescent="0.25">
      <c r="H77" s="12" t="s">
        <v>28</v>
      </c>
      <c r="I77" s="13"/>
      <c r="J77" s="13"/>
    </row>
    <row r="78" spans="1:18" ht="15.75" customHeight="1" x14ac:dyDescent="0.25">
      <c r="H78" s="14" t="s">
        <v>29</v>
      </c>
      <c r="I78" s="13"/>
      <c r="J78" s="13"/>
    </row>
    <row r="79" spans="1:18" ht="21" customHeight="1" x14ac:dyDescent="0.35">
      <c r="H79" s="15" t="s">
        <v>30</v>
      </c>
      <c r="I79" s="16">
        <f>SUM(I72:I78)</f>
        <v>39960</v>
      </c>
      <c r="J79" s="16">
        <f>SUM(J72:J76)</f>
        <v>63</v>
      </c>
    </row>
  </sheetData>
  <autoFilter ref="A2:P65" xr:uid="{00000000-0009-0000-0000-000006000000}">
    <sortState xmlns:xlrd2="http://schemas.microsoft.com/office/spreadsheetml/2017/richdata2" ref="A3:P65">
      <sortCondition ref="J2:J65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89EF-7AB3-4A63-ABFF-53E6E1FCB05B}">
  <dimension ref="A1:R36"/>
  <sheetViews>
    <sheetView topLeftCell="A15" zoomScaleNormal="100" workbookViewId="0">
      <selection activeCell="F28" sqref="F2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1320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1322</v>
      </c>
      <c r="D3" s="18" t="s">
        <v>1323</v>
      </c>
      <c r="E3" s="18" t="s">
        <v>1324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56</v>
      </c>
      <c r="K3" s="18" t="s">
        <v>15</v>
      </c>
      <c r="L3" s="18" t="s">
        <v>1325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1326</v>
      </c>
      <c r="D4" s="18" t="s">
        <v>1327</v>
      </c>
      <c r="E4" s="18" t="s">
        <v>1328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1325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1329</v>
      </c>
      <c r="D5" s="18" t="s">
        <v>1330</v>
      </c>
      <c r="E5" s="18" t="s">
        <v>1331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56</v>
      </c>
      <c r="K5" s="18" t="s">
        <v>15</v>
      </c>
      <c r="L5" s="18" t="s">
        <v>1325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1332</v>
      </c>
      <c r="D6" s="18" t="s">
        <v>1333</v>
      </c>
      <c r="E6" s="18" t="s">
        <v>1334</v>
      </c>
      <c r="F6" s="18" t="s">
        <v>38</v>
      </c>
      <c r="G6" s="19">
        <v>740</v>
      </c>
      <c r="H6" s="19">
        <v>30</v>
      </c>
      <c r="I6" s="19">
        <f>G6-H6</f>
        <v>710</v>
      </c>
      <c r="J6" s="18" t="s">
        <v>1335</v>
      </c>
      <c r="K6" s="18" t="s">
        <v>15</v>
      </c>
      <c r="L6" s="18" t="s">
        <v>1325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990</v>
      </c>
      <c r="D7" s="18" t="s">
        <v>1336</v>
      </c>
      <c r="E7" s="18" t="s">
        <v>1337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1335</v>
      </c>
      <c r="K7" s="18" t="s">
        <v>15</v>
      </c>
      <c r="L7" s="18" t="s">
        <v>1325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1338</v>
      </c>
      <c r="D8" s="18" t="s">
        <v>1339</v>
      </c>
      <c r="E8" s="18" t="s">
        <v>1340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1335</v>
      </c>
      <c r="K8" s="18" t="s">
        <v>15</v>
      </c>
      <c r="L8" s="18" t="s">
        <v>1325</v>
      </c>
      <c r="M8" s="18"/>
      <c r="N8" s="18"/>
      <c r="O8" s="18"/>
      <c r="P8" s="18"/>
      <c r="Q8" s="18">
        <v>1</v>
      </c>
      <c r="R8" s="17">
        <f>H8</f>
        <v>25</v>
      </c>
    </row>
    <row r="9" spans="1:18" customFormat="1" x14ac:dyDescent="0.25">
      <c r="A9" s="18"/>
      <c r="B9" s="18" t="s">
        <v>34</v>
      </c>
      <c r="C9" s="18" t="s">
        <v>1341</v>
      </c>
      <c r="D9" s="18" t="s">
        <v>1342</v>
      </c>
      <c r="E9" s="18" t="s">
        <v>1343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1335</v>
      </c>
      <c r="K9" s="18" t="s">
        <v>15</v>
      </c>
      <c r="L9" s="18" t="s">
        <v>1325</v>
      </c>
      <c r="M9" s="18"/>
      <c r="N9" s="18"/>
      <c r="O9" s="18"/>
      <c r="P9" s="18"/>
      <c r="Q9" s="18">
        <v>1</v>
      </c>
    </row>
    <row r="10" spans="1:18" s="22" customFormat="1" x14ac:dyDescent="0.25">
      <c r="A10" s="20"/>
      <c r="B10" s="20" t="s">
        <v>34</v>
      </c>
      <c r="C10" s="20" t="s">
        <v>1344</v>
      </c>
      <c r="D10" s="20" t="s">
        <v>1345</v>
      </c>
      <c r="E10" s="20" t="s">
        <v>1346</v>
      </c>
      <c r="F10" s="20" t="s">
        <v>123</v>
      </c>
      <c r="G10" s="21">
        <v>135</v>
      </c>
      <c r="H10" s="21">
        <v>35</v>
      </c>
      <c r="I10" s="21">
        <f>G10-H10</f>
        <v>100</v>
      </c>
      <c r="J10" s="20" t="s">
        <v>1335</v>
      </c>
      <c r="K10" s="20" t="s">
        <v>15</v>
      </c>
      <c r="L10" s="20" t="s">
        <v>1325</v>
      </c>
      <c r="M10" s="20" t="s">
        <v>16</v>
      </c>
      <c r="N10" s="20"/>
      <c r="O10" s="20"/>
      <c r="P10" s="20"/>
      <c r="Q10" s="20">
        <v>1</v>
      </c>
    </row>
    <row r="11" spans="1:18" s="22" customFormat="1" x14ac:dyDescent="0.25">
      <c r="A11" s="20"/>
      <c r="B11" s="20" t="s">
        <v>34</v>
      </c>
      <c r="C11" s="20" t="s">
        <v>1265</v>
      </c>
      <c r="D11" s="20" t="s">
        <v>1347</v>
      </c>
      <c r="E11" s="20" t="s">
        <v>1267</v>
      </c>
      <c r="F11" s="20" t="s">
        <v>20</v>
      </c>
      <c r="G11" s="21">
        <v>25</v>
      </c>
      <c r="H11" s="21">
        <v>25</v>
      </c>
      <c r="I11" s="21">
        <f>G11-H11</f>
        <v>0</v>
      </c>
      <c r="J11" s="20" t="s">
        <v>15</v>
      </c>
      <c r="K11" s="20" t="s">
        <v>15</v>
      </c>
      <c r="L11" s="20" t="s">
        <v>1325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1348</v>
      </c>
      <c r="D12" s="18" t="s">
        <v>1349</v>
      </c>
      <c r="E12" s="18" t="s">
        <v>1170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15</v>
      </c>
      <c r="K12" s="18" t="s">
        <v>15</v>
      </c>
      <c r="L12" s="18" t="s">
        <v>1325</v>
      </c>
      <c r="M12" s="18"/>
      <c r="N12" s="18"/>
      <c r="O12" s="18"/>
      <c r="P12" s="18"/>
      <c r="Q12" s="18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951</v>
      </c>
      <c r="D13" s="18" t="s">
        <v>1350</v>
      </c>
      <c r="E13" s="18" t="s">
        <v>953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15</v>
      </c>
      <c r="K13" s="18" t="s">
        <v>15</v>
      </c>
      <c r="L13" s="18" t="s">
        <v>1325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1351</v>
      </c>
      <c r="D14" s="18" t="s">
        <v>1352</v>
      </c>
      <c r="E14" s="18" t="s">
        <v>1353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15</v>
      </c>
      <c r="K14" s="18" t="s">
        <v>15</v>
      </c>
      <c r="L14" s="18" t="s">
        <v>1325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1354</v>
      </c>
      <c r="D15" s="18" t="s">
        <v>1355</v>
      </c>
      <c r="E15" s="18" t="s">
        <v>1356</v>
      </c>
      <c r="F15" s="18" t="s">
        <v>20</v>
      </c>
      <c r="G15" s="19">
        <v>1115</v>
      </c>
      <c r="H15" s="19">
        <v>25</v>
      </c>
      <c r="I15" s="19">
        <f t="shared" si="0"/>
        <v>1090</v>
      </c>
      <c r="J15" s="18" t="s">
        <v>15</v>
      </c>
      <c r="K15" s="18" t="s">
        <v>15</v>
      </c>
      <c r="L15" s="18" t="s">
        <v>1325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534</v>
      </c>
      <c r="D16" s="18" t="s">
        <v>1357</v>
      </c>
      <c r="E16" s="18" t="s">
        <v>1358</v>
      </c>
      <c r="F16" s="18" t="s">
        <v>19</v>
      </c>
      <c r="G16" s="19">
        <v>770</v>
      </c>
      <c r="H16" s="19">
        <v>20</v>
      </c>
      <c r="I16" s="19">
        <f t="shared" si="0"/>
        <v>750</v>
      </c>
      <c r="J16" s="18" t="s">
        <v>15</v>
      </c>
      <c r="K16" s="18" t="s">
        <v>15</v>
      </c>
      <c r="L16" s="18" t="s">
        <v>1325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1359</v>
      </c>
      <c r="D17" s="18" t="s">
        <v>1360</v>
      </c>
      <c r="E17" s="18" t="s">
        <v>1361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15</v>
      </c>
      <c r="K17" s="18" t="s">
        <v>15</v>
      </c>
      <c r="L17" s="18" t="s">
        <v>1325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1362</v>
      </c>
      <c r="D18" s="18" t="s">
        <v>1363</v>
      </c>
      <c r="E18" s="18" t="s">
        <v>1364</v>
      </c>
      <c r="F18" s="18" t="s">
        <v>19</v>
      </c>
      <c r="G18" s="19">
        <v>840</v>
      </c>
      <c r="H18" s="19">
        <v>20</v>
      </c>
      <c r="I18" s="19">
        <f t="shared" si="0"/>
        <v>820</v>
      </c>
      <c r="J18" s="18" t="s">
        <v>15</v>
      </c>
      <c r="K18" s="18" t="s">
        <v>15</v>
      </c>
      <c r="L18" s="18" t="s">
        <v>1325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845</v>
      </c>
      <c r="D19" s="18" t="s">
        <v>1365</v>
      </c>
      <c r="E19" s="18" t="s">
        <v>1366</v>
      </c>
      <c r="F19" s="18" t="s">
        <v>144</v>
      </c>
      <c r="G19" s="19">
        <v>570</v>
      </c>
      <c r="H19" s="19">
        <v>30</v>
      </c>
      <c r="I19" s="19">
        <f t="shared" si="0"/>
        <v>540</v>
      </c>
      <c r="J19" s="18" t="s">
        <v>15</v>
      </c>
      <c r="K19" s="18" t="s">
        <v>15</v>
      </c>
      <c r="L19" s="18" t="s">
        <v>1325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1367</v>
      </c>
      <c r="D20" s="18" t="s">
        <v>1368</v>
      </c>
      <c r="E20" s="18" t="s">
        <v>422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15</v>
      </c>
      <c r="K20" s="18" t="s">
        <v>15</v>
      </c>
      <c r="L20" s="18" t="s">
        <v>1325</v>
      </c>
      <c r="M20" s="18"/>
      <c r="N20" s="18"/>
      <c r="O20" s="18"/>
      <c r="P20" s="18"/>
      <c r="Q20" s="18">
        <v>1</v>
      </c>
      <c r="R20" s="17">
        <f>H20</f>
        <v>30</v>
      </c>
    </row>
    <row r="21" spans="1:18" customFormat="1" x14ac:dyDescent="0.25">
      <c r="A21" s="18"/>
      <c r="B21" s="18" t="s">
        <v>34</v>
      </c>
      <c r="C21" s="18" t="s">
        <v>1369</v>
      </c>
      <c r="D21" s="18" t="s">
        <v>1370</v>
      </c>
      <c r="E21" s="18" t="s">
        <v>1371</v>
      </c>
      <c r="F21" s="18" t="s">
        <v>20</v>
      </c>
      <c r="G21" s="19">
        <v>865</v>
      </c>
      <c r="H21" s="19">
        <v>25</v>
      </c>
      <c r="I21" s="19">
        <f t="shared" ref="I21:I22" si="1">G21-H21</f>
        <v>840</v>
      </c>
      <c r="J21" s="18" t="s">
        <v>15</v>
      </c>
      <c r="K21" s="18" t="s">
        <v>15</v>
      </c>
      <c r="L21" s="18" t="s">
        <v>1325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1372</v>
      </c>
      <c r="D22" s="18"/>
      <c r="E22" s="18" t="s">
        <v>1373</v>
      </c>
      <c r="F22" s="18" t="s">
        <v>18</v>
      </c>
      <c r="G22" s="19">
        <v>30</v>
      </c>
      <c r="H22" s="19">
        <v>30</v>
      </c>
      <c r="I22" s="19">
        <f t="shared" si="1"/>
        <v>0</v>
      </c>
      <c r="J22" s="18" t="s">
        <v>160</v>
      </c>
      <c r="K22" s="18" t="s">
        <v>15</v>
      </c>
      <c r="L22" s="18" t="s">
        <v>1325</v>
      </c>
      <c r="M22" s="18"/>
      <c r="N22" s="18"/>
      <c r="O22" s="18"/>
      <c r="P22" s="18"/>
      <c r="Q22" s="18">
        <v>1</v>
      </c>
    </row>
    <row r="24" spans="1:18" x14ac:dyDescent="0.25">
      <c r="G24" s="1">
        <f t="shared" ref="G24:R24" si="2">SUBTOTAL(9,G3:G23)</f>
        <v>11410</v>
      </c>
      <c r="H24" s="1">
        <f t="shared" si="2"/>
        <v>550</v>
      </c>
      <c r="I24" s="1">
        <f t="shared" si="2"/>
        <v>10860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110</v>
      </c>
    </row>
    <row r="25" spans="1:18" x14ac:dyDescent="0.25">
      <c r="I25" s="1">
        <v>-2910</v>
      </c>
      <c r="J25" s="1" t="s">
        <v>1321</v>
      </c>
    </row>
    <row r="28" spans="1:18" ht="20.25" customHeight="1" x14ac:dyDescent="0.3">
      <c r="H28" s="4" t="s">
        <v>1319</v>
      </c>
      <c r="I28" s="5" t="s">
        <v>21</v>
      </c>
      <c r="J28" s="6" t="s">
        <v>22</v>
      </c>
    </row>
    <row r="29" spans="1:18" ht="15.75" customHeight="1" x14ac:dyDescent="0.25">
      <c r="H29" s="7" t="s">
        <v>23</v>
      </c>
      <c r="I29" s="8">
        <f>SUM(I23:I27)</f>
        <v>7950</v>
      </c>
      <c r="J29" s="8">
        <f>Q24</f>
        <v>20</v>
      </c>
    </row>
    <row r="30" spans="1:18" x14ac:dyDescent="0.25">
      <c r="H30" s="9" t="s">
        <v>24</v>
      </c>
      <c r="I30" s="10">
        <f>R24</f>
        <v>110</v>
      </c>
      <c r="J30" s="11"/>
    </row>
    <row r="31" spans="1:18" x14ac:dyDescent="0.25">
      <c r="H31" s="9" t="s">
        <v>25</v>
      </c>
      <c r="I31" s="10">
        <f>S23</f>
        <v>0</v>
      </c>
      <c r="J31" s="11"/>
    </row>
    <row r="32" spans="1:18" x14ac:dyDescent="0.25">
      <c r="H32" s="9" t="s">
        <v>26</v>
      </c>
      <c r="I32" s="10">
        <f>T23</f>
        <v>0</v>
      </c>
      <c r="J32" s="11"/>
    </row>
    <row r="33" spans="8:10" x14ac:dyDescent="0.25">
      <c r="H33" s="9" t="s">
        <v>27</v>
      </c>
      <c r="I33" s="10">
        <f>U23</f>
        <v>0</v>
      </c>
      <c r="J33" s="11"/>
    </row>
    <row r="34" spans="8:10" ht="15.75" customHeight="1" x14ac:dyDescent="0.25">
      <c r="H34" s="12" t="s">
        <v>28</v>
      </c>
      <c r="I34" s="13"/>
      <c r="J34" s="13"/>
    </row>
    <row r="35" spans="8:10" ht="15.75" customHeight="1" x14ac:dyDescent="0.25">
      <c r="H35" s="14" t="s">
        <v>29</v>
      </c>
      <c r="I35" s="13"/>
      <c r="J35" s="13"/>
    </row>
    <row r="36" spans="8:10" ht="21" customHeight="1" x14ac:dyDescent="0.35">
      <c r="H36" s="15" t="s">
        <v>30</v>
      </c>
      <c r="I36" s="16">
        <f>SUM(I29:I35)</f>
        <v>8060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7674-6003-4AB9-9F62-334D606648D9}">
  <dimension ref="A1:R51"/>
  <sheetViews>
    <sheetView tabSelected="1" topLeftCell="A24" zoomScaleNormal="100" workbookViewId="0">
      <selection activeCell="L51" sqref="L5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1375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1376</v>
      </c>
      <c r="D3" s="18" t="s">
        <v>1377</v>
      </c>
      <c r="E3" s="18" t="s">
        <v>1378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1379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1380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56</v>
      </c>
      <c r="K4" s="18" t="s">
        <v>15</v>
      </c>
      <c r="L4" s="18" t="s">
        <v>1379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1382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1383</v>
      </c>
      <c r="K5" s="18" t="s">
        <v>15</v>
      </c>
      <c r="L5" s="18" t="s">
        <v>1379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111</v>
      </c>
      <c r="D6" s="18" t="s">
        <v>1384</v>
      </c>
      <c r="E6" s="18" t="s">
        <v>1385</v>
      </c>
      <c r="F6" s="18" t="s">
        <v>38</v>
      </c>
      <c r="G6" s="19">
        <v>2420</v>
      </c>
      <c r="H6" s="19">
        <v>35</v>
      </c>
      <c r="I6" s="19">
        <f>G6-H6</f>
        <v>2385</v>
      </c>
      <c r="J6" s="18" t="s">
        <v>1383</v>
      </c>
      <c r="K6" s="18" t="s">
        <v>15</v>
      </c>
      <c r="L6" s="18" t="s">
        <v>1379</v>
      </c>
      <c r="M6" s="26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1386</v>
      </c>
      <c r="D7" s="18" t="s">
        <v>1387</v>
      </c>
      <c r="E7" s="18" t="s">
        <v>1388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1383</v>
      </c>
      <c r="K7" s="18" t="s">
        <v>15</v>
      </c>
      <c r="L7" s="18" t="s">
        <v>1379</v>
      </c>
      <c r="M7" s="18"/>
      <c r="N7" s="18"/>
      <c r="O7" s="18"/>
      <c r="P7" s="18"/>
      <c r="Q7" s="18">
        <v>1</v>
      </c>
      <c r="R7" s="17">
        <f>H7</f>
        <v>25</v>
      </c>
    </row>
    <row r="8" spans="1:18" customFormat="1" x14ac:dyDescent="0.25">
      <c r="A8" s="18"/>
      <c r="B8" s="18" t="s">
        <v>34</v>
      </c>
      <c r="C8" s="18" t="s">
        <v>1389</v>
      </c>
      <c r="D8" s="18" t="s">
        <v>1390</v>
      </c>
      <c r="E8" s="18" t="s">
        <v>1391</v>
      </c>
      <c r="F8" s="18" t="s">
        <v>123</v>
      </c>
      <c r="G8" s="19">
        <v>1565</v>
      </c>
      <c r="H8" s="19">
        <v>35</v>
      </c>
      <c r="I8" s="19">
        <f>G8-H8</f>
        <v>1530</v>
      </c>
      <c r="J8" s="18" t="s">
        <v>1383</v>
      </c>
      <c r="K8" s="18" t="s">
        <v>15</v>
      </c>
      <c r="L8" s="18" t="s">
        <v>1379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1392</v>
      </c>
      <c r="D9" s="18" t="s">
        <v>1393</v>
      </c>
      <c r="E9" s="18" t="s">
        <v>422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1383</v>
      </c>
      <c r="K9" s="18" t="s">
        <v>15</v>
      </c>
      <c r="L9" s="18" t="s">
        <v>1379</v>
      </c>
      <c r="M9" s="18"/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1394</v>
      </c>
      <c r="D10" s="18" t="s">
        <v>1395</v>
      </c>
      <c r="E10" s="18" t="s">
        <v>1396</v>
      </c>
      <c r="F10" s="18" t="s">
        <v>254</v>
      </c>
      <c r="G10" s="19">
        <v>35</v>
      </c>
      <c r="H10" s="19">
        <v>35</v>
      </c>
      <c r="I10" s="19">
        <f t="shared" ref="I10:I15" si="0">G10-H10</f>
        <v>0</v>
      </c>
      <c r="J10" s="18" t="s">
        <v>1383</v>
      </c>
      <c r="K10" s="18" t="s">
        <v>15</v>
      </c>
      <c r="L10" s="18" t="s">
        <v>1379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1397</v>
      </c>
      <c r="D11" s="18" t="s">
        <v>1398</v>
      </c>
      <c r="E11" s="18" t="s">
        <v>1399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1383</v>
      </c>
      <c r="K11" s="18" t="s">
        <v>15</v>
      </c>
      <c r="L11" s="18" t="s">
        <v>1379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1400</v>
      </c>
      <c r="D12" s="18" t="s">
        <v>1401</v>
      </c>
      <c r="E12" s="18" t="s">
        <v>1402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1383</v>
      </c>
      <c r="K12" s="18" t="s">
        <v>15</v>
      </c>
      <c r="L12" s="18" t="s">
        <v>1379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1403</v>
      </c>
      <c r="D13" s="18" t="s">
        <v>1404</v>
      </c>
      <c r="E13" s="18" t="s">
        <v>1405</v>
      </c>
      <c r="F13" s="18" t="s">
        <v>212</v>
      </c>
      <c r="G13" s="19">
        <v>895</v>
      </c>
      <c r="H13" s="19">
        <v>25</v>
      </c>
      <c r="I13" s="19">
        <f t="shared" si="0"/>
        <v>870</v>
      </c>
      <c r="J13" s="18" t="s">
        <v>1383</v>
      </c>
      <c r="K13" s="18" t="s">
        <v>15</v>
      </c>
      <c r="L13" s="18" t="s">
        <v>1379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583</v>
      </c>
      <c r="D14" s="18"/>
      <c r="E14" s="18" t="s">
        <v>584</v>
      </c>
      <c r="F14" s="18" t="s">
        <v>212</v>
      </c>
      <c r="G14" s="19">
        <v>30</v>
      </c>
      <c r="H14" s="19">
        <v>30</v>
      </c>
      <c r="I14" s="19">
        <f t="shared" si="0"/>
        <v>0</v>
      </c>
      <c r="J14" s="18" t="s">
        <v>1383</v>
      </c>
      <c r="K14" s="18" t="s">
        <v>15</v>
      </c>
      <c r="L14" s="18" t="s">
        <v>1379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674</v>
      </c>
      <c r="D15" s="18"/>
      <c r="E15" s="18" t="s">
        <v>675</v>
      </c>
      <c r="F15" s="18" t="s">
        <v>254</v>
      </c>
      <c r="G15" s="19">
        <v>1340</v>
      </c>
      <c r="H15" s="19">
        <v>40</v>
      </c>
      <c r="I15" s="19">
        <f t="shared" si="0"/>
        <v>1300</v>
      </c>
      <c r="J15" s="18" t="s">
        <v>1383</v>
      </c>
      <c r="K15" s="18" t="s">
        <v>15</v>
      </c>
      <c r="L15" s="18" t="s">
        <v>1379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1406</v>
      </c>
      <c r="D16" s="18" t="s">
        <v>1407</v>
      </c>
      <c r="E16" s="18" t="s">
        <v>1408</v>
      </c>
      <c r="F16" s="18" t="s">
        <v>144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1379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730</v>
      </c>
      <c r="D17" s="18" t="s">
        <v>1409</v>
      </c>
      <c r="E17" s="18" t="s">
        <v>732</v>
      </c>
      <c r="F17" s="18" t="s">
        <v>19</v>
      </c>
      <c r="G17" s="19">
        <v>730</v>
      </c>
      <c r="H17" s="19">
        <v>20</v>
      </c>
      <c r="I17" s="19">
        <f t="shared" ref="I17:I24" si="1">G17-H17</f>
        <v>710</v>
      </c>
      <c r="J17" s="18" t="s">
        <v>15</v>
      </c>
      <c r="K17" s="18" t="s">
        <v>15</v>
      </c>
      <c r="L17" s="18" t="s">
        <v>1379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1410</v>
      </c>
      <c r="D18" s="18" t="s">
        <v>1411</v>
      </c>
      <c r="E18" s="18" t="s">
        <v>1412</v>
      </c>
      <c r="F18" s="18" t="s">
        <v>144</v>
      </c>
      <c r="G18" s="19">
        <v>900</v>
      </c>
      <c r="H18" s="19">
        <v>30</v>
      </c>
      <c r="I18" s="19">
        <f t="shared" si="1"/>
        <v>870</v>
      </c>
      <c r="J18" s="18" t="s">
        <v>15</v>
      </c>
      <c r="K18" s="18" t="s">
        <v>15</v>
      </c>
      <c r="L18" s="18" t="s">
        <v>1379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1413</v>
      </c>
      <c r="D19" s="18" t="s">
        <v>1414</v>
      </c>
      <c r="E19" s="18" t="s">
        <v>1415</v>
      </c>
      <c r="F19" s="18" t="s">
        <v>18</v>
      </c>
      <c r="G19" s="19">
        <v>1735</v>
      </c>
      <c r="H19" s="19">
        <v>25</v>
      </c>
      <c r="I19" s="19">
        <f t="shared" si="1"/>
        <v>1710</v>
      </c>
      <c r="J19" s="18" t="s">
        <v>15</v>
      </c>
      <c r="K19" s="18" t="s">
        <v>15</v>
      </c>
      <c r="L19" s="18" t="s">
        <v>1379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628</v>
      </c>
      <c r="D20" s="18" t="s">
        <v>1416</v>
      </c>
      <c r="E20" s="18" t="s">
        <v>630</v>
      </c>
      <c r="F20" s="18" t="s">
        <v>20</v>
      </c>
      <c r="G20" s="19">
        <v>775</v>
      </c>
      <c r="H20" s="19">
        <v>25</v>
      </c>
      <c r="I20" s="19">
        <f t="shared" si="1"/>
        <v>750</v>
      </c>
      <c r="J20" s="18" t="s">
        <v>15</v>
      </c>
      <c r="K20" s="18" t="s">
        <v>15</v>
      </c>
      <c r="L20" s="18" t="s">
        <v>1379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134</v>
      </c>
      <c r="D21" s="18"/>
      <c r="E21" s="18" t="s">
        <v>1417</v>
      </c>
      <c r="F21" s="18" t="s">
        <v>20</v>
      </c>
      <c r="G21" s="19">
        <v>1510</v>
      </c>
      <c r="H21" s="19">
        <v>30</v>
      </c>
      <c r="I21" s="19">
        <f t="shared" si="1"/>
        <v>1480</v>
      </c>
      <c r="J21" s="18" t="s">
        <v>15</v>
      </c>
      <c r="K21" s="18" t="s">
        <v>15</v>
      </c>
      <c r="L21" s="18" t="s">
        <v>1379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586</v>
      </c>
      <c r="D22" s="18"/>
      <c r="E22" s="18" t="s">
        <v>587</v>
      </c>
      <c r="F22" s="18" t="s">
        <v>144</v>
      </c>
      <c r="G22" s="19">
        <v>2375</v>
      </c>
      <c r="H22" s="19">
        <v>35</v>
      </c>
      <c r="I22" s="19">
        <f t="shared" si="1"/>
        <v>2340</v>
      </c>
      <c r="J22" s="18" t="s">
        <v>15</v>
      </c>
      <c r="K22" s="18" t="s">
        <v>15</v>
      </c>
      <c r="L22" s="18" t="s">
        <v>1379</v>
      </c>
      <c r="M22" s="18"/>
      <c r="N22" s="18"/>
      <c r="O22" s="18"/>
      <c r="P22" s="18"/>
      <c r="Q22" s="18">
        <v>1</v>
      </c>
    </row>
    <row r="23" spans="1:18" customFormat="1" x14ac:dyDescent="0.25">
      <c r="A23" s="18" t="s">
        <v>96</v>
      </c>
      <c r="B23" s="18" t="s">
        <v>34</v>
      </c>
      <c r="C23" s="18" t="s">
        <v>640</v>
      </c>
      <c r="D23" s="18"/>
      <c r="E23" s="18" t="s">
        <v>641</v>
      </c>
      <c r="F23" s="18" t="s">
        <v>20</v>
      </c>
      <c r="G23" s="19">
        <v>1690</v>
      </c>
      <c r="H23" s="19">
        <v>30</v>
      </c>
      <c r="I23" s="19">
        <f t="shared" si="1"/>
        <v>1660</v>
      </c>
      <c r="J23" s="18" t="s">
        <v>15</v>
      </c>
      <c r="K23" s="18" t="s">
        <v>15</v>
      </c>
      <c r="L23" s="18" t="s">
        <v>1379</v>
      </c>
      <c r="M23" s="18"/>
      <c r="N23" s="18"/>
      <c r="O23" s="18"/>
      <c r="P23" s="18"/>
      <c r="Q23" s="18">
        <v>1</v>
      </c>
    </row>
    <row r="24" spans="1:18" customFormat="1" x14ac:dyDescent="0.25">
      <c r="A24" s="18" t="s">
        <v>96</v>
      </c>
      <c r="B24" s="18" t="s">
        <v>34</v>
      </c>
      <c r="C24" s="18" t="s">
        <v>1418</v>
      </c>
      <c r="D24" s="18"/>
      <c r="E24" s="18" t="s">
        <v>1419</v>
      </c>
      <c r="F24" s="18" t="s">
        <v>19</v>
      </c>
      <c r="G24" s="19">
        <v>30</v>
      </c>
      <c r="H24" s="19">
        <v>30</v>
      </c>
      <c r="I24" s="19">
        <f t="shared" si="1"/>
        <v>0</v>
      </c>
      <c r="J24" s="18" t="s">
        <v>15</v>
      </c>
      <c r="K24" s="18" t="s">
        <v>15</v>
      </c>
      <c r="L24" s="18" t="s">
        <v>1379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1420</v>
      </c>
      <c r="D25" s="18" t="s">
        <v>1421</v>
      </c>
      <c r="E25" s="18" t="s">
        <v>1422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160</v>
      </c>
      <c r="K25" s="18" t="s">
        <v>15</v>
      </c>
      <c r="L25" s="18" t="s">
        <v>1379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733</v>
      </c>
      <c r="D26" s="18" t="s">
        <v>1423</v>
      </c>
      <c r="E26" s="18" t="s">
        <v>1424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160</v>
      </c>
      <c r="K26" s="18" t="s">
        <v>15</v>
      </c>
      <c r="L26" s="18" t="s">
        <v>1379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1425</v>
      </c>
      <c r="D27" s="18" t="s">
        <v>1426</v>
      </c>
      <c r="E27" s="18" t="s">
        <v>875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160</v>
      </c>
      <c r="K27" s="18" t="s">
        <v>15</v>
      </c>
      <c r="L27" s="18" t="s">
        <v>1379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1427</v>
      </c>
      <c r="D28" s="18" t="s">
        <v>1428</v>
      </c>
      <c r="E28" s="18" t="s">
        <v>1429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160</v>
      </c>
      <c r="K28" s="18" t="s">
        <v>15</v>
      </c>
      <c r="L28" s="18" t="s">
        <v>1379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1430</v>
      </c>
      <c r="D29" s="18" t="s">
        <v>1431</v>
      </c>
      <c r="E29" s="18" t="s">
        <v>1432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160</v>
      </c>
      <c r="K29" s="18" t="s">
        <v>15</v>
      </c>
      <c r="L29" s="18" t="s">
        <v>1379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1433</v>
      </c>
      <c r="D30" s="18" t="s">
        <v>1434</v>
      </c>
      <c r="E30" s="18" t="s">
        <v>1435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160</v>
      </c>
      <c r="K30" s="18" t="s">
        <v>15</v>
      </c>
      <c r="L30" s="18" t="s">
        <v>1379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657</v>
      </c>
      <c r="D31" s="18" t="s">
        <v>658</v>
      </c>
      <c r="E31" s="18" t="s">
        <v>659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1379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1436</v>
      </c>
      <c r="D32" s="18" t="s">
        <v>1437</v>
      </c>
      <c r="E32" s="18" t="s">
        <v>1438</v>
      </c>
      <c r="F32" s="18" t="s">
        <v>17</v>
      </c>
      <c r="G32" s="19">
        <v>780</v>
      </c>
      <c r="H32" s="19">
        <v>20</v>
      </c>
      <c r="I32" s="19">
        <f>G32-H32</f>
        <v>760</v>
      </c>
      <c r="J32" s="18" t="s">
        <v>160</v>
      </c>
      <c r="K32" s="18" t="s">
        <v>15</v>
      </c>
      <c r="L32" s="18" t="s">
        <v>1379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1439</v>
      </c>
      <c r="D33" s="18" t="s">
        <v>1440</v>
      </c>
      <c r="E33" s="18" t="s">
        <v>1441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160</v>
      </c>
      <c r="K33" s="18" t="s">
        <v>15</v>
      </c>
      <c r="L33" s="18" t="s">
        <v>1379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1442</v>
      </c>
      <c r="D34" s="18"/>
      <c r="E34" s="18" t="s">
        <v>1443</v>
      </c>
      <c r="F34" s="18" t="s">
        <v>18</v>
      </c>
      <c r="G34" s="19">
        <v>30</v>
      </c>
      <c r="H34" s="19">
        <v>30</v>
      </c>
      <c r="I34" s="19">
        <f>G34-H34</f>
        <v>0</v>
      </c>
      <c r="J34" s="18" t="s">
        <v>160</v>
      </c>
      <c r="K34" s="18" t="s">
        <v>15</v>
      </c>
      <c r="L34" s="18" t="s">
        <v>1379</v>
      </c>
      <c r="M34" s="18"/>
      <c r="N34" s="18"/>
      <c r="O34" s="18"/>
      <c r="P34" s="18"/>
      <c r="Q34" s="18">
        <v>1</v>
      </c>
    </row>
    <row r="36" spans="1:18" x14ac:dyDescent="0.25">
      <c r="G36" s="1">
        <f t="shared" ref="G36:R36" si="2">SUBTOTAL(9,G3:G35)</f>
        <v>23770</v>
      </c>
      <c r="H36" s="1">
        <f t="shared" si="2"/>
        <v>910</v>
      </c>
      <c r="I36" s="1">
        <f t="shared" si="2"/>
        <v>22860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200</v>
      </c>
    </row>
    <row r="37" spans="1:18" x14ac:dyDescent="0.25">
      <c r="I37" s="1">
        <v>-870</v>
      </c>
      <c r="J37" s="1" t="s">
        <v>663</v>
      </c>
    </row>
    <row r="40" spans="1:18" ht="20.25" customHeight="1" x14ac:dyDescent="0.3">
      <c r="H40" s="4" t="s">
        <v>1374</v>
      </c>
      <c r="I40" s="5" t="s">
        <v>21</v>
      </c>
      <c r="J40" s="6" t="s">
        <v>22</v>
      </c>
    </row>
    <row r="41" spans="1:18" ht="15.75" customHeight="1" x14ac:dyDescent="0.25">
      <c r="H41" s="7" t="s">
        <v>23</v>
      </c>
      <c r="I41" s="8">
        <f>SUM(I35:I39)</f>
        <v>21990</v>
      </c>
      <c r="J41" s="8">
        <f>Q36</f>
        <v>32</v>
      </c>
    </row>
    <row r="42" spans="1:18" x14ac:dyDescent="0.25">
      <c r="H42" s="9" t="s">
        <v>24</v>
      </c>
      <c r="I42" s="10">
        <f>R36</f>
        <v>200</v>
      </c>
      <c r="J42" s="11"/>
    </row>
    <row r="43" spans="1:18" x14ac:dyDescent="0.25">
      <c r="H43" s="9" t="s">
        <v>25</v>
      </c>
      <c r="I43" s="10">
        <f>S35</f>
        <v>0</v>
      </c>
      <c r="J43" s="11"/>
    </row>
    <row r="44" spans="1:18" x14ac:dyDescent="0.25">
      <c r="H44" s="9" t="s">
        <v>26</v>
      </c>
      <c r="I44" s="10">
        <f>T35</f>
        <v>0</v>
      </c>
      <c r="J44" s="11"/>
    </row>
    <row r="45" spans="1:18" x14ac:dyDescent="0.25">
      <c r="H45" s="9" t="s">
        <v>27</v>
      </c>
      <c r="I45" s="10">
        <f>U35</f>
        <v>0</v>
      </c>
      <c r="J45" s="11"/>
    </row>
    <row r="46" spans="1:18" ht="15.75" customHeight="1" x14ac:dyDescent="0.25">
      <c r="H46" s="12" t="s">
        <v>28</v>
      </c>
      <c r="I46" s="13"/>
      <c r="J46" s="13"/>
    </row>
    <row r="47" spans="1:18" ht="15.75" customHeight="1" x14ac:dyDescent="0.25">
      <c r="H47" s="14" t="s">
        <v>29</v>
      </c>
      <c r="I47" s="13"/>
      <c r="J47" s="13"/>
    </row>
    <row r="48" spans="1:18" ht="21" customHeight="1" x14ac:dyDescent="0.35">
      <c r="H48" s="15" t="s">
        <v>30</v>
      </c>
      <c r="I48" s="16">
        <f>SUM(I41:I47)</f>
        <v>22190</v>
      </c>
      <c r="J48" s="16">
        <f>SUM(J41:J45)</f>
        <v>32</v>
      </c>
    </row>
    <row r="50" spans="1:12" x14ac:dyDescent="0.25">
      <c r="A50" s="1" t="s">
        <v>663</v>
      </c>
    </row>
    <row r="51" spans="1:12" x14ac:dyDescent="0.25">
      <c r="A51" s="45" t="s">
        <v>34</v>
      </c>
      <c r="B51" s="45" t="s">
        <v>1226</v>
      </c>
      <c r="C51" s="45" t="s">
        <v>1227</v>
      </c>
      <c r="D51" s="45" t="s">
        <v>1228</v>
      </c>
      <c r="E51" s="46">
        <v>12</v>
      </c>
      <c r="F51" s="46">
        <v>870</v>
      </c>
      <c r="G51" s="46">
        <v>0</v>
      </c>
      <c r="H51" s="46">
        <f>F51-G51</f>
        <v>870</v>
      </c>
      <c r="I51" s="45" t="s">
        <v>662</v>
      </c>
      <c r="J51" s="45" t="s">
        <v>15</v>
      </c>
      <c r="K51" s="45" t="s">
        <v>1160</v>
      </c>
      <c r="L51" s="47" t="s">
        <v>1444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  <vt:lpstr>11-4</vt:lpstr>
      <vt:lpstr>13-4</vt:lpstr>
      <vt:lpstr>14-4</vt:lpstr>
      <vt:lpstr>15-4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2026-04-15T16:15:13Z</dcterms:modified>
</cp:coreProperties>
</file>