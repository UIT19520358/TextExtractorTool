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632C3273-C4A1-4F3F-9335-D254C1C5BC85}" xr6:coauthVersionLast="47" xr6:coauthVersionMax="47" xr10:uidLastSave="{00000000-0000-0000-0000-000000000000}"/>
  <bookViews>
    <workbookView xWindow="-120" yWindow="-120" windowWidth="29040" windowHeight="15720" firstSheet="3" activeTab="20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  <sheet name="22-4" sheetId="20" r:id="rId19"/>
    <sheet name="23-4" sheetId="21" r:id="rId20"/>
    <sheet name="24-4" sheetId="22" r:id="rId21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8" hidden="1">'22-4'!$A$2:$P$56</definedName>
    <definedName name="_xlnm._FilterDatabase" localSheetId="19" hidden="1">'23-4'!$A$2:$P$61</definedName>
    <definedName name="_xlnm._FilterDatabase" localSheetId="1" hidden="1">'2-4'!$A$2:$P$24</definedName>
    <definedName name="_xlnm._FilterDatabase" localSheetId="20" hidden="1">'24-4'!$A$2:$P$66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22" l="1"/>
  <c r="R66" i="22"/>
  <c r="R57" i="22"/>
  <c r="R49" i="22"/>
  <c r="R42" i="22"/>
  <c r="R41" i="22"/>
  <c r="R39" i="22"/>
  <c r="R36" i="22"/>
  <c r="R30" i="22"/>
  <c r="R23" i="22"/>
  <c r="R19" i="22"/>
  <c r="R18" i="22"/>
  <c r="R15" i="22"/>
  <c r="R14" i="22"/>
  <c r="R6" i="22"/>
  <c r="R4" i="22"/>
  <c r="R3" i="22"/>
  <c r="R40" i="22"/>
  <c r="R47" i="22"/>
  <c r="R64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77" i="22"/>
  <c r="I76" i="22"/>
  <c r="I75" i="22"/>
  <c r="Q68" i="22"/>
  <c r="J73" i="22" s="1"/>
  <c r="J80" i="22" s="1"/>
  <c r="P68" i="22"/>
  <c r="O68" i="22"/>
  <c r="N68" i="22"/>
  <c r="M68" i="22"/>
  <c r="L68" i="22"/>
  <c r="K68" i="22"/>
  <c r="J68" i="22"/>
  <c r="H68" i="22"/>
  <c r="G68" i="22"/>
  <c r="I68" i="22" l="1"/>
  <c r="I73" i="22" s="1"/>
  <c r="R68" i="22"/>
  <c r="I74" i="22" s="1"/>
  <c r="I80" i="22" l="1"/>
  <c r="R6" i="21" l="1"/>
  <c r="I6" i="21"/>
  <c r="R61" i="21" l="1"/>
  <c r="R58" i="21"/>
  <c r="R51" i="21"/>
  <c r="R50" i="21"/>
  <c r="R48" i="21"/>
  <c r="R46" i="21"/>
  <c r="R45" i="21"/>
  <c r="R42" i="21"/>
  <c r="R35" i="21"/>
  <c r="R32" i="21"/>
  <c r="R25" i="21"/>
  <c r="R22" i="21"/>
  <c r="R16" i="21"/>
  <c r="R10" i="21"/>
  <c r="R5" i="21"/>
  <c r="I61" i="21"/>
  <c r="I60" i="21"/>
  <c r="I59" i="21"/>
  <c r="I58" i="21"/>
  <c r="I57" i="21"/>
  <c r="I56" i="21"/>
  <c r="I55" i="21"/>
  <c r="I54" i="21"/>
  <c r="I53" i="21"/>
  <c r="I52" i="21"/>
  <c r="I51" i="21"/>
  <c r="I50" i="21"/>
  <c r="I49" i="21"/>
  <c r="I48" i="21"/>
  <c r="I47" i="21"/>
  <c r="I46" i="21"/>
  <c r="I45" i="21"/>
  <c r="I44" i="21"/>
  <c r="I43" i="21"/>
  <c r="I42" i="21"/>
  <c r="I41" i="21"/>
  <c r="I40" i="21"/>
  <c r="I39" i="21"/>
  <c r="I38" i="21"/>
  <c r="I37" i="21"/>
  <c r="I36" i="21"/>
  <c r="I35" i="21"/>
  <c r="I34" i="2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5" i="21"/>
  <c r="I4" i="21"/>
  <c r="I3" i="21"/>
  <c r="I72" i="21" l="1"/>
  <c r="I71" i="21"/>
  <c r="I70" i="21"/>
  <c r="R63" i="21"/>
  <c r="I69" i="21" s="1"/>
  <c r="Q63" i="21"/>
  <c r="J68" i="21" s="1"/>
  <c r="J75" i="21" s="1"/>
  <c r="P63" i="21"/>
  <c r="O63" i="21"/>
  <c r="N63" i="21"/>
  <c r="M63" i="21"/>
  <c r="L63" i="21"/>
  <c r="K63" i="21"/>
  <c r="J63" i="21"/>
  <c r="H63" i="21"/>
  <c r="G63" i="21"/>
  <c r="H73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58" i="20" s="1"/>
  <c r="I63" i="20" s="1"/>
  <c r="I8" i="20"/>
  <c r="I7" i="20"/>
  <c r="I6" i="20"/>
  <c r="I5" i="20"/>
  <c r="I4" i="20"/>
  <c r="I3" i="20"/>
  <c r="I67" i="20"/>
  <c r="I66" i="20"/>
  <c r="I65" i="20"/>
  <c r="Q58" i="20"/>
  <c r="J63" i="20" s="1"/>
  <c r="J70" i="20" s="1"/>
  <c r="P58" i="20"/>
  <c r="O58" i="20"/>
  <c r="N58" i="20"/>
  <c r="M58" i="20"/>
  <c r="L58" i="20"/>
  <c r="K58" i="20"/>
  <c r="J58" i="20"/>
  <c r="H58" i="20"/>
  <c r="G58" i="20"/>
  <c r="I63" i="21" l="1"/>
  <c r="I68" i="21" s="1"/>
  <c r="I75" i="21" s="1"/>
  <c r="R58" i="20"/>
  <c r="I64" i="20" s="1"/>
  <c r="I70" i="20" s="1"/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37" i="17" l="1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<sst xmlns="http://schemas.openxmlformats.org/spreadsheetml/2006/main" count="8117" uniqueCount="2598">
  <si>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</si>
  <si>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</si>
  <si>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</si>
  <si>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</si>
  <si>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</si>
  <si>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</si>
  <si>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</si>
  <si>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</si>
  <si>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</si>
  <si>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</si>
  <si>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</si>
  <si>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</si>
  <si>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</si>
  <si>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</si>
  <si>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</si>
  <si>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</si>
  <si>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</si>
  <si>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</si>
  <si>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</si>
  <si>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</si>
  <si>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</si>
  <si>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</si>
  <si>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</si>
  <si>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</si>
  <si>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</si>
  <si>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</si>
  <si>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</si>
  <si>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</si>
  <si>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</si>
  <si>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</si>
  <si>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</si>
  <si>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</si>
  <si>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</si>
  <si>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</si>
  <si>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</si>
  <si>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</si>
  <si>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</si>
  <si>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</si>
  <si>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</si>
  <si>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</si>
  <si>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</si>
  <si>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</si>
  <si>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</si>
  <si>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</si>
  <si>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</si>
  <si>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</si>
  <si>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</si>
  <si>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</si>
  <si>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</si>
  <si>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</si>
  <si>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</si>
  <si>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</si>
  <si>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</si>
  <si>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</si>
  <si>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</si>
  <si>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</si>
  <si>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</si>
  <si>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</si>
  <si>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</si>
  <si>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</si>
  <si>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</si>
  <si>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</si>
  <si>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</si>
  <si>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</si>
  <si>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</si>
  <si>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</si>
  <si>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</si>
  <si>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</si>
  <si>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</si>
  <si>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</si>
  <si>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</si>
  <si>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</si>
  <si>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</si>
  <si>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</si>
  <si>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</si>
  <si>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</si>
  <si>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</si>
  <si>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</si>
  <si>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</si>
  <si>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</si>
  <si>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</si>
  <si>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</si>
  <si>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</si>
  <si>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</si>
  <si>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</si>
  <si>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</si>
  <si>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</si>
  <si>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</si>
  <si>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</si>
  <si>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</si>
  <si>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</si>
  <si>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</si>
  <si>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</si>
  <si>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</si>
  <si>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</si>
  <si>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</si>
  <si>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</si>
  <si>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</si>
  <si>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</si>
  <si>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</si>
  <si>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</si>
  <si>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</si>
  <si>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</si>
  <si>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</si>
  <si>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</si>
  <si>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</si>
  <si>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</si>
  <si>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</si>
  <si>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</si>
  <si>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</si>
  <si>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</si>
  <si>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</si>
  <si>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</si>
  <si>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</si>
  <si>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</si>
  <si>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</si>
  <si>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</si>
  <si>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</si>
  <si>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</si>
  <si>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</si>
  <si>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</si>
  <si>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</si>
  <si>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</si>
  <si>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</si>
  <si>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</si>
  <si>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</si>
  <si>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</si>
  <si>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</si>
  <si>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</si>
  <si>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</si>
  <si>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</si>
  <si>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</si>
  <si>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</si>
  <si>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</si>
  <si>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</si>
  <si>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</si>
  <si>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</si>
  <si>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</si>
  <si>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</si>
  <si>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</si>
  <si>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</si>
  <si>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</si>
  <si>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</si>
  <si>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</si>
  <si>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</si>
  <si>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</si>
  <si>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</si>
  <si>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</si>
  <si>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</si>
  <si>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</si>
  <si>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</si>
  <si>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</si>
  <si>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</si>
  <si>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</si>
  <si>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</si>
  <si>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</si>
  <si>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</si>
  <si>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</si>
  <si>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</si>
  <si>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</si>
  <si>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</si>
  <si>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</si>
  <si>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</si>
  <si>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</si>
  <si>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</si>
  <si>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</si>
  <si>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</si>
  <si>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</si>
  <si>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</si>
  <si>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</si>
  <si>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</si>
  <si>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</si>
  <si>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</si>
  <si>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</si>
  <si>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</si>
  <si>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</si>
  <si>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</si>
  <si>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</si>
  <si>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</si>
  <si>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</si>
  <si>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</si>
  <si>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</si>
  <si>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</si>
  <si>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</si>
  <si>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</si>
  <si>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</si>
  <si>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</si>
  <si>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</si>
  <si>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</si>
  <si>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</si>
  <si>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</si>
  <si>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</si>
  <si>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</si>
  <si>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</si>
  <si>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</si>
  <si>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</si>
  <si>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</si>
  <si>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</si>
  <si>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</si>
  <si>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</si>
  <si>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</si>
  <si>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</si>
  <si>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</si>
  <si>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</si>
  <si>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</si>
  <si>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</si>
  <si>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</si>
  <si>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</si>
  <si>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</si>
  <si>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</si>
  <si>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</si>
  <si>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</si>
  <si>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</si>
  <si>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</si>
  <si>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</si>
  <si>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</si>
  <si>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</si>
  <si>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</si>
  <si>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</si>
  <si>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</si>
  <si>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</si>
  <si>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</si>
  <si>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</si>
  <si>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</si>
  <si>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</si>
  <si>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</si>
  <si>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</si>
  <si>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</si>
  <si>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</si>
  <si>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</si>
  <si>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</si>
  <si>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</si>
  <si>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</si>
  <si>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</si>
  <si>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</si>
  <si>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</si>
  <si>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</si>
  <si>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</si>
  <si>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</si>
  <si>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</si>
  <si>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</si>
  <si>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</si>
  <si>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</si>
  <si>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</si>
  <si>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</si>
  <si>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</si>
  <si>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</si>
  <si>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</si>
  <si>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</si>
  <si>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</si>
  <si>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</si>
  <si>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</si>
  <si>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</si>
  <si>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</si>
  <si>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</si>
  <si>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</si>
  <si>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</si>
  <si>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</si>
  <si>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</si>
  <si>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</si>
  <si>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</si>
  <si>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</si>
  <si>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</si>
  <si>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</si>
  <si>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</si>
  <si>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</si>
  <si>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</si>
  <si>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</si>
  <si>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</si>
  <si>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</si>
  <si>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</si>
  <si>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</si>
  <si>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</si>
  <si>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</si>
  <si>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</si>
  <si>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</si>
  <si>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</si>
  <si>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</si>
  <si>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</si>
  <si>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</si>
  <si>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</si>
  <si>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</si>
  <si>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</si>
  <si>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</si>
  <si>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</si>
  <si>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</si>
  <si>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</si>
  <si>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</si>
  <si>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</si>
  <si>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</si>
  <si>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</si>
  <si>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</si>
  <si>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</si>
  <si>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</si>
  <si>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</si>
  <si>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</si>
  <si>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</si>
  <si>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</si>
  <si>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</si>
  <si>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</si>
  <si>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</si>
  <si>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</si>
  <si>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</si>
  <si>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</si>
  <si>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</si>
  <si>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</si>
  <si>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</si>
  <si>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</si>
  <si>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</si>
  <si>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</si>
  <si>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</si>
  <si>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</si>
  <si>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</si>
  <si>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</si>
  <si>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</si>
  <si>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</si>
  <si>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</si>
  <si>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</si>
  <si>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</si>
  <si>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</si>
  <si>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</si>
  <si>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</si>
  <si>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</si>
  <si>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</si>
  <si>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</si>
  <si>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</si>
  <si>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</si>
  <si>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</si>
  <si>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</si>
  <si>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</si>
  <si>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</si>
  <si>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</si>
  <si>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</si>
  <si>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</si>
  <si>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</si>
  <si>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</si>
  <si>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</si>
  <si>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</si>
  <si>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</si>
  <si>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</si>
  <si>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</si>
  <si>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</si>
  <si>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</si>
  <si>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</si>
  <si>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</si>
  <si>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</si>
  <si>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</si>
  <si>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</si>
  <si>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</si>
  <si>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</si>
  <si>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</si>
  <si>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</si>
  <si>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</si>
  <si>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</si>
  <si>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</si>
  <si>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</si>
  <si>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</si>
  <si>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</si>
  <si>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</si>
  <si>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</si>
  <si>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</si>
  <si>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</si>
  <si>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</si>
  <si>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</si>
  <si>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</si>
  <si>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</si>
  <si>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</si>
  <si>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</si>
  <si>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</si>
  <si>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</si>
  <si>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</si>
  <si>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</si>
  <si>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</si>
  <si>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</si>
  <si>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</si>
  <si>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</si>
  <si>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</si>
  <si>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</si>
  <si>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</si>
  <si>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</si>
  <si>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</si>
  <si>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</si>
  <si>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</si>
  <si>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</si>
  <si>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</si>
  <si>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</si>
  <si>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</si>
  <si>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</si>
  <si>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</si>
  <si>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</si>
  <si>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</si>
  <si>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</si>
  <si>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</si>
  <si>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</si>
  <si>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</si>
  <si>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</si>
  <si>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</si>
  <si>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</si>
  <si>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</si>
  <si>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</si>
  <si>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</si>
  <si>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</si>
  <si>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</si>
  <si>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</si>
  <si>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</si>
  <si>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</si>
  <si>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</si>
  <si>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</si>
  <si>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</si>
  <si>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</si>
  <si>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</si>
  <si>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</si>
  <si>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</si>
  <si>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</si>
  <si>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</si>
  <si>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</si>
  <si>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</si>
  <si>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</si>
  <si>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</si>
  <si>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</si>
  <si>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</si>
  <si>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</si>
  <si>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</si>
  <si>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</si>
  <si>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</si>
  <si>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</si>
  <si>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</si>
  <si>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</si>
  <si>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</si>
  <si>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</si>
  <si>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</si>
  <si>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</si>
  <si>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</si>
  <si>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</si>
  <si>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</si>
  <si>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</si>
  <si>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</si>
  <si>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</si>
  <si>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</si>
  <si>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</si>
  <si>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</si>
  <si>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</si>
  <si>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</si>
  <si>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</si>
  <si>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</si>
  <si>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</si>
  <si>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</si>
  <si>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</si>
  <si>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</si>
  <si>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</si>
  <si>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</si>
  <si>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</si>
  <si>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</si>
  <si>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</si>
  <si>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</si>
  <si>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</si>
  <si>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</si>
  <si>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</si>
  <si>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</si>
  <si>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</si>
  <si>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</si>
  <si>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</si>
  <si>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</si>
  <si>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</si>
  <si>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</si>
  <si>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</si>
  <si>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</si>
  <si>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</si>
  <si>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</si>
  <si>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</si>
  <si>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</si>
  <si>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</si>
  <si>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</si>
  <si>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</si>
  <si>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</si>
  <si>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</si>
  <si>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</si>
  <si>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</si>
  <si>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</si>
  <si>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</si>
  <si>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</si>
  <si>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</si>
  <si>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</si>
  <si>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</si>
  <si>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</si>
  <si>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</si>
  <si>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</si>
  <si>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</si>
  <si>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</si>
  <si>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</si>
  <si>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</si>
  <si>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</si>
  <si>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</si>
  <si>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</si>
  <si>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</si>
  <si>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</si>
  <si>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</si>
  <si>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</si>
  <si>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</si>
  <si>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</si>
  <si>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</si>
  <si>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</si>
  <si>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</si>
  <si>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</si>
  <si>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</si>
  <si>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</si>
  <si>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</si>
  <si>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</si>
  <si>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</si>
  <si>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</si>
  <si>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</si>
  <si>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</si>
  <si>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</si>
  <si>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</si>
  <si>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</si>
  <si>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</si>
  <si>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</si>
  <si>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</si>
  <si>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</si>
  <si>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</si>
  <si>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</si>
  <si>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</si>
  <si>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</si>
  <si>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</si>
  <si>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</si>
  <si>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</si>
  <si>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</si>
  <si>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</si>
  <si>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</si>
  <si>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</si>
  <si>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</si>
  <si>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</si>
  <si>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</si>
  <si>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</si>
  <si>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</si>
  <si>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</si>
  <si>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</si>
  <si>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</si>
  <si>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</si>
  <si>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</si>
  <si>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</si>
  <si>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</si>
  <si>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</si>
  <si>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</si>
  <si>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</si>
  <si>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</si>
  <si>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</si>
  <si>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</si>
  <si>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</si>
  <si>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</si>
  <si>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</si>
  <si>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</si>
  <si>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</si>
  <si>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</si>
  <si>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</si>
  <si>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</si>
  <si>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</si>
  <si>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</si>
  <si>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</si>
  <si>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</si>
  <si>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</si>
  <si>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</si>
  <si>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</si>
  <si>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</si>
  <si>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</si>
  <si>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</si>
  <si>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</si>
  <si>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</si>
  <si>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</si>
  <si>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</si>
  <si>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</si>
  <si>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</si>
  <si>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</si>
  <si>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</si>
  <si>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</si>
  <si>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</si>
  <si>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</si>
  <si>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</si>
  <si>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</si>
  <si>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</si>
  <si>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</si>
  <si>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</si>
  <si>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</si>
  <si>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</si>
  <si>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</si>
  <si>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</si>
  <si>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</si>
  <si>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</si>
  <si>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</si>
  <si>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</si>
  <si>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</si>
  <si>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</si>
  <si>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</si>
  <si>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</si>
  <si>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</si>
  <si>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</si>
  <si>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</si>
  <si>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</si>
  <si>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</si>
  <si>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</si>
  <si>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</si>
  <si>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</si>
  <si>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</si>
  <si>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</si>
  <si>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</si>
  <si>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</si>
  <si>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</si>
  <si>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</si>
  <si>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</si>
  <si>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</si>
  <si>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</si>
  <si>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</si>
  <si>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</si>
  <si>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</si>
  <si>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</si>
  <si>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</si>
  <si>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</si>
  <si>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</si>
  <si>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</si>
  <si>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</si>
  <si>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</si>
  <si>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</si>
  <si>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</si>
  <si>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</si>
  <si>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</si>
  <si>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</si>
  <si>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</si>
  <si>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</si>
  <si>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</si>
  <si>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</si>
  <si>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</si>
  <si>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</si>
  <si>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</si>
  <si>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</si>
  <si>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</si>
  <si>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</si>
  <si>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</si>
  <si>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</si>
  <si>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</si>
  <si>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</si>
  <si>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</si>
  <si>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</si>
  <si>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</si>
  <si>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</si>
  <si>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</si>
  <si>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</si>
  <si>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</si>
  <si>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</si>
  <si>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</si>
  <si>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</si>
  <si>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</si>
  <si>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</si>
  <si>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</si>
  <si>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</si>
  <si>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</si>
  <si>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</si>
  <si>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</si>
  <si>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</si>
  <si>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</si>
  <si>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</si>
  <si>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</si>
  <si>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</si>
  <si>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</si>
  <si>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</si>
  <si>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</si>
  <si>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</si>
  <si>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</si>
  <si>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</si>
  <si>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</si>
  <si>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</si>
  <si>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</si>
  <si>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</si>
  <si>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</si>
  <si>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</si>
  <si>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</si>
  <si>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</si>
  <si>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</si>
  <si>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</si>
  <si>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</si>
  <si>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</si>
  <si>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</si>
  <si>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</si>
  <si>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</si>
  <si>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</si>
  <si>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</si>
  <si>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</si>
  <si>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</si>
  <si>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</si>
  <si>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</si>
  <si>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</si>
  <si>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</si>
  <si>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</si>
  <si>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</si>
  <si>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</si>
  <si>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</si>
  <si>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</si>
  <si>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</si>
  <si>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</si>
  <si>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</si>
  <si>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</si>
  <si>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</si>
  <si>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</si>
  <si>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</si>
  <si>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</si>
  <si>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</si>
  <si>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</si>
  <si>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</si>
  <si>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</si>
  <si>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</si>
  <si>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</si>
  <si>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</si>
  <si>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</si>
  <si>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</si>
  <si>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</si>
  <si>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</si>
  <si>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</si>
  <si>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</si>
  <si>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</si>
  <si>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</si>
  <si>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</si>
  <si>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</si>
  <si>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</si>
  <si>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</si>
  <si>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</si>
  <si>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</si>
  <si>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</si>
  <si>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</si>
  <si>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</si>
  <si>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</si>
  <si>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</si>
  <si>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</si>
  <si>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</si>
  <si>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</si>
  <si>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</si>
  <si>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</si>
  <si>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</si>
  <si>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</si>
  <si>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</si>
  <si>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</si>
  <si>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</si>
  <si>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</si>
  <si>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</si>
  <si>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</si>
  <si>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</si>
  <si>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</si>
  <si>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</si>
  <si>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</si>
  <si>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</si>
  <si>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</si>
  <si>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</si>
  <si>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</si>
  <si>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</si>
  <si>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</si>
  <si>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</si>
  <si>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</si>
  <si>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</si>
  <si>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</si>
  <si>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</si>
  <si>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</si>
  <si>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</si>
  <si>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</si>
  <si>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</si>
  <si>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</si>
  <si>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</si>
  <si>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</si>
  <si>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</si>
  <si>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</si>
  <si>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</si>
  <si>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</si>
  <si>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</si>
  <si>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</si>
  <si>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</si>
  <si>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</si>
  <si>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</si>
  <si>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</si>
  <si>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</si>
  <si>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</si>
  <si>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</si>
  <si>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</si>
  <si>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</si>
  <si>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</si>
  <si>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</si>
  <si>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</si>
  <si>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</si>
  <si>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</si>
  <si>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</si>
  <si>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</si>
  <si>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</si>
  <si>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</si>
  <si>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</si>
  <si>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</si>
  <si>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</si>
  <si>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</si>
  <si>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</si>
  <si>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</si>
  <si>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</si>
  <si>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</si>
  <si>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</si>
  <si>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</si>
  <si>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</si>
  <si>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</si>
  <si>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</si>
  <si>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</si>
  <si>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</si>
  <si>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</si>
  <si>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</si>
  <si>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</si>
  <si>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</si>
  <si>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</si>
  <si>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</si>
  <si>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</si>
  <si>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</si>
  <si>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</si>
  <si>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</si>
  <si>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</si>
  <si>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</si>
  <si>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</si>
  <si>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</si>
  <si>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</si>
  <si>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</si>
  <si>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</si>
  <si>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</si>
  <si>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</si>
  <si>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</si>
  <si>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</si>
  <si>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</si>
  <si>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</si>
  <si>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</si>
  <si>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</si>
  <si>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</si>
  <si>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</si>
  <si>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</si>
  <si>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</si>
  <si>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</si>
  <si>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</si>
  <si>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</si>
  <si>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</si>
  <si>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</si>
  <si>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</si>
  <si>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</si>
  <si>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</si>
  <si>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</si>
  <si>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</si>
  <si>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</si>
  <si>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</si>
  <si>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</si>
  <si>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</si>
  <si>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</si>
  <si>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</si>
  <si>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</si>
  <si>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</si>
  <si>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</si>
  <si>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</si>
  <si>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</si>
  <si>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</si>
  <si>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</si>
  <si>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</si>
  <si>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</si>
  <si>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</si>
  <si>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</si>
  <si>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</si>
  <si>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</si>
  <si>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</si>
  <si>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</si>
  <si>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</si>
  <si>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</si>
  <si>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</si>
  <si>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</si>
  <si>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</si>
  <si>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</si>
  <si>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</si>
  <si>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</si>
  <si>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</si>
  <si>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</si>
  <si>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</si>
  <si>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</si>
  <si>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</si>
  <si>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</si>
  <si>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</si>
  <si>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</si>
  <si>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</si>
  <si>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</si>
  <si>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</si>
  <si>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</si>
  <si>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</si>
  <si>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</si>
  <si>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</si>
  <si>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</si>
  <si>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</si>
  <si>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</si>
  <si>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</si>
  <si>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</si>
  <si>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</si>
  <si>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</si>
  <si>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</si>
  <si>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</si>
  <si>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</si>
  <si>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</si>
  <si>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</si>
  <si>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</si>
  <si>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</si>
  <si>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</si>
  <si>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</si>
  <si>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</si>
  <si>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</si>
  <si>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</si>
  <si>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</si>
  <si>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</si>
  <si>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</si>
  <si>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</si>
  <si>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</si>
  <si>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</si>
  <si>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</si>
  <si>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</si>
  <si>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</si>
  <si>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</si>
  <si>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</si>
  <si>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</si>
  <si>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</si>
  <si>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</si>
  <si>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</si>
  <si>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</si>
  <si>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</si>
  <si>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</si>
  <si>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</si>
  <si>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</si>
  <si>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</si>
  <si>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</si>
  <si>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</si>
  <si>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</si>
  <si>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</si>
  <si>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</si>
  <si>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</si>
  <si>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</si>
  <si>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</si>
  <si>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</si>
  <si>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</si>
  <si>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</si>
  <si>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</si>
  <si>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</si>
  <si>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</si>
  <si>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</si>
  <si>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</si>
  <si>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</si>
  <si>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</si>
  <si>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</si>
  <si>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</si>
  <si>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</si>
  <si>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</si>
  <si>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</si>
  <si>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</si>
  <si>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</si>
  <si>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</si>
  <si>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</si>
  <si>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</si>
  <si>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</si>
  <si>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</si>
  <si>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</si>
  <si>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</si>
  <si>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</si>
  <si>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</si>
  <si>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</si>
  <si>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</si>
  <si>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</si>
  <si>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</si>
  <si>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</si>
  <si>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</si>
  <si>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</si>
  <si>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</si>
  <si>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</si>
  <si>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</si>
  <si>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</si>
  <si>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</si>
  <si>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</si>
  <si>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</si>
  <si>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</si>
  <si>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</si>
  <si>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</si>
  <si>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</si>
  <si>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</si>
  <si>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</si>
  <si>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</si>
  <si>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</si>
  <si>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</si>
  <si>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</si>
  <si>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</si>
  <si>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</si>
  <si>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</si>
  <si>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</si>
  <si>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</si>
  <si>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</si>
  <si>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</si>
  <si>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</si>
  <si>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</si>
  <si>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</si>
  <si>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</si>
  <si>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</si>
  <si>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</si>
  <si>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</si>
  <si>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</si>
  <si>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</si>
  <si>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</si>
  <si>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</si>
  <si>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</si>
  <si>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</si>
  <si>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</si>
  <si>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</si>
  <si>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</si>
  <si>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</si>
  <si>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</si>
  <si>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</si>
  <si>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</si>
  <si>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</si>
  <si>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</si>
  <si>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</si>
  <si>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</si>
  <si>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</si>
  <si>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</si>
  <si>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</si>
  <si>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</si>
  <si>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</si>
  <si>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</si>
  <si>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</si>
  <si>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</si>
  <si>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</si>
  <si>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</si>
  <si>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</si>
  <si>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</si>
  <si>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</si>
  <si>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</si>
  <si>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</si>
  <si>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</si>
  <si>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</si>
  <si>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</si>
  <si>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</si>
  <si>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</si>
  <si>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</si>
  <si>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</si>
  <si>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</si>
  <si>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</si>
  <si>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</si>
  <si>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</si>
  <si>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</si>
  <si>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</si>
  <si>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</si>
  <si>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</si>
  <si>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</si>
  <si>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</si>
  <si>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</si>
  <si>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</si>
  <si>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</si>
  <si>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</si>
  <si>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</si>
  <si>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</si>
  <si>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</si>
  <si>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</si>
  <si>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</si>
  <si>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</si>
  <si>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</si>
  <si>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</si>
  <si>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</si>
  <si>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</si>
  <si>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</si>
  <si>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</si>
  <si>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</si>
  <si>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</si>
  <si>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</si>
  <si>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</si>
  <si>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</si>
  <si>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</si>
  <si>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</si>
  <si>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</si>
  <si>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</si>
  <si>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</si>
  <si>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</si>
  <si>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</si>
  <si>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</si>
  <si>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</si>
  <si>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</si>
  <si>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</si>
  <si>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</si>
  <si>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</si>
  <si>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</si>
  <si>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</si>
  <si>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</si>
  <si>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</si>
  <si>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</si>
  <si>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</si>
  <si>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</si>
  <si>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</si>
  <si>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</si>
  <si>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</si>
  <si>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</si>
  <si>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</si>
  <si>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</si>
  <si>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</si>
  <si>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</si>
  <si>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</si>
  <si>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</si>
  <si>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</si>
  <si>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</si>
  <si>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</si>
  <si>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</si>
  <si>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</si>
  <si>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</si>
  <si>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</si>
  <si>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</si>
  <si>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</si>
  <si>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</si>
  <si>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</si>
  <si>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</si>
  <si>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</si>
  <si>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</si>
  <si>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</si>
  <si>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</si>
  <si>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</si>
  <si>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</si>
  <si>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</si>
  <si>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</si>
  <si>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</si>
  <si>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</si>
  <si>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</si>
  <si>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</si>
  <si>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</si>
  <si>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</si>
  <si>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</si>
  <si>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</si>
  <si>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</si>
  <si>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</si>
  <si>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</si>
  <si>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</si>
  <si>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</si>
  <si>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</si>
  <si>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</si>
  <si>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</si>
  <si>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</si>
  <si>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</si>
  <si>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</si>
  <si>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</si>
  <si>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</si>
  <si>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</si>
  <si>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</si>
  <si>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</si>
  <si>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</si>
  <si>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</si>
  <si>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</si>
  <si>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</si>
  <si>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</si>
  <si>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</si>
  <si>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</si>
  <si>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</si>
  <si>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</si>
  <si>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</si>
  <si>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</si>
  <si>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</si>
  <si>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</si>
  <si>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</si>
  <si>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</si>
  <si>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</si>
  <si>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</si>
  <si>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</si>
  <si>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</si>
  <si>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</si>
  <si>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</si>
  <si>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</si>
  <si>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</si>
  <si>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</si>
  <si>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</si>
  <si>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</si>
  <si>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</si>
  <si>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</si>
  <si>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</si>
  <si>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</si>
  <si>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</si>
  <si>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</si>
  <si>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</si>
  <si>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</si>
  <si>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</si>
  <si>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</si>
  <si>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</si>
  <si>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</si>
  <si>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</si>
  <si>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</si>
  <si>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</si>
  <si>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</si>
  <si>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</si>
  <si>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</si>
  <si>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</si>
  <si>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</si>
  <si>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</si>
  <si>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</si>
  <si>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</si>
  <si>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</si>
  <si>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</si>
  <si>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</si>
  <si>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</si>
  <si>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</si>
  <si>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</si>
  <si>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</si>
  <si>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</si>
  <si>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</si>
  <si>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</si>
  <si>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</si>
  <si>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</si>
  <si>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</si>
  <si>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</si>
  <si>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</si>
  <si>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</si>
  <si>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</si>
  <si>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</si>
  <si>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</si>
  <si>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</si>
  <si>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</si>
  <si>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</si>
  <si>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</si>
  <si>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</si>
  <si>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</si>
  <si>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</si>
  <si>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</si>
  <si>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</si>
  <si>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</si>
  <si>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</si>
  <si>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</si>
  <si>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</si>
  <si>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</si>
  <si>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</si>
  <si>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</si>
  <si>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</si>
  <si>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</si>
  <si>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</si>
  <si>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</si>
  <si>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</si>
  <si>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</si>
  <si>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</si>
  <si>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</si>
  <si>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</si>
  <si>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</si>
  <si>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</si>
  <si>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</si>
  <si>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</si>
  <si>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</si>
  <si>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</si>
  <si>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</si>
  <si>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</si>
  <si>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</si>
  <si>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</si>
  <si>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</si>
  <si>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</si>
  <si>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</si>
  <si>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</si>
  <si>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</si>
  <si>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</si>
  <si>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</si>
  <si>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</si>
  <si>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</si>
  <si>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</si>
  <si>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</si>
  <si>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</si>
  <si>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</si>
  <si>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</si>
  <si>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</si>
  <si>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</si>
  <si>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</si>
  <si>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</si>
  <si>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</si>
  <si>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</si>
  <si>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</si>
  <si>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</si>
  <si>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</si>
  <si>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</si>
  <si>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</si>
  <si>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</si>
  <si>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</si>
  <si>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</si>
  <si>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</si>
  <si>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</si>
  <si>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</si>
  <si>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</si>
  <si>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</si>
  <si>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</si>
  <si>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</si>
  <si>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</si>
  <si>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</si>
  <si>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</si>
  <si>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</si>
  <si>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</si>
  <si>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</si>
  <si>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</si>
  <si>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</si>
  <si>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</si>
  <si>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</si>
  <si>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</si>
  <si>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</si>
  <si>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</si>
  <si>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</si>
  <si>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</si>
  <si>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</si>
  <si>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</si>
  <si>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</si>
  <si>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</si>
  <si>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</si>
  <si>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</si>
  <si>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</si>
  <si>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</si>
  <si>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</si>
  <si>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</si>
  <si>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</si>
  <si>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</si>
  <si>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</si>
  <si>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</si>
  <si>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</si>
  <si>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</si>
  <si>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</si>
  <si>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</si>
  <si>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</si>
  <si>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</si>
  <si>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</si>
  <si>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</si>
  <si>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</si>
  <si>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</si>
  <si>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</si>
  <si>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</si>
  <si>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</si>
  <si>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</si>
  <si>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</si>
  <si>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</si>
  <si>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</si>
  <si>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</si>
  <si>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</si>
  <si>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</si>
  <si>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</si>
  <si>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</si>
  <si>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</si>
  <si>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</si>
  <si>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</si>
  <si>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</si>
  <si>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</si>
  <si>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</si>
  <si>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</si>
  <si>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</si>
  <si>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</si>
  <si>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</si>
  <si>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</si>
  <si>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</si>
  <si>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</si>
  <si>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</si>
  <si>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</si>
  <si>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</si>
  <si>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</si>
  <si>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</si>
  <si>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</si>
  <si>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</si>
  <si>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</si>
  <si>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</si>
  <si>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</si>
  <si>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</si>
  <si>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</si>
  <si>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</si>
  <si>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</si>
  <si>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</si>
  <si>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</si>
  <si>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</si>
  <si>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</si>
  <si>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</si>
  <si>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</si>
  <si>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</si>
  <si>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</si>
  <si>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</si>
  <si>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</si>
  <si>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</si>
  <si>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</si>
  <si>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</si>
  <si>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</si>
  <si>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</si>
  <si>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</si>
  <si>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</si>
  <si>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</si>
  <si>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</si>
  <si>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</si>
  <si>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</si>
  <si>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</si>
  <si>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</si>
  <si>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</si>
  <si>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</si>
  <si>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</si>
  <si>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</si>
  <si>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</si>
  <si>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</si>
  <si>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</si>
  <si>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</si>
  <si>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</si>
  <si>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</si>
  <si>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</si>
  <si>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</si>
  <si>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</si>
  <si>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</si>
  <si>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</si>
  <si>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</si>
  <si>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</si>
  <si>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</si>
  <si>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</si>
  <si>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</si>
  <si>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</si>
  <si>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</si>
  <si>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</si>
  <si>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</si>
  <si>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</si>
  <si>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</si>
  <si>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</si>
  <si>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</si>
  <si>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</si>
  <si>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</si>
  <si>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</si>
  <si>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</si>
  <si>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</si>
  <si>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</si>
  <si>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</si>
  <si>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</si>
  <si>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</si>
  <si>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</si>
  <si>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</si>
  <si>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</si>
  <si>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</si>
  <si>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</si>
  <si>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</si>
  <si>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</si>
  <si>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</si>
  <si>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</si>
  <si>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</si>
  <si>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</si>
  <si>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</si>
  <si>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</si>
  <si>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</si>
  <si>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</si>
  <si>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</si>
  <si>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</si>
  <si>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</si>
  <si>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</si>
  <si>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</si>
  <si>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</si>
  <si>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</si>
  <si>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</si>
  <si>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</si>
  <si>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</si>
  <si>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</si>
  <si>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</si>
  <si>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</si>
  <si>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</si>
  <si>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</si>
  <si>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</si>
  <si>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</si>
  <si>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</si>
  <si>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</si>
  <si>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</si>
  <si>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</si>
  <si>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</si>
  <si>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</si>
  <si>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</si>
  <si>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</si>
  <si>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</si>
  <si>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</si>
  <si>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</si>
  <si>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</si>
  <si>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</si>
  <si>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</si>
  <si>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</si>
  <si>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</si>
  <si>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</si>
  <si>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</si>
  <si>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</si>
  <si>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</si>
  <si>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</si>
  <si>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</si>
  <si>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</si>
  <si>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</si>
  <si>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</si>
  <si>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</si>
  <si>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</si>
  <si>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</si>
  <si>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</si>
  <si>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</si>
  <si>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</si>
  <si>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</si>
  <si>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</si>
  <si>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</si>
  <si>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</si>
  <si>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</si>
  <si>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</si>
  <si>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</si>
  <si>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</si>
  <si>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</si>
  <si>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</si>
  <si>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</si>
  <si>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</si>
  <si>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</si>
  <si>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</si>
  <si>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</si>
  <si>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</si>
  <si>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</si>
  <si>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</si>
  <si>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</si>
  <si>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</si>
  <si>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</si>
  <si>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</si>
  <si>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</si>
  <si>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</si>
  <si>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</si>
  <si>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</si>
  <si>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</si>
  <si>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</si>
  <si>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</si>
  <si>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</si>
  <si>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</si>
  <si>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</si>
  <si>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</si>
  <si>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</si>
  <si>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</si>
  <si>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</si>
  <si>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</si>
  <si>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</si>
  <si>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</si>
  <si>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</si>
  <si>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</si>
  <si>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</si>
  <si>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</si>
  <si>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</si>
  <si>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</si>
  <si>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</si>
  <si>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</si>
  <si>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</si>
  <si>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</si>
  <si>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</si>
  <si>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</si>
  <si>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</si>
  <si>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</si>
  <si>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</si>
  <si>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</si>
  <si>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</si>
  <si>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</si>
  <si>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</si>
  <si>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</si>
  <si>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</si>
  <si>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</si>
  <si>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</si>
  <si>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</si>
  <si>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</si>
  <si>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</si>
  <si>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</si>
  <si>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</si>
  <si>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</si>
  <si>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</si>
  <si>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</si>
  <si>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</si>
  <si>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</si>
  <si>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</si>
  <si>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</si>
  <si>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</si>
  <si>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</si>
  <si>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</si>
  <si>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</si>
  <si>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</si>
  <si>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</si>
  <si>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</si>
  <si>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</si>
  <si>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</si>
  <si>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</si>
  <si>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</si>
  <si>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</si>
  <si>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</si>
  <si>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</si>
  <si>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</si>
  <si>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</si>
  <si>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</si>
  <si>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</si>
  <si>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</si>
  <si>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</si>
  <si>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</si>
  <si>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</si>
  <si>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</si>
  <si>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</si>
  <si>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</si>
  <si>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</si>
  <si>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</si>
  <si>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</si>
  <si>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</si>
  <si>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</si>
  <si>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</si>
  <si>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</si>
  <si>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</si>
  <si>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</si>
  <si>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</si>
  <si>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</si>
  <si>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</si>
  <si>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</si>
  <si>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</si>
  <si>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</si>
  <si>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</si>
  <si>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</si>
  <si>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</si>
  <si>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</si>
  <si>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</si>
  <si>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</si>
  <si>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</si>
  <si>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</si>
  <si>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</si>
  <si>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</si>
  <si>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</si>
  <si>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</si>
  <si>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</si>
  <si>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</si>
  <si>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</si>
  <si>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</si>
  <si>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</si>
  <si>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</si>
  <si>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</si>
  <si>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</si>
  <si>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</si>
  <si>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</si>
  <si>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</si>
  <si>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</si>
  <si>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</si>
  <si>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</si>
  <si>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</si>
  <si>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</si>
  <si>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</si>
  <si>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</si>
  <si>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</si>
  <si>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</si>
  <si>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</si>
  <si>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</si>
  <si>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</si>
  <si>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</si>
  <si>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</si>
  <si>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</si>
  <si>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</si>
  <si>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</si>
  <si>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</si>
  <si>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</si>
  <si>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</si>
  <si>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</si>
  <si>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</si>
  <si>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</si>
  <si>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</si>
  <si>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</si>
  <si>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</si>
  <si>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</si>
  <si>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</si>
  <si>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</si>
  <si>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</si>
  <si>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</si>
  <si>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</si>
  <si>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</si>
  <si>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</si>
  <si>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</si>
  <si>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</si>
  <si>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</si>
  <si>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</si>
  <si>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</si>
  <si>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</si>
  <si>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</si>
  <si>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</si>
  <si>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</si>
  <si>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</si>
  <si>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</si>
  <si>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</si>
  <si>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</si>
  <si>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</si>
  <si>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</si>
  <si>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</si>
  <si>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</si>
  <si>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</si>
  <si>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</si>
  <si>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</si>
  <si>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</si>
  <si>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</si>
  <si>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</si>
  <si>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</si>
  <si>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</si>
  <si>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</si>
  <si>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</si>
  <si>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</si>
  <si>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</si>
  <si>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</si>
  <si>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</si>
  <si>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</si>
  <si>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</si>
  <si>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</si>
  <si>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</si>
  <si>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</si>
  <si>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</si>
  <si>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</si>
  <si>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</si>
  <si>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</si>
  <si>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</si>
  <si>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</si>
  <si>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</si>
  <si>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</si>
  <si>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</si>
  <si>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</si>
  <si>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</si>
  <si>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</si>
  <si>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</si>
  <si>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</si>
  <si>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</si>
  <si>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</si>
  <si>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</si>
  <si>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</si>
  <si>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</si>
  <si>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</si>
  <si>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</si>
  <si>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</si>
  <si>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</si>
  <si>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</si>
  <si>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</si>
  <si>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</si>
  <si>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</si>
  <si>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</si>
  <si>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</si>
  <si>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</si>
  <si>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</si>
  <si>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</si>
  <si>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</si>
  <si>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</si>
  <si>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</si>
  <si>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</si>
  <si>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</si>
  <si>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</si>
  <si>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</si>
  <si>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</si>
  <si>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</si>
  <si>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</si>
  <si>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</si>
  <si>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</si>
  <si>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</si>
  <si>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</si>
  <si>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</si>
  <si>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</si>
  <si>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</si>
  <si>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</si>
  <si>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</si>
  <si>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</si>
  <si>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</si>
  <si>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</si>
  <si>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</si>
  <si>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</si>
  <si>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</si>
  <si>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</si>
  <si>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</si>
  <si>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</si>
  <si>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</si>
  <si>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</si>
  <si>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</si>
  <si>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</si>
  <si>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</si>
  <si>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</si>
  <si>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</si>
  <si>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</si>
  <si>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</si>
  <si>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</si>
  <si>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</si>
  <si>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</si>
  <si>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</si>
  <si>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</si>
  <si>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</si>
  <si>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</si>
  <si>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</si>
  <si>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</si>
  <si>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</si>
  <si>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</si>
  <si>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</si>
  <si>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</si>
  <si>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</si>
  <si>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</si>
  <si>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</si>
  <si>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</si>
  <si>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</si>
  <si>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</si>
  <si>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</si>
  <si>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</si>
  <si>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</si>
  <si>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</si>
  <si>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</si>
  <si>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</si>
  <si>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</si>
  <si>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</si>
  <si>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</si>
  <si>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</si>
  <si>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</si>
  <si>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</si>
  <si>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</si>
  <si>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</si>
  <si>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</si>
  <si>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</si>
  <si>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</si>
  <si>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</si>
  <si>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</si>
  <si>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</si>
  <si>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</si>
  <si>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</si>
  <si>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</si>
  <si>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</si>
  <si>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</si>
  <si>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</si>
  <si>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</si>
  <si>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</si>
  <si>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</si>
  <si>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</si>
  <si>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</si>
  <si>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</si>
  <si>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</si>
  <si>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</si>
  <si>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</si>
  <si>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</si>
  <si>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</si>
  <si>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</si>
  <si>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</si>
  <si>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</si>
  <si>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</si>
  <si>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</si>
  <si>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</si>
  <si>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</si>
  <si>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</si>
  <si>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</si>
  <si>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</si>
  <si>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</si>
  <si>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</si>
  <si>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</si>
  <si>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</si>
  <si>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</si>
  <si>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</si>
  <si>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</si>
  <si>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</si>
  <si>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</si>
  <si>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</si>
  <si>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</si>
  <si>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</si>
  <si>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</si>
  <si>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</si>
  <si>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</si>
  <si>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</si>
  <si>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</si>
  <si>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</si>
  <si>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</si>
  <si>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</si>
  <si>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</si>
  <si>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</si>
  <si>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</si>
  <si>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</si>
  <si>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</si>
  <si>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</si>
  <si>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</si>
  <si>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</si>
  <si>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</si>
  <si>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</si>
  <si>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</si>
  <si>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</si>
  <si>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</si>
  <si>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</si>
  <si>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</si>
  <si>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</si>
  <si>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</si>
  <si>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</si>
  <si>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</si>
  <si>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</si>
  <si>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</si>
  <si>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</si>
  <si>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</si>
  <si>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</si>
  <si>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</si>
  <si>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</si>
  <si>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</si>
  <si>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</si>
  <si>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</si>
  <si>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</si>
  <si>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</si>
  <si>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</si>
  <si>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</si>
  <si>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</si>
  <si>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</si>
  <si>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</si>
  <si>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</si>
  <si>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</si>
  <si>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</si>
  <si>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</si>
  <si>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</si>
  <si>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</si>
  <si>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</si>
  <si>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</si>
  <si>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</si>
  <si>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</si>
  <si>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</si>
  <si>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</si>
  <si>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</si>
  <si>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</si>
  <si>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</si>
  <si>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</si>
  <si>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</si>
  <si>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</si>
  <si>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</si>
  <si>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</si>
  <si>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</si>
  <si>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</si>
  <si>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</si>
  <si>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</si>
  <si>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</si>
  <si>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</si>
  <si>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</si>
  <si>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</si>
  <si>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</si>
  <si>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</si>
  <si>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</si>
  <si>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</si>
  <si>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</si>
  <si>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</si>
  <si>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</si>
  <si>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</si>
  <si>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</si>
  <si>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</si>
  <si>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</si>
  <si>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</si>
  <si>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</si>
  <si>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</si>
  <si>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</si>
  <si>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</si>
  <si>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</si>
  <si>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</si>
  <si>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</si>
  <si>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</si>
  <si>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</si>
  <si>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</si>
  <si>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</si>
  <si>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</si>
  <si>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</si>
  <si>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</si>
  <si>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</si>
  <si>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</si>
  <si>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</si>
  <si>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</si>
  <si>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</si>
  <si>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</si>
  <si>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</si>
  <si>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</si>
  <si>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</si>
  <si>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</si>
  <si>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</si>
  <si>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</si>
  <si>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</si>
  <si>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</si>
  <si>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</si>
  <si>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</si>
  <si>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</si>
  <si>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</si>
  <si>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</si>
  <si>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</si>
  <si>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</si>
  <si>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</si>
  <si>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</si>
  <si>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</si>
  <si>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</si>
  <si>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</si>
  <si>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</si>
  <si>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</si>
  <si>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</si>
  <si>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</si>
  <si>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</si>
  <si>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</si>
  <si>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</si>
  <si>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</si>
  <si>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</si>
  <si>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</si>
  <si>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</si>
  <si>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</si>
  <si>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</si>
  <si>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</si>
  <si>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</si>
  <si>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</si>
  <si>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</si>
  <si>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</si>
  <si>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</si>
  <si>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</si>
  <si>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</si>
  <si>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</si>
  <si>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</si>
  <si>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</si>
  <si>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</si>
  <si>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</si>
  <si>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</si>
  <si>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</si>
  <si>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</si>
  <si>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</si>
  <si>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</si>
  <si>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</si>
  <si>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</si>
  <si>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</si>
  <si>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</si>
  <si>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</si>
  <si>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</si>
  <si>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</si>
  <si>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</si>
  <si>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</si>
  <si>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</si>
  <si>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</si>
  <si>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</si>
  <si>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</si>
  <si>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</si>
  <si>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</si>
  <si>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</si>
  <si>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</si>
  <si>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</si>
  <si>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</si>
  <si>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</si>
  <si>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</si>
  <si>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</si>
  <si>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</si>
  <si>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</si>
  <si>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</si>
  <si>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</si>
  <si>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</si>
  <si>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</si>
  <si>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</si>
  <si>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</si>
  <si>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</si>
  <si>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</si>
  <si>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</si>
  <si>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</si>
  <si>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</si>
  <si>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</si>
  <si>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</si>
  <si>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</si>
  <si>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</si>
  <si>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</si>
  <si>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</si>
  <si>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</si>
  <si>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</si>
  <si>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</si>
  <si>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</si>
  <si>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</si>
  <si>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</si>
  <si>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</si>
  <si>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</si>
  <si>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</si>
  <si>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</si>
  <si>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</si>
  <si>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</si>
  <si>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</si>
  <si>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</si>
  <si>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</si>
  <si>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</si>
  <si>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</si>
  <si>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</si>
  <si>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</si>
  <si>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</si>
  <si>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</si>
  <si>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</si>
  <si>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</si>
  <si>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</si>
  <si>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</si>
  <si>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</si>
  <si>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</si>
  <si>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</si>
  <si>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</si>
  <si>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</si>
  <si>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</si>
  <si>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</si>
  <si>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</si>
  <si>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</si>
  <si>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</si>
  <si>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</si>
  <si>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</si>
  <si>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</si>
  <si>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</si>
  <si>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</si>
  <si>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</si>
  <si>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</si>
  <si>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</si>
  <si>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</si>
  <si>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</si>
  <si>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</si>
  <si>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</si>
  <si>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</si>
  <si>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</si>
  <si>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</si>
  <si>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</si>
  <si>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</si>
  <si>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</si>
  <si>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</si>
  <si>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</si>
  <si>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</si>
  <si>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</si>
  <si>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</si>
  <si>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</si>
  <si>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</si>
  <si>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</si>
  <si>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</si>
  <si>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</si>
  <si>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</si>
  <si>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</si>
  <si>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</si>
  <si>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</si>
  <si>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</si>
  <si>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</si>
  <si>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</si>
  <si>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</si>
  <si>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</si>
  <si>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</si>
  <si>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</si>
  <si>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</si>
  <si>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</si>
  <si>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</si>
  <si>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</si>
  <si>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</si>
  <si>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</si>
  <si>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</si>
  <si>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</si>
  <si>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</si>
  <si>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</si>
  <si>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</si>
  <si>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</si>
  <si>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</si>
  <si>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</si>
  <si>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</si>
  <si>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</si>
  <si>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</si>
  <si>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</si>
  <si>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</si>
  <si>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</si>
  <si>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</si>
  <si>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</si>
  <si>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</si>
  <si>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</si>
  <si>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</si>
  <si>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</si>
  <si>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</si>
  <si>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</si>
  <si>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</si>
  <si>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</si>
  <si>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</si>
  <si>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</si>
  <si>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</si>
  <si>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</si>
  <si>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</si>
  <si>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</si>
  <si>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</si>
  <si>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</si>
  <si>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</si>
  <si>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</si>
  <si>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</si>
  <si>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</si>
  <si>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</si>
  <si>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</si>
  <si>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</si>
  <si>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</si>
  <si>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</si>
  <si>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</si>
  <si>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</si>
  <si>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</si>
  <si>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</si>
  <si>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</si>
  <si>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</si>
  <si>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</si>
  <si>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</si>
  <si>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</si>
  <si>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</si>
  <si>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</si>
  <si>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</si>
  <si>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</si>
  <si>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</si>
  <si>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</si>
  <si>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</si>
  <si>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</si>
  <si>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</si>
  <si>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</si>
  <si>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</si>
  <si>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</si>
  <si>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</si>
  <si>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</si>
  <si>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</si>
  <si>
    <t>T4.22.4.2026</t>
  </si>
  <si>
    <t>NGAY 22-4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</si>
  <si>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</si>
  <si>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</si>
  <si>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</si>
  <si>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</si>
  <si>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</si>
  <si>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</si>
  <si>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</si>
  <si>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</si>
  <si>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</si>
  <si>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</si>
  <si>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</si>
  <si>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</si>
  <si>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</si>
  <si>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</si>
  <si>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</si>
  <si>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</si>
  <si>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</si>
  <si>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</si>
  <si>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</si>
  <si>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</si>
  <si>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</si>
  <si>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</si>
  <si>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</si>
  <si>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</si>
  <si>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</si>
  <si>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</si>
  <si>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</si>
  <si>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</si>
  <si>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</si>
  <si>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</si>
  <si>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</si>
  <si>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</si>
  <si>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</si>
  <si>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</si>
  <si>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</si>
  <si>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</si>
  <si>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</si>
  <si>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</si>
  <si>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</si>
  <si>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</si>
  <si>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</si>
  <si>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</si>
  <si>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</si>
  <si>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</si>
  <si>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</si>
  <si>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</si>
  <si>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</si>
  <si>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</si>
  <si>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</si>
  <si>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</si>
  <si>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</si>
  <si>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</si>
  <si>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</si>
  <si>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</si>
  <si>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</si>
  <si>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</si>
  <si>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</si>
  <si>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</si>
  <si>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</si>
  <si>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</si>
  <si>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</si>
  <si>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</si>
  <si>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</si>
  <si>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</si>
  <si>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</si>
  <si>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</si>
  <si>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</si>
  <si>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</si>
  <si>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</si>
  <si>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</si>
  <si>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</si>
  <si>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</si>
  <si>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</si>
  <si>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</si>
  <si>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</si>
  <si>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</si>
  <si>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</si>
  <si>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</si>
  <si>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</si>
  <si>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</si>
  <si>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</si>
  <si>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</si>
  <si>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</si>
  <si>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</si>
  <si>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</si>
  <si>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</si>
  <si>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</si>
  <si>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</si>
  <si>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</si>
  <si>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</si>
  <si>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</si>
  <si>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</si>
  <si>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</si>
  <si>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</si>
  <si>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</si>
  <si>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</si>
  <si>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</si>
  <si>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</si>
  <si>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</si>
  <si>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</si>
  <si>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</si>
  <si>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</si>
  <si>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</si>
  <si>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</si>
  <si>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</si>
  <si>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</si>
  <si>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</si>
  <si>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</si>
  <si>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</si>
  <si>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</si>
  <si>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</si>
  <si>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</si>
  <si>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</si>
  <si>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</si>
  <si>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</si>
  <si>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</si>
  <si>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</si>
  <si>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</si>
  <si>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</si>
  <si>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</si>
  <si>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</si>
  <si>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</si>
  <si>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</si>
  <si>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</si>
  <si>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</si>
  <si>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</si>
  <si>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</si>
  <si>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</si>
  <si>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</si>
  <si>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</si>
  <si>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</si>
  <si>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</si>
  <si>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</si>
  <si>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</si>
  <si>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</si>
  <si>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</si>
  <si>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</si>
  <si>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</si>
  <si>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</si>
  <si>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</si>
  <si>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</si>
  <si>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</si>
  <si>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</si>
  <si>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</si>
  <si>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</si>
  <si>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</si>
  <si>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</si>
  <si>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</si>
  <si>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</si>
  <si>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</si>
  <si>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</si>
  <si>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</si>
  <si>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</si>
  <si>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</si>
  <si>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</si>
  <si>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</si>
  <si>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</si>
  <si>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</si>
  <si>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</si>
  <si>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</si>
  <si>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</si>
  <si>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</si>
  <si>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</si>
  <si>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</si>
  <si>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</si>
  <si>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</si>
  <si>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</si>
  <si>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</si>
  <si>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</si>
  <si>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</si>
  <si>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</si>
  <si>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</si>
  <si>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</si>
  <si>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</si>
  <si>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</si>
  <si>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</si>
  <si>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</si>
  <si>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</si>
  <si>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</si>
  <si>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</si>
  <si>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</si>
  <si>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</si>
  <si>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</si>
  <si>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</si>
  <si>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</si>
  <si>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</si>
  <si>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</si>
  <si>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</si>
  <si>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</si>
  <si>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</si>
  <si>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</si>
  <si>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</si>
  <si>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</si>
  <si>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</si>
  <si>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</si>
  <si>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</si>
  <si>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</si>
  <si>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</si>
  <si>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</si>
  <si>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</si>
  <si>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</si>
  <si>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</si>
  <si>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</si>
  <si>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</si>
  <si>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</si>
  <si>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</si>
  <si>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</si>
  <si>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</si>
  <si>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</si>
  <si>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</si>
  <si>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</si>
  <si>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</si>
  <si>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</si>
  <si>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</si>
  <si>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</si>
  <si>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</si>
  <si>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</si>
  <si>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</si>
  <si>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</si>
  <si>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</si>
  <si>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</si>
  <si>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</si>
  <si>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</si>
  <si>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</si>
  <si>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</si>
  <si>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</si>
  <si>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</si>
  <si>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</si>
  <si>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</si>
  <si>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</si>
  <si>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</si>
  <si>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</si>
  <si>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</si>
  <si>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</si>
  <si>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</si>
  <si>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</si>
  <si>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</si>
  <si>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</si>
  <si>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</si>
  <si>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</si>
  <si>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</si>
  <si>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</si>
  <si>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</si>
  <si>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</si>
  <si>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</si>
  <si>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</si>
  <si>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</si>
  <si>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</si>
  <si>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</si>
  <si>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</si>
  <si>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</si>
  <si>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</si>
  <si>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</si>
  <si>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</si>
  <si>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</si>
  <si>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</si>
  <si>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</si>
  <si>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</si>
  <si>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</si>
  <si>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</si>
  <si>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</si>
  <si>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</si>
  <si>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</si>
  <si>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</si>
  <si>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</si>
  <si>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</si>
  <si>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</si>
  <si>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</si>
  <si>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HD014667</t>
  </si>
  <si>
    <t>T6.24.4.2026</t>
  </si>
  <si>
    <t>T5.23.4.2026</t>
  </si>
  <si>
    <t>NGAY 23-4</t>
  </si>
  <si>
    <t>NGAY 24-4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</si>
  <si>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</si>
  <si>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</si>
  <si>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</si>
  <si>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</si>
  <si>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</si>
  <si>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</si>
  <si>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</si>
  <si>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</si>
  <si>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</si>
  <si>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</si>
  <si>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</si>
  <si>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</si>
  <si>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</si>
  <si>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</si>
  <si>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</si>
  <si>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</si>
  <si>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</si>
  <si>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</si>
  <si>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</si>
  <si>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</si>
  <si>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</si>
  <si>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</si>
  <si>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</si>
  <si>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</si>
  <si>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</si>
  <si>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</si>
  <si>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</si>
  <si>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</si>
  <si>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</si>
  <si>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</si>
  <si>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</si>
  <si>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</si>
  <si>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</si>
  <si>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</si>
  <si>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</si>
  <si>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</si>
  <si>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</si>
  <si>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</si>
  <si>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</si>
  <si>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</si>
  <si>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</si>
  <si>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</si>
  <si>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</si>
  <si>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</si>
  <si>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</si>
  <si>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</si>
  <si>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</si>
  <si>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</si>
  <si>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</si>
  <si>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</si>
  <si>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</si>
  <si>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</si>
  <si>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</si>
  <si>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</si>
  <si>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</si>
  <si>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</si>
  <si>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</si>
  <si>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</si>
  <si>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</si>
  <si>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</si>
  <si>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</si>
  <si>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</si>
  <si>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</si>
  <si>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</si>
  <si>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</si>
  <si>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</si>
  <si>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</si>
  <si>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</si>
  <si>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</si>
  <si>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</si>
  <si>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</si>
  <si>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</si>
  <si>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</si>
  <si>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</si>
  <si>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</si>
  <si>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</si>
  <si>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</si>
  <si>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</si>
  <si>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</si>
  <si>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</si>
  <si>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</si>
  <si>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</si>
  <si>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</si>
  <si>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</si>
  <si>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</si>
  <si>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</si>
  <si>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</si>
  <si>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</si>
  <si>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</si>
  <si>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</si>
  <si>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</si>
  <si>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</si>
  <si>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</si>
  <si>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</si>
  <si>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</si>
  <si>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</si>
  <si>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</si>
  <si>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</si>
  <si>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</si>
  <si>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</si>
  <si>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</si>
  <si>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</si>
  <si>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</si>
  <si>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</si>
  <si>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</si>
  <si>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</si>
  <si>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</si>
  <si>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</si>
  <si>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</si>
  <si>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</si>
  <si>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</si>
  <si>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</si>
  <si>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</si>
  <si>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</si>
  <si>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</si>
  <si>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</si>
  <si>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</si>
  <si>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</si>
  <si>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</si>
  <si>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</si>
  <si>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</si>
  <si>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</si>
  <si>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</si>
  <si>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</si>
  <si>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</si>
  <si>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</si>
  <si>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</si>
  <si>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</si>
  <si>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</si>
  <si>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</si>
  <si>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</si>
  <si>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</si>
  <si>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</si>
  <si>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</si>
  <si>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</si>
  <si>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</si>
  <si>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</si>
  <si>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</si>
  <si>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</si>
  <si>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</si>
  <si>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</si>
  <si>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</si>
  <si>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</si>
  <si>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</si>
  <si>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</si>
  <si>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kh ck shop 865k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</si>
</sst>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25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93" zoomScaleNormal="100" workbookViewId="0">
      <selection activeCell="J100" sqref="J100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C687-A29B-430D-B8C9-2657C46D0748}">
  <dimension ref="A1:R73"/>
  <sheetViews>
    <sheetView zoomScaleNormal="100" workbookViewId="0">
      <selection activeCell="G73" sqref="G7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7" x14ac:dyDescent="0.25">
      <c r="B1" s="1" t="s">
        <v>31</v>
      </c>
      <c r="C1" s="1" t="s">
        <v>2178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s="22" customFormat="1" x14ac:dyDescent="0.25">
      <c r="A3" s="20"/>
      <c r="B3" s="20" t="s">
        <v>34</v>
      </c>
      <c r="C3" s="20" t="s">
        <v>2179</v>
      </c>
      <c r="D3" s="20" t="s">
        <v>2180</v>
      </c>
      <c r="E3" s="20" t="s">
        <v>2181</v>
      </c>
      <c r="F3" s="21">
        <v>9</v>
      </c>
      <c r="G3" s="21">
        <v>0</v>
      </c>
      <c r="H3" s="21">
        <v>30</v>
      </c>
      <c r="I3" s="21">
        <f>-H3</f>
        <v>-30</v>
      </c>
      <c r="J3" s="20" t="s">
        <v>56</v>
      </c>
      <c r="K3" s="20" t="s">
        <v>15</v>
      </c>
      <c r="L3" s="20" t="s">
        <v>2182</v>
      </c>
      <c r="M3" s="20" t="s">
        <v>16</v>
      </c>
      <c r="N3" s="20"/>
      <c r="O3" s="20"/>
      <c r="P3" s="20"/>
      <c r="Q3" s="20">
        <v>1</v>
      </c>
    </row>
    <row r="4" spans="1:17" customFormat="1" x14ac:dyDescent="0.25">
      <c r="A4" s="18"/>
      <c r="B4" s="18" t="s">
        <v>34</v>
      </c>
      <c r="C4" s="18" t="s">
        <v>2183</v>
      </c>
      <c r="D4" s="18" t="s">
        <v>2184</v>
      </c>
      <c r="E4" s="18" t="s">
        <v>2185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56</v>
      </c>
      <c r="K4" s="18" t="s">
        <v>15</v>
      </c>
      <c r="L4" s="18" t="s">
        <v>2182</v>
      </c>
      <c r="M4" s="18"/>
      <c r="N4" s="18"/>
      <c r="O4" s="18"/>
      <c r="P4" s="18"/>
      <c r="Q4" s="18">
        <v>1</v>
      </c>
    </row>
    <row r="5" spans="1:17" customFormat="1" x14ac:dyDescent="0.25">
      <c r="A5" s="18"/>
      <c r="B5" s="18" t="s">
        <v>34</v>
      </c>
      <c r="C5" s="18" t="s">
        <v>2186</v>
      </c>
      <c r="D5" s="18" t="s">
        <v>2187</v>
      </c>
      <c r="E5" s="18" t="s">
        <v>2188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56</v>
      </c>
      <c r="K5" s="18" t="s">
        <v>15</v>
      </c>
      <c r="L5" s="18" t="s">
        <v>2182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2189</v>
      </c>
      <c r="D6" s="18" t="s">
        <v>2190</v>
      </c>
      <c r="E6" s="18" t="s">
        <v>2191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56</v>
      </c>
      <c r="K6" s="18" t="s">
        <v>15</v>
      </c>
      <c r="L6" s="18" t="s">
        <v>2182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2192</v>
      </c>
      <c r="D7" s="18" t="s">
        <v>2193</v>
      </c>
      <c r="E7" s="18" t="s">
        <v>2194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56</v>
      </c>
      <c r="K7" s="18" t="s">
        <v>15</v>
      </c>
      <c r="L7" s="18" t="s">
        <v>2182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2195</v>
      </c>
      <c r="D8" s="18" t="s">
        <v>2196</v>
      </c>
      <c r="E8" s="18" t="s">
        <v>2197</v>
      </c>
      <c r="F8" s="18" t="s">
        <v>38</v>
      </c>
      <c r="G8" s="19">
        <v>0</v>
      </c>
      <c r="H8" s="19">
        <v>30</v>
      </c>
      <c r="I8" s="19">
        <f>-H8</f>
        <v>-30</v>
      </c>
      <c r="J8" s="18" t="s">
        <v>2198</v>
      </c>
      <c r="K8" s="18" t="s">
        <v>15</v>
      </c>
      <c r="L8" s="18" t="s">
        <v>2182</v>
      </c>
      <c r="M8" s="18"/>
      <c r="N8" s="18"/>
      <c r="O8" s="18"/>
      <c r="P8" s="18"/>
      <c r="Q8" s="18">
        <v>1</v>
      </c>
    </row>
    <row r="9" spans="1:17" s="22" customFormat="1" x14ac:dyDescent="0.25">
      <c r="A9" s="20"/>
      <c r="B9" s="20" t="s">
        <v>34</v>
      </c>
      <c r="C9" s="20" t="s">
        <v>1898</v>
      </c>
      <c r="D9" s="20" t="s">
        <v>2199</v>
      </c>
      <c r="E9" s="20" t="s">
        <v>1900</v>
      </c>
      <c r="F9" s="20" t="s">
        <v>18</v>
      </c>
      <c r="G9" s="21">
        <v>0</v>
      </c>
      <c r="H9" s="21">
        <v>25</v>
      </c>
      <c r="I9" s="21">
        <f>-H9</f>
        <v>-25</v>
      </c>
      <c r="J9" s="20" t="s">
        <v>2198</v>
      </c>
      <c r="K9" s="20" t="s">
        <v>15</v>
      </c>
      <c r="L9" s="20" t="s">
        <v>2182</v>
      </c>
      <c r="M9" s="20" t="s">
        <v>16</v>
      </c>
      <c r="N9" s="20"/>
      <c r="O9" s="20"/>
      <c r="P9" s="20"/>
      <c r="Q9" s="20">
        <v>1</v>
      </c>
    </row>
    <row r="10" spans="1:17" customFormat="1" x14ac:dyDescent="0.25">
      <c r="A10" s="18"/>
      <c r="B10" s="18" t="s">
        <v>34</v>
      </c>
      <c r="C10" s="18" t="s">
        <v>2200</v>
      </c>
      <c r="D10" s="18" t="s">
        <v>2201</v>
      </c>
      <c r="E10" s="18" t="s">
        <v>2202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2198</v>
      </c>
      <c r="K10" s="18" t="s">
        <v>15</v>
      </c>
      <c r="L10" s="18" t="s">
        <v>2182</v>
      </c>
      <c r="M10" s="18"/>
      <c r="N10" s="18"/>
      <c r="O10" s="18"/>
      <c r="P10" s="18"/>
      <c r="Q10" s="18">
        <v>1</v>
      </c>
    </row>
    <row r="11" spans="1:17" s="22" customFormat="1" x14ac:dyDescent="0.25">
      <c r="A11" s="20"/>
      <c r="B11" s="20" t="s">
        <v>34</v>
      </c>
      <c r="C11" s="20" t="s">
        <v>2080</v>
      </c>
      <c r="D11" s="20" t="s">
        <v>2203</v>
      </c>
      <c r="E11" s="20" t="s">
        <v>2082</v>
      </c>
      <c r="F11" s="21">
        <v>12</v>
      </c>
      <c r="G11" s="21">
        <v>30</v>
      </c>
      <c r="H11" s="21">
        <v>30</v>
      </c>
      <c r="I11" s="21">
        <f t="shared" si="0"/>
        <v>0</v>
      </c>
      <c r="J11" s="20" t="s">
        <v>2198</v>
      </c>
      <c r="K11" s="20" t="s">
        <v>15</v>
      </c>
      <c r="L11" s="20" t="s">
        <v>2182</v>
      </c>
      <c r="M11" s="20" t="s">
        <v>16</v>
      </c>
      <c r="N11" s="20"/>
      <c r="O11" s="20"/>
      <c r="P11" s="20"/>
      <c r="Q11" s="20">
        <v>1</v>
      </c>
    </row>
    <row r="12" spans="1:17" customFormat="1" x14ac:dyDescent="0.25">
      <c r="A12" s="18"/>
      <c r="B12" s="18" t="s">
        <v>34</v>
      </c>
      <c r="C12" s="18" t="s">
        <v>78</v>
      </c>
      <c r="D12" s="18" t="s">
        <v>2204</v>
      </c>
      <c r="E12" s="18" t="s">
        <v>2205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2198</v>
      </c>
      <c r="K12" s="18" t="s">
        <v>15</v>
      </c>
      <c r="L12" s="18" t="s">
        <v>2182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916</v>
      </c>
      <c r="D13" s="18" t="s">
        <v>2206</v>
      </c>
      <c r="E13" s="18" t="s">
        <v>2207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2198</v>
      </c>
      <c r="K13" s="18" t="s">
        <v>15</v>
      </c>
      <c r="L13" s="18" t="s">
        <v>2182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2208</v>
      </c>
      <c r="D14" s="18" t="s">
        <v>2209</v>
      </c>
      <c r="E14" s="18" t="s">
        <v>1504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2198</v>
      </c>
      <c r="K14" s="18" t="s">
        <v>15</v>
      </c>
      <c r="L14" s="18" t="s">
        <v>2182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2210</v>
      </c>
      <c r="D15" s="18" t="s">
        <v>2211</v>
      </c>
      <c r="E15" s="18" t="s">
        <v>2212</v>
      </c>
      <c r="F15" s="18" t="s">
        <v>123</v>
      </c>
      <c r="G15" s="19">
        <v>485</v>
      </c>
      <c r="H15" s="19">
        <v>35</v>
      </c>
      <c r="I15" s="19">
        <f t="shared" si="0"/>
        <v>450</v>
      </c>
      <c r="J15" s="18" t="s">
        <v>2198</v>
      </c>
      <c r="K15" s="18" t="s">
        <v>15</v>
      </c>
      <c r="L15" s="18" t="s">
        <v>2182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216</v>
      </c>
      <c r="D16" s="18" t="s">
        <v>2213</v>
      </c>
      <c r="E16" s="18" t="s">
        <v>218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2198</v>
      </c>
      <c r="K16" s="18" t="s">
        <v>15</v>
      </c>
      <c r="L16" s="18" t="s">
        <v>2182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2214</v>
      </c>
      <c r="D17" s="18" t="s">
        <v>2215</v>
      </c>
      <c r="E17" s="18" t="s">
        <v>2216</v>
      </c>
      <c r="F17" s="18" t="s">
        <v>108</v>
      </c>
      <c r="G17" s="19">
        <v>745</v>
      </c>
      <c r="H17" s="19">
        <v>35</v>
      </c>
      <c r="I17" s="19">
        <f>G17-H17</f>
        <v>710</v>
      </c>
      <c r="J17" s="18" t="s">
        <v>2198</v>
      </c>
      <c r="K17" s="18" t="s">
        <v>15</v>
      </c>
      <c r="L17" s="18" t="s">
        <v>2182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2217</v>
      </c>
      <c r="D18" s="18" t="s">
        <v>2218</v>
      </c>
      <c r="E18" s="18" t="s">
        <v>941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2198</v>
      </c>
      <c r="K18" s="18" t="s">
        <v>15</v>
      </c>
      <c r="L18" s="18" t="s">
        <v>2182</v>
      </c>
      <c r="M18" s="18"/>
      <c r="N18" s="18"/>
      <c r="O18" s="18"/>
      <c r="P18" s="18"/>
      <c r="Q18" s="18">
        <v>1</v>
      </c>
    </row>
    <row r="19" spans="1:17" customFormat="1" x14ac:dyDescent="0.25">
      <c r="A19" s="18" t="s">
        <v>96</v>
      </c>
      <c r="B19" s="18" t="s">
        <v>34</v>
      </c>
      <c r="C19" s="18" t="s">
        <v>99</v>
      </c>
      <c r="D19" s="18"/>
      <c r="E19" s="18" t="s">
        <v>100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2198</v>
      </c>
      <c r="K19" s="18" t="s">
        <v>15</v>
      </c>
      <c r="L19" s="18" t="s">
        <v>2182</v>
      </c>
      <c r="M19" s="18"/>
      <c r="N19" s="18"/>
      <c r="O19" s="18"/>
      <c r="P19" s="18"/>
      <c r="Q19" s="18">
        <v>1</v>
      </c>
    </row>
    <row r="20" spans="1:17" customFormat="1" x14ac:dyDescent="0.25">
      <c r="A20" s="18" t="s">
        <v>96</v>
      </c>
      <c r="B20" s="18" t="s">
        <v>34</v>
      </c>
      <c r="C20" s="18" t="s">
        <v>2219</v>
      </c>
      <c r="D20" s="18"/>
      <c r="E20" s="18" t="s">
        <v>2220</v>
      </c>
      <c r="F20" s="18" t="s">
        <v>18</v>
      </c>
      <c r="G20" s="19">
        <v>0</v>
      </c>
      <c r="H20" s="19">
        <v>30</v>
      </c>
      <c r="I20" s="19">
        <f>-H20</f>
        <v>-30</v>
      </c>
      <c r="J20" s="18" t="s">
        <v>2198</v>
      </c>
      <c r="K20" s="18" t="s">
        <v>15</v>
      </c>
      <c r="L20" s="18" t="s">
        <v>2182</v>
      </c>
      <c r="M20" s="18"/>
      <c r="N20" s="18"/>
      <c r="O20" s="18"/>
      <c r="P20" s="18"/>
      <c r="Q20" s="18">
        <v>1</v>
      </c>
    </row>
    <row r="21" spans="1:17" customFormat="1" x14ac:dyDescent="0.25">
      <c r="A21" s="18"/>
      <c r="B21" s="18" t="s">
        <v>34</v>
      </c>
      <c r="C21" s="18" t="s">
        <v>2221</v>
      </c>
      <c r="D21" s="18" t="s">
        <v>2222</v>
      </c>
      <c r="E21" s="18" t="s">
        <v>2223</v>
      </c>
      <c r="F21" s="18" t="s">
        <v>19</v>
      </c>
      <c r="G21" s="19">
        <v>470</v>
      </c>
      <c r="H21" s="19">
        <v>20</v>
      </c>
      <c r="I21" s="19">
        <f t="shared" ref="I21:I26" si="1">G21-H21</f>
        <v>450</v>
      </c>
      <c r="J21" s="18" t="s">
        <v>15</v>
      </c>
      <c r="K21" s="18" t="s">
        <v>15</v>
      </c>
      <c r="L21" s="18" t="s">
        <v>2182</v>
      </c>
      <c r="M21" s="18"/>
      <c r="N21" s="18"/>
      <c r="O21" s="18"/>
      <c r="P21" s="18"/>
      <c r="Q21" s="18">
        <v>1</v>
      </c>
    </row>
    <row r="22" spans="1:17" customFormat="1" x14ac:dyDescent="0.25">
      <c r="A22" s="18"/>
      <c r="B22" s="18" t="s">
        <v>34</v>
      </c>
      <c r="C22" s="18" t="s">
        <v>1959</v>
      </c>
      <c r="D22" s="18" t="s">
        <v>2224</v>
      </c>
      <c r="E22" s="18" t="s">
        <v>1961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15</v>
      </c>
      <c r="K22" s="18" t="s">
        <v>15</v>
      </c>
      <c r="L22" s="18" t="s">
        <v>2182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1513</v>
      </c>
      <c r="D23" s="18" t="s">
        <v>2225</v>
      </c>
      <c r="E23" s="18" t="s">
        <v>1515</v>
      </c>
      <c r="F23" s="18" t="s">
        <v>20</v>
      </c>
      <c r="G23" s="19">
        <v>2020</v>
      </c>
      <c r="H23" s="19">
        <v>30</v>
      </c>
      <c r="I23" s="19">
        <f t="shared" si="1"/>
        <v>1990</v>
      </c>
      <c r="J23" s="18" t="s">
        <v>15</v>
      </c>
      <c r="K23" s="18" t="s">
        <v>15</v>
      </c>
      <c r="L23" s="18" t="s">
        <v>2182</v>
      </c>
      <c r="M23" s="26" t="s">
        <v>377</v>
      </c>
      <c r="N23" s="18"/>
      <c r="O23" s="18"/>
      <c r="P23" s="18"/>
      <c r="Q23" s="18">
        <v>1</v>
      </c>
    </row>
    <row r="24" spans="1:17" s="22" customFormat="1" x14ac:dyDescent="0.25">
      <c r="A24" s="20"/>
      <c r="B24" s="20" t="s">
        <v>34</v>
      </c>
      <c r="C24" s="20" t="s">
        <v>2129</v>
      </c>
      <c r="D24" s="20" t="s">
        <v>2226</v>
      </c>
      <c r="E24" s="20" t="s">
        <v>2131</v>
      </c>
      <c r="F24" s="20" t="s">
        <v>19</v>
      </c>
      <c r="G24" s="21">
        <v>20</v>
      </c>
      <c r="H24" s="21">
        <v>20</v>
      </c>
      <c r="I24" s="21">
        <f t="shared" si="1"/>
        <v>0</v>
      </c>
      <c r="J24" s="20" t="s">
        <v>15</v>
      </c>
      <c r="K24" s="20" t="s">
        <v>15</v>
      </c>
      <c r="L24" s="20" t="s">
        <v>2182</v>
      </c>
      <c r="M24" s="20" t="s">
        <v>16</v>
      </c>
      <c r="N24" s="20"/>
      <c r="O24" s="20"/>
      <c r="P24" s="20"/>
      <c r="Q24" s="20">
        <v>1</v>
      </c>
    </row>
    <row r="25" spans="1:17" customFormat="1" x14ac:dyDescent="0.25">
      <c r="A25" s="18"/>
      <c r="B25" s="18" t="s">
        <v>34</v>
      </c>
      <c r="C25" s="18" t="s">
        <v>2227</v>
      </c>
      <c r="D25" s="18" t="s">
        <v>2228</v>
      </c>
      <c r="E25" s="18" t="s">
        <v>2229</v>
      </c>
      <c r="F25" s="18" t="s">
        <v>19</v>
      </c>
      <c r="G25" s="19">
        <v>860</v>
      </c>
      <c r="H25" s="19">
        <v>20</v>
      </c>
      <c r="I25" s="19">
        <f t="shared" si="1"/>
        <v>840</v>
      </c>
      <c r="J25" s="18" t="s">
        <v>15</v>
      </c>
      <c r="K25" s="18" t="s">
        <v>15</v>
      </c>
      <c r="L25" s="18" t="s">
        <v>2182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1631</v>
      </c>
      <c r="D26" s="18" t="s">
        <v>2230</v>
      </c>
      <c r="E26" s="18" t="s">
        <v>1633</v>
      </c>
      <c r="F26" s="18" t="s">
        <v>20</v>
      </c>
      <c r="G26" s="19">
        <v>475</v>
      </c>
      <c r="H26" s="19">
        <v>25</v>
      </c>
      <c r="I26" s="19">
        <f t="shared" si="1"/>
        <v>450</v>
      </c>
      <c r="J26" s="18" t="s">
        <v>15</v>
      </c>
      <c r="K26" s="18" t="s">
        <v>15</v>
      </c>
      <c r="L26" s="18" t="s">
        <v>2182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2231</v>
      </c>
      <c r="D27" s="18" t="s">
        <v>2232</v>
      </c>
      <c r="E27" s="18" t="s">
        <v>2233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2182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2234</v>
      </c>
      <c r="D28" s="18" t="s">
        <v>2235</v>
      </c>
      <c r="E28" s="18" t="s">
        <v>2236</v>
      </c>
      <c r="F28" s="18" t="s">
        <v>144</v>
      </c>
      <c r="G28" s="19">
        <v>890</v>
      </c>
      <c r="H28" s="19">
        <v>30</v>
      </c>
      <c r="I28" s="19">
        <f>G28-H28</f>
        <v>860</v>
      </c>
      <c r="J28" s="18" t="s">
        <v>15</v>
      </c>
      <c r="K28" s="18" t="s">
        <v>15</v>
      </c>
      <c r="L28" s="18" t="s">
        <v>2182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2237</v>
      </c>
      <c r="D29" s="18" t="s">
        <v>2238</v>
      </c>
      <c r="E29" s="18" t="s">
        <v>2239</v>
      </c>
      <c r="F29" s="18" t="s">
        <v>144</v>
      </c>
      <c r="G29" s="19">
        <v>2290</v>
      </c>
      <c r="H29" s="19">
        <v>35</v>
      </c>
      <c r="I29" s="19">
        <f>G29-H29</f>
        <v>2255</v>
      </c>
      <c r="J29" s="18" t="s">
        <v>15</v>
      </c>
      <c r="K29" s="18" t="s">
        <v>15</v>
      </c>
      <c r="L29" s="18" t="s">
        <v>2182</v>
      </c>
      <c r="M29" s="26" t="s">
        <v>377</v>
      </c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228</v>
      </c>
      <c r="D30" s="18" t="s">
        <v>2240</v>
      </c>
      <c r="E30" s="18" t="s">
        <v>2241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2182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2242</v>
      </c>
      <c r="D31" s="18" t="s">
        <v>2243</v>
      </c>
      <c r="E31" s="18" t="s">
        <v>2244</v>
      </c>
      <c r="F31" s="18" t="s">
        <v>20</v>
      </c>
      <c r="G31" s="19">
        <v>0</v>
      </c>
      <c r="H31" s="19">
        <v>25</v>
      </c>
      <c r="I31" s="19">
        <f>-H31</f>
        <v>-25</v>
      </c>
      <c r="J31" s="18" t="s">
        <v>15</v>
      </c>
      <c r="K31" s="18" t="s">
        <v>15</v>
      </c>
      <c r="L31" s="18" t="s">
        <v>2182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378</v>
      </c>
      <c r="D32" s="18" t="s">
        <v>2245</v>
      </c>
      <c r="E32" s="18" t="s">
        <v>2246</v>
      </c>
      <c r="F32" s="18" t="s">
        <v>19</v>
      </c>
      <c r="G32" s="19">
        <v>1140</v>
      </c>
      <c r="H32" s="19">
        <v>20</v>
      </c>
      <c r="I32" s="19">
        <f>G32-H32</f>
        <v>1120</v>
      </c>
      <c r="J32" s="18" t="s">
        <v>15</v>
      </c>
      <c r="K32" s="18" t="s">
        <v>15</v>
      </c>
      <c r="L32" s="18" t="s">
        <v>2182</v>
      </c>
      <c r="M32" s="18"/>
      <c r="N32" s="18"/>
      <c r="O32" s="18"/>
      <c r="P32" s="18"/>
      <c r="Q32" s="18">
        <v>1</v>
      </c>
    </row>
    <row r="33" spans="1:17" customFormat="1" x14ac:dyDescent="0.25">
      <c r="A33" s="18"/>
      <c r="B33" s="18" t="s">
        <v>34</v>
      </c>
      <c r="C33" s="18" t="s">
        <v>2247</v>
      </c>
      <c r="D33" s="18" t="s">
        <v>2248</v>
      </c>
      <c r="E33" s="18" t="s">
        <v>2249</v>
      </c>
      <c r="F33" s="18" t="s">
        <v>20</v>
      </c>
      <c r="G33" s="19">
        <v>885</v>
      </c>
      <c r="H33" s="19">
        <v>25</v>
      </c>
      <c r="I33" s="19">
        <f>G33-H33</f>
        <v>860</v>
      </c>
      <c r="J33" s="18" t="s">
        <v>15</v>
      </c>
      <c r="K33" s="18" t="s">
        <v>15</v>
      </c>
      <c r="L33" s="18" t="s">
        <v>2182</v>
      </c>
      <c r="M33" s="18"/>
      <c r="N33" s="18"/>
      <c r="O33" s="18"/>
      <c r="P33" s="18"/>
      <c r="Q33" s="18">
        <v>1</v>
      </c>
    </row>
    <row r="34" spans="1:17" customFormat="1" x14ac:dyDescent="0.25">
      <c r="A34" s="18" t="s">
        <v>96</v>
      </c>
      <c r="B34" s="18" t="s">
        <v>34</v>
      </c>
      <c r="C34" s="18" t="s">
        <v>314</v>
      </c>
      <c r="D34" s="18"/>
      <c r="E34" s="18" t="s">
        <v>315</v>
      </c>
      <c r="F34" s="18" t="s">
        <v>20</v>
      </c>
      <c r="G34" s="19">
        <v>0</v>
      </c>
      <c r="H34" s="19">
        <v>30</v>
      </c>
      <c r="I34" s="19">
        <f>-H34</f>
        <v>-30</v>
      </c>
      <c r="J34" s="18" t="s">
        <v>15</v>
      </c>
      <c r="K34" s="18" t="s">
        <v>15</v>
      </c>
      <c r="L34" s="18" t="s">
        <v>2182</v>
      </c>
      <c r="M34" s="18"/>
      <c r="N34" s="18"/>
      <c r="O34" s="18"/>
      <c r="P34" s="18"/>
      <c r="Q34" s="18">
        <v>1</v>
      </c>
    </row>
    <row r="35" spans="1:17" customFormat="1" x14ac:dyDescent="0.25">
      <c r="A35" s="18" t="s">
        <v>96</v>
      </c>
      <c r="B35" s="18" t="s">
        <v>34</v>
      </c>
      <c r="C35" s="18" t="s">
        <v>1654</v>
      </c>
      <c r="D35" s="18"/>
      <c r="E35" s="18" t="s">
        <v>1655</v>
      </c>
      <c r="F35" s="18" t="s">
        <v>20</v>
      </c>
      <c r="G35" s="19">
        <v>0</v>
      </c>
      <c r="H35" s="19">
        <v>30</v>
      </c>
      <c r="I35" s="19">
        <f>-H35</f>
        <v>-30</v>
      </c>
      <c r="J35" s="18" t="s">
        <v>15</v>
      </c>
      <c r="K35" s="18" t="s">
        <v>15</v>
      </c>
      <c r="L35" s="18" t="s">
        <v>2182</v>
      </c>
      <c r="M35" s="18"/>
      <c r="N35" s="18"/>
      <c r="O35" s="18"/>
      <c r="P35" s="18"/>
      <c r="Q35" s="18">
        <v>1</v>
      </c>
    </row>
    <row r="36" spans="1:17" customFormat="1" x14ac:dyDescent="0.25">
      <c r="A36" s="18" t="s">
        <v>96</v>
      </c>
      <c r="B36" s="18" t="s">
        <v>34</v>
      </c>
      <c r="C36" s="18" t="s">
        <v>2250</v>
      </c>
      <c r="D36" s="18"/>
      <c r="E36" s="18" t="s">
        <v>2251</v>
      </c>
      <c r="F36" s="18" t="s">
        <v>212</v>
      </c>
      <c r="G36" s="19">
        <v>23400</v>
      </c>
      <c r="H36" s="19">
        <v>135</v>
      </c>
      <c r="I36" s="19">
        <f>G36-H36</f>
        <v>23265</v>
      </c>
      <c r="J36" s="18" t="s">
        <v>15</v>
      </c>
      <c r="K36" s="18" t="s">
        <v>15</v>
      </c>
      <c r="L36" s="18" t="s">
        <v>2182</v>
      </c>
      <c r="M36" s="26" t="s">
        <v>377</v>
      </c>
      <c r="N36" s="18"/>
      <c r="O36" s="18"/>
      <c r="P36" s="18"/>
      <c r="Q36" s="18">
        <v>1</v>
      </c>
    </row>
    <row r="37" spans="1:17" customFormat="1" x14ac:dyDescent="0.25">
      <c r="A37" s="18"/>
      <c r="B37" s="18" t="s">
        <v>34</v>
      </c>
      <c r="C37" s="18" t="s">
        <v>2252</v>
      </c>
      <c r="D37" s="18" t="s">
        <v>2253</v>
      </c>
      <c r="E37" s="18" t="s">
        <v>2254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160</v>
      </c>
      <c r="K37" s="18" t="s">
        <v>15</v>
      </c>
      <c r="L37" s="18" t="s">
        <v>2182</v>
      </c>
      <c r="M37" s="18"/>
      <c r="N37" s="18"/>
      <c r="O37" s="18"/>
      <c r="P37" s="18"/>
      <c r="Q37" s="18">
        <v>1</v>
      </c>
    </row>
    <row r="38" spans="1:17" customFormat="1" x14ac:dyDescent="0.25">
      <c r="A38" s="18"/>
      <c r="B38" s="18" t="s">
        <v>34</v>
      </c>
      <c r="C38" s="18" t="s">
        <v>2255</v>
      </c>
      <c r="D38" s="18" t="s">
        <v>2256</v>
      </c>
      <c r="E38" s="18" t="s">
        <v>2257</v>
      </c>
      <c r="F38" s="18" t="s">
        <v>17</v>
      </c>
      <c r="G38" s="19">
        <v>470</v>
      </c>
      <c r="H38" s="19">
        <v>20</v>
      </c>
      <c r="I38" s="19">
        <f>G38-H38</f>
        <v>450</v>
      </c>
      <c r="J38" s="18" t="s">
        <v>160</v>
      </c>
      <c r="K38" s="18" t="s">
        <v>15</v>
      </c>
      <c r="L38" s="18" t="s">
        <v>2182</v>
      </c>
      <c r="M38" s="18"/>
      <c r="N38" s="18"/>
      <c r="O38" s="18"/>
      <c r="P38" s="18"/>
      <c r="Q38" s="18">
        <v>1</v>
      </c>
    </row>
    <row r="39" spans="1:17" customFormat="1" x14ac:dyDescent="0.25">
      <c r="A39" s="18"/>
      <c r="B39" s="18" t="s">
        <v>34</v>
      </c>
      <c r="C39" s="18" t="s">
        <v>2258</v>
      </c>
      <c r="D39" s="18" t="s">
        <v>2259</v>
      </c>
      <c r="E39" s="18" t="s">
        <v>2260</v>
      </c>
      <c r="F39" s="18" t="s">
        <v>18</v>
      </c>
      <c r="G39" s="19">
        <v>865</v>
      </c>
      <c r="H39" s="19">
        <v>25</v>
      </c>
      <c r="I39" s="19">
        <f>G39-H39</f>
        <v>840</v>
      </c>
      <c r="J39" s="18" t="s">
        <v>160</v>
      </c>
      <c r="K39" s="18" t="s">
        <v>15</v>
      </c>
      <c r="L39" s="18" t="s">
        <v>2182</v>
      </c>
      <c r="M39" s="18"/>
      <c r="N39" s="18"/>
      <c r="O39" s="18"/>
      <c r="P39" s="18"/>
      <c r="Q39" s="18">
        <v>1</v>
      </c>
    </row>
    <row r="40" spans="1:17" customFormat="1" x14ac:dyDescent="0.25">
      <c r="A40" s="18"/>
      <c r="B40" s="18" t="s">
        <v>34</v>
      </c>
      <c r="C40" s="18" t="s">
        <v>2261</v>
      </c>
      <c r="D40" s="18" t="s">
        <v>2262</v>
      </c>
      <c r="E40" s="18" t="s">
        <v>1024</v>
      </c>
      <c r="F40" s="18" t="s">
        <v>18</v>
      </c>
      <c r="G40" s="19">
        <v>0</v>
      </c>
      <c r="H40" s="19">
        <v>25</v>
      </c>
      <c r="I40" s="19">
        <f>-H40</f>
        <v>-25</v>
      </c>
      <c r="J40" s="18" t="s">
        <v>160</v>
      </c>
      <c r="K40" s="18" t="s">
        <v>15</v>
      </c>
      <c r="L40" s="18" t="s">
        <v>2182</v>
      </c>
      <c r="M40" s="18"/>
      <c r="N40" s="18"/>
      <c r="O40" s="18"/>
      <c r="P40" s="18"/>
      <c r="Q40" s="18">
        <v>1</v>
      </c>
    </row>
    <row r="41" spans="1:17" customFormat="1" x14ac:dyDescent="0.25">
      <c r="A41" s="18"/>
      <c r="B41" s="18" t="s">
        <v>34</v>
      </c>
      <c r="C41" s="18" t="s">
        <v>2263</v>
      </c>
      <c r="D41" s="18" t="s">
        <v>2264</v>
      </c>
      <c r="E41" s="18" t="s">
        <v>2265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160</v>
      </c>
      <c r="K41" s="18" t="s">
        <v>15</v>
      </c>
      <c r="L41" s="18" t="s">
        <v>2182</v>
      </c>
      <c r="M41" s="18"/>
      <c r="N41" s="18"/>
      <c r="O41" s="18"/>
      <c r="P41" s="18"/>
      <c r="Q41" s="18">
        <v>1</v>
      </c>
    </row>
    <row r="42" spans="1:17" customFormat="1" x14ac:dyDescent="0.25">
      <c r="A42" s="18"/>
      <c r="B42" s="18" t="s">
        <v>34</v>
      </c>
      <c r="C42" s="18" t="s">
        <v>2266</v>
      </c>
      <c r="D42" s="18" t="s">
        <v>2267</v>
      </c>
      <c r="E42" s="18" t="s">
        <v>1024</v>
      </c>
      <c r="F42" s="18" t="s">
        <v>18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2182</v>
      </c>
      <c r="M42" s="26" t="s">
        <v>307</v>
      </c>
      <c r="N42" s="18"/>
      <c r="O42" s="18"/>
      <c r="P42" s="18"/>
      <c r="Q42" s="18">
        <v>1</v>
      </c>
    </row>
    <row r="43" spans="1:17" customFormat="1" x14ac:dyDescent="0.25">
      <c r="A43" s="18"/>
      <c r="B43" s="18" t="s">
        <v>34</v>
      </c>
      <c r="C43" s="18" t="s">
        <v>2266</v>
      </c>
      <c r="D43" s="18" t="s">
        <v>2268</v>
      </c>
      <c r="E43" s="18" t="s">
        <v>1024</v>
      </c>
      <c r="F43" s="18" t="s">
        <v>18</v>
      </c>
      <c r="G43" s="19">
        <v>0</v>
      </c>
      <c r="H43" s="19">
        <v>0</v>
      </c>
      <c r="I43" s="19">
        <f>H43</f>
        <v>0</v>
      </c>
      <c r="J43" s="18" t="s">
        <v>160</v>
      </c>
      <c r="K43" s="18" t="s">
        <v>15</v>
      </c>
      <c r="L43" s="18" t="s">
        <v>2182</v>
      </c>
      <c r="M43" s="26" t="s">
        <v>307</v>
      </c>
      <c r="N43" s="18"/>
      <c r="O43" s="18"/>
      <c r="P43" s="18"/>
      <c r="Q43" s="18">
        <v>1</v>
      </c>
    </row>
    <row r="44" spans="1:17" customFormat="1" x14ac:dyDescent="0.25">
      <c r="A44" s="18"/>
      <c r="B44" s="18" t="s">
        <v>34</v>
      </c>
      <c r="C44" s="18" t="s">
        <v>2269</v>
      </c>
      <c r="D44" s="18" t="s">
        <v>2270</v>
      </c>
      <c r="E44" s="18" t="s">
        <v>2271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160</v>
      </c>
      <c r="K44" s="18" t="s">
        <v>15</v>
      </c>
      <c r="L44" s="18" t="s">
        <v>2182</v>
      </c>
      <c r="M44" s="18"/>
      <c r="N44" s="18"/>
      <c r="O44" s="18"/>
      <c r="P44" s="18"/>
      <c r="Q44" s="18">
        <v>1</v>
      </c>
    </row>
    <row r="45" spans="1:17" customFormat="1" x14ac:dyDescent="0.25">
      <c r="A45" s="18"/>
      <c r="B45" s="18" t="s">
        <v>34</v>
      </c>
      <c r="C45" s="18" t="s">
        <v>2272</v>
      </c>
      <c r="D45" s="18" t="s">
        <v>2273</v>
      </c>
      <c r="E45" s="18" t="s">
        <v>2274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2182</v>
      </c>
      <c r="M45" s="18"/>
      <c r="N45" s="18"/>
      <c r="O45" s="18"/>
      <c r="P45" s="18"/>
      <c r="Q45" s="18">
        <v>1</v>
      </c>
    </row>
    <row r="46" spans="1:17" customFormat="1" x14ac:dyDescent="0.25">
      <c r="A46" s="18"/>
      <c r="B46" s="18" t="s">
        <v>34</v>
      </c>
      <c r="C46" s="18" t="s">
        <v>2275</v>
      </c>
      <c r="D46" s="18" t="s">
        <v>2276</v>
      </c>
      <c r="E46" s="18" t="s">
        <v>2277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160</v>
      </c>
      <c r="K46" s="18" t="s">
        <v>15</v>
      </c>
      <c r="L46" s="18" t="s">
        <v>2182</v>
      </c>
      <c r="M46" s="18"/>
      <c r="N46" s="18"/>
      <c r="O46" s="18"/>
      <c r="P46" s="18"/>
      <c r="Q46" s="18">
        <v>1</v>
      </c>
    </row>
    <row r="47" spans="1:17" customFormat="1" x14ac:dyDescent="0.25">
      <c r="A47" s="18"/>
      <c r="B47" s="18" t="s">
        <v>34</v>
      </c>
      <c r="C47" s="18" t="s">
        <v>2278</v>
      </c>
      <c r="D47" s="18" t="s">
        <v>2279</v>
      </c>
      <c r="E47" s="18" t="s">
        <v>2280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160</v>
      </c>
      <c r="K47" s="18" t="s">
        <v>15</v>
      </c>
      <c r="L47" s="18" t="s">
        <v>2182</v>
      </c>
      <c r="M47" s="18"/>
      <c r="N47" s="18"/>
      <c r="O47" s="18"/>
      <c r="P47" s="18"/>
      <c r="Q47" s="18">
        <v>1</v>
      </c>
    </row>
    <row r="48" spans="1:17" customFormat="1" x14ac:dyDescent="0.25">
      <c r="A48" s="18"/>
      <c r="B48" s="18" t="s">
        <v>34</v>
      </c>
      <c r="C48" s="18" t="s">
        <v>2281</v>
      </c>
      <c r="D48" s="18" t="s">
        <v>2282</v>
      </c>
      <c r="E48" s="18" t="s">
        <v>2153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160</v>
      </c>
      <c r="K48" s="18" t="s">
        <v>15</v>
      </c>
      <c r="L48" s="18" t="s">
        <v>2182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1152</v>
      </c>
      <c r="D49" s="18" t="s">
        <v>2283</v>
      </c>
      <c r="E49" s="18" t="s">
        <v>1154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160</v>
      </c>
      <c r="K49" s="18" t="s">
        <v>15</v>
      </c>
      <c r="L49" s="18" t="s">
        <v>2182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2284</v>
      </c>
      <c r="D50" s="18" t="s">
        <v>2285</v>
      </c>
      <c r="E50" s="18" t="s">
        <v>2286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160</v>
      </c>
      <c r="K50" s="18" t="s">
        <v>15</v>
      </c>
      <c r="L50" s="18" t="s">
        <v>2182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2287</v>
      </c>
      <c r="D51" s="18" t="s">
        <v>2288</v>
      </c>
      <c r="E51" s="18" t="s">
        <v>2289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160</v>
      </c>
      <c r="K51" s="18" t="s">
        <v>15</v>
      </c>
      <c r="L51" s="18" t="s">
        <v>2182</v>
      </c>
      <c r="M51" s="26" t="s">
        <v>2290</v>
      </c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2291</v>
      </c>
      <c r="D52" s="18" t="s">
        <v>2292</v>
      </c>
      <c r="E52" s="18" t="s">
        <v>2293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160</v>
      </c>
      <c r="K52" s="18" t="s">
        <v>15</v>
      </c>
      <c r="L52" s="18" t="s">
        <v>2182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2294</v>
      </c>
      <c r="D53" s="18" t="s">
        <v>2295</v>
      </c>
      <c r="E53" s="18" t="s">
        <v>2296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160</v>
      </c>
      <c r="K53" s="18" t="s">
        <v>15</v>
      </c>
      <c r="L53" s="18" t="s">
        <v>2182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2297</v>
      </c>
      <c r="D54" s="18" t="s">
        <v>2298</v>
      </c>
      <c r="E54" s="18" t="s">
        <v>2299</v>
      </c>
      <c r="F54" s="18" t="s">
        <v>17</v>
      </c>
      <c r="G54" s="19">
        <v>1140</v>
      </c>
      <c r="H54" s="19">
        <v>20</v>
      </c>
      <c r="I54" s="19">
        <f t="shared" si="2"/>
        <v>1120</v>
      </c>
      <c r="J54" s="18" t="s">
        <v>160</v>
      </c>
      <c r="K54" s="18" t="s">
        <v>15</v>
      </c>
      <c r="L54" s="18" t="s">
        <v>2182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2300</v>
      </c>
      <c r="D55" s="18" t="s">
        <v>2301</v>
      </c>
      <c r="E55" s="18" t="s">
        <v>2302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160</v>
      </c>
      <c r="K55" s="18" t="s">
        <v>15</v>
      </c>
      <c r="L55" s="18" t="s">
        <v>2182</v>
      </c>
      <c r="M55" s="18"/>
      <c r="N55" s="18"/>
      <c r="O55" s="18"/>
      <c r="P55" s="18"/>
      <c r="Q55" s="18">
        <v>1</v>
      </c>
    </row>
    <row r="56" spans="1:18" customFormat="1" x14ac:dyDescent="0.25">
      <c r="A56" s="18" t="s">
        <v>96</v>
      </c>
      <c r="B56" s="18" t="s">
        <v>34</v>
      </c>
      <c r="C56" s="18" t="s">
        <v>2303</v>
      </c>
      <c r="D56" s="18"/>
      <c r="E56" s="18" t="s">
        <v>2304</v>
      </c>
      <c r="F56" s="18" t="s">
        <v>17</v>
      </c>
      <c r="G56" s="19">
        <v>30</v>
      </c>
      <c r="H56" s="19">
        <v>30</v>
      </c>
      <c r="I56" s="19">
        <f t="shared" si="2"/>
        <v>0</v>
      </c>
      <c r="J56" s="18" t="s">
        <v>160</v>
      </c>
      <c r="K56" s="18" t="s">
        <v>15</v>
      </c>
      <c r="L56" s="18" t="s">
        <v>2182</v>
      </c>
      <c r="M56" s="18"/>
      <c r="N56" s="18"/>
      <c r="O56" s="18"/>
      <c r="P56" s="18"/>
      <c r="Q56" s="18">
        <v>1</v>
      </c>
    </row>
    <row r="58" spans="1:18" x14ac:dyDescent="0.25">
      <c r="G58" s="1">
        <f t="shared" ref="G58:R58" si="3">SUBTOTAL(9,G3:G57)</f>
        <v>51915</v>
      </c>
      <c r="H58" s="1">
        <f t="shared" si="3"/>
        <v>1535</v>
      </c>
      <c r="I58" s="1">
        <f t="shared" si="3"/>
        <v>50380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  <c r="R58" s="1">
        <f t="shared" si="3"/>
        <v>0</v>
      </c>
    </row>
    <row r="62" spans="1:18" ht="20.25" customHeight="1" x14ac:dyDescent="0.3">
      <c r="H62" s="4" t="s">
        <v>2177</v>
      </c>
      <c r="I62" s="5" t="s">
        <v>21</v>
      </c>
      <c r="J62" s="6" t="s">
        <v>22</v>
      </c>
    </row>
    <row r="63" spans="1:18" ht="15.75" customHeight="1" x14ac:dyDescent="0.25">
      <c r="H63" s="7" t="s">
        <v>23</v>
      </c>
      <c r="I63" s="8">
        <f>SUM(I57:I61)</f>
        <v>50380</v>
      </c>
      <c r="J63" s="8">
        <f>Q58</f>
        <v>54</v>
      </c>
    </row>
    <row r="64" spans="1:18" x14ac:dyDescent="0.25">
      <c r="H64" s="9" t="s">
        <v>24</v>
      </c>
      <c r="I64" s="10">
        <f>R58</f>
        <v>0</v>
      </c>
      <c r="J64" s="11"/>
    </row>
    <row r="65" spans="1:12" x14ac:dyDescent="0.25">
      <c r="H65" s="9" t="s">
        <v>25</v>
      </c>
      <c r="I65" s="10">
        <f>S57</f>
        <v>0</v>
      </c>
      <c r="J65" s="11"/>
    </row>
    <row r="66" spans="1:12" x14ac:dyDescent="0.25">
      <c r="H66" s="9" t="s">
        <v>26</v>
      </c>
      <c r="I66" s="10">
        <f>T57</f>
        <v>0</v>
      </c>
      <c r="J66" s="11"/>
    </row>
    <row r="67" spans="1:12" x14ac:dyDescent="0.25">
      <c r="H67" s="9" t="s">
        <v>27</v>
      </c>
      <c r="I67" s="10">
        <f>U57</f>
        <v>0</v>
      </c>
      <c r="J67" s="11"/>
    </row>
    <row r="68" spans="1:12" ht="15.75" customHeight="1" x14ac:dyDescent="0.25">
      <c r="H68" s="12" t="s">
        <v>28</v>
      </c>
      <c r="I68" s="13"/>
      <c r="J68" s="13"/>
    </row>
    <row r="69" spans="1:12" ht="15.75" customHeight="1" x14ac:dyDescent="0.25">
      <c r="H69" s="14" t="s">
        <v>29</v>
      </c>
      <c r="I69" s="13"/>
      <c r="J69" s="13"/>
    </row>
    <row r="70" spans="1:12" ht="21" customHeight="1" x14ac:dyDescent="0.35">
      <c r="H70" s="15" t="s">
        <v>30</v>
      </c>
      <c r="I70" s="16">
        <f>SUM(I63:I69)</f>
        <v>50380</v>
      </c>
      <c r="J70" s="16">
        <f>SUM(J63:J67)</f>
        <v>54</v>
      </c>
    </row>
    <row r="72" spans="1:12" x14ac:dyDescent="0.25">
      <c r="A72" s="1" t="s">
        <v>173</v>
      </c>
    </row>
    <row r="73" spans="1:12" s="23" customFormat="1" x14ac:dyDescent="0.25">
      <c r="A73" s="24" t="s">
        <v>34</v>
      </c>
      <c r="B73" s="24" t="s">
        <v>2287</v>
      </c>
      <c r="C73" s="24" t="s">
        <v>2288</v>
      </c>
      <c r="D73" s="24" t="s">
        <v>2289</v>
      </c>
      <c r="E73" s="25">
        <v>1</v>
      </c>
      <c r="F73" s="25">
        <v>475</v>
      </c>
      <c r="G73" s="25">
        <v>0</v>
      </c>
      <c r="H73" s="25">
        <f>F73-G73</f>
        <v>475</v>
      </c>
      <c r="I73" s="24" t="s">
        <v>160</v>
      </c>
      <c r="J73" s="24" t="s">
        <v>15</v>
      </c>
      <c r="K73" s="24" t="s">
        <v>2182</v>
      </c>
      <c r="L73" s="48" t="s">
        <v>2290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58C6-AE2E-42AB-96C7-90917C29817C}">
  <dimension ref="A1:R75"/>
  <sheetViews>
    <sheetView zoomScaleNormal="100" workbookViewId="0">
      <selection activeCell="B1" sqref="B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2450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1086</v>
      </c>
      <c r="D3" s="18" t="s">
        <v>2305</v>
      </c>
      <c r="E3" s="18" t="s">
        <v>2306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56</v>
      </c>
      <c r="K3" s="18" t="s">
        <v>15</v>
      </c>
      <c r="L3" s="18" t="s">
        <v>2307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2308</v>
      </c>
      <c r="D4" s="18" t="s">
        <v>2309</v>
      </c>
      <c r="E4" s="18" t="s">
        <v>2310</v>
      </c>
      <c r="F4" s="19">
        <v>1</v>
      </c>
      <c r="G4" s="19">
        <v>1145</v>
      </c>
      <c r="H4" s="19">
        <v>25</v>
      </c>
      <c r="I4" s="19">
        <f>G4-H4</f>
        <v>1120</v>
      </c>
      <c r="J4" s="18" t="s">
        <v>2311</v>
      </c>
      <c r="K4" s="18" t="s">
        <v>15</v>
      </c>
      <c r="L4" s="18" t="s">
        <v>2307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2312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2311</v>
      </c>
      <c r="K5" s="18" t="s">
        <v>15</v>
      </c>
      <c r="L5" s="18" t="s">
        <v>2307</v>
      </c>
      <c r="M5" s="26" t="s">
        <v>307</v>
      </c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2447</v>
      </c>
      <c r="E6" s="18" t="s">
        <v>1214</v>
      </c>
      <c r="F6" s="18" t="s">
        <v>38</v>
      </c>
      <c r="G6" s="19">
        <v>0</v>
      </c>
      <c r="H6" s="19">
        <v>0</v>
      </c>
      <c r="I6" s="19">
        <f>-H6</f>
        <v>0</v>
      </c>
      <c r="J6" s="18" t="s">
        <v>2311</v>
      </c>
      <c r="K6" s="18" t="s">
        <v>15</v>
      </c>
      <c r="L6" s="18" t="s">
        <v>2307</v>
      </c>
      <c r="M6" s="26" t="s">
        <v>307</v>
      </c>
      <c r="N6" s="18"/>
      <c r="O6" s="18"/>
      <c r="P6" s="18"/>
      <c r="Q6" s="18">
        <v>1</v>
      </c>
      <c r="R6" s="17">
        <f>H6</f>
        <v>0</v>
      </c>
    </row>
    <row r="7" spans="1:18" customFormat="1" x14ac:dyDescent="0.25">
      <c r="A7" s="18"/>
      <c r="B7" s="18" t="s">
        <v>34</v>
      </c>
      <c r="C7" s="18" t="s">
        <v>2313</v>
      </c>
      <c r="D7" s="18" t="s">
        <v>2314</v>
      </c>
      <c r="E7" s="18" t="s">
        <v>2315</v>
      </c>
      <c r="F7" s="19">
        <v>7</v>
      </c>
      <c r="G7" s="19">
        <v>470</v>
      </c>
      <c r="H7" s="19">
        <v>30</v>
      </c>
      <c r="I7" s="19">
        <f>G7-H7</f>
        <v>440</v>
      </c>
      <c r="J7" s="18" t="s">
        <v>2311</v>
      </c>
      <c r="K7" s="18" t="s">
        <v>15</v>
      </c>
      <c r="L7" s="18" t="s">
        <v>2307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899</v>
      </c>
      <c r="D8" s="18" t="s">
        <v>2316</v>
      </c>
      <c r="E8" s="18" t="s">
        <v>901</v>
      </c>
      <c r="F8" s="18" t="s">
        <v>38</v>
      </c>
      <c r="G8" s="19">
        <v>380</v>
      </c>
      <c r="H8" s="19">
        <v>30</v>
      </c>
      <c r="I8" s="19">
        <f>G8-H8</f>
        <v>350</v>
      </c>
      <c r="J8" s="18" t="s">
        <v>2311</v>
      </c>
      <c r="K8" s="18" t="s">
        <v>15</v>
      </c>
      <c r="L8" s="18" t="s">
        <v>2307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2317</v>
      </c>
      <c r="D9" s="18" t="s">
        <v>2318</v>
      </c>
      <c r="E9" s="18" t="s">
        <v>2319</v>
      </c>
      <c r="F9" s="19">
        <v>8</v>
      </c>
      <c r="G9" s="19">
        <v>560</v>
      </c>
      <c r="H9" s="19">
        <v>30</v>
      </c>
      <c r="I9" s="19">
        <f>G9-H9</f>
        <v>530</v>
      </c>
      <c r="J9" s="18" t="s">
        <v>2311</v>
      </c>
      <c r="K9" s="18" t="s">
        <v>15</v>
      </c>
      <c r="L9" s="18" t="s">
        <v>2307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2320</v>
      </c>
      <c r="D10" s="18" t="s">
        <v>2321</v>
      </c>
      <c r="E10" s="18" t="s">
        <v>2322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2311</v>
      </c>
      <c r="K10" s="18" t="s">
        <v>15</v>
      </c>
      <c r="L10" s="18" t="s">
        <v>2307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594</v>
      </c>
      <c r="D11" s="18" t="s">
        <v>2323</v>
      </c>
      <c r="E11" s="18" t="s">
        <v>596</v>
      </c>
      <c r="F11" s="18" t="s">
        <v>212</v>
      </c>
      <c r="G11" s="19">
        <v>525</v>
      </c>
      <c r="H11" s="19">
        <v>25</v>
      </c>
      <c r="I11" s="19">
        <f>G11-H11</f>
        <v>500</v>
      </c>
      <c r="J11" s="18" t="s">
        <v>2311</v>
      </c>
      <c r="K11" s="18" t="s">
        <v>15</v>
      </c>
      <c r="L11" s="18" t="s">
        <v>2307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2324</v>
      </c>
      <c r="D12" s="18" t="s">
        <v>2325</v>
      </c>
      <c r="E12" s="18" t="s">
        <v>2326</v>
      </c>
      <c r="F12" s="19">
        <v>7</v>
      </c>
      <c r="G12" s="19">
        <v>690</v>
      </c>
      <c r="H12" s="19">
        <v>30</v>
      </c>
      <c r="I12" s="19">
        <f>G12-H12</f>
        <v>660</v>
      </c>
      <c r="J12" s="18" t="s">
        <v>2311</v>
      </c>
      <c r="K12" s="18" t="s">
        <v>15</v>
      </c>
      <c r="L12" s="18" t="s">
        <v>2307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711</v>
      </c>
      <c r="D13" s="18" t="s">
        <v>2327</v>
      </c>
      <c r="E13" s="18" t="s">
        <v>713</v>
      </c>
      <c r="F13" s="19">
        <v>6</v>
      </c>
      <c r="G13" s="19">
        <v>475</v>
      </c>
      <c r="H13" s="19">
        <v>25</v>
      </c>
      <c r="I13" s="19">
        <f>G13-H13</f>
        <v>450</v>
      </c>
      <c r="J13" s="18" t="s">
        <v>2311</v>
      </c>
      <c r="K13" s="18" t="s">
        <v>15</v>
      </c>
      <c r="L13" s="18" t="s">
        <v>2307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2071</v>
      </c>
      <c r="D14" s="18" t="s">
        <v>2328</v>
      </c>
      <c r="E14" s="18" t="s">
        <v>2329</v>
      </c>
      <c r="F14" s="18" t="s">
        <v>18</v>
      </c>
      <c r="G14" s="19">
        <v>480</v>
      </c>
      <c r="H14" s="19">
        <v>30</v>
      </c>
      <c r="I14" s="19">
        <f>G14-H14</f>
        <v>450</v>
      </c>
      <c r="J14" s="18" t="s">
        <v>2311</v>
      </c>
      <c r="K14" s="18" t="s">
        <v>15</v>
      </c>
      <c r="L14" s="18" t="s">
        <v>2307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2330</v>
      </c>
      <c r="D15" s="18" t="s">
        <v>2331</v>
      </c>
      <c r="E15" s="18" t="s">
        <v>2332</v>
      </c>
      <c r="F15" s="19">
        <v>4</v>
      </c>
      <c r="G15" s="19">
        <v>685</v>
      </c>
      <c r="H15" s="19">
        <v>25</v>
      </c>
      <c r="I15" s="19">
        <f>G15-H15</f>
        <v>660</v>
      </c>
      <c r="J15" s="18" t="s">
        <v>2311</v>
      </c>
      <c r="K15" s="18" t="s">
        <v>15</v>
      </c>
      <c r="L15" s="18" t="s">
        <v>2307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2333</v>
      </c>
      <c r="D16" s="18" t="s">
        <v>2334</v>
      </c>
      <c r="E16" s="18" t="s">
        <v>1864</v>
      </c>
      <c r="F16" s="18" t="s">
        <v>254</v>
      </c>
      <c r="G16" s="19">
        <v>0</v>
      </c>
      <c r="H16" s="19">
        <v>35</v>
      </c>
      <c r="I16" s="19">
        <f>-H16</f>
        <v>-35</v>
      </c>
      <c r="J16" s="18" t="s">
        <v>2311</v>
      </c>
      <c r="K16" s="18" t="s">
        <v>15</v>
      </c>
      <c r="L16" s="18" t="s">
        <v>2307</v>
      </c>
      <c r="M16" s="18"/>
      <c r="N16" s="18"/>
      <c r="O16" s="18"/>
      <c r="P16" s="18"/>
      <c r="Q16" s="18">
        <v>1</v>
      </c>
      <c r="R16" s="17">
        <f>H16</f>
        <v>35</v>
      </c>
    </row>
    <row r="17" spans="1:18" customFormat="1" x14ac:dyDescent="0.25">
      <c r="A17" s="18"/>
      <c r="B17" s="18" t="s">
        <v>34</v>
      </c>
      <c r="C17" s="18" t="s">
        <v>2335</v>
      </c>
      <c r="D17" s="18" t="s">
        <v>2336</v>
      </c>
      <c r="E17" s="18" t="s">
        <v>2337</v>
      </c>
      <c r="F17" s="19">
        <v>1</v>
      </c>
      <c r="G17" s="19">
        <v>865</v>
      </c>
      <c r="H17" s="19">
        <v>25</v>
      </c>
      <c r="I17" s="19">
        <f>G17-H17</f>
        <v>840</v>
      </c>
      <c r="J17" s="18" t="s">
        <v>2311</v>
      </c>
      <c r="K17" s="18" t="s">
        <v>15</v>
      </c>
      <c r="L17" s="18" t="s">
        <v>2307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2338</v>
      </c>
      <c r="D18" s="18" t="s">
        <v>2339</v>
      </c>
      <c r="E18" s="18" t="s">
        <v>2340</v>
      </c>
      <c r="F18" s="19">
        <v>1</v>
      </c>
      <c r="G18" s="19">
        <v>1915</v>
      </c>
      <c r="H18" s="19">
        <v>25</v>
      </c>
      <c r="I18" s="19">
        <f>G18-H18</f>
        <v>1890</v>
      </c>
      <c r="J18" s="18" t="s">
        <v>2311</v>
      </c>
      <c r="K18" s="18" t="s">
        <v>15</v>
      </c>
      <c r="L18" s="18" t="s">
        <v>2307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2341</v>
      </c>
      <c r="D19" s="18" t="s">
        <v>2342</v>
      </c>
      <c r="E19" s="18" t="s">
        <v>2343</v>
      </c>
      <c r="F19" s="18" t="s">
        <v>108</v>
      </c>
      <c r="G19" s="19">
        <v>1355</v>
      </c>
      <c r="H19" s="19">
        <v>35</v>
      </c>
      <c r="I19" s="19">
        <f>G19-H19</f>
        <v>1320</v>
      </c>
      <c r="J19" s="18" t="s">
        <v>2311</v>
      </c>
      <c r="K19" s="18" t="s">
        <v>15</v>
      </c>
      <c r="L19" s="18" t="s">
        <v>2307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1067</v>
      </c>
      <c r="D20" s="18" t="s">
        <v>2344</v>
      </c>
      <c r="E20" s="18" t="s">
        <v>1202</v>
      </c>
      <c r="F20" s="19">
        <v>7</v>
      </c>
      <c r="G20" s="19">
        <v>880</v>
      </c>
      <c r="H20" s="19">
        <v>30</v>
      </c>
      <c r="I20" s="19">
        <f>G20-H20</f>
        <v>850</v>
      </c>
      <c r="J20" s="18" t="s">
        <v>2311</v>
      </c>
      <c r="K20" s="18" t="s">
        <v>15</v>
      </c>
      <c r="L20" s="18" t="s">
        <v>2307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2345</v>
      </c>
      <c r="D21" s="18" t="s">
        <v>2346</v>
      </c>
      <c r="E21" s="18" t="s">
        <v>2347</v>
      </c>
      <c r="F21" s="19">
        <v>7</v>
      </c>
      <c r="G21" s="19">
        <v>1990</v>
      </c>
      <c r="H21" s="19">
        <v>30</v>
      </c>
      <c r="I21" s="19">
        <f>G21-H21</f>
        <v>1960</v>
      </c>
      <c r="J21" s="18" t="s">
        <v>2311</v>
      </c>
      <c r="K21" s="18" t="s">
        <v>15</v>
      </c>
      <c r="L21" s="18" t="s">
        <v>2307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2348</v>
      </c>
      <c r="D22" s="18" t="s">
        <v>2349</v>
      </c>
      <c r="E22" s="18" t="s">
        <v>2350</v>
      </c>
      <c r="F22" s="18" t="s">
        <v>123</v>
      </c>
      <c r="G22" s="19">
        <v>0</v>
      </c>
      <c r="H22" s="19">
        <v>35</v>
      </c>
      <c r="I22" s="19">
        <f>-H22</f>
        <v>-35</v>
      </c>
      <c r="J22" s="18" t="s">
        <v>2311</v>
      </c>
      <c r="K22" s="18" t="s">
        <v>15</v>
      </c>
      <c r="L22" s="18" t="s">
        <v>2307</v>
      </c>
      <c r="M22" s="18"/>
      <c r="N22" s="18"/>
      <c r="O22" s="18"/>
      <c r="P22" s="18"/>
      <c r="Q22" s="18">
        <v>1</v>
      </c>
      <c r="R22" s="17">
        <f>H22</f>
        <v>35</v>
      </c>
    </row>
    <row r="23" spans="1:18" customFormat="1" x14ac:dyDescent="0.25">
      <c r="A23" s="18"/>
      <c r="B23" s="18" t="s">
        <v>34</v>
      </c>
      <c r="C23" s="18" t="s">
        <v>2351</v>
      </c>
      <c r="D23" s="18" t="s">
        <v>2352</v>
      </c>
      <c r="E23" s="18" t="s">
        <v>2353</v>
      </c>
      <c r="F23" s="18" t="s">
        <v>212</v>
      </c>
      <c r="G23" s="19">
        <v>1545</v>
      </c>
      <c r="H23" s="19">
        <v>25</v>
      </c>
      <c r="I23" s="19">
        <f>G23-H23</f>
        <v>1520</v>
      </c>
      <c r="J23" s="18" t="s">
        <v>2311</v>
      </c>
      <c r="K23" s="18" t="s">
        <v>15</v>
      </c>
      <c r="L23" s="18" t="s">
        <v>2307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2354</v>
      </c>
      <c r="D24" s="18" t="s">
        <v>2355</v>
      </c>
      <c r="E24" s="18" t="s">
        <v>2356</v>
      </c>
      <c r="F24" s="19">
        <v>12</v>
      </c>
      <c r="G24" s="19">
        <v>920</v>
      </c>
      <c r="H24" s="19">
        <v>30</v>
      </c>
      <c r="I24" s="19">
        <f>G24-H24</f>
        <v>890</v>
      </c>
      <c r="J24" s="18" t="s">
        <v>2311</v>
      </c>
      <c r="K24" s="18" t="s">
        <v>15</v>
      </c>
      <c r="L24" s="18" t="s">
        <v>2307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2110</v>
      </c>
      <c r="D25" s="18" t="s">
        <v>2357</v>
      </c>
      <c r="E25" s="18" t="s">
        <v>2112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2311</v>
      </c>
      <c r="K25" s="18" t="s">
        <v>15</v>
      </c>
      <c r="L25" s="18" t="s">
        <v>2307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473</v>
      </c>
      <c r="D26" s="18" t="s">
        <v>2358</v>
      </c>
      <c r="E26" s="18" t="s">
        <v>2359</v>
      </c>
      <c r="F26" s="19">
        <v>4</v>
      </c>
      <c r="G26" s="19">
        <v>915</v>
      </c>
      <c r="H26" s="19">
        <v>25</v>
      </c>
      <c r="I26" s="19">
        <f t="shared" ref="I26:I31" si="0">G26-H26</f>
        <v>890</v>
      </c>
      <c r="J26" s="18" t="s">
        <v>2311</v>
      </c>
      <c r="K26" s="18" t="s">
        <v>15</v>
      </c>
      <c r="L26" s="18" t="s">
        <v>2307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2360</v>
      </c>
      <c r="D27" s="18" t="s">
        <v>2361</v>
      </c>
      <c r="E27" s="18" t="s">
        <v>2362</v>
      </c>
      <c r="F27" s="19">
        <v>11</v>
      </c>
      <c r="G27" s="19">
        <v>1175</v>
      </c>
      <c r="H27" s="19">
        <v>25</v>
      </c>
      <c r="I27" s="19">
        <f t="shared" si="0"/>
        <v>1150</v>
      </c>
      <c r="J27" s="18" t="s">
        <v>2311</v>
      </c>
      <c r="K27" s="18" t="s">
        <v>15</v>
      </c>
      <c r="L27" s="18" t="s">
        <v>2307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1719</v>
      </c>
      <c r="D28" s="18" t="s">
        <v>2363</v>
      </c>
      <c r="E28" s="18" t="s">
        <v>1721</v>
      </c>
      <c r="F28" s="19">
        <v>7</v>
      </c>
      <c r="G28" s="19">
        <v>390</v>
      </c>
      <c r="H28" s="19">
        <v>30</v>
      </c>
      <c r="I28" s="19">
        <f t="shared" si="0"/>
        <v>360</v>
      </c>
      <c r="J28" s="18" t="s">
        <v>2311</v>
      </c>
      <c r="K28" s="18" t="s">
        <v>15</v>
      </c>
      <c r="L28" s="18" t="s">
        <v>2307</v>
      </c>
      <c r="M28" s="18"/>
      <c r="N28" s="18"/>
      <c r="O28" s="18"/>
      <c r="P28" s="18"/>
      <c r="Q28" s="18">
        <v>1</v>
      </c>
    </row>
    <row r="29" spans="1:18" s="22" customFormat="1" x14ac:dyDescent="0.25">
      <c r="A29" s="20"/>
      <c r="B29" s="20" t="s">
        <v>34</v>
      </c>
      <c r="C29" s="20" t="s">
        <v>1005</v>
      </c>
      <c r="D29" s="20" t="s">
        <v>2364</v>
      </c>
      <c r="E29" s="20" t="s">
        <v>1007</v>
      </c>
      <c r="F29" s="21">
        <v>1</v>
      </c>
      <c r="G29" s="21">
        <v>65</v>
      </c>
      <c r="H29" s="21">
        <v>25</v>
      </c>
      <c r="I29" s="21">
        <f t="shared" si="0"/>
        <v>40</v>
      </c>
      <c r="J29" s="20" t="s">
        <v>2311</v>
      </c>
      <c r="K29" s="20" t="s">
        <v>15</v>
      </c>
      <c r="L29" s="20" t="s">
        <v>2307</v>
      </c>
      <c r="M29" s="20" t="s">
        <v>16</v>
      </c>
      <c r="N29" s="20"/>
      <c r="O29" s="20"/>
      <c r="P29" s="20"/>
      <c r="Q29" s="20">
        <v>1</v>
      </c>
    </row>
    <row r="30" spans="1:18" customFormat="1" x14ac:dyDescent="0.25">
      <c r="A30" s="18"/>
      <c r="B30" s="18" t="s">
        <v>34</v>
      </c>
      <c r="C30" s="18" t="s">
        <v>2365</v>
      </c>
      <c r="D30" s="18" t="s">
        <v>2366</v>
      </c>
      <c r="E30" s="18" t="s">
        <v>2367</v>
      </c>
      <c r="F30" s="19">
        <v>1</v>
      </c>
      <c r="G30" s="19">
        <v>685</v>
      </c>
      <c r="H30" s="19">
        <v>25</v>
      </c>
      <c r="I30" s="19">
        <f t="shared" si="0"/>
        <v>660</v>
      </c>
      <c r="J30" s="18" t="s">
        <v>2311</v>
      </c>
      <c r="K30" s="18" t="s">
        <v>15</v>
      </c>
      <c r="L30" s="18" t="s">
        <v>2307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2368</v>
      </c>
      <c r="D31" s="18" t="s">
        <v>2369</v>
      </c>
      <c r="E31" s="18" t="s">
        <v>2370</v>
      </c>
      <c r="F31" s="19">
        <v>12</v>
      </c>
      <c r="G31" s="19">
        <v>1670</v>
      </c>
      <c r="H31" s="19">
        <v>30</v>
      </c>
      <c r="I31" s="19">
        <f t="shared" si="0"/>
        <v>1640</v>
      </c>
      <c r="J31" s="18" t="s">
        <v>2311</v>
      </c>
      <c r="K31" s="18" t="s">
        <v>15</v>
      </c>
      <c r="L31" s="18" t="s">
        <v>2307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2371</v>
      </c>
      <c r="D32" s="18" t="s">
        <v>2372</v>
      </c>
      <c r="E32" s="18" t="s">
        <v>2373</v>
      </c>
      <c r="F32" s="19">
        <v>11</v>
      </c>
      <c r="G32" s="19">
        <v>0</v>
      </c>
      <c r="H32" s="19">
        <v>25</v>
      </c>
      <c r="I32" s="19">
        <f>-H32</f>
        <v>-25</v>
      </c>
      <c r="J32" s="18" t="s">
        <v>2311</v>
      </c>
      <c r="K32" s="18" t="s">
        <v>15</v>
      </c>
      <c r="L32" s="18" t="s">
        <v>2307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2374</v>
      </c>
      <c r="D33" s="18" t="s">
        <v>2375</v>
      </c>
      <c r="E33" s="18" t="s">
        <v>2376</v>
      </c>
      <c r="F33" s="18" t="s">
        <v>212</v>
      </c>
      <c r="G33" s="19">
        <v>685</v>
      </c>
      <c r="H33" s="19">
        <v>25</v>
      </c>
      <c r="I33" s="19">
        <f>G33-H33</f>
        <v>660</v>
      </c>
      <c r="J33" s="18" t="s">
        <v>2311</v>
      </c>
      <c r="K33" s="18" t="s">
        <v>15</v>
      </c>
      <c r="L33" s="18" t="s">
        <v>2307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2377</v>
      </c>
      <c r="D34" s="18" t="s">
        <v>2378</v>
      </c>
      <c r="E34" s="18" t="s">
        <v>2379</v>
      </c>
      <c r="F34" s="19">
        <v>7</v>
      </c>
      <c r="G34" s="19">
        <v>1530</v>
      </c>
      <c r="H34" s="19">
        <v>30</v>
      </c>
      <c r="I34" s="19">
        <f>G34-H34</f>
        <v>1500</v>
      </c>
      <c r="J34" s="18" t="s">
        <v>2311</v>
      </c>
      <c r="K34" s="18" t="s">
        <v>15</v>
      </c>
      <c r="L34" s="18" t="s">
        <v>2307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2380</v>
      </c>
      <c r="D35" s="18" t="s">
        <v>2381</v>
      </c>
      <c r="E35" s="18" t="s">
        <v>2382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2311</v>
      </c>
      <c r="K35" s="18" t="s">
        <v>15</v>
      </c>
      <c r="L35" s="18" t="s">
        <v>2307</v>
      </c>
      <c r="M35" s="26" t="s">
        <v>377</v>
      </c>
      <c r="N35" s="18"/>
      <c r="O35" s="18"/>
      <c r="P35" s="18"/>
      <c r="Q35" s="18">
        <v>1</v>
      </c>
      <c r="R35" s="17">
        <f>H35</f>
        <v>35</v>
      </c>
    </row>
    <row r="36" spans="1:18" customFormat="1" x14ac:dyDescent="0.25">
      <c r="A36" s="18"/>
      <c r="B36" s="18" t="s">
        <v>34</v>
      </c>
      <c r="C36" s="18" t="s">
        <v>999</v>
      </c>
      <c r="D36" s="18" t="s">
        <v>2383</v>
      </c>
      <c r="E36" s="18" t="s">
        <v>1001</v>
      </c>
      <c r="F36" s="18" t="s">
        <v>18</v>
      </c>
      <c r="G36" s="19">
        <v>915</v>
      </c>
      <c r="H36" s="19">
        <v>25</v>
      </c>
      <c r="I36" s="19">
        <f t="shared" ref="I36:I41" si="1">G36-H36</f>
        <v>890</v>
      </c>
      <c r="J36" s="18" t="s">
        <v>2311</v>
      </c>
      <c r="K36" s="18" t="s">
        <v>15</v>
      </c>
      <c r="L36" s="18" t="s">
        <v>2307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2384</v>
      </c>
      <c r="D37" s="18" t="s">
        <v>2385</v>
      </c>
      <c r="E37" s="18" t="s">
        <v>2386</v>
      </c>
      <c r="F37" s="19">
        <v>11</v>
      </c>
      <c r="G37" s="19">
        <v>855</v>
      </c>
      <c r="H37" s="19">
        <v>25</v>
      </c>
      <c r="I37" s="19">
        <f t="shared" si="1"/>
        <v>830</v>
      </c>
      <c r="J37" s="18" t="s">
        <v>2311</v>
      </c>
      <c r="K37" s="18" t="s">
        <v>15</v>
      </c>
      <c r="L37" s="18" t="s">
        <v>2307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2387</v>
      </c>
      <c r="D38" s="18" t="s">
        <v>2388</v>
      </c>
      <c r="E38" s="18" t="s">
        <v>2389</v>
      </c>
      <c r="F38" s="19">
        <v>7</v>
      </c>
      <c r="G38" s="19">
        <v>1860</v>
      </c>
      <c r="H38" s="19">
        <v>30</v>
      </c>
      <c r="I38" s="19">
        <f t="shared" si="1"/>
        <v>1830</v>
      </c>
      <c r="J38" s="18" t="s">
        <v>2311</v>
      </c>
      <c r="K38" s="18" t="s">
        <v>15</v>
      </c>
      <c r="L38" s="18" t="s">
        <v>2307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2390</v>
      </c>
      <c r="D39" s="18" t="s">
        <v>2391</v>
      </c>
      <c r="E39" s="18" t="s">
        <v>760</v>
      </c>
      <c r="F39" s="18" t="s">
        <v>18</v>
      </c>
      <c r="G39" s="19">
        <v>685</v>
      </c>
      <c r="H39" s="19">
        <v>25</v>
      </c>
      <c r="I39" s="19">
        <f t="shared" si="1"/>
        <v>660</v>
      </c>
      <c r="J39" s="18" t="s">
        <v>2311</v>
      </c>
      <c r="K39" s="18" t="s">
        <v>15</v>
      </c>
      <c r="L39" s="18" t="s">
        <v>2307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2392</v>
      </c>
      <c r="D40" s="18" t="s">
        <v>2393</v>
      </c>
      <c r="E40" s="18" t="s">
        <v>1999</v>
      </c>
      <c r="F40" s="19">
        <v>1</v>
      </c>
      <c r="G40" s="19">
        <v>685</v>
      </c>
      <c r="H40" s="19">
        <v>25</v>
      </c>
      <c r="I40" s="19">
        <f t="shared" si="1"/>
        <v>660</v>
      </c>
      <c r="J40" s="18" t="s">
        <v>2311</v>
      </c>
      <c r="K40" s="18" t="s">
        <v>15</v>
      </c>
      <c r="L40" s="18" t="s">
        <v>2307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2394</v>
      </c>
      <c r="D41" s="18" t="s">
        <v>2395</v>
      </c>
      <c r="E41" s="18" t="s">
        <v>2396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15</v>
      </c>
      <c r="K41" s="18" t="s">
        <v>15</v>
      </c>
      <c r="L41" s="18" t="s">
        <v>2307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2397</v>
      </c>
      <c r="D42" s="18" t="s">
        <v>2398</v>
      </c>
      <c r="E42" s="18" t="s">
        <v>582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15</v>
      </c>
      <c r="K42" s="18" t="s">
        <v>15</v>
      </c>
      <c r="L42" s="18" t="s">
        <v>2307</v>
      </c>
      <c r="M42" s="18"/>
      <c r="N42" s="18"/>
      <c r="O42" s="18"/>
      <c r="P42" s="18"/>
      <c r="Q42" s="18">
        <v>1</v>
      </c>
      <c r="R42" s="17">
        <f>H42</f>
        <v>30</v>
      </c>
    </row>
    <row r="43" spans="1:18" customFormat="1" x14ac:dyDescent="0.25">
      <c r="A43" s="18"/>
      <c r="B43" s="18" t="s">
        <v>34</v>
      </c>
      <c r="C43" s="18" t="s">
        <v>2399</v>
      </c>
      <c r="D43" s="18" t="s">
        <v>2400</v>
      </c>
      <c r="E43" s="18" t="s">
        <v>2401</v>
      </c>
      <c r="F43" s="18" t="s">
        <v>144</v>
      </c>
      <c r="G43" s="19">
        <v>480</v>
      </c>
      <c r="H43" s="19">
        <v>30</v>
      </c>
      <c r="I43" s="19">
        <f>G43-H43</f>
        <v>450</v>
      </c>
      <c r="J43" s="18" t="s">
        <v>15</v>
      </c>
      <c r="K43" s="18" t="s">
        <v>15</v>
      </c>
      <c r="L43" s="18" t="s">
        <v>2307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2402</v>
      </c>
      <c r="D44" s="18" t="s">
        <v>2403</v>
      </c>
      <c r="E44" s="18" t="s">
        <v>2404</v>
      </c>
      <c r="F44" s="18" t="s">
        <v>19</v>
      </c>
      <c r="G44" s="19">
        <v>1140</v>
      </c>
      <c r="H44" s="19">
        <v>20</v>
      </c>
      <c r="I44" s="19">
        <f>G44-H44</f>
        <v>1120</v>
      </c>
      <c r="J44" s="18" t="s">
        <v>15</v>
      </c>
      <c r="K44" s="18" t="s">
        <v>15</v>
      </c>
      <c r="L44" s="18" t="s">
        <v>2307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2405</v>
      </c>
      <c r="D45" s="18" t="s">
        <v>2406</v>
      </c>
      <c r="E45" s="18" t="s">
        <v>2407</v>
      </c>
      <c r="F45" s="18" t="s">
        <v>19</v>
      </c>
      <c r="G45" s="19">
        <v>0</v>
      </c>
      <c r="H45" s="19">
        <v>20</v>
      </c>
      <c r="I45" s="19">
        <f>-H45</f>
        <v>-20</v>
      </c>
      <c r="J45" s="18" t="s">
        <v>15</v>
      </c>
      <c r="K45" s="18" t="s">
        <v>15</v>
      </c>
      <c r="L45" s="18" t="s">
        <v>2307</v>
      </c>
      <c r="M45" s="18"/>
      <c r="N45" s="18"/>
      <c r="O45" s="18"/>
      <c r="P45" s="18"/>
      <c r="Q45" s="18">
        <v>1</v>
      </c>
      <c r="R45" s="17">
        <f t="shared" ref="R45:R46" si="2">H45</f>
        <v>20</v>
      </c>
    </row>
    <row r="46" spans="1:18" customFormat="1" x14ac:dyDescent="0.25">
      <c r="A46" s="18"/>
      <c r="B46" s="18" t="s">
        <v>34</v>
      </c>
      <c r="C46" s="18" t="s">
        <v>2408</v>
      </c>
      <c r="D46" s="18" t="s">
        <v>2409</v>
      </c>
      <c r="E46" s="18" t="s">
        <v>2410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15</v>
      </c>
      <c r="K46" s="18" t="s">
        <v>15</v>
      </c>
      <c r="L46" s="18" t="s">
        <v>2307</v>
      </c>
      <c r="M46" s="18"/>
      <c r="N46" s="18"/>
      <c r="O46" s="18"/>
      <c r="P46" s="18"/>
      <c r="Q46" s="18">
        <v>1</v>
      </c>
      <c r="R46" s="17">
        <f t="shared" si="2"/>
        <v>30</v>
      </c>
    </row>
    <row r="47" spans="1:18" customFormat="1" x14ac:dyDescent="0.25">
      <c r="A47" s="18"/>
      <c r="B47" s="18" t="s">
        <v>34</v>
      </c>
      <c r="C47" s="18" t="s">
        <v>2411</v>
      </c>
      <c r="D47" s="18" t="s">
        <v>2412</v>
      </c>
      <c r="E47" s="18" t="s">
        <v>2413</v>
      </c>
      <c r="F47" s="18" t="s">
        <v>144</v>
      </c>
      <c r="G47" s="19">
        <v>890</v>
      </c>
      <c r="H47" s="19">
        <v>30</v>
      </c>
      <c r="I47" s="19">
        <f>G47-H47</f>
        <v>860</v>
      </c>
      <c r="J47" s="18" t="s">
        <v>15</v>
      </c>
      <c r="K47" s="18" t="s">
        <v>15</v>
      </c>
      <c r="L47" s="18" t="s">
        <v>2307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2414</v>
      </c>
      <c r="D48" s="18" t="s">
        <v>2415</v>
      </c>
      <c r="E48" s="18" t="s">
        <v>1761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15</v>
      </c>
      <c r="K48" s="18" t="s">
        <v>15</v>
      </c>
      <c r="L48" s="18" t="s">
        <v>2307</v>
      </c>
      <c r="M48" s="18"/>
      <c r="N48" s="18"/>
      <c r="O48" s="18"/>
      <c r="P48" s="18"/>
      <c r="Q48" s="18">
        <v>1</v>
      </c>
      <c r="R48" s="17">
        <f>H48</f>
        <v>30</v>
      </c>
    </row>
    <row r="49" spans="1:18" customFormat="1" x14ac:dyDescent="0.25">
      <c r="A49" s="18"/>
      <c r="B49" s="18" t="s">
        <v>34</v>
      </c>
      <c r="C49" s="18" t="s">
        <v>2416</v>
      </c>
      <c r="D49" s="18" t="s">
        <v>2417</v>
      </c>
      <c r="E49" s="18" t="s">
        <v>2418</v>
      </c>
      <c r="F49" s="18" t="s">
        <v>18</v>
      </c>
      <c r="G49" s="19">
        <v>1245</v>
      </c>
      <c r="H49" s="19">
        <v>25</v>
      </c>
      <c r="I49" s="19">
        <f>G49-H49</f>
        <v>1220</v>
      </c>
      <c r="J49" s="18" t="s">
        <v>15</v>
      </c>
      <c r="K49" s="18" t="s">
        <v>15</v>
      </c>
      <c r="L49" s="18" t="s">
        <v>2307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2419</v>
      </c>
      <c r="D50" s="18" t="s">
        <v>2420</v>
      </c>
      <c r="E50" s="18" t="s">
        <v>2421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15</v>
      </c>
      <c r="K50" s="18" t="s">
        <v>15</v>
      </c>
      <c r="L50" s="18" t="s">
        <v>2307</v>
      </c>
      <c r="M50" s="18"/>
      <c r="N50" s="18"/>
      <c r="O50" s="18"/>
      <c r="P50" s="18"/>
      <c r="Q50" s="18">
        <v>1</v>
      </c>
      <c r="R50" s="17">
        <f t="shared" ref="R50:R51" si="3">H50</f>
        <v>30</v>
      </c>
    </row>
    <row r="51" spans="1:18" customFormat="1" x14ac:dyDescent="0.25">
      <c r="A51" s="18"/>
      <c r="B51" s="18" t="s">
        <v>34</v>
      </c>
      <c r="C51" s="18" t="s">
        <v>2422</v>
      </c>
      <c r="D51" s="18" t="s">
        <v>2423</v>
      </c>
      <c r="E51" s="18" t="s">
        <v>2424</v>
      </c>
      <c r="F51" s="18" t="s">
        <v>20</v>
      </c>
      <c r="G51" s="19">
        <v>0</v>
      </c>
      <c r="H51" s="19">
        <v>25</v>
      </c>
      <c r="I51" s="19">
        <f>-H51</f>
        <v>-25</v>
      </c>
      <c r="J51" s="18" t="s">
        <v>15</v>
      </c>
      <c r="K51" s="18" t="s">
        <v>15</v>
      </c>
      <c r="L51" s="18" t="s">
        <v>2307</v>
      </c>
      <c r="M51" s="18"/>
      <c r="N51" s="18"/>
      <c r="O51" s="18"/>
      <c r="P51" s="18"/>
      <c r="Q51" s="18">
        <v>1</v>
      </c>
      <c r="R51" s="17">
        <f t="shared" si="3"/>
        <v>25</v>
      </c>
    </row>
    <row r="52" spans="1:18" customFormat="1" x14ac:dyDescent="0.25">
      <c r="A52" s="18"/>
      <c r="B52" s="18" t="s">
        <v>34</v>
      </c>
      <c r="C52" s="18" t="s">
        <v>2425</v>
      </c>
      <c r="D52" s="18" t="s">
        <v>2426</v>
      </c>
      <c r="E52" s="18" t="s">
        <v>2427</v>
      </c>
      <c r="F52" s="18" t="s">
        <v>20</v>
      </c>
      <c r="G52" s="19">
        <v>915</v>
      </c>
      <c r="H52" s="19">
        <v>25</v>
      </c>
      <c r="I52" s="19">
        <f t="shared" ref="I52:I57" si="4">G52-H52</f>
        <v>890</v>
      </c>
      <c r="J52" s="18" t="s">
        <v>15</v>
      </c>
      <c r="K52" s="18" t="s">
        <v>15</v>
      </c>
      <c r="L52" s="18" t="s">
        <v>2307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2428</v>
      </c>
      <c r="D53" s="18" t="s">
        <v>2429</v>
      </c>
      <c r="E53" s="18" t="s">
        <v>2430</v>
      </c>
      <c r="F53" s="18" t="s">
        <v>20</v>
      </c>
      <c r="G53" s="19">
        <v>875</v>
      </c>
      <c r="H53" s="19">
        <v>25</v>
      </c>
      <c r="I53" s="19">
        <f t="shared" si="4"/>
        <v>850</v>
      </c>
      <c r="J53" s="18" t="s">
        <v>15</v>
      </c>
      <c r="K53" s="18" t="s">
        <v>15</v>
      </c>
      <c r="L53" s="18" t="s">
        <v>2307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2431</v>
      </c>
      <c r="D54" s="18" t="s">
        <v>2432</v>
      </c>
      <c r="E54" s="18" t="s">
        <v>2433</v>
      </c>
      <c r="F54" s="18" t="s">
        <v>18</v>
      </c>
      <c r="G54" s="19">
        <v>1555</v>
      </c>
      <c r="H54" s="19">
        <v>25</v>
      </c>
      <c r="I54" s="19">
        <f t="shared" si="4"/>
        <v>1530</v>
      </c>
      <c r="J54" s="18" t="s">
        <v>15</v>
      </c>
      <c r="K54" s="18" t="s">
        <v>15</v>
      </c>
      <c r="L54" s="18" t="s">
        <v>2307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2434</v>
      </c>
      <c r="D55" s="18" t="s">
        <v>2435</v>
      </c>
      <c r="E55" s="18" t="s">
        <v>2436</v>
      </c>
      <c r="F55" s="18" t="s">
        <v>19</v>
      </c>
      <c r="G55" s="19">
        <v>690</v>
      </c>
      <c r="H55" s="19">
        <v>20</v>
      </c>
      <c r="I55" s="19">
        <f t="shared" si="4"/>
        <v>670</v>
      </c>
      <c r="J55" s="18" t="s">
        <v>15</v>
      </c>
      <c r="K55" s="18" t="s">
        <v>15</v>
      </c>
      <c r="L55" s="18" t="s">
        <v>2307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2437</v>
      </c>
      <c r="D56" s="18" t="s">
        <v>2438</v>
      </c>
      <c r="E56" s="18" t="s">
        <v>2439</v>
      </c>
      <c r="F56" s="18" t="s">
        <v>144</v>
      </c>
      <c r="G56" s="19">
        <v>480</v>
      </c>
      <c r="H56" s="19">
        <v>30</v>
      </c>
      <c r="I56" s="19">
        <f t="shared" si="4"/>
        <v>450</v>
      </c>
      <c r="J56" s="18" t="s">
        <v>15</v>
      </c>
      <c r="K56" s="18" t="s">
        <v>15</v>
      </c>
      <c r="L56" s="18" t="s">
        <v>2307</v>
      </c>
      <c r="M56" s="18"/>
      <c r="N56" s="18"/>
      <c r="O56" s="18"/>
      <c r="P56" s="18"/>
      <c r="Q56" s="18">
        <v>1</v>
      </c>
    </row>
    <row r="57" spans="1:18" customFormat="1" x14ac:dyDescent="0.25">
      <c r="A57" s="18" t="s">
        <v>96</v>
      </c>
      <c r="B57" s="18" t="s">
        <v>34</v>
      </c>
      <c r="C57" s="18" t="s">
        <v>2440</v>
      </c>
      <c r="D57" s="18"/>
      <c r="E57" s="18" t="s">
        <v>2441</v>
      </c>
      <c r="F57" s="18" t="s">
        <v>18</v>
      </c>
      <c r="G57" s="19">
        <v>30</v>
      </c>
      <c r="H57" s="19">
        <v>30</v>
      </c>
      <c r="I57" s="19">
        <f t="shared" si="4"/>
        <v>0</v>
      </c>
      <c r="J57" s="18" t="s">
        <v>15</v>
      </c>
      <c r="K57" s="18" t="s">
        <v>15</v>
      </c>
      <c r="L57" s="18" t="s">
        <v>2307</v>
      </c>
      <c r="M57" s="18"/>
      <c r="N57" s="18"/>
      <c r="O57" s="18"/>
      <c r="P57" s="18"/>
      <c r="Q57" s="18">
        <v>1</v>
      </c>
    </row>
    <row r="58" spans="1:18" customFormat="1" x14ac:dyDescent="0.25">
      <c r="A58" s="18" t="s">
        <v>96</v>
      </c>
      <c r="B58" s="18" t="s">
        <v>34</v>
      </c>
      <c r="C58" s="18" t="s">
        <v>2442</v>
      </c>
      <c r="D58" s="18"/>
      <c r="E58" s="18" t="s">
        <v>1761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15</v>
      </c>
      <c r="K58" s="18" t="s">
        <v>15</v>
      </c>
      <c r="L58" s="18" t="s">
        <v>2307</v>
      </c>
      <c r="M58" s="18"/>
      <c r="N58" s="18"/>
      <c r="O58" s="18"/>
      <c r="P58" s="18"/>
      <c r="Q58" s="18">
        <v>1</v>
      </c>
      <c r="R58" s="17">
        <f>H58</f>
        <v>35</v>
      </c>
    </row>
    <row r="59" spans="1:18" customFormat="1" x14ac:dyDescent="0.25">
      <c r="A59" s="18" t="s">
        <v>96</v>
      </c>
      <c r="B59" s="18" t="s">
        <v>34</v>
      </c>
      <c r="C59" s="18" t="s">
        <v>1971</v>
      </c>
      <c r="D59" s="18"/>
      <c r="E59" s="18" t="s">
        <v>2443</v>
      </c>
      <c r="F59" s="18" t="s">
        <v>19</v>
      </c>
      <c r="G59" s="19">
        <v>275</v>
      </c>
      <c r="H59" s="19">
        <v>25</v>
      </c>
      <c r="I59" s="19">
        <f>G59-H59</f>
        <v>250</v>
      </c>
      <c r="J59" s="18" t="s">
        <v>15</v>
      </c>
      <c r="K59" s="18" t="s">
        <v>15</v>
      </c>
      <c r="L59" s="18" t="s">
        <v>2307</v>
      </c>
      <c r="M59" s="18"/>
      <c r="N59" s="18"/>
      <c r="O59" s="18"/>
      <c r="P59" s="18"/>
      <c r="Q59" s="18">
        <v>1</v>
      </c>
    </row>
    <row r="60" spans="1:18" customFormat="1" x14ac:dyDescent="0.25">
      <c r="A60" s="18" t="s">
        <v>96</v>
      </c>
      <c r="B60" s="18" t="s">
        <v>34</v>
      </c>
      <c r="C60" s="18" t="s">
        <v>312</v>
      </c>
      <c r="D60" s="18"/>
      <c r="E60" s="18" t="s">
        <v>313</v>
      </c>
      <c r="F60" s="18" t="s">
        <v>20</v>
      </c>
      <c r="G60" s="19">
        <v>30</v>
      </c>
      <c r="H60" s="19">
        <v>30</v>
      </c>
      <c r="I60" s="19">
        <f>G60-H60</f>
        <v>0</v>
      </c>
      <c r="J60" s="18" t="s">
        <v>15</v>
      </c>
      <c r="K60" s="18" t="s">
        <v>15</v>
      </c>
      <c r="L60" s="18" t="s">
        <v>2307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2444</v>
      </c>
      <c r="D61" s="18" t="s">
        <v>2445</v>
      </c>
      <c r="E61" s="18" t="s">
        <v>2446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160</v>
      </c>
      <c r="K61" s="18" t="s">
        <v>15</v>
      </c>
      <c r="L61" s="18" t="s">
        <v>2307</v>
      </c>
      <c r="M61" s="18"/>
      <c r="N61" s="18"/>
      <c r="O61" s="18"/>
      <c r="P61" s="18"/>
      <c r="Q61" s="18">
        <v>1</v>
      </c>
      <c r="R61" s="17">
        <f>H61</f>
        <v>25</v>
      </c>
    </row>
    <row r="63" spans="1:18" x14ac:dyDescent="0.25">
      <c r="G63" s="1">
        <f t="shared" ref="G63:R63" si="5">SUBTOTAL(9,G3:G62)</f>
        <v>36340</v>
      </c>
      <c r="H63" s="1">
        <f t="shared" si="5"/>
        <v>1600</v>
      </c>
      <c r="I63" s="1">
        <f t="shared" si="5"/>
        <v>34740</v>
      </c>
      <c r="J63" s="1">
        <f t="shared" si="5"/>
        <v>0</v>
      </c>
      <c r="K63" s="1">
        <f t="shared" si="5"/>
        <v>0</v>
      </c>
      <c r="L63" s="1">
        <f t="shared" si="5"/>
        <v>0</v>
      </c>
      <c r="M63" s="1">
        <f t="shared" si="5"/>
        <v>0</v>
      </c>
      <c r="N63" s="1">
        <f t="shared" si="5"/>
        <v>0</v>
      </c>
      <c r="O63" s="1">
        <f t="shared" si="5"/>
        <v>0</v>
      </c>
      <c r="P63" s="1">
        <f t="shared" si="5"/>
        <v>0</v>
      </c>
      <c r="Q63" s="1">
        <f t="shared" si="5"/>
        <v>59</v>
      </c>
      <c r="R63" s="1">
        <f t="shared" si="5"/>
        <v>440</v>
      </c>
    </row>
    <row r="67" spans="8:10" ht="20.25" customHeight="1" x14ac:dyDescent="0.3">
      <c r="H67" s="4" t="s">
        <v>2449</v>
      </c>
      <c r="I67" s="5" t="s">
        <v>21</v>
      </c>
      <c r="J67" s="6" t="s">
        <v>22</v>
      </c>
    </row>
    <row r="68" spans="8:10" ht="15.75" customHeight="1" x14ac:dyDescent="0.25">
      <c r="H68" s="7" t="s">
        <v>23</v>
      </c>
      <c r="I68" s="8">
        <f>SUM(I62:I66)</f>
        <v>34740</v>
      </c>
      <c r="J68" s="8">
        <f>Q63</f>
        <v>59</v>
      </c>
    </row>
    <row r="69" spans="8:10" x14ac:dyDescent="0.25">
      <c r="H69" s="9" t="s">
        <v>24</v>
      </c>
      <c r="I69" s="10">
        <f>R63</f>
        <v>440</v>
      </c>
      <c r="J69" s="11"/>
    </row>
    <row r="70" spans="8:10" x14ac:dyDescent="0.25">
      <c r="H70" s="9" t="s">
        <v>25</v>
      </c>
      <c r="I70" s="10">
        <f>S62</f>
        <v>0</v>
      </c>
      <c r="J70" s="11"/>
    </row>
    <row r="71" spans="8:10" x14ac:dyDescent="0.25">
      <c r="H71" s="9" t="s">
        <v>26</v>
      </c>
      <c r="I71" s="10">
        <f>T62</f>
        <v>0</v>
      </c>
      <c r="J71" s="11"/>
    </row>
    <row r="72" spans="8:10" x14ac:dyDescent="0.25">
      <c r="H72" s="9" t="s">
        <v>27</v>
      </c>
      <c r="I72" s="10">
        <f>U62</f>
        <v>0</v>
      </c>
      <c r="J72" s="11"/>
    </row>
    <row r="73" spans="8:10" ht="15.75" customHeight="1" x14ac:dyDescent="0.25">
      <c r="H73" s="12" t="s">
        <v>28</v>
      </c>
      <c r="I73" s="13"/>
      <c r="J73" s="13"/>
    </row>
    <row r="74" spans="8:10" ht="15.75" customHeight="1" x14ac:dyDescent="0.25">
      <c r="H74" s="14" t="s">
        <v>29</v>
      </c>
      <c r="I74" s="13"/>
      <c r="J74" s="13"/>
    </row>
    <row r="75" spans="8:10" ht="21" customHeight="1" x14ac:dyDescent="0.35">
      <c r="H75" s="15" t="s">
        <v>30</v>
      </c>
      <c r="I75" s="16">
        <f>SUM(I68:I74)</f>
        <v>35180</v>
      </c>
      <c r="J75" s="16">
        <f>SUM(J68:J72)</f>
        <v>59</v>
      </c>
    </row>
  </sheetData>
  <autoFilter ref="A2:P61" xr:uid="{00000000-0009-0000-0000-000006000000}">
    <sortState xmlns:xlrd2="http://schemas.microsoft.com/office/spreadsheetml/2017/richdata2" ref="A3:P61">
      <sortCondition ref="J2:J61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07E4-D4CA-4404-A2F2-D869146541C9}">
  <dimension ref="A1:R83"/>
  <sheetViews>
    <sheetView tabSelected="1" topLeftCell="A59" zoomScaleNormal="100" workbookViewId="0">
      <selection activeCell="F84" sqref="F8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9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2451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2452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2453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2454</v>
      </c>
      <c r="D4" s="18" t="s">
        <v>2455</v>
      </c>
      <c r="E4" s="18" t="s">
        <v>2456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2457</v>
      </c>
      <c r="K4" s="18" t="s">
        <v>15</v>
      </c>
      <c r="L4" s="18" t="s">
        <v>2453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2458</v>
      </c>
      <c r="D5" s="18" t="s">
        <v>2459</v>
      </c>
      <c r="E5" s="18" t="s">
        <v>2460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2457</v>
      </c>
      <c r="K5" s="18" t="s">
        <v>15</v>
      </c>
      <c r="L5" s="18" t="s">
        <v>2453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1212</v>
      </c>
      <c r="D6" s="18" t="s">
        <v>2461</v>
      </c>
      <c r="E6" s="18" t="s">
        <v>1214</v>
      </c>
      <c r="F6" s="18" t="s">
        <v>38</v>
      </c>
      <c r="G6" s="19">
        <v>0</v>
      </c>
      <c r="H6" s="19">
        <v>30</v>
      </c>
      <c r="I6" s="19">
        <f>-H6</f>
        <v>-30</v>
      </c>
      <c r="J6" s="18" t="s">
        <v>2457</v>
      </c>
      <c r="K6" s="18" t="s">
        <v>15</v>
      </c>
      <c r="L6" s="18" t="s">
        <v>2453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2462</v>
      </c>
      <c r="D7" s="18" t="s">
        <v>2463</v>
      </c>
      <c r="E7" s="18" t="s">
        <v>2464</v>
      </c>
      <c r="F7" s="18" t="s">
        <v>38</v>
      </c>
      <c r="G7" s="19">
        <v>820</v>
      </c>
      <c r="H7" s="19">
        <v>30</v>
      </c>
      <c r="I7" s="19">
        <f t="shared" ref="I7:I13" si="0">G7-H7</f>
        <v>790</v>
      </c>
      <c r="J7" s="18" t="s">
        <v>2457</v>
      </c>
      <c r="K7" s="18" t="s">
        <v>15</v>
      </c>
      <c r="L7" s="18" t="s">
        <v>2453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1473</v>
      </c>
      <c r="D8" s="18" t="s">
        <v>2465</v>
      </c>
      <c r="E8" s="18" t="s">
        <v>1475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2457</v>
      </c>
      <c r="K8" s="18" t="s">
        <v>15</v>
      </c>
      <c r="L8" s="18" t="s">
        <v>2453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730</v>
      </c>
      <c r="D9" s="18" t="s">
        <v>2466</v>
      </c>
      <c r="E9" s="18" t="s">
        <v>2467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2457</v>
      </c>
      <c r="K9" s="18" t="s">
        <v>15</v>
      </c>
      <c r="L9" s="18" t="s">
        <v>2453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2468</v>
      </c>
      <c r="D10" s="18" t="s">
        <v>2469</v>
      </c>
      <c r="E10" s="18" t="s">
        <v>2470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2457</v>
      </c>
      <c r="K10" s="18" t="s">
        <v>15</v>
      </c>
      <c r="L10" s="18" t="s">
        <v>2453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2392</v>
      </c>
      <c r="D11" s="18" t="s">
        <v>2471</v>
      </c>
      <c r="E11" s="18" t="s">
        <v>1999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2457</v>
      </c>
      <c r="K11" s="18" t="s">
        <v>15</v>
      </c>
      <c r="L11" s="18" t="s">
        <v>2453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2472</v>
      </c>
      <c r="D12" s="18" t="s">
        <v>2473</v>
      </c>
      <c r="E12" s="18" t="s">
        <v>2474</v>
      </c>
      <c r="F12" s="18" t="s">
        <v>212</v>
      </c>
      <c r="G12" s="19">
        <v>865</v>
      </c>
      <c r="H12" s="19">
        <v>25</v>
      </c>
      <c r="I12" s="19">
        <f t="shared" si="0"/>
        <v>840</v>
      </c>
      <c r="J12" s="18" t="s">
        <v>2457</v>
      </c>
      <c r="K12" s="18" t="s">
        <v>15</v>
      </c>
      <c r="L12" s="18" t="s">
        <v>2453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2475</v>
      </c>
      <c r="D13" s="18" t="s">
        <v>2476</v>
      </c>
      <c r="E13" s="18" t="s">
        <v>2477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2457</v>
      </c>
      <c r="K13" s="18" t="s">
        <v>15</v>
      </c>
      <c r="L13" s="18" t="s">
        <v>2453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2478</v>
      </c>
      <c r="D14" s="18" t="s">
        <v>2479</v>
      </c>
      <c r="E14" s="18" t="s">
        <v>2480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2457</v>
      </c>
      <c r="K14" s="18" t="s">
        <v>15</v>
      </c>
      <c r="L14" s="18" t="s">
        <v>2453</v>
      </c>
      <c r="M14" s="18"/>
      <c r="N14" s="18"/>
      <c r="O14" s="18"/>
      <c r="P14" s="18"/>
      <c r="Q14" s="18">
        <v>1</v>
      </c>
      <c r="R14" s="17">
        <f t="shared" ref="R14:R15" si="1">H14</f>
        <v>25</v>
      </c>
    </row>
    <row r="15" spans="1:18" customFormat="1" x14ac:dyDescent="0.25">
      <c r="A15" s="18"/>
      <c r="B15" s="18" t="s">
        <v>34</v>
      </c>
      <c r="C15" s="18" t="s">
        <v>2481</v>
      </c>
      <c r="D15" s="18" t="s">
        <v>2482</v>
      </c>
      <c r="E15" s="18" t="s">
        <v>1024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2457</v>
      </c>
      <c r="K15" s="18" t="s">
        <v>15</v>
      </c>
      <c r="L15" s="18" t="s">
        <v>2453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1563</v>
      </c>
      <c r="D16" s="18" t="s">
        <v>2483</v>
      </c>
      <c r="E16" s="18" t="s">
        <v>1565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2457</v>
      </c>
      <c r="K16" s="18" t="s">
        <v>15</v>
      </c>
      <c r="L16" s="18" t="s">
        <v>2453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2484</v>
      </c>
      <c r="D17" s="18" t="s">
        <v>2485</v>
      </c>
      <c r="E17" s="18" t="s">
        <v>2486</v>
      </c>
      <c r="F17" s="18" t="s">
        <v>108</v>
      </c>
      <c r="G17" s="19">
        <v>695</v>
      </c>
      <c r="H17" s="19">
        <v>35</v>
      </c>
      <c r="I17" s="19">
        <f>G17-H17</f>
        <v>660</v>
      </c>
      <c r="J17" s="18" t="s">
        <v>2457</v>
      </c>
      <c r="K17" s="18" t="s">
        <v>15</v>
      </c>
      <c r="L17" s="18" t="s">
        <v>2453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2487</v>
      </c>
      <c r="D18" s="18" t="s">
        <v>2488</v>
      </c>
      <c r="E18" s="18" t="s">
        <v>2489</v>
      </c>
      <c r="F18" s="18" t="s">
        <v>108</v>
      </c>
      <c r="G18" s="19">
        <v>0</v>
      </c>
      <c r="H18" s="19">
        <v>35</v>
      </c>
      <c r="I18" s="19">
        <f>-H18</f>
        <v>-35</v>
      </c>
      <c r="J18" s="18" t="s">
        <v>2457</v>
      </c>
      <c r="K18" s="18" t="s">
        <v>15</v>
      </c>
      <c r="L18" s="18" t="s">
        <v>2453</v>
      </c>
      <c r="M18" s="26" t="s">
        <v>2490</v>
      </c>
      <c r="N18" s="18"/>
      <c r="O18" s="18"/>
      <c r="P18" s="18"/>
      <c r="Q18" s="18">
        <v>1</v>
      </c>
      <c r="R18" s="17">
        <f t="shared" ref="R18:R19" si="2">H18</f>
        <v>35</v>
      </c>
    </row>
    <row r="19" spans="1:18" customFormat="1" x14ac:dyDescent="0.25">
      <c r="A19" s="18"/>
      <c r="B19" s="18" t="s">
        <v>34</v>
      </c>
      <c r="C19" s="18" t="s">
        <v>2487</v>
      </c>
      <c r="D19" s="18" t="s">
        <v>2491</v>
      </c>
      <c r="E19" s="18" t="s">
        <v>2489</v>
      </c>
      <c r="F19" s="18" t="s">
        <v>108</v>
      </c>
      <c r="G19" s="19">
        <v>0</v>
      </c>
      <c r="H19" s="19">
        <v>0</v>
      </c>
      <c r="I19" s="19">
        <f>H19</f>
        <v>0</v>
      </c>
      <c r="J19" s="18" t="s">
        <v>2457</v>
      </c>
      <c r="K19" s="18" t="s">
        <v>15</v>
      </c>
      <c r="L19" s="18" t="s">
        <v>2453</v>
      </c>
      <c r="M19" s="26" t="s">
        <v>307</v>
      </c>
      <c r="N19" s="18"/>
      <c r="O19" s="18"/>
      <c r="P19" s="18"/>
      <c r="Q19" s="18">
        <v>1</v>
      </c>
      <c r="R19" s="17">
        <f t="shared" si="2"/>
        <v>0</v>
      </c>
    </row>
    <row r="20" spans="1:18" customFormat="1" x14ac:dyDescent="0.25">
      <c r="A20" s="18"/>
      <c r="B20" s="18" t="s">
        <v>34</v>
      </c>
      <c r="C20" s="18" t="s">
        <v>2492</v>
      </c>
      <c r="D20" s="18" t="s">
        <v>2493</v>
      </c>
      <c r="E20" s="18" t="s">
        <v>2494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2457</v>
      </c>
      <c r="K20" s="18" t="s">
        <v>15</v>
      </c>
      <c r="L20" s="18" t="s">
        <v>2453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2495</v>
      </c>
      <c r="D21" s="18" t="s">
        <v>2496</v>
      </c>
      <c r="E21" s="18" t="s">
        <v>2497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2457</v>
      </c>
      <c r="K21" s="18" t="s">
        <v>15</v>
      </c>
      <c r="L21" s="18" t="s">
        <v>2453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2498</v>
      </c>
      <c r="D22" s="18" t="s">
        <v>2499</v>
      </c>
      <c r="E22" s="18" t="s">
        <v>2500</v>
      </c>
      <c r="F22" s="18" t="s">
        <v>212</v>
      </c>
      <c r="G22" s="19">
        <v>1635</v>
      </c>
      <c r="H22" s="19">
        <v>25</v>
      </c>
      <c r="I22" s="19">
        <f>G22-H22</f>
        <v>1610</v>
      </c>
      <c r="J22" s="18" t="s">
        <v>2457</v>
      </c>
      <c r="K22" s="18" t="s">
        <v>15</v>
      </c>
      <c r="L22" s="18" t="s">
        <v>2453</v>
      </c>
      <c r="M22" s="26" t="s">
        <v>307</v>
      </c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2498</v>
      </c>
      <c r="D23" s="18" t="s">
        <v>2501</v>
      </c>
      <c r="E23" s="18" t="s">
        <v>2502</v>
      </c>
      <c r="F23" s="18" t="s">
        <v>212</v>
      </c>
      <c r="G23" s="19">
        <v>0</v>
      </c>
      <c r="H23" s="19">
        <v>0</v>
      </c>
      <c r="I23" s="19">
        <f>H23</f>
        <v>0</v>
      </c>
      <c r="J23" s="18" t="s">
        <v>2457</v>
      </c>
      <c r="K23" s="18" t="s">
        <v>15</v>
      </c>
      <c r="L23" s="18" t="s">
        <v>2453</v>
      </c>
      <c r="M23" s="26" t="s">
        <v>307</v>
      </c>
      <c r="N23" s="18"/>
      <c r="O23" s="18"/>
      <c r="P23" s="18"/>
      <c r="Q23" s="18">
        <v>1</v>
      </c>
      <c r="R23" s="17">
        <f>H23</f>
        <v>0</v>
      </c>
    </row>
    <row r="24" spans="1:18" customFormat="1" x14ac:dyDescent="0.25">
      <c r="A24" s="18"/>
      <c r="B24" s="18" t="s">
        <v>34</v>
      </c>
      <c r="C24" s="18" t="s">
        <v>2503</v>
      </c>
      <c r="D24" s="18" t="s">
        <v>2504</v>
      </c>
      <c r="E24" s="18" t="s">
        <v>2505</v>
      </c>
      <c r="F24" s="19">
        <v>12</v>
      </c>
      <c r="G24" s="19">
        <v>980</v>
      </c>
      <c r="H24" s="19">
        <v>30</v>
      </c>
      <c r="I24" s="19">
        <f t="shared" ref="I24:I29" si="3">G24-H24</f>
        <v>950</v>
      </c>
      <c r="J24" s="18" t="s">
        <v>2457</v>
      </c>
      <c r="K24" s="18" t="s">
        <v>15</v>
      </c>
      <c r="L24" s="18" t="s">
        <v>2453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2506</v>
      </c>
      <c r="D25" s="18" t="s">
        <v>2507</v>
      </c>
      <c r="E25" s="18" t="s">
        <v>2508</v>
      </c>
      <c r="F25" s="18" t="s">
        <v>38</v>
      </c>
      <c r="G25" s="19">
        <v>820</v>
      </c>
      <c r="H25" s="19">
        <v>30</v>
      </c>
      <c r="I25" s="19">
        <f t="shared" si="3"/>
        <v>790</v>
      </c>
      <c r="J25" s="18" t="s">
        <v>2457</v>
      </c>
      <c r="K25" s="18" t="s">
        <v>15</v>
      </c>
      <c r="L25" s="18" t="s">
        <v>2453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78</v>
      </c>
      <c r="D26" s="18" t="s">
        <v>2509</v>
      </c>
      <c r="E26" s="18" t="s">
        <v>1205</v>
      </c>
      <c r="F26" s="19">
        <v>7</v>
      </c>
      <c r="G26" s="19">
        <v>1090</v>
      </c>
      <c r="H26" s="19">
        <v>30</v>
      </c>
      <c r="I26" s="19">
        <f t="shared" si="3"/>
        <v>1060</v>
      </c>
      <c r="J26" s="18" t="s">
        <v>2457</v>
      </c>
      <c r="K26" s="18" t="s">
        <v>15</v>
      </c>
      <c r="L26" s="18" t="s">
        <v>2453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2510</v>
      </c>
      <c r="D27" s="18" t="s">
        <v>2511</v>
      </c>
      <c r="E27" s="18" t="s">
        <v>2512</v>
      </c>
      <c r="F27" s="19">
        <v>1</v>
      </c>
      <c r="G27" s="19">
        <v>815</v>
      </c>
      <c r="H27" s="19">
        <v>25</v>
      </c>
      <c r="I27" s="19">
        <f t="shared" si="3"/>
        <v>790</v>
      </c>
      <c r="J27" s="18" t="s">
        <v>2457</v>
      </c>
      <c r="K27" s="18" t="s">
        <v>15</v>
      </c>
      <c r="L27" s="18" t="s">
        <v>2453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2513</v>
      </c>
      <c r="D28" s="18" t="s">
        <v>2514</v>
      </c>
      <c r="E28" s="18" t="s">
        <v>2515</v>
      </c>
      <c r="F28" s="18" t="s">
        <v>123</v>
      </c>
      <c r="G28" s="19">
        <v>985</v>
      </c>
      <c r="H28" s="19">
        <v>35</v>
      </c>
      <c r="I28" s="19">
        <f t="shared" si="3"/>
        <v>950</v>
      </c>
      <c r="J28" s="18" t="s">
        <v>2457</v>
      </c>
      <c r="K28" s="18" t="s">
        <v>15</v>
      </c>
      <c r="L28" s="18" t="s">
        <v>2453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2516</v>
      </c>
      <c r="D29" s="18" t="s">
        <v>2517</v>
      </c>
      <c r="E29" s="18" t="s">
        <v>2518</v>
      </c>
      <c r="F29" s="19">
        <v>7</v>
      </c>
      <c r="G29" s="19">
        <v>720</v>
      </c>
      <c r="H29" s="19">
        <v>30</v>
      </c>
      <c r="I29" s="19">
        <f t="shared" si="3"/>
        <v>690</v>
      </c>
      <c r="J29" s="18" t="s">
        <v>2457</v>
      </c>
      <c r="K29" s="18" t="s">
        <v>15</v>
      </c>
      <c r="L29" s="18" t="s">
        <v>2453</v>
      </c>
      <c r="M29" s="18"/>
      <c r="N29" s="18"/>
      <c r="O29" s="18"/>
      <c r="P29" s="18"/>
      <c r="Q29" s="18">
        <v>1</v>
      </c>
    </row>
    <row r="30" spans="1:18" s="22" customFormat="1" x14ac:dyDescent="0.25">
      <c r="A30" s="20"/>
      <c r="B30" s="20" t="s">
        <v>34</v>
      </c>
      <c r="C30" s="20" t="s">
        <v>1005</v>
      </c>
      <c r="D30" s="20" t="s">
        <v>2519</v>
      </c>
      <c r="E30" s="20" t="s">
        <v>1007</v>
      </c>
      <c r="F30" s="21">
        <v>1</v>
      </c>
      <c r="G30" s="21">
        <v>0</v>
      </c>
      <c r="H30" s="21">
        <v>25</v>
      </c>
      <c r="I30" s="21">
        <f>-H30</f>
        <v>-25</v>
      </c>
      <c r="J30" s="20" t="s">
        <v>2457</v>
      </c>
      <c r="K30" s="20" t="s">
        <v>15</v>
      </c>
      <c r="L30" s="20" t="s">
        <v>2453</v>
      </c>
      <c r="M30" s="20" t="s">
        <v>16</v>
      </c>
      <c r="N30" s="20"/>
      <c r="O30" s="20"/>
      <c r="P30" s="20"/>
      <c r="Q30" s="20">
        <v>1</v>
      </c>
      <c r="R30" s="29">
        <f>H30</f>
        <v>25</v>
      </c>
    </row>
    <row r="31" spans="1:18" customFormat="1" x14ac:dyDescent="0.25">
      <c r="A31" s="18"/>
      <c r="B31" s="18" t="s">
        <v>34</v>
      </c>
      <c r="C31" s="18" t="s">
        <v>2520</v>
      </c>
      <c r="D31" s="18" t="s">
        <v>2521</v>
      </c>
      <c r="E31" s="18" t="s">
        <v>2522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2457</v>
      </c>
      <c r="K31" s="18" t="s">
        <v>15</v>
      </c>
      <c r="L31" s="18" t="s">
        <v>2453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242</v>
      </c>
      <c r="D32" s="18" t="s">
        <v>2523</v>
      </c>
      <c r="E32" s="18" t="s">
        <v>244</v>
      </c>
      <c r="F32" s="18" t="s">
        <v>123</v>
      </c>
      <c r="G32" s="19">
        <v>885</v>
      </c>
      <c r="H32" s="19">
        <v>35</v>
      </c>
      <c r="I32" s="19">
        <f>G32-H32</f>
        <v>850</v>
      </c>
      <c r="J32" s="18" t="s">
        <v>2457</v>
      </c>
      <c r="K32" s="18" t="s">
        <v>15</v>
      </c>
      <c r="L32" s="18" t="s">
        <v>2453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1463</v>
      </c>
      <c r="D33" s="18" t="s">
        <v>2524</v>
      </c>
      <c r="E33" s="18" t="s">
        <v>2525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2457</v>
      </c>
      <c r="K33" s="18" t="s">
        <v>15</v>
      </c>
      <c r="L33" s="18" t="s">
        <v>2453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2526</v>
      </c>
      <c r="D34" s="18" t="s">
        <v>2527</v>
      </c>
      <c r="E34" s="18" t="s">
        <v>2528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2457</v>
      </c>
      <c r="K34" s="18" t="s">
        <v>15</v>
      </c>
      <c r="L34" s="18" t="s">
        <v>2453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2529</v>
      </c>
      <c r="D35" s="18" t="s">
        <v>2530</v>
      </c>
      <c r="E35" s="18" t="s">
        <v>2531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2457</v>
      </c>
      <c r="K35" s="18" t="s">
        <v>15</v>
      </c>
      <c r="L35" s="18" t="s">
        <v>2453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2532</v>
      </c>
      <c r="D36" s="18" t="s">
        <v>2533</v>
      </c>
      <c r="E36" s="18" t="s">
        <v>2534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2457</v>
      </c>
      <c r="K36" s="18" t="s">
        <v>15</v>
      </c>
      <c r="L36" s="18" t="s">
        <v>2453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s="22" customFormat="1" x14ac:dyDescent="0.25">
      <c r="A37" s="20"/>
      <c r="B37" s="20" t="s">
        <v>34</v>
      </c>
      <c r="C37" s="20" t="s">
        <v>1848</v>
      </c>
      <c r="D37" s="20" t="s">
        <v>2535</v>
      </c>
      <c r="E37" s="20" t="s">
        <v>1850</v>
      </c>
      <c r="F37" s="21">
        <v>7</v>
      </c>
      <c r="G37" s="21">
        <v>150</v>
      </c>
      <c r="H37" s="21">
        <v>30</v>
      </c>
      <c r="I37" s="21">
        <f>G37-H37</f>
        <v>120</v>
      </c>
      <c r="J37" s="20" t="s">
        <v>2457</v>
      </c>
      <c r="K37" s="20" t="s">
        <v>15</v>
      </c>
      <c r="L37" s="20" t="s">
        <v>2453</v>
      </c>
      <c r="M37" s="20" t="s">
        <v>16</v>
      </c>
      <c r="N37" s="20"/>
      <c r="O37" s="20"/>
      <c r="P37" s="20"/>
      <c r="Q37" s="20">
        <v>1</v>
      </c>
    </row>
    <row r="38" spans="1:18" customFormat="1" x14ac:dyDescent="0.25">
      <c r="A38" s="18"/>
      <c r="B38" s="18" t="s">
        <v>34</v>
      </c>
      <c r="C38" s="18" t="s">
        <v>2536</v>
      </c>
      <c r="D38" s="18" t="s">
        <v>2537</v>
      </c>
      <c r="E38" s="18" t="s">
        <v>2538</v>
      </c>
      <c r="F38" s="18" t="s">
        <v>38</v>
      </c>
      <c r="G38" s="19">
        <v>840</v>
      </c>
      <c r="H38" s="19">
        <v>30</v>
      </c>
      <c r="I38" s="19">
        <f>G38-H38</f>
        <v>810</v>
      </c>
      <c r="J38" s="18" t="s">
        <v>2457</v>
      </c>
      <c r="K38" s="18" t="s">
        <v>15</v>
      </c>
      <c r="L38" s="18" t="s">
        <v>2453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2539</v>
      </c>
      <c r="D39" s="18" t="s">
        <v>2540</v>
      </c>
      <c r="E39" s="18" t="s">
        <v>2541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2457</v>
      </c>
      <c r="K39" s="18" t="s">
        <v>15</v>
      </c>
      <c r="L39" s="18" t="s">
        <v>2453</v>
      </c>
      <c r="M39" s="18"/>
      <c r="N39" s="18"/>
      <c r="O39" s="18"/>
      <c r="P39" s="18"/>
      <c r="Q39" s="18">
        <v>1</v>
      </c>
      <c r="R39" s="17">
        <f>H39</f>
        <v>25</v>
      </c>
    </row>
    <row r="40" spans="1:18" customFormat="1" x14ac:dyDescent="0.25">
      <c r="A40" s="18"/>
      <c r="B40" s="18" t="s">
        <v>34</v>
      </c>
      <c r="C40" s="18" t="s">
        <v>2542</v>
      </c>
      <c r="D40" s="18" t="s">
        <v>2543</v>
      </c>
      <c r="E40" s="18" t="s">
        <v>2544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2457</v>
      </c>
      <c r="K40" s="18" t="s">
        <v>15</v>
      </c>
      <c r="L40" s="18" t="s">
        <v>2453</v>
      </c>
      <c r="M40" s="26" t="s">
        <v>377</v>
      </c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 t="s">
        <v>96</v>
      </c>
      <c r="B41" s="18" t="s">
        <v>34</v>
      </c>
      <c r="C41" s="18" t="s">
        <v>99</v>
      </c>
      <c r="D41" s="18"/>
      <c r="E41" s="18" t="s">
        <v>100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2457</v>
      </c>
      <c r="K41" s="18" t="s">
        <v>15</v>
      </c>
      <c r="L41" s="18" t="s">
        <v>2453</v>
      </c>
      <c r="M41" s="18"/>
      <c r="N41" s="18"/>
      <c r="O41" s="18"/>
      <c r="P41" s="18"/>
      <c r="Q41" s="18">
        <v>1</v>
      </c>
      <c r="R41" s="17">
        <f t="shared" ref="R41:R42" si="4">H41</f>
        <v>30</v>
      </c>
    </row>
    <row r="42" spans="1:18" customFormat="1" x14ac:dyDescent="0.25">
      <c r="A42" s="18"/>
      <c r="B42" s="18" t="s">
        <v>34</v>
      </c>
      <c r="C42" s="18" t="s">
        <v>2545</v>
      </c>
      <c r="D42" s="18" t="s">
        <v>2546</v>
      </c>
      <c r="E42" s="18" t="s">
        <v>2547</v>
      </c>
      <c r="F42" s="18" t="s">
        <v>19</v>
      </c>
      <c r="G42" s="19">
        <v>0</v>
      </c>
      <c r="H42" s="19">
        <v>20</v>
      </c>
      <c r="I42" s="19">
        <f>-H42</f>
        <v>-20</v>
      </c>
      <c r="J42" s="18" t="s">
        <v>15</v>
      </c>
      <c r="K42" s="18" t="s">
        <v>15</v>
      </c>
      <c r="L42" s="18" t="s">
        <v>2453</v>
      </c>
      <c r="M42" s="18"/>
      <c r="N42" s="18"/>
      <c r="O42" s="18"/>
      <c r="P42" s="18"/>
      <c r="Q42" s="18">
        <v>1</v>
      </c>
      <c r="R42" s="17">
        <f t="shared" si="4"/>
        <v>20</v>
      </c>
    </row>
    <row r="43" spans="1:18" s="22" customFormat="1" x14ac:dyDescent="0.25">
      <c r="A43" s="20"/>
      <c r="B43" s="20" t="s">
        <v>34</v>
      </c>
      <c r="C43" s="20" t="s">
        <v>2234</v>
      </c>
      <c r="D43" s="20" t="s">
        <v>2548</v>
      </c>
      <c r="E43" s="20" t="s">
        <v>2549</v>
      </c>
      <c r="F43" s="20" t="s">
        <v>144</v>
      </c>
      <c r="G43" s="21">
        <v>30</v>
      </c>
      <c r="H43" s="21">
        <v>30</v>
      </c>
      <c r="I43" s="21">
        <f t="shared" ref="I43:I48" si="5">G43-H43</f>
        <v>0</v>
      </c>
      <c r="J43" s="20" t="s">
        <v>15</v>
      </c>
      <c r="K43" s="20" t="s">
        <v>15</v>
      </c>
      <c r="L43" s="20" t="s">
        <v>2453</v>
      </c>
      <c r="M43" s="20" t="s">
        <v>16</v>
      </c>
      <c r="N43" s="20"/>
      <c r="O43" s="20"/>
      <c r="P43" s="20"/>
      <c r="Q43" s="20">
        <v>1</v>
      </c>
    </row>
    <row r="44" spans="1:18" customFormat="1" x14ac:dyDescent="0.25">
      <c r="A44" s="18"/>
      <c r="B44" s="18" t="s">
        <v>34</v>
      </c>
      <c r="C44" s="18" t="s">
        <v>2550</v>
      </c>
      <c r="D44" s="18" t="s">
        <v>2551</v>
      </c>
      <c r="E44" s="18" t="s">
        <v>2552</v>
      </c>
      <c r="F44" s="18" t="s">
        <v>19</v>
      </c>
      <c r="G44" s="19">
        <v>810</v>
      </c>
      <c r="H44" s="19">
        <v>20</v>
      </c>
      <c r="I44" s="19">
        <f t="shared" si="5"/>
        <v>790</v>
      </c>
      <c r="J44" s="18" t="s">
        <v>15</v>
      </c>
      <c r="K44" s="18" t="s">
        <v>15</v>
      </c>
      <c r="L44" s="18" t="s">
        <v>2453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2553</v>
      </c>
      <c r="D45" s="18" t="s">
        <v>2554</v>
      </c>
      <c r="E45" s="18" t="s">
        <v>763</v>
      </c>
      <c r="F45" s="19">
        <v>1</v>
      </c>
      <c r="G45" s="19">
        <v>815</v>
      </c>
      <c r="H45" s="19">
        <v>25</v>
      </c>
      <c r="I45" s="19">
        <f t="shared" si="5"/>
        <v>790</v>
      </c>
      <c r="J45" s="18" t="s">
        <v>15</v>
      </c>
      <c r="K45" s="18" t="s">
        <v>15</v>
      </c>
      <c r="L45" s="18" t="s">
        <v>2453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2555</v>
      </c>
      <c r="D46" s="18" t="s">
        <v>2556</v>
      </c>
      <c r="E46" s="18" t="s">
        <v>2557</v>
      </c>
      <c r="F46" s="18" t="s">
        <v>20</v>
      </c>
      <c r="G46" s="19">
        <v>1795</v>
      </c>
      <c r="H46" s="19">
        <v>25</v>
      </c>
      <c r="I46" s="19">
        <f t="shared" si="5"/>
        <v>1770</v>
      </c>
      <c r="J46" s="18" t="s">
        <v>15</v>
      </c>
      <c r="K46" s="18" t="s">
        <v>15</v>
      </c>
      <c r="L46" s="18" t="s">
        <v>2453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2558</v>
      </c>
      <c r="D47" s="18" t="s">
        <v>2559</v>
      </c>
      <c r="E47" s="18" t="s">
        <v>2560</v>
      </c>
      <c r="F47" s="19">
        <v>1</v>
      </c>
      <c r="G47" s="19">
        <v>2050</v>
      </c>
      <c r="H47" s="19">
        <v>25</v>
      </c>
      <c r="I47" s="19">
        <f t="shared" si="5"/>
        <v>2025</v>
      </c>
      <c r="J47" s="18" t="s">
        <v>15</v>
      </c>
      <c r="K47" s="18" t="s">
        <v>15</v>
      </c>
      <c r="L47" s="18" t="s">
        <v>2453</v>
      </c>
      <c r="M47" s="26" t="s">
        <v>377</v>
      </c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356</v>
      </c>
      <c r="D48" s="18" t="s">
        <v>2561</v>
      </c>
      <c r="E48" s="18" t="s">
        <v>957</v>
      </c>
      <c r="F48" s="18" t="s">
        <v>20</v>
      </c>
      <c r="G48" s="19">
        <v>1215</v>
      </c>
      <c r="H48" s="19">
        <v>25</v>
      </c>
      <c r="I48" s="19">
        <f t="shared" si="5"/>
        <v>1190</v>
      </c>
      <c r="J48" s="18" t="s">
        <v>15</v>
      </c>
      <c r="K48" s="18" t="s">
        <v>15</v>
      </c>
      <c r="L48" s="18" t="s">
        <v>2453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2562</v>
      </c>
      <c r="D49" s="18" t="s">
        <v>2563</v>
      </c>
      <c r="E49" s="18" t="s">
        <v>2564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15</v>
      </c>
      <c r="K49" s="18" t="s">
        <v>15</v>
      </c>
      <c r="L49" s="18" t="s">
        <v>2453</v>
      </c>
      <c r="M49" s="18"/>
      <c r="N49" s="18"/>
      <c r="O49" s="18"/>
      <c r="P49" s="18"/>
      <c r="Q49" s="18">
        <v>1</v>
      </c>
      <c r="R49" s="17">
        <f>H49</f>
        <v>30</v>
      </c>
    </row>
    <row r="50" spans="1:18" customFormat="1" x14ac:dyDescent="0.25">
      <c r="A50" s="18"/>
      <c r="B50" s="18" t="s">
        <v>34</v>
      </c>
      <c r="C50" s="18" t="s">
        <v>999</v>
      </c>
      <c r="D50" s="18" t="s">
        <v>2565</v>
      </c>
      <c r="E50" s="18" t="s">
        <v>1001</v>
      </c>
      <c r="F50" s="18" t="s">
        <v>18</v>
      </c>
      <c r="G50" s="19">
        <v>1345</v>
      </c>
      <c r="H50" s="19">
        <v>25</v>
      </c>
      <c r="I50" s="19">
        <f t="shared" ref="I50:I56" si="6">G50-H50</f>
        <v>1320</v>
      </c>
      <c r="J50" s="18" t="s">
        <v>15</v>
      </c>
      <c r="K50" s="18" t="s">
        <v>15</v>
      </c>
      <c r="L50" s="18" t="s">
        <v>2453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264</v>
      </c>
      <c r="D51" s="18" t="s">
        <v>2566</v>
      </c>
      <c r="E51" s="18" t="s">
        <v>266</v>
      </c>
      <c r="F51" s="18" t="s">
        <v>17</v>
      </c>
      <c r="G51" s="19">
        <v>710</v>
      </c>
      <c r="H51" s="19">
        <v>20</v>
      </c>
      <c r="I51" s="19">
        <f t="shared" si="6"/>
        <v>690</v>
      </c>
      <c r="J51" s="18" t="s">
        <v>15</v>
      </c>
      <c r="K51" s="18" t="s">
        <v>15</v>
      </c>
      <c r="L51" s="18" t="s">
        <v>2453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1454</v>
      </c>
      <c r="D52" s="18" t="s">
        <v>2567</v>
      </c>
      <c r="E52" s="18" t="s">
        <v>2568</v>
      </c>
      <c r="F52" s="19">
        <v>2</v>
      </c>
      <c r="G52" s="19">
        <v>920</v>
      </c>
      <c r="H52" s="19">
        <v>30</v>
      </c>
      <c r="I52" s="19">
        <f t="shared" si="6"/>
        <v>890</v>
      </c>
      <c r="J52" s="18" t="s">
        <v>15</v>
      </c>
      <c r="K52" s="18" t="s">
        <v>15</v>
      </c>
      <c r="L52" s="18" t="s">
        <v>2453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2569</v>
      </c>
      <c r="D53" s="18" t="s">
        <v>2570</v>
      </c>
      <c r="E53" s="18" t="s">
        <v>2571</v>
      </c>
      <c r="F53" s="18" t="s">
        <v>20</v>
      </c>
      <c r="G53" s="19">
        <v>865</v>
      </c>
      <c r="H53" s="19">
        <v>25</v>
      </c>
      <c r="I53" s="19">
        <f t="shared" si="6"/>
        <v>840</v>
      </c>
      <c r="J53" s="18" t="s">
        <v>15</v>
      </c>
      <c r="K53" s="18" t="s">
        <v>15</v>
      </c>
      <c r="L53" s="18" t="s">
        <v>2453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628</v>
      </c>
      <c r="D54" s="18" t="s">
        <v>2572</v>
      </c>
      <c r="E54" s="18" t="s">
        <v>630</v>
      </c>
      <c r="F54" s="18" t="s">
        <v>20</v>
      </c>
      <c r="G54" s="19">
        <v>1835</v>
      </c>
      <c r="H54" s="19">
        <v>25</v>
      </c>
      <c r="I54" s="19">
        <f t="shared" si="6"/>
        <v>1810</v>
      </c>
      <c r="J54" s="18" t="s">
        <v>15</v>
      </c>
      <c r="K54" s="18" t="s">
        <v>15</v>
      </c>
      <c r="L54" s="18" t="s">
        <v>2453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2573</v>
      </c>
      <c r="D55" s="18" t="s">
        <v>2574</v>
      </c>
      <c r="E55" s="18" t="s">
        <v>2575</v>
      </c>
      <c r="F55" s="18" t="s">
        <v>18</v>
      </c>
      <c r="G55" s="19">
        <v>715</v>
      </c>
      <c r="H55" s="19">
        <v>25</v>
      </c>
      <c r="I55" s="19">
        <f t="shared" si="6"/>
        <v>690</v>
      </c>
      <c r="J55" s="18" t="s">
        <v>15</v>
      </c>
      <c r="K55" s="18" t="s">
        <v>15</v>
      </c>
      <c r="L55" s="18" t="s">
        <v>2453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2576</v>
      </c>
      <c r="D56" s="18" t="s">
        <v>2577</v>
      </c>
      <c r="E56" s="18" t="s">
        <v>2578</v>
      </c>
      <c r="F56" s="18" t="s">
        <v>19</v>
      </c>
      <c r="G56" s="19">
        <v>680</v>
      </c>
      <c r="H56" s="19">
        <v>20</v>
      </c>
      <c r="I56" s="19">
        <f t="shared" si="6"/>
        <v>660</v>
      </c>
      <c r="J56" s="18" t="s">
        <v>15</v>
      </c>
      <c r="K56" s="18" t="s">
        <v>15</v>
      </c>
      <c r="L56" s="18" t="s">
        <v>2453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2579</v>
      </c>
      <c r="D57" s="18" t="s">
        <v>2580</v>
      </c>
      <c r="E57" s="18" t="s">
        <v>2581</v>
      </c>
      <c r="F57" s="18" t="s">
        <v>20</v>
      </c>
      <c r="G57" s="19">
        <v>0</v>
      </c>
      <c r="H57" s="19">
        <v>25</v>
      </c>
      <c r="I57" s="19">
        <f>-H57</f>
        <v>-25</v>
      </c>
      <c r="J57" s="18" t="s">
        <v>15</v>
      </c>
      <c r="K57" s="18" t="s">
        <v>15</v>
      </c>
      <c r="L57" s="18" t="s">
        <v>2453</v>
      </c>
      <c r="M57" s="18"/>
      <c r="N57" s="18"/>
      <c r="O57" s="18"/>
      <c r="P57" s="18"/>
      <c r="Q57" s="18">
        <v>1</v>
      </c>
      <c r="R57" s="17">
        <f>H57</f>
        <v>25</v>
      </c>
    </row>
    <row r="58" spans="1:18" customFormat="1" x14ac:dyDescent="0.25">
      <c r="A58" s="18"/>
      <c r="B58" s="18" t="s">
        <v>34</v>
      </c>
      <c r="C58" s="18" t="s">
        <v>2582</v>
      </c>
      <c r="D58" s="18" t="s">
        <v>2583</v>
      </c>
      <c r="E58" s="18" t="s">
        <v>2584</v>
      </c>
      <c r="F58" s="18" t="s">
        <v>17</v>
      </c>
      <c r="G58" s="19">
        <v>710</v>
      </c>
      <c r="H58" s="19">
        <v>20</v>
      </c>
      <c r="I58" s="19">
        <f t="shared" ref="I58:I66" si="7">G58-H58</f>
        <v>690</v>
      </c>
      <c r="J58" s="18" t="s">
        <v>15</v>
      </c>
      <c r="K58" s="18" t="s">
        <v>15</v>
      </c>
      <c r="L58" s="18" t="s">
        <v>2453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2585</v>
      </c>
      <c r="D59" s="18" t="s">
        <v>2586</v>
      </c>
      <c r="E59" s="18" t="s">
        <v>2587</v>
      </c>
      <c r="F59" s="18" t="s">
        <v>20</v>
      </c>
      <c r="G59" s="19">
        <v>1145</v>
      </c>
      <c r="H59" s="19">
        <v>25</v>
      </c>
      <c r="I59" s="19">
        <f t="shared" si="7"/>
        <v>1120</v>
      </c>
      <c r="J59" s="18" t="s">
        <v>15</v>
      </c>
      <c r="K59" s="18" t="s">
        <v>15</v>
      </c>
      <c r="L59" s="18" t="s">
        <v>2453</v>
      </c>
      <c r="M59" s="18"/>
      <c r="N59" s="18"/>
      <c r="O59" s="18"/>
      <c r="P59" s="18"/>
      <c r="Q59" s="18">
        <v>1</v>
      </c>
    </row>
    <row r="60" spans="1:18" customFormat="1" x14ac:dyDescent="0.25">
      <c r="A60" s="18"/>
      <c r="B60" s="18" t="s">
        <v>34</v>
      </c>
      <c r="C60" s="18" t="s">
        <v>1748</v>
      </c>
      <c r="D60" s="18" t="s">
        <v>2588</v>
      </c>
      <c r="E60" s="18" t="s">
        <v>1515</v>
      </c>
      <c r="F60" s="18" t="s">
        <v>20</v>
      </c>
      <c r="G60" s="19">
        <v>765</v>
      </c>
      <c r="H60" s="19">
        <v>25</v>
      </c>
      <c r="I60" s="19">
        <f t="shared" si="7"/>
        <v>740</v>
      </c>
      <c r="J60" s="18" t="s">
        <v>15</v>
      </c>
      <c r="K60" s="18" t="s">
        <v>15</v>
      </c>
      <c r="L60" s="18" t="s">
        <v>2453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286</v>
      </c>
      <c r="D61" s="18" t="s">
        <v>2589</v>
      </c>
      <c r="E61" s="18" t="s">
        <v>2590</v>
      </c>
      <c r="F61" s="19">
        <v>2</v>
      </c>
      <c r="G61" s="19">
        <v>1460</v>
      </c>
      <c r="H61" s="19">
        <v>30</v>
      </c>
      <c r="I61" s="19">
        <f t="shared" si="7"/>
        <v>1430</v>
      </c>
      <c r="J61" s="18" t="s">
        <v>15</v>
      </c>
      <c r="K61" s="18" t="s">
        <v>15</v>
      </c>
      <c r="L61" s="18" t="s">
        <v>2453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1636</v>
      </c>
      <c r="D62" s="18" t="s">
        <v>2591</v>
      </c>
      <c r="E62" s="18" t="s">
        <v>2592</v>
      </c>
      <c r="F62" s="18" t="s">
        <v>19</v>
      </c>
      <c r="G62" s="19">
        <v>680</v>
      </c>
      <c r="H62" s="19">
        <v>20</v>
      </c>
      <c r="I62" s="19">
        <f t="shared" si="7"/>
        <v>660</v>
      </c>
      <c r="J62" s="18" t="s">
        <v>15</v>
      </c>
      <c r="K62" s="18" t="s">
        <v>15</v>
      </c>
      <c r="L62" s="18" t="s">
        <v>2453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120</v>
      </c>
      <c r="D63" s="18" t="s">
        <v>2593</v>
      </c>
      <c r="E63" s="18" t="s">
        <v>2594</v>
      </c>
      <c r="F63" s="19">
        <v>2</v>
      </c>
      <c r="G63" s="19">
        <v>1050</v>
      </c>
      <c r="H63" s="19">
        <v>30</v>
      </c>
      <c r="I63" s="19">
        <f t="shared" si="7"/>
        <v>1020</v>
      </c>
      <c r="J63" s="18" t="s">
        <v>15</v>
      </c>
      <c r="K63" s="18" t="s">
        <v>15</v>
      </c>
      <c r="L63" s="18" t="s">
        <v>2453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640</v>
      </c>
      <c r="D64" s="18"/>
      <c r="E64" s="18" t="s">
        <v>1269</v>
      </c>
      <c r="F64" s="18" t="s">
        <v>20</v>
      </c>
      <c r="G64" s="19">
        <v>7240</v>
      </c>
      <c r="H64" s="19">
        <v>45</v>
      </c>
      <c r="I64" s="19">
        <f t="shared" si="7"/>
        <v>7195</v>
      </c>
      <c r="J64" s="18" t="s">
        <v>15</v>
      </c>
      <c r="K64" s="18" t="s">
        <v>15</v>
      </c>
      <c r="L64" s="18" t="s">
        <v>2453</v>
      </c>
      <c r="M64" s="26" t="s">
        <v>377</v>
      </c>
      <c r="N64" s="18"/>
      <c r="O64" s="18"/>
      <c r="P64" s="18"/>
      <c r="Q64" s="18">
        <v>1</v>
      </c>
      <c r="R64" s="17">
        <f>H64</f>
        <v>45</v>
      </c>
    </row>
    <row r="65" spans="1:18" customFormat="1" x14ac:dyDescent="0.25">
      <c r="A65" s="18" t="s">
        <v>96</v>
      </c>
      <c r="B65" s="18" t="s">
        <v>34</v>
      </c>
      <c r="C65" s="18" t="s">
        <v>1657</v>
      </c>
      <c r="D65" s="18"/>
      <c r="E65" s="18" t="s">
        <v>1658</v>
      </c>
      <c r="F65" s="18" t="s">
        <v>20</v>
      </c>
      <c r="G65" s="19">
        <v>40</v>
      </c>
      <c r="H65" s="19">
        <v>40</v>
      </c>
      <c r="I65" s="19">
        <f t="shared" si="7"/>
        <v>0</v>
      </c>
      <c r="J65" s="18" t="s">
        <v>15</v>
      </c>
      <c r="K65" s="18" t="s">
        <v>15</v>
      </c>
      <c r="L65" s="18" t="s">
        <v>2453</v>
      </c>
      <c r="M65" s="18"/>
      <c r="N65" s="18"/>
      <c r="O65" s="18"/>
      <c r="P65" s="18"/>
      <c r="Q65" s="18">
        <v>1</v>
      </c>
    </row>
    <row r="66" spans="1:18" customFormat="1" x14ac:dyDescent="0.25">
      <c r="A66" s="18" t="s">
        <v>96</v>
      </c>
      <c r="B66" s="18" t="s">
        <v>34</v>
      </c>
      <c r="C66" s="18" t="s">
        <v>2595</v>
      </c>
      <c r="D66" s="18"/>
      <c r="E66" s="18" t="s">
        <v>2596</v>
      </c>
      <c r="F66" s="18" t="s">
        <v>19</v>
      </c>
      <c r="G66" s="18">
        <v>0</v>
      </c>
      <c r="H66" s="18">
        <v>25</v>
      </c>
      <c r="I66" s="19">
        <f t="shared" si="7"/>
        <v>-25</v>
      </c>
      <c r="J66" s="18" t="s">
        <v>15</v>
      </c>
      <c r="K66" s="18" t="s">
        <v>15</v>
      </c>
      <c r="L66" s="18" t="s">
        <v>2453</v>
      </c>
      <c r="M66" s="18"/>
      <c r="N66" s="18"/>
      <c r="O66" s="18"/>
      <c r="P66" s="18"/>
      <c r="Q66" s="18">
        <v>1</v>
      </c>
      <c r="R66" s="17">
        <f>H66</f>
        <v>25</v>
      </c>
    </row>
    <row r="68" spans="1:18" x14ac:dyDescent="0.25">
      <c r="G68" s="1">
        <f t="shared" ref="G68:R68" si="8">SUBTOTAL(9,G3:G67)</f>
        <v>52205</v>
      </c>
      <c r="H68" s="1">
        <f t="shared" si="8"/>
        <v>1710</v>
      </c>
      <c r="I68" s="1">
        <f t="shared" si="8"/>
        <v>50495</v>
      </c>
      <c r="J68" s="1">
        <f t="shared" si="8"/>
        <v>0</v>
      </c>
      <c r="K68" s="1">
        <f t="shared" si="8"/>
        <v>0</v>
      </c>
      <c r="L68" s="1">
        <f t="shared" si="8"/>
        <v>0</v>
      </c>
      <c r="M68" s="1">
        <f t="shared" si="8"/>
        <v>0</v>
      </c>
      <c r="N68" s="1">
        <f t="shared" si="8"/>
        <v>0</v>
      </c>
      <c r="O68" s="1">
        <f t="shared" si="8"/>
        <v>0</v>
      </c>
      <c r="P68" s="1">
        <f t="shared" si="8"/>
        <v>0</v>
      </c>
      <c r="Q68" s="1">
        <f t="shared" si="8"/>
        <v>64</v>
      </c>
      <c r="R68" s="1">
        <f t="shared" si="8"/>
        <v>475</v>
      </c>
    </row>
    <row r="72" spans="1:18" ht="20.25" customHeight="1" x14ac:dyDescent="0.3">
      <c r="H72" s="4" t="s">
        <v>2448</v>
      </c>
      <c r="I72" s="5" t="s">
        <v>21</v>
      </c>
      <c r="J72" s="6" t="s">
        <v>22</v>
      </c>
    </row>
    <row r="73" spans="1:18" ht="15.75" customHeight="1" x14ac:dyDescent="0.25">
      <c r="H73" s="7" t="s">
        <v>23</v>
      </c>
      <c r="I73" s="8">
        <f>SUM(I67:I71)</f>
        <v>50495</v>
      </c>
      <c r="J73" s="8">
        <f>Q68</f>
        <v>64</v>
      </c>
    </row>
    <row r="74" spans="1:18" x14ac:dyDescent="0.25">
      <c r="H74" s="9" t="s">
        <v>24</v>
      </c>
      <c r="I74" s="10">
        <f>R68</f>
        <v>475</v>
      </c>
      <c r="J74" s="11"/>
    </row>
    <row r="75" spans="1:18" x14ac:dyDescent="0.25">
      <c r="H75" s="9" t="s">
        <v>25</v>
      </c>
      <c r="I75" s="10">
        <f>S67</f>
        <v>0</v>
      </c>
      <c r="J75" s="11"/>
    </row>
    <row r="76" spans="1:18" x14ac:dyDescent="0.25">
      <c r="H76" s="9" t="s">
        <v>26</v>
      </c>
      <c r="I76" s="10">
        <f>T67</f>
        <v>0</v>
      </c>
      <c r="J76" s="11"/>
    </row>
    <row r="77" spans="1:18" x14ac:dyDescent="0.25">
      <c r="H77" s="9" t="s">
        <v>27</v>
      </c>
      <c r="I77" s="10">
        <f>U67</f>
        <v>0</v>
      </c>
      <c r="J77" s="11"/>
    </row>
    <row r="78" spans="1:18" ht="15.75" customHeight="1" x14ac:dyDescent="0.25">
      <c r="H78" s="12" t="s">
        <v>28</v>
      </c>
      <c r="I78" s="13"/>
      <c r="J78" s="13"/>
    </row>
    <row r="79" spans="1:18" ht="15.75" customHeight="1" x14ac:dyDescent="0.25">
      <c r="H79" s="14" t="s">
        <v>29</v>
      </c>
      <c r="I79" s="13"/>
      <c r="J79" s="13"/>
    </row>
    <row r="80" spans="1:18" ht="21" customHeight="1" x14ac:dyDescent="0.35">
      <c r="H80" s="15" t="s">
        <v>30</v>
      </c>
      <c r="I80" s="16">
        <f>SUM(I73:I79)</f>
        <v>50970</v>
      </c>
      <c r="J80" s="16">
        <f>SUM(J73:J77)</f>
        <v>64</v>
      </c>
    </row>
    <row r="82" spans="1:12" x14ac:dyDescent="0.25">
      <c r="A82" s="1" t="s">
        <v>173</v>
      </c>
    </row>
    <row r="83" spans="1:12" x14ac:dyDescent="0.25">
      <c r="A83" s="24" t="s">
        <v>34</v>
      </c>
      <c r="B83" s="24" t="s">
        <v>2487</v>
      </c>
      <c r="C83" s="24" t="s">
        <v>2488</v>
      </c>
      <c r="D83" s="24" t="s">
        <v>2489</v>
      </c>
      <c r="E83" s="24" t="s">
        <v>108</v>
      </c>
      <c r="F83" s="25">
        <v>865</v>
      </c>
      <c r="G83" s="25">
        <v>0</v>
      </c>
      <c r="H83" s="25">
        <f>F83-G83</f>
        <v>865</v>
      </c>
      <c r="I83" s="24" t="s">
        <v>2457</v>
      </c>
      <c r="J83" s="24" t="s">
        <v>15</v>
      </c>
      <c r="K83" s="24" t="s">
        <v>2453</v>
      </c>
      <c r="L83" s="26" t="s">
        <v>2597</v>
      </c>
    </row>
  </sheetData>
  <autoFilter ref="A2:P66" xr:uid="{00000000-0009-0000-0000-000006000000}">
    <sortState xmlns:xlrd2="http://schemas.microsoft.com/office/spreadsheetml/2017/richdata2" ref="A3:P66">
      <sortCondition ref="J2:J6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  <vt:lpstr>22-4</vt:lpstr>
      <vt:lpstr>23-4</vt:lpstr>
      <vt:lpstr>24-4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2026-04-24T15:01:06Z</dcterms:modified>
</cp:coreProperties>
</file>