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Work\TextExtractorTool\data\Apr\"/>
    </mc:Choice>
  </mc:AlternateContent>
  <xr:revisionPtr revIDLastSave="0" documentId="13_ncr:1_{4C95D866-80EA-4C0F-BAFF-9E6B9B12B4DF}" xr6:coauthVersionLast="47" xr6:coauthVersionMax="47" xr10:uidLastSave="{00000000-0000-0000-0000-000000000000}"/>
  <bookViews>
    <workbookView xWindow="-28920" yWindow="-150" windowWidth="29040" windowHeight="15720" activeTab="9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  <sheet name="8-4" sheetId="8" r:id="rId7"/>
    <sheet name="9-4" sheetId="9" r:id="rId8"/>
    <sheet name="10-4" sheetId="10" r:id="rId9"/>
    <sheet name="11-4" sheetId="11" r:id="rId10"/>
  </sheets>
  <definedNames>
    <definedName name="_xlnm._FilterDatabase" localSheetId="8" hidden="1">'10-4'!$A$2:$P$53</definedName>
    <definedName name="_xlnm._FilterDatabase" localSheetId="9" hidden="1">'11-4'!$A$2:$P$43</definedName>
    <definedName name="_xlnm._FilterDatabase" localSheetId="0" hidden="1">'1-4'!$A$2:$P$23</definedName>
    <definedName name="_xlnm._FilterDatabase" localSheetId="1" hidden="1">'2-4'!$A$2:$P$24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  <definedName name="_xlnm._FilterDatabase" localSheetId="6" hidden="1">'8-4'!$A$2:$P$45</definedName>
    <definedName name="_xlnm._FilterDatabase" localSheetId="7" hidden="1">'9-4'!$A$2:$P$39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1" l="1"/>
  <c r="R34" i="11"/>
  <c r="R27" i="11"/>
  <c r="R15" i="11"/>
  <c r="R8" i="11"/>
  <c r="R7" i="11"/>
  <c r="R6" i="11"/>
  <c r="R4" i="11"/>
  <c r="R45" i="11" s="1"/>
  <c r="I51" i="11" s="1"/>
  <c r="R18" i="11"/>
  <c r="R11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54" i="11"/>
  <c r="I53" i="11"/>
  <c r="I52" i="11"/>
  <c r="Q45" i="11"/>
  <c r="J50" i="11" s="1"/>
  <c r="J57" i="11" s="1"/>
  <c r="P45" i="11"/>
  <c r="O45" i="11"/>
  <c r="N45" i="11"/>
  <c r="M45" i="11"/>
  <c r="L45" i="11"/>
  <c r="K45" i="11"/>
  <c r="J45" i="11"/>
  <c r="H45" i="11"/>
  <c r="G45" i="11"/>
  <c r="I45" i="11" l="1"/>
  <c r="I50" i="11" s="1"/>
  <c r="I57" i="11" s="1"/>
  <c r="R44" i="10" l="1"/>
  <c r="R51" i="10"/>
  <c r="R50" i="10" l="1"/>
  <c r="R48" i="10"/>
  <c r="R47" i="10"/>
  <c r="R46" i="10"/>
  <c r="R35" i="10"/>
  <c r="R34" i="10"/>
  <c r="R27" i="10"/>
  <c r="H74" i="10"/>
  <c r="R36" i="10"/>
  <c r="R25" i="10"/>
  <c r="R7" i="10"/>
  <c r="H73" i="10"/>
  <c r="H72" i="10"/>
  <c r="H70" i="10"/>
  <c r="I53" i="10"/>
  <c r="I52" i="10"/>
  <c r="I42" i="10"/>
  <c r="I45" i="10"/>
  <c r="I51" i="10"/>
  <c r="I50" i="10"/>
  <c r="I49" i="10"/>
  <c r="I48" i="10"/>
  <c r="I47" i="10"/>
  <c r="I46" i="10"/>
  <c r="I44" i="10"/>
  <c r="I43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64" i="10"/>
  <c r="I63" i="10"/>
  <c r="I62" i="10"/>
  <c r="Q55" i="10"/>
  <c r="J60" i="10" s="1"/>
  <c r="J67" i="10" s="1"/>
  <c r="P55" i="10"/>
  <c r="O55" i="10"/>
  <c r="N55" i="10"/>
  <c r="M55" i="10"/>
  <c r="L55" i="10"/>
  <c r="K55" i="10"/>
  <c r="J55" i="10"/>
  <c r="H55" i="10"/>
  <c r="G55" i="10"/>
  <c r="R55" i="10"/>
  <c r="I61" i="10" s="1"/>
  <c r="R38" i="9"/>
  <c r="R33" i="9"/>
  <c r="R29" i="9"/>
  <c r="R25" i="9"/>
  <c r="R24" i="9"/>
  <c r="R21" i="9"/>
  <c r="R19" i="9"/>
  <c r="R15" i="9"/>
  <c r="R12" i="9"/>
  <c r="R5" i="9"/>
  <c r="I39" i="9"/>
  <c r="I38" i="9"/>
  <c r="I37" i="9"/>
  <c r="I41" i="9" s="1"/>
  <c r="I46" i="9" s="1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50" i="9"/>
  <c r="I49" i="9"/>
  <c r="I48" i="9"/>
  <c r="R41" i="9"/>
  <c r="I47" i="9" s="1"/>
  <c r="Q41" i="9"/>
  <c r="J46" i="9" s="1"/>
  <c r="J53" i="9" s="1"/>
  <c r="P41" i="9"/>
  <c r="O41" i="9"/>
  <c r="N41" i="9"/>
  <c r="M41" i="9"/>
  <c r="L41" i="9"/>
  <c r="K41" i="9"/>
  <c r="J41" i="9"/>
  <c r="H41" i="9"/>
  <c r="G41" i="9"/>
  <c r="I11" i="3"/>
  <c r="I12" i="3"/>
  <c r="I13" i="3"/>
  <c r="I52" i="8"/>
  <c r="H63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R47" i="8"/>
  <c r="I53" i="8" s="1"/>
  <c r="I47" i="8"/>
  <c r="H48" i="7"/>
  <c r="I34" i="7"/>
  <c r="I41" i="7" s="1"/>
  <c r="R21" i="7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55" i="10" l="1"/>
  <c r="I53" i="9"/>
  <c r="I59" i="8"/>
  <c r="I29" i="7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0" i="10" l="1"/>
  <c r="I67" i="10" s="1"/>
  <c r="I68" i="6"/>
</calcChain>
</file>

<file path=xl/sharedStrings.xml><?xml version="1.0" encoding="utf-8"?>
<sst xmlns="http://schemas.openxmlformats.org/spreadsheetml/2006/main" count="3279" uniqueCount="1155">
  <si>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</si>
  <si>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</si>
  <si>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</si>
  <si>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</si>
  <si>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</si>
  <si>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</si>
  <si>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</si>
  <si>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</si>
  <si>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</si>
  <si>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</si>
  <si>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</si>
  <si>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</si>
  <si>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</si>
  <si>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</si>
  <si>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</si>
  <si>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</si>
  <si>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</si>
  <si>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</si>
  <si>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</si>
  <si>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</si>
  <si>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</si>
  <si>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</si>
  <si>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</si>
  <si>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</si>
  <si>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</si>
  <si>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</si>
  <si>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</si>
  <si>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</si>
  <si>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</si>
  <si>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</si>
  <si>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</si>
  <si>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</si>
  <si>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</si>
  <si>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</si>
  <si>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</si>
  <si>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</si>
  <si>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</si>
  <si>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</si>
  <si>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</si>
  <si>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</si>
  <si>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</si>
  <si>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</si>
  <si>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</si>
  <si>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</si>
  <si>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</si>
  <si>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</si>
  <si>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</si>
  <si>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</si>
  <si>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</si>
  <si>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</si>
  <si>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</si>
  <si>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</si>
  <si>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</si>
  <si>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</si>
  <si>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</si>
  <si>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</si>
  <si>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</si>
  <si>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</si>
  <si>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</si>
  <si>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</si>
  <si>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</si>
  <si>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</si>
  <si>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</si>
  <si>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</si>
  <si>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</si>
  <si>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</si>
  <si>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</si>
  <si>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</si>
  <si>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</si>
  <si>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</si>
  <si>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</si>
  <si>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</si>
  <si>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</si>
  <si>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</si>
  <si>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</si>
  <si>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</si>
  <si>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</si>
  <si>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</si>
  <si>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</si>
  <si>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</si>
  <si>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</si>
  <si>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</si>
  <si>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</si>
  <si>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</si>
  <si>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</si>
  <si>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</si>
  <si>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</si>
  <si>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</si>
  <si>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</si>
  <si>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</si>
  <si>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</si>
  <si>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</si>
  <si>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</si>
  <si>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</si>
  <si>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</si>
  <si>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</si>
  <si>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</si>
  <si>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</si>
  <si>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</si>
  <si>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</si>
  <si>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</si>
  <si>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</si>
  <si>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</si>
  <si>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</si>
  <si>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</si>
  <si>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</si>
  <si>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</si>
  <si>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</si>
  <si>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</si>
  <si>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</si>
  <si>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</si>
  <si>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</si>
  <si>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</si>
  <si>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</si>
  <si>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</si>
  <si>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</si>
  <si>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</si>
  <si>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</si>
  <si>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</si>
  <si>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</si>
  <si>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</si>
  <si>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</si>
  <si>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</si>
  <si>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</si>
  <si>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</si>
  <si>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</si>
  <si>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</si>
  <si>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</si>
  <si>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</si>
  <si>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</si>
  <si>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</si>
  <si>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</si>
  <si>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</si>
  <si>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</si>
  <si>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</si>
  <si>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</si>
  <si>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</si>
  <si>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</si>
  <si>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</si>
  <si>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</si>
  <si>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</si>
  <si>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</si>
  <si>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</si>
  <si>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</si>
  <si>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</si>
  <si>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</si>
  <si>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</si>
  <si>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</si>
  <si>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</si>
  <si>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</si>
  <si>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</si>
  <si>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</si>
  <si>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</si>
  <si>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</si>
  <si>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</si>
  <si>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</si>
  <si>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</si>
  <si>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</si>
  <si>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</si>
  <si>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</si>
  <si>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</si>
  <si>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</si>
  <si>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</si>
  <si>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</si>
  <si>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</si>
  <si>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</si>
  <si>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</si>
  <si>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</si>
  <si>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</si>
  <si>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</si>
  <si>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</si>
  <si>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</si>
  <si>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</si>
  <si>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</si>
  <si>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</si>
  <si>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</si>
  <si>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</si>
  <si>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</si>
  <si>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</si>
  <si>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</si>
  <si>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</si>
  <si>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</si>
  <si>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</si>
  <si>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</si>
  <si>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</si>
  <si>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</si>
  <si>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</si>
  <si>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</si>
  <si>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</si>
  <si>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</si>
  <si>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</si>
  <si>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</si>
  <si>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</si>
  <si>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</si>
  <si>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</si>
  <si>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</si>
  <si>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</si>
  <si>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</si>
  <si>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</si>
  <si>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</si>
  <si>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</si>
  <si>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</si>
  <si>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</si>
  <si>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</si>
  <si>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</si>
  <si>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</si>
  <si>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</si>
  <si>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</si>
  <si>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</si>
  <si>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</si>
  <si>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</si>
  <si>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</si>
  <si>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</si>
  <si>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</si>
  <si>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</si>
  <si>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</si>
  <si>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</si>
  <si>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</si>
  <si>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</si>
  <si>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</si>
  <si>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</si>
  <si>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</si>
  <si>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</si>
  <si>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</si>
  <si>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</si>
  <si>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</si>
  <si>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</si>
  <si>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</si>
  <si>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</si>
  <si>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</si>
  <si>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</si>
  <si>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</si>
  <si>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</si>
  <si>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</si>
  <si>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</si>
  <si>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</si>
  <si>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</si>
  <si>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</si>
  <si>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</si>
  <si>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</si>
  <si>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</si>
  <si>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</si>
  <si>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</si>
  <si>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</si>
  <si>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</si>
  <si>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</si>
  <si>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</si>
  <si>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</si>
  <si>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</si>
  <si>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</si>
  <si>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</si>
  <si>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</si>
  <si>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</si>
  <si>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</si>
  <si>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</si>
  <si>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</si>
  <si>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</si>
  <si>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</si>
  <si>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</si>
  <si>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</si>
  <si>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</si>
  <si>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</si>
  <si>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</si>
  <si>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</si>
  <si>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</si>
  <si>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</si>
  <si>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</si>
  <si>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</si>
  <si>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</si>
  <si>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</si>
  <si>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</si>
  <si>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</si>
  <si>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</si>
  <si>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</si>
  <si>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</si>
  <si>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</si>
  <si>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</si>
  <si>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</si>
  <si>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</si>
  <si>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</si>
  <si>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</si>
  <si>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</si>
  <si>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</si>
  <si>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</si>
  <si>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</si>
  <si>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</si>
  <si>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</si>
  <si>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</si>
  <si>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</si>
  <si>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</si>
  <si>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</si>
  <si>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</si>
  <si>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</si>
  <si>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</si>
  <si>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</si>
  <si>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</si>
  <si>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</si>
  <si>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</si>
  <si>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</si>
  <si>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</si>
  <si>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</si>
  <si>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</si>
  <si>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</si>
  <si>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</si>
  <si>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</si>
  <si>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</si>
  <si>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</si>
  <si>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</si>
  <si>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</si>
  <si>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</si>
  <si>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</si>
  <si>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</si>
  <si>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</si>
  <si>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</si>
  <si>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</si>
  <si>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</si>
  <si>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</si>
  <si>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</si>
  <si>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</si>
  <si>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</si>
  <si>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</si>
  <si>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</si>
  <si>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</si>
  <si>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</si>
  <si>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</si>
  <si>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</si>
  <si>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</si>
  <si>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</si>
  <si>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</si>
  <si>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</si>
  <si>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</si>
  <si>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</si>
  <si>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</si>
  <si>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</si>
  <si>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</si>
  <si>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</si>
  <si>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</si>
  <si>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</si>
  <si>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</si>
  <si>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</si>
  <si>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</si>
  <si>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</si>
  <si>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</si>
  <si>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</si>
  <si>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</si>
  <si>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</si>
  <si>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</si>
  <si>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</si>
  <si>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</si>
  <si>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</si>
  <si>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</si>
  <si>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</si>
  <si>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</si>
  <si>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</si>
  <si>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</si>
  <si>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</si>
  <si>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</si>
  <si>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</si>
  <si>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</si>
  <si>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</si>
  <si>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</si>
  <si>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</si>
  <si>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</si>
  <si>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</si>
  <si>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</si>
  <si>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</si>
  <si>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</si>
  <si>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</si>
  <si>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</si>
  <si>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</si>
  <si>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</si>
  <si>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</si>
  <si>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</si>
  <si>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</si>
  <si>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</si>
  <si>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</si>
  <si>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</si>
  <si>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</si>
  <si>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</si>
  <si>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</si>
  <si>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</si>
  <si>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</si>
  <si>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</si>
  <si>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</si>
  <si>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</si>
  <si>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</si>
  <si>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</si>
  <si>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</si>
  <si>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</si>
  <si>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</si>
  <si>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</si>
  <si>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</si>
  <si>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</si>
  <si>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</si>
  <si>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</si>
  <si>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</si>
  <si>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</si>
  <si>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</si>
  <si>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</si>
  <si>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</si>
  <si>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</si>
  <si>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</si>
  <si>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</si>
  <si>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</si>
  <si>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</si>
  <si>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</si>
  <si>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</si>
  <si>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</si>
  <si>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</si>
  <si>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</si>
  <si>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</si>
  <si>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</si>
  <si>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</si>
  <si>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</si>
  <si>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</si>
  <si>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</si>
  <si>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</si>
  <si>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</si>
  <si>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</si>
  <si>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</si>
  <si>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</si>
  <si>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</si>
  <si>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</si>
  <si>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</si>
  <si>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</si>
  <si>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</si>
  <si>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</si>
  <si>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</si>
  <si>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</si>
  <si>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</si>
  <si>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</si>
  <si>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</si>
  <si>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</si>
  <si>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</si>
  <si>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</si>
  <si>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</si>
  <si>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</si>
  <si>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</si>
  <si>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</si>
  <si>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</si>
  <si>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</si>
  <si>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</si>
  <si>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</si>
  <si>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</si>
  <si>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</si>
  <si>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</si>
  <si>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</si>
  <si>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</si>
  <si>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</si>
  <si>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</si>
  <si>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</si>
  <si>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</si>
  <si>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</si>
  <si>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</si>
  <si>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</si>
  <si>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</si>
  <si>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</si>
  <si>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</si>
  <si>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</si>
  <si>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</si>
  <si>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</si>
  <si>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</si>
  <si>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</si>
  <si>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</si>
  <si>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</si>
  <si>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</si>
  <si>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</si>
  <si>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</si>
  <si>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</si>
  <si>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</si>
  <si>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</si>
  <si>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</si>
  <si>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</si>
  <si>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</si>
  <si>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</si>
  <si>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</si>
  <si>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</si>
  <si>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</si>
  <si>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</si>
  <si>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</si>
  <si>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</si>
  <si>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</si>
  <si>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</si>
  <si>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</si>
  <si>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</si>
  <si>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</si>
  <si>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</si>
  <si>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</si>
  <si>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</si>
  <si>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</si>
  <si>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</si>
  <si>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</si>
  <si>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</si>
  <si>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</si>
  <si>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</si>
  <si>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</si>
  <si>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</si>
  <si>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</si>
  <si>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</si>
  <si>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</si>
  <si>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</si>
  <si>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</si>
  <si>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</si>
  <si>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</si>
  <si>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</si>
  <si>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</si>
  <si>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</si>
  <si>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</si>
  <si>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</si>
  <si>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</si>
  <si>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</si>
  <si>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</si>
  <si>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</si>
  <si>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</si>
  <si>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</si>
  <si>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</si>
  <si>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</si>
  <si>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</si>
  <si>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</si>
  <si>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</si>
  <si>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</si>
  <si>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</si>
  <si>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</si>
  <si>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</si>
  <si>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</si>
  <si>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</si>
  <si>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</si>
  <si>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</si>
  <si>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</si>
  <si>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</si>
  <si>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</si>
  <si>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</si>
  <si>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</si>
  <si>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</si>
  <si>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</si>
  <si>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</si>
  <si>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</si>
  <si>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</si>
  <si>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</si>
  <si>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</si>
  <si>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</si>
  <si>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</si>
  <si>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</si>
  <si>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</si>
  <si>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</si>
  <si>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</si>
  <si>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</si>
  <si>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</si>
  <si>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</si>
  <si>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</si>
  <si>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</si>
  <si>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</si>
  <si>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</si>
  <si>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</si>
  <si>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</si>
  <si>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</si>
  <si>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</si>
  <si>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</si>
  <si>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</si>
  <si>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</si>
  <si>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</si>
  <si>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</si>
  <si>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</si>
  <si>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</si>
  <si>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</si>
  <si>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</si>
  <si>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</si>
  <si>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</si>
  <si>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</si>
  <si>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</si>
  <si>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</si>
  <si>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</si>
  <si>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</si>
  <si>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</si>
  <si>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</si>
  <si>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</si>
  <si>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</si>
  <si>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</si>
  <si>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</si>
  <si>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</si>
  <si>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</si>
  <si>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</si>
  <si>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</si>
  <si>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</si>
  <si>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</si>
  <si>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</si>
  <si>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</si>
  <si>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</si>
  <si>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</si>
  <si>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</si>
  <si>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</si>
  <si>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</si>
  <si>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</si>
  <si>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</si>
  <si>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</si>
  <si>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</si>
  <si>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</si>
  <si>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</si>
  <si>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</si>
  <si>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</si>
  <si>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</si>
  <si>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</si>
  <si>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</si>
  <si>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</si>
  <si>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</si>
  <si>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</si>
  <si>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</si>
  <si>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</si>
  <si>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</si>
  <si>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</si>
  <si>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</si>
  <si>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</si>
  <si>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</si>
  <si>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</si>
  <si>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</si>
  <si>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</si>
  <si>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</si>
  <si>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</si>
  <si>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</si>
  <si>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</si>
  <si>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</si>
  <si>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</si>
  <si>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</si>
  <si>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</si>
  <si>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</si>
  <si>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</si>
  <si>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</si>
  <si>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</si>
  <si>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</si>
  <si>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</si>
  <si>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</si>
  <si>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</si>
  <si>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</si>
  <si>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</si>
  <si>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</si>
  <si>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</si>
  <si>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</si>
  <si>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</si>
  <si>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</si>
  <si>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</si>
  <si>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</si>
  <si>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</si>
  <si>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</si>
  <si>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</si>
  <si>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</si>
  <si>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</si>
  <si>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</si>
  <si>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</si>
  <si>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</si>
  <si>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</si>
  <si>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</si>
  <si>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</si>
  <si>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</si>
  <si>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</si>
  <si>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</si>
  <si>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</si>
  <si>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</si>
  <si>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</si>
  <si>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</si>
  <si>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</si>
  <si>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</si>
  <si>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</si>
  <si>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</si>
  <si>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</si>
  <si>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</si>
  <si>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</si>
  <si>
    <t>đơn nhà xe Anh Khương 2.4</t>
  </si>
  <si>
    <t>đơn thu hộ 6.4</t>
  </si>
  <si>
    <t>T4.8.4.2026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</si>
  <si>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</si>
  <si>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</si>
  <si>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</si>
  <si>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</si>
  <si>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</si>
  <si>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</si>
  <si>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</si>
  <si>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</si>
  <si>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</si>
  <si>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</si>
  <si>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</si>
  <si>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</si>
  <si>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</si>
  <si>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</si>
  <si>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</si>
  <si>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</si>
  <si>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</si>
  <si>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</si>
  <si>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</si>
  <si>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</si>
  <si>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</si>
  <si>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</si>
  <si>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</si>
  <si>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</si>
  <si>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</si>
  <si>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</si>
  <si>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</si>
  <si>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</si>
  <si>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</si>
  <si>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</si>
  <si>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</si>
  <si>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</si>
  <si>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</si>
  <si>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</si>
  <si>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</si>
  <si>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</si>
  <si>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</si>
  <si>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</si>
  <si>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</si>
  <si>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</si>
  <si>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</si>
  <si>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</si>
  <si>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</si>
  <si>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</si>
  <si>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</si>
  <si>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</si>
  <si>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</si>
  <si>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</si>
  <si>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</si>
  <si>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</si>
  <si>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</si>
  <si>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</si>
  <si>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</si>
  <si>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</si>
  <si>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</si>
  <si>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</si>
  <si>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</si>
  <si>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</si>
  <si>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</si>
  <si>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</si>
  <si>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</si>
  <si>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</si>
  <si>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</si>
  <si>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</si>
  <si>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</si>
  <si>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</si>
  <si>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</si>
  <si>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</si>
  <si>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</si>
  <si>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</si>
  <si>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</si>
  <si>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</si>
  <si>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</si>
  <si>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</si>
  <si>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</si>
  <si>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</si>
  <si>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</si>
  <si>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</si>
  <si>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</si>
  <si>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</si>
  <si>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</si>
  <si>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</si>
  <si>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</si>
  <si>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</si>
  <si>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</si>
  <si>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</si>
  <si>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</si>
  <si>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</si>
  <si>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</si>
  <si>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</si>
  <si>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</si>
  <si>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</si>
  <si>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</si>
  <si>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</si>
  <si>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</si>
  <si>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</si>
  <si>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</si>
  <si>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</si>
  <si>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</si>
  <si>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</si>
  <si>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</si>
  <si>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</si>
  <si>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</si>
  <si>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</si>
  <si>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</si>
  <si>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</si>
  <si>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</si>
  <si>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</si>
  <si>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</si>
  <si>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</si>
  <si>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</si>
  <si>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</si>
  <si>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</si>
  <si>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</si>
  <si>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</si>
  <si>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</si>
  <si>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26-03-2026</t>
  </si>
  <si>
    <t>hàng tỉnh</t>
  </si>
  <si>
    <t>x</t>
  </si>
  <si>
    <t>xx</t>
  </si>
  <si>
    <t>đơn trả 9.4</t>
  </si>
  <si>
    <t>T5.9.4.2026</t>
  </si>
  <si>
    <t>NGAY 9-4</t>
  </si>
  <si>
    <t>NGAY 8-4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</si>
  <si>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</si>
  <si>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</si>
  <si>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</si>
  <si>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</si>
  <si>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</si>
  <si>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</si>
  <si>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</si>
  <si>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</si>
  <si>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</si>
  <si>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</si>
  <si>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</si>
  <si>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</si>
  <si>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</si>
  <si>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</si>
  <si>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</si>
  <si>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</si>
  <si>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</si>
  <si>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</si>
  <si>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</si>
  <si>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</si>
  <si>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</si>
  <si>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</si>
  <si>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</si>
  <si>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</si>
  <si>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</si>
  <si>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</si>
  <si>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</si>
  <si>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</si>
  <si>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</si>
  <si>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</si>
  <si>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</si>
  <si>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</si>
  <si>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</si>
  <si>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</si>
  <si>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</si>
  <si>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</si>
  <si>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</si>
  <si>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</si>
  <si>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</si>
  <si>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</si>
  <si>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</si>
  <si>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</si>
  <si>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</si>
  <si>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</si>
  <si>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</si>
  <si>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</si>
  <si>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</si>
  <si>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</si>
  <si>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</si>
  <si>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</si>
  <si>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</si>
  <si>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</si>
  <si>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</si>
  <si>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</si>
  <si>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</si>
  <si>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</si>
  <si>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</si>
  <si>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</si>
  <si>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</si>
  <si>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</si>
  <si>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</si>
  <si>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</si>
  <si>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</si>
  <si>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</si>
  <si>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</si>
  <si>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</si>
  <si>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</si>
  <si>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</si>
  <si>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</si>
  <si>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</si>
  <si>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</si>
  <si>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</si>
  <si>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</si>
  <si>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</si>
  <si>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</si>
  <si>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</si>
  <si>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</si>
  <si>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</si>
  <si>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</si>
  <si>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</si>
  <si>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</si>
  <si>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</si>
  <si>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</si>
  <si>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</si>
  <si>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</si>
  <si>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</si>
  <si>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</si>
  <si>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</si>
  <si>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</si>
  <si>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</si>
  <si>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</si>
  <si>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</si>
  <si>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</si>
  <si>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</si>
  <si>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</si>
  <si>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</si>
  <si>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</si>
  <si>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</si>
  <si>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</si>
  <si>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</si>
  <si>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</si>
  <si>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</si>
  <si>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</si>
  <si>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</si>
  <si>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T6.10.4.2026</t>
  </si>
  <si>
    <t>NGAY 10-4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</si>
  <si>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</si>
  <si>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</si>
  <si>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</si>
  <si>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</si>
  <si>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</si>
  <si>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</si>
  <si>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</si>
  <si>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</si>
  <si>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</si>
  <si>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</si>
  <si>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</si>
  <si>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</si>
  <si>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</si>
  <si>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</si>
  <si>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</si>
  <si>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</si>
  <si>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</si>
  <si>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</si>
  <si>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</si>
  <si>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</si>
  <si>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</si>
  <si>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</si>
  <si>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</si>
  <si>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</si>
  <si>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</si>
  <si>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</si>
  <si>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</si>
  <si>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</si>
  <si>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</si>
  <si>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</si>
  <si>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</si>
  <si>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</si>
  <si>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</si>
  <si>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</si>
  <si>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</si>
  <si>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</si>
  <si>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</si>
  <si>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</si>
  <si>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</si>
  <si>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</si>
  <si>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</si>
  <si>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</si>
  <si>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</si>
  <si>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</si>
  <si>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</si>
  <si>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</si>
  <si>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</si>
  <si>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</si>
  <si>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</si>
  <si>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</si>
  <si>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</si>
  <si>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</si>
  <si>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</si>
  <si>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</si>
  <si>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</si>
  <si>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</si>
  <si>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</si>
  <si>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</si>
  <si>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</si>
  <si>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</si>
  <si>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</si>
  <si>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</si>
  <si>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</si>
  <si>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</si>
  <si>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</si>
  <si>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</si>
  <si>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</si>
  <si>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</si>
  <si>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</si>
  <si>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</si>
  <si>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</si>
  <si>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</si>
  <si>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</si>
  <si>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</si>
  <si>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</si>
  <si>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</si>
  <si>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</si>
  <si>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</si>
  <si>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</si>
  <si>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</si>
  <si>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</si>
  <si>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</si>
  <si>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</si>
  <si>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</si>
  <si>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</si>
  <si>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</si>
  <si>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</si>
  <si>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</si>
  <si>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</si>
  <si>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</si>
  <si>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</si>
  <si>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</si>
  <si>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</si>
  <si>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</si>
  <si>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</si>
  <si>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</si>
  <si>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</si>
  <si>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</si>
  <si>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</si>
  <si>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</si>
  <si>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</si>
  <si>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</si>
  <si>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</si>
  <si>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</si>
  <si>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</si>
  <si>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</si>
  <si>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</si>
  <si>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</si>
  <si>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</si>
  <si>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</si>
  <si>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</si>
  <si>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</si>
  <si>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</si>
  <si>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</si>
  <si>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</si>
  <si>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</si>
  <si>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</si>
  <si>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</si>
  <si>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</si>
  <si>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</si>
  <si>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</si>
  <si>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</si>
  <si>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</si>
  <si>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</si>
  <si>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</si>
  <si>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</si>
  <si>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</si>
  <si>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</si>
  <si>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</si>
  <si>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</si>
  <si>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</si>
  <si>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</si>
  <si>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</si>
  <si>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</si>
  <si>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đơn lấy hàng về cho shop</t>
  </si>
  <si>
    <t>socheatahun</t>
  </si>
  <si>
    <t>100A Thich Quang Duc Street, Ward 5</t>
  </si>
  <si>
    <t>đơn trả 11.4</t>
  </si>
  <si>
    <t>shop chiu ship</t>
  </si>
  <si>
    <t>T7.11.4.2026</t>
  </si>
  <si>
    <t>NGAY 11-4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</si>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</sst>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45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  <xf numFmtId="0" fontId="8" fillId="11" borderId="2" xfId="0" applyFont="1" applyFill="1" applyBorder="1"/>
    <xf numFmtId="3" fontId="10" fillId="0" borderId="1" xfId="0" applyNumberFormat="1" applyFont="1" applyBorder="1"/>
    <xf numFmtId="0" fontId="11" fillId="0" borderId="0" xfId="0" applyFont="1"/>
    <xf numFmtId="0" fontId="12" fillId="9" borderId="1" xfId="0" applyFont="1" applyFill="1" applyBorder="1"/>
    <xf numFmtId="3" fontId="12" fillId="9" borderId="1" xfId="0" applyNumberFormat="1" applyFont="1" applyFill="1" applyBorder="1"/>
    <xf numFmtId="0" fontId="12" fillId="2" borderId="1" xfId="0" applyFont="1" applyFill="1" applyBorder="1"/>
    <xf numFmtId="3" fontId="12" fillId="9" borderId="0" xfId="0" applyNumberFormat="1" applyFont="1" applyFill="1"/>
    <xf numFmtId="0" fontId="12" fillId="9" borderId="0" xfId="0" applyFont="1" applyFill="1"/>
    <xf numFmtId="0" fontId="8" fillId="9" borderId="1" xfId="0" applyFont="1" applyFill="1" applyBorder="1"/>
    <xf numFmtId="0" fontId="10" fillId="12" borderId="3" xfId="0" applyFont="1" applyFill="1" applyBorder="1"/>
    <xf numFmtId="3" fontId="10" fillId="0" borderId="3" xfId="0" applyNumberFormat="1" applyFon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workbookViewId="0">
      <selection activeCell="C49" sqref="C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zoomScale="80" zoomScaleNormal="80" workbookViewId="0">
      <selection activeCell="A7" sqref="A7:XFD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20" workbookViewId="0">
      <selection activeCell="H34" sqref="H34:H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7" workbookViewId="0">
      <selection activeCell="A27" sqref="A27:XFD2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39" workbookViewId="0">
      <selection activeCell="C43" sqref="C4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8"/>
  <sheetViews>
    <sheetView topLeftCell="A19" workbookViewId="0">
      <selection activeCell="A26" sqref="A26:XFD26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0" spans="1:18" x14ac:dyDescent="0.25">
      <c r="I30" s="1">
        <v>-1715</v>
      </c>
      <c r="J30" s="1" t="s">
        <v>663</v>
      </c>
    </row>
    <row r="31" spans="1:18" x14ac:dyDescent="0.25">
      <c r="I31" s="1">
        <v>-70</v>
      </c>
      <c r="J31" s="1" t="s">
        <v>666</v>
      </c>
    </row>
    <row r="32" spans="1:18" x14ac:dyDescent="0.25">
      <c r="I32" s="1">
        <v>2390</v>
      </c>
      <c r="J32" s="1" t="s">
        <v>667</v>
      </c>
    </row>
    <row r="33" spans="1:18" ht="20.25" customHeight="1" x14ac:dyDescent="0.3">
      <c r="H33" s="4" t="s">
        <v>593</v>
      </c>
      <c r="I33" s="5" t="s">
        <v>21</v>
      </c>
      <c r="J33" s="6" t="s">
        <v>22</v>
      </c>
    </row>
    <row r="34" spans="1:18" ht="15.75" customHeight="1" x14ac:dyDescent="0.25">
      <c r="H34" s="7" t="s">
        <v>23</v>
      </c>
      <c r="I34" s="8">
        <f>SUM(I28:I32)</f>
        <v>22360</v>
      </c>
      <c r="J34" s="8">
        <f>Q29</f>
        <v>25</v>
      </c>
    </row>
    <row r="35" spans="1:18" x14ac:dyDescent="0.25">
      <c r="H35" s="9" t="s">
        <v>24</v>
      </c>
      <c r="I35" s="10">
        <f>R29</f>
        <v>165</v>
      </c>
      <c r="J35" s="11"/>
    </row>
    <row r="36" spans="1:18" x14ac:dyDescent="0.25">
      <c r="H36" s="9" t="s">
        <v>25</v>
      </c>
      <c r="I36" s="10">
        <f>S28</f>
        <v>0</v>
      </c>
      <c r="J36" s="11"/>
    </row>
    <row r="37" spans="1:18" x14ac:dyDescent="0.25">
      <c r="H37" s="9" t="s">
        <v>26</v>
      </c>
      <c r="I37" s="10">
        <f>T28</f>
        <v>0</v>
      </c>
      <c r="J37" s="11"/>
    </row>
    <row r="38" spans="1:18" x14ac:dyDescent="0.25">
      <c r="H38" s="9" t="s">
        <v>27</v>
      </c>
      <c r="I38" s="10">
        <f>U28</f>
        <v>0</v>
      </c>
      <c r="J38" s="11"/>
    </row>
    <row r="39" spans="1:18" ht="15.75" customHeight="1" x14ac:dyDescent="0.25">
      <c r="H39" s="12" t="s">
        <v>28</v>
      </c>
      <c r="I39" s="13"/>
      <c r="J39" s="13"/>
    </row>
    <row r="40" spans="1:18" ht="15.75" customHeight="1" x14ac:dyDescent="0.25">
      <c r="H40" s="14" t="s">
        <v>29</v>
      </c>
      <c r="I40" s="13"/>
      <c r="J40" s="13"/>
    </row>
    <row r="41" spans="1:18" ht="21" customHeight="1" x14ac:dyDescent="0.35">
      <c r="H41" s="15" t="s">
        <v>30</v>
      </c>
      <c r="I41" s="16">
        <f>SUM(I34:I40)</f>
        <v>22525</v>
      </c>
      <c r="J41" s="16">
        <f>SUM(J34:J38)</f>
        <v>25</v>
      </c>
    </row>
    <row r="44" spans="1:18" x14ac:dyDescent="0.25">
      <c r="A44" s="1" t="s">
        <v>663</v>
      </c>
    </row>
    <row r="45" spans="1:18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8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  <row r="47" spans="1:18" x14ac:dyDescent="0.25">
      <c r="A47" s="1" t="s">
        <v>667</v>
      </c>
    </row>
    <row r="48" spans="1:18" customFormat="1" x14ac:dyDescent="0.25">
      <c r="A48" s="24" t="s">
        <v>34</v>
      </c>
      <c r="B48" s="24" t="s">
        <v>444</v>
      </c>
      <c r="C48" s="24" t="s">
        <v>445</v>
      </c>
      <c r="D48" s="24" t="s">
        <v>446</v>
      </c>
      <c r="E48" s="24" t="s">
        <v>18</v>
      </c>
      <c r="F48" s="25">
        <v>2390</v>
      </c>
      <c r="G48" s="25">
        <v>0</v>
      </c>
      <c r="H48" s="25">
        <f t="shared" ref="H48" si="4">F48-G48</f>
        <v>2390</v>
      </c>
      <c r="I48" s="24" t="s">
        <v>15</v>
      </c>
      <c r="J48" s="24" t="s">
        <v>15</v>
      </c>
      <c r="K48" s="24" t="s">
        <v>447</v>
      </c>
      <c r="L48" s="34"/>
      <c r="M48" s="1"/>
      <c r="Q48" s="17"/>
      <c r="R48" s="17"/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7B9-F2E8-4DF4-9FB4-E70914D177FE}">
  <dimension ref="A1:R63"/>
  <sheetViews>
    <sheetView topLeftCell="A43" workbookViewId="0">
      <selection activeCell="A62" sqref="A62:XFD6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7" x14ac:dyDescent="0.25">
      <c r="B1" s="1" t="s">
        <v>31</v>
      </c>
      <c r="C1" s="1" t="s">
        <v>792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8"/>
      <c r="B3" s="18" t="s">
        <v>34</v>
      </c>
      <c r="C3" s="18" t="s">
        <v>669</v>
      </c>
      <c r="D3" s="18" t="s">
        <v>670</v>
      </c>
      <c r="E3" s="18" t="s">
        <v>671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56</v>
      </c>
      <c r="K3" s="18" t="s">
        <v>15</v>
      </c>
      <c r="L3" s="18" t="s">
        <v>672</v>
      </c>
      <c r="M3" s="18"/>
      <c r="N3" s="18"/>
      <c r="O3" s="18"/>
      <c r="P3" s="18"/>
      <c r="Q3" s="18">
        <v>1</v>
      </c>
    </row>
    <row r="4" spans="1:17" s="22" customFormat="1" x14ac:dyDescent="0.25">
      <c r="A4" s="20"/>
      <c r="B4" s="20" t="s">
        <v>34</v>
      </c>
      <c r="C4" s="20" t="s">
        <v>174</v>
      </c>
      <c r="D4" s="20" t="s">
        <v>673</v>
      </c>
      <c r="E4" s="20" t="s">
        <v>176</v>
      </c>
      <c r="F4" s="21">
        <v>9</v>
      </c>
      <c r="G4" s="21">
        <v>30</v>
      </c>
      <c r="H4" s="21">
        <v>30</v>
      </c>
      <c r="I4" s="21">
        <f t="shared" si="0"/>
        <v>0</v>
      </c>
      <c r="J4" s="20" t="s">
        <v>56</v>
      </c>
      <c r="K4" s="20" t="s">
        <v>15</v>
      </c>
      <c r="L4" s="20" t="s">
        <v>672</v>
      </c>
      <c r="M4" s="20" t="s">
        <v>16</v>
      </c>
      <c r="N4" s="20"/>
      <c r="O4" s="20"/>
      <c r="P4" s="20"/>
      <c r="Q4" s="20">
        <v>1</v>
      </c>
    </row>
    <row r="5" spans="1:17" customFormat="1" x14ac:dyDescent="0.25">
      <c r="A5" s="18" t="s">
        <v>96</v>
      </c>
      <c r="B5" s="18" t="s">
        <v>34</v>
      </c>
      <c r="C5" s="18" t="s">
        <v>674</v>
      </c>
      <c r="D5" s="18"/>
      <c r="E5" s="18" t="s">
        <v>675</v>
      </c>
      <c r="F5" s="18" t="s">
        <v>254</v>
      </c>
      <c r="G5" s="19">
        <v>3660</v>
      </c>
      <c r="H5" s="19">
        <v>40</v>
      </c>
      <c r="I5" s="19">
        <f t="shared" si="0"/>
        <v>3620</v>
      </c>
      <c r="J5" s="18" t="s">
        <v>676</v>
      </c>
      <c r="K5" s="18" t="s">
        <v>15</v>
      </c>
      <c r="L5" s="18" t="s">
        <v>672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677</v>
      </c>
      <c r="D6" s="18" t="s">
        <v>678</v>
      </c>
      <c r="E6" s="18" t="s">
        <v>679</v>
      </c>
      <c r="F6" s="18" t="s">
        <v>108</v>
      </c>
      <c r="G6" s="19">
        <v>475</v>
      </c>
      <c r="H6" s="19">
        <v>35</v>
      </c>
      <c r="I6" s="19">
        <f t="shared" si="0"/>
        <v>440</v>
      </c>
      <c r="J6" s="18" t="s">
        <v>676</v>
      </c>
      <c r="K6" s="18" t="s">
        <v>15</v>
      </c>
      <c r="L6" s="18" t="s">
        <v>672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680</v>
      </c>
      <c r="D7" s="18" t="s">
        <v>681</v>
      </c>
      <c r="E7" s="18" t="s">
        <v>682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676</v>
      </c>
      <c r="K7" s="18" t="s">
        <v>15</v>
      </c>
      <c r="L7" s="18" t="s">
        <v>672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683</v>
      </c>
      <c r="D8" s="18" t="s">
        <v>684</v>
      </c>
      <c r="E8" s="18" t="s">
        <v>685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676</v>
      </c>
      <c r="K8" s="18" t="s">
        <v>15</v>
      </c>
      <c r="L8" s="18" t="s">
        <v>672</v>
      </c>
      <c r="M8" s="18"/>
      <c r="N8" s="18"/>
      <c r="O8" s="18"/>
      <c r="P8" s="18"/>
      <c r="Q8" s="18">
        <v>1</v>
      </c>
    </row>
    <row r="9" spans="1:17" customFormat="1" x14ac:dyDescent="0.25">
      <c r="A9" s="18"/>
      <c r="B9" s="18" t="s">
        <v>34</v>
      </c>
      <c r="C9" s="18" t="s">
        <v>191</v>
      </c>
      <c r="D9" s="18" t="s">
        <v>686</v>
      </c>
      <c r="E9" s="18" t="s">
        <v>687</v>
      </c>
      <c r="F9" s="18" t="s">
        <v>20</v>
      </c>
      <c r="G9" s="19">
        <v>0</v>
      </c>
      <c r="H9" s="19">
        <v>25</v>
      </c>
      <c r="I9" s="19">
        <f>-H9</f>
        <v>-25</v>
      </c>
      <c r="J9" s="18" t="s">
        <v>676</v>
      </c>
      <c r="K9" s="18" t="s">
        <v>15</v>
      </c>
      <c r="L9" s="18" t="s">
        <v>672</v>
      </c>
      <c r="M9" s="18"/>
      <c r="N9" s="18"/>
      <c r="O9" s="18"/>
      <c r="P9" s="18"/>
      <c r="Q9" s="18">
        <v>1</v>
      </c>
    </row>
    <row r="10" spans="1:17" customFormat="1" x14ac:dyDescent="0.25">
      <c r="A10" s="18"/>
      <c r="B10" s="18" t="s">
        <v>34</v>
      </c>
      <c r="C10" s="18" t="s">
        <v>688</v>
      </c>
      <c r="D10" s="18" t="s">
        <v>689</v>
      </c>
      <c r="E10" s="18" t="s">
        <v>690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676</v>
      </c>
      <c r="K10" s="18" t="s">
        <v>15</v>
      </c>
      <c r="L10" s="18" t="s">
        <v>672</v>
      </c>
      <c r="M10" s="18"/>
      <c r="N10" s="18"/>
      <c r="O10" s="18"/>
      <c r="P10" s="18"/>
      <c r="Q10" s="18">
        <v>1</v>
      </c>
    </row>
    <row r="11" spans="1:17" customFormat="1" x14ac:dyDescent="0.25">
      <c r="A11" s="18"/>
      <c r="B11" s="18" t="s">
        <v>34</v>
      </c>
      <c r="C11" s="18" t="s">
        <v>691</v>
      </c>
      <c r="D11" s="18" t="s">
        <v>692</v>
      </c>
      <c r="E11" s="18" t="s">
        <v>693</v>
      </c>
      <c r="F11" s="18" t="s">
        <v>38</v>
      </c>
      <c r="G11" s="19">
        <v>1170</v>
      </c>
      <c r="H11" s="19">
        <v>30</v>
      </c>
      <c r="I11" s="19">
        <f>G11-H11</f>
        <v>1140</v>
      </c>
      <c r="J11" s="18" t="s">
        <v>676</v>
      </c>
      <c r="K11" s="18" t="s">
        <v>15</v>
      </c>
      <c r="L11" s="18" t="s">
        <v>672</v>
      </c>
      <c r="M11" s="18"/>
      <c r="N11" s="18"/>
      <c r="O11" s="18"/>
      <c r="P11" s="18"/>
      <c r="Q11" s="18">
        <v>1</v>
      </c>
    </row>
    <row r="12" spans="1:17" customFormat="1" x14ac:dyDescent="0.25">
      <c r="A12" s="18"/>
      <c r="B12" s="18" t="s">
        <v>34</v>
      </c>
      <c r="C12" s="18" t="s">
        <v>694</v>
      </c>
      <c r="D12" s="18" t="s">
        <v>695</v>
      </c>
      <c r="E12" s="18" t="s">
        <v>696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676</v>
      </c>
      <c r="K12" s="18" t="s">
        <v>15</v>
      </c>
      <c r="L12" s="18" t="s">
        <v>672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228</v>
      </c>
      <c r="D13" s="18" t="s">
        <v>697</v>
      </c>
      <c r="E13" s="18" t="s">
        <v>698</v>
      </c>
      <c r="F13" s="18" t="s">
        <v>254</v>
      </c>
      <c r="G13" s="19">
        <v>785</v>
      </c>
      <c r="H13" s="19">
        <v>35</v>
      </c>
      <c r="I13" s="19">
        <f>G13-H13</f>
        <v>750</v>
      </c>
      <c r="J13" s="18" t="s">
        <v>676</v>
      </c>
      <c r="K13" s="18" t="s">
        <v>15</v>
      </c>
      <c r="L13" s="18" t="s">
        <v>672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699</v>
      </c>
      <c r="D14" s="18" t="s">
        <v>700</v>
      </c>
      <c r="E14" s="18" t="s">
        <v>701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676</v>
      </c>
      <c r="K14" s="18" t="s">
        <v>15</v>
      </c>
      <c r="L14" s="18" t="s">
        <v>672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702</v>
      </c>
      <c r="D15" s="18" t="s">
        <v>703</v>
      </c>
      <c r="E15" s="18" t="s">
        <v>704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676</v>
      </c>
      <c r="K15" s="18" t="s">
        <v>15</v>
      </c>
      <c r="L15" s="18" t="s">
        <v>672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705</v>
      </c>
      <c r="D16" s="18" t="s">
        <v>706</v>
      </c>
      <c r="E16" s="18" t="s">
        <v>707</v>
      </c>
      <c r="F16" s="18" t="s">
        <v>212</v>
      </c>
      <c r="G16" s="19">
        <v>725</v>
      </c>
      <c r="H16" s="19">
        <v>25</v>
      </c>
      <c r="I16" s="19">
        <f t="shared" si="1"/>
        <v>700</v>
      </c>
      <c r="J16" s="18" t="s">
        <v>676</v>
      </c>
      <c r="K16" s="18" t="s">
        <v>15</v>
      </c>
      <c r="L16" s="18" t="s">
        <v>672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708</v>
      </c>
      <c r="D17" s="18" t="s">
        <v>709</v>
      </c>
      <c r="E17" s="18" t="s">
        <v>710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676</v>
      </c>
      <c r="K17" s="18" t="s">
        <v>15</v>
      </c>
      <c r="L17" s="18" t="s">
        <v>672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711</v>
      </c>
      <c r="D18" s="18" t="s">
        <v>712</v>
      </c>
      <c r="E18" s="18" t="s">
        <v>713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676</v>
      </c>
      <c r="K18" s="18" t="s">
        <v>15</v>
      </c>
      <c r="L18" s="18" t="s">
        <v>672</v>
      </c>
      <c r="M18" s="18"/>
      <c r="N18" s="18"/>
      <c r="O18" s="18"/>
      <c r="P18" s="18"/>
      <c r="Q18" s="18">
        <v>1</v>
      </c>
    </row>
    <row r="19" spans="1:17" customFormat="1" x14ac:dyDescent="0.25">
      <c r="A19" s="18"/>
      <c r="B19" s="18" t="s">
        <v>34</v>
      </c>
      <c r="C19" s="18" t="s">
        <v>516</v>
      </c>
      <c r="D19" s="18" t="s">
        <v>714</v>
      </c>
      <c r="E19" s="18" t="s">
        <v>518</v>
      </c>
      <c r="F19" s="18" t="s">
        <v>38</v>
      </c>
      <c r="G19" s="19">
        <v>2010</v>
      </c>
      <c r="H19" s="19">
        <v>30</v>
      </c>
      <c r="I19" s="19">
        <f t="shared" si="1"/>
        <v>1980</v>
      </c>
      <c r="J19" s="18" t="s">
        <v>676</v>
      </c>
      <c r="K19" s="18" t="s">
        <v>15</v>
      </c>
      <c r="L19" s="18" t="s">
        <v>672</v>
      </c>
      <c r="M19" s="18"/>
      <c r="N19" s="18"/>
      <c r="O19" s="18"/>
      <c r="P19" s="18"/>
      <c r="Q19" s="18">
        <v>1</v>
      </c>
    </row>
    <row r="20" spans="1:17" customFormat="1" x14ac:dyDescent="0.25">
      <c r="A20" s="18"/>
      <c r="B20" s="18" t="s">
        <v>34</v>
      </c>
      <c r="C20" s="18" t="s">
        <v>715</v>
      </c>
      <c r="D20" s="18" t="s">
        <v>716</v>
      </c>
      <c r="E20" s="18" t="s">
        <v>717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676</v>
      </c>
      <c r="K20" s="18" t="s">
        <v>15</v>
      </c>
      <c r="L20" s="18" t="s">
        <v>672</v>
      </c>
      <c r="M20" s="18"/>
      <c r="N20" s="18"/>
      <c r="O20" s="18"/>
      <c r="P20" s="18"/>
      <c r="Q20" s="18">
        <v>1</v>
      </c>
    </row>
    <row r="21" spans="1:17" customFormat="1" x14ac:dyDescent="0.25">
      <c r="A21" s="18" t="s">
        <v>96</v>
      </c>
      <c r="B21" s="18" t="s">
        <v>34</v>
      </c>
      <c r="C21" s="18" t="s">
        <v>718</v>
      </c>
      <c r="D21" s="18"/>
      <c r="E21" s="18" t="s">
        <v>719</v>
      </c>
      <c r="F21" s="18" t="s">
        <v>144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672</v>
      </c>
      <c r="M21" s="18"/>
      <c r="N21" s="18"/>
      <c r="O21" s="18"/>
      <c r="P21" s="18"/>
      <c r="Q21" s="18">
        <v>1</v>
      </c>
    </row>
    <row r="22" spans="1:17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>G22-H22</f>
        <v>0</v>
      </c>
      <c r="J22" s="18" t="s">
        <v>15</v>
      </c>
      <c r="K22" s="18" t="s">
        <v>15</v>
      </c>
      <c r="L22" s="18" t="s">
        <v>672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720</v>
      </c>
      <c r="D23" s="18" t="s">
        <v>721</v>
      </c>
      <c r="E23" s="18" t="s">
        <v>722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15</v>
      </c>
      <c r="K23" s="18" t="s">
        <v>15</v>
      </c>
      <c r="L23" s="18" t="s">
        <v>672</v>
      </c>
      <c r="M23" s="18"/>
      <c r="N23" s="18"/>
      <c r="O23" s="18"/>
      <c r="P23" s="18"/>
      <c r="Q23" s="18">
        <v>1</v>
      </c>
    </row>
    <row r="24" spans="1:17" customFormat="1" x14ac:dyDescent="0.25">
      <c r="A24" s="18"/>
      <c r="B24" s="18" t="s">
        <v>34</v>
      </c>
      <c r="C24" s="18" t="s">
        <v>148</v>
      </c>
      <c r="D24" s="18" t="s">
        <v>723</v>
      </c>
      <c r="E24" s="18" t="s">
        <v>150</v>
      </c>
      <c r="F24" s="18" t="s">
        <v>19</v>
      </c>
      <c r="G24" s="19">
        <v>0</v>
      </c>
      <c r="H24" s="19">
        <v>20</v>
      </c>
      <c r="I24" s="19">
        <f>-H24</f>
        <v>-20</v>
      </c>
      <c r="J24" s="18" t="s">
        <v>15</v>
      </c>
      <c r="K24" s="18" t="s">
        <v>15</v>
      </c>
      <c r="L24" s="18" t="s">
        <v>672</v>
      </c>
      <c r="M24" s="18"/>
      <c r="N24" s="18"/>
      <c r="O24" s="18"/>
      <c r="P24" s="18"/>
      <c r="Q24" s="18">
        <v>1</v>
      </c>
    </row>
    <row r="25" spans="1:17" customFormat="1" x14ac:dyDescent="0.25">
      <c r="A25" s="18"/>
      <c r="B25" s="18" t="s">
        <v>34</v>
      </c>
      <c r="C25" s="18" t="s">
        <v>724</v>
      </c>
      <c r="D25" s="18" t="s">
        <v>725</v>
      </c>
      <c r="E25" s="18" t="s">
        <v>726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672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727</v>
      </c>
      <c r="D26" s="18" t="s">
        <v>728</v>
      </c>
      <c r="E26" s="18" t="s">
        <v>729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15</v>
      </c>
      <c r="K26" s="18" t="s">
        <v>15</v>
      </c>
      <c r="L26" s="18" t="s">
        <v>672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730</v>
      </c>
      <c r="D27" s="18" t="s">
        <v>731</v>
      </c>
      <c r="E27" s="18" t="s">
        <v>732</v>
      </c>
      <c r="F27" s="18" t="s">
        <v>19</v>
      </c>
      <c r="G27" s="19">
        <v>460</v>
      </c>
      <c r="H27" s="19">
        <v>20</v>
      </c>
      <c r="I27" s="19">
        <f>G27-H27</f>
        <v>440</v>
      </c>
      <c r="J27" s="18" t="s">
        <v>15</v>
      </c>
      <c r="K27" s="18" t="s">
        <v>15</v>
      </c>
      <c r="L27" s="18" t="s">
        <v>672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733</v>
      </c>
      <c r="D28" s="18" t="s">
        <v>734</v>
      </c>
      <c r="E28" s="18" t="s">
        <v>735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15</v>
      </c>
      <c r="K28" s="18" t="s">
        <v>15</v>
      </c>
      <c r="L28" s="18" t="s">
        <v>672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736</v>
      </c>
      <c r="D29" s="18" t="s">
        <v>737</v>
      </c>
      <c r="E29" s="18" t="s">
        <v>738</v>
      </c>
      <c r="F29" s="18" t="s">
        <v>20</v>
      </c>
      <c r="G29" s="19">
        <v>1115</v>
      </c>
      <c r="H29" s="19">
        <v>25</v>
      </c>
      <c r="I29" s="19">
        <f>G29-H29</f>
        <v>1090</v>
      </c>
      <c r="J29" s="18" t="s">
        <v>15</v>
      </c>
      <c r="K29" s="18" t="s">
        <v>15</v>
      </c>
      <c r="L29" s="18" t="s">
        <v>672</v>
      </c>
      <c r="M29" s="18"/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739</v>
      </c>
      <c r="D30" s="18" t="s">
        <v>740</v>
      </c>
      <c r="E30" s="18" t="s">
        <v>741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672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742</v>
      </c>
      <c r="D31" s="18" t="s">
        <v>743</v>
      </c>
      <c r="E31" s="18" t="s">
        <v>744</v>
      </c>
      <c r="F31" s="18" t="s">
        <v>144</v>
      </c>
      <c r="G31" s="19">
        <v>820</v>
      </c>
      <c r="H31" s="19">
        <v>30</v>
      </c>
      <c r="I31" s="19">
        <f>G31-H31</f>
        <v>790</v>
      </c>
      <c r="J31" s="18" t="s">
        <v>15</v>
      </c>
      <c r="K31" s="18" t="s">
        <v>15</v>
      </c>
      <c r="L31" s="18" t="s">
        <v>672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745</v>
      </c>
      <c r="D32" s="18" t="s">
        <v>746</v>
      </c>
      <c r="E32" s="18" t="s">
        <v>747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15</v>
      </c>
      <c r="K32" s="18" t="s">
        <v>15</v>
      </c>
      <c r="L32" s="18" t="s">
        <v>672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748</v>
      </c>
      <c r="D33" s="18" t="s">
        <v>749</v>
      </c>
      <c r="E33" s="18" t="s">
        <v>750</v>
      </c>
      <c r="F33" s="18" t="s">
        <v>17</v>
      </c>
      <c r="G33" s="19">
        <v>370</v>
      </c>
      <c r="H33" s="19">
        <v>20</v>
      </c>
      <c r="I33" s="19">
        <f>G33-H33</f>
        <v>350</v>
      </c>
      <c r="J33" s="18" t="s">
        <v>160</v>
      </c>
      <c r="K33" s="18" t="s">
        <v>15</v>
      </c>
      <c r="L33" s="18" t="s">
        <v>672</v>
      </c>
      <c r="M33" s="18"/>
      <c r="N33" s="18"/>
      <c r="O33" s="18"/>
      <c r="P33" s="18"/>
      <c r="Q33" s="18">
        <v>1</v>
      </c>
    </row>
    <row r="34" spans="1:18" s="22" customFormat="1" x14ac:dyDescent="0.25">
      <c r="A34" s="20"/>
      <c r="B34" s="20" t="s">
        <v>34</v>
      </c>
      <c r="C34" s="20" t="s">
        <v>399</v>
      </c>
      <c r="D34" s="20" t="s">
        <v>751</v>
      </c>
      <c r="E34" s="20" t="s">
        <v>401</v>
      </c>
      <c r="F34" s="21">
        <v>4</v>
      </c>
      <c r="G34" s="21">
        <v>935</v>
      </c>
      <c r="H34" s="21">
        <v>25</v>
      </c>
      <c r="I34" s="21">
        <f>G34-H34</f>
        <v>910</v>
      </c>
      <c r="J34" s="20" t="s">
        <v>160</v>
      </c>
      <c r="K34" s="20" t="s">
        <v>15</v>
      </c>
      <c r="L34" s="20" t="s">
        <v>672</v>
      </c>
      <c r="M34" s="20" t="s">
        <v>16</v>
      </c>
      <c r="N34" s="20"/>
      <c r="O34" s="20"/>
      <c r="P34" s="20"/>
      <c r="Q34" s="20">
        <v>1</v>
      </c>
    </row>
    <row r="35" spans="1:18" customFormat="1" x14ac:dyDescent="0.25">
      <c r="A35" s="18"/>
      <c r="B35" s="18" t="s">
        <v>34</v>
      </c>
      <c r="C35" s="18" t="s">
        <v>752</v>
      </c>
      <c r="D35" s="18" t="s">
        <v>753</v>
      </c>
      <c r="E35" s="18" t="s">
        <v>754</v>
      </c>
      <c r="F35" s="18" t="s">
        <v>17</v>
      </c>
      <c r="G35" s="19">
        <v>0</v>
      </c>
      <c r="H35" s="19">
        <v>20</v>
      </c>
      <c r="I35" s="19">
        <f>-H35</f>
        <v>-20</v>
      </c>
      <c r="J35" s="18" t="s">
        <v>160</v>
      </c>
      <c r="K35" s="18" t="s">
        <v>15</v>
      </c>
      <c r="L35" s="18" t="s">
        <v>672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755</v>
      </c>
      <c r="D36" s="18" t="s">
        <v>756</v>
      </c>
      <c r="E36" s="18" t="s">
        <v>757</v>
      </c>
      <c r="F36" s="19">
        <v>1</v>
      </c>
      <c r="G36" s="19">
        <v>2010</v>
      </c>
      <c r="H36" s="19">
        <v>30</v>
      </c>
      <c r="I36" s="19">
        <f t="shared" ref="I36:I45" si="2">G36-H36</f>
        <v>1980</v>
      </c>
      <c r="J36" s="18" t="s">
        <v>160</v>
      </c>
      <c r="K36" s="18" t="s">
        <v>15</v>
      </c>
      <c r="L36" s="18" t="s">
        <v>672</v>
      </c>
      <c r="M36" s="27" t="s">
        <v>377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758</v>
      </c>
      <c r="D37" s="18" t="s">
        <v>759</v>
      </c>
      <c r="E37" s="18" t="s">
        <v>760</v>
      </c>
      <c r="F37" s="18" t="s">
        <v>18</v>
      </c>
      <c r="G37" s="19">
        <v>725</v>
      </c>
      <c r="H37" s="19">
        <v>25</v>
      </c>
      <c r="I37" s="19">
        <f t="shared" si="2"/>
        <v>700</v>
      </c>
      <c r="J37" s="18" t="s">
        <v>160</v>
      </c>
      <c r="K37" s="18" t="s">
        <v>15</v>
      </c>
      <c r="L37" s="18" t="s">
        <v>672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761</v>
      </c>
      <c r="D38" s="18" t="s">
        <v>762</v>
      </c>
      <c r="E38" s="18" t="s">
        <v>763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160</v>
      </c>
      <c r="K38" s="18" t="s">
        <v>15</v>
      </c>
      <c r="L38" s="18" t="s">
        <v>672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264</v>
      </c>
      <c r="D39" s="18" t="s">
        <v>764</v>
      </c>
      <c r="E39" s="18" t="s">
        <v>266</v>
      </c>
      <c r="F39" s="18" t="s">
        <v>17</v>
      </c>
      <c r="G39" s="19">
        <v>810</v>
      </c>
      <c r="H39" s="19">
        <v>20</v>
      </c>
      <c r="I39" s="19">
        <f t="shared" si="2"/>
        <v>790</v>
      </c>
      <c r="J39" s="18" t="s">
        <v>160</v>
      </c>
      <c r="K39" s="18" t="s">
        <v>15</v>
      </c>
      <c r="L39" s="18" t="s">
        <v>672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765</v>
      </c>
      <c r="D40" s="18" t="s">
        <v>766</v>
      </c>
      <c r="E40" s="18" t="s">
        <v>767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160</v>
      </c>
      <c r="K40" s="18" t="s">
        <v>15</v>
      </c>
      <c r="L40" s="18" t="s">
        <v>672</v>
      </c>
      <c r="M40" s="27" t="s">
        <v>768</v>
      </c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769</v>
      </c>
      <c r="D41" s="18" t="s">
        <v>770</v>
      </c>
      <c r="E41" s="18" t="s">
        <v>771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160</v>
      </c>
      <c r="K41" s="18" t="s">
        <v>15</v>
      </c>
      <c r="L41" s="18" t="s">
        <v>672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772</v>
      </c>
      <c r="D42" s="18" t="s">
        <v>773</v>
      </c>
      <c r="E42" s="18" t="s">
        <v>774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160</v>
      </c>
      <c r="K42" s="18" t="s">
        <v>15</v>
      </c>
      <c r="L42" s="18" t="s">
        <v>672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775</v>
      </c>
      <c r="D43" s="18" t="s">
        <v>776</v>
      </c>
      <c r="E43" s="18" t="s">
        <v>777</v>
      </c>
      <c r="F43" s="18" t="s">
        <v>17</v>
      </c>
      <c r="G43" s="19">
        <v>710</v>
      </c>
      <c r="H43" s="19">
        <v>20</v>
      </c>
      <c r="I43" s="19">
        <f t="shared" si="2"/>
        <v>690</v>
      </c>
      <c r="J43" s="18" t="s">
        <v>160</v>
      </c>
      <c r="K43" s="18" t="s">
        <v>15</v>
      </c>
      <c r="L43" s="18" t="s">
        <v>672</v>
      </c>
      <c r="M43" s="18"/>
      <c r="N43" s="18"/>
      <c r="O43" s="18"/>
      <c r="P43" s="18"/>
      <c r="Q43" s="18">
        <v>1</v>
      </c>
    </row>
    <row r="44" spans="1:18" s="36" customFormat="1" x14ac:dyDescent="0.25">
      <c r="A44" s="18"/>
      <c r="B44" s="18" t="s">
        <v>34</v>
      </c>
      <c r="C44" s="18" t="s">
        <v>778</v>
      </c>
      <c r="D44" s="18" t="s">
        <v>779</v>
      </c>
      <c r="E44" s="18" t="s">
        <v>780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160</v>
      </c>
      <c r="K44" s="18" t="s">
        <v>15</v>
      </c>
      <c r="L44" s="18" t="s">
        <v>672</v>
      </c>
      <c r="M44" s="18"/>
      <c r="N44" s="18"/>
      <c r="O44" s="18"/>
      <c r="P44" s="18"/>
      <c r="Q44" s="35">
        <v>1</v>
      </c>
    </row>
    <row r="45" spans="1:18" s="41" customFormat="1" x14ac:dyDescent="0.25">
      <c r="A45" s="37"/>
      <c r="B45" s="37" t="s">
        <v>34</v>
      </c>
      <c r="C45" s="37" t="s">
        <v>781</v>
      </c>
      <c r="D45" s="37" t="s">
        <v>782</v>
      </c>
      <c r="E45" s="37" t="s">
        <v>783</v>
      </c>
      <c r="F45" s="37" t="s">
        <v>784</v>
      </c>
      <c r="G45" s="38">
        <v>360</v>
      </c>
      <c r="H45" s="38">
        <v>0</v>
      </c>
      <c r="I45" s="38">
        <f t="shared" si="2"/>
        <v>360</v>
      </c>
      <c r="J45" s="37" t="s">
        <v>662</v>
      </c>
      <c r="K45" s="37" t="s">
        <v>15</v>
      </c>
      <c r="L45" s="37" t="s">
        <v>785</v>
      </c>
      <c r="M45" s="39" t="s">
        <v>786</v>
      </c>
      <c r="N45" s="37" t="s">
        <v>787</v>
      </c>
      <c r="O45" s="37"/>
      <c r="P45" s="37" t="s">
        <v>788</v>
      </c>
      <c r="Q45" s="38">
        <v>1</v>
      </c>
      <c r="R45" s="40"/>
    </row>
    <row r="47" spans="1:18" x14ac:dyDescent="0.25">
      <c r="G47" s="1">
        <f t="shared" ref="G47:R47" si="3">SUBTOTAL(9,G3:G46)</f>
        <v>26545</v>
      </c>
      <c r="H47" s="1">
        <f t="shared" si="3"/>
        <v>1165</v>
      </c>
      <c r="I47" s="1">
        <f t="shared" si="3"/>
        <v>25380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0</v>
      </c>
    </row>
    <row r="48" spans="1:18" x14ac:dyDescent="0.25">
      <c r="I48" s="1">
        <v>-710</v>
      </c>
      <c r="J48" s="1" t="s">
        <v>789</v>
      </c>
    </row>
    <row r="51" spans="1:12" ht="20.25" customHeight="1" x14ac:dyDescent="0.3">
      <c r="H51" s="4" t="s">
        <v>668</v>
      </c>
      <c r="I51" s="5" t="s">
        <v>21</v>
      </c>
      <c r="J51" s="6" t="s">
        <v>22</v>
      </c>
    </row>
    <row r="52" spans="1:12" ht="15.75" customHeight="1" x14ac:dyDescent="0.25">
      <c r="H52" s="7" t="s">
        <v>23</v>
      </c>
      <c r="I52" s="8">
        <f>SUM(I46:I50)</f>
        <v>24670</v>
      </c>
      <c r="J52" s="8">
        <f>Q47</f>
        <v>43</v>
      </c>
    </row>
    <row r="53" spans="1:12" x14ac:dyDescent="0.25">
      <c r="H53" s="9" t="s">
        <v>24</v>
      </c>
      <c r="I53" s="10">
        <f>R47</f>
        <v>0</v>
      </c>
      <c r="J53" s="11"/>
    </row>
    <row r="54" spans="1:12" x14ac:dyDescent="0.25">
      <c r="H54" s="9" t="s">
        <v>25</v>
      </c>
      <c r="I54" s="10">
        <f>S46</f>
        <v>0</v>
      </c>
      <c r="J54" s="11"/>
    </row>
    <row r="55" spans="1:12" x14ac:dyDescent="0.25">
      <c r="H55" s="9" t="s">
        <v>26</v>
      </c>
      <c r="I55" s="10">
        <f>T46</f>
        <v>0</v>
      </c>
      <c r="J55" s="11"/>
    </row>
    <row r="56" spans="1:12" x14ac:dyDescent="0.25">
      <c r="H56" s="9" t="s">
        <v>27</v>
      </c>
      <c r="I56" s="10">
        <f>U46</f>
        <v>0</v>
      </c>
      <c r="J56" s="11"/>
    </row>
    <row r="57" spans="1:12" ht="15.75" customHeight="1" x14ac:dyDescent="0.25">
      <c r="H57" s="12" t="s">
        <v>28</v>
      </c>
      <c r="I57" s="13"/>
      <c r="J57" s="13"/>
    </row>
    <row r="58" spans="1:12" ht="15.75" customHeight="1" x14ac:dyDescent="0.25">
      <c r="H58" s="14" t="s">
        <v>29</v>
      </c>
      <c r="I58" s="13"/>
      <c r="J58" s="13"/>
    </row>
    <row r="59" spans="1:12" ht="21" customHeight="1" x14ac:dyDescent="0.35">
      <c r="H59" s="15" t="s">
        <v>30</v>
      </c>
      <c r="I59" s="16">
        <f>SUM(I52:I58)</f>
        <v>24670</v>
      </c>
      <c r="J59" s="16">
        <f>SUM(J52:J56)</f>
        <v>43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765</v>
      </c>
      <c r="C63" s="24" t="s">
        <v>766</v>
      </c>
      <c r="D63" s="24" t="s">
        <v>767</v>
      </c>
      <c r="E63" s="25">
        <v>10</v>
      </c>
      <c r="F63" s="25">
        <v>1935</v>
      </c>
      <c r="G63" s="25">
        <v>0</v>
      </c>
      <c r="H63" s="25">
        <f t="shared" ref="H63" si="4">F63-G63</f>
        <v>1935</v>
      </c>
      <c r="I63" s="24" t="s">
        <v>160</v>
      </c>
      <c r="J63" s="24" t="s">
        <v>15</v>
      </c>
      <c r="K63" s="24" t="s">
        <v>672</v>
      </c>
      <c r="L63" s="26" t="s">
        <v>768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2BC-03C6-489C-8EEF-A37F190B53E9}">
  <dimension ref="A1:R53"/>
  <sheetViews>
    <sheetView topLeftCell="A40" workbookViewId="0">
      <selection activeCell="E34" sqref="E3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102</v>
      </c>
      <c r="C1" s="1" t="s">
        <v>791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260</v>
      </c>
      <c r="D3" s="18"/>
      <c r="E3" s="18" t="s">
        <v>261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793</v>
      </c>
      <c r="K3" s="18" t="s">
        <v>15</v>
      </c>
      <c r="L3" s="18" t="s">
        <v>794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795</v>
      </c>
      <c r="D4" s="18" t="s">
        <v>796</v>
      </c>
      <c r="E4" s="18" t="s">
        <v>797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793</v>
      </c>
      <c r="K4" s="18" t="s">
        <v>15</v>
      </c>
      <c r="L4" s="18" t="s">
        <v>794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798</v>
      </c>
      <c r="D5" s="18" t="s">
        <v>799</v>
      </c>
      <c r="E5" s="18" t="s">
        <v>800</v>
      </c>
      <c r="F5" s="18" t="s">
        <v>212</v>
      </c>
      <c r="G5" s="19">
        <v>0</v>
      </c>
      <c r="H5" s="19">
        <v>25</v>
      </c>
      <c r="I5" s="19">
        <f>-H5</f>
        <v>-25</v>
      </c>
      <c r="J5" s="18" t="s">
        <v>793</v>
      </c>
      <c r="K5" s="18" t="s">
        <v>15</v>
      </c>
      <c r="L5" s="18" t="s">
        <v>794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801</v>
      </c>
      <c r="D6" s="18" t="s">
        <v>802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793</v>
      </c>
      <c r="K6" s="18" t="s">
        <v>15</v>
      </c>
      <c r="L6" s="18" t="s">
        <v>794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803</v>
      </c>
      <c r="D7" s="18" t="s">
        <v>804</v>
      </c>
      <c r="E7" s="18" t="s">
        <v>805</v>
      </c>
      <c r="F7" s="18" t="s">
        <v>212</v>
      </c>
      <c r="G7" s="19">
        <v>1260</v>
      </c>
      <c r="H7" s="19">
        <v>30</v>
      </c>
      <c r="I7" s="19">
        <f t="shared" si="0"/>
        <v>1230</v>
      </c>
      <c r="J7" s="18" t="s">
        <v>793</v>
      </c>
      <c r="K7" s="18" t="s">
        <v>15</v>
      </c>
      <c r="L7" s="18" t="s">
        <v>794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806</v>
      </c>
      <c r="D8" s="18" t="s">
        <v>807</v>
      </c>
      <c r="E8" s="18" t="s">
        <v>808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793</v>
      </c>
      <c r="K8" s="18" t="s">
        <v>15</v>
      </c>
      <c r="L8" s="18" t="s">
        <v>794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809</v>
      </c>
      <c r="D9" s="18" t="s">
        <v>810</v>
      </c>
      <c r="E9" s="18" t="s">
        <v>811</v>
      </c>
      <c r="F9" s="18" t="s">
        <v>38</v>
      </c>
      <c r="G9" s="19">
        <v>820</v>
      </c>
      <c r="H9" s="19">
        <v>30</v>
      </c>
      <c r="I9" s="19">
        <f t="shared" si="0"/>
        <v>790</v>
      </c>
      <c r="J9" s="18" t="s">
        <v>793</v>
      </c>
      <c r="K9" s="18" t="s">
        <v>15</v>
      </c>
      <c r="L9" s="18" t="s">
        <v>794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812</v>
      </c>
      <c r="D10" s="18" t="s">
        <v>813</v>
      </c>
      <c r="E10" s="18" t="s">
        <v>814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793</v>
      </c>
      <c r="K10" s="18" t="s">
        <v>15</v>
      </c>
      <c r="L10" s="18" t="s">
        <v>794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815</v>
      </c>
      <c r="D11" s="18" t="s">
        <v>816</v>
      </c>
      <c r="E11" s="18" t="s">
        <v>817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793</v>
      </c>
      <c r="K11" s="18" t="s">
        <v>15</v>
      </c>
      <c r="L11" s="18" t="s">
        <v>794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818</v>
      </c>
      <c r="D12" s="18" t="s">
        <v>819</v>
      </c>
      <c r="E12" s="18" t="s">
        <v>820</v>
      </c>
      <c r="F12" s="18" t="s">
        <v>18</v>
      </c>
      <c r="G12" s="19">
        <v>0</v>
      </c>
      <c r="H12" s="19">
        <v>25</v>
      </c>
      <c r="I12" s="19">
        <f>-H12</f>
        <v>-25</v>
      </c>
      <c r="J12" s="18" t="s">
        <v>793</v>
      </c>
      <c r="K12" s="18" t="s">
        <v>15</v>
      </c>
      <c r="L12" s="18" t="s">
        <v>794</v>
      </c>
      <c r="M12" s="18"/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821</v>
      </c>
      <c r="D13" s="18" t="s">
        <v>822</v>
      </c>
      <c r="E13" s="18" t="s">
        <v>823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793</v>
      </c>
      <c r="K13" s="18" t="s">
        <v>15</v>
      </c>
      <c r="L13" s="18" t="s">
        <v>794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824</v>
      </c>
      <c r="D14" s="18" t="s">
        <v>825</v>
      </c>
      <c r="E14" s="18" t="s">
        <v>826</v>
      </c>
      <c r="F14" s="18" t="s">
        <v>38</v>
      </c>
      <c r="G14" s="19">
        <v>470</v>
      </c>
      <c r="H14" s="19">
        <v>30</v>
      </c>
      <c r="I14" s="19">
        <f>G14-H14</f>
        <v>440</v>
      </c>
      <c r="J14" s="18" t="s">
        <v>793</v>
      </c>
      <c r="K14" s="18" t="s">
        <v>15</v>
      </c>
      <c r="L14" s="18" t="s">
        <v>794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827</v>
      </c>
      <c r="D15" s="18" t="s">
        <v>828</v>
      </c>
      <c r="E15" s="18" t="s">
        <v>829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793</v>
      </c>
      <c r="K15" s="18" t="s">
        <v>15</v>
      </c>
      <c r="L15" s="18" t="s">
        <v>794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830</v>
      </c>
      <c r="D16" s="18" t="s">
        <v>831</v>
      </c>
      <c r="E16" s="18" t="s">
        <v>832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793</v>
      </c>
      <c r="K16" s="18" t="s">
        <v>15</v>
      </c>
      <c r="L16" s="18" t="s">
        <v>794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833</v>
      </c>
      <c r="D17" s="18" t="s">
        <v>834</v>
      </c>
      <c r="E17" s="18" t="s">
        <v>835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793</v>
      </c>
      <c r="K17" s="18" t="s">
        <v>15</v>
      </c>
      <c r="L17" s="18" t="s">
        <v>794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586</v>
      </c>
      <c r="D18" s="18"/>
      <c r="E18" s="18" t="s">
        <v>587</v>
      </c>
      <c r="F18" s="18" t="s">
        <v>144</v>
      </c>
      <c r="G18" s="19">
        <v>2135</v>
      </c>
      <c r="H18" s="19">
        <v>35</v>
      </c>
      <c r="I18" s="19">
        <f>G18-H18</f>
        <v>2100</v>
      </c>
      <c r="J18" s="18" t="s">
        <v>15</v>
      </c>
      <c r="K18" s="18" t="s">
        <v>15</v>
      </c>
      <c r="L18" s="18" t="s">
        <v>794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836</v>
      </c>
      <c r="D19" s="18" t="s">
        <v>837</v>
      </c>
      <c r="E19" s="18" t="s">
        <v>838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15</v>
      </c>
      <c r="K19" s="18" t="s">
        <v>15</v>
      </c>
      <c r="L19" s="18" t="s">
        <v>794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839</v>
      </c>
      <c r="D20" s="18" t="s">
        <v>840</v>
      </c>
      <c r="E20" s="18" t="s">
        <v>841</v>
      </c>
      <c r="F20" s="18" t="s">
        <v>20</v>
      </c>
      <c r="G20" s="19">
        <v>815</v>
      </c>
      <c r="H20" s="19">
        <v>25</v>
      </c>
      <c r="I20" s="19">
        <f>G20-H20</f>
        <v>790</v>
      </c>
      <c r="J20" s="18" t="s">
        <v>15</v>
      </c>
      <c r="K20" s="18" t="s">
        <v>15</v>
      </c>
      <c r="L20" s="18" t="s">
        <v>794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842</v>
      </c>
      <c r="D21" s="18" t="s">
        <v>843</v>
      </c>
      <c r="E21" s="18" t="s">
        <v>844</v>
      </c>
      <c r="F21" s="18" t="s">
        <v>18</v>
      </c>
      <c r="G21" s="19">
        <v>0</v>
      </c>
      <c r="H21" s="19">
        <v>25</v>
      </c>
      <c r="I21" s="19">
        <f>-H21</f>
        <v>-25</v>
      </c>
      <c r="J21" s="18" t="s">
        <v>15</v>
      </c>
      <c r="K21" s="18" t="s">
        <v>15</v>
      </c>
      <c r="L21" s="18" t="s">
        <v>794</v>
      </c>
      <c r="M21" s="18"/>
      <c r="N21" s="18"/>
      <c r="O21" s="18"/>
      <c r="P21" s="18"/>
      <c r="Q21" s="18">
        <v>1</v>
      </c>
      <c r="R21" s="17">
        <f>H21</f>
        <v>25</v>
      </c>
    </row>
    <row r="22" spans="1:18" customFormat="1" x14ac:dyDescent="0.25">
      <c r="A22" s="18"/>
      <c r="B22" s="18" t="s">
        <v>34</v>
      </c>
      <c r="C22" s="18" t="s">
        <v>845</v>
      </c>
      <c r="D22" s="18" t="s">
        <v>846</v>
      </c>
      <c r="E22" s="18" t="s">
        <v>847</v>
      </c>
      <c r="F22" s="18" t="s">
        <v>144</v>
      </c>
      <c r="G22" s="19">
        <v>730</v>
      </c>
      <c r="H22" s="19">
        <v>30</v>
      </c>
      <c r="I22" s="19">
        <f>G22-H22</f>
        <v>700</v>
      </c>
      <c r="J22" s="18" t="s">
        <v>15</v>
      </c>
      <c r="K22" s="18" t="s">
        <v>15</v>
      </c>
      <c r="L22" s="18" t="s">
        <v>794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848</v>
      </c>
      <c r="D23" s="18" t="s">
        <v>849</v>
      </c>
      <c r="E23" s="18" t="s">
        <v>850</v>
      </c>
      <c r="F23" s="18" t="s">
        <v>20</v>
      </c>
      <c r="G23" s="19">
        <v>1345</v>
      </c>
      <c r="H23" s="19">
        <v>25</v>
      </c>
      <c r="I23" s="19">
        <f>G23-H23</f>
        <v>1320</v>
      </c>
      <c r="J23" s="18" t="s">
        <v>15</v>
      </c>
      <c r="K23" s="18" t="s">
        <v>15</v>
      </c>
      <c r="L23" s="18" t="s">
        <v>794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851</v>
      </c>
      <c r="D24" s="18" t="s">
        <v>852</v>
      </c>
      <c r="E24" s="18" t="s">
        <v>853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15</v>
      </c>
      <c r="K24" s="18" t="s">
        <v>15</v>
      </c>
      <c r="L24" s="18" t="s">
        <v>794</v>
      </c>
      <c r="M24" s="18"/>
      <c r="N24" s="18"/>
      <c r="O24" s="18"/>
      <c r="P24" s="18"/>
      <c r="Q24" s="18">
        <v>1</v>
      </c>
      <c r="R24" s="17">
        <f t="shared" ref="R24:R25" si="1">H24</f>
        <v>25</v>
      </c>
    </row>
    <row r="25" spans="1:18" customFormat="1" x14ac:dyDescent="0.25">
      <c r="A25" s="18"/>
      <c r="B25" s="18" t="s">
        <v>34</v>
      </c>
      <c r="C25" s="18" t="s">
        <v>854</v>
      </c>
      <c r="D25" s="18" t="s">
        <v>855</v>
      </c>
      <c r="E25" s="18" t="s">
        <v>856</v>
      </c>
      <c r="F25" s="18" t="s">
        <v>20</v>
      </c>
      <c r="G25" s="19">
        <v>0</v>
      </c>
      <c r="H25" s="19">
        <v>25</v>
      </c>
      <c r="I25" s="19">
        <f>-H25</f>
        <v>-25</v>
      </c>
      <c r="J25" s="18" t="s">
        <v>15</v>
      </c>
      <c r="K25" s="18" t="s">
        <v>15</v>
      </c>
      <c r="L25" s="18" t="s">
        <v>794</v>
      </c>
      <c r="M25" s="18"/>
      <c r="N25" s="18"/>
      <c r="O25" s="18"/>
      <c r="P25" s="18"/>
      <c r="Q25" s="18">
        <v>1</v>
      </c>
      <c r="R25" s="17">
        <f t="shared" si="1"/>
        <v>25</v>
      </c>
    </row>
    <row r="26" spans="1:18" customFormat="1" x14ac:dyDescent="0.25">
      <c r="A26" s="18"/>
      <c r="B26" s="18" t="s">
        <v>34</v>
      </c>
      <c r="C26" s="18" t="s">
        <v>857</v>
      </c>
      <c r="D26" s="18" t="s">
        <v>858</v>
      </c>
      <c r="E26" s="18" t="s">
        <v>859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15</v>
      </c>
      <c r="K26" s="18" t="s">
        <v>15</v>
      </c>
      <c r="L26" s="18" t="s">
        <v>794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860</v>
      </c>
      <c r="D27" s="18" t="s">
        <v>861</v>
      </c>
      <c r="E27" s="18" t="s">
        <v>862</v>
      </c>
      <c r="F27" s="18" t="s">
        <v>19</v>
      </c>
      <c r="G27" s="19">
        <v>1110</v>
      </c>
      <c r="H27" s="19">
        <v>20</v>
      </c>
      <c r="I27" s="19">
        <f>G27-H27</f>
        <v>1090</v>
      </c>
      <c r="J27" s="18" t="s">
        <v>15</v>
      </c>
      <c r="K27" s="18" t="s">
        <v>15</v>
      </c>
      <c r="L27" s="18" t="s">
        <v>794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444</v>
      </c>
      <c r="D28" s="18" t="s">
        <v>863</v>
      </c>
      <c r="E28" s="18" t="s">
        <v>446</v>
      </c>
      <c r="F28" s="18" t="s">
        <v>18</v>
      </c>
      <c r="G28" s="19">
        <v>815</v>
      </c>
      <c r="H28" s="19">
        <v>25</v>
      </c>
      <c r="I28" s="19">
        <f>G28-H28</f>
        <v>790</v>
      </c>
      <c r="J28" s="18" t="s">
        <v>15</v>
      </c>
      <c r="K28" s="18" t="s">
        <v>15</v>
      </c>
      <c r="L28" s="18" t="s">
        <v>794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864</v>
      </c>
      <c r="D29" s="18" t="s">
        <v>865</v>
      </c>
      <c r="E29" s="18" t="s">
        <v>866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160</v>
      </c>
      <c r="K29" s="18" t="s">
        <v>15</v>
      </c>
      <c r="L29" s="18" t="s">
        <v>794</v>
      </c>
      <c r="M29" s="18"/>
      <c r="N29" s="18"/>
      <c r="O29" s="18"/>
      <c r="P29" s="18"/>
      <c r="Q29" s="18">
        <v>1</v>
      </c>
      <c r="R29" s="17">
        <f>H29</f>
        <v>25</v>
      </c>
    </row>
    <row r="30" spans="1:18" customFormat="1" x14ac:dyDescent="0.25">
      <c r="A30" s="18"/>
      <c r="B30" s="18" t="s">
        <v>34</v>
      </c>
      <c r="C30" s="18" t="s">
        <v>867</v>
      </c>
      <c r="D30" s="18" t="s">
        <v>868</v>
      </c>
      <c r="E30" s="18" t="s">
        <v>869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160</v>
      </c>
      <c r="K30" s="18" t="s">
        <v>15</v>
      </c>
      <c r="L30" s="18" t="s">
        <v>794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870</v>
      </c>
      <c r="D31" s="18" t="s">
        <v>871</v>
      </c>
      <c r="E31" s="18" t="s">
        <v>872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160</v>
      </c>
      <c r="K31" s="18" t="s">
        <v>15</v>
      </c>
      <c r="L31" s="18" t="s">
        <v>794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873</v>
      </c>
      <c r="D32" s="18" t="s">
        <v>874</v>
      </c>
      <c r="E32" s="18" t="s">
        <v>875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160</v>
      </c>
      <c r="K32" s="18" t="s">
        <v>15</v>
      </c>
      <c r="L32" s="18" t="s">
        <v>794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876</v>
      </c>
      <c r="D33" s="18" t="s">
        <v>877</v>
      </c>
      <c r="E33" s="18" t="s">
        <v>878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160</v>
      </c>
      <c r="K33" s="18" t="s">
        <v>15</v>
      </c>
      <c r="L33" s="18" t="s">
        <v>794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879</v>
      </c>
      <c r="D34" s="18" t="s">
        <v>880</v>
      </c>
      <c r="E34" s="18" t="s">
        <v>881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160</v>
      </c>
      <c r="K34" s="18" t="s">
        <v>15</v>
      </c>
      <c r="L34" s="18" t="s">
        <v>794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882</v>
      </c>
      <c r="D35" s="18" t="s">
        <v>883</v>
      </c>
      <c r="E35" s="18" t="s">
        <v>884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160</v>
      </c>
      <c r="K35" s="18" t="s">
        <v>15</v>
      </c>
      <c r="L35" s="18" t="s">
        <v>794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885</v>
      </c>
      <c r="D36" s="18" t="s">
        <v>886</v>
      </c>
      <c r="E36" s="18" t="s">
        <v>887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160</v>
      </c>
      <c r="K36" s="18" t="s">
        <v>15</v>
      </c>
      <c r="L36" s="18" t="s">
        <v>794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888</v>
      </c>
      <c r="D37" s="18" t="s">
        <v>889</v>
      </c>
      <c r="E37" s="18" t="s">
        <v>890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160</v>
      </c>
      <c r="K37" s="18" t="s">
        <v>15</v>
      </c>
      <c r="L37" s="18" t="s">
        <v>794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891</v>
      </c>
      <c r="D38" s="18" t="s">
        <v>892</v>
      </c>
      <c r="E38" s="18" t="s">
        <v>893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160</v>
      </c>
      <c r="K38" s="18" t="s">
        <v>15</v>
      </c>
      <c r="L38" s="18" t="s">
        <v>794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894</v>
      </c>
      <c r="D39" s="18" t="s">
        <v>895</v>
      </c>
      <c r="E39" s="18" t="s">
        <v>896</v>
      </c>
      <c r="F39" s="18" t="s">
        <v>17</v>
      </c>
      <c r="G39" s="19">
        <v>530</v>
      </c>
      <c r="H39" s="19">
        <v>20</v>
      </c>
      <c r="I39" s="19">
        <f>G39-H39</f>
        <v>510</v>
      </c>
      <c r="J39" s="18" t="s">
        <v>160</v>
      </c>
      <c r="K39" s="18" t="s">
        <v>15</v>
      </c>
      <c r="L39" s="18" t="s">
        <v>794</v>
      </c>
      <c r="M39" s="18"/>
      <c r="N39" s="18"/>
      <c r="O39" s="18"/>
      <c r="P39" s="18"/>
      <c r="Q39" s="18">
        <v>1</v>
      </c>
    </row>
    <row r="41" spans="1:18" x14ac:dyDescent="0.25">
      <c r="G41" s="1">
        <f t="shared" ref="G41:R41" si="2">SUBTOTAL(9,G3:G40)</f>
        <v>24970</v>
      </c>
      <c r="H41" s="1">
        <f t="shared" si="2"/>
        <v>985</v>
      </c>
      <c r="I41" s="1">
        <f t="shared" si="2"/>
        <v>23985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255</v>
      </c>
    </row>
    <row r="45" spans="1:18" ht="20.25" customHeight="1" x14ac:dyDescent="0.3">
      <c r="H45" s="4" t="s">
        <v>790</v>
      </c>
      <c r="I45" s="5" t="s">
        <v>21</v>
      </c>
      <c r="J45" s="6" t="s">
        <v>22</v>
      </c>
    </row>
    <row r="46" spans="1:18" ht="15.75" customHeight="1" x14ac:dyDescent="0.25">
      <c r="H46" s="7" t="s">
        <v>23</v>
      </c>
      <c r="I46" s="8">
        <f>SUM(I40:I44)</f>
        <v>23985</v>
      </c>
      <c r="J46" s="8">
        <f>Q41</f>
        <v>37</v>
      </c>
    </row>
    <row r="47" spans="1:18" x14ac:dyDescent="0.25">
      <c r="H47" s="9" t="s">
        <v>24</v>
      </c>
      <c r="I47" s="10">
        <f>R41</f>
        <v>255</v>
      </c>
      <c r="J47" s="11"/>
    </row>
    <row r="48" spans="1:18" x14ac:dyDescent="0.25">
      <c r="H48" s="9" t="s">
        <v>25</v>
      </c>
      <c r="I48" s="10">
        <f>S40</f>
        <v>0</v>
      </c>
      <c r="J48" s="11"/>
    </row>
    <row r="49" spans="8:10" x14ac:dyDescent="0.25">
      <c r="H49" s="9" t="s">
        <v>26</v>
      </c>
      <c r="I49" s="10">
        <f>T40</f>
        <v>0</v>
      </c>
      <c r="J49" s="11"/>
    </row>
    <row r="50" spans="8:10" x14ac:dyDescent="0.25">
      <c r="H50" s="9" t="s">
        <v>27</v>
      </c>
      <c r="I50" s="10">
        <f>U40</f>
        <v>0</v>
      </c>
      <c r="J50" s="11"/>
    </row>
    <row r="51" spans="8:10" ht="15.75" customHeight="1" x14ac:dyDescent="0.25">
      <c r="H51" s="12" t="s">
        <v>28</v>
      </c>
      <c r="I51" s="13"/>
      <c r="J51" s="13"/>
    </row>
    <row r="52" spans="8:10" ht="15.75" customHeight="1" x14ac:dyDescent="0.25">
      <c r="H52" s="14" t="s">
        <v>29</v>
      </c>
      <c r="I52" s="13"/>
      <c r="J52" s="13"/>
    </row>
    <row r="53" spans="8:10" ht="21" customHeight="1" x14ac:dyDescent="0.35">
      <c r="H53" s="15" t="s">
        <v>30</v>
      </c>
      <c r="I53" s="16">
        <f>SUM(I46:I52)</f>
        <v>24240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D406-DBFB-4835-94EA-D8478D651C34}">
  <dimension ref="A1:R74"/>
  <sheetViews>
    <sheetView topLeftCell="A49" zoomScaleNormal="100" workbookViewId="0">
      <selection activeCell="M68" sqref="M68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316</v>
      </c>
      <c r="C1" s="1" t="s">
        <v>898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899</v>
      </c>
      <c r="D3" s="18" t="s">
        <v>900</v>
      </c>
      <c r="E3" s="18" t="s">
        <v>901</v>
      </c>
      <c r="F3" s="18" t="s">
        <v>38</v>
      </c>
      <c r="G3" s="19">
        <v>720</v>
      </c>
      <c r="H3" s="19">
        <v>30</v>
      </c>
      <c r="I3" s="19">
        <f t="shared" ref="I3:I26" si="0">G3-H3</f>
        <v>690</v>
      </c>
      <c r="J3" s="18" t="s">
        <v>902</v>
      </c>
      <c r="K3" s="18" t="s">
        <v>15</v>
      </c>
      <c r="L3" s="18" t="s">
        <v>903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904</v>
      </c>
      <c r="D4" s="18" t="s">
        <v>905</v>
      </c>
      <c r="E4" s="18" t="s">
        <v>906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902</v>
      </c>
      <c r="K4" s="18" t="s">
        <v>15</v>
      </c>
      <c r="L4" s="18" t="s">
        <v>903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907</v>
      </c>
      <c r="D5" s="18" t="s">
        <v>908</v>
      </c>
      <c r="E5" s="18" t="s">
        <v>909</v>
      </c>
      <c r="F5" s="18" t="s">
        <v>18</v>
      </c>
      <c r="G5" s="19">
        <v>25</v>
      </c>
      <c r="H5" s="19">
        <v>25</v>
      </c>
      <c r="I5" s="19">
        <f t="shared" si="0"/>
        <v>0</v>
      </c>
      <c r="J5" s="18" t="s">
        <v>902</v>
      </c>
      <c r="K5" s="18" t="s">
        <v>15</v>
      </c>
      <c r="L5" s="18" t="s">
        <v>903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910</v>
      </c>
      <c r="D6" s="18" t="s">
        <v>911</v>
      </c>
      <c r="E6" s="18" t="s">
        <v>912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902</v>
      </c>
      <c r="K6" s="18" t="s">
        <v>15</v>
      </c>
      <c r="L6" s="18" t="s">
        <v>903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913</v>
      </c>
      <c r="D7" s="18" t="s">
        <v>914</v>
      </c>
      <c r="E7" s="18" t="s">
        <v>915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902</v>
      </c>
      <c r="K7" s="18" t="s">
        <v>15</v>
      </c>
      <c r="L7" s="18" t="s">
        <v>903</v>
      </c>
      <c r="M7" s="27" t="s">
        <v>377</v>
      </c>
      <c r="N7" s="18"/>
      <c r="O7" s="18"/>
      <c r="P7" s="18"/>
      <c r="Q7" s="18">
        <v>1</v>
      </c>
      <c r="R7" s="17">
        <f>H7</f>
        <v>40</v>
      </c>
    </row>
    <row r="8" spans="1:18" customFormat="1" x14ac:dyDescent="0.25">
      <c r="A8" s="18"/>
      <c r="B8" s="18" t="s">
        <v>34</v>
      </c>
      <c r="C8" s="18" t="s">
        <v>916</v>
      </c>
      <c r="D8" s="18" t="s">
        <v>917</v>
      </c>
      <c r="E8" s="18" t="s">
        <v>918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902</v>
      </c>
      <c r="K8" s="18" t="s">
        <v>15</v>
      </c>
      <c r="L8" s="18" t="s">
        <v>903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919</v>
      </c>
      <c r="D9" s="18" t="s">
        <v>920</v>
      </c>
      <c r="E9" s="18" t="s">
        <v>921</v>
      </c>
      <c r="F9" s="18" t="s">
        <v>212</v>
      </c>
      <c r="G9" s="19">
        <v>1535</v>
      </c>
      <c r="H9" s="19">
        <v>25</v>
      </c>
      <c r="I9" s="19">
        <f t="shared" si="0"/>
        <v>1510</v>
      </c>
      <c r="J9" s="18" t="s">
        <v>902</v>
      </c>
      <c r="K9" s="18" t="s">
        <v>15</v>
      </c>
      <c r="L9" s="18" t="s">
        <v>903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922</v>
      </c>
      <c r="D10" s="18" t="s">
        <v>923</v>
      </c>
      <c r="E10" s="18" t="s">
        <v>924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902</v>
      </c>
      <c r="K10" s="18" t="s">
        <v>15</v>
      </c>
      <c r="L10" s="18" t="s">
        <v>903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242</v>
      </c>
      <c r="D11" s="18" t="s">
        <v>925</v>
      </c>
      <c r="E11" s="18" t="s">
        <v>926</v>
      </c>
      <c r="F11" s="18" t="s">
        <v>38</v>
      </c>
      <c r="G11" s="19">
        <v>820</v>
      </c>
      <c r="H11" s="19">
        <v>30</v>
      </c>
      <c r="I11" s="19">
        <f t="shared" si="0"/>
        <v>790</v>
      </c>
      <c r="J11" s="18" t="s">
        <v>902</v>
      </c>
      <c r="K11" s="18" t="s">
        <v>15</v>
      </c>
      <c r="L11" s="18" t="s">
        <v>903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927</v>
      </c>
      <c r="D12" s="18" t="s">
        <v>928</v>
      </c>
      <c r="E12" s="18" t="s">
        <v>929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902</v>
      </c>
      <c r="K12" s="18" t="s">
        <v>15</v>
      </c>
      <c r="L12" s="18" t="s">
        <v>903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930</v>
      </c>
      <c r="D13" s="18" t="s">
        <v>931</v>
      </c>
      <c r="E13" s="18" t="s">
        <v>932</v>
      </c>
      <c r="F13" s="18" t="s">
        <v>18</v>
      </c>
      <c r="G13" s="19">
        <v>705</v>
      </c>
      <c r="H13" s="19">
        <v>25</v>
      </c>
      <c r="I13" s="19">
        <f t="shared" si="0"/>
        <v>680</v>
      </c>
      <c r="J13" s="18" t="s">
        <v>902</v>
      </c>
      <c r="K13" s="18" t="s">
        <v>15</v>
      </c>
      <c r="L13" s="18" t="s">
        <v>903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933</v>
      </c>
      <c r="D14" s="18" t="s">
        <v>934</v>
      </c>
      <c r="E14" s="18" t="s">
        <v>935</v>
      </c>
      <c r="F14" s="18" t="s">
        <v>38</v>
      </c>
      <c r="G14" s="19">
        <v>850</v>
      </c>
      <c r="H14" s="19">
        <v>30</v>
      </c>
      <c r="I14" s="19">
        <f t="shared" si="0"/>
        <v>820</v>
      </c>
      <c r="J14" s="18" t="s">
        <v>902</v>
      </c>
      <c r="K14" s="18" t="s">
        <v>15</v>
      </c>
      <c r="L14" s="18" t="s">
        <v>903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936</v>
      </c>
      <c r="D15" s="18" t="s">
        <v>937</v>
      </c>
      <c r="E15" s="18" t="s">
        <v>938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902</v>
      </c>
      <c r="K15" s="18" t="s">
        <v>15</v>
      </c>
      <c r="L15" s="18" t="s">
        <v>903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939</v>
      </c>
      <c r="D16" s="18" t="s">
        <v>940</v>
      </c>
      <c r="E16" s="18" t="s">
        <v>941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902</v>
      </c>
      <c r="K16" s="18" t="s">
        <v>15</v>
      </c>
      <c r="L16" s="18" t="s">
        <v>903</v>
      </c>
      <c r="M16" s="18"/>
      <c r="N16" s="18"/>
      <c r="O16" s="18"/>
      <c r="P16" s="18"/>
      <c r="Q16" s="18">
        <v>1</v>
      </c>
    </row>
    <row r="17" spans="1:18" customFormat="1" x14ac:dyDescent="0.25">
      <c r="A17" s="18" t="s">
        <v>96</v>
      </c>
      <c r="B17" s="18" t="s">
        <v>34</v>
      </c>
      <c r="C17" s="18" t="s">
        <v>942</v>
      </c>
      <c r="D17" s="18"/>
      <c r="E17" s="18" t="s">
        <v>943</v>
      </c>
      <c r="F17" s="18" t="s">
        <v>18</v>
      </c>
      <c r="G17" s="19">
        <v>30</v>
      </c>
      <c r="H17" s="19">
        <v>30</v>
      </c>
      <c r="I17" s="19">
        <f t="shared" si="0"/>
        <v>0</v>
      </c>
      <c r="J17" s="18" t="s">
        <v>15</v>
      </c>
      <c r="K17" s="18" t="s">
        <v>15</v>
      </c>
      <c r="L17" s="18" t="s">
        <v>903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640</v>
      </c>
      <c r="D18" s="18"/>
      <c r="E18" s="18" t="s">
        <v>641</v>
      </c>
      <c r="F18" s="18" t="s">
        <v>20</v>
      </c>
      <c r="G18" s="19">
        <v>3050</v>
      </c>
      <c r="H18" s="19">
        <v>30</v>
      </c>
      <c r="I18" s="19">
        <f t="shared" si="0"/>
        <v>3020</v>
      </c>
      <c r="J18" s="18" t="s">
        <v>15</v>
      </c>
      <c r="K18" s="18" t="s">
        <v>15</v>
      </c>
      <c r="L18" s="18" t="s">
        <v>903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944</v>
      </c>
      <c r="D19" s="18"/>
      <c r="E19" s="18" t="s">
        <v>945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15</v>
      </c>
      <c r="K19" s="18" t="s">
        <v>15</v>
      </c>
      <c r="L19" s="18" t="s">
        <v>903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341</v>
      </c>
      <c r="D20" s="18"/>
      <c r="E20" s="18" t="s">
        <v>946</v>
      </c>
      <c r="F20" s="18" t="s">
        <v>20</v>
      </c>
      <c r="G20" s="19">
        <v>845</v>
      </c>
      <c r="H20" s="19">
        <v>25</v>
      </c>
      <c r="I20" s="19">
        <f t="shared" si="0"/>
        <v>820</v>
      </c>
      <c r="J20" s="18" t="s">
        <v>15</v>
      </c>
      <c r="K20" s="18" t="s">
        <v>15</v>
      </c>
      <c r="L20" s="18" t="s">
        <v>903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947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15</v>
      </c>
      <c r="K21" s="18" t="s">
        <v>15</v>
      </c>
      <c r="L21" s="18" t="s">
        <v>903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948</v>
      </c>
      <c r="D22" s="18" t="s">
        <v>949</v>
      </c>
      <c r="E22" s="18" t="s">
        <v>950</v>
      </c>
      <c r="F22" s="18" t="s">
        <v>19</v>
      </c>
      <c r="G22" s="19">
        <v>1570</v>
      </c>
      <c r="H22" s="19">
        <v>20</v>
      </c>
      <c r="I22" s="19">
        <f t="shared" si="0"/>
        <v>1550</v>
      </c>
      <c r="J22" s="18" t="s">
        <v>15</v>
      </c>
      <c r="K22" s="18" t="s">
        <v>15</v>
      </c>
      <c r="L22" s="18" t="s">
        <v>903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951</v>
      </c>
      <c r="D23" s="18" t="s">
        <v>952</v>
      </c>
      <c r="E23" s="18" t="s">
        <v>953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15</v>
      </c>
      <c r="K23" s="18" t="s">
        <v>15</v>
      </c>
      <c r="L23" s="18" t="s">
        <v>903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857</v>
      </c>
      <c r="D24" s="18" t="s">
        <v>954</v>
      </c>
      <c r="E24" s="18" t="s">
        <v>859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15</v>
      </c>
      <c r="K24" s="18" t="s">
        <v>15</v>
      </c>
      <c r="L24" s="18" t="s">
        <v>903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955</v>
      </c>
      <c r="E25" s="18" t="s">
        <v>140</v>
      </c>
      <c r="F25" s="18" t="s">
        <v>19</v>
      </c>
      <c r="G25" s="19">
        <v>2670</v>
      </c>
      <c r="H25" s="19">
        <v>25</v>
      </c>
      <c r="I25" s="19">
        <f t="shared" si="0"/>
        <v>2645</v>
      </c>
      <c r="J25" s="18" t="s">
        <v>15</v>
      </c>
      <c r="K25" s="18" t="s">
        <v>15</v>
      </c>
      <c r="L25" s="18" t="s">
        <v>903</v>
      </c>
      <c r="M25" s="27" t="s">
        <v>377</v>
      </c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356</v>
      </c>
      <c r="D26" s="18" t="s">
        <v>956</v>
      </c>
      <c r="E26" s="18" t="s">
        <v>957</v>
      </c>
      <c r="F26" s="18" t="s">
        <v>20</v>
      </c>
      <c r="G26" s="19">
        <v>865</v>
      </c>
      <c r="H26" s="19">
        <v>25</v>
      </c>
      <c r="I26" s="19">
        <f t="shared" si="0"/>
        <v>840</v>
      </c>
      <c r="J26" s="18" t="s">
        <v>15</v>
      </c>
      <c r="K26" s="18" t="s">
        <v>15</v>
      </c>
      <c r="L26" s="18" t="s">
        <v>903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958</v>
      </c>
      <c r="D27" s="18" t="s">
        <v>959</v>
      </c>
      <c r="E27" s="18" t="s">
        <v>960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903</v>
      </c>
      <c r="M27" s="26" t="s">
        <v>961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962</v>
      </c>
      <c r="D28" s="18" t="s">
        <v>963</v>
      </c>
      <c r="E28" s="18" t="s">
        <v>964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15</v>
      </c>
      <c r="K28" s="18" t="s">
        <v>15</v>
      </c>
      <c r="L28" s="18" t="s">
        <v>903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965</v>
      </c>
      <c r="D29" s="18" t="s">
        <v>966</v>
      </c>
      <c r="E29" s="18" t="s">
        <v>967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15</v>
      </c>
      <c r="K29" s="18" t="s">
        <v>15</v>
      </c>
      <c r="L29" s="18" t="s">
        <v>903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968</v>
      </c>
      <c r="D30" s="18" t="s">
        <v>969</v>
      </c>
      <c r="E30" s="18" t="s">
        <v>970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15</v>
      </c>
      <c r="K30" s="18" t="s">
        <v>15</v>
      </c>
      <c r="L30" s="18" t="s">
        <v>903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971</v>
      </c>
      <c r="D31" s="18" t="s">
        <v>972</v>
      </c>
      <c r="E31" s="18" t="s">
        <v>973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15</v>
      </c>
      <c r="K31" s="18" t="s">
        <v>15</v>
      </c>
      <c r="L31" s="18" t="s">
        <v>903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974</v>
      </c>
      <c r="D32" s="18" t="s">
        <v>975</v>
      </c>
      <c r="E32" s="18" t="s">
        <v>976</v>
      </c>
      <c r="F32" s="18" t="s">
        <v>18</v>
      </c>
      <c r="G32" s="19">
        <v>845</v>
      </c>
      <c r="H32" s="19">
        <v>25</v>
      </c>
      <c r="I32" s="19">
        <f t="shared" si="1"/>
        <v>820</v>
      </c>
      <c r="J32" s="18" t="s">
        <v>15</v>
      </c>
      <c r="K32" s="18" t="s">
        <v>15</v>
      </c>
      <c r="L32" s="18" t="s">
        <v>903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977</v>
      </c>
      <c r="D33" s="18" t="s">
        <v>978</v>
      </c>
      <c r="E33" s="18" t="s">
        <v>979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15</v>
      </c>
      <c r="K33" s="18" t="s">
        <v>15</v>
      </c>
      <c r="L33" s="18" t="s">
        <v>903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980</v>
      </c>
      <c r="D34" s="18" t="s">
        <v>981</v>
      </c>
      <c r="E34" s="18" t="s">
        <v>982</v>
      </c>
      <c r="F34" s="18" t="s">
        <v>20</v>
      </c>
      <c r="G34" s="19">
        <v>0</v>
      </c>
      <c r="H34" s="19">
        <v>25</v>
      </c>
      <c r="I34" s="19">
        <f t="shared" si="1"/>
        <v>-25</v>
      </c>
      <c r="J34" s="18" t="s">
        <v>15</v>
      </c>
      <c r="K34" s="18" t="s">
        <v>15</v>
      </c>
      <c r="L34" s="18" t="s">
        <v>903</v>
      </c>
      <c r="M34" s="26" t="s">
        <v>983</v>
      </c>
      <c r="N34" s="18"/>
      <c r="O34" s="18"/>
      <c r="P34" s="18"/>
      <c r="Q34" s="18">
        <v>1</v>
      </c>
      <c r="R34" s="17">
        <f t="shared" ref="R34:R35" si="2">H34</f>
        <v>25</v>
      </c>
    </row>
    <row r="35" spans="1:18" customFormat="1" x14ac:dyDescent="0.25">
      <c r="A35" s="18"/>
      <c r="B35" s="18" t="s">
        <v>34</v>
      </c>
      <c r="C35" s="18" t="s">
        <v>984</v>
      </c>
      <c r="D35" s="18" t="s">
        <v>985</v>
      </c>
      <c r="E35" s="18" t="s">
        <v>986</v>
      </c>
      <c r="F35" s="18" t="s">
        <v>19</v>
      </c>
      <c r="G35" s="19">
        <v>0</v>
      </c>
      <c r="H35" s="19">
        <v>20</v>
      </c>
      <c r="I35" s="19">
        <f>-H35</f>
        <v>-20</v>
      </c>
      <c r="J35" s="18" t="s">
        <v>15</v>
      </c>
      <c r="K35" s="18" t="s">
        <v>15</v>
      </c>
      <c r="L35" s="18" t="s">
        <v>903</v>
      </c>
      <c r="M35" s="18"/>
      <c r="N35" s="18"/>
      <c r="O35" s="18"/>
      <c r="P35" s="18"/>
      <c r="Q35" s="18">
        <v>1</v>
      </c>
      <c r="R35" s="17">
        <f t="shared" si="2"/>
        <v>20</v>
      </c>
    </row>
    <row r="36" spans="1:18" customFormat="1" x14ac:dyDescent="0.25">
      <c r="A36" s="18"/>
      <c r="B36" s="18" t="s">
        <v>34</v>
      </c>
      <c r="C36" s="18" t="s">
        <v>987</v>
      </c>
      <c r="D36" s="18" t="s">
        <v>988</v>
      </c>
      <c r="E36" s="18" t="s">
        <v>989</v>
      </c>
      <c r="F36" s="18" t="s">
        <v>18</v>
      </c>
      <c r="G36" s="19">
        <v>2030</v>
      </c>
      <c r="H36" s="19">
        <v>30</v>
      </c>
      <c r="I36" s="19">
        <f t="shared" ref="I36:I44" si="3">G36-H36</f>
        <v>2000</v>
      </c>
      <c r="J36" s="18" t="s">
        <v>15</v>
      </c>
      <c r="K36" s="18" t="s">
        <v>15</v>
      </c>
      <c r="L36" s="18" t="s">
        <v>903</v>
      </c>
      <c r="M36" s="27" t="s">
        <v>377</v>
      </c>
      <c r="N36" s="18"/>
      <c r="O36" s="18"/>
      <c r="P36" s="18"/>
      <c r="Q36" s="18">
        <v>1</v>
      </c>
      <c r="R36" s="17">
        <f>H36</f>
        <v>30</v>
      </c>
    </row>
    <row r="37" spans="1:18" customFormat="1" x14ac:dyDescent="0.25">
      <c r="A37" s="18" t="s">
        <v>96</v>
      </c>
      <c r="B37" s="18" t="s">
        <v>34</v>
      </c>
      <c r="C37" s="18" t="s">
        <v>579</v>
      </c>
      <c r="D37" s="18"/>
      <c r="E37" s="18" t="s">
        <v>580</v>
      </c>
      <c r="F37" s="19">
        <v>4</v>
      </c>
      <c r="G37" s="19">
        <v>30</v>
      </c>
      <c r="H37" s="19">
        <v>30</v>
      </c>
      <c r="I37" s="19">
        <f t="shared" si="3"/>
        <v>0</v>
      </c>
      <c r="J37" s="18" t="s">
        <v>160</v>
      </c>
      <c r="K37" s="18" t="s">
        <v>15</v>
      </c>
      <c r="L37" s="18" t="s">
        <v>903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990</v>
      </c>
      <c r="D38" s="18" t="s">
        <v>991</v>
      </c>
      <c r="E38" s="18" t="s">
        <v>992</v>
      </c>
      <c r="F38" s="19">
        <v>10</v>
      </c>
      <c r="G38" s="19">
        <v>1025</v>
      </c>
      <c r="H38" s="19">
        <v>25</v>
      </c>
      <c r="I38" s="19">
        <f t="shared" si="3"/>
        <v>1000</v>
      </c>
      <c r="J38" s="18" t="s">
        <v>160</v>
      </c>
      <c r="K38" s="18" t="s">
        <v>15</v>
      </c>
      <c r="L38" s="18" t="s">
        <v>903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993</v>
      </c>
      <c r="D39" s="18" t="s">
        <v>994</v>
      </c>
      <c r="E39" s="18" t="s">
        <v>995</v>
      </c>
      <c r="F39" s="18" t="s">
        <v>17</v>
      </c>
      <c r="G39" s="19">
        <v>1110</v>
      </c>
      <c r="H39" s="19">
        <v>20</v>
      </c>
      <c r="I39" s="19">
        <f t="shared" si="3"/>
        <v>1090</v>
      </c>
      <c r="J39" s="18" t="s">
        <v>160</v>
      </c>
      <c r="K39" s="18" t="s">
        <v>15</v>
      </c>
      <c r="L39" s="18" t="s">
        <v>903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996</v>
      </c>
      <c r="D40" s="18" t="s">
        <v>997</v>
      </c>
      <c r="E40" s="18" t="s">
        <v>998</v>
      </c>
      <c r="F40" s="19">
        <v>1</v>
      </c>
      <c r="G40" s="19">
        <v>1355</v>
      </c>
      <c r="H40" s="19">
        <v>25</v>
      </c>
      <c r="I40" s="19">
        <f t="shared" si="3"/>
        <v>1330</v>
      </c>
      <c r="J40" s="18" t="s">
        <v>160</v>
      </c>
      <c r="K40" s="18" t="s">
        <v>15</v>
      </c>
      <c r="L40" s="18" t="s">
        <v>903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999</v>
      </c>
      <c r="D41" s="18" t="s">
        <v>1000</v>
      </c>
      <c r="E41" s="18" t="s">
        <v>1001</v>
      </c>
      <c r="F41" s="18" t="s">
        <v>18</v>
      </c>
      <c r="G41" s="19">
        <v>945</v>
      </c>
      <c r="H41" s="19">
        <v>25</v>
      </c>
      <c r="I41" s="19">
        <f t="shared" si="3"/>
        <v>920</v>
      </c>
      <c r="J41" s="18" t="s">
        <v>160</v>
      </c>
      <c r="K41" s="18" t="s">
        <v>15</v>
      </c>
      <c r="L41" s="18" t="s">
        <v>903</v>
      </c>
      <c r="M41" s="27" t="s">
        <v>307</v>
      </c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999</v>
      </c>
      <c r="D42" s="18" t="s">
        <v>1026</v>
      </c>
      <c r="E42" s="18" t="s">
        <v>1001</v>
      </c>
      <c r="F42" s="18" t="s">
        <v>18</v>
      </c>
      <c r="G42" s="19">
        <v>785</v>
      </c>
      <c r="H42" s="19">
        <v>0</v>
      </c>
      <c r="I42" s="19">
        <f>G42-H42</f>
        <v>785</v>
      </c>
      <c r="J42" s="18" t="s">
        <v>160</v>
      </c>
      <c r="K42" s="18" t="s">
        <v>15</v>
      </c>
      <c r="L42" s="18" t="s">
        <v>903</v>
      </c>
      <c r="M42" s="27" t="s">
        <v>307</v>
      </c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1002</v>
      </c>
      <c r="D43" s="18" t="s">
        <v>1003</v>
      </c>
      <c r="E43" s="18" t="s">
        <v>1004</v>
      </c>
      <c r="F43" s="18" t="s">
        <v>17</v>
      </c>
      <c r="G43" s="19">
        <v>560</v>
      </c>
      <c r="H43" s="19">
        <v>20</v>
      </c>
      <c r="I43" s="19">
        <f t="shared" si="3"/>
        <v>540</v>
      </c>
      <c r="J43" s="18" t="s">
        <v>160</v>
      </c>
      <c r="K43" s="18" t="s">
        <v>15</v>
      </c>
      <c r="L43" s="18" t="s">
        <v>903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1005</v>
      </c>
      <c r="D44" s="18" t="s">
        <v>1006</v>
      </c>
      <c r="E44" s="18" t="s">
        <v>1007</v>
      </c>
      <c r="F44" s="19">
        <v>1</v>
      </c>
      <c r="G44" s="44">
        <v>790</v>
      </c>
      <c r="H44" s="44">
        <v>30</v>
      </c>
      <c r="I44" s="19">
        <f t="shared" si="3"/>
        <v>760</v>
      </c>
      <c r="J44" s="18" t="s">
        <v>160</v>
      </c>
      <c r="K44" s="18" t="s">
        <v>15</v>
      </c>
      <c r="L44" s="18" t="s">
        <v>903</v>
      </c>
      <c r="M44" s="43" t="s">
        <v>1037</v>
      </c>
      <c r="N44" s="18"/>
      <c r="O44" s="18"/>
      <c r="P44" s="18"/>
      <c r="Q44" s="18">
        <v>1</v>
      </c>
      <c r="R44" s="17">
        <f>H44</f>
        <v>30</v>
      </c>
    </row>
    <row r="45" spans="1:18" customFormat="1" x14ac:dyDescent="0.25">
      <c r="A45" s="18"/>
      <c r="B45" s="18" t="s">
        <v>34</v>
      </c>
      <c r="C45" s="18" t="s">
        <v>1005</v>
      </c>
      <c r="D45" s="18" t="s">
        <v>1025</v>
      </c>
      <c r="E45" s="18" t="s">
        <v>1007</v>
      </c>
      <c r="F45" s="19">
        <v>1</v>
      </c>
      <c r="G45" s="44">
        <v>1330</v>
      </c>
      <c r="H45" s="44">
        <v>0</v>
      </c>
      <c r="I45" s="19">
        <f>G45-H45</f>
        <v>1330</v>
      </c>
      <c r="J45" s="18" t="s">
        <v>160</v>
      </c>
      <c r="K45" s="18" t="s">
        <v>15</v>
      </c>
      <c r="L45" s="18" t="s">
        <v>903</v>
      </c>
      <c r="M45" s="43" t="s">
        <v>307</v>
      </c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338</v>
      </c>
      <c r="D46" s="18" t="s">
        <v>1008</v>
      </c>
      <c r="E46" s="18" t="s">
        <v>340</v>
      </c>
      <c r="F46" s="19">
        <v>3</v>
      </c>
      <c r="G46" s="19">
        <v>0</v>
      </c>
      <c r="H46" s="19">
        <v>25</v>
      </c>
      <c r="I46" s="19">
        <f>-H46</f>
        <v>-25</v>
      </c>
      <c r="J46" s="18" t="s">
        <v>160</v>
      </c>
      <c r="K46" s="18" t="s">
        <v>15</v>
      </c>
      <c r="L46" s="18" t="s">
        <v>903</v>
      </c>
      <c r="M46" s="18"/>
      <c r="N46" s="18"/>
      <c r="O46" s="18"/>
      <c r="P46" s="18"/>
      <c r="Q46" s="18">
        <v>1</v>
      </c>
      <c r="R46" s="17">
        <f t="shared" ref="R46:R48" si="4">H46</f>
        <v>25</v>
      </c>
    </row>
    <row r="47" spans="1:18" customFormat="1" x14ac:dyDescent="0.25">
      <c r="A47" s="18"/>
      <c r="B47" s="18" t="s">
        <v>34</v>
      </c>
      <c r="C47" s="18" t="s">
        <v>1009</v>
      </c>
      <c r="D47" s="18" t="s">
        <v>1010</v>
      </c>
      <c r="E47" s="18" t="s">
        <v>1011</v>
      </c>
      <c r="F47" s="18" t="s">
        <v>18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903</v>
      </c>
      <c r="M47" s="18"/>
      <c r="N47" s="18"/>
      <c r="O47" s="18"/>
      <c r="P47" s="18"/>
      <c r="Q47" s="18">
        <v>1</v>
      </c>
      <c r="R47" s="17">
        <f t="shared" si="4"/>
        <v>25</v>
      </c>
    </row>
    <row r="48" spans="1:18" customFormat="1" x14ac:dyDescent="0.25">
      <c r="A48" s="18"/>
      <c r="B48" s="18" t="s">
        <v>34</v>
      </c>
      <c r="C48" s="18" t="s">
        <v>1012</v>
      </c>
      <c r="D48" s="18" t="s">
        <v>1013</v>
      </c>
      <c r="E48" s="18" t="s">
        <v>1014</v>
      </c>
      <c r="F48" s="19">
        <v>3</v>
      </c>
      <c r="G48" s="19">
        <v>0</v>
      </c>
      <c r="H48" s="19">
        <v>25</v>
      </c>
      <c r="I48" s="19">
        <f>G48-H48</f>
        <v>-25</v>
      </c>
      <c r="J48" s="18" t="s">
        <v>160</v>
      </c>
      <c r="K48" s="18" t="s">
        <v>15</v>
      </c>
      <c r="L48" s="18" t="s">
        <v>903</v>
      </c>
      <c r="M48" s="26" t="s">
        <v>1015</v>
      </c>
      <c r="N48" s="18"/>
      <c r="O48" s="18"/>
      <c r="P48" s="18"/>
      <c r="Q48" s="18">
        <v>1</v>
      </c>
      <c r="R48" s="17">
        <f t="shared" si="4"/>
        <v>25</v>
      </c>
    </row>
    <row r="49" spans="1:18" customFormat="1" x14ac:dyDescent="0.25">
      <c r="A49" s="18"/>
      <c r="B49" s="18" t="s">
        <v>34</v>
      </c>
      <c r="C49" s="18" t="s">
        <v>1016</v>
      </c>
      <c r="D49" s="18" t="s">
        <v>1017</v>
      </c>
      <c r="E49" s="18" t="s">
        <v>1018</v>
      </c>
      <c r="F49" s="19">
        <v>3</v>
      </c>
      <c r="G49" s="19">
        <v>1601</v>
      </c>
      <c r="H49" s="19">
        <v>25</v>
      </c>
      <c r="I49" s="19">
        <f>G49-H49</f>
        <v>1576</v>
      </c>
      <c r="J49" s="18" t="s">
        <v>160</v>
      </c>
      <c r="K49" s="18" t="s">
        <v>15</v>
      </c>
      <c r="L49" s="18" t="s">
        <v>903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1019</v>
      </c>
      <c r="D50" s="18" t="s">
        <v>1020</v>
      </c>
      <c r="E50" s="18" t="s">
        <v>1021</v>
      </c>
      <c r="F50" s="19">
        <v>1</v>
      </c>
      <c r="G50" s="19">
        <v>0</v>
      </c>
      <c r="H50" s="19">
        <v>25</v>
      </c>
      <c r="I50" s="19">
        <f>-H50</f>
        <v>-25</v>
      </c>
      <c r="J50" s="18" t="s">
        <v>160</v>
      </c>
      <c r="K50" s="18" t="s">
        <v>15</v>
      </c>
      <c r="L50" s="18" t="s">
        <v>903</v>
      </c>
      <c r="M50" s="18"/>
      <c r="N50" s="18"/>
      <c r="O50" s="18"/>
      <c r="P50" s="18"/>
      <c r="Q50" s="18">
        <v>1</v>
      </c>
      <c r="R50" s="17">
        <f>H50</f>
        <v>25</v>
      </c>
    </row>
    <row r="51" spans="1:18" customFormat="1" x14ac:dyDescent="0.25">
      <c r="A51" s="18"/>
      <c r="B51" s="18" t="s">
        <v>34</v>
      </c>
      <c r="C51" s="18" t="s">
        <v>1022</v>
      </c>
      <c r="D51" s="18" t="s">
        <v>1023</v>
      </c>
      <c r="E51" s="18" t="s">
        <v>1024</v>
      </c>
      <c r="F51" s="18" t="s">
        <v>18</v>
      </c>
      <c r="G51" s="19">
        <v>0</v>
      </c>
      <c r="H51" s="19">
        <v>25</v>
      </c>
      <c r="I51" s="19">
        <f>G51-H51</f>
        <v>-25</v>
      </c>
      <c r="J51" s="18" t="s">
        <v>160</v>
      </c>
      <c r="K51" s="18" t="s">
        <v>15</v>
      </c>
      <c r="L51" s="18" t="s">
        <v>903</v>
      </c>
      <c r="M51" s="18"/>
      <c r="N51" s="18"/>
      <c r="O51" s="18"/>
      <c r="P51" s="18"/>
      <c r="Q51" s="18">
        <v>1</v>
      </c>
      <c r="R51" s="17">
        <f>H51</f>
        <v>25</v>
      </c>
    </row>
    <row r="52" spans="1:18" customFormat="1" x14ac:dyDescent="0.25">
      <c r="A52" s="18"/>
      <c r="B52" s="18" t="s">
        <v>34</v>
      </c>
      <c r="C52" s="18" t="s">
        <v>1027</v>
      </c>
      <c r="D52" s="18" t="s">
        <v>1028</v>
      </c>
      <c r="E52" s="18" t="s">
        <v>1029</v>
      </c>
      <c r="F52" s="19">
        <v>10</v>
      </c>
      <c r="G52" s="19">
        <v>845</v>
      </c>
      <c r="H52" s="19">
        <v>25</v>
      </c>
      <c r="I52" s="19">
        <f>G52-H52</f>
        <v>820</v>
      </c>
      <c r="J52" s="18" t="s">
        <v>160</v>
      </c>
      <c r="K52" s="18" t="s">
        <v>15</v>
      </c>
      <c r="L52" s="18" t="s">
        <v>903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1030</v>
      </c>
      <c r="D53" s="18" t="s">
        <v>1031</v>
      </c>
      <c r="E53" s="18" t="s">
        <v>1032</v>
      </c>
      <c r="F53" s="19">
        <v>3</v>
      </c>
      <c r="G53" s="19">
        <v>515</v>
      </c>
      <c r="H53" s="19">
        <v>25</v>
      </c>
      <c r="I53" s="19">
        <f>G53-H53</f>
        <v>490</v>
      </c>
      <c r="J53" s="18" t="s">
        <v>160</v>
      </c>
      <c r="K53" s="18" t="s">
        <v>15</v>
      </c>
      <c r="L53" s="18" t="s">
        <v>903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45036</v>
      </c>
      <c r="H55" s="1">
        <f t="shared" si="5"/>
        <v>1335</v>
      </c>
      <c r="I55" s="1">
        <f t="shared" si="5"/>
        <v>43701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320</v>
      </c>
    </row>
    <row r="56" spans="1:18" x14ac:dyDescent="0.25">
      <c r="I56" s="1">
        <v>-210</v>
      </c>
      <c r="J56" s="1" t="s">
        <v>1033</v>
      </c>
    </row>
    <row r="57" spans="1:18" x14ac:dyDescent="0.25">
      <c r="I57" s="1">
        <v>-765</v>
      </c>
      <c r="J57" s="1" t="s">
        <v>1036</v>
      </c>
    </row>
    <row r="59" spans="1:18" ht="20.25" customHeight="1" x14ac:dyDescent="0.3">
      <c r="H59" s="4" t="s">
        <v>897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42726</v>
      </c>
      <c r="J60" s="8">
        <f>Q55</f>
        <v>51</v>
      </c>
    </row>
    <row r="61" spans="1:18" x14ac:dyDescent="0.25">
      <c r="H61" s="9" t="s">
        <v>24</v>
      </c>
      <c r="I61" s="10">
        <f>R55</f>
        <v>320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43046</v>
      </c>
      <c r="J67" s="16">
        <f>SUM(J60:J64)</f>
        <v>51</v>
      </c>
    </row>
    <row r="69" spans="1:12" x14ac:dyDescent="0.25">
      <c r="A69" s="1" t="s">
        <v>1033</v>
      </c>
    </row>
    <row r="70" spans="1:12" x14ac:dyDescent="0.25">
      <c r="A70" s="24" t="s">
        <v>34</v>
      </c>
      <c r="B70" s="24" t="s">
        <v>1034</v>
      </c>
      <c r="C70" s="24"/>
      <c r="D70" s="24" t="s">
        <v>1035</v>
      </c>
      <c r="E70" s="25" t="s">
        <v>17</v>
      </c>
      <c r="F70" s="25">
        <v>210</v>
      </c>
      <c r="G70" s="25">
        <v>0</v>
      </c>
      <c r="H70" s="25">
        <f>F70-G70</f>
        <v>210</v>
      </c>
      <c r="I70" s="24" t="s">
        <v>662</v>
      </c>
      <c r="J70" s="24" t="s">
        <v>15</v>
      </c>
      <c r="K70" s="24"/>
      <c r="L70" s="42"/>
    </row>
    <row r="71" spans="1:12" x14ac:dyDescent="0.25">
      <c r="A71" s="1" t="s">
        <v>173</v>
      </c>
    </row>
    <row r="72" spans="1:12" x14ac:dyDescent="0.25">
      <c r="A72" s="24" t="s">
        <v>34</v>
      </c>
      <c r="B72" s="24" t="s">
        <v>958</v>
      </c>
      <c r="C72" s="24" t="s">
        <v>959</v>
      </c>
      <c r="D72" s="24" t="s">
        <v>960</v>
      </c>
      <c r="E72" s="28" t="s">
        <v>20</v>
      </c>
      <c r="F72" s="25">
        <v>785</v>
      </c>
      <c r="G72" s="25">
        <v>0</v>
      </c>
      <c r="H72" s="25">
        <f>F72-G72</f>
        <v>785</v>
      </c>
      <c r="I72" s="24" t="s">
        <v>15</v>
      </c>
      <c r="J72" s="24" t="s">
        <v>15</v>
      </c>
      <c r="K72" s="24" t="s">
        <v>903</v>
      </c>
      <c r="L72" s="26" t="s">
        <v>961</v>
      </c>
    </row>
    <row r="73" spans="1:12" x14ac:dyDescent="0.25">
      <c r="A73" s="24" t="s">
        <v>34</v>
      </c>
      <c r="B73" s="24" t="s">
        <v>1012</v>
      </c>
      <c r="C73" s="24" t="s">
        <v>1013</v>
      </c>
      <c r="D73" s="24" t="s">
        <v>1014</v>
      </c>
      <c r="E73" s="28">
        <v>3</v>
      </c>
      <c r="F73" s="25">
        <v>465</v>
      </c>
      <c r="G73" s="25">
        <v>0</v>
      </c>
      <c r="H73" s="25">
        <f>F73-G73</f>
        <v>465</v>
      </c>
      <c r="I73" s="24" t="s">
        <v>160</v>
      </c>
      <c r="J73" s="24" t="s">
        <v>15</v>
      </c>
      <c r="K73" s="24" t="s">
        <v>903</v>
      </c>
      <c r="L73" s="26" t="s">
        <v>1015</v>
      </c>
    </row>
    <row r="74" spans="1:12" x14ac:dyDescent="0.25">
      <c r="A74" s="24" t="s">
        <v>34</v>
      </c>
      <c r="B74" s="24" t="s">
        <v>980</v>
      </c>
      <c r="C74" s="24" t="s">
        <v>981</v>
      </c>
      <c r="D74" s="24" t="s">
        <v>982</v>
      </c>
      <c r="E74" s="28" t="s">
        <v>20</v>
      </c>
      <c r="F74" s="25">
        <v>1865</v>
      </c>
      <c r="G74" s="25">
        <v>0</v>
      </c>
      <c r="H74" s="25">
        <f>F74-G74</f>
        <v>1865</v>
      </c>
      <c r="I74" s="24" t="s">
        <v>15</v>
      </c>
      <c r="J74" s="24" t="s">
        <v>15</v>
      </c>
      <c r="K74" s="24" t="s">
        <v>903</v>
      </c>
      <c r="L74" s="26" t="s">
        <v>983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4CC74-A78E-46C3-B51A-6A668A48CD0E}">
  <dimension ref="A1:R57"/>
  <sheetViews>
    <sheetView tabSelected="1" topLeftCell="A4" workbookViewId="0">
      <selection activeCell="J24" sqref="J2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1039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1040</v>
      </c>
      <c r="D3" s="18" t="s">
        <v>1041</v>
      </c>
      <c r="E3" s="18" t="s">
        <v>1042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56</v>
      </c>
      <c r="K3" s="18" t="s">
        <v>15</v>
      </c>
      <c r="L3" s="18" t="s">
        <v>1043</v>
      </c>
      <c r="M3" s="18"/>
      <c r="N3" s="18"/>
      <c r="O3" s="18"/>
      <c r="P3" s="18"/>
      <c r="Q3" s="18">
        <v>1</v>
      </c>
    </row>
    <row r="4" spans="1:18" s="22" customFormat="1" x14ac:dyDescent="0.25">
      <c r="A4" s="20"/>
      <c r="B4" s="20" t="s">
        <v>34</v>
      </c>
      <c r="C4" s="20" t="s">
        <v>680</v>
      </c>
      <c r="D4" s="20" t="s">
        <v>1044</v>
      </c>
      <c r="E4" s="20" t="s">
        <v>682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1045</v>
      </c>
      <c r="K4" s="20" t="s">
        <v>15</v>
      </c>
      <c r="L4" s="20" t="s">
        <v>1043</v>
      </c>
      <c r="M4" s="20" t="s">
        <v>16</v>
      </c>
      <c r="N4" s="20"/>
      <c r="O4" s="20"/>
      <c r="P4" s="20"/>
      <c r="Q4" s="20">
        <v>1</v>
      </c>
      <c r="R4" s="29">
        <f>H4</f>
        <v>25</v>
      </c>
    </row>
    <row r="5" spans="1:18" customFormat="1" x14ac:dyDescent="0.25">
      <c r="A5" s="18"/>
      <c r="B5" s="18" t="s">
        <v>34</v>
      </c>
      <c r="C5" s="18" t="s">
        <v>1046</v>
      </c>
      <c r="D5" s="18" t="s">
        <v>1047</v>
      </c>
      <c r="E5" s="18" t="s">
        <v>1048</v>
      </c>
      <c r="F5" s="18" t="s">
        <v>38</v>
      </c>
      <c r="G5" s="19">
        <v>390</v>
      </c>
      <c r="H5" s="19">
        <v>30</v>
      </c>
      <c r="I5" s="19">
        <f>G5-H5</f>
        <v>360</v>
      </c>
      <c r="J5" s="18" t="s">
        <v>1045</v>
      </c>
      <c r="K5" s="18" t="s">
        <v>15</v>
      </c>
      <c r="L5" s="18" t="s">
        <v>1043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1049</v>
      </c>
      <c r="D6" s="18" t="s">
        <v>1050</v>
      </c>
      <c r="E6" s="18" t="s">
        <v>1051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1045</v>
      </c>
      <c r="K6" s="18" t="s">
        <v>15</v>
      </c>
      <c r="L6" s="18" t="s">
        <v>1043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1052</v>
      </c>
      <c r="D7" s="18" t="s">
        <v>1053</v>
      </c>
      <c r="E7" s="18" t="s">
        <v>1054</v>
      </c>
      <c r="F7" s="18" t="s">
        <v>144</v>
      </c>
      <c r="G7" s="19">
        <v>0</v>
      </c>
      <c r="H7" s="19">
        <v>30</v>
      </c>
      <c r="I7" s="19">
        <f>-H7</f>
        <v>-30</v>
      </c>
      <c r="J7" s="18" t="s">
        <v>1045</v>
      </c>
      <c r="K7" s="18" t="s">
        <v>15</v>
      </c>
      <c r="L7" s="18" t="s">
        <v>1043</v>
      </c>
      <c r="M7" s="18"/>
      <c r="N7" s="18"/>
      <c r="O7" s="18"/>
      <c r="P7" s="18"/>
      <c r="Q7" s="18">
        <v>1</v>
      </c>
      <c r="R7" s="17">
        <f t="shared" ref="R7:R8" si="0">H7</f>
        <v>30</v>
      </c>
    </row>
    <row r="8" spans="1:18" customFormat="1" x14ac:dyDescent="0.25">
      <c r="A8" s="18"/>
      <c r="B8" s="18" t="s">
        <v>34</v>
      </c>
      <c r="C8" s="18" t="s">
        <v>1055</v>
      </c>
      <c r="D8" s="18" t="s">
        <v>1056</v>
      </c>
      <c r="E8" s="18" t="s">
        <v>1057</v>
      </c>
      <c r="F8" s="18" t="s">
        <v>18</v>
      </c>
      <c r="G8" s="19">
        <v>0</v>
      </c>
      <c r="H8" s="19">
        <v>25</v>
      </c>
      <c r="I8" s="19">
        <f>-H8</f>
        <v>-25</v>
      </c>
      <c r="J8" s="18" t="s">
        <v>1045</v>
      </c>
      <c r="K8" s="18" t="s">
        <v>15</v>
      </c>
      <c r="L8" s="18" t="s">
        <v>1043</v>
      </c>
      <c r="M8" s="18"/>
      <c r="N8" s="18"/>
      <c r="O8" s="18"/>
      <c r="P8" s="18"/>
      <c r="Q8" s="18">
        <v>1</v>
      </c>
      <c r="R8" s="17">
        <f t="shared" si="0"/>
        <v>25</v>
      </c>
    </row>
    <row r="9" spans="1:18" customFormat="1" x14ac:dyDescent="0.25">
      <c r="A9" s="18"/>
      <c r="B9" s="18" t="s">
        <v>34</v>
      </c>
      <c r="C9" s="18" t="s">
        <v>1058</v>
      </c>
      <c r="D9" s="18" t="s">
        <v>1059</v>
      </c>
      <c r="E9" s="18" t="s">
        <v>1060</v>
      </c>
      <c r="F9" s="19">
        <v>6</v>
      </c>
      <c r="G9" s="19">
        <v>915</v>
      </c>
      <c r="H9" s="19">
        <v>25</v>
      </c>
      <c r="I9" s="19">
        <f t="shared" ref="I9:I14" si="1">G9-H9</f>
        <v>890</v>
      </c>
      <c r="J9" s="18" t="s">
        <v>1045</v>
      </c>
      <c r="K9" s="18" t="s">
        <v>15</v>
      </c>
      <c r="L9" s="18" t="s">
        <v>1043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1061</v>
      </c>
      <c r="D10" s="18" t="s">
        <v>1062</v>
      </c>
      <c r="E10" s="18" t="s">
        <v>1063</v>
      </c>
      <c r="F10" s="18" t="s">
        <v>108</v>
      </c>
      <c r="G10" s="19">
        <v>1365</v>
      </c>
      <c r="H10" s="19">
        <v>35</v>
      </c>
      <c r="I10" s="19">
        <f t="shared" si="1"/>
        <v>1330</v>
      </c>
      <c r="J10" s="18" t="s">
        <v>1045</v>
      </c>
      <c r="K10" s="18" t="s">
        <v>15</v>
      </c>
      <c r="L10" s="18" t="s">
        <v>1043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1064</v>
      </c>
      <c r="D11" s="18" t="s">
        <v>1065</v>
      </c>
      <c r="E11" s="18" t="s">
        <v>1066</v>
      </c>
      <c r="F11" s="18" t="s">
        <v>212</v>
      </c>
      <c r="G11" s="19">
        <v>2970</v>
      </c>
      <c r="H11" s="19">
        <v>30</v>
      </c>
      <c r="I11" s="19">
        <f t="shared" si="1"/>
        <v>2940</v>
      </c>
      <c r="J11" s="18" t="s">
        <v>1045</v>
      </c>
      <c r="K11" s="18" t="s">
        <v>15</v>
      </c>
      <c r="L11" s="18" t="s">
        <v>1043</v>
      </c>
      <c r="M11" s="26" t="s">
        <v>377</v>
      </c>
      <c r="N11" s="18"/>
      <c r="O11" s="18"/>
      <c r="P11" s="18"/>
      <c r="Q11" s="18">
        <v>1</v>
      </c>
      <c r="R11" s="17">
        <f>H11</f>
        <v>30</v>
      </c>
    </row>
    <row r="12" spans="1:18" customFormat="1" x14ac:dyDescent="0.25">
      <c r="A12" s="18"/>
      <c r="B12" s="18" t="s">
        <v>34</v>
      </c>
      <c r="C12" s="18" t="s">
        <v>1067</v>
      </c>
      <c r="D12" s="18" t="s">
        <v>1068</v>
      </c>
      <c r="E12" s="18" t="s">
        <v>1069</v>
      </c>
      <c r="F12" s="19">
        <v>7</v>
      </c>
      <c r="G12" s="19">
        <v>1390</v>
      </c>
      <c r="H12" s="19">
        <v>30</v>
      </c>
      <c r="I12" s="19">
        <f t="shared" si="1"/>
        <v>1360</v>
      </c>
      <c r="J12" s="18" t="s">
        <v>1045</v>
      </c>
      <c r="K12" s="18" t="s">
        <v>15</v>
      </c>
      <c r="L12" s="18" t="s">
        <v>1043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1070</v>
      </c>
      <c r="D13" s="18" t="s">
        <v>1071</v>
      </c>
      <c r="E13" s="18" t="s">
        <v>1072</v>
      </c>
      <c r="F13" s="19">
        <v>12</v>
      </c>
      <c r="G13" s="19">
        <v>890</v>
      </c>
      <c r="H13" s="19">
        <v>30</v>
      </c>
      <c r="I13" s="19">
        <f t="shared" si="1"/>
        <v>860</v>
      </c>
      <c r="J13" s="18" t="s">
        <v>1045</v>
      </c>
      <c r="K13" s="18" t="s">
        <v>15</v>
      </c>
      <c r="L13" s="18" t="s">
        <v>1043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1073</v>
      </c>
      <c r="D14" s="18" t="s">
        <v>1074</v>
      </c>
      <c r="E14" s="18" t="s">
        <v>1075</v>
      </c>
      <c r="F14" s="18" t="s">
        <v>38</v>
      </c>
      <c r="G14" s="19">
        <v>1450</v>
      </c>
      <c r="H14" s="19">
        <v>30</v>
      </c>
      <c r="I14" s="19">
        <f t="shared" si="1"/>
        <v>1420</v>
      </c>
      <c r="J14" s="18" t="s">
        <v>1045</v>
      </c>
      <c r="K14" s="18" t="s">
        <v>15</v>
      </c>
      <c r="L14" s="18" t="s">
        <v>1043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1076</v>
      </c>
      <c r="D15" s="18" t="s">
        <v>1077</v>
      </c>
      <c r="E15" s="18" t="s">
        <v>1078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1045</v>
      </c>
      <c r="K15" s="18" t="s">
        <v>15</v>
      </c>
      <c r="L15" s="18" t="s">
        <v>1043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1079</v>
      </c>
      <c r="D16" s="18" t="s">
        <v>1080</v>
      </c>
      <c r="E16" s="18" t="s">
        <v>1081</v>
      </c>
      <c r="F16" s="19">
        <v>7</v>
      </c>
      <c r="G16" s="19">
        <v>1120</v>
      </c>
      <c r="H16" s="19">
        <v>30</v>
      </c>
      <c r="I16" s="19">
        <f t="shared" ref="I16:I26" si="2">G16-H16</f>
        <v>1090</v>
      </c>
      <c r="J16" s="18" t="s">
        <v>1045</v>
      </c>
      <c r="K16" s="18" t="s">
        <v>15</v>
      </c>
      <c r="L16" s="18" t="s">
        <v>1043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1082</v>
      </c>
      <c r="D17" s="18" t="s">
        <v>1083</v>
      </c>
      <c r="E17" s="18" t="s">
        <v>1084</v>
      </c>
      <c r="F17" s="18" t="s">
        <v>123</v>
      </c>
      <c r="G17" s="19">
        <v>925</v>
      </c>
      <c r="H17" s="19">
        <v>35</v>
      </c>
      <c r="I17" s="19">
        <f t="shared" si="2"/>
        <v>890</v>
      </c>
      <c r="J17" s="18" t="s">
        <v>1045</v>
      </c>
      <c r="K17" s="18" t="s">
        <v>15</v>
      </c>
      <c r="L17" s="18" t="s">
        <v>1043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242</v>
      </c>
      <c r="D18" s="18" t="s">
        <v>1085</v>
      </c>
      <c r="E18" s="18" t="s">
        <v>926</v>
      </c>
      <c r="F18" s="18" t="s">
        <v>38</v>
      </c>
      <c r="G18" s="19">
        <v>3250</v>
      </c>
      <c r="H18" s="19">
        <v>35</v>
      </c>
      <c r="I18" s="19">
        <f t="shared" si="2"/>
        <v>3215</v>
      </c>
      <c r="J18" s="18" t="s">
        <v>1045</v>
      </c>
      <c r="K18" s="18" t="s">
        <v>15</v>
      </c>
      <c r="L18" s="18" t="s">
        <v>1043</v>
      </c>
      <c r="M18" s="26" t="s">
        <v>377</v>
      </c>
      <c r="N18" s="18"/>
      <c r="O18" s="18"/>
      <c r="P18" s="18"/>
      <c r="Q18" s="18">
        <v>1</v>
      </c>
      <c r="R18" s="17">
        <f>H18</f>
        <v>35</v>
      </c>
    </row>
    <row r="19" spans="1:18" customFormat="1" x14ac:dyDescent="0.25">
      <c r="A19" s="18"/>
      <c r="B19" s="18" t="s">
        <v>34</v>
      </c>
      <c r="C19" s="18" t="s">
        <v>1086</v>
      </c>
      <c r="D19" s="18" t="s">
        <v>1087</v>
      </c>
      <c r="E19" s="18" t="s">
        <v>1088</v>
      </c>
      <c r="F19" s="19">
        <v>7</v>
      </c>
      <c r="G19" s="19">
        <v>380</v>
      </c>
      <c r="H19" s="19">
        <v>30</v>
      </c>
      <c r="I19" s="19">
        <f t="shared" si="2"/>
        <v>350</v>
      </c>
      <c r="J19" s="18" t="s">
        <v>1045</v>
      </c>
      <c r="K19" s="18" t="s">
        <v>15</v>
      </c>
      <c r="L19" s="18" t="s">
        <v>1043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1089</v>
      </c>
      <c r="D20" s="18" t="s">
        <v>1090</v>
      </c>
      <c r="E20" s="18" t="s">
        <v>1091</v>
      </c>
      <c r="F20" s="19">
        <v>6</v>
      </c>
      <c r="G20" s="19">
        <v>815</v>
      </c>
      <c r="H20" s="19">
        <v>25</v>
      </c>
      <c r="I20" s="19">
        <f t="shared" si="2"/>
        <v>790</v>
      </c>
      <c r="J20" s="18" t="s">
        <v>1045</v>
      </c>
      <c r="K20" s="18" t="s">
        <v>15</v>
      </c>
      <c r="L20" s="18" t="s">
        <v>1043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944</v>
      </c>
      <c r="D21" s="18"/>
      <c r="E21" s="18" t="s">
        <v>1092</v>
      </c>
      <c r="F21" s="19">
        <v>2</v>
      </c>
      <c r="G21" s="19">
        <v>35</v>
      </c>
      <c r="H21" s="19">
        <v>35</v>
      </c>
      <c r="I21" s="19">
        <f t="shared" si="2"/>
        <v>0</v>
      </c>
      <c r="J21" s="18" t="s">
        <v>15</v>
      </c>
      <c r="K21" s="18" t="s">
        <v>15</v>
      </c>
      <c r="L21" s="18" t="s">
        <v>1043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 t="shared" si="2"/>
        <v>0</v>
      </c>
      <c r="J22" s="18" t="s">
        <v>15</v>
      </c>
      <c r="K22" s="18" t="s">
        <v>15</v>
      </c>
      <c r="L22" s="18" t="s">
        <v>1043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1093</v>
      </c>
      <c r="D23" s="18" t="s">
        <v>1094</v>
      </c>
      <c r="E23" s="18" t="s">
        <v>1095</v>
      </c>
      <c r="F23" s="18" t="s">
        <v>19</v>
      </c>
      <c r="G23" s="19">
        <v>510</v>
      </c>
      <c r="H23" s="19">
        <v>20</v>
      </c>
      <c r="I23" s="19">
        <f t="shared" si="2"/>
        <v>490</v>
      </c>
      <c r="J23" s="18" t="s">
        <v>15</v>
      </c>
      <c r="K23" s="18" t="s">
        <v>15</v>
      </c>
      <c r="L23" s="18" t="s">
        <v>1043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1096</v>
      </c>
      <c r="D24" s="18" t="s">
        <v>1097</v>
      </c>
      <c r="E24" s="18" t="s">
        <v>1098</v>
      </c>
      <c r="F24" s="19">
        <v>2</v>
      </c>
      <c r="G24" s="19">
        <v>520</v>
      </c>
      <c r="H24" s="19">
        <v>30</v>
      </c>
      <c r="I24" s="19">
        <f t="shared" si="2"/>
        <v>490</v>
      </c>
      <c r="J24" s="18" t="s">
        <v>15</v>
      </c>
      <c r="K24" s="18" t="s">
        <v>15</v>
      </c>
      <c r="L24" s="18" t="s">
        <v>1043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1099</v>
      </c>
      <c r="D25" s="18" t="s">
        <v>1100</v>
      </c>
      <c r="E25" s="18" t="s">
        <v>1101</v>
      </c>
      <c r="F25" s="18" t="s">
        <v>19</v>
      </c>
      <c r="G25" s="19">
        <v>510</v>
      </c>
      <c r="H25" s="19">
        <v>20</v>
      </c>
      <c r="I25" s="19">
        <f t="shared" si="2"/>
        <v>490</v>
      </c>
      <c r="J25" s="18" t="s">
        <v>15</v>
      </c>
      <c r="K25" s="18" t="s">
        <v>15</v>
      </c>
      <c r="L25" s="18" t="s">
        <v>1043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1102</v>
      </c>
      <c r="D26" s="18" t="s">
        <v>1103</v>
      </c>
      <c r="E26" s="18" t="s">
        <v>1104</v>
      </c>
      <c r="F26" s="18" t="s">
        <v>144</v>
      </c>
      <c r="G26" s="19">
        <v>470</v>
      </c>
      <c r="H26" s="19">
        <v>30</v>
      </c>
      <c r="I26" s="19">
        <f t="shared" si="2"/>
        <v>440</v>
      </c>
      <c r="J26" s="18" t="s">
        <v>15</v>
      </c>
      <c r="K26" s="18" t="s">
        <v>15</v>
      </c>
      <c r="L26" s="18" t="s">
        <v>1043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1105</v>
      </c>
      <c r="D27" s="18" t="s">
        <v>1106</v>
      </c>
      <c r="E27" s="18" t="s">
        <v>1107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1043</v>
      </c>
      <c r="M27" s="18"/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1108</v>
      </c>
      <c r="D28" s="18" t="s">
        <v>1109</v>
      </c>
      <c r="E28" s="18" t="s">
        <v>1110</v>
      </c>
      <c r="F28" s="19">
        <v>2</v>
      </c>
      <c r="G28" s="19">
        <v>790</v>
      </c>
      <c r="H28" s="19">
        <v>30</v>
      </c>
      <c r="I28" s="19">
        <f t="shared" ref="I28:I33" si="3">G28-H28</f>
        <v>760</v>
      </c>
      <c r="J28" s="18" t="s">
        <v>15</v>
      </c>
      <c r="K28" s="18" t="s">
        <v>15</v>
      </c>
      <c r="L28" s="18" t="s">
        <v>1043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1111</v>
      </c>
      <c r="D29" s="18" t="s">
        <v>1112</v>
      </c>
      <c r="E29" s="18" t="s">
        <v>1113</v>
      </c>
      <c r="F29" s="18" t="s">
        <v>19</v>
      </c>
      <c r="G29" s="19">
        <v>910</v>
      </c>
      <c r="H29" s="19">
        <v>20</v>
      </c>
      <c r="I29" s="19">
        <f t="shared" si="3"/>
        <v>890</v>
      </c>
      <c r="J29" s="18" t="s">
        <v>15</v>
      </c>
      <c r="K29" s="18" t="s">
        <v>15</v>
      </c>
      <c r="L29" s="18" t="s">
        <v>1043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1114</v>
      </c>
      <c r="D30" s="18" t="s">
        <v>1115</v>
      </c>
      <c r="E30" s="18" t="s">
        <v>1116</v>
      </c>
      <c r="F30" s="19">
        <v>3</v>
      </c>
      <c r="G30" s="19">
        <v>535</v>
      </c>
      <c r="H30" s="19">
        <v>25</v>
      </c>
      <c r="I30" s="19">
        <f t="shared" si="3"/>
        <v>510</v>
      </c>
      <c r="J30" s="18" t="s">
        <v>160</v>
      </c>
      <c r="K30" s="18" t="s">
        <v>15</v>
      </c>
      <c r="L30" s="18" t="s">
        <v>1043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1117</v>
      </c>
      <c r="D31" s="18" t="s">
        <v>1118</v>
      </c>
      <c r="E31" s="18" t="s">
        <v>1119</v>
      </c>
      <c r="F31" s="19">
        <v>3</v>
      </c>
      <c r="G31" s="19">
        <v>1005</v>
      </c>
      <c r="H31" s="19">
        <v>25</v>
      </c>
      <c r="I31" s="19">
        <f t="shared" si="3"/>
        <v>980</v>
      </c>
      <c r="J31" s="18" t="s">
        <v>160</v>
      </c>
      <c r="K31" s="18" t="s">
        <v>15</v>
      </c>
      <c r="L31" s="18" t="s">
        <v>1043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1120</v>
      </c>
      <c r="D32" s="18" t="s">
        <v>1121</v>
      </c>
      <c r="E32" s="18" t="s">
        <v>1122</v>
      </c>
      <c r="F32" s="19">
        <v>1</v>
      </c>
      <c r="G32" s="19">
        <v>375</v>
      </c>
      <c r="H32" s="19">
        <v>25</v>
      </c>
      <c r="I32" s="19">
        <f t="shared" si="3"/>
        <v>350</v>
      </c>
      <c r="J32" s="18" t="s">
        <v>160</v>
      </c>
      <c r="K32" s="18" t="s">
        <v>15</v>
      </c>
      <c r="L32" s="18" t="s">
        <v>1043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1123</v>
      </c>
      <c r="D33" s="18" t="s">
        <v>1124</v>
      </c>
      <c r="E33" s="18" t="s">
        <v>1125</v>
      </c>
      <c r="F33" s="19">
        <v>4</v>
      </c>
      <c r="G33" s="19">
        <v>845</v>
      </c>
      <c r="H33" s="19">
        <v>25</v>
      </c>
      <c r="I33" s="19">
        <f t="shared" si="3"/>
        <v>820</v>
      </c>
      <c r="J33" s="18" t="s">
        <v>160</v>
      </c>
      <c r="K33" s="18" t="s">
        <v>15</v>
      </c>
      <c r="L33" s="18" t="s">
        <v>1043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1126</v>
      </c>
      <c r="D34" s="18" t="s">
        <v>1127</v>
      </c>
      <c r="E34" s="18" t="s">
        <v>1128</v>
      </c>
      <c r="F34" s="18" t="s">
        <v>18</v>
      </c>
      <c r="G34" s="19">
        <v>0</v>
      </c>
      <c r="H34" s="19">
        <v>25</v>
      </c>
      <c r="I34" s="19">
        <f>-H34</f>
        <v>-25</v>
      </c>
      <c r="J34" s="18" t="s">
        <v>160</v>
      </c>
      <c r="K34" s="18" t="s">
        <v>15</v>
      </c>
      <c r="L34" s="18" t="s">
        <v>1043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1129</v>
      </c>
      <c r="D35" s="18" t="s">
        <v>1130</v>
      </c>
      <c r="E35" s="18" t="s">
        <v>1131</v>
      </c>
      <c r="F35" s="18" t="s">
        <v>17</v>
      </c>
      <c r="G35" s="19">
        <v>560</v>
      </c>
      <c r="H35" s="19">
        <v>20</v>
      </c>
      <c r="I35" s="19">
        <f t="shared" ref="I35:I40" si="4">G35-H35</f>
        <v>540</v>
      </c>
      <c r="J35" s="18" t="s">
        <v>160</v>
      </c>
      <c r="K35" s="18" t="s">
        <v>15</v>
      </c>
      <c r="L35" s="18" t="s">
        <v>1043</v>
      </c>
      <c r="M35" s="18"/>
      <c r="N35" s="18"/>
      <c r="O35" s="18"/>
      <c r="P35" s="18"/>
      <c r="Q35" s="18">
        <v>1</v>
      </c>
    </row>
    <row r="36" spans="1:18" s="22" customFormat="1" x14ac:dyDescent="0.25">
      <c r="A36" s="20"/>
      <c r="B36" s="20" t="s">
        <v>34</v>
      </c>
      <c r="C36" s="20" t="s">
        <v>1132</v>
      </c>
      <c r="D36" s="20" t="s">
        <v>1133</v>
      </c>
      <c r="E36" s="20" t="s">
        <v>1134</v>
      </c>
      <c r="F36" s="21">
        <v>10</v>
      </c>
      <c r="G36" s="21">
        <v>445</v>
      </c>
      <c r="H36" s="21">
        <v>25</v>
      </c>
      <c r="I36" s="21">
        <f t="shared" si="4"/>
        <v>420</v>
      </c>
      <c r="J36" s="20" t="s">
        <v>160</v>
      </c>
      <c r="K36" s="20" t="s">
        <v>15</v>
      </c>
      <c r="L36" s="20" t="s">
        <v>1043</v>
      </c>
      <c r="M36" s="20" t="s">
        <v>16</v>
      </c>
      <c r="N36" s="20"/>
      <c r="O36" s="20"/>
      <c r="P36" s="20"/>
      <c r="Q36" s="20">
        <v>1</v>
      </c>
    </row>
    <row r="37" spans="1:18" customFormat="1" x14ac:dyDescent="0.25">
      <c r="A37" s="18"/>
      <c r="B37" s="18" t="s">
        <v>34</v>
      </c>
      <c r="C37" s="18" t="s">
        <v>1135</v>
      </c>
      <c r="D37" s="18" t="s">
        <v>1136</v>
      </c>
      <c r="E37" s="18" t="s">
        <v>1137</v>
      </c>
      <c r="F37" s="19">
        <v>5</v>
      </c>
      <c r="G37" s="19">
        <v>515</v>
      </c>
      <c r="H37" s="19">
        <v>25</v>
      </c>
      <c r="I37" s="19">
        <f t="shared" si="4"/>
        <v>490</v>
      </c>
      <c r="J37" s="18" t="s">
        <v>160</v>
      </c>
      <c r="K37" s="18" t="s">
        <v>15</v>
      </c>
      <c r="L37" s="18" t="s">
        <v>1043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1138</v>
      </c>
      <c r="D38" s="18" t="s">
        <v>1139</v>
      </c>
      <c r="E38" s="18" t="s">
        <v>1140</v>
      </c>
      <c r="F38" s="18" t="s">
        <v>17</v>
      </c>
      <c r="G38" s="19">
        <v>1350</v>
      </c>
      <c r="H38" s="19">
        <v>20</v>
      </c>
      <c r="I38" s="19">
        <f t="shared" si="4"/>
        <v>1330</v>
      </c>
      <c r="J38" s="18" t="s">
        <v>160</v>
      </c>
      <c r="K38" s="18" t="s">
        <v>15</v>
      </c>
      <c r="L38" s="18" t="s">
        <v>1043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1141</v>
      </c>
      <c r="D39" s="18" t="s">
        <v>1142</v>
      </c>
      <c r="E39" s="18" t="s">
        <v>1143</v>
      </c>
      <c r="F39" s="19">
        <v>4</v>
      </c>
      <c r="G39" s="19">
        <v>785</v>
      </c>
      <c r="H39" s="19">
        <v>25</v>
      </c>
      <c r="I39" s="19">
        <f t="shared" si="4"/>
        <v>760</v>
      </c>
      <c r="J39" s="18" t="s">
        <v>160</v>
      </c>
      <c r="K39" s="18" t="s">
        <v>15</v>
      </c>
      <c r="L39" s="18" t="s">
        <v>1043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1144</v>
      </c>
      <c r="D40" s="18" t="s">
        <v>1145</v>
      </c>
      <c r="E40" s="18" t="s">
        <v>1146</v>
      </c>
      <c r="F40" s="19">
        <v>1</v>
      </c>
      <c r="G40" s="19">
        <v>515</v>
      </c>
      <c r="H40" s="19">
        <v>25</v>
      </c>
      <c r="I40" s="19">
        <f t="shared" si="4"/>
        <v>490</v>
      </c>
      <c r="J40" s="18" t="s">
        <v>160</v>
      </c>
      <c r="K40" s="18" t="s">
        <v>15</v>
      </c>
      <c r="L40" s="18" t="s">
        <v>1043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1147</v>
      </c>
      <c r="D41" s="18" t="s">
        <v>1148</v>
      </c>
      <c r="E41" s="18" t="s">
        <v>1149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1043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/>
      <c r="B42" s="18" t="s">
        <v>34</v>
      </c>
      <c r="C42" s="18" t="s">
        <v>993</v>
      </c>
      <c r="D42" s="18" t="s">
        <v>1150</v>
      </c>
      <c r="E42" s="18" t="s">
        <v>1151</v>
      </c>
      <c r="F42" s="18" t="s">
        <v>17</v>
      </c>
      <c r="G42" s="19">
        <v>1110</v>
      </c>
      <c r="H42" s="19">
        <v>20</v>
      </c>
      <c r="I42" s="19">
        <f>G42-H42</f>
        <v>1090</v>
      </c>
      <c r="J42" s="18" t="s">
        <v>160</v>
      </c>
      <c r="K42" s="18" t="s">
        <v>15</v>
      </c>
      <c r="L42" s="18" t="s">
        <v>1043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1152</v>
      </c>
      <c r="D43" s="18" t="s">
        <v>1153</v>
      </c>
      <c r="E43" s="18" t="s">
        <v>1154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160</v>
      </c>
      <c r="K43" s="18" t="s">
        <v>15</v>
      </c>
      <c r="L43" s="18" t="s">
        <v>1043</v>
      </c>
      <c r="M43" s="18"/>
      <c r="N43" s="18"/>
      <c r="O43" s="18"/>
      <c r="P43" s="18"/>
      <c r="Q43" s="18">
        <v>1</v>
      </c>
    </row>
    <row r="45" spans="1:18" x14ac:dyDescent="0.25">
      <c r="G45" s="1">
        <f t="shared" ref="G45:R45" si="5">SUBTOTAL(9,G3:G44)</f>
        <v>29910</v>
      </c>
      <c r="H45" s="1">
        <f t="shared" si="5"/>
        <v>1110</v>
      </c>
      <c r="I45" s="1">
        <f t="shared" si="5"/>
        <v>28800</v>
      </c>
      <c r="J45" s="1">
        <f t="shared" si="5"/>
        <v>0</v>
      </c>
      <c r="K45" s="1">
        <f t="shared" si="5"/>
        <v>0</v>
      </c>
      <c r="L45" s="1">
        <f t="shared" si="5"/>
        <v>0</v>
      </c>
      <c r="M45" s="1">
        <f t="shared" si="5"/>
        <v>0</v>
      </c>
      <c r="N45" s="1">
        <f t="shared" si="5"/>
        <v>0</v>
      </c>
      <c r="O45" s="1">
        <f t="shared" si="5"/>
        <v>0</v>
      </c>
      <c r="P45" s="1">
        <f t="shared" si="5"/>
        <v>0</v>
      </c>
      <c r="Q45" s="1">
        <f t="shared" si="5"/>
        <v>41</v>
      </c>
      <c r="R45" s="1">
        <f t="shared" si="5"/>
        <v>280</v>
      </c>
    </row>
    <row r="49" spans="8:10" ht="20.25" customHeight="1" x14ac:dyDescent="0.3">
      <c r="H49" s="4" t="s">
        <v>1038</v>
      </c>
      <c r="I49" s="5" t="s">
        <v>21</v>
      </c>
      <c r="J49" s="6" t="s">
        <v>22</v>
      </c>
    </row>
    <row r="50" spans="8:10" ht="15.75" customHeight="1" x14ac:dyDescent="0.25">
      <c r="H50" s="7" t="s">
        <v>23</v>
      </c>
      <c r="I50" s="8">
        <f>SUM(I44:I48)</f>
        <v>28800</v>
      </c>
      <c r="J50" s="8">
        <f>Q45</f>
        <v>41</v>
      </c>
    </row>
    <row r="51" spans="8:10" x14ac:dyDescent="0.25">
      <c r="H51" s="9" t="s">
        <v>24</v>
      </c>
      <c r="I51" s="10">
        <f>R45</f>
        <v>280</v>
      </c>
      <c r="J51" s="11"/>
    </row>
    <row r="52" spans="8:10" x14ac:dyDescent="0.25">
      <c r="H52" s="9" t="s">
        <v>25</v>
      </c>
      <c r="I52" s="10">
        <f>S44</f>
        <v>0</v>
      </c>
      <c r="J52" s="11"/>
    </row>
    <row r="53" spans="8:10" x14ac:dyDescent="0.25">
      <c r="H53" s="9" t="s">
        <v>26</v>
      </c>
      <c r="I53" s="10">
        <f>T44</f>
        <v>0</v>
      </c>
      <c r="J53" s="11"/>
    </row>
    <row r="54" spans="8:10" x14ac:dyDescent="0.25">
      <c r="H54" s="9" t="s">
        <v>27</v>
      </c>
      <c r="I54" s="10">
        <f>U44</f>
        <v>0</v>
      </c>
      <c r="J54" s="11"/>
    </row>
    <row r="55" spans="8:10" ht="15.75" customHeight="1" x14ac:dyDescent="0.25">
      <c r="H55" s="12" t="s">
        <v>28</v>
      </c>
      <c r="I55" s="13"/>
      <c r="J55" s="13"/>
    </row>
    <row r="56" spans="8:10" ht="15.75" customHeight="1" x14ac:dyDescent="0.25">
      <c r="H56" s="14" t="s">
        <v>29</v>
      </c>
      <c r="I56" s="13"/>
      <c r="J56" s="13"/>
    </row>
    <row r="57" spans="8:10" ht="21" customHeight="1" x14ac:dyDescent="0.35">
      <c r="H57" s="15" t="s">
        <v>30</v>
      </c>
      <c r="I57" s="16">
        <f>SUM(I50:I56)</f>
        <v>29080</v>
      </c>
      <c r="J57" s="16">
        <f>SUM(J50:J54)</f>
        <v>41</v>
      </c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1-4</vt:lpstr>
      <vt:lpstr>2-4</vt:lpstr>
      <vt:lpstr>3-4</vt:lpstr>
      <vt:lpstr>4-4</vt:lpstr>
      <vt:lpstr>6-4</vt:lpstr>
      <vt:lpstr>7-4</vt:lpstr>
      <vt:lpstr>8-4</vt:lpstr>
      <vt:lpstr>9-4</vt:lpstr>
      <vt:lpstr>10-4</vt:lpstr>
      <vt:lpstr>11-4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2026-04-11T07:36:22Z</dcterms:modified>
</cp:coreProperties>
</file>