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2326556A-BDC1-49A7-B09C-521A288D8F03}" xr6:coauthVersionLast="47" xr6:coauthVersionMax="47" xr10:uidLastSave="{00000000-0000-0000-0000-000000000000}"/>
  <bookViews>
    <workbookView xWindow="-120" yWindow="-120" windowWidth="29040" windowHeight="15720" activeTab="17" xr2:uid="{00000000-000D-0000-FFFF-FFFF00000000}"/>
  </bookViews>
  <sheets>
    <sheet name="1-4" sheetId="2" r:id="rId1"/>
    <sheet name="2-4" sheetId="3" r:id="rId2"/>
    <sheet name="3-4" sheetId="4" r:id="rId3"/>
    <sheet name="4-4" sheetId="5" r:id="rId4"/>
    <sheet name="6-4" sheetId="6" r:id="rId5"/>
    <sheet name="7-4" sheetId="7" r:id="rId6"/>
    <sheet name="8-4" sheetId="8" r:id="rId7"/>
    <sheet name="9-4" sheetId="9" r:id="rId8"/>
    <sheet name="10-4" sheetId="10" r:id="rId9"/>
    <sheet name="11-4" sheetId="11" r:id="rId10"/>
    <sheet name="13-4" sheetId="12" r:id="rId11"/>
    <sheet name="14-4" sheetId="13" r:id="rId12"/>
    <sheet name="15-4" sheetId="14" r:id="rId13"/>
    <sheet name="16-4" sheetId="15" r:id="rId14"/>
    <sheet name="17-4" sheetId="16" r:id="rId15"/>
    <sheet name="18-4" sheetId="17" r:id="rId16"/>
    <sheet name="20-4" sheetId="18" r:id="rId17"/>
    <sheet name="21-4" sheetId="19" r:id="rId18"/>
  </sheets>
  <definedNames>
    <definedName name="_xlnm._FilterDatabase" localSheetId="8" hidden="1">'10-4'!$A$2:$P$53</definedName>
    <definedName name="_xlnm._FilterDatabase" localSheetId="9" hidden="1">'11-4'!$A$2:$P$43</definedName>
    <definedName name="_xlnm._FilterDatabase" localSheetId="10" hidden="1">'13-4'!$A$2:$P$65</definedName>
    <definedName name="_xlnm._FilterDatabase" localSheetId="0" hidden="1">'1-4'!$A$2:$P$23</definedName>
    <definedName name="_xlnm._FilterDatabase" localSheetId="11" hidden="1">'14-4'!$A$2:$P$22</definedName>
    <definedName name="_xlnm._FilterDatabase" localSheetId="12" hidden="1">'15-4'!$A$2:$P$34</definedName>
    <definedName name="_xlnm._FilterDatabase" localSheetId="13" hidden="1">'16-4'!$A$2:$P$51</definedName>
    <definedName name="_xlnm._FilterDatabase" localSheetId="14" hidden="1">'17-4'!$A$2:$P$53</definedName>
    <definedName name="_xlnm._FilterDatabase" localSheetId="15" hidden="1">'18-4'!$A$2:$P$35</definedName>
    <definedName name="_xlnm._FilterDatabase" localSheetId="16" hidden="1">'20-4'!$A$2:$P$97</definedName>
    <definedName name="_xlnm._FilterDatabase" localSheetId="17" hidden="1">'21-4'!$A$2:$P$60</definedName>
    <definedName name="_xlnm._FilterDatabase" localSheetId="1" hidden="1">'2-4'!$A$2:$P$24</definedName>
    <definedName name="_xlnm._FilterDatabase" localSheetId="2" hidden="1">'3-4'!$A$2:$P$53</definedName>
    <definedName name="_xlnm._FilterDatabase" localSheetId="3" hidden="1">'4-4'!$A$2:$P$42</definedName>
    <definedName name="_xlnm._FilterDatabase" localSheetId="4" hidden="1">'6-4'!$A$2:$P$54</definedName>
    <definedName name="_xlnm._FilterDatabase" localSheetId="5" hidden="1">'7-4'!$A$2:$P$27</definedName>
    <definedName name="_xlnm._FilterDatabase" localSheetId="6" hidden="1">'8-4'!$A$2:$P$45</definedName>
    <definedName name="_xlnm._FilterDatabase" localSheetId="7" hidden="1">'9-4'!$A$2:$P$39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2" i="19" l="1"/>
  <c r="H77" i="19"/>
  <c r="R58" i="19" l="1"/>
  <c r="R55" i="19"/>
  <c r="R49" i="19"/>
  <c r="R45" i="19"/>
  <c r="R35" i="19"/>
  <c r="R33" i="19"/>
  <c r="R31" i="19"/>
  <c r="R20" i="19"/>
  <c r="R15" i="19"/>
  <c r="R4" i="19"/>
  <c r="R3" i="19"/>
  <c r="R8" i="19"/>
  <c r="R12" i="19"/>
  <c r="R37" i="19"/>
  <c r="R40" i="19"/>
  <c r="R56" i="19"/>
  <c r="I60" i="19"/>
  <c r="I59" i="19"/>
  <c r="I58" i="19"/>
  <c r="I57" i="19"/>
  <c r="I56" i="19"/>
  <c r="I55" i="19"/>
  <c r="I54" i="19"/>
  <c r="I53" i="19"/>
  <c r="I52" i="19"/>
  <c r="I51" i="19"/>
  <c r="I50" i="19"/>
  <c r="I49" i="19"/>
  <c r="I48" i="19"/>
  <c r="I47" i="19"/>
  <c r="I46" i="19"/>
  <c r="I45" i="19"/>
  <c r="I44" i="19"/>
  <c r="I43" i="19"/>
  <c r="I42" i="19"/>
  <c r="I41" i="19"/>
  <c r="I40" i="19"/>
  <c r="I39" i="19"/>
  <c r="I38" i="19"/>
  <c r="I37" i="19"/>
  <c r="I36" i="19"/>
  <c r="I35" i="19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I4" i="19"/>
  <c r="I3" i="19"/>
  <c r="I71" i="19"/>
  <c r="I70" i="19"/>
  <c r="I69" i="19"/>
  <c r="Q62" i="19"/>
  <c r="J67" i="19" s="1"/>
  <c r="J74" i="19" s="1"/>
  <c r="P62" i="19"/>
  <c r="O62" i="19"/>
  <c r="N62" i="19"/>
  <c r="M62" i="19"/>
  <c r="L62" i="19"/>
  <c r="K62" i="19"/>
  <c r="J62" i="19"/>
  <c r="H62" i="19"/>
  <c r="G62" i="19"/>
  <c r="R93" i="18"/>
  <c r="R90" i="18"/>
  <c r="R88" i="18"/>
  <c r="R86" i="18"/>
  <c r="R85" i="18"/>
  <c r="R79" i="18"/>
  <c r="R78" i="18"/>
  <c r="R77" i="18"/>
  <c r="R76" i="18"/>
  <c r="R72" i="18"/>
  <c r="R71" i="18"/>
  <c r="R68" i="18"/>
  <c r="R64" i="18"/>
  <c r="R63" i="18"/>
  <c r="R53" i="18"/>
  <c r="R51" i="18"/>
  <c r="R50" i="18"/>
  <c r="R47" i="18"/>
  <c r="R46" i="18"/>
  <c r="R42" i="18"/>
  <c r="R41" i="18"/>
  <c r="R40" i="18"/>
  <c r="R35" i="18"/>
  <c r="R33" i="18"/>
  <c r="R26" i="18"/>
  <c r="R10" i="18"/>
  <c r="R3" i="18"/>
  <c r="R60" i="18"/>
  <c r="R59" i="18"/>
  <c r="R31" i="18"/>
  <c r="H115" i="18"/>
  <c r="H114" i="18"/>
  <c r="H99" i="18"/>
  <c r="J99" i="18"/>
  <c r="K99" i="18"/>
  <c r="L99" i="18"/>
  <c r="M99" i="18"/>
  <c r="N99" i="18"/>
  <c r="O99" i="18"/>
  <c r="P99" i="18"/>
  <c r="Q99" i="18"/>
  <c r="J104" i="18" s="1"/>
  <c r="J111" i="18" s="1"/>
  <c r="G99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3" i="18"/>
  <c r="I99" i="18" s="1"/>
  <c r="I108" i="18"/>
  <c r="I107" i="18"/>
  <c r="I106" i="18"/>
  <c r="H56" i="17"/>
  <c r="H55" i="17"/>
  <c r="R62" i="19" l="1"/>
  <c r="I68" i="19" s="1"/>
  <c r="I62" i="19"/>
  <c r="I67" i="19" s="1"/>
  <c r="R99" i="18"/>
  <c r="I105" i="18" s="1"/>
  <c r="I104" i="18"/>
  <c r="I33" i="17"/>
  <c r="R33" i="17"/>
  <c r="R31" i="17"/>
  <c r="R30" i="17"/>
  <c r="R25" i="17"/>
  <c r="R24" i="17"/>
  <c r="R23" i="17"/>
  <c r="R21" i="17"/>
  <c r="R16" i="17"/>
  <c r="R15" i="17"/>
  <c r="R3" i="17"/>
  <c r="I74" i="19" l="1"/>
  <c r="I111" i="18"/>
  <c r="H54" i="17"/>
  <c r="I35" i="17"/>
  <c r="I34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I4" i="17"/>
  <c r="I3" i="17"/>
  <c r="I46" i="17"/>
  <c r="I45" i="17"/>
  <c r="I44" i="17"/>
  <c r="Q37" i="17"/>
  <c r="J42" i="17" s="1"/>
  <c r="J49" i="17" s="1"/>
  <c r="P37" i="17"/>
  <c r="O37" i="17"/>
  <c r="N37" i="17"/>
  <c r="M37" i="17"/>
  <c r="L37" i="17"/>
  <c r="K37" i="17"/>
  <c r="J37" i="17"/>
  <c r="H37" i="17"/>
  <c r="G37" i="17"/>
  <c r="R42" i="16"/>
  <c r="R31" i="16"/>
  <c r="R30" i="16"/>
  <c r="R28" i="16"/>
  <c r="R23" i="16"/>
  <c r="R22" i="16"/>
  <c r="R21" i="16"/>
  <c r="R15" i="16"/>
  <c r="R14" i="16"/>
  <c r="R13" i="16"/>
  <c r="R11" i="16"/>
  <c r="R4" i="16"/>
  <c r="R26" i="16"/>
  <c r="H70" i="16"/>
  <c r="I53" i="16"/>
  <c r="I52" i="16"/>
  <c r="I51" i="16"/>
  <c r="I50" i="16"/>
  <c r="I49" i="16"/>
  <c r="I48" i="16"/>
  <c r="I47" i="16"/>
  <c r="I46" i="16"/>
  <c r="I45" i="16"/>
  <c r="I44" i="16"/>
  <c r="I43" i="16"/>
  <c r="I42" i="16"/>
  <c r="I41" i="16"/>
  <c r="I40" i="16"/>
  <c r="I39" i="16"/>
  <c r="I38" i="16"/>
  <c r="I37" i="16"/>
  <c r="I36" i="16"/>
  <c r="I35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I4" i="16"/>
  <c r="I3" i="16"/>
  <c r="I64" i="16"/>
  <c r="I63" i="16"/>
  <c r="I62" i="16"/>
  <c r="Q55" i="16"/>
  <c r="J60" i="16" s="1"/>
  <c r="J67" i="16" s="1"/>
  <c r="P55" i="16"/>
  <c r="O55" i="16"/>
  <c r="N55" i="16"/>
  <c r="M55" i="16"/>
  <c r="L55" i="16"/>
  <c r="K55" i="16"/>
  <c r="J55" i="16"/>
  <c r="H55" i="16"/>
  <c r="G55" i="16"/>
  <c r="R55" i="16"/>
  <c r="I61" i="16" s="1"/>
  <c r="I55" i="16"/>
  <c r="I60" i="16" s="1"/>
  <c r="R50" i="15"/>
  <c r="R47" i="15"/>
  <c r="R44" i="15"/>
  <c r="R42" i="15"/>
  <c r="R41" i="15"/>
  <c r="R34" i="15"/>
  <c r="R32" i="15"/>
  <c r="R30" i="15"/>
  <c r="R23" i="15"/>
  <c r="R21" i="15"/>
  <c r="R20" i="15"/>
  <c r="R17" i="15"/>
  <c r="R14" i="15"/>
  <c r="R7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I62" i="15"/>
  <c r="I61" i="15"/>
  <c r="I60" i="15"/>
  <c r="Q53" i="15"/>
  <c r="J58" i="15" s="1"/>
  <c r="J65" i="15" s="1"/>
  <c r="P53" i="15"/>
  <c r="O53" i="15"/>
  <c r="N53" i="15"/>
  <c r="M53" i="15"/>
  <c r="L53" i="15"/>
  <c r="K53" i="15"/>
  <c r="J53" i="15"/>
  <c r="H53" i="15"/>
  <c r="G53" i="15"/>
  <c r="R53" i="15"/>
  <c r="I59" i="15" s="1"/>
  <c r="I53" i="15"/>
  <c r="I58" i="15" s="1"/>
  <c r="H51" i="14"/>
  <c r="R31" i="14"/>
  <c r="R25" i="14"/>
  <c r="R16" i="14"/>
  <c r="R9" i="14"/>
  <c r="R7" i="14"/>
  <c r="R5" i="14"/>
  <c r="R6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I4" i="14"/>
  <c r="I3" i="14"/>
  <c r="I45" i="14"/>
  <c r="I44" i="14"/>
  <c r="I43" i="14"/>
  <c r="Q36" i="14"/>
  <c r="J41" i="14" s="1"/>
  <c r="J48" i="14" s="1"/>
  <c r="P36" i="14"/>
  <c r="O36" i="14"/>
  <c r="N36" i="14"/>
  <c r="M36" i="14"/>
  <c r="L36" i="14"/>
  <c r="K36" i="14"/>
  <c r="J36" i="14"/>
  <c r="H36" i="14"/>
  <c r="G36" i="14"/>
  <c r="R36" i="14"/>
  <c r="I42" i="14" s="1"/>
  <c r="I36" i="14"/>
  <c r="I41" i="14" s="1"/>
  <c r="I29" i="13"/>
  <c r="R20" i="13"/>
  <c r="R12" i="13"/>
  <c r="R8" i="13"/>
  <c r="R5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I3" i="13"/>
  <c r="I33" i="13"/>
  <c r="I32" i="13"/>
  <c r="I31" i="13"/>
  <c r="Q24" i="13"/>
  <c r="J29" i="13" s="1"/>
  <c r="J36" i="13" s="1"/>
  <c r="P24" i="13"/>
  <c r="O24" i="13"/>
  <c r="N24" i="13"/>
  <c r="M24" i="13"/>
  <c r="L24" i="13"/>
  <c r="K24" i="13"/>
  <c r="J24" i="13"/>
  <c r="H24" i="13"/>
  <c r="G24" i="13"/>
  <c r="R24" i="13"/>
  <c r="I30" i="13" s="1"/>
  <c r="I24" i="13"/>
  <c r="R59" i="12"/>
  <c r="R54" i="12"/>
  <c r="R47" i="12"/>
  <c r="R40" i="12"/>
  <c r="R39" i="12"/>
  <c r="R38" i="12"/>
  <c r="R36" i="12"/>
  <c r="R32" i="12"/>
  <c r="R30" i="12"/>
  <c r="R26" i="12"/>
  <c r="R24" i="12"/>
  <c r="R22" i="12"/>
  <c r="R18" i="12"/>
  <c r="R14" i="12"/>
  <c r="R7" i="12"/>
  <c r="R6" i="12"/>
  <c r="R55" i="12"/>
  <c r="R15" i="12"/>
  <c r="I6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76" i="12"/>
  <c r="I75" i="12"/>
  <c r="I74" i="12"/>
  <c r="Q67" i="12"/>
  <c r="J72" i="12" s="1"/>
  <c r="J79" i="12" s="1"/>
  <c r="P67" i="12"/>
  <c r="O67" i="12"/>
  <c r="N67" i="12"/>
  <c r="M67" i="12"/>
  <c r="L67" i="12"/>
  <c r="K67" i="12"/>
  <c r="J67" i="12"/>
  <c r="H67" i="12"/>
  <c r="G67" i="12"/>
  <c r="R67" i="12"/>
  <c r="I73" i="12" s="1"/>
  <c r="R41" i="11"/>
  <c r="R34" i="11"/>
  <c r="R27" i="11"/>
  <c r="R15" i="11"/>
  <c r="R8" i="11"/>
  <c r="R7" i="11"/>
  <c r="R6" i="11"/>
  <c r="R4" i="11"/>
  <c r="R45" i="11" s="1"/>
  <c r="I51" i="11" s="1"/>
  <c r="R18" i="11"/>
  <c r="R11" i="11"/>
  <c r="I43" i="11"/>
  <c r="I42" i="11"/>
  <c r="I41" i="11"/>
  <c r="I40" i="11"/>
  <c r="I39" i="11"/>
  <c r="I38" i="11"/>
  <c r="I37" i="11"/>
  <c r="I36" i="11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I4" i="11"/>
  <c r="I3" i="11"/>
  <c r="I54" i="11"/>
  <c r="I53" i="11"/>
  <c r="I52" i="11"/>
  <c r="Q45" i="11"/>
  <c r="J50" i="11" s="1"/>
  <c r="J57" i="11" s="1"/>
  <c r="P45" i="11"/>
  <c r="O45" i="11"/>
  <c r="N45" i="11"/>
  <c r="M45" i="11"/>
  <c r="L45" i="11"/>
  <c r="K45" i="11"/>
  <c r="J45" i="11"/>
  <c r="H45" i="11"/>
  <c r="G45" i="11"/>
  <c r="R37" i="17" l="1"/>
  <c r="I43" i="17" s="1"/>
  <c r="I37" i="17"/>
  <c r="I42" i="17" s="1"/>
  <c r="I67" i="16"/>
  <c r="I65" i="15"/>
  <c r="I48" i="14"/>
  <c r="I36" i="13"/>
  <c r="I67" i="12"/>
  <c r="I72" i="12" s="1"/>
  <c r="I79" i="12" s="1"/>
  <c r="I45" i="11"/>
  <c r="I50" i="11" s="1"/>
  <c r="I57" i="11" s="1"/>
  <c r="I49" i="17" l="1"/>
  <c r="R44" i="10"/>
  <c r="R51" i="10"/>
  <c r="R50" i="10" l="1"/>
  <c r="R48" i="10"/>
  <c r="R47" i="10"/>
  <c r="R46" i="10"/>
  <c r="R35" i="10"/>
  <c r="R34" i="10"/>
  <c r="R27" i="10"/>
  <c r="H74" i="10"/>
  <c r="R36" i="10"/>
  <c r="R25" i="10"/>
  <c r="R7" i="10"/>
  <c r="H73" i="10"/>
  <c r="H72" i="10"/>
  <c r="H70" i="10"/>
  <c r="I53" i="10"/>
  <c r="I52" i="10"/>
  <c r="I42" i="10"/>
  <c r="I45" i="10"/>
  <c r="I51" i="10"/>
  <c r="I50" i="10"/>
  <c r="I49" i="10"/>
  <c r="I48" i="10"/>
  <c r="I47" i="10"/>
  <c r="I46" i="10"/>
  <c r="I44" i="10"/>
  <c r="I43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64" i="10"/>
  <c r="I63" i="10"/>
  <c r="I62" i="10"/>
  <c r="Q55" i="10"/>
  <c r="J60" i="10" s="1"/>
  <c r="J67" i="10" s="1"/>
  <c r="P55" i="10"/>
  <c r="O55" i="10"/>
  <c r="N55" i="10"/>
  <c r="M55" i="10"/>
  <c r="L55" i="10"/>
  <c r="K55" i="10"/>
  <c r="J55" i="10"/>
  <c r="H55" i="10"/>
  <c r="G55" i="10"/>
  <c r="R55" i="10"/>
  <c r="I61" i="10" s="1"/>
  <c r="R38" i="9"/>
  <c r="R33" i="9"/>
  <c r="R29" i="9"/>
  <c r="R25" i="9"/>
  <c r="R24" i="9"/>
  <c r="R21" i="9"/>
  <c r="R19" i="9"/>
  <c r="R15" i="9"/>
  <c r="R12" i="9"/>
  <c r="R5" i="9"/>
  <c r="I39" i="9"/>
  <c r="I38" i="9"/>
  <c r="I37" i="9"/>
  <c r="I41" i="9" s="1"/>
  <c r="I46" i="9" s="1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I3" i="9"/>
  <c r="I50" i="9"/>
  <c r="I49" i="9"/>
  <c r="I48" i="9"/>
  <c r="R41" i="9"/>
  <c r="I47" i="9" s="1"/>
  <c r="Q41" i="9"/>
  <c r="J46" i="9" s="1"/>
  <c r="J53" i="9" s="1"/>
  <c r="P41" i="9"/>
  <c r="O41" i="9"/>
  <c r="N41" i="9"/>
  <c r="M41" i="9"/>
  <c r="L41" i="9"/>
  <c r="K41" i="9"/>
  <c r="J41" i="9"/>
  <c r="H41" i="9"/>
  <c r="G41" i="9"/>
  <c r="I11" i="3"/>
  <c r="I12" i="3"/>
  <c r="I13" i="3"/>
  <c r="I52" i="8"/>
  <c r="H63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I56" i="8"/>
  <c r="I55" i="8"/>
  <c r="I54" i="8"/>
  <c r="Q47" i="8"/>
  <c r="J52" i="8" s="1"/>
  <c r="J59" i="8" s="1"/>
  <c r="P47" i="8"/>
  <c r="O47" i="8"/>
  <c r="N47" i="8"/>
  <c r="M47" i="8"/>
  <c r="L47" i="8"/>
  <c r="K47" i="8"/>
  <c r="J47" i="8"/>
  <c r="H47" i="8"/>
  <c r="G47" i="8"/>
  <c r="R47" i="8"/>
  <c r="I53" i="8" s="1"/>
  <c r="I47" i="8"/>
  <c r="H48" i="7"/>
  <c r="I34" i="7"/>
  <c r="I41" i="7" s="1"/>
  <c r="R21" i="7"/>
  <c r="R20" i="7"/>
  <c r="R17" i="7"/>
  <c r="R16" i="7"/>
  <c r="R6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8" i="7"/>
  <c r="I37" i="7"/>
  <c r="I36" i="7"/>
  <c r="Q29" i="7"/>
  <c r="J34" i="7" s="1"/>
  <c r="J41" i="7" s="1"/>
  <c r="P29" i="7"/>
  <c r="O29" i="7"/>
  <c r="N29" i="7"/>
  <c r="M29" i="7"/>
  <c r="L29" i="7"/>
  <c r="K29" i="7"/>
  <c r="J29" i="7"/>
  <c r="H29" i="7"/>
  <c r="G29" i="7"/>
  <c r="R29" i="7"/>
  <c r="I35" i="7" s="1"/>
  <c r="R53" i="6"/>
  <c r="R35" i="6"/>
  <c r="R30" i="6"/>
  <c r="R28" i="6"/>
  <c r="R27" i="6"/>
  <c r="R12" i="6"/>
  <c r="R5" i="6"/>
  <c r="R22" i="6"/>
  <c r="R15" i="6"/>
  <c r="I37" i="6"/>
  <c r="I36" i="6"/>
  <c r="I21" i="6"/>
  <c r="I20" i="6"/>
  <c r="I35" i="6"/>
  <c r="I54" i="6"/>
  <c r="I34" i="6"/>
  <c r="I19" i="6"/>
  <c r="I33" i="6"/>
  <c r="I32" i="6"/>
  <c r="I31" i="6"/>
  <c r="I18" i="6"/>
  <c r="I17" i="6"/>
  <c r="I16" i="6"/>
  <c r="I53" i="6"/>
  <c r="I30" i="6"/>
  <c r="I15" i="6"/>
  <c r="I52" i="6"/>
  <c r="I29" i="6"/>
  <c r="I14" i="6"/>
  <c r="I51" i="6"/>
  <c r="I50" i="6"/>
  <c r="I49" i="6"/>
  <c r="I28" i="6"/>
  <c r="I48" i="6"/>
  <c r="I47" i="6"/>
  <c r="I46" i="6"/>
  <c r="I13" i="6"/>
  <c r="I45" i="6"/>
  <c r="I12" i="6"/>
  <c r="I44" i="6"/>
  <c r="I43" i="6"/>
  <c r="I42" i="6"/>
  <c r="I11" i="6"/>
  <c r="I10" i="6"/>
  <c r="I41" i="6"/>
  <c r="I40" i="6"/>
  <c r="I27" i="6"/>
  <c r="I26" i="6"/>
  <c r="I25" i="6"/>
  <c r="I9" i="6"/>
  <c r="I24" i="6"/>
  <c r="I39" i="6"/>
  <c r="I38" i="6"/>
  <c r="I8" i="6"/>
  <c r="I7" i="6"/>
  <c r="I6" i="6"/>
  <c r="I5" i="6"/>
  <c r="I4" i="6"/>
  <c r="I23" i="6"/>
  <c r="I3" i="6"/>
  <c r="I22" i="6"/>
  <c r="I65" i="6"/>
  <c r="I64" i="6"/>
  <c r="I63" i="6"/>
  <c r="Q56" i="6"/>
  <c r="J61" i="6" s="1"/>
  <c r="J68" i="6" s="1"/>
  <c r="P56" i="6"/>
  <c r="O56" i="6"/>
  <c r="N56" i="6"/>
  <c r="M56" i="6"/>
  <c r="L56" i="6"/>
  <c r="K56" i="6"/>
  <c r="J56" i="6"/>
  <c r="H56" i="6"/>
  <c r="G56" i="6"/>
  <c r="R41" i="5"/>
  <c r="R34" i="5"/>
  <c r="R33" i="5"/>
  <c r="R32" i="5"/>
  <c r="R29" i="5"/>
  <c r="R25" i="5"/>
  <c r="R14" i="5"/>
  <c r="R27" i="5"/>
  <c r="I20" i="5"/>
  <c r="I6" i="5"/>
  <c r="I7" i="5"/>
  <c r="I8" i="5"/>
  <c r="I34" i="5"/>
  <c r="I9" i="5"/>
  <c r="I21" i="5"/>
  <c r="I10" i="5"/>
  <c r="I22" i="5"/>
  <c r="I23" i="5"/>
  <c r="I11" i="5"/>
  <c r="I35" i="5"/>
  <c r="I3" i="5"/>
  <c r="I24" i="5"/>
  <c r="I25" i="5"/>
  <c r="I26" i="5"/>
  <c r="I27" i="5"/>
  <c r="I28" i="5"/>
  <c r="I36" i="5"/>
  <c r="I12" i="5"/>
  <c r="I13" i="5"/>
  <c r="I14" i="5"/>
  <c r="I37" i="5"/>
  <c r="I29" i="5"/>
  <c r="I38" i="5"/>
  <c r="I15" i="5"/>
  <c r="I16" i="5"/>
  <c r="I39" i="5"/>
  <c r="I30" i="5"/>
  <c r="I31" i="5"/>
  <c r="I32" i="5"/>
  <c r="I33" i="5"/>
  <c r="I40" i="5"/>
  <c r="I17" i="5"/>
  <c r="I41" i="5"/>
  <c r="I42" i="5"/>
  <c r="I18" i="5"/>
  <c r="I4" i="5"/>
  <c r="I19" i="5"/>
  <c r="I5" i="5"/>
  <c r="I53" i="5"/>
  <c r="I52" i="5"/>
  <c r="I51" i="5"/>
  <c r="Q44" i="5"/>
  <c r="J49" i="5" s="1"/>
  <c r="J56" i="5" s="1"/>
  <c r="P44" i="5"/>
  <c r="O44" i="5"/>
  <c r="N44" i="5"/>
  <c r="M44" i="5"/>
  <c r="L44" i="5"/>
  <c r="K44" i="5"/>
  <c r="J44" i="5"/>
  <c r="H44" i="5"/>
  <c r="G44" i="5"/>
  <c r="R44" i="5"/>
  <c r="I50" i="5" s="1"/>
  <c r="I50" i="4"/>
  <c r="R41" i="4"/>
  <c r="R40" i="4"/>
  <c r="R38" i="4"/>
  <c r="R37" i="4"/>
  <c r="R33" i="4"/>
  <c r="R31" i="4"/>
  <c r="R30" i="4"/>
  <c r="R5" i="4"/>
  <c r="R55" i="4" s="1"/>
  <c r="I61" i="4" s="1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1" i="4"/>
  <c r="I52" i="4"/>
  <c r="I5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" i="4"/>
  <c r="I55" i="4" s="1"/>
  <c r="I60" i="4" s="1"/>
  <c r="I64" i="4"/>
  <c r="I63" i="4"/>
  <c r="I62" i="4"/>
  <c r="Q55" i="4"/>
  <c r="J60" i="4" s="1"/>
  <c r="J67" i="4" s="1"/>
  <c r="P55" i="4"/>
  <c r="O55" i="4"/>
  <c r="N55" i="4"/>
  <c r="M55" i="4"/>
  <c r="L55" i="4"/>
  <c r="K55" i="4"/>
  <c r="J55" i="4"/>
  <c r="H55" i="4"/>
  <c r="G55" i="4"/>
  <c r="R16" i="3"/>
  <c r="R10" i="3"/>
  <c r="R23" i="3"/>
  <c r="R19" i="3"/>
  <c r="R17" i="3"/>
  <c r="R7" i="3"/>
  <c r="R5" i="3"/>
  <c r="H43" i="3"/>
  <c r="I24" i="3"/>
  <c r="I23" i="3"/>
  <c r="I22" i="3"/>
  <c r="I21" i="3"/>
  <c r="I20" i="3"/>
  <c r="I19" i="3"/>
  <c r="I18" i="3"/>
  <c r="I10" i="3"/>
  <c r="I17" i="3"/>
  <c r="I16" i="3"/>
  <c r="I15" i="3"/>
  <c r="I14" i="3"/>
  <c r="I9" i="3"/>
  <c r="I8" i="3"/>
  <c r="I7" i="3"/>
  <c r="I6" i="3"/>
  <c r="I5" i="3"/>
  <c r="I4" i="3"/>
  <c r="I3" i="3"/>
  <c r="I26" i="3" s="1"/>
  <c r="I31" i="3" s="1"/>
  <c r="I35" i="3"/>
  <c r="I34" i="3"/>
  <c r="I33" i="3"/>
  <c r="Q26" i="3"/>
  <c r="J31" i="3" s="1"/>
  <c r="J38" i="3" s="1"/>
  <c r="P26" i="3"/>
  <c r="O26" i="3"/>
  <c r="N26" i="3"/>
  <c r="M26" i="3"/>
  <c r="L26" i="3"/>
  <c r="K26" i="3"/>
  <c r="J26" i="3"/>
  <c r="H26" i="3"/>
  <c r="G26" i="3"/>
  <c r="R23" i="2"/>
  <c r="R17" i="2"/>
  <c r="R16" i="2"/>
  <c r="R9" i="2"/>
  <c r="R4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34" i="2"/>
  <c r="I33" i="2"/>
  <c r="I32" i="2"/>
  <c r="Q25" i="2"/>
  <c r="J30" i="2" s="1"/>
  <c r="J37" i="2" s="1"/>
  <c r="P25" i="2"/>
  <c r="O25" i="2"/>
  <c r="N25" i="2"/>
  <c r="M25" i="2"/>
  <c r="L25" i="2"/>
  <c r="K25" i="2"/>
  <c r="J25" i="2"/>
  <c r="H25" i="2"/>
  <c r="G25" i="2"/>
  <c r="I25" i="2"/>
  <c r="I30" i="2" s="1"/>
  <c r="I55" i="10" l="1"/>
  <c r="I53" i="9"/>
  <c r="I59" i="8"/>
  <c r="I29" i="7"/>
  <c r="I56" i="6"/>
  <c r="I61" i="6" s="1"/>
  <c r="R56" i="6"/>
  <c r="I62" i="6" s="1"/>
  <c r="I44" i="5"/>
  <c r="I49" i="5" s="1"/>
  <c r="I56" i="5" s="1"/>
  <c r="I67" i="4"/>
  <c r="R26" i="3"/>
  <c r="I32" i="3" s="1"/>
  <c r="I38" i="3" s="1"/>
  <c r="R25" i="2"/>
  <c r="I31" i="2" s="1"/>
  <c r="I37" i="2" s="1"/>
  <c r="I60" i="10" l="1"/>
  <c r="I67" i="10" s="1"/>
  <c r="I68" i="6"/>
</calcChain>
</file>

<file path=xl/sharedStrings.xml><?xml version="1.0" encoding="utf-8"?>
<sst xmlns="http://schemas.openxmlformats.org/spreadsheetml/2006/main" count="6661" uniqueCount="2177">
  <si>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</si>
  <si>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</si>
  <si>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</si>
  <si>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</si>
  <si>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</si>
  <si>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</si>
  <si>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</si>
  <si>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</si>
  <si>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</si>
  <si>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</si>
  <si>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</si>
  <si>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</si>
  <si>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</si>
  <si>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</si>
  <si>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</si>
  <si>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c.cuong</t>
  </si>
  <si>
    <t>đổi hàng</t>
  </si>
  <si>
    <t>phu nhuan</t>
  </si>
  <si>
    <t>tan binh</t>
  </si>
  <si>
    <t>binh thanh</t>
  </si>
  <si>
    <t>go vap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</si>
  <si>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</si>
  <si>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</si>
  <si>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</si>
  <si>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</si>
  <si>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</si>
  <si>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</si>
  <si>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</si>
  <si>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</si>
  <si>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</si>
  <si>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</si>
  <si>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THU 4</t>
  </si>
  <si>
    <t>NGAY 1-4</t>
  </si>
  <si>
    <t>T4.1.4.2026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</si>
  <si>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</si>
  <si>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</si>
  <si>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</si>
  <si>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</si>
  <si>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</si>
  <si>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</si>
  <si>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</si>
  <si>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</si>
  <si>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</si>
  <si>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</si>
  <si>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</si>
  <si>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</si>
  <si>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</si>
  <si>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</si>
  <si>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</si>
  <si>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</si>
  <si>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</si>
  <si>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</si>
  <si>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</si>
  <si>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</si>
  <si>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</si>
  <si>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</si>
  <si>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</si>
  <si>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</si>
  <si>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</si>
  <si>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</si>
  <si>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</si>
  <si>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</si>
  <si>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</si>
  <si>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</si>
  <si>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</si>
  <si>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</si>
  <si>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</si>
  <si>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</si>
  <si>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</si>
  <si>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</si>
  <si>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</si>
  <si>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</si>
  <si>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</si>
  <si>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</si>
  <si>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</si>
  <si>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</si>
  <si>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</si>
  <si>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</si>
  <si>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</si>
  <si>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</si>
  <si>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</si>
  <si>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</si>
  <si>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</si>
  <si>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</si>
  <si>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</si>
  <si>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</si>
  <si>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</si>
  <si>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</si>
  <si>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</si>
  <si>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</si>
  <si>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</si>
  <si>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</si>
  <si>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</si>
  <si>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</si>
  <si>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</si>
  <si>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</si>
  <si>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</si>
  <si>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</si>
  <si>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</si>
  <si>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Jess-9244</t>
  </si>
  <si>
    <t>275/14B1 Đặng Nguyên Cẩn, Phường Phú Lâm</t>
  </si>
  <si>
    <t>ĐỊA CHỈ</t>
  </si>
  <si>
    <t>THU 5</t>
  </si>
  <si>
    <t>NGAY 2-4</t>
  </si>
  <si>
    <t>T5.2.4.2026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</si>
  <si>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</si>
  <si>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</si>
  <si>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</si>
  <si>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</si>
  <si>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</si>
  <si>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</si>
  <si>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</si>
  <si>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</si>
  <si>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</si>
  <si>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</si>
  <si>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</si>
  <si>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</si>
  <si>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</si>
  <si>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</si>
  <si>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</si>
  <si>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</si>
  <si>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</si>
  <si>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</si>
  <si>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</si>
  <si>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</si>
  <si>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</si>
  <si>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</si>
  <si>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</si>
  <si>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</si>
  <si>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</si>
  <si>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</si>
  <si>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</si>
  <si>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</si>
  <si>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</si>
  <si>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</si>
  <si>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</si>
  <si>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</si>
  <si>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</si>
  <si>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</si>
  <si>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</si>
  <si>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</si>
  <si>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</si>
  <si>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</si>
  <si>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</si>
  <si>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</si>
  <si>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</si>
  <si>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</si>
  <si>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</si>
  <si>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Nguyễn Trương Phương Oanh</t>
  </si>
  <si>
    <t>HD006977</t>
  </si>
  <si>
    <t>125/42/2 Bùi Đình Tuý, phường 14</t>
  </si>
  <si>
    <t>kh ck shop 1215k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</si>
  <si>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</si>
  <si>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</si>
  <si>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</si>
  <si>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</si>
  <si>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</si>
  <si>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</si>
  <si>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</si>
  <si>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</si>
  <si>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</si>
  <si>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</si>
  <si>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</si>
  <si>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</si>
  <si>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</si>
  <si>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</si>
  <si>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</si>
  <si>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</si>
  <si>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</si>
  <si>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</si>
  <si>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</si>
  <si>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</si>
  <si>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</si>
  <si>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đơn ck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</si>
  <si>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</si>
  <si>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</si>
  <si>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</si>
  <si>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</si>
  <si>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</si>
  <si>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</si>
  <si>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</si>
  <si>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</si>
  <si>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</si>
  <si>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</si>
  <si>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</si>
  <si>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</si>
  <si>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</si>
  <si>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</si>
  <si>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</si>
  <si>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</si>
  <si>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</si>
  <si>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</si>
  <si>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</si>
  <si>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</si>
  <si>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</si>
  <si>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</si>
  <si>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</si>
  <si>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</si>
  <si>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</si>
  <si>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</si>
  <si>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</si>
  <si>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</si>
  <si>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</si>
  <si>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</si>
  <si>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</si>
  <si>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</si>
  <si>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</si>
  <si>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</si>
  <si>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</si>
  <si>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</si>
  <si>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</si>
  <si>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</si>
  <si>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</si>
  <si>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</si>
  <si>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</si>
  <si>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</si>
  <si>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</si>
  <si>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</si>
  <si>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</si>
  <si>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</si>
  <si>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</si>
  <si>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</si>
  <si>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</si>
  <si>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</si>
  <si>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</si>
  <si>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</si>
  <si>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</si>
  <si>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</si>
  <si>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</si>
  <si>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</si>
  <si>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</si>
  <si>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</si>
  <si>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</si>
  <si>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</si>
  <si>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</si>
  <si>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</si>
  <si>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</si>
  <si>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</si>
  <si>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</si>
  <si>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</si>
  <si>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</si>
  <si>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</si>
  <si>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</si>
  <si>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</si>
  <si>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</si>
  <si>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</si>
  <si>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</si>
  <si>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</si>
  <si>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</si>
  <si>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</si>
  <si>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</si>
  <si>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</si>
  <si>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</si>
  <si>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</si>
  <si>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</si>
  <si>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</si>
  <si>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</si>
  <si>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</si>
  <si>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</si>
  <si>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</si>
  <si>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</si>
  <si>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</si>
  <si>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</si>
  <si>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</si>
  <si>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</si>
  <si>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</si>
  <si>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</si>
  <si>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</si>
  <si>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</si>
  <si>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</si>
  <si>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</si>
  <si>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</si>
  <si>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</si>
  <si>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</si>
  <si>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</si>
  <si>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</si>
  <si>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</si>
  <si>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</si>
  <si>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</si>
  <si>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</si>
  <si>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</si>
  <si>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</si>
  <si>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</si>
  <si>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</si>
  <si>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</si>
  <si>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</si>
  <si>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</si>
  <si>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</si>
  <si>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</si>
  <si>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</si>
  <si>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</si>
  <si>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</si>
  <si>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</si>
  <si>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</si>
  <si>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</si>
  <si>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</si>
  <si>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</si>
  <si>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</si>
  <si>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</si>
  <si>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</si>
  <si>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</si>
  <si>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</si>
  <si>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</si>
  <si>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</si>
  <si>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</si>
  <si>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</si>
  <si>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</si>
  <si>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</si>
  <si>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</si>
  <si>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</si>
  <si>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</si>
  <si>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HD007574</t>
  </si>
  <si>
    <t>LISA</t>
  </si>
  <si>
    <t>685 tân sơn phường 12</t>
  </si>
  <si>
    <t>Ly Clara Selena</t>
  </si>
  <si>
    <t>403 tân sơn p12</t>
  </si>
  <si>
    <t>THU 6</t>
  </si>
  <si>
    <t>NGAY 3-4</t>
  </si>
  <si>
    <t>T6.3.4.2026</t>
  </si>
  <si>
    <t>HD007059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</si>
  <si>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</si>
  <si>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</si>
  <si>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</si>
  <si>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</si>
  <si>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</si>
  <si>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</si>
  <si>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</si>
  <si>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</si>
  <si>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</si>
  <si>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</si>
  <si>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</si>
  <si>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</si>
  <si>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</si>
  <si>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</si>
  <si>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</si>
  <si>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</si>
  <si>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</si>
  <si>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</si>
  <si>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</si>
  <si>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</si>
  <si>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</si>
  <si>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</si>
  <si>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</si>
  <si>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</si>
  <si>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</si>
  <si>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</si>
  <si>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</si>
  <si>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</si>
  <si>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</si>
  <si>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</si>
  <si>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</si>
  <si>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</si>
  <si>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</si>
  <si>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</si>
  <si>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</si>
  <si>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</si>
  <si>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</si>
  <si>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</si>
  <si>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</si>
  <si>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</si>
  <si>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</si>
  <si>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</si>
  <si>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</si>
  <si>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</si>
  <si>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</si>
  <si>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</si>
  <si>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</si>
  <si>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</si>
  <si>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</si>
  <si>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</si>
  <si>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</si>
  <si>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</si>
  <si>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</si>
  <si>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</si>
  <si>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</si>
  <si>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</si>
  <si>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</si>
  <si>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</si>
  <si>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</si>
  <si>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</si>
  <si>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</si>
  <si>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</si>
  <si>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</si>
  <si>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</si>
  <si>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</si>
  <si>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</si>
  <si>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</si>
  <si>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</si>
  <si>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</si>
  <si>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</si>
  <si>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</si>
  <si>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</si>
  <si>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</si>
  <si>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</si>
  <si>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</si>
  <si>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</si>
  <si>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</si>
  <si>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</si>
  <si>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</si>
  <si>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</si>
  <si>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</si>
  <si>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</si>
  <si>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</si>
  <si>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</si>
  <si>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</si>
  <si>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</si>
  <si>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</si>
  <si>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</si>
  <si>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</si>
  <si>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</si>
  <si>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</si>
  <si>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</si>
  <si>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</si>
  <si>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</si>
  <si>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</si>
  <si>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</si>
  <si>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</si>
  <si>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</si>
  <si>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</si>
  <si>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</si>
  <si>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</si>
  <si>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</si>
  <si>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</si>
  <si>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</si>
  <si>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</si>
  <si>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</si>
  <si>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</si>
  <si>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</si>
  <si>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</si>
  <si>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</si>
  <si>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</si>
  <si>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</si>
  <si>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</si>
  <si>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</si>
  <si>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</si>
  <si>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</si>
  <si>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</si>
  <si>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</si>
  <si>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</si>
  <si>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</si>
  <si>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đơn trả 5.4</t>
  </si>
  <si>
    <t>T2.6.4.2026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</si>
  <si>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</si>
  <si>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</si>
  <si>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</si>
  <si>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</si>
  <si>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</si>
  <si>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</si>
  <si>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</si>
  <si>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</si>
  <si>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</si>
  <si>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</si>
  <si>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</si>
  <si>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</si>
  <si>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</si>
  <si>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</si>
  <si>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</si>
  <si>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</si>
  <si>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</si>
  <si>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</si>
  <si>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</si>
  <si>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</si>
  <si>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</si>
  <si>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</si>
  <si>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</si>
  <si>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</si>
  <si>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</si>
  <si>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</si>
  <si>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</si>
  <si>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</si>
  <si>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</si>
  <si>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</si>
  <si>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</si>
  <si>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</si>
  <si>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</si>
  <si>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</si>
  <si>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</si>
  <si>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</si>
  <si>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</si>
  <si>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</si>
  <si>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</si>
  <si>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</si>
  <si>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</si>
  <si>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</si>
  <si>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</si>
  <si>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</si>
  <si>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</si>
  <si>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</si>
  <si>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</si>
  <si>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</si>
  <si>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</si>
  <si>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</si>
  <si>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</si>
  <si>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</si>
  <si>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</si>
  <si>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</si>
  <si>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</si>
  <si>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</si>
  <si>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</si>
  <si>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</si>
  <si>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</si>
  <si>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</si>
  <si>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</si>
  <si>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</si>
  <si>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</si>
  <si>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</si>
  <si>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</si>
  <si>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</si>
  <si>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</si>
  <si>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</si>
  <si>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</si>
  <si>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</si>
  <si>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</si>
  <si>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</si>
  <si>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</si>
  <si>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</si>
  <si>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</si>
  <si>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</si>
  <si>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</si>
  <si>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</si>
  <si>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</si>
  <si>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</si>
  <si>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</si>
  <si>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</si>
  <si>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</si>
  <si>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</si>
  <si>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</si>
  <si>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</si>
  <si>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</si>
  <si>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</si>
  <si>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</si>
  <si>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Kiều Filler</t>
  </si>
  <si>
    <t>HD006142</t>
  </si>
  <si>
    <t>166/48c thích quảng Đức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</si>
  <si>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</si>
  <si>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</si>
  <si>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</si>
  <si>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</si>
  <si>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</si>
  <si>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</si>
  <si>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</si>
  <si>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</si>
  <si>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</si>
  <si>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</si>
  <si>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</si>
  <si>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</si>
  <si>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</si>
  <si>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</si>
  <si>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</si>
  <si>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</si>
  <si>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</si>
  <si>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</si>
  <si>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</si>
  <si>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</si>
  <si>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</si>
  <si>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</si>
  <si>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</si>
  <si>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</si>
  <si>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</si>
  <si>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</si>
  <si>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</si>
  <si>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</si>
  <si>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</si>
  <si>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</si>
  <si>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</si>
  <si>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</si>
  <si>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</si>
  <si>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</si>
  <si>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</si>
  <si>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</si>
  <si>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</si>
  <si>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</si>
  <si>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</si>
  <si>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</si>
  <si>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</si>
  <si>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</si>
  <si>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</si>
  <si>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</si>
  <si>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</si>
  <si>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</si>
  <si>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</si>
  <si>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</si>
  <si>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</si>
  <si>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</si>
  <si>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</si>
  <si>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</si>
  <si>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</si>
  <si>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</si>
  <si>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đơn trả 7.4</t>
  </si>
  <si>
    <t>kh ck shop 2370k</t>
  </si>
  <si>
    <t>kh ck shop 2390k</t>
  </si>
  <si>
    <t>THU 3</t>
  </si>
  <si>
    <t>NGAY 7-4</t>
  </si>
  <si>
    <t>T3.7.4.2026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</si>
  <si>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</si>
  <si>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</si>
  <si>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</si>
  <si>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</si>
  <si>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</si>
  <si>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</si>
  <si>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</si>
  <si>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</si>
  <si>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</si>
  <si>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</si>
  <si>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</si>
  <si>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</si>
  <si>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</si>
  <si>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</si>
  <si>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</si>
  <si>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</si>
  <si>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</si>
  <si>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</si>
  <si>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</si>
  <si>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</si>
  <si>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</si>
  <si>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</si>
  <si>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</si>
  <si>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</si>
  <si>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</si>
  <si>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</si>
  <si>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</si>
  <si>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</si>
  <si>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</si>
  <si>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</si>
  <si>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</si>
  <si>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</si>
  <si>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</si>
  <si>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</si>
  <si>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</si>
  <si>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</si>
  <si>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</si>
  <si>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</si>
  <si>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</si>
  <si>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</si>
  <si>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</si>
  <si>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</si>
  <si>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</si>
  <si>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</si>
  <si>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</si>
  <si>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</si>
  <si>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</si>
  <si>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</si>
  <si>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</si>
  <si>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</si>
  <si>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</si>
  <si>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</si>
  <si>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</si>
  <si>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</si>
  <si>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</si>
  <si>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</si>
  <si>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</si>
  <si>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</si>
  <si>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</si>
  <si>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</si>
  <si>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</si>
  <si>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</si>
  <si>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</si>
  <si>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Đào Hạnh nhận hộ An Hy</t>
  </si>
  <si>
    <t>HD008648</t>
  </si>
  <si>
    <t>24 Yên Thế, Phường 2</t>
  </si>
  <si>
    <t>UYÊN MI</t>
  </si>
  <si>
    <t>93/1 Nguyễn Chí Thanh P9</t>
  </si>
  <si>
    <t>luu tra</t>
  </si>
  <si>
    <t>đơn cũ ck</t>
  </si>
  <si>
    <t>kh ck shop 695k</t>
  </si>
  <si>
    <t>kh ck shop 1020k</t>
  </si>
  <si>
    <t>đơn nhà xe Anh Khương 2.4</t>
  </si>
  <si>
    <t>đơn thu hộ 6.4</t>
  </si>
  <si>
    <t>T4.8.4.2026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</si>
  <si>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</si>
  <si>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</si>
  <si>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</si>
  <si>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</si>
  <si>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</si>
  <si>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</si>
  <si>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</si>
  <si>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</si>
  <si>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</si>
  <si>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</si>
  <si>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</si>
  <si>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</si>
  <si>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</si>
  <si>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</si>
  <si>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</si>
  <si>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</si>
  <si>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</si>
  <si>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</si>
  <si>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</si>
  <si>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</si>
  <si>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</si>
  <si>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</si>
  <si>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</si>
  <si>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</si>
  <si>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</si>
  <si>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</si>
  <si>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</si>
  <si>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</si>
  <si>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</si>
  <si>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</si>
  <si>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</si>
  <si>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</si>
  <si>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</si>
  <si>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</si>
  <si>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</si>
  <si>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</si>
  <si>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</si>
  <si>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</si>
  <si>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</si>
  <si>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</si>
  <si>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</si>
  <si>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</si>
  <si>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</si>
  <si>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</si>
  <si>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</si>
  <si>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</si>
  <si>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</si>
  <si>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</si>
  <si>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</si>
  <si>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</si>
  <si>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</si>
  <si>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</si>
  <si>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</si>
  <si>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</si>
  <si>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</si>
  <si>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</si>
  <si>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</si>
  <si>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</si>
  <si>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</si>
  <si>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</si>
  <si>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</si>
  <si>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</si>
  <si>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</si>
  <si>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</si>
  <si>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</si>
  <si>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</si>
  <si>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</si>
  <si>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</si>
  <si>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</si>
  <si>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</si>
  <si>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</si>
  <si>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</si>
  <si>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</si>
  <si>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</si>
  <si>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</si>
  <si>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</si>
  <si>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</si>
  <si>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</si>
  <si>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</si>
  <si>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</si>
  <si>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</si>
  <si>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</si>
  <si>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</si>
  <si>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</si>
  <si>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</si>
  <si>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</si>
  <si>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</si>
  <si>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</si>
  <si>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</si>
  <si>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</si>
  <si>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</si>
  <si>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</si>
  <si>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</si>
  <si>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</si>
  <si>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</si>
  <si>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</si>
  <si>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</si>
  <si>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</si>
  <si>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</si>
  <si>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</si>
  <si>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</si>
  <si>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</si>
  <si>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</si>
  <si>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</si>
  <si>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</si>
  <si>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</si>
  <si>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</si>
  <si>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</si>
  <si>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</si>
  <si>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</si>
  <si>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</si>
  <si>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</si>
  <si>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</si>
  <si>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</si>
  <si>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</si>
  <si>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</si>
  <si>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26-03-2026</t>
  </si>
  <si>
    <t>hàng tỉnh</t>
  </si>
  <si>
    <t>x</t>
  </si>
  <si>
    <t>xx</t>
  </si>
  <si>
    <t>đơn trả 9.4</t>
  </si>
  <si>
    <t>T5.9.4.2026</t>
  </si>
  <si>
    <t>NGAY 9-4</t>
  </si>
  <si>
    <t>NGAY 8-4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</si>
  <si>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</si>
  <si>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</si>
  <si>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</si>
  <si>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</si>
  <si>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</si>
  <si>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</si>
  <si>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</si>
  <si>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</si>
  <si>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</si>
  <si>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</si>
  <si>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</si>
  <si>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</si>
  <si>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</si>
  <si>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</si>
  <si>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</si>
  <si>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</si>
  <si>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</si>
  <si>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</si>
  <si>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</si>
  <si>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</si>
  <si>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</si>
  <si>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</si>
  <si>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</si>
  <si>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</si>
  <si>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</si>
  <si>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</si>
  <si>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</si>
  <si>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</si>
  <si>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</si>
  <si>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</si>
  <si>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</si>
  <si>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</si>
  <si>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</si>
  <si>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</si>
  <si>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</si>
  <si>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</si>
  <si>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</si>
  <si>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</si>
  <si>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</si>
  <si>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</si>
  <si>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</si>
  <si>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</si>
  <si>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</si>
  <si>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</si>
  <si>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</si>
  <si>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</si>
  <si>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</si>
  <si>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</si>
  <si>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</si>
  <si>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</si>
  <si>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</si>
  <si>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</si>
  <si>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</si>
  <si>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</si>
  <si>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</si>
  <si>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</si>
  <si>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</si>
  <si>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</si>
  <si>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</si>
  <si>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</si>
  <si>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</si>
  <si>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</si>
  <si>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</si>
  <si>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</si>
  <si>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</si>
  <si>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</si>
  <si>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</si>
  <si>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</si>
  <si>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</si>
  <si>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</si>
  <si>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</si>
  <si>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</si>
  <si>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</si>
  <si>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</si>
  <si>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</si>
  <si>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</si>
  <si>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</si>
  <si>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</si>
  <si>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</si>
  <si>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</si>
  <si>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</si>
  <si>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</si>
  <si>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</si>
  <si>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</si>
  <si>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</si>
  <si>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</si>
  <si>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</si>
  <si>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</si>
  <si>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</si>
  <si>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</si>
  <si>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</si>
  <si>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</si>
  <si>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</si>
  <si>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</si>
  <si>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</si>
  <si>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</si>
  <si>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</si>
  <si>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</si>
  <si>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</si>
  <si>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</si>
  <si>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</si>
  <si>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</si>
  <si>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</si>
  <si>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</si>
  <si>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T6.10.4.2026</t>
  </si>
  <si>
    <t>NGAY 10-4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</si>
  <si>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</si>
  <si>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</si>
  <si>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</si>
  <si>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</si>
  <si>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</si>
  <si>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</si>
  <si>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</si>
  <si>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</si>
  <si>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</si>
  <si>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</si>
  <si>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</si>
  <si>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</si>
  <si>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</si>
  <si>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</si>
  <si>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</si>
  <si>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</si>
  <si>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</si>
  <si>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</si>
  <si>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</si>
  <si>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</si>
  <si>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</si>
  <si>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</si>
  <si>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</si>
  <si>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</si>
  <si>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</si>
  <si>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</si>
  <si>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</si>
  <si>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</si>
  <si>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</si>
  <si>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</si>
  <si>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</si>
  <si>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</si>
  <si>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</si>
  <si>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</si>
  <si>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</si>
  <si>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</si>
  <si>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</si>
  <si>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</si>
  <si>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</si>
  <si>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</si>
  <si>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</si>
  <si>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</si>
  <si>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</si>
  <si>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</si>
  <si>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</si>
  <si>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</si>
  <si>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</si>
  <si>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</si>
  <si>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</si>
  <si>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</si>
  <si>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</si>
  <si>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</si>
  <si>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</si>
  <si>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</si>
  <si>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</si>
  <si>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</si>
  <si>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</si>
  <si>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</si>
  <si>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</si>
  <si>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</si>
  <si>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</si>
  <si>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</si>
  <si>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</si>
  <si>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</si>
  <si>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</si>
  <si>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</si>
  <si>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</si>
  <si>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</si>
  <si>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</si>
  <si>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</si>
  <si>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</si>
  <si>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</si>
  <si>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</si>
  <si>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</si>
  <si>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</si>
  <si>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</si>
  <si>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</si>
  <si>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</si>
  <si>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</si>
  <si>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</si>
  <si>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</si>
  <si>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</si>
  <si>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</si>
  <si>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</si>
  <si>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</si>
  <si>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</si>
  <si>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</si>
  <si>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</si>
  <si>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</si>
  <si>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</si>
  <si>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</si>
  <si>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</si>
  <si>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</si>
  <si>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</si>
  <si>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</si>
  <si>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</si>
  <si>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</si>
  <si>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</si>
  <si>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</si>
  <si>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</si>
  <si>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</si>
  <si>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</si>
  <si>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</si>
  <si>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</si>
  <si>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</si>
  <si>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</si>
  <si>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</si>
  <si>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</si>
  <si>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</si>
  <si>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</si>
  <si>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</si>
  <si>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</si>
  <si>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</si>
  <si>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</si>
  <si>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</si>
  <si>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</si>
  <si>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</si>
  <si>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</si>
  <si>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</si>
  <si>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</si>
  <si>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</si>
  <si>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</si>
  <si>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</si>
  <si>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</si>
  <si>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</si>
  <si>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</si>
  <si>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</si>
  <si>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</si>
  <si>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</si>
  <si>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</si>
  <si>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</si>
  <si>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</si>
  <si>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</si>
  <si>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</si>
  <si>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đơn lấy hàng về cho shop</t>
  </si>
  <si>
    <t>socheatahun</t>
  </si>
  <si>
    <t>100A Thich Quang Duc Street, Ward 5</t>
  </si>
  <si>
    <t>đơn trả 11.4</t>
  </si>
  <si>
    <t>shop chiu ship</t>
  </si>
  <si>
    <t>T7.11.4.2026</t>
  </si>
  <si>
    <t>NGAY 11-4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</si>
  <si>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</si>
  <si>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</si>
  <si>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</si>
  <si>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</si>
  <si>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</si>
  <si>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</si>
  <si>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</si>
  <si>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</si>
  <si>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</si>
  <si>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</si>
  <si>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</si>
  <si>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</si>
  <si>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</si>
  <si>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</si>
  <si>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</si>
  <si>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</si>
  <si>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</si>
  <si>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</si>
  <si>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</si>
  <si>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</si>
  <si>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</si>
  <si>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</si>
  <si>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</si>
  <si>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</si>
  <si>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</si>
  <si>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</si>
  <si>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</si>
  <si>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</si>
  <si>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</si>
  <si>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</si>
  <si>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</si>
  <si>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</si>
  <si>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</si>
  <si>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</si>
  <si>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</si>
  <si>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</si>
  <si>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</si>
  <si>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</si>
  <si>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</si>
  <si>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</si>
  <si>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</si>
  <si>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</si>
  <si>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</si>
  <si>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</si>
  <si>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</si>
  <si>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</si>
  <si>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</si>
  <si>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</si>
  <si>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</si>
  <si>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</si>
  <si>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</si>
  <si>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</si>
  <si>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</si>
  <si>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</si>
  <si>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</si>
  <si>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</si>
  <si>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</si>
  <si>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</si>
  <si>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</si>
  <si>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</si>
  <si>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</si>
  <si>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</si>
  <si>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</si>
  <si>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</si>
  <si>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</si>
  <si>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</si>
  <si>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</si>
  <si>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</si>
  <si>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</si>
  <si>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</si>
  <si>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</si>
  <si>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</si>
  <si>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</si>
  <si>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</si>
  <si>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</si>
  <si>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</si>
  <si>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</si>
  <si>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</si>
  <si>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</si>
  <si>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</si>
  <si>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</si>
  <si>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</si>
  <si>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</si>
  <si>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</si>
  <si>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</si>
  <si>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</si>
  <si>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</si>
  <si>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</si>
  <si>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</si>
  <si>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</si>
  <si>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</si>
  <si>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</si>
  <si>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</si>
  <si>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</si>
  <si>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</si>
  <si>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</si>
  <si>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</si>
  <si>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</si>
  <si>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</si>
  <si>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</si>
  <si>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</si>
  <si>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</si>
  <si>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</si>
  <si>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</si>
  <si>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</si>
  <si>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</si>
  <si>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</si>
  <si>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</si>
  <si>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</si>
  <si>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</si>
  <si>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</si>
  <si>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</si>
  <si>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</si>
  <si>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</si>
  <si>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</si>
  <si>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T2.13.4.2026</t>
  </si>
  <si>
    <t>NGAY 13-4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</si>
  <si>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</si>
  <si>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</si>
  <si>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</si>
  <si>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</si>
  <si>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</si>
  <si>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</si>
  <si>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</si>
  <si>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</si>
  <si>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</si>
  <si>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</si>
  <si>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</si>
  <si>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</si>
  <si>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</si>
  <si>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</si>
  <si>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</si>
  <si>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</si>
  <si>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</si>
  <si>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</si>
  <si>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</si>
  <si>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</si>
  <si>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</si>
  <si>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</si>
  <si>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</si>
  <si>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</si>
  <si>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</si>
  <si>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</si>
  <si>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</si>
  <si>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</si>
  <si>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</si>
  <si>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</si>
  <si>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</si>
  <si>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</si>
  <si>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</si>
  <si>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</si>
  <si>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</si>
  <si>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</si>
  <si>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</si>
  <si>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</si>
  <si>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</si>
  <si>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</si>
  <si>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</si>
  <si>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</si>
  <si>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</si>
  <si>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</si>
  <si>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</si>
  <si>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</si>
  <si>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</si>
  <si>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</si>
  <si>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</si>
  <si>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</si>
  <si>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</si>
  <si>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</si>
  <si>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</si>
  <si>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</si>
  <si>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</si>
  <si>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</si>
  <si>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</si>
  <si>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</si>
  <si>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</si>
  <si>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</si>
  <si>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</si>
  <si>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</si>
  <si>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</si>
  <si>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</si>
  <si>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</si>
  <si>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</si>
  <si>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</si>
  <si>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</si>
  <si>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</si>
  <si>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</si>
  <si>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</si>
  <si>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</si>
  <si>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</si>
  <si>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</si>
  <si>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</si>
  <si>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</si>
  <si>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</si>
  <si>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</si>
  <si>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</si>
  <si>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</si>
  <si>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</si>
  <si>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</si>
  <si>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</si>
  <si>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</si>
  <si>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</si>
  <si>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</si>
  <si>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</si>
  <si>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</si>
  <si>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</si>
  <si>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</si>
  <si>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</si>
  <si>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</si>
  <si>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</si>
  <si>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</si>
  <si>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</si>
  <si>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</si>
  <si>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</si>
  <si>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</si>
  <si>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</si>
  <si>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</si>
  <si>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</si>
  <si>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</si>
  <si>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</si>
  <si>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</si>
  <si>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</si>
  <si>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</si>
  <si>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</si>
  <si>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</si>
  <si>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</si>
  <si>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</si>
  <si>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</si>
  <si>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</si>
  <si>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</si>
  <si>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</si>
  <si>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</si>
  <si>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</si>
  <si>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</si>
  <si>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</si>
  <si>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</si>
  <si>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</si>
  <si>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</si>
  <si>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</si>
  <si>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</si>
  <si>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</si>
  <si>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</si>
  <si>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</si>
  <si>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</si>
  <si>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</si>
  <si>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</si>
  <si>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</si>
  <si>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</si>
  <si>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</si>
  <si>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</si>
  <si>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</si>
  <si>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</si>
  <si>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</si>
  <si>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</si>
  <si>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</si>
  <si>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</si>
  <si>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</si>
  <si>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</si>
  <si>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</si>
  <si>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</si>
  <si>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</si>
  <si>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</si>
  <si>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</si>
  <si>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</si>
  <si>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</si>
  <si>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</si>
  <si>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</si>
  <si>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</si>
  <si>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</si>
  <si>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</si>
  <si>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</si>
  <si>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</si>
  <si>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</si>
  <si>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</si>
  <si>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</si>
  <si>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</si>
  <si>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</si>
  <si>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</si>
  <si>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trả 14.4</t>
  </si>
  <si>
    <t>T3.14.4.2026</t>
  </si>
  <si>
    <t>NGAY 14-4</t>
  </si>
  <si>
    <t>đơn trả 15.4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</si>
  <si>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</si>
  <si>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</si>
  <si>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</si>
  <si>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</si>
  <si>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</si>
  <si>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</si>
  <si>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</si>
  <si>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</si>
  <si>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</si>
  <si>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</si>
  <si>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</si>
  <si>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</si>
  <si>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</si>
  <si>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</si>
  <si>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</si>
  <si>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</si>
  <si>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</si>
  <si>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</si>
  <si>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</si>
  <si>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</si>
  <si>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</si>
  <si>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</si>
  <si>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</si>
  <si>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</si>
  <si>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</si>
  <si>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</si>
  <si>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</si>
  <si>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</si>
  <si>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</si>
  <si>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</si>
  <si>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</si>
  <si>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</si>
  <si>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</si>
  <si>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</si>
  <si>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</si>
  <si>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</si>
  <si>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</si>
  <si>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</si>
  <si>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</si>
  <si>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</si>
  <si>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</si>
  <si>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</si>
  <si>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</si>
  <si>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</si>
  <si>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</si>
  <si>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</si>
  <si>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</si>
  <si>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</si>
  <si>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</si>
  <si>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</si>
  <si>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</si>
  <si>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</si>
  <si>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T4.15.4.2026</t>
  </si>
  <si>
    <t>NGAY 15-4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</si>
  <si>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</si>
  <si>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</si>
  <si>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</si>
  <si>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</si>
  <si>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</si>
  <si>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</si>
  <si>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</si>
  <si>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</si>
  <si>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</si>
  <si>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</si>
  <si>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</si>
  <si>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</si>
  <si>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</si>
  <si>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</si>
  <si>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</si>
  <si>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</si>
  <si>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</si>
  <si>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</si>
  <si>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</si>
  <si>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</si>
  <si>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</si>
  <si>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</si>
  <si>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</si>
  <si>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</si>
  <si>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</si>
  <si>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</si>
  <si>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</si>
  <si>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</si>
  <si>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</si>
  <si>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</si>
  <si>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</si>
  <si>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</si>
  <si>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</si>
  <si>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</si>
  <si>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</si>
  <si>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</si>
  <si>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</si>
  <si>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</si>
  <si>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</si>
  <si>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</si>
  <si>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</si>
  <si>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</si>
  <si>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</si>
  <si>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</si>
  <si>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</si>
  <si>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</si>
  <si>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</si>
  <si>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</si>
  <si>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</si>
  <si>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</si>
  <si>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</si>
  <si>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</si>
  <si>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</si>
  <si>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</si>
  <si>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</si>
  <si>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</si>
  <si>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</si>
  <si>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</si>
  <si>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</si>
  <si>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</si>
  <si>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</si>
  <si>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</si>
  <si>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</si>
  <si>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</si>
  <si>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</si>
  <si>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</si>
  <si>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</si>
  <si>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</si>
  <si>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kh ck shop 870k</t>
  </si>
  <si>
    <t>T5.16.4.2026</t>
  </si>
  <si>
    <t>NGAY 16-4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</si>
  <si>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</si>
  <si>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</si>
  <si>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</si>
  <si>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</si>
  <si>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</si>
  <si>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</si>
  <si>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</si>
  <si>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</si>
  <si>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</si>
  <si>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</si>
  <si>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</si>
  <si>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</si>
  <si>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</si>
  <si>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</si>
  <si>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</si>
  <si>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</si>
  <si>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</si>
  <si>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</si>
  <si>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</si>
  <si>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</si>
  <si>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</si>
  <si>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</si>
  <si>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</si>
  <si>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</si>
  <si>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</si>
  <si>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</si>
  <si>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</si>
  <si>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</si>
  <si>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</si>
  <si>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</si>
  <si>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</si>
  <si>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</si>
  <si>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</si>
  <si>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</si>
  <si>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</si>
  <si>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</si>
  <si>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</si>
  <si>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</si>
  <si>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</si>
  <si>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</si>
  <si>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</si>
  <si>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</si>
  <si>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</si>
  <si>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</si>
  <si>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</si>
  <si>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</si>
  <si>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</si>
  <si>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</si>
  <si>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</si>
  <si>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</si>
  <si>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</si>
  <si>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</si>
  <si>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</si>
  <si>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</si>
  <si>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</si>
  <si>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</si>
  <si>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</si>
  <si>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</si>
  <si>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</si>
  <si>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</si>
  <si>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</si>
  <si>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</si>
  <si>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</si>
  <si>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</si>
  <si>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</si>
  <si>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</si>
  <si>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</si>
  <si>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</si>
  <si>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</si>
  <si>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</si>
  <si>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</si>
  <si>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</si>
  <si>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</si>
  <si>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</si>
  <si>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</si>
  <si>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</si>
  <si>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</si>
  <si>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</si>
  <si>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</si>
  <si>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</si>
  <si>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</si>
  <si>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</si>
  <si>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</si>
  <si>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</si>
  <si>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</si>
  <si>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</si>
  <si>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</si>
  <si>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</si>
  <si>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</si>
  <si>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</si>
  <si>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</si>
  <si>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</si>
  <si>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</si>
  <si>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</si>
  <si>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</si>
  <si>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</si>
  <si>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</si>
  <si>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</si>
  <si>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</si>
  <si>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</si>
  <si>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</si>
  <si>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</si>
  <si>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</si>
  <si>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</si>
  <si>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</si>
  <si>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</si>
  <si>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</si>
  <si>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</si>
  <si>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</si>
  <si>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</si>
  <si>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</si>
  <si>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</si>
  <si>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</si>
  <si>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</si>
  <si>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</si>
  <si>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</si>
  <si>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</si>
  <si>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</si>
  <si>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</si>
  <si>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</si>
  <si>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</si>
  <si>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</si>
  <si>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</si>
  <si>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</si>
  <si>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kh ck shop 1115k</t>
  </si>
  <si>
    <t>NGAY 17-4</t>
  </si>
  <si>
    <t>T6.17.4.2026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</si>
  <si>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</si>
  <si>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</si>
  <si>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</si>
  <si>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</si>
  <si>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</si>
  <si>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</si>
  <si>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</si>
  <si>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</si>
  <si>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</si>
  <si>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</si>
  <si>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</si>
  <si>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</si>
  <si>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</si>
  <si>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</si>
  <si>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</si>
  <si>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</si>
  <si>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</si>
  <si>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</si>
  <si>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</si>
  <si>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</si>
  <si>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</si>
  <si>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</si>
  <si>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</si>
  <si>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</si>
  <si>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</si>
  <si>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</si>
  <si>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</si>
  <si>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</si>
  <si>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</si>
  <si>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</si>
  <si>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</si>
  <si>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</si>
  <si>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</si>
  <si>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</si>
  <si>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</si>
  <si>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</si>
  <si>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</si>
  <si>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</si>
  <si>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</si>
  <si>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</si>
  <si>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</si>
  <si>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</si>
  <si>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</si>
  <si>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</si>
  <si>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Vân NA Vy</t>
  </si>
  <si>
    <t>HD011639</t>
  </si>
  <si>
    <t>251 đường 9a khu trung sơn, bình hưng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</si>
  <si>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</si>
  <si>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</si>
  <si>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</si>
  <si>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</si>
  <si>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</si>
  <si>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</si>
  <si>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</si>
  <si>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</si>
  <si>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</si>
  <si>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</si>
  <si>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</si>
  <si>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</si>
  <si>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</si>
  <si>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</si>
  <si>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</si>
  <si>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</si>
  <si>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</si>
  <si>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</si>
  <si>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</si>
  <si>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</si>
  <si>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</si>
  <si>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</si>
  <si>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</si>
  <si>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</si>
  <si>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</si>
  <si>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</si>
  <si>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</si>
  <si>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</si>
  <si>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</si>
  <si>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</si>
  <si>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</si>
  <si>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</si>
  <si>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</si>
  <si>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</si>
  <si>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</si>
  <si>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</si>
  <si>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</si>
  <si>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</si>
  <si>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</si>
  <si>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</si>
  <si>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</si>
  <si>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</si>
  <si>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</si>
  <si>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</si>
  <si>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</si>
  <si>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</si>
  <si>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</si>
  <si>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</si>
  <si>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</si>
  <si>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</si>
  <si>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</si>
  <si>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</si>
  <si>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</si>
  <si>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</si>
  <si>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</si>
  <si>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</si>
  <si>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</si>
  <si>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</si>
  <si>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</si>
  <si>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</si>
  <si>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</si>
  <si>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</si>
  <si>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</si>
  <si>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</si>
  <si>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</si>
  <si>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</si>
  <si>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</si>
  <si>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</si>
  <si>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</si>
  <si>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</si>
  <si>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</si>
  <si>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</si>
  <si>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</si>
  <si>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</si>
  <si>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</si>
  <si>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</si>
  <si>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</si>
  <si>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</si>
  <si>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</si>
  <si>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</si>
  <si>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</si>
  <si>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</si>
  <si>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T7.18.4.2026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</si>
  <si>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</si>
  <si>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</si>
  <si>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</si>
  <si>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</si>
  <si>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</si>
  <si>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</si>
  <si>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</si>
  <si>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</si>
  <si>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</si>
  <si>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</si>
  <si>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</si>
  <si>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</si>
  <si>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</si>
  <si>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</si>
  <si>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</si>
  <si>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</si>
  <si>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</si>
  <si>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</si>
  <si>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</si>
  <si>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</si>
  <si>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</si>
  <si>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</si>
  <si>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</si>
  <si>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</si>
  <si>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</si>
  <si>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</si>
  <si>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</si>
  <si>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</si>
  <si>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</si>
  <si>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</si>
  <si>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</si>
  <si>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</si>
  <si>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</si>
  <si>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</si>
  <si>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</si>
  <si>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</si>
  <si>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</si>
  <si>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</si>
  <si>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</si>
  <si>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</si>
  <si>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</si>
  <si>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</si>
  <si>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</si>
  <si>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</si>
  <si>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</si>
  <si>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</si>
  <si>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</si>
  <si>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</si>
  <si>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</si>
  <si>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</si>
  <si>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</si>
  <si>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</si>
  <si>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</si>
  <si>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</si>
  <si>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</si>
  <si>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</si>
  <si>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</si>
  <si>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</si>
  <si>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</si>
  <si>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</si>
  <si>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</si>
  <si>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</si>
  <si>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</si>
  <si>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</si>
  <si>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</si>
  <si>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</si>
  <si>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</si>
  <si>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</si>
  <si>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</si>
  <si>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</si>
  <si>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</si>
  <si>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</si>
  <si>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</si>
  <si>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</si>
  <si>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</si>
  <si>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</si>
  <si>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</si>
  <si>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</si>
  <si>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</si>
  <si>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</si>
  <si>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</si>
  <si>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</si>
  <si>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</si>
  <si>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</si>
  <si>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</si>
  <si>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NGAY 18-4</t>
  </si>
  <si>
    <t>đơn trả 19.4</t>
  </si>
  <si>
    <t>Trần Huyền</t>
  </si>
  <si>
    <t>HD006209</t>
  </si>
  <si>
    <t>Số 27, Đường D5, Phường Tân Thuận Tây</t>
  </si>
  <si>
    <t>31-03-2026</t>
  </si>
  <si>
    <t>kh ck shop 700k</t>
  </si>
  <si>
    <t>kh ck shop 945k</t>
  </si>
  <si>
    <t>kh ck shop 875k</t>
  </si>
  <si>
    <t>T2.20.4.2026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</si>
  <si>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</si>
  <si>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</si>
  <si>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</si>
  <si>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</si>
  <si>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</si>
  <si>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</si>
  <si>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</si>
  <si>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</si>
  <si>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</si>
  <si>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</si>
  <si>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</si>
  <si>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</si>
  <si>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</si>
  <si>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</si>
  <si>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</si>
  <si>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</si>
  <si>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</si>
  <si>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</si>
  <si>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</si>
  <si>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</si>
  <si>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</si>
  <si>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</si>
  <si>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</si>
  <si>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</si>
  <si>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</si>
  <si>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</si>
  <si>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</si>
  <si>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</si>
  <si>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</si>
  <si>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</si>
  <si>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</si>
  <si>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</si>
  <si>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</si>
  <si>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</si>
  <si>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</si>
  <si>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</si>
  <si>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</si>
  <si>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</si>
  <si>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</si>
  <si>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</si>
  <si>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</si>
  <si>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</si>
  <si>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</si>
  <si>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</si>
  <si>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</si>
  <si>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</si>
  <si>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</si>
  <si>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</si>
  <si>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</si>
  <si>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</si>
  <si>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</si>
  <si>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</si>
  <si>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</si>
  <si>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</si>
  <si>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</si>
  <si>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</si>
  <si>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</si>
  <si>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</si>
  <si>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</si>
  <si>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</si>
  <si>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</si>
  <si>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</si>
  <si>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</si>
  <si>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</si>
  <si>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</si>
  <si>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</si>
  <si>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</si>
  <si>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</si>
  <si>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</si>
  <si>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</si>
  <si>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</si>
  <si>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</si>
  <si>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</si>
  <si>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</si>
  <si>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</si>
  <si>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</si>
  <si>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</si>
  <si>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</si>
  <si>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</si>
  <si>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</si>
  <si>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</si>
  <si>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</si>
  <si>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</si>
  <si>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</si>
  <si>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</si>
  <si>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</si>
  <si>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</si>
  <si>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</si>
  <si>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</si>
  <si>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</si>
  <si>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</si>
  <si>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</si>
  <si>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</si>
  <si>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</si>
  <si>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</si>
  <si>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</si>
  <si>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</si>
  <si>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</si>
  <si>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</si>
  <si>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</si>
  <si>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</si>
  <si>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</si>
  <si>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</si>
  <si>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</si>
  <si>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</si>
  <si>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</si>
  <si>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</si>
  <si>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</si>
  <si>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</si>
  <si>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</si>
  <si>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</si>
  <si>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</si>
  <si>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</si>
  <si>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</si>
  <si>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</si>
  <si>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</si>
  <si>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</si>
  <si>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</si>
  <si>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</si>
  <si>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</si>
  <si>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</si>
  <si>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</si>
  <si>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</si>
  <si>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</si>
  <si>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</si>
  <si>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</si>
  <si>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</si>
  <si>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</si>
  <si>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</si>
  <si>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</si>
  <si>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</si>
  <si>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</si>
  <si>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</si>
  <si>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</si>
  <si>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</si>
  <si>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</si>
  <si>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</si>
  <si>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</si>
  <si>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</si>
  <si>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</si>
  <si>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</si>
  <si>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</si>
  <si>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</si>
  <si>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</si>
  <si>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</si>
  <si>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</si>
  <si>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</si>
  <si>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</si>
  <si>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</si>
  <si>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</si>
  <si>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</si>
  <si>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</si>
  <si>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</si>
  <si>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</si>
  <si>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</si>
  <si>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</si>
  <si>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</si>
  <si>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</si>
  <si>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</si>
  <si>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</si>
  <si>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</si>
  <si>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</si>
  <si>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</si>
  <si>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</si>
  <si>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</si>
  <si>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</si>
  <si>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</si>
  <si>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</si>
  <si>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</si>
  <si>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</si>
  <si>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</si>
  <si>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</si>
  <si>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</si>
  <si>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</si>
  <si>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</si>
  <si>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</si>
  <si>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</si>
  <si>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</si>
  <si>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</si>
  <si>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</si>
  <si>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</si>
  <si>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</si>
  <si>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</si>
  <si>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</si>
  <si>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</si>
  <si>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</si>
  <si>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</si>
  <si>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</si>
  <si>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</si>
  <si>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</si>
  <si>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</si>
  <si>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</si>
  <si>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</si>
  <si>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</si>
  <si>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</si>
  <si>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</si>
  <si>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</si>
  <si>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</si>
  <si>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</si>
  <si>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</si>
  <si>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</si>
  <si>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</si>
  <si>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</si>
  <si>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</si>
  <si>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</si>
  <si>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</si>
  <si>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</si>
  <si>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</si>
  <si>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</si>
  <si>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</si>
  <si>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</si>
  <si>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</si>
  <si>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</si>
  <si>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</si>
  <si>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</si>
  <si>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</si>
  <si>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</si>
  <si>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</si>
  <si>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</si>
  <si>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</si>
  <si>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</si>
  <si>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</si>
  <si>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</si>
  <si>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</si>
  <si>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</si>
  <si>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</si>
  <si>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</si>
  <si>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</si>
  <si>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</si>
  <si>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</si>
  <si>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Mail Anh</t>
  </si>
  <si>
    <t>HD013456</t>
  </si>
  <si>
    <t>đường Nguyễn Trãi tạp phúc yên tỉnh phú thọ ( cạnh công ty Nguyệtảnh )</t>
  </si>
  <si>
    <t>đơn trả 21.4</t>
  </si>
  <si>
    <t>17t9 trung hoà nhân chính (mặt nguyễn thị thập) 0865816871</t>
  </si>
  <si>
    <t>T3.21.4.2026</t>
  </si>
  <si>
    <t>NGAY 21-4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</si>
  <si>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</si>
  <si>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</si>
  <si>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</si>
  <si>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</si>
  <si>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</si>
  <si>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</si>
  <si>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</si>
  <si>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</si>
  <si>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</si>
  <si>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</si>
  <si>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</si>
  <si>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</si>
  <si>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</si>
  <si>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</si>
  <si>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</si>
  <si>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</si>
  <si>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</si>
  <si>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</si>
  <si>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</si>
  <si>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</si>
  <si>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</si>
  <si>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</si>
  <si>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</si>
  <si>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</si>
  <si>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</si>
  <si>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</si>
  <si>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</si>
  <si>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</si>
  <si>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</si>
  <si>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</si>
  <si>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</si>
  <si>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</si>
  <si>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</si>
  <si>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</si>
  <si>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</si>
  <si>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</si>
  <si>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</si>
  <si>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</si>
  <si>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</si>
  <si>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</si>
  <si>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</si>
  <si>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</si>
  <si>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</si>
  <si>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</si>
  <si>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</si>
  <si>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</si>
  <si>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</si>
  <si>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</si>
  <si>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</si>
  <si>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</si>
  <si>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</si>
  <si>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</si>
  <si>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</si>
  <si>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</si>
  <si>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</si>
  <si>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</si>
  <si>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</si>
  <si>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</si>
  <si>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</si>
  <si>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</si>
  <si>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</si>
  <si>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</si>
  <si>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</si>
  <si>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</si>
  <si>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</si>
  <si>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</si>
  <si>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</si>
  <si>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</si>
  <si>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</si>
  <si>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</si>
  <si>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</si>
  <si>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</si>
  <si>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</si>
  <si>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</si>
  <si>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</si>
  <si>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</si>
  <si>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</si>
  <si>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</si>
  <si>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</si>
  <si>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</si>
  <si>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</si>
  <si>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</si>
  <si>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</si>
  <si>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</si>
  <si>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</si>
  <si>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</si>
  <si>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</si>
  <si>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</si>
  <si>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</si>
  <si>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</si>
  <si>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</si>
  <si>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</si>
  <si>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</si>
  <si>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</si>
  <si>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</si>
  <si>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</si>
  <si>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</si>
  <si>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</si>
  <si>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</si>
  <si>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</si>
  <si>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</si>
  <si>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</si>
  <si>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</si>
  <si>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</si>
  <si>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</si>
  <si>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</si>
  <si>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</si>
  <si>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</si>
  <si>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</si>
  <si>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</si>
  <si>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</si>
  <si>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</si>
  <si>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</si>
  <si>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</si>
  <si>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</si>
  <si>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</si>
  <si>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</si>
  <si>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</si>
  <si>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</si>
  <si>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</si>
  <si>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</si>
  <si>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</si>
  <si>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</si>
  <si>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</si>
  <si>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</si>
  <si>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</si>
  <si>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</si>
  <si>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</si>
  <si>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</si>
  <si>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</si>
  <si>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</si>
  <si>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</si>
  <si>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</si>
  <si>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</si>
  <si>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</si>
  <si>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</si>
  <si>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</si>
  <si>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</si>
  <si>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</si>
  <si>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đơn trả 22.4</t>
  </si>
  <si>
    <t>kh ck shop 815k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</si>
</sst>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3" fontId="0" fillId="0" borderId="0" xfId="0" applyNumberFormat="1"/>
    <xf numFmtId="0" fontId="0" fillId="0" borderId="1" xfId="0" applyBorder="1"/>
    <xf numFmtId="3" fontId="0" fillId="0" borderId="1" xfId="0" applyNumberFormat="1" applyBorder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0" fontId="8" fillId="0" borderId="0" xfId="1" applyFont="1"/>
    <xf numFmtId="0" fontId="8" fillId="0" borderId="1" xfId="0" applyFont="1" applyBorder="1"/>
    <xf numFmtId="3" fontId="8" fillId="0" borderId="1" xfId="0" applyNumberFormat="1" applyFont="1" applyBorder="1"/>
    <xf numFmtId="0" fontId="8" fillId="2" borderId="1" xfId="0" applyFont="1" applyFill="1" applyBorder="1"/>
    <xf numFmtId="0" fontId="0" fillId="2" borderId="1" xfId="0" applyFill="1" applyBorder="1"/>
    <xf numFmtId="49" fontId="8" fillId="0" borderId="1" xfId="0" applyNumberFormat="1" applyFont="1" applyBorder="1"/>
    <xf numFmtId="3" fontId="0" fillId="8" borderId="0" xfId="0" applyNumberFormat="1" applyFill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9" fillId="10" borderId="1" xfId="0" applyFont="1" applyFill="1" applyBorder="1"/>
    <xf numFmtId="0" fontId="8" fillId="11" borderId="2" xfId="0" applyFont="1" applyFill="1" applyBorder="1"/>
    <xf numFmtId="3" fontId="10" fillId="0" borderId="1" xfId="0" applyNumberFormat="1" applyFont="1" applyBorder="1"/>
    <xf numFmtId="0" fontId="11" fillId="0" borderId="0" xfId="0" applyFont="1"/>
    <xf numFmtId="0" fontId="12" fillId="9" borderId="1" xfId="0" applyFont="1" applyFill="1" applyBorder="1"/>
    <xf numFmtId="3" fontId="12" fillId="9" borderId="1" xfId="0" applyNumberFormat="1" applyFont="1" applyFill="1" applyBorder="1"/>
    <xf numFmtId="0" fontId="12" fillId="2" borderId="1" xfId="0" applyFont="1" applyFill="1" applyBorder="1"/>
    <xf numFmtId="3" fontId="12" fillId="9" borderId="0" xfId="0" applyNumberFormat="1" applyFont="1" applyFill="1"/>
    <xf numFmtId="0" fontId="12" fillId="9" borderId="0" xfId="0" applyFont="1" applyFill="1"/>
    <xf numFmtId="0" fontId="8" fillId="9" borderId="1" xfId="0" applyFont="1" applyFill="1" applyBorder="1"/>
    <xf numFmtId="0" fontId="10" fillId="12" borderId="3" xfId="0" applyFont="1" applyFill="1" applyBorder="1"/>
    <xf numFmtId="3" fontId="10" fillId="0" borderId="3" xfId="0" applyNumberFormat="1" applyFont="1" applyBorder="1"/>
    <xf numFmtId="0" fontId="11" fillId="0" borderId="1" xfId="0" applyFont="1" applyBorder="1"/>
    <xf numFmtId="3" fontId="11" fillId="0" borderId="1" xfId="0" applyNumberFormat="1" applyFont="1" applyBorder="1"/>
    <xf numFmtId="0" fontId="12" fillId="2" borderId="1" xfId="1" applyFont="1" applyFill="1" applyBorder="1"/>
    <xf numFmtId="0" fontId="11" fillId="2" borderId="1" xfId="0" applyFont="1" applyFill="1" applyBorder="1"/>
    <xf numFmtId="0" fontId="10" fillId="0" borderId="1" xfId="0" applyFont="1" applyBorder="1"/>
    <xf numFmtId="0" fontId="2" fillId="9" borderId="0" xfId="1" applyFill="1"/>
    <xf numFmtId="0" fontId="11" fillId="9" borderId="0" xfId="0" applyFont="1" applyFill="1"/>
    <xf numFmtId="3" fontId="11" fillId="9" borderId="0" xfId="0" applyNumberFormat="1" applyFont="1" applyFill="1"/>
    <xf numFmtId="0" fontId="12" fillId="9" borderId="0" xfId="1" applyFont="1" applyFill="1"/>
    <xf numFmtId="3" fontId="0" fillId="0" borderId="1" xfId="0" quotePrefix="1" applyNumberForma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4BC43-3E96-403E-95A6-EB6F74A4AE2D}">
  <dimension ref="A1:R37"/>
  <sheetViews>
    <sheetView topLeftCell="A23" workbookViewId="0">
      <selection activeCell="C49" sqref="C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11" width="9.140625" style="1"/>
    <col min="12" max="12" width="12.28515625" style="1" bestFit="1" customWidth="1"/>
    <col min="13" max="16384" width="9.140625" style="1"/>
  </cols>
  <sheetData>
    <row r="1" spans="1:18" x14ac:dyDescent="0.25">
      <c r="B1" s="1" t="s">
        <v>31</v>
      </c>
      <c r="C1" s="1" t="s">
        <v>32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53</v>
      </c>
      <c r="D3" s="18" t="s">
        <v>54</v>
      </c>
      <c r="E3" s="18" t="s">
        <v>55</v>
      </c>
      <c r="F3" s="19">
        <v>9</v>
      </c>
      <c r="G3" s="19">
        <v>780</v>
      </c>
      <c r="H3" s="19">
        <v>30</v>
      </c>
      <c r="I3" s="19">
        <f>G3-H3</f>
        <v>750</v>
      </c>
      <c r="J3" s="18" t="s">
        <v>56</v>
      </c>
      <c r="K3" s="18" t="s">
        <v>15</v>
      </c>
      <c r="L3" s="18" t="s">
        <v>40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35</v>
      </c>
      <c r="D4" s="18" t="s">
        <v>36</v>
      </c>
      <c r="E4" s="18" t="s">
        <v>37</v>
      </c>
      <c r="F4" s="18" t="s">
        <v>38</v>
      </c>
      <c r="G4" s="19">
        <v>0</v>
      </c>
      <c r="H4" s="19">
        <v>30</v>
      </c>
      <c r="I4" s="19">
        <f>-H4</f>
        <v>-30</v>
      </c>
      <c r="J4" s="18" t="s">
        <v>39</v>
      </c>
      <c r="K4" s="18" t="s">
        <v>15</v>
      </c>
      <c r="L4" s="18" t="s">
        <v>40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41</v>
      </c>
      <c r="D5" s="18" t="s">
        <v>42</v>
      </c>
      <c r="E5" s="18" t="s">
        <v>43</v>
      </c>
      <c r="F5" s="19">
        <v>7</v>
      </c>
      <c r="G5" s="19">
        <v>850</v>
      </c>
      <c r="H5" s="19">
        <v>30</v>
      </c>
      <c r="I5" s="19">
        <f>G5-H5</f>
        <v>820</v>
      </c>
      <c r="J5" s="18" t="s">
        <v>39</v>
      </c>
      <c r="K5" s="18" t="s">
        <v>15</v>
      </c>
      <c r="L5" s="18" t="s">
        <v>40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44</v>
      </c>
      <c r="D6" s="18" t="s">
        <v>45</v>
      </c>
      <c r="E6" s="18" t="s">
        <v>46</v>
      </c>
      <c r="F6" s="19">
        <v>3</v>
      </c>
      <c r="G6" s="19">
        <v>695</v>
      </c>
      <c r="H6" s="19">
        <v>25</v>
      </c>
      <c r="I6" s="19">
        <f>G6-H6</f>
        <v>670</v>
      </c>
      <c r="J6" s="18" t="s">
        <v>39</v>
      </c>
      <c r="K6" s="18" t="s">
        <v>15</v>
      </c>
      <c r="L6" s="18" t="s">
        <v>40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47</v>
      </c>
      <c r="D7" s="18" t="s">
        <v>48</v>
      </c>
      <c r="E7" s="18" t="s">
        <v>49</v>
      </c>
      <c r="F7" s="19">
        <v>7</v>
      </c>
      <c r="G7" s="19">
        <v>740</v>
      </c>
      <c r="H7" s="19">
        <v>30</v>
      </c>
      <c r="I7" s="19">
        <f>G7-H7</f>
        <v>710</v>
      </c>
      <c r="J7" s="18" t="s">
        <v>39</v>
      </c>
      <c r="K7" s="18" t="s">
        <v>15</v>
      </c>
      <c r="L7" s="18" t="s">
        <v>40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60</v>
      </c>
      <c r="D8" s="18" t="s">
        <v>61</v>
      </c>
      <c r="E8" s="18" t="s">
        <v>62</v>
      </c>
      <c r="F8" s="18" t="s">
        <v>38</v>
      </c>
      <c r="G8" s="19">
        <v>610</v>
      </c>
      <c r="H8" s="19">
        <v>30</v>
      </c>
      <c r="I8" s="19">
        <f>G8-H8</f>
        <v>580</v>
      </c>
      <c r="J8" s="18" t="s">
        <v>39</v>
      </c>
      <c r="K8" s="18" t="s">
        <v>15</v>
      </c>
      <c r="L8" s="18" t="s">
        <v>40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63</v>
      </c>
      <c r="D9" s="18" t="s">
        <v>64</v>
      </c>
      <c r="E9" s="18" t="s">
        <v>65</v>
      </c>
      <c r="F9" s="19">
        <v>8</v>
      </c>
      <c r="G9" s="19">
        <v>0</v>
      </c>
      <c r="H9" s="19">
        <v>25</v>
      </c>
      <c r="I9" s="19">
        <f>-H9</f>
        <v>-25</v>
      </c>
      <c r="J9" s="18" t="s">
        <v>39</v>
      </c>
      <c r="K9" s="18" t="s">
        <v>15</v>
      </c>
      <c r="L9" s="18" t="s">
        <v>40</v>
      </c>
      <c r="M9" s="18"/>
      <c r="N9" s="18"/>
      <c r="O9" s="18"/>
      <c r="P9" s="18"/>
      <c r="Q9" s="18">
        <v>1</v>
      </c>
      <c r="R9" s="17">
        <f>H9</f>
        <v>25</v>
      </c>
    </row>
    <row r="10" spans="1:18" customFormat="1" x14ac:dyDescent="0.25">
      <c r="A10" s="18"/>
      <c r="B10" s="18" t="s">
        <v>34</v>
      </c>
      <c r="C10" s="18" t="s">
        <v>69</v>
      </c>
      <c r="D10" s="18" t="s">
        <v>70</v>
      </c>
      <c r="E10" s="18" t="s">
        <v>71</v>
      </c>
      <c r="F10" s="19">
        <v>12</v>
      </c>
      <c r="G10" s="19">
        <v>750</v>
      </c>
      <c r="H10" s="19">
        <v>30</v>
      </c>
      <c r="I10" s="19">
        <f t="shared" ref="I10:I15" si="0">G10-H10</f>
        <v>720</v>
      </c>
      <c r="J10" s="18" t="s">
        <v>39</v>
      </c>
      <c r="K10" s="18" t="s">
        <v>15</v>
      </c>
      <c r="L10" s="18" t="s">
        <v>40</v>
      </c>
      <c r="M10" s="18"/>
      <c r="N10" s="18"/>
      <c r="O10" s="18"/>
      <c r="P10" s="18"/>
      <c r="Q10" s="18">
        <v>1</v>
      </c>
    </row>
    <row r="11" spans="1:18" s="22" customFormat="1" x14ac:dyDescent="0.25">
      <c r="A11" s="20"/>
      <c r="B11" s="20" t="s">
        <v>34</v>
      </c>
      <c r="C11" s="20" t="s">
        <v>78</v>
      </c>
      <c r="D11" s="20" t="s">
        <v>79</v>
      </c>
      <c r="E11" s="20" t="s">
        <v>80</v>
      </c>
      <c r="F11" s="21">
        <v>7</v>
      </c>
      <c r="G11" s="21">
        <v>30</v>
      </c>
      <c r="H11" s="21">
        <v>30</v>
      </c>
      <c r="I11" s="21">
        <f t="shared" si="0"/>
        <v>0</v>
      </c>
      <c r="J11" s="20" t="s">
        <v>39</v>
      </c>
      <c r="K11" s="20" t="s">
        <v>15</v>
      </c>
      <c r="L11" s="20" t="s">
        <v>40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81</v>
      </c>
      <c r="D12" s="18" t="s">
        <v>82</v>
      </c>
      <c r="E12" s="18" t="s">
        <v>83</v>
      </c>
      <c r="F12" s="19">
        <v>7</v>
      </c>
      <c r="G12" s="19">
        <v>1640</v>
      </c>
      <c r="H12" s="19">
        <v>30</v>
      </c>
      <c r="I12" s="19">
        <f t="shared" si="0"/>
        <v>1610</v>
      </c>
      <c r="J12" s="18" t="s">
        <v>39</v>
      </c>
      <c r="K12" s="18" t="s">
        <v>15</v>
      </c>
      <c r="L12" s="18" t="s">
        <v>40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84</v>
      </c>
      <c r="D13" s="18" t="s">
        <v>85</v>
      </c>
      <c r="E13" s="18" t="s">
        <v>86</v>
      </c>
      <c r="F13" s="19">
        <v>12</v>
      </c>
      <c r="G13" s="19">
        <v>590</v>
      </c>
      <c r="H13" s="19">
        <v>30</v>
      </c>
      <c r="I13" s="19">
        <f t="shared" si="0"/>
        <v>560</v>
      </c>
      <c r="J13" s="18" t="s">
        <v>39</v>
      </c>
      <c r="K13" s="18" t="s">
        <v>15</v>
      </c>
      <c r="L13" s="18" t="s">
        <v>40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87</v>
      </c>
      <c r="D14" s="18" t="s">
        <v>88</v>
      </c>
      <c r="E14" s="18" t="s">
        <v>89</v>
      </c>
      <c r="F14" s="19">
        <v>7</v>
      </c>
      <c r="G14" s="19">
        <v>850</v>
      </c>
      <c r="H14" s="19">
        <v>30</v>
      </c>
      <c r="I14" s="19">
        <f t="shared" si="0"/>
        <v>820</v>
      </c>
      <c r="J14" s="18" t="s">
        <v>39</v>
      </c>
      <c r="K14" s="18" t="s">
        <v>15</v>
      </c>
      <c r="L14" s="18" t="s">
        <v>40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</v>
      </c>
      <c r="D15" s="18" t="s">
        <v>94</v>
      </c>
      <c r="E15" s="18" t="s">
        <v>95</v>
      </c>
      <c r="F15" s="18" t="s">
        <v>38</v>
      </c>
      <c r="G15" s="19">
        <v>820</v>
      </c>
      <c r="H15" s="19">
        <v>30</v>
      </c>
      <c r="I15" s="19">
        <f t="shared" si="0"/>
        <v>790</v>
      </c>
      <c r="J15" s="18" t="s">
        <v>39</v>
      </c>
      <c r="K15" s="18" t="s">
        <v>15</v>
      </c>
      <c r="L15" s="18" t="s">
        <v>40</v>
      </c>
      <c r="M15" s="18"/>
      <c r="N15" s="18"/>
      <c r="O15" s="18"/>
      <c r="P15" s="18"/>
      <c r="Q15" s="18">
        <v>1</v>
      </c>
    </row>
    <row r="16" spans="1:18" customFormat="1" x14ac:dyDescent="0.25">
      <c r="A16" s="18" t="s">
        <v>96</v>
      </c>
      <c r="B16" s="18" t="s">
        <v>34</v>
      </c>
      <c r="C16" s="18" t="s">
        <v>99</v>
      </c>
      <c r="D16" s="18"/>
      <c r="E16" s="18" t="s">
        <v>100</v>
      </c>
      <c r="F16" s="19">
        <v>6</v>
      </c>
      <c r="G16" s="19">
        <v>0</v>
      </c>
      <c r="H16" s="19">
        <v>30</v>
      </c>
      <c r="I16" s="19">
        <f>-H16</f>
        <v>-30</v>
      </c>
      <c r="J16" s="18" t="s">
        <v>39</v>
      </c>
      <c r="K16" s="18" t="s">
        <v>15</v>
      </c>
      <c r="L16" s="18" t="s">
        <v>40</v>
      </c>
      <c r="M16" s="18"/>
      <c r="N16" s="18"/>
      <c r="O16" s="18"/>
      <c r="P16" s="18"/>
      <c r="Q16" s="18">
        <v>1</v>
      </c>
      <c r="R16" s="17">
        <f t="shared" ref="R16:R17" si="1">H16</f>
        <v>30</v>
      </c>
    </row>
    <row r="17" spans="1:18" customFormat="1" x14ac:dyDescent="0.25">
      <c r="A17" s="18"/>
      <c r="B17" s="18" t="s">
        <v>34</v>
      </c>
      <c r="C17" s="18" t="s">
        <v>50</v>
      </c>
      <c r="D17" s="18" t="s">
        <v>51</v>
      </c>
      <c r="E17" s="18" t="s">
        <v>52</v>
      </c>
      <c r="F17" s="18" t="s">
        <v>19</v>
      </c>
      <c r="G17" s="19">
        <v>0</v>
      </c>
      <c r="H17" s="19">
        <v>20</v>
      </c>
      <c r="I17" s="19">
        <f>-H17</f>
        <v>-20</v>
      </c>
      <c r="J17" s="18" t="s">
        <v>15</v>
      </c>
      <c r="K17" s="18" t="s">
        <v>15</v>
      </c>
      <c r="L17" s="18" t="s">
        <v>40</v>
      </c>
      <c r="M17" s="18"/>
      <c r="N17" s="18"/>
      <c r="O17" s="18"/>
      <c r="P17" s="18"/>
      <c r="Q17" s="18">
        <v>1</v>
      </c>
      <c r="R17" s="17">
        <f t="shared" si="1"/>
        <v>20</v>
      </c>
    </row>
    <row r="18" spans="1:18" customFormat="1" x14ac:dyDescent="0.25">
      <c r="A18" s="18"/>
      <c r="B18" s="18" t="s">
        <v>34</v>
      </c>
      <c r="C18" s="18" t="s">
        <v>57</v>
      </c>
      <c r="D18" s="18" t="s">
        <v>58</v>
      </c>
      <c r="E18" s="18" t="s">
        <v>59</v>
      </c>
      <c r="F18" s="18" t="s">
        <v>20</v>
      </c>
      <c r="G18" s="19">
        <v>615</v>
      </c>
      <c r="H18" s="19">
        <v>25</v>
      </c>
      <c r="I18" s="19">
        <f>G18-H18</f>
        <v>590</v>
      </c>
      <c r="J18" s="18" t="s">
        <v>15</v>
      </c>
      <c r="K18" s="18" t="s">
        <v>15</v>
      </c>
      <c r="L18" s="18" t="s">
        <v>40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66</v>
      </c>
      <c r="D19" s="18" t="s">
        <v>67</v>
      </c>
      <c r="E19" s="18" t="s">
        <v>68</v>
      </c>
      <c r="F19" s="19">
        <v>1</v>
      </c>
      <c r="G19" s="19">
        <v>845</v>
      </c>
      <c r="H19" s="19">
        <v>25</v>
      </c>
      <c r="I19" s="19">
        <f>G19-H19</f>
        <v>820</v>
      </c>
      <c r="J19" s="18" t="s">
        <v>15</v>
      </c>
      <c r="K19" s="18" t="s">
        <v>15</v>
      </c>
      <c r="L19" s="18" t="s">
        <v>40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72</v>
      </c>
      <c r="D20" s="18" t="s">
        <v>73</v>
      </c>
      <c r="E20" s="18" t="s">
        <v>74</v>
      </c>
      <c r="F20" s="18" t="s">
        <v>19</v>
      </c>
      <c r="G20" s="19">
        <v>1630</v>
      </c>
      <c r="H20" s="19">
        <v>20</v>
      </c>
      <c r="I20" s="19">
        <f>G20-H20</f>
        <v>1610</v>
      </c>
      <c r="J20" s="18" t="s">
        <v>15</v>
      </c>
      <c r="K20" s="18" t="s">
        <v>15</v>
      </c>
      <c r="L20" s="18" t="s">
        <v>40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75</v>
      </c>
      <c r="D21" s="18" t="s">
        <v>76</v>
      </c>
      <c r="E21" s="18" t="s">
        <v>77</v>
      </c>
      <c r="F21" s="19">
        <v>3</v>
      </c>
      <c r="G21" s="19">
        <v>405</v>
      </c>
      <c r="H21" s="19">
        <v>25</v>
      </c>
      <c r="I21" s="19">
        <f>G21-H21</f>
        <v>380</v>
      </c>
      <c r="J21" s="18" t="s">
        <v>15</v>
      </c>
      <c r="K21" s="18" t="s">
        <v>15</v>
      </c>
      <c r="L21" s="18" t="s">
        <v>40</v>
      </c>
      <c r="M21" s="18"/>
      <c r="N21" s="18"/>
      <c r="O21" s="18"/>
      <c r="P21" s="18"/>
      <c r="Q21" s="18">
        <v>1</v>
      </c>
    </row>
    <row r="22" spans="1:18" s="22" customFormat="1" x14ac:dyDescent="0.25">
      <c r="A22" s="20"/>
      <c r="B22" s="20" t="s">
        <v>34</v>
      </c>
      <c r="C22" s="20" t="s">
        <v>90</v>
      </c>
      <c r="D22" s="20" t="s">
        <v>91</v>
      </c>
      <c r="E22" s="20" t="s">
        <v>92</v>
      </c>
      <c r="F22" s="20" t="s">
        <v>17</v>
      </c>
      <c r="G22" s="21">
        <v>20</v>
      </c>
      <c r="H22" s="21">
        <v>20</v>
      </c>
      <c r="I22" s="21">
        <f>G22-H22</f>
        <v>0</v>
      </c>
      <c r="J22" s="20" t="s">
        <v>15</v>
      </c>
      <c r="K22" s="20" t="s">
        <v>15</v>
      </c>
      <c r="L22" s="20" t="s">
        <v>40</v>
      </c>
      <c r="M22" s="20" t="s">
        <v>16</v>
      </c>
      <c r="N22" s="20"/>
      <c r="O22" s="20"/>
      <c r="P22" s="20"/>
      <c r="Q22" s="20">
        <v>1</v>
      </c>
    </row>
    <row r="23" spans="1:18" customFormat="1" x14ac:dyDescent="0.25">
      <c r="A23" s="18" t="s">
        <v>96</v>
      </c>
      <c r="B23" s="18" t="s">
        <v>34</v>
      </c>
      <c r="C23" s="18" t="s">
        <v>97</v>
      </c>
      <c r="D23" s="18"/>
      <c r="E23" s="18" t="s">
        <v>98</v>
      </c>
      <c r="F23" s="18" t="s">
        <v>18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40</v>
      </c>
      <c r="M23" s="18"/>
      <c r="N23" s="18"/>
      <c r="O23" s="18"/>
      <c r="P23" s="18"/>
      <c r="Q23" s="18">
        <v>1</v>
      </c>
      <c r="R23" s="17">
        <f>H23</f>
        <v>30</v>
      </c>
    </row>
    <row r="25" spans="1:18" x14ac:dyDescent="0.25">
      <c r="G25" s="1">
        <f t="shared" ref="G25:R25" si="2">SUBTOTAL(9,G3:G24)</f>
        <v>11870</v>
      </c>
      <c r="H25" s="1">
        <f t="shared" si="2"/>
        <v>575</v>
      </c>
      <c r="I25" s="1">
        <f t="shared" si="2"/>
        <v>11295</v>
      </c>
      <c r="J25" s="1">
        <f t="shared" si="2"/>
        <v>0</v>
      </c>
      <c r="K25" s="1">
        <f t="shared" si="2"/>
        <v>0</v>
      </c>
      <c r="L25" s="1">
        <f t="shared" si="2"/>
        <v>0</v>
      </c>
      <c r="M25" s="1">
        <f t="shared" si="2"/>
        <v>0</v>
      </c>
      <c r="N25" s="1">
        <f t="shared" si="2"/>
        <v>0</v>
      </c>
      <c r="O25" s="1">
        <f t="shared" si="2"/>
        <v>0</v>
      </c>
      <c r="P25" s="1">
        <f t="shared" si="2"/>
        <v>0</v>
      </c>
      <c r="Q25" s="1">
        <f t="shared" si="2"/>
        <v>21</v>
      </c>
      <c r="R25" s="1">
        <f t="shared" si="2"/>
        <v>135</v>
      </c>
    </row>
    <row r="29" spans="1:18" ht="20.25" customHeight="1" x14ac:dyDescent="0.3">
      <c r="H29" s="4" t="s">
        <v>33</v>
      </c>
      <c r="I29" s="5" t="s">
        <v>21</v>
      </c>
      <c r="J29" s="6" t="s">
        <v>22</v>
      </c>
    </row>
    <row r="30" spans="1:18" ht="15.75" customHeight="1" x14ac:dyDescent="0.25">
      <c r="H30" s="7" t="s">
        <v>23</v>
      </c>
      <c r="I30" s="8">
        <f>SUM(I24:I28)</f>
        <v>11295</v>
      </c>
      <c r="J30" s="8">
        <f>Q25</f>
        <v>21</v>
      </c>
    </row>
    <row r="31" spans="1:18" x14ac:dyDescent="0.25">
      <c r="H31" s="9" t="s">
        <v>24</v>
      </c>
      <c r="I31" s="10">
        <f>R25</f>
        <v>135</v>
      </c>
      <c r="J31" s="11"/>
    </row>
    <row r="32" spans="1:18" x14ac:dyDescent="0.25">
      <c r="H32" s="9" t="s">
        <v>25</v>
      </c>
      <c r="I32" s="10">
        <f>S24</f>
        <v>0</v>
      </c>
      <c r="J32" s="11"/>
    </row>
    <row r="33" spans="8:10" x14ac:dyDescent="0.25">
      <c r="H33" s="9" t="s">
        <v>26</v>
      </c>
      <c r="I33" s="10">
        <f>T24</f>
        <v>0</v>
      </c>
      <c r="J33" s="11"/>
    </row>
    <row r="34" spans="8:10" x14ac:dyDescent="0.25">
      <c r="H34" s="9" t="s">
        <v>27</v>
      </c>
      <c r="I34" s="10">
        <f>U24</f>
        <v>0</v>
      </c>
      <c r="J34" s="11"/>
    </row>
    <row r="35" spans="8:10" ht="15.75" customHeight="1" x14ac:dyDescent="0.25">
      <c r="H35" s="12" t="s">
        <v>28</v>
      </c>
      <c r="I35" s="13"/>
      <c r="J35" s="13"/>
    </row>
    <row r="36" spans="8:10" ht="15.75" customHeight="1" x14ac:dyDescent="0.25">
      <c r="H36" s="14" t="s">
        <v>29</v>
      </c>
      <c r="I36" s="13"/>
      <c r="J36" s="13"/>
    </row>
    <row r="37" spans="8:10" ht="21" customHeight="1" x14ac:dyDescent="0.35">
      <c r="H37" s="15" t="s">
        <v>30</v>
      </c>
      <c r="I37" s="16">
        <f>SUM(I30:I36)</f>
        <v>11430</v>
      </c>
      <c r="J37" s="16">
        <f>SUM(J30:J34)</f>
        <v>21</v>
      </c>
    </row>
  </sheetData>
  <autoFilter ref="A2:P23" xr:uid="{00000000-0009-0000-0000-000006000000}">
    <sortState xmlns:xlrd2="http://schemas.microsoft.com/office/spreadsheetml/2017/richdata2" ref="A3:P23">
      <sortCondition ref="I2:I2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43"/>
  <sheetViews>
    <sheetView zoomScale="82" zoomScaleNormal="80" workbookViewId="0">
      <selection activeCell="A7" sqref="A7:XFD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102</v>
      </c>
      <c r="C1" s="1" t="s">
        <v>103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34</v>
      </c>
      <c r="C3" s="20" t="s">
        <v>105</v>
      </c>
      <c r="D3" s="20" t="s">
        <v>106</v>
      </c>
      <c r="E3" s="20" t="s">
        <v>107</v>
      </c>
      <c r="F3" s="20" t="s">
        <v>108</v>
      </c>
      <c r="G3" s="21">
        <v>35</v>
      </c>
      <c r="H3" s="21">
        <v>35</v>
      </c>
      <c r="I3" s="21">
        <f t="shared" ref="I3:I24" si="0">G3-H3</f>
        <v>0</v>
      </c>
      <c r="J3" s="20" t="s">
        <v>109</v>
      </c>
      <c r="K3" s="20" t="s">
        <v>15</v>
      </c>
      <c r="L3" s="20" t="s">
        <v>110</v>
      </c>
      <c r="M3" s="20" t="s">
        <v>16</v>
      </c>
      <c r="N3" s="20"/>
      <c r="O3" s="20"/>
      <c r="P3" s="20"/>
      <c r="Q3" s="20">
        <v>1</v>
      </c>
    </row>
    <row r="4" spans="1:18" customFormat="1" x14ac:dyDescent="0.25">
      <c r="A4" s="18"/>
      <c r="B4" s="18" t="s">
        <v>34</v>
      </c>
      <c r="C4" s="18" t="s">
        <v>111</v>
      </c>
      <c r="D4" s="18" t="s">
        <v>112</v>
      </c>
      <c r="E4" s="18" t="s">
        <v>113</v>
      </c>
      <c r="F4" s="18" t="s">
        <v>38</v>
      </c>
      <c r="G4" s="19">
        <v>870</v>
      </c>
      <c r="H4" s="19">
        <v>30</v>
      </c>
      <c r="I4" s="19">
        <f t="shared" si="0"/>
        <v>840</v>
      </c>
      <c r="J4" s="18" t="s">
        <v>109</v>
      </c>
      <c r="K4" s="18" t="s">
        <v>15</v>
      </c>
      <c r="L4" s="18" t="s">
        <v>110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114</v>
      </c>
      <c r="D5" s="18" t="s">
        <v>115</v>
      </c>
      <c r="E5" s="18" t="s">
        <v>116</v>
      </c>
      <c r="F5" s="19">
        <v>8</v>
      </c>
      <c r="G5" s="19">
        <v>0</v>
      </c>
      <c r="H5" s="19">
        <v>25</v>
      </c>
      <c r="I5" s="19">
        <f t="shared" si="0"/>
        <v>-25</v>
      </c>
      <c r="J5" s="18" t="s">
        <v>109</v>
      </c>
      <c r="K5" s="18" t="s">
        <v>15</v>
      </c>
      <c r="L5" s="18" t="s">
        <v>110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117</v>
      </c>
      <c r="D6" s="18" t="s">
        <v>118</v>
      </c>
      <c r="E6" s="18" t="s">
        <v>119</v>
      </c>
      <c r="F6" s="19">
        <v>7</v>
      </c>
      <c r="G6" s="19">
        <v>650</v>
      </c>
      <c r="H6" s="19">
        <v>30</v>
      </c>
      <c r="I6" s="19">
        <f t="shared" si="0"/>
        <v>620</v>
      </c>
      <c r="J6" s="18" t="s">
        <v>109</v>
      </c>
      <c r="K6" s="18" t="s">
        <v>15</v>
      </c>
      <c r="L6" s="18" t="s">
        <v>110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120</v>
      </c>
      <c r="D7" s="18" t="s">
        <v>121</v>
      </c>
      <c r="E7" s="18" t="s">
        <v>122</v>
      </c>
      <c r="F7" s="18" t="s">
        <v>123</v>
      </c>
      <c r="G7" s="19">
        <v>0</v>
      </c>
      <c r="H7" s="19">
        <v>35</v>
      </c>
      <c r="I7" s="19">
        <f t="shared" si="0"/>
        <v>-35</v>
      </c>
      <c r="J7" s="18" t="s">
        <v>109</v>
      </c>
      <c r="K7" s="18" t="s">
        <v>15</v>
      </c>
      <c r="L7" s="18" t="s">
        <v>110</v>
      </c>
      <c r="M7" s="27" t="s">
        <v>151</v>
      </c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124</v>
      </c>
      <c r="D8" s="18" t="s">
        <v>125</v>
      </c>
      <c r="E8" s="18" t="s">
        <v>126</v>
      </c>
      <c r="F8" s="19">
        <v>7</v>
      </c>
      <c r="G8" s="19">
        <v>740</v>
      </c>
      <c r="H8" s="19">
        <v>30</v>
      </c>
      <c r="I8" s="19">
        <f t="shared" si="0"/>
        <v>710</v>
      </c>
      <c r="J8" s="18" t="s">
        <v>109</v>
      </c>
      <c r="K8" s="18" t="s">
        <v>15</v>
      </c>
      <c r="L8" s="18" t="s">
        <v>110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127</v>
      </c>
      <c r="D9" s="18" t="s">
        <v>128</v>
      </c>
      <c r="E9" s="18" t="s">
        <v>129</v>
      </c>
      <c r="F9" s="18" t="s">
        <v>38</v>
      </c>
      <c r="G9" s="19">
        <v>770</v>
      </c>
      <c r="H9" s="19">
        <v>30</v>
      </c>
      <c r="I9" s="19">
        <f t="shared" si="0"/>
        <v>740</v>
      </c>
      <c r="J9" s="18" t="s">
        <v>109</v>
      </c>
      <c r="K9" s="18" t="s">
        <v>15</v>
      </c>
      <c r="L9" s="18" t="s">
        <v>110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148</v>
      </c>
      <c r="D10" s="18" t="s">
        <v>149</v>
      </c>
      <c r="E10" s="18" t="s">
        <v>150</v>
      </c>
      <c r="F10" s="18" t="s">
        <v>19</v>
      </c>
      <c r="G10" s="19">
        <v>0</v>
      </c>
      <c r="H10" s="19">
        <v>20</v>
      </c>
      <c r="I10" s="19">
        <f t="shared" si="0"/>
        <v>-20</v>
      </c>
      <c r="J10" s="18" t="s">
        <v>15</v>
      </c>
      <c r="K10" s="18" t="s">
        <v>15</v>
      </c>
      <c r="L10" s="18" t="s">
        <v>110</v>
      </c>
      <c r="M10" s="1"/>
      <c r="N10" s="18"/>
      <c r="O10" s="18"/>
      <c r="P10" s="18"/>
      <c r="Q10" s="18">
        <v>1</v>
      </c>
      <c r="R10" s="17">
        <f>H10</f>
        <v>20</v>
      </c>
    </row>
    <row r="11" spans="1:18" customFormat="1" x14ac:dyDescent="0.25">
      <c r="A11" s="18" t="s">
        <v>96</v>
      </c>
      <c r="B11" s="18" t="s">
        <v>34</v>
      </c>
      <c r="C11" s="18" t="s">
        <v>130</v>
      </c>
      <c r="D11" s="18"/>
      <c r="E11" s="18" t="s">
        <v>131</v>
      </c>
      <c r="F11" s="19">
        <v>6</v>
      </c>
      <c r="G11" s="19">
        <v>70</v>
      </c>
      <c r="H11" s="19">
        <v>70</v>
      </c>
      <c r="I11" s="19">
        <f t="shared" si="0"/>
        <v>0</v>
      </c>
      <c r="J11" s="18" t="s">
        <v>15</v>
      </c>
      <c r="K11" s="18" t="s">
        <v>15</v>
      </c>
      <c r="L11" s="18" t="s">
        <v>110</v>
      </c>
      <c r="M11" s="18"/>
      <c r="N11" s="18"/>
      <c r="O11" s="18"/>
      <c r="P11" s="18"/>
      <c r="Q11" s="18">
        <v>1</v>
      </c>
      <c r="R11" s="17"/>
    </row>
    <row r="12" spans="1:18" customFormat="1" x14ac:dyDescent="0.25">
      <c r="A12" s="18" t="s">
        <v>96</v>
      </c>
      <c r="B12" s="18" t="s">
        <v>34</v>
      </c>
      <c r="C12" s="18" t="s">
        <v>132</v>
      </c>
      <c r="D12" s="18"/>
      <c r="E12" s="18" t="s">
        <v>133</v>
      </c>
      <c r="F12" s="19">
        <v>12</v>
      </c>
      <c r="G12" s="19">
        <v>30</v>
      </c>
      <c r="H12" s="19">
        <v>30</v>
      </c>
      <c r="I12" s="19">
        <f t="shared" si="0"/>
        <v>0</v>
      </c>
      <c r="J12" s="18" t="s">
        <v>15</v>
      </c>
      <c r="K12" s="18" t="s">
        <v>15</v>
      </c>
      <c r="L12" s="18" t="s">
        <v>110</v>
      </c>
      <c r="M12" s="18"/>
      <c r="N12" s="18"/>
      <c r="O12" s="18"/>
      <c r="P12" s="18"/>
      <c r="Q12" s="18">
        <v>1</v>
      </c>
    </row>
    <row r="13" spans="1:18" customFormat="1" x14ac:dyDescent="0.25">
      <c r="A13" s="18" t="s">
        <v>96</v>
      </c>
      <c r="B13" s="18" t="s">
        <v>34</v>
      </c>
      <c r="C13" s="18" t="s">
        <v>134</v>
      </c>
      <c r="D13" s="18"/>
      <c r="E13" s="18" t="s">
        <v>135</v>
      </c>
      <c r="F13" s="18" t="s">
        <v>20</v>
      </c>
      <c r="G13" s="19">
        <v>30</v>
      </c>
      <c r="H13" s="19">
        <v>30</v>
      </c>
      <c r="I13" s="19">
        <f t="shared" si="0"/>
        <v>0</v>
      </c>
      <c r="J13" s="18" t="s">
        <v>15</v>
      </c>
      <c r="K13" s="18" t="s">
        <v>15</v>
      </c>
      <c r="L13" s="18" t="s">
        <v>110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136</v>
      </c>
      <c r="D14" s="18"/>
      <c r="E14" s="18" t="s">
        <v>137</v>
      </c>
      <c r="F14" s="18" t="s">
        <v>18</v>
      </c>
      <c r="G14" s="19">
        <v>530</v>
      </c>
      <c r="H14" s="19">
        <v>30</v>
      </c>
      <c r="I14" s="19">
        <f t="shared" si="0"/>
        <v>500</v>
      </c>
      <c r="J14" s="18" t="s">
        <v>15</v>
      </c>
      <c r="K14" s="18" t="s">
        <v>15</v>
      </c>
      <c r="L14" s="18" t="s">
        <v>110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138</v>
      </c>
      <c r="D15" s="18" t="s">
        <v>139</v>
      </c>
      <c r="E15" s="18" t="s">
        <v>140</v>
      </c>
      <c r="F15" s="18" t="s">
        <v>19</v>
      </c>
      <c r="G15" s="19">
        <v>740</v>
      </c>
      <c r="H15" s="19">
        <v>20</v>
      </c>
      <c r="I15" s="19">
        <f t="shared" si="0"/>
        <v>720</v>
      </c>
      <c r="J15" s="18" t="s">
        <v>15</v>
      </c>
      <c r="K15" s="18" t="s">
        <v>15</v>
      </c>
      <c r="L15" s="18" t="s">
        <v>110</v>
      </c>
      <c r="M15" s="18"/>
      <c r="N15" s="18"/>
      <c r="O15" s="18"/>
      <c r="P15" s="18"/>
      <c r="Q15" s="18">
        <v>1</v>
      </c>
      <c r="R15" s="17"/>
    </row>
    <row r="16" spans="1:18" customFormat="1" x14ac:dyDescent="0.25">
      <c r="A16" s="18"/>
      <c r="B16" s="18" t="s">
        <v>34</v>
      </c>
      <c r="C16" s="18" t="s">
        <v>141</v>
      </c>
      <c r="D16" s="18" t="s">
        <v>142</v>
      </c>
      <c r="E16" s="18" t="s">
        <v>143</v>
      </c>
      <c r="F16" s="18" t="s">
        <v>144</v>
      </c>
      <c r="G16" s="19">
        <v>0</v>
      </c>
      <c r="H16" s="19">
        <v>30</v>
      </c>
      <c r="I16" s="19">
        <f t="shared" si="0"/>
        <v>-30</v>
      </c>
      <c r="J16" s="18" t="s">
        <v>15</v>
      </c>
      <c r="K16" s="18" t="s">
        <v>15</v>
      </c>
      <c r="L16" s="18" t="s">
        <v>110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145</v>
      </c>
      <c r="D17" s="18" t="s">
        <v>146</v>
      </c>
      <c r="E17" s="18" t="s">
        <v>147</v>
      </c>
      <c r="F17" s="18" t="s">
        <v>19</v>
      </c>
      <c r="G17" s="19">
        <v>510</v>
      </c>
      <c r="H17" s="19">
        <v>20</v>
      </c>
      <c r="I17" s="19">
        <f t="shared" si="0"/>
        <v>490</v>
      </c>
      <c r="J17" s="18" t="s">
        <v>15</v>
      </c>
      <c r="K17" s="18" t="s">
        <v>15</v>
      </c>
      <c r="L17" s="18" t="s">
        <v>110</v>
      </c>
      <c r="M17" s="18"/>
      <c r="N17" s="18"/>
      <c r="O17" s="18"/>
      <c r="P17" s="18"/>
      <c r="Q17" s="18">
        <v>1</v>
      </c>
      <c r="R17" s="17">
        <f>H17</f>
        <v>20</v>
      </c>
    </row>
    <row r="18" spans="1:18" customFormat="1" x14ac:dyDescent="0.25">
      <c r="A18" s="18"/>
      <c r="B18" s="18" t="s">
        <v>34</v>
      </c>
      <c r="C18" s="18" t="s">
        <v>152</v>
      </c>
      <c r="D18" s="18" t="s">
        <v>153</v>
      </c>
      <c r="E18" s="18" t="s">
        <v>154</v>
      </c>
      <c r="F18" s="18" t="s">
        <v>20</v>
      </c>
      <c r="G18" s="19">
        <v>745</v>
      </c>
      <c r="H18" s="19">
        <v>25</v>
      </c>
      <c r="I18" s="19">
        <f t="shared" si="0"/>
        <v>720</v>
      </c>
      <c r="J18" s="18" t="s">
        <v>15</v>
      </c>
      <c r="K18" s="18" t="s">
        <v>15</v>
      </c>
      <c r="L18" s="18" t="s">
        <v>110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155</v>
      </c>
      <c r="D19" s="18" t="s">
        <v>156</v>
      </c>
      <c r="E19" s="18" t="s">
        <v>157</v>
      </c>
      <c r="F19" s="18" t="s">
        <v>19</v>
      </c>
      <c r="G19" s="19">
        <v>0</v>
      </c>
      <c r="H19" s="19">
        <v>20</v>
      </c>
      <c r="I19" s="19">
        <f t="shared" si="0"/>
        <v>-20</v>
      </c>
      <c r="J19" s="18" t="s">
        <v>15</v>
      </c>
      <c r="K19" s="18" t="s">
        <v>15</v>
      </c>
      <c r="L19" s="18" t="s">
        <v>110</v>
      </c>
      <c r="M19" s="18"/>
      <c r="N19" s="18"/>
      <c r="O19" s="18"/>
      <c r="P19" s="18"/>
      <c r="Q19" s="18">
        <v>1</v>
      </c>
      <c r="R19" s="17">
        <f>H19</f>
        <v>20</v>
      </c>
    </row>
    <row r="20" spans="1:18" customFormat="1" x14ac:dyDescent="0.25">
      <c r="A20" s="18" t="s">
        <v>96</v>
      </c>
      <c r="B20" s="18" t="s">
        <v>34</v>
      </c>
      <c r="C20" s="18" t="s">
        <v>158</v>
      </c>
      <c r="D20" s="18"/>
      <c r="E20" s="18" t="s">
        <v>159</v>
      </c>
      <c r="F20" s="18" t="s">
        <v>18</v>
      </c>
      <c r="G20" s="19">
        <v>30</v>
      </c>
      <c r="H20" s="19">
        <v>30</v>
      </c>
      <c r="I20" s="19">
        <f t="shared" si="0"/>
        <v>0</v>
      </c>
      <c r="J20" s="18" t="s">
        <v>160</v>
      </c>
      <c r="K20" s="18" t="s">
        <v>15</v>
      </c>
      <c r="L20" s="18" t="s">
        <v>110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161</v>
      </c>
      <c r="D21" s="18" t="s">
        <v>162</v>
      </c>
      <c r="E21" s="18" t="s">
        <v>163</v>
      </c>
      <c r="F21" s="19">
        <v>1</v>
      </c>
      <c r="G21" s="19">
        <v>695</v>
      </c>
      <c r="H21" s="19">
        <v>25</v>
      </c>
      <c r="I21" s="19">
        <f t="shared" si="0"/>
        <v>670</v>
      </c>
      <c r="J21" s="18" t="s">
        <v>160</v>
      </c>
      <c r="K21" s="18" t="s">
        <v>15</v>
      </c>
      <c r="L21" s="18" t="s">
        <v>110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134</v>
      </c>
      <c r="D22" s="18" t="s">
        <v>164</v>
      </c>
      <c r="E22" s="18" t="s">
        <v>165</v>
      </c>
      <c r="F22" s="19">
        <v>10</v>
      </c>
      <c r="G22" s="19">
        <v>775</v>
      </c>
      <c r="H22" s="19">
        <v>25</v>
      </c>
      <c r="I22" s="19">
        <f t="shared" si="0"/>
        <v>750</v>
      </c>
      <c r="J22" s="18" t="s">
        <v>160</v>
      </c>
      <c r="K22" s="18" t="s">
        <v>15</v>
      </c>
      <c r="L22" s="18" t="s">
        <v>110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166</v>
      </c>
      <c r="D23" s="18" t="s">
        <v>167</v>
      </c>
      <c r="E23" s="18" t="s">
        <v>168</v>
      </c>
      <c r="F23" s="19">
        <v>1</v>
      </c>
      <c r="G23" s="19">
        <v>0</v>
      </c>
      <c r="H23" s="19">
        <v>25</v>
      </c>
      <c r="I23" s="19">
        <f t="shared" si="0"/>
        <v>-25</v>
      </c>
      <c r="J23" s="18" t="s">
        <v>160</v>
      </c>
      <c r="K23" s="18" t="s">
        <v>15</v>
      </c>
      <c r="L23" s="18" t="s">
        <v>110</v>
      </c>
      <c r="M23" s="27" t="s">
        <v>169</v>
      </c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170</v>
      </c>
      <c r="D24" s="18" t="s">
        <v>171</v>
      </c>
      <c r="E24" s="18" t="s">
        <v>172</v>
      </c>
      <c r="F24" s="19">
        <v>1</v>
      </c>
      <c r="G24" s="19">
        <v>695</v>
      </c>
      <c r="H24" s="19">
        <v>25</v>
      </c>
      <c r="I24" s="19">
        <f t="shared" si="0"/>
        <v>670</v>
      </c>
      <c r="J24" s="18" t="s">
        <v>160</v>
      </c>
      <c r="K24" s="18" t="s">
        <v>15</v>
      </c>
      <c r="L24" s="18" t="s">
        <v>110</v>
      </c>
      <c r="M24" s="18"/>
      <c r="N24" s="18"/>
      <c r="O24" s="18"/>
      <c r="P24" s="18"/>
      <c r="Q24" s="18">
        <v>1</v>
      </c>
    </row>
    <row r="26" spans="1:18" x14ac:dyDescent="0.25">
      <c r="G26" s="1">
        <f t="shared" ref="G26:R26" si="1">SUBTOTAL(9,G3:G25)</f>
        <v>7915</v>
      </c>
      <c r="H26" s="1">
        <f t="shared" si="1"/>
        <v>640</v>
      </c>
      <c r="I26" s="1">
        <f t="shared" si="1"/>
        <v>7275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  <c r="R26" s="1">
        <f t="shared" si="1"/>
        <v>175</v>
      </c>
    </row>
    <row r="30" spans="1:18" ht="20.25" customHeight="1" x14ac:dyDescent="0.3">
      <c r="H30" s="4" t="s">
        <v>104</v>
      </c>
      <c r="I30" s="5" t="s">
        <v>21</v>
      </c>
      <c r="J30" s="6" t="s">
        <v>22</v>
      </c>
    </row>
    <row r="31" spans="1:18" ht="15.75" customHeight="1" x14ac:dyDescent="0.25">
      <c r="H31" s="7" t="s">
        <v>23</v>
      </c>
      <c r="I31" s="8">
        <f>SUM(I25:I29)</f>
        <v>7275</v>
      </c>
      <c r="J31" s="8">
        <f>Q26</f>
        <v>22</v>
      </c>
    </row>
    <row r="32" spans="1:18" x14ac:dyDescent="0.25">
      <c r="H32" s="9" t="s">
        <v>24</v>
      </c>
      <c r="I32" s="10">
        <f>R26</f>
        <v>175</v>
      </c>
      <c r="J32" s="11"/>
    </row>
    <row r="33" spans="1:12" x14ac:dyDescent="0.25">
      <c r="H33" s="9" t="s">
        <v>25</v>
      </c>
      <c r="I33" s="10">
        <f>S25</f>
        <v>0</v>
      </c>
      <c r="J33" s="11"/>
    </row>
    <row r="34" spans="1:12" x14ac:dyDescent="0.25">
      <c r="H34" s="9" t="s">
        <v>26</v>
      </c>
      <c r="I34" s="10">
        <f>T25</f>
        <v>0</v>
      </c>
      <c r="J34" s="11"/>
    </row>
    <row r="35" spans="1:12" x14ac:dyDescent="0.25">
      <c r="H35" s="9" t="s">
        <v>27</v>
      </c>
      <c r="I35" s="10">
        <f>U25</f>
        <v>0</v>
      </c>
      <c r="J35" s="11"/>
    </row>
    <row r="36" spans="1:12" ht="15.75" customHeight="1" x14ac:dyDescent="0.25">
      <c r="H36" s="12" t="s">
        <v>28</v>
      </c>
      <c r="I36" s="13"/>
      <c r="J36" s="13"/>
    </row>
    <row r="37" spans="1:12" ht="15.75" customHeight="1" x14ac:dyDescent="0.25">
      <c r="H37" s="14" t="s">
        <v>29</v>
      </c>
      <c r="I37" s="13"/>
      <c r="J37" s="13"/>
    </row>
    <row r="38" spans="1:12" ht="21" customHeight="1" x14ac:dyDescent="0.35">
      <c r="H38" s="15" t="s">
        <v>30</v>
      </c>
      <c r="I38" s="16">
        <f>SUM(I31:I37)</f>
        <v>7450</v>
      </c>
      <c r="J38" s="16">
        <f>SUM(J31:J35)</f>
        <v>22</v>
      </c>
    </row>
    <row r="41" spans="1:12" x14ac:dyDescent="0.25">
      <c r="A41" s="1" t="s">
        <v>173</v>
      </c>
    </row>
    <row r="42" spans="1:12" s="23" customFormat="1" x14ac:dyDescent="0.25">
      <c r="A42" s="24" t="s">
        <v>34</v>
      </c>
      <c r="B42" s="24" t="s">
        <v>120</v>
      </c>
      <c r="C42" s="24" t="s">
        <v>121</v>
      </c>
      <c r="D42" s="24" t="s">
        <v>122</v>
      </c>
      <c r="E42" s="24" t="s">
        <v>123</v>
      </c>
      <c r="F42" s="25">
        <v>1215</v>
      </c>
      <c r="G42" s="25">
        <v>0</v>
      </c>
      <c r="H42" s="25">
        <v>1215</v>
      </c>
      <c r="I42" s="24" t="s">
        <v>109</v>
      </c>
      <c r="J42" s="24" t="s">
        <v>15</v>
      </c>
      <c r="K42" s="24" t="s">
        <v>110</v>
      </c>
      <c r="L42" s="26" t="s">
        <v>151</v>
      </c>
    </row>
    <row r="43" spans="1:12" s="23" customFormat="1" x14ac:dyDescent="0.25">
      <c r="A43" s="24" t="s">
        <v>34</v>
      </c>
      <c r="B43" s="24" t="s">
        <v>166</v>
      </c>
      <c r="C43" s="24" t="s">
        <v>167</v>
      </c>
      <c r="D43" s="24" t="s">
        <v>168</v>
      </c>
      <c r="E43" s="28">
        <v>1</v>
      </c>
      <c r="F43" s="25">
        <v>895</v>
      </c>
      <c r="G43" s="25">
        <v>0</v>
      </c>
      <c r="H43" s="25">
        <f t="shared" ref="H43" si="2">F43-G43</f>
        <v>895</v>
      </c>
      <c r="I43" s="24" t="s">
        <v>160</v>
      </c>
      <c r="J43" s="24" t="s">
        <v>15</v>
      </c>
      <c r="K43" s="24" t="s">
        <v>110</v>
      </c>
      <c r="L43" s="26" t="s">
        <v>169</v>
      </c>
    </row>
  </sheetData>
  <autoFilter ref="A2:P24" xr:uid="{00000000-0009-0000-0000-000006000000}">
    <sortState xmlns:xlrd2="http://schemas.microsoft.com/office/spreadsheetml/2017/richdata2" ref="A3:P24">
      <sortCondition ref="J2:J24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306D0-4329-426B-9A19-17DF9E896AD6}">
  <dimension ref="A1:R67"/>
  <sheetViews>
    <sheetView topLeftCell="A20" workbookViewId="0">
      <selection activeCell="H34" sqref="H34:H49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316</v>
      </c>
      <c r="C1" s="1" t="s">
        <v>317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174</v>
      </c>
      <c r="D3" s="18" t="s">
        <v>175</v>
      </c>
      <c r="E3" s="18" t="s">
        <v>176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178</v>
      </c>
      <c r="D4" s="18" t="s">
        <v>179</v>
      </c>
      <c r="E4" s="18" t="s">
        <v>180</v>
      </c>
      <c r="F4" s="19">
        <v>9</v>
      </c>
      <c r="G4" s="19">
        <v>920</v>
      </c>
      <c r="H4" s="19">
        <v>30</v>
      </c>
      <c r="I4" s="19">
        <f t="shared" ref="I4:I53" si="0">G4-H4</f>
        <v>890</v>
      </c>
      <c r="J4" s="18" t="s">
        <v>56</v>
      </c>
      <c r="K4" s="18" t="s">
        <v>15</v>
      </c>
      <c r="L4" s="18" t="s">
        <v>177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181</v>
      </c>
      <c r="D5" s="18" t="s">
        <v>182</v>
      </c>
      <c r="E5" s="18" t="s">
        <v>183</v>
      </c>
      <c r="F5" s="19">
        <v>9</v>
      </c>
      <c r="G5" s="19">
        <v>0</v>
      </c>
      <c r="H5" s="19">
        <v>30</v>
      </c>
      <c r="I5" s="19">
        <f t="shared" si="0"/>
        <v>-30</v>
      </c>
      <c r="J5" s="18" t="s">
        <v>56</v>
      </c>
      <c r="K5" s="18" t="s">
        <v>15</v>
      </c>
      <c r="L5" s="18" t="s">
        <v>177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184</v>
      </c>
      <c r="D6" s="18" t="s">
        <v>185</v>
      </c>
      <c r="E6" s="18" t="s">
        <v>186</v>
      </c>
      <c r="F6" s="19">
        <v>9</v>
      </c>
      <c r="G6" s="19">
        <v>690</v>
      </c>
      <c r="H6" s="19">
        <v>30</v>
      </c>
      <c r="I6" s="19">
        <f t="shared" si="0"/>
        <v>660</v>
      </c>
      <c r="J6" s="18" t="s">
        <v>56</v>
      </c>
      <c r="K6" s="18" t="s">
        <v>15</v>
      </c>
      <c r="L6" s="18" t="s">
        <v>177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187</v>
      </c>
      <c r="D7" s="18" t="s">
        <v>188</v>
      </c>
      <c r="E7" s="18" t="s">
        <v>189</v>
      </c>
      <c r="F7" s="19">
        <v>5</v>
      </c>
      <c r="G7" s="19">
        <v>20</v>
      </c>
      <c r="H7" s="19">
        <v>20</v>
      </c>
      <c r="I7" s="19">
        <f t="shared" si="0"/>
        <v>0</v>
      </c>
      <c r="J7" s="18" t="s">
        <v>190</v>
      </c>
      <c r="K7" s="18" t="s">
        <v>15</v>
      </c>
      <c r="L7" s="18" t="s">
        <v>177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191</v>
      </c>
      <c r="D8" s="18" t="s">
        <v>192</v>
      </c>
      <c r="E8" s="18" t="s">
        <v>193</v>
      </c>
      <c r="F8" s="19">
        <v>12</v>
      </c>
      <c r="G8" s="19">
        <v>820</v>
      </c>
      <c r="H8" s="19">
        <v>30</v>
      </c>
      <c r="I8" s="19">
        <f t="shared" si="0"/>
        <v>790</v>
      </c>
      <c r="J8" s="18" t="s">
        <v>190</v>
      </c>
      <c r="K8" s="18" t="s">
        <v>15</v>
      </c>
      <c r="L8" s="18" t="s">
        <v>177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194</v>
      </c>
      <c r="D9" s="18" t="s">
        <v>195</v>
      </c>
      <c r="E9" s="18" t="s">
        <v>196</v>
      </c>
      <c r="F9" s="19">
        <v>7</v>
      </c>
      <c r="G9" s="19">
        <v>1330</v>
      </c>
      <c r="H9" s="19">
        <v>30</v>
      </c>
      <c r="I9" s="19">
        <f t="shared" si="0"/>
        <v>1300</v>
      </c>
      <c r="J9" s="18" t="s">
        <v>190</v>
      </c>
      <c r="K9" s="18" t="s">
        <v>15</v>
      </c>
      <c r="L9" s="18" t="s">
        <v>177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197</v>
      </c>
      <c r="D10" s="18" t="s">
        <v>198</v>
      </c>
      <c r="E10" s="18" t="s">
        <v>199</v>
      </c>
      <c r="F10" s="18" t="s">
        <v>18</v>
      </c>
      <c r="G10" s="19">
        <v>375</v>
      </c>
      <c r="H10" s="19">
        <v>25</v>
      </c>
      <c r="I10" s="19">
        <f t="shared" si="0"/>
        <v>350</v>
      </c>
      <c r="J10" s="18" t="s">
        <v>190</v>
      </c>
      <c r="K10" s="18" t="s">
        <v>15</v>
      </c>
      <c r="L10" s="18" t="s">
        <v>177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200</v>
      </c>
      <c r="D11" s="18" t="s">
        <v>201</v>
      </c>
      <c r="E11" s="18" t="s">
        <v>202</v>
      </c>
      <c r="F11" s="19">
        <v>7</v>
      </c>
      <c r="G11" s="19">
        <v>850</v>
      </c>
      <c r="H11" s="19">
        <v>30</v>
      </c>
      <c r="I11" s="19">
        <f t="shared" si="0"/>
        <v>820</v>
      </c>
      <c r="J11" s="18" t="s">
        <v>190</v>
      </c>
      <c r="K11" s="18" t="s">
        <v>15</v>
      </c>
      <c r="L11" s="18" t="s">
        <v>177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203</v>
      </c>
      <c r="D12" s="18" t="s">
        <v>204</v>
      </c>
      <c r="E12" s="18" t="s">
        <v>205</v>
      </c>
      <c r="F12" s="19">
        <v>12</v>
      </c>
      <c r="G12" s="19">
        <v>380</v>
      </c>
      <c r="H12" s="19">
        <v>30</v>
      </c>
      <c r="I12" s="19">
        <f t="shared" si="0"/>
        <v>350</v>
      </c>
      <c r="J12" s="18" t="s">
        <v>190</v>
      </c>
      <c r="K12" s="18" t="s">
        <v>15</v>
      </c>
      <c r="L12" s="18" t="s">
        <v>177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206</v>
      </c>
      <c r="D13" s="18" t="s">
        <v>207</v>
      </c>
      <c r="E13" s="18" t="s">
        <v>208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190</v>
      </c>
      <c r="K13" s="18" t="s">
        <v>15</v>
      </c>
      <c r="L13" s="18" t="s">
        <v>177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209</v>
      </c>
      <c r="D14" s="18" t="s">
        <v>210</v>
      </c>
      <c r="E14" s="18" t="s">
        <v>211</v>
      </c>
      <c r="F14" s="18" t="s">
        <v>212</v>
      </c>
      <c r="G14" s="19">
        <v>365</v>
      </c>
      <c r="H14" s="19">
        <v>25</v>
      </c>
      <c r="I14" s="19">
        <f t="shared" si="0"/>
        <v>340</v>
      </c>
      <c r="J14" s="18" t="s">
        <v>190</v>
      </c>
      <c r="K14" s="18" t="s">
        <v>15</v>
      </c>
      <c r="L14" s="18" t="s">
        <v>177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213</v>
      </c>
      <c r="D15" s="18" t="s">
        <v>214</v>
      </c>
      <c r="E15" s="18" t="s">
        <v>215</v>
      </c>
      <c r="F15" s="19">
        <v>8</v>
      </c>
      <c r="G15" s="19">
        <v>1460</v>
      </c>
      <c r="H15" s="19">
        <v>30</v>
      </c>
      <c r="I15" s="19">
        <f t="shared" si="0"/>
        <v>1430</v>
      </c>
      <c r="J15" s="18" t="s">
        <v>190</v>
      </c>
      <c r="K15" s="18" t="s">
        <v>15</v>
      </c>
      <c r="L15" s="18" t="s">
        <v>177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216</v>
      </c>
      <c r="D16" s="18" t="s">
        <v>217</v>
      </c>
      <c r="E16" s="18" t="s">
        <v>218</v>
      </c>
      <c r="F16" s="19">
        <v>8</v>
      </c>
      <c r="G16" s="19">
        <v>1440</v>
      </c>
      <c r="H16" s="19">
        <v>30</v>
      </c>
      <c r="I16" s="19">
        <f t="shared" si="0"/>
        <v>1410</v>
      </c>
      <c r="J16" s="18" t="s">
        <v>190</v>
      </c>
      <c r="K16" s="18" t="s">
        <v>15</v>
      </c>
      <c r="L16" s="18" t="s">
        <v>177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219</v>
      </c>
      <c r="D17" s="18" t="s">
        <v>220</v>
      </c>
      <c r="E17" s="18" t="s">
        <v>221</v>
      </c>
      <c r="F17" s="19">
        <v>10</v>
      </c>
      <c r="G17" s="19">
        <v>375</v>
      </c>
      <c r="H17" s="19">
        <v>25</v>
      </c>
      <c r="I17" s="19">
        <f t="shared" si="0"/>
        <v>350</v>
      </c>
      <c r="J17" s="18" t="s">
        <v>190</v>
      </c>
      <c r="K17" s="18" t="s">
        <v>15</v>
      </c>
      <c r="L17" s="18" t="s">
        <v>177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222</v>
      </c>
      <c r="D18" s="18" t="s">
        <v>223</v>
      </c>
      <c r="E18" s="18" t="s">
        <v>224</v>
      </c>
      <c r="F18" s="19">
        <v>10</v>
      </c>
      <c r="G18" s="19">
        <v>745</v>
      </c>
      <c r="H18" s="19">
        <v>25</v>
      </c>
      <c r="I18" s="19">
        <f t="shared" si="0"/>
        <v>720</v>
      </c>
      <c r="J18" s="18" t="s">
        <v>190</v>
      </c>
      <c r="K18" s="18" t="s">
        <v>15</v>
      </c>
      <c r="L18" s="18" t="s">
        <v>177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225</v>
      </c>
      <c r="D19" s="20" t="s">
        <v>226</v>
      </c>
      <c r="E19" s="20" t="s">
        <v>227</v>
      </c>
      <c r="F19" s="21">
        <v>5</v>
      </c>
      <c r="G19" s="21">
        <v>30</v>
      </c>
      <c r="H19" s="21">
        <v>30</v>
      </c>
      <c r="I19" s="21">
        <f t="shared" si="0"/>
        <v>0</v>
      </c>
      <c r="J19" s="20" t="s">
        <v>190</v>
      </c>
      <c r="K19" s="20" t="s">
        <v>15</v>
      </c>
      <c r="L19" s="20" t="s">
        <v>177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228</v>
      </c>
      <c r="D20" s="18" t="s">
        <v>229</v>
      </c>
      <c r="E20" s="18" t="s">
        <v>230</v>
      </c>
      <c r="F20" s="18" t="s">
        <v>123</v>
      </c>
      <c r="G20" s="19">
        <v>695</v>
      </c>
      <c r="H20" s="19">
        <v>35</v>
      </c>
      <c r="I20" s="19">
        <f t="shared" si="0"/>
        <v>660</v>
      </c>
      <c r="J20" s="18" t="s">
        <v>190</v>
      </c>
      <c r="K20" s="18" t="s">
        <v>15</v>
      </c>
      <c r="L20" s="18" t="s">
        <v>177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231</v>
      </c>
      <c r="D21" s="18" t="s">
        <v>232</v>
      </c>
      <c r="E21" s="18" t="s">
        <v>233</v>
      </c>
      <c r="F21" s="19">
        <v>10</v>
      </c>
      <c r="G21" s="19">
        <v>765</v>
      </c>
      <c r="H21" s="19">
        <v>25</v>
      </c>
      <c r="I21" s="19">
        <f t="shared" si="0"/>
        <v>740</v>
      </c>
      <c r="J21" s="18" t="s">
        <v>190</v>
      </c>
      <c r="K21" s="18" t="s">
        <v>15</v>
      </c>
      <c r="L21" s="18" t="s">
        <v>177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234</v>
      </c>
      <c r="D22" s="18" t="s">
        <v>235</v>
      </c>
      <c r="E22" s="18" t="s">
        <v>236</v>
      </c>
      <c r="F22" s="19">
        <v>1</v>
      </c>
      <c r="G22" s="19">
        <v>680</v>
      </c>
      <c r="H22" s="19">
        <v>20</v>
      </c>
      <c r="I22" s="19">
        <f t="shared" si="0"/>
        <v>660</v>
      </c>
      <c r="J22" s="18" t="s">
        <v>190</v>
      </c>
      <c r="K22" s="18" t="s">
        <v>15</v>
      </c>
      <c r="L22" s="18" t="s">
        <v>177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237</v>
      </c>
      <c r="D23" s="18" t="s">
        <v>238</v>
      </c>
      <c r="E23" s="18" t="s">
        <v>239</v>
      </c>
      <c r="F23" s="19">
        <v>10</v>
      </c>
      <c r="G23" s="19">
        <v>815</v>
      </c>
      <c r="H23" s="19">
        <v>25</v>
      </c>
      <c r="I23" s="19">
        <f t="shared" si="0"/>
        <v>790</v>
      </c>
      <c r="J23" s="18" t="s">
        <v>190</v>
      </c>
      <c r="K23" s="18" t="s">
        <v>15</v>
      </c>
      <c r="L23" s="18" t="s">
        <v>177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191</v>
      </c>
      <c r="D24" s="18" t="s">
        <v>240</v>
      </c>
      <c r="E24" s="18" t="s">
        <v>241</v>
      </c>
      <c r="F24" s="19">
        <v>12</v>
      </c>
      <c r="G24" s="19">
        <v>690</v>
      </c>
      <c r="H24" s="19">
        <v>30</v>
      </c>
      <c r="I24" s="19">
        <f t="shared" si="0"/>
        <v>660</v>
      </c>
      <c r="J24" s="18" t="s">
        <v>190</v>
      </c>
      <c r="K24" s="18" t="s">
        <v>15</v>
      </c>
      <c r="L24" s="18" t="s">
        <v>177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242</v>
      </c>
      <c r="D25" s="18" t="s">
        <v>243</v>
      </c>
      <c r="E25" s="18" t="s">
        <v>244</v>
      </c>
      <c r="F25" s="18" t="s">
        <v>123</v>
      </c>
      <c r="G25" s="19">
        <v>765</v>
      </c>
      <c r="H25" s="19">
        <v>35</v>
      </c>
      <c r="I25" s="19">
        <f t="shared" si="0"/>
        <v>730</v>
      </c>
      <c r="J25" s="18" t="s">
        <v>190</v>
      </c>
      <c r="K25" s="18" t="s">
        <v>15</v>
      </c>
      <c r="L25" s="18" t="s">
        <v>177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245</v>
      </c>
      <c r="D26" s="18" t="s">
        <v>246</v>
      </c>
      <c r="E26" s="18" t="s">
        <v>247</v>
      </c>
      <c r="F26" s="18" t="s">
        <v>38</v>
      </c>
      <c r="G26" s="19">
        <v>690</v>
      </c>
      <c r="H26" s="19">
        <v>30</v>
      </c>
      <c r="I26" s="19">
        <f t="shared" si="0"/>
        <v>660</v>
      </c>
      <c r="J26" s="18" t="s">
        <v>190</v>
      </c>
      <c r="K26" s="18" t="s">
        <v>15</v>
      </c>
      <c r="L26" s="18" t="s">
        <v>177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248</v>
      </c>
      <c r="D27" s="18" t="s">
        <v>249</v>
      </c>
      <c r="E27" s="18" t="s">
        <v>250</v>
      </c>
      <c r="F27" s="19">
        <v>7</v>
      </c>
      <c r="G27" s="19">
        <v>890</v>
      </c>
      <c r="H27" s="19">
        <v>30</v>
      </c>
      <c r="I27" s="19">
        <f t="shared" si="0"/>
        <v>860</v>
      </c>
      <c r="J27" s="18" t="s">
        <v>190</v>
      </c>
      <c r="K27" s="18" t="s">
        <v>15</v>
      </c>
      <c r="L27" s="18" t="s">
        <v>177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251</v>
      </c>
      <c r="D28" s="18" t="s">
        <v>252</v>
      </c>
      <c r="E28" s="18" t="s">
        <v>253</v>
      </c>
      <c r="F28" s="18" t="s">
        <v>254</v>
      </c>
      <c r="G28" s="19">
        <v>695</v>
      </c>
      <c r="H28" s="19">
        <v>35</v>
      </c>
      <c r="I28" s="19">
        <f t="shared" si="0"/>
        <v>660</v>
      </c>
      <c r="J28" s="18" t="s">
        <v>190</v>
      </c>
      <c r="K28" s="18" t="s">
        <v>15</v>
      </c>
      <c r="L28" s="18" t="s">
        <v>177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255</v>
      </c>
      <c r="D29" s="18" t="s">
        <v>256</v>
      </c>
      <c r="E29" s="18" t="s">
        <v>257</v>
      </c>
      <c r="F29" s="19">
        <v>8</v>
      </c>
      <c r="G29" s="19">
        <v>845</v>
      </c>
      <c r="H29" s="19">
        <v>25</v>
      </c>
      <c r="I29" s="19">
        <f t="shared" si="0"/>
        <v>820</v>
      </c>
      <c r="J29" s="18" t="s">
        <v>190</v>
      </c>
      <c r="K29" s="18" t="s">
        <v>15</v>
      </c>
      <c r="L29" s="18" t="s">
        <v>177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 t="s">
        <v>99</v>
      </c>
      <c r="D30" s="18"/>
      <c r="E30" s="18" t="s">
        <v>100</v>
      </c>
      <c r="F30" s="19">
        <v>6</v>
      </c>
      <c r="G30" s="19">
        <v>0</v>
      </c>
      <c r="H30" s="19">
        <v>30</v>
      </c>
      <c r="I30" s="19">
        <f t="shared" si="0"/>
        <v>-30</v>
      </c>
      <c r="J30" s="18" t="s">
        <v>190</v>
      </c>
      <c r="K30" s="18" t="s">
        <v>15</v>
      </c>
      <c r="L30" s="18" t="s">
        <v>177</v>
      </c>
      <c r="M30" s="18"/>
      <c r="N30" s="18"/>
      <c r="O30" s="18"/>
      <c r="P30" s="18"/>
      <c r="Q30" s="18">
        <v>1</v>
      </c>
      <c r="R30" s="17">
        <f t="shared" ref="R30:R31" si="1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258</v>
      </c>
      <c r="D31" s="18"/>
      <c r="E31" s="18" t="s">
        <v>259</v>
      </c>
      <c r="F31" s="19">
        <v>12</v>
      </c>
      <c r="G31" s="19">
        <v>0</v>
      </c>
      <c r="H31" s="19">
        <v>35</v>
      </c>
      <c r="I31" s="19">
        <f t="shared" si="0"/>
        <v>-35</v>
      </c>
      <c r="J31" s="18" t="s">
        <v>190</v>
      </c>
      <c r="K31" s="18" t="s">
        <v>15</v>
      </c>
      <c r="L31" s="18" t="s">
        <v>177</v>
      </c>
      <c r="M31" s="18"/>
      <c r="N31" s="18"/>
      <c r="O31" s="18"/>
      <c r="P31" s="18"/>
      <c r="Q31" s="18">
        <v>1</v>
      </c>
      <c r="R31" s="17">
        <f t="shared" si="1"/>
        <v>35</v>
      </c>
    </row>
    <row r="32" spans="1:18" customFormat="1" x14ac:dyDescent="0.25">
      <c r="A32" s="18" t="s">
        <v>96</v>
      </c>
      <c r="B32" s="18" t="s">
        <v>34</v>
      </c>
      <c r="C32" s="18" t="s">
        <v>260</v>
      </c>
      <c r="D32" s="18"/>
      <c r="E32" s="18" t="s">
        <v>261</v>
      </c>
      <c r="F32" s="19">
        <v>6</v>
      </c>
      <c r="G32" s="19">
        <v>35</v>
      </c>
      <c r="H32" s="19">
        <v>35</v>
      </c>
      <c r="I32" s="19">
        <f t="shared" si="0"/>
        <v>0</v>
      </c>
      <c r="J32" s="18" t="s">
        <v>190</v>
      </c>
      <c r="K32" s="18" t="s">
        <v>15</v>
      </c>
      <c r="L32" s="18" t="s">
        <v>177</v>
      </c>
      <c r="M32" s="18"/>
      <c r="N32" s="18"/>
      <c r="O32" s="18"/>
      <c r="P32" s="18"/>
      <c r="Q32" s="18">
        <v>1</v>
      </c>
    </row>
    <row r="33" spans="1:18" s="22" customFormat="1" x14ac:dyDescent="0.25">
      <c r="A33" s="20" t="s">
        <v>96</v>
      </c>
      <c r="B33" s="20" t="s">
        <v>34</v>
      </c>
      <c r="C33" s="20" t="s">
        <v>262</v>
      </c>
      <c r="D33" s="20"/>
      <c r="E33" s="20" t="s">
        <v>263</v>
      </c>
      <c r="F33" s="21">
        <v>6</v>
      </c>
      <c r="G33" s="21">
        <v>0</v>
      </c>
      <c r="H33" s="21">
        <v>30</v>
      </c>
      <c r="I33" s="21">
        <f t="shared" si="0"/>
        <v>-30</v>
      </c>
      <c r="J33" s="20" t="s">
        <v>190</v>
      </c>
      <c r="K33" s="20" t="s">
        <v>15</v>
      </c>
      <c r="L33" s="20" t="s">
        <v>177</v>
      </c>
      <c r="M33" s="20" t="s">
        <v>16</v>
      </c>
      <c r="N33" s="20"/>
      <c r="O33" s="20"/>
      <c r="P33" s="20"/>
      <c r="Q33" s="20">
        <v>1</v>
      </c>
      <c r="R33" s="29">
        <f>H33</f>
        <v>30</v>
      </c>
    </row>
    <row r="34" spans="1:18" customFormat="1" x14ac:dyDescent="0.25">
      <c r="A34" s="18"/>
      <c r="B34" s="18" t="s">
        <v>34</v>
      </c>
      <c r="C34" s="18" t="s">
        <v>264</v>
      </c>
      <c r="D34" s="18" t="s">
        <v>265</v>
      </c>
      <c r="E34" s="18" t="s">
        <v>266</v>
      </c>
      <c r="F34" s="18" t="s">
        <v>17</v>
      </c>
      <c r="G34" s="19">
        <v>680</v>
      </c>
      <c r="H34" s="19">
        <v>20</v>
      </c>
      <c r="I34" s="19">
        <f t="shared" si="0"/>
        <v>660</v>
      </c>
      <c r="J34" s="18" t="s">
        <v>15</v>
      </c>
      <c r="K34" s="18" t="s">
        <v>15</v>
      </c>
      <c r="L34" s="18" t="s">
        <v>177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267</v>
      </c>
      <c r="D35" s="18" t="s">
        <v>268</v>
      </c>
      <c r="E35" s="18" t="s">
        <v>269</v>
      </c>
      <c r="F35" s="18" t="s">
        <v>18</v>
      </c>
      <c r="G35" s="19">
        <v>685</v>
      </c>
      <c r="H35" s="19">
        <v>25</v>
      </c>
      <c r="I35" s="19">
        <f>G35-H35</f>
        <v>660</v>
      </c>
      <c r="J35" s="18" t="s">
        <v>15</v>
      </c>
      <c r="K35" s="18" t="s">
        <v>15</v>
      </c>
      <c r="L35" s="18" t="s">
        <v>177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270</v>
      </c>
      <c r="D36" s="18" t="s">
        <v>271</v>
      </c>
      <c r="E36" s="18" t="s">
        <v>272</v>
      </c>
      <c r="F36" s="19">
        <v>2</v>
      </c>
      <c r="G36" s="19">
        <v>1500</v>
      </c>
      <c r="H36" s="19">
        <v>30</v>
      </c>
      <c r="I36" s="19">
        <f t="shared" si="0"/>
        <v>1470</v>
      </c>
      <c r="J36" s="18" t="s">
        <v>15</v>
      </c>
      <c r="K36" s="18" t="s">
        <v>15</v>
      </c>
      <c r="L36" s="18" t="s">
        <v>177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273</v>
      </c>
      <c r="D37" s="18" t="s">
        <v>274</v>
      </c>
      <c r="E37" s="18" t="s">
        <v>275</v>
      </c>
      <c r="F37" s="18" t="s">
        <v>20</v>
      </c>
      <c r="G37" s="19">
        <v>0</v>
      </c>
      <c r="H37" s="19">
        <v>25</v>
      </c>
      <c r="I37" s="19">
        <f t="shared" si="0"/>
        <v>-25</v>
      </c>
      <c r="J37" s="18" t="s">
        <v>15</v>
      </c>
      <c r="K37" s="18" t="s">
        <v>15</v>
      </c>
      <c r="L37" s="18" t="s">
        <v>177</v>
      </c>
      <c r="M37" s="18"/>
      <c r="N37" s="18"/>
      <c r="O37" s="18"/>
      <c r="P37" s="18"/>
      <c r="Q37" s="18">
        <v>1</v>
      </c>
      <c r="R37" s="17">
        <f t="shared" ref="R37:R38" si="2">H37</f>
        <v>25</v>
      </c>
    </row>
    <row r="38" spans="1:18" customFormat="1" x14ac:dyDescent="0.25">
      <c r="A38" s="18"/>
      <c r="B38" s="18" t="s">
        <v>34</v>
      </c>
      <c r="C38" s="18" t="s">
        <v>276</v>
      </c>
      <c r="D38" s="18" t="s">
        <v>277</v>
      </c>
      <c r="E38" s="18" t="s">
        <v>278</v>
      </c>
      <c r="F38" s="18" t="s">
        <v>17</v>
      </c>
      <c r="G38" s="19">
        <v>0</v>
      </c>
      <c r="H38" s="19">
        <v>20</v>
      </c>
      <c r="I38" s="19">
        <f t="shared" si="0"/>
        <v>-20</v>
      </c>
      <c r="J38" s="18" t="s">
        <v>15</v>
      </c>
      <c r="K38" s="18" t="s">
        <v>15</v>
      </c>
      <c r="L38" s="18" t="s">
        <v>177</v>
      </c>
      <c r="M38" s="18"/>
      <c r="N38" s="18"/>
      <c r="O38" s="18"/>
      <c r="P38" s="18"/>
      <c r="Q38" s="18">
        <v>1</v>
      </c>
      <c r="R38" s="17">
        <f t="shared" si="2"/>
        <v>20</v>
      </c>
    </row>
    <row r="39" spans="1:18" customFormat="1" x14ac:dyDescent="0.25">
      <c r="A39" s="18"/>
      <c r="B39" s="18" t="s">
        <v>34</v>
      </c>
      <c r="C39" s="18" t="s">
        <v>279</v>
      </c>
      <c r="D39" s="18" t="s">
        <v>280</v>
      </c>
      <c r="E39" s="18" t="s">
        <v>281</v>
      </c>
      <c r="F39" s="18" t="s">
        <v>144</v>
      </c>
      <c r="G39" s="19">
        <v>690</v>
      </c>
      <c r="H39" s="19">
        <v>30</v>
      </c>
      <c r="I39" s="19">
        <f t="shared" si="0"/>
        <v>660</v>
      </c>
      <c r="J39" s="18" t="s">
        <v>15</v>
      </c>
      <c r="K39" s="18" t="s">
        <v>15</v>
      </c>
      <c r="L39" s="18" t="s">
        <v>177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282</v>
      </c>
      <c r="D40" s="18" t="s">
        <v>283</v>
      </c>
      <c r="E40" s="18" t="s">
        <v>284</v>
      </c>
      <c r="F40" s="18" t="s">
        <v>144</v>
      </c>
      <c r="G40" s="19">
        <v>0</v>
      </c>
      <c r="H40" s="19">
        <v>30</v>
      </c>
      <c r="I40" s="19">
        <f t="shared" si="0"/>
        <v>-30</v>
      </c>
      <c r="J40" s="18" t="s">
        <v>15</v>
      </c>
      <c r="K40" s="18" t="s">
        <v>15</v>
      </c>
      <c r="L40" s="18" t="s">
        <v>177</v>
      </c>
      <c r="M40" s="18"/>
      <c r="N40" s="18"/>
      <c r="O40" s="18"/>
      <c r="P40" s="18"/>
      <c r="Q40" s="18">
        <v>1</v>
      </c>
      <c r="R40" s="17">
        <f t="shared" ref="R40:R41" si="3">H40</f>
        <v>30</v>
      </c>
    </row>
    <row r="41" spans="1:18" customFormat="1" x14ac:dyDescent="0.25">
      <c r="A41" s="18"/>
      <c r="B41" s="18" t="s">
        <v>34</v>
      </c>
      <c r="C41" s="18" t="s">
        <v>148</v>
      </c>
      <c r="D41" s="18" t="s">
        <v>285</v>
      </c>
      <c r="E41" s="18" t="s">
        <v>150</v>
      </c>
      <c r="F41" s="18" t="s">
        <v>19</v>
      </c>
      <c r="G41" s="19">
        <v>0</v>
      </c>
      <c r="H41" s="19">
        <v>20</v>
      </c>
      <c r="I41" s="19">
        <f t="shared" si="0"/>
        <v>-20</v>
      </c>
      <c r="J41" s="18" t="s">
        <v>15</v>
      </c>
      <c r="K41" s="18" t="s">
        <v>15</v>
      </c>
      <c r="L41" s="18" t="s">
        <v>177</v>
      </c>
      <c r="M41" s="18"/>
      <c r="N41" s="18"/>
      <c r="O41" s="18"/>
      <c r="P41" s="18"/>
      <c r="Q41" s="18">
        <v>1</v>
      </c>
      <c r="R41" s="17">
        <f t="shared" si="3"/>
        <v>20</v>
      </c>
    </row>
    <row r="42" spans="1:18" customFormat="1" x14ac:dyDescent="0.25">
      <c r="A42" s="18"/>
      <c r="B42" s="18" t="s">
        <v>34</v>
      </c>
      <c r="C42" s="18" t="s">
        <v>286</v>
      </c>
      <c r="D42" s="18" t="s">
        <v>287</v>
      </c>
      <c r="E42" s="18" t="s">
        <v>288</v>
      </c>
      <c r="F42" s="19">
        <v>2</v>
      </c>
      <c r="G42" s="19">
        <v>1480</v>
      </c>
      <c r="H42" s="19">
        <v>30</v>
      </c>
      <c r="I42" s="19">
        <f t="shared" si="0"/>
        <v>1450</v>
      </c>
      <c r="J42" s="18" t="s">
        <v>15</v>
      </c>
      <c r="K42" s="18" t="s">
        <v>15</v>
      </c>
      <c r="L42" s="18" t="s">
        <v>177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289</v>
      </c>
      <c r="D43" s="18" t="s">
        <v>290</v>
      </c>
      <c r="E43" s="18" t="s">
        <v>291</v>
      </c>
      <c r="F43" s="19">
        <v>3</v>
      </c>
      <c r="G43" s="19">
        <v>685</v>
      </c>
      <c r="H43" s="19">
        <v>25</v>
      </c>
      <c r="I43" s="19">
        <f t="shared" si="0"/>
        <v>660</v>
      </c>
      <c r="J43" s="18" t="s">
        <v>15</v>
      </c>
      <c r="K43" s="18" t="s">
        <v>15</v>
      </c>
      <c r="L43" s="18" t="s">
        <v>177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292</v>
      </c>
      <c r="D44" s="18" t="s">
        <v>293</v>
      </c>
      <c r="E44" s="18" t="s">
        <v>294</v>
      </c>
      <c r="F44" s="18" t="s">
        <v>19</v>
      </c>
      <c r="G44" s="19">
        <v>770</v>
      </c>
      <c r="H44" s="19">
        <v>20</v>
      </c>
      <c r="I44" s="19">
        <f t="shared" si="0"/>
        <v>750</v>
      </c>
      <c r="J44" s="18" t="s">
        <v>15</v>
      </c>
      <c r="K44" s="18" t="s">
        <v>15</v>
      </c>
      <c r="L44" s="18" t="s">
        <v>177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295</v>
      </c>
      <c r="D45" s="18" t="s">
        <v>296</v>
      </c>
      <c r="E45" s="18" t="s">
        <v>297</v>
      </c>
      <c r="F45" s="18" t="s">
        <v>19</v>
      </c>
      <c r="G45" s="19">
        <v>680</v>
      </c>
      <c r="H45" s="19">
        <v>20</v>
      </c>
      <c r="I45" s="19">
        <f t="shared" si="0"/>
        <v>660</v>
      </c>
      <c r="J45" s="18" t="s">
        <v>15</v>
      </c>
      <c r="K45" s="18" t="s">
        <v>15</v>
      </c>
      <c r="L45" s="18" t="s">
        <v>177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298</v>
      </c>
      <c r="D46" s="18" t="s">
        <v>299</v>
      </c>
      <c r="E46" s="18" t="s">
        <v>300</v>
      </c>
      <c r="F46" s="18" t="s">
        <v>144</v>
      </c>
      <c r="G46" s="19">
        <v>1030</v>
      </c>
      <c r="H46" s="19">
        <v>30</v>
      </c>
      <c r="I46" s="19">
        <f t="shared" si="0"/>
        <v>1000</v>
      </c>
      <c r="J46" s="18" t="s">
        <v>15</v>
      </c>
      <c r="K46" s="18" t="s">
        <v>15</v>
      </c>
      <c r="L46" s="18" t="s">
        <v>177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301</v>
      </c>
      <c r="D47" s="18" t="s">
        <v>302</v>
      </c>
      <c r="E47" s="18" t="s">
        <v>303</v>
      </c>
      <c r="F47" s="18" t="s">
        <v>19</v>
      </c>
      <c r="G47" s="19">
        <v>680</v>
      </c>
      <c r="H47" s="19">
        <v>20</v>
      </c>
      <c r="I47" s="19">
        <f t="shared" si="0"/>
        <v>660</v>
      </c>
      <c r="J47" s="18" t="s">
        <v>15</v>
      </c>
      <c r="K47" s="18" t="s">
        <v>15</v>
      </c>
      <c r="L47" s="18" t="s">
        <v>177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304</v>
      </c>
      <c r="D48" s="18" t="s">
        <v>305</v>
      </c>
      <c r="E48" s="18" t="s">
        <v>306</v>
      </c>
      <c r="F48" s="18" t="s">
        <v>20</v>
      </c>
      <c r="G48" s="19">
        <v>685</v>
      </c>
      <c r="H48" s="19">
        <v>25</v>
      </c>
      <c r="I48" s="19">
        <f t="shared" si="0"/>
        <v>660</v>
      </c>
      <c r="J48" s="18" t="s">
        <v>15</v>
      </c>
      <c r="K48" s="18" t="s">
        <v>15</v>
      </c>
      <c r="L48" s="18" t="s">
        <v>177</v>
      </c>
      <c r="M48" s="27" t="s">
        <v>307</v>
      </c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308</v>
      </c>
      <c r="D49" s="18" t="s">
        <v>309</v>
      </c>
      <c r="E49" s="18" t="s">
        <v>310</v>
      </c>
      <c r="F49" s="18" t="s">
        <v>18</v>
      </c>
      <c r="G49" s="19">
        <v>820</v>
      </c>
      <c r="H49" s="19">
        <v>0</v>
      </c>
      <c r="I49" s="19">
        <f t="shared" si="0"/>
        <v>820</v>
      </c>
      <c r="J49" s="18" t="s">
        <v>15</v>
      </c>
      <c r="K49" s="18" t="s">
        <v>15</v>
      </c>
      <c r="L49" s="18" t="s">
        <v>177</v>
      </c>
      <c r="M49" s="27" t="s">
        <v>307</v>
      </c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308</v>
      </c>
      <c r="D50" s="18" t="s">
        <v>319</v>
      </c>
      <c r="E50" s="18" t="s">
        <v>310</v>
      </c>
      <c r="F50" s="18" t="s">
        <v>18</v>
      </c>
      <c r="G50" s="19">
        <v>1585</v>
      </c>
      <c r="H50" s="19">
        <v>25</v>
      </c>
      <c r="I50" s="19">
        <f t="shared" ref="I50" si="4">G50-H50</f>
        <v>1560</v>
      </c>
      <c r="J50" s="18" t="s">
        <v>15</v>
      </c>
      <c r="K50" s="18" t="s">
        <v>15</v>
      </c>
      <c r="L50" s="18" t="s">
        <v>177</v>
      </c>
      <c r="M50" s="27" t="s">
        <v>307</v>
      </c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304</v>
      </c>
      <c r="D51" s="18" t="s">
        <v>311</v>
      </c>
      <c r="E51" s="18" t="s">
        <v>306</v>
      </c>
      <c r="F51" s="18" t="s">
        <v>20</v>
      </c>
      <c r="G51" s="19">
        <v>1050</v>
      </c>
      <c r="H51" s="19">
        <v>0</v>
      </c>
      <c r="I51" s="19">
        <f t="shared" si="0"/>
        <v>1050</v>
      </c>
      <c r="J51" s="18" t="s">
        <v>15</v>
      </c>
      <c r="K51" s="18" t="s">
        <v>15</v>
      </c>
      <c r="L51" s="18" t="s">
        <v>177</v>
      </c>
      <c r="M51" s="27" t="s">
        <v>307</v>
      </c>
      <c r="N51" s="18"/>
      <c r="O51" s="18"/>
      <c r="P51" s="18"/>
      <c r="Q51" s="18">
        <v>1</v>
      </c>
    </row>
    <row r="52" spans="1:18" customFormat="1" x14ac:dyDescent="0.25">
      <c r="A52" s="18" t="s">
        <v>96</v>
      </c>
      <c r="B52" s="18" t="s">
        <v>34</v>
      </c>
      <c r="C52" s="18" t="s">
        <v>312</v>
      </c>
      <c r="D52" s="18"/>
      <c r="E52" s="18" t="s">
        <v>313</v>
      </c>
      <c r="F52" s="18" t="s">
        <v>20</v>
      </c>
      <c r="G52" s="19">
        <v>30</v>
      </c>
      <c r="H52" s="19">
        <v>30</v>
      </c>
      <c r="I52" s="19">
        <f t="shared" si="0"/>
        <v>0</v>
      </c>
      <c r="J52" s="18" t="s">
        <v>15</v>
      </c>
      <c r="K52" s="18" t="s">
        <v>15</v>
      </c>
      <c r="L52" s="18" t="s">
        <v>177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314</v>
      </c>
      <c r="D53" s="18"/>
      <c r="E53" s="18" t="s">
        <v>315</v>
      </c>
      <c r="F53" s="18" t="s">
        <v>20</v>
      </c>
      <c r="G53" s="19">
        <v>30</v>
      </c>
      <c r="H53" s="19">
        <v>30</v>
      </c>
      <c r="I53" s="19">
        <f t="shared" si="0"/>
        <v>0</v>
      </c>
      <c r="J53" s="18" t="s">
        <v>15</v>
      </c>
      <c r="K53" s="18" t="s">
        <v>15</v>
      </c>
      <c r="L53" s="18" t="s">
        <v>177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31165</v>
      </c>
      <c r="H55" s="1">
        <f t="shared" si="5"/>
        <v>1355</v>
      </c>
      <c r="I55" s="1">
        <f t="shared" si="5"/>
        <v>29810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220</v>
      </c>
    </row>
    <row r="59" spans="1:18" ht="20.25" customHeight="1" x14ac:dyDescent="0.3">
      <c r="H59" s="4" t="s">
        <v>318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29810</v>
      </c>
      <c r="J60" s="8">
        <f>Q55</f>
        <v>51</v>
      </c>
    </row>
    <row r="61" spans="1:18" x14ac:dyDescent="0.25">
      <c r="H61" s="9" t="s">
        <v>24</v>
      </c>
      <c r="I61" s="10">
        <f>R55</f>
        <v>220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8:10" ht="15.75" customHeight="1" x14ac:dyDescent="0.25">
      <c r="H65" s="12" t="s">
        <v>28</v>
      </c>
      <c r="I65" s="13"/>
      <c r="J65" s="13"/>
    </row>
    <row r="66" spans="8:10" ht="15.75" customHeight="1" x14ac:dyDescent="0.25">
      <c r="H66" s="14" t="s">
        <v>29</v>
      </c>
      <c r="I66" s="13"/>
      <c r="J66" s="13"/>
    </row>
    <row r="67" spans="8:10" ht="21" customHeight="1" x14ac:dyDescent="0.35">
      <c r="H67" s="15" t="s">
        <v>30</v>
      </c>
      <c r="I67" s="16">
        <f>SUM(I60:I66)</f>
        <v>30030</v>
      </c>
      <c r="J67" s="16">
        <f>SUM(J60:J64)</f>
        <v>51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EBAD-A14F-499E-B383-585ACCC3575B}">
  <dimension ref="A1:R56"/>
  <sheetViews>
    <sheetView topLeftCell="A7" workbookViewId="0">
      <selection activeCell="A27" sqref="A27:XFD2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321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362</v>
      </c>
      <c r="D3" s="18" t="s">
        <v>363</v>
      </c>
      <c r="E3" s="18" t="s">
        <v>364</v>
      </c>
      <c r="F3" s="19">
        <v>9</v>
      </c>
      <c r="G3" s="19">
        <v>690</v>
      </c>
      <c r="H3" s="19">
        <v>30</v>
      </c>
      <c r="I3" s="19">
        <f t="shared" ref="I3:I42" si="0">G3-H3</f>
        <v>660</v>
      </c>
      <c r="J3" s="18" t="s">
        <v>56</v>
      </c>
      <c r="K3" s="18" t="s">
        <v>15</v>
      </c>
      <c r="L3" s="18" t="s">
        <v>325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436</v>
      </c>
      <c r="D4" s="18"/>
      <c r="E4" s="18" t="s">
        <v>437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56</v>
      </c>
      <c r="K4" s="18" t="s">
        <v>15</v>
      </c>
      <c r="L4" s="18" t="s">
        <v>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322</v>
      </c>
      <c r="D5" s="18" t="s">
        <v>323</v>
      </c>
      <c r="E5" s="18" t="s">
        <v>253</v>
      </c>
      <c r="F5" s="18" t="s">
        <v>254</v>
      </c>
      <c r="G5" s="19">
        <v>735</v>
      </c>
      <c r="H5" s="19">
        <v>35</v>
      </c>
      <c r="I5" s="19">
        <f t="shared" si="0"/>
        <v>700</v>
      </c>
      <c r="J5" s="18" t="s">
        <v>324</v>
      </c>
      <c r="K5" s="18" t="s">
        <v>15</v>
      </c>
      <c r="L5" s="18" t="s">
        <v>325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329</v>
      </c>
      <c r="D6" s="18" t="s">
        <v>330</v>
      </c>
      <c r="E6" s="18" t="s">
        <v>331</v>
      </c>
      <c r="F6" s="19">
        <v>12</v>
      </c>
      <c r="G6" s="19">
        <v>760</v>
      </c>
      <c r="H6" s="19">
        <v>30</v>
      </c>
      <c r="I6" s="19">
        <f t="shared" si="0"/>
        <v>730</v>
      </c>
      <c r="J6" s="18" t="s">
        <v>324</v>
      </c>
      <c r="K6" s="18" t="s">
        <v>15</v>
      </c>
      <c r="L6" s="18" t="s">
        <v>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332</v>
      </c>
      <c r="D7" s="18" t="s">
        <v>333</v>
      </c>
      <c r="E7" s="18" t="s">
        <v>334</v>
      </c>
      <c r="F7" s="19">
        <v>7</v>
      </c>
      <c r="G7" s="19">
        <v>690</v>
      </c>
      <c r="H7" s="19">
        <v>30</v>
      </c>
      <c r="I7" s="19">
        <f t="shared" si="0"/>
        <v>660</v>
      </c>
      <c r="J7" s="18" t="s">
        <v>324</v>
      </c>
      <c r="K7" s="18" t="s">
        <v>15</v>
      </c>
      <c r="L7" s="18" t="s">
        <v>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335</v>
      </c>
      <c r="D8" s="18" t="s">
        <v>336</v>
      </c>
      <c r="E8" s="18" t="s">
        <v>337</v>
      </c>
      <c r="F8" s="19">
        <v>7</v>
      </c>
      <c r="G8" s="19">
        <v>920</v>
      </c>
      <c r="H8" s="19">
        <v>30</v>
      </c>
      <c r="I8" s="19">
        <f t="shared" si="0"/>
        <v>890</v>
      </c>
      <c r="J8" s="18" t="s">
        <v>324</v>
      </c>
      <c r="K8" s="18" t="s">
        <v>15</v>
      </c>
      <c r="L8" s="18" t="s">
        <v>325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341</v>
      </c>
      <c r="D9" s="18" t="s">
        <v>342</v>
      </c>
      <c r="E9" s="18" t="s">
        <v>343</v>
      </c>
      <c r="F9" s="19">
        <v>11</v>
      </c>
      <c r="G9" s="19">
        <v>375</v>
      </c>
      <c r="H9" s="19">
        <v>25</v>
      </c>
      <c r="I9" s="19">
        <f t="shared" si="0"/>
        <v>350</v>
      </c>
      <c r="J9" s="18" t="s">
        <v>324</v>
      </c>
      <c r="K9" s="18" t="s">
        <v>15</v>
      </c>
      <c r="L9" s="18" t="s">
        <v>325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347</v>
      </c>
      <c r="D10" s="18" t="s">
        <v>348</v>
      </c>
      <c r="E10" s="18" t="s">
        <v>349</v>
      </c>
      <c r="F10" s="18" t="s">
        <v>38</v>
      </c>
      <c r="G10" s="19">
        <v>720</v>
      </c>
      <c r="H10" s="19">
        <v>30</v>
      </c>
      <c r="I10" s="19">
        <f t="shared" si="0"/>
        <v>690</v>
      </c>
      <c r="J10" s="18" t="s">
        <v>324</v>
      </c>
      <c r="K10" s="18" t="s">
        <v>15</v>
      </c>
      <c r="L10" s="18" t="s">
        <v>325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356</v>
      </c>
      <c r="D11" s="18" t="s">
        <v>357</v>
      </c>
      <c r="E11" s="18" t="s">
        <v>358</v>
      </c>
      <c r="F11" s="18" t="s">
        <v>108</v>
      </c>
      <c r="G11" s="19">
        <v>1775</v>
      </c>
      <c r="H11" s="19">
        <v>35</v>
      </c>
      <c r="I11" s="19">
        <f t="shared" si="0"/>
        <v>1740</v>
      </c>
      <c r="J11" s="18" t="s">
        <v>324</v>
      </c>
      <c r="K11" s="18" t="s">
        <v>15</v>
      </c>
      <c r="L11" s="18" t="s">
        <v>325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384</v>
      </c>
      <c r="D12" s="18" t="s">
        <v>385</v>
      </c>
      <c r="E12" s="18" t="s">
        <v>386</v>
      </c>
      <c r="F12" s="19">
        <v>12</v>
      </c>
      <c r="G12" s="19">
        <v>720</v>
      </c>
      <c r="H12" s="19">
        <v>30</v>
      </c>
      <c r="I12" s="19">
        <f t="shared" si="0"/>
        <v>690</v>
      </c>
      <c r="J12" s="18" t="s">
        <v>324</v>
      </c>
      <c r="K12" s="18" t="s">
        <v>15</v>
      </c>
      <c r="L12" s="18" t="s">
        <v>325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387</v>
      </c>
      <c r="D13" s="18" t="s">
        <v>388</v>
      </c>
      <c r="E13" s="18" t="s">
        <v>389</v>
      </c>
      <c r="F13" s="19">
        <v>7</v>
      </c>
      <c r="G13" s="19">
        <v>690</v>
      </c>
      <c r="H13" s="19">
        <v>30</v>
      </c>
      <c r="I13" s="19">
        <f t="shared" si="0"/>
        <v>660</v>
      </c>
      <c r="J13" s="18" t="s">
        <v>324</v>
      </c>
      <c r="K13" s="18" t="s">
        <v>15</v>
      </c>
      <c r="L13" s="18" t="s">
        <v>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390</v>
      </c>
      <c r="D14" s="18" t="s">
        <v>391</v>
      </c>
      <c r="E14" s="18" t="s">
        <v>392</v>
      </c>
      <c r="F14" s="19">
        <v>7</v>
      </c>
      <c r="G14" s="19">
        <v>0</v>
      </c>
      <c r="H14" s="19">
        <v>30</v>
      </c>
      <c r="I14" s="19">
        <f t="shared" si="0"/>
        <v>-30</v>
      </c>
      <c r="J14" s="18" t="s">
        <v>324</v>
      </c>
      <c r="K14" s="18" t="s">
        <v>15</v>
      </c>
      <c r="L14" s="18" t="s">
        <v>325</v>
      </c>
      <c r="M14" s="18"/>
      <c r="N14" s="18"/>
      <c r="O14" s="18"/>
      <c r="P14" s="18"/>
      <c r="Q14" s="18">
        <v>1</v>
      </c>
      <c r="R14" s="17">
        <f>H14</f>
        <v>30</v>
      </c>
    </row>
    <row r="15" spans="1:18" customFormat="1" x14ac:dyDescent="0.25">
      <c r="A15" s="18"/>
      <c r="B15" s="18" t="s">
        <v>34</v>
      </c>
      <c r="C15" s="18" t="s">
        <v>402</v>
      </c>
      <c r="D15" s="18" t="s">
        <v>403</v>
      </c>
      <c r="E15" s="18" t="s">
        <v>404</v>
      </c>
      <c r="F15" s="19">
        <v>8</v>
      </c>
      <c r="G15" s="19">
        <v>820</v>
      </c>
      <c r="H15" s="19">
        <v>30</v>
      </c>
      <c r="I15" s="19">
        <f t="shared" si="0"/>
        <v>790</v>
      </c>
      <c r="J15" s="18" t="s">
        <v>324</v>
      </c>
      <c r="K15" s="18" t="s">
        <v>15</v>
      </c>
      <c r="L15" s="18" t="s">
        <v>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405</v>
      </c>
      <c r="D16" s="18" t="s">
        <v>406</v>
      </c>
      <c r="E16" s="18" t="s">
        <v>407</v>
      </c>
      <c r="F16" s="18" t="s">
        <v>38</v>
      </c>
      <c r="G16" s="19">
        <v>690</v>
      </c>
      <c r="H16" s="19">
        <v>30</v>
      </c>
      <c r="I16" s="19">
        <f t="shared" si="0"/>
        <v>660</v>
      </c>
      <c r="J16" s="18" t="s">
        <v>324</v>
      </c>
      <c r="K16" s="18" t="s">
        <v>15</v>
      </c>
      <c r="L16" s="18" t="s">
        <v>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426</v>
      </c>
      <c r="D17" s="18" t="s">
        <v>427</v>
      </c>
      <c r="E17" s="18" t="s">
        <v>428</v>
      </c>
      <c r="F17" s="19">
        <v>5</v>
      </c>
      <c r="G17" s="19">
        <v>715</v>
      </c>
      <c r="H17" s="19">
        <v>25</v>
      </c>
      <c r="I17" s="19">
        <f t="shared" si="0"/>
        <v>690</v>
      </c>
      <c r="J17" s="18" t="s">
        <v>324</v>
      </c>
      <c r="K17" s="18" t="s">
        <v>15</v>
      </c>
      <c r="L17" s="18" t="s">
        <v>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434</v>
      </c>
      <c r="D18" s="18"/>
      <c r="E18" s="18" t="s">
        <v>435</v>
      </c>
      <c r="F18" s="18" t="s">
        <v>212</v>
      </c>
      <c r="G18" s="19">
        <v>30</v>
      </c>
      <c r="H18" s="19">
        <v>30</v>
      </c>
      <c r="I18" s="19">
        <f t="shared" si="0"/>
        <v>0</v>
      </c>
      <c r="J18" s="18" t="s">
        <v>324</v>
      </c>
      <c r="K18" s="18" t="s">
        <v>15</v>
      </c>
      <c r="L18" s="18" t="s">
        <v>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438</v>
      </c>
      <c r="D19" s="18"/>
      <c r="E19" s="18" t="s">
        <v>439</v>
      </c>
      <c r="F19" s="18" t="s">
        <v>38</v>
      </c>
      <c r="G19" s="19">
        <v>40</v>
      </c>
      <c r="H19" s="19">
        <v>40</v>
      </c>
      <c r="I19" s="19">
        <f t="shared" si="0"/>
        <v>0</v>
      </c>
      <c r="J19" s="18" t="s">
        <v>324</v>
      </c>
      <c r="K19" s="18" t="s">
        <v>15</v>
      </c>
      <c r="L19" s="18" t="s">
        <v>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326</v>
      </c>
      <c r="D20" s="18" t="s">
        <v>327</v>
      </c>
      <c r="E20" s="18" t="s">
        <v>328</v>
      </c>
      <c r="F20" s="18" t="s">
        <v>144</v>
      </c>
      <c r="G20" s="19">
        <v>700</v>
      </c>
      <c r="H20" s="19">
        <v>30</v>
      </c>
      <c r="I20" s="19">
        <f t="shared" si="0"/>
        <v>670</v>
      </c>
      <c r="J20" s="18" t="s">
        <v>15</v>
      </c>
      <c r="K20" s="18" t="s">
        <v>15</v>
      </c>
      <c r="L20" s="18" t="s">
        <v>325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344</v>
      </c>
      <c r="D21" s="18" t="s">
        <v>345</v>
      </c>
      <c r="E21" s="18" t="s">
        <v>346</v>
      </c>
      <c r="F21" s="19">
        <v>2</v>
      </c>
      <c r="G21" s="19">
        <v>720</v>
      </c>
      <c r="H21" s="19">
        <v>30</v>
      </c>
      <c r="I21" s="19">
        <f t="shared" si="0"/>
        <v>690</v>
      </c>
      <c r="J21" s="18" t="s">
        <v>15</v>
      </c>
      <c r="K21" s="18" t="s">
        <v>15</v>
      </c>
      <c r="L21" s="18" t="s">
        <v>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350</v>
      </c>
      <c r="D22" s="18" t="s">
        <v>351</v>
      </c>
      <c r="E22" s="18" t="s">
        <v>352</v>
      </c>
      <c r="F22" s="18" t="s">
        <v>144</v>
      </c>
      <c r="G22" s="19">
        <v>730</v>
      </c>
      <c r="H22" s="19">
        <v>30</v>
      </c>
      <c r="I22" s="19">
        <f t="shared" si="0"/>
        <v>700</v>
      </c>
      <c r="J22" s="18" t="s">
        <v>15</v>
      </c>
      <c r="K22" s="18" t="s">
        <v>15</v>
      </c>
      <c r="L22" s="18" t="s">
        <v>325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353</v>
      </c>
      <c r="D23" s="18" t="s">
        <v>354</v>
      </c>
      <c r="E23" s="18" t="s">
        <v>355</v>
      </c>
      <c r="F23" s="18" t="s">
        <v>144</v>
      </c>
      <c r="G23" s="19">
        <v>890</v>
      </c>
      <c r="H23" s="19">
        <v>30</v>
      </c>
      <c r="I23" s="19">
        <f t="shared" si="0"/>
        <v>860</v>
      </c>
      <c r="J23" s="18" t="s">
        <v>15</v>
      </c>
      <c r="K23" s="18" t="s">
        <v>15</v>
      </c>
      <c r="L23" s="18" t="s">
        <v>325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365</v>
      </c>
      <c r="D24" s="18" t="s">
        <v>366</v>
      </c>
      <c r="E24" s="18" t="s">
        <v>367</v>
      </c>
      <c r="F24" s="18" t="s">
        <v>20</v>
      </c>
      <c r="G24" s="19">
        <v>685</v>
      </c>
      <c r="H24" s="19">
        <v>25</v>
      </c>
      <c r="I24" s="19">
        <f t="shared" si="0"/>
        <v>660</v>
      </c>
      <c r="J24" s="18" t="s">
        <v>15</v>
      </c>
      <c r="K24" s="18" t="s">
        <v>15</v>
      </c>
      <c r="L24" s="18" t="s">
        <v>325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368</v>
      </c>
      <c r="D25" s="18" t="s">
        <v>369</v>
      </c>
      <c r="E25" s="18" t="s">
        <v>370</v>
      </c>
      <c r="F25" s="18" t="s">
        <v>20</v>
      </c>
      <c r="G25" s="19">
        <v>0</v>
      </c>
      <c r="H25" s="19">
        <v>25</v>
      </c>
      <c r="I25" s="19">
        <f t="shared" si="0"/>
        <v>-25</v>
      </c>
      <c r="J25" s="18" t="s">
        <v>15</v>
      </c>
      <c r="K25" s="18" t="s">
        <v>15</v>
      </c>
      <c r="L25" s="18" t="s">
        <v>325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371</v>
      </c>
      <c r="D26" s="18" t="s">
        <v>372</v>
      </c>
      <c r="E26" s="18" t="s">
        <v>373</v>
      </c>
      <c r="F26" s="19">
        <v>12</v>
      </c>
      <c r="G26" s="19">
        <v>870</v>
      </c>
      <c r="H26" s="19">
        <v>30</v>
      </c>
      <c r="I26" s="19">
        <f t="shared" si="0"/>
        <v>840</v>
      </c>
      <c r="J26" s="18" t="s">
        <v>15</v>
      </c>
      <c r="K26" s="18" t="s">
        <v>15</v>
      </c>
      <c r="L26" s="18" t="s">
        <v>325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374</v>
      </c>
      <c r="D27" s="18" t="s">
        <v>375</v>
      </c>
      <c r="E27" s="18" t="s">
        <v>376</v>
      </c>
      <c r="F27" s="18" t="s">
        <v>20</v>
      </c>
      <c r="G27" s="19">
        <v>0</v>
      </c>
      <c r="H27" s="19">
        <v>25</v>
      </c>
      <c r="I27" s="19">
        <f t="shared" si="0"/>
        <v>-25</v>
      </c>
      <c r="J27" s="18" t="s">
        <v>15</v>
      </c>
      <c r="K27" s="18" t="s">
        <v>15</v>
      </c>
      <c r="L27" s="18" t="s">
        <v>325</v>
      </c>
      <c r="M27" s="27" t="s">
        <v>589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378</v>
      </c>
      <c r="D28" s="18" t="s">
        <v>379</v>
      </c>
      <c r="E28" s="18" t="s">
        <v>380</v>
      </c>
      <c r="F28" s="18" t="s">
        <v>19</v>
      </c>
      <c r="G28" s="19">
        <v>910</v>
      </c>
      <c r="H28" s="19">
        <v>20</v>
      </c>
      <c r="I28" s="19">
        <f t="shared" si="0"/>
        <v>890</v>
      </c>
      <c r="J28" s="18" t="s">
        <v>15</v>
      </c>
      <c r="K28" s="18" t="s">
        <v>15</v>
      </c>
      <c r="L28" s="18" t="s">
        <v>325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396</v>
      </c>
      <c r="D29" s="18" t="s">
        <v>397</v>
      </c>
      <c r="E29" s="18" t="s">
        <v>398</v>
      </c>
      <c r="F29" s="19">
        <v>2</v>
      </c>
      <c r="G29" s="19">
        <v>0</v>
      </c>
      <c r="H29" s="19">
        <v>30</v>
      </c>
      <c r="I29" s="19">
        <f t="shared" si="0"/>
        <v>-30</v>
      </c>
      <c r="J29" s="18" t="s">
        <v>15</v>
      </c>
      <c r="K29" s="18" t="s">
        <v>15</v>
      </c>
      <c r="L29" s="18" t="s">
        <v>325</v>
      </c>
      <c r="M29" s="18"/>
      <c r="N29" s="18"/>
      <c r="O29" s="18"/>
      <c r="P29" s="18"/>
      <c r="Q29" s="18">
        <v>1</v>
      </c>
      <c r="R29" s="17">
        <f>H29</f>
        <v>30</v>
      </c>
    </row>
    <row r="30" spans="1:18" customFormat="1" x14ac:dyDescent="0.25">
      <c r="A30" s="18"/>
      <c r="B30" s="18" t="s">
        <v>34</v>
      </c>
      <c r="C30" s="18" t="s">
        <v>411</v>
      </c>
      <c r="D30" s="18" t="s">
        <v>412</v>
      </c>
      <c r="E30" s="18" t="s">
        <v>413</v>
      </c>
      <c r="F30" s="18" t="s">
        <v>19</v>
      </c>
      <c r="G30" s="19">
        <v>680</v>
      </c>
      <c r="H30" s="19">
        <v>20</v>
      </c>
      <c r="I30" s="19">
        <f t="shared" si="0"/>
        <v>660</v>
      </c>
      <c r="J30" s="18" t="s">
        <v>15</v>
      </c>
      <c r="K30" s="18" t="s">
        <v>15</v>
      </c>
      <c r="L30" s="18" t="s">
        <v>325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414</v>
      </c>
      <c r="D31" s="18" t="s">
        <v>415</v>
      </c>
      <c r="E31" s="18" t="s">
        <v>416</v>
      </c>
      <c r="F31" s="18" t="s">
        <v>19</v>
      </c>
      <c r="G31" s="19">
        <v>840</v>
      </c>
      <c r="H31" s="19">
        <v>20</v>
      </c>
      <c r="I31" s="19">
        <f t="shared" si="0"/>
        <v>820</v>
      </c>
      <c r="J31" s="18" t="s">
        <v>15</v>
      </c>
      <c r="K31" s="18" t="s">
        <v>15</v>
      </c>
      <c r="L31" s="18" t="s">
        <v>325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417</v>
      </c>
      <c r="D32" s="18" t="s">
        <v>418</v>
      </c>
      <c r="E32" s="18" t="s">
        <v>419</v>
      </c>
      <c r="F32" s="18" t="s">
        <v>18</v>
      </c>
      <c r="G32" s="19">
        <v>0</v>
      </c>
      <c r="H32" s="19">
        <v>25</v>
      </c>
      <c r="I32" s="19">
        <f t="shared" si="0"/>
        <v>-25</v>
      </c>
      <c r="J32" s="18" t="s">
        <v>15</v>
      </c>
      <c r="K32" s="18" t="s">
        <v>15</v>
      </c>
      <c r="L32" s="18" t="s">
        <v>325</v>
      </c>
      <c r="M32" s="18"/>
      <c r="N32" s="18"/>
      <c r="O32" s="18"/>
      <c r="P32" s="18"/>
      <c r="Q32" s="18">
        <v>1</v>
      </c>
      <c r="R32" s="17">
        <f t="shared" ref="R32:R34" si="1">H32</f>
        <v>25</v>
      </c>
    </row>
    <row r="33" spans="1:18" customFormat="1" x14ac:dyDescent="0.25">
      <c r="A33" s="18"/>
      <c r="B33" s="18" t="s">
        <v>34</v>
      </c>
      <c r="C33" s="18" t="s">
        <v>420</v>
      </c>
      <c r="D33" s="18" t="s">
        <v>421</v>
      </c>
      <c r="E33" s="18" t="s">
        <v>422</v>
      </c>
      <c r="F33" s="19">
        <v>12</v>
      </c>
      <c r="G33" s="19">
        <v>0</v>
      </c>
      <c r="H33" s="19">
        <v>40</v>
      </c>
      <c r="I33" s="19">
        <f t="shared" si="0"/>
        <v>-40</v>
      </c>
      <c r="J33" s="18" t="s">
        <v>15</v>
      </c>
      <c r="K33" s="18" t="s">
        <v>15</v>
      </c>
      <c r="L33" s="18" t="s">
        <v>325</v>
      </c>
      <c r="M33" s="18"/>
      <c r="N33" s="18"/>
      <c r="O33" s="18"/>
      <c r="P33" s="18"/>
      <c r="Q33" s="18">
        <v>1</v>
      </c>
      <c r="R33" s="17">
        <f t="shared" si="1"/>
        <v>40</v>
      </c>
    </row>
    <row r="34" spans="1:18" customFormat="1" x14ac:dyDescent="0.25">
      <c r="A34" s="18"/>
      <c r="B34" s="18" t="s">
        <v>34</v>
      </c>
      <c r="C34" s="18" t="s">
        <v>338</v>
      </c>
      <c r="D34" s="18" t="s">
        <v>339</v>
      </c>
      <c r="E34" s="18" t="s">
        <v>340</v>
      </c>
      <c r="F34" s="19">
        <v>3</v>
      </c>
      <c r="G34" s="19">
        <v>0</v>
      </c>
      <c r="H34" s="19">
        <v>25</v>
      </c>
      <c r="I34" s="19">
        <f t="shared" si="0"/>
        <v>-25</v>
      </c>
      <c r="J34" s="18" t="s">
        <v>160</v>
      </c>
      <c r="K34" s="18" t="s">
        <v>15</v>
      </c>
      <c r="L34" s="18" t="s">
        <v>325</v>
      </c>
      <c r="M34" s="18"/>
      <c r="N34" s="18"/>
      <c r="O34" s="18"/>
      <c r="P34" s="18"/>
      <c r="Q34" s="18">
        <v>1</v>
      </c>
      <c r="R34" s="17">
        <f t="shared" si="1"/>
        <v>25</v>
      </c>
    </row>
    <row r="35" spans="1:18" customFormat="1" x14ac:dyDescent="0.25">
      <c r="A35" s="18"/>
      <c r="B35" s="18" t="s">
        <v>34</v>
      </c>
      <c r="C35" s="18" t="s">
        <v>359</v>
      </c>
      <c r="D35" s="18" t="s">
        <v>360</v>
      </c>
      <c r="E35" s="18" t="s">
        <v>361</v>
      </c>
      <c r="F35" s="19">
        <v>1</v>
      </c>
      <c r="G35" s="19">
        <v>885</v>
      </c>
      <c r="H35" s="19">
        <v>25</v>
      </c>
      <c r="I35" s="19">
        <f t="shared" si="0"/>
        <v>860</v>
      </c>
      <c r="J35" s="18" t="s">
        <v>160</v>
      </c>
      <c r="K35" s="18" t="s">
        <v>15</v>
      </c>
      <c r="L35" s="18" t="s">
        <v>325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381</v>
      </c>
      <c r="D36" s="18" t="s">
        <v>382</v>
      </c>
      <c r="E36" s="18" t="s">
        <v>383</v>
      </c>
      <c r="F36" s="19">
        <v>4</v>
      </c>
      <c r="G36" s="19">
        <v>375</v>
      </c>
      <c r="H36" s="19">
        <v>25</v>
      </c>
      <c r="I36" s="19">
        <f t="shared" si="0"/>
        <v>350</v>
      </c>
      <c r="J36" s="18" t="s">
        <v>160</v>
      </c>
      <c r="K36" s="18" t="s">
        <v>15</v>
      </c>
      <c r="L36" s="18" t="s">
        <v>325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393</v>
      </c>
      <c r="D37" s="18" t="s">
        <v>394</v>
      </c>
      <c r="E37" s="18" t="s">
        <v>395</v>
      </c>
      <c r="F37" s="19">
        <v>10</v>
      </c>
      <c r="G37" s="19">
        <v>815</v>
      </c>
      <c r="H37" s="19">
        <v>25</v>
      </c>
      <c r="I37" s="19">
        <f t="shared" si="0"/>
        <v>790</v>
      </c>
      <c r="J37" s="18" t="s">
        <v>160</v>
      </c>
      <c r="K37" s="18" t="s">
        <v>15</v>
      </c>
      <c r="L37" s="18" t="s">
        <v>325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399</v>
      </c>
      <c r="D38" s="18" t="s">
        <v>400</v>
      </c>
      <c r="E38" s="18" t="s">
        <v>401</v>
      </c>
      <c r="F38" s="19">
        <v>4</v>
      </c>
      <c r="G38" s="19">
        <v>775</v>
      </c>
      <c r="H38" s="19">
        <v>25</v>
      </c>
      <c r="I38" s="19">
        <f t="shared" si="0"/>
        <v>750</v>
      </c>
      <c r="J38" s="18" t="s">
        <v>160</v>
      </c>
      <c r="K38" s="18" t="s">
        <v>15</v>
      </c>
      <c r="L38" s="18" t="s">
        <v>325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408</v>
      </c>
      <c r="D39" s="18" t="s">
        <v>409</v>
      </c>
      <c r="E39" s="18" t="s">
        <v>410</v>
      </c>
      <c r="F39" s="18" t="s">
        <v>18</v>
      </c>
      <c r="G39" s="19">
        <v>885</v>
      </c>
      <c r="H39" s="19">
        <v>25</v>
      </c>
      <c r="I39" s="19">
        <f t="shared" si="0"/>
        <v>860</v>
      </c>
      <c r="J39" s="18" t="s">
        <v>160</v>
      </c>
      <c r="K39" s="18" t="s">
        <v>15</v>
      </c>
      <c r="L39" s="18" t="s">
        <v>325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423</v>
      </c>
      <c r="D40" s="18" t="s">
        <v>424</v>
      </c>
      <c r="E40" s="18" t="s">
        <v>425</v>
      </c>
      <c r="F40" s="18" t="s">
        <v>17</v>
      </c>
      <c r="G40" s="19">
        <v>680</v>
      </c>
      <c r="H40" s="19">
        <v>20</v>
      </c>
      <c r="I40" s="19">
        <f t="shared" si="0"/>
        <v>660</v>
      </c>
      <c r="J40" s="18" t="s">
        <v>160</v>
      </c>
      <c r="K40" s="18" t="s">
        <v>15</v>
      </c>
      <c r="L40" s="18" t="s">
        <v>325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429</v>
      </c>
      <c r="D41" s="18" t="s">
        <v>430</v>
      </c>
      <c r="E41" s="18" t="s">
        <v>431</v>
      </c>
      <c r="F41" s="19">
        <v>1</v>
      </c>
      <c r="G41" s="19">
        <v>0</v>
      </c>
      <c r="H41" s="19">
        <v>25</v>
      </c>
      <c r="I41" s="19">
        <f t="shared" si="0"/>
        <v>-25</v>
      </c>
      <c r="J41" s="18" t="s">
        <v>160</v>
      </c>
      <c r="K41" s="18" t="s">
        <v>15</v>
      </c>
      <c r="L41" s="18" t="s">
        <v>325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432</v>
      </c>
      <c r="D42" s="18"/>
      <c r="E42" s="18" t="s">
        <v>433</v>
      </c>
      <c r="F42" s="18" t="s">
        <v>18</v>
      </c>
      <c r="G42" s="19">
        <v>30</v>
      </c>
      <c r="H42" s="19">
        <v>30</v>
      </c>
      <c r="I42" s="19">
        <f t="shared" si="0"/>
        <v>0</v>
      </c>
      <c r="J42" s="18" t="s">
        <v>160</v>
      </c>
      <c r="K42" s="18" t="s">
        <v>15</v>
      </c>
      <c r="L42" s="18" t="s">
        <v>325</v>
      </c>
      <c r="M42" s="18"/>
      <c r="N42" s="18"/>
      <c r="O42" s="18"/>
      <c r="P42" s="18"/>
      <c r="Q42" s="18">
        <v>1</v>
      </c>
    </row>
    <row r="44" spans="1:18" x14ac:dyDescent="0.25">
      <c r="G44" s="1">
        <f t="shared" ref="G44:R44" si="2">SUBTOTAL(9,G3:G43)</f>
        <v>21875</v>
      </c>
      <c r="H44" s="1">
        <f t="shared" si="2"/>
        <v>1130</v>
      </c>
      <c r="I44" s="1">
        <f t="shared" si="2"/>
        <v>20745</v>
      </c>
      <c r="J44" s="1">
        <f t="shared" si="2"/>
        <v>0</v>
      </c>
      <c r="K44" s="1">
        <f t="shared" si="2"/>
        <v>0</v>
      </c>
      <c r="L44" s="1">
        <f t="shared" si="2"/>
        <v>0</v>
      </c>
      <c r="M44" s="1">
        <f t="shared" si="2"/>
        <v>0</v>
      </c>
      <c r="N44" s="1">
        <f t="shared" si="2"/>
        <v>0</v>
      </c>
      <c r="O44" s="1">
        <f t="shared" si="2"/>
        <v>0</v>
      </c>
      <c r="P44" s="1">
        <f t="shared" si="2"/>
        <v>0</v>
      </c>
      <c r="Q44" s="1">
        <f t="shared" si="2"/>
        <v>40</v>
      </c>
      <c r="R44" s="1">
        <f t="shared" si="2"/>
        <v>225</v>
      </c>
    </row>
    <row r="45" spans="1:18" x14ac:dyDescent="0.25">
      <c r="I45" s="1">
        <v>-970</v>
      </c>
      <c r="J45" s="1" t="s">
        <v>440</v>
      </c>
    </row>
    <row r="48" spans="1:18" ht="20.25" customHeight="1" x14ac:dyDescent="0.3">
      <c r="H48" s="4" t="s">
        <v>318</v>
      </c>
      <c r="I48" s="5" t="s">
        <v>21</v>
      </c>
      <c r="J48" s="6" t="s">
        <v>22</v>
      </c>
    </row>
    <row r="49" spans="8:10" ht="15.75" customHeight="1" x14ac:dyDescent="0.25">
      <c r="H49" s="7" t="s">
        <v>23</v>
      </c>
      <c r="I49" s="8">
        <f>SUM(I43:I47)</f>
        <v>19775</v>
      </c>
      <c r="J49" s="8">
        <f>Q44</f>
        <v>40</v>
      </c>
    </row>
    <row r="50" spans="8:10" x14ac:dyDescent="0.25">
      <c r="H50" s="9" t="s">
        <v>24</v>
      </c>
      <c r="I50" s="10">
        <f>R44</f>
        <v>225</v>
      </c>
      <c r="J50" s="11"/>
    </row>
    <row r="51" spans="8:10" x14ac:dyDescent="0.25">
      <c r="H51" s="9" t="s">
        <v>25</v>
      </c>
      <c r="I51" s="10">
        <f>S43</f>
        <v>0</v>
      </c>
      <c r="J51" s="11"/>
    </row>
    <row r="52" spans="8:10" x14ac:dyDescent="0.25">
      <c r="H52" s="9" t="s">
        <v>26</v>
      </c>
      <c r="I52" s="10">
        <f>T43</f>
        <v>0</v>
      </c>
      <c r="J52" s="11"/>
    </row>
    <row r="53" spans="8:10" x14ac:dyDescent="0.25">
      <c r="H53" s="9" t="s">
        <v>27</v>
      </c>
      <c r="I53" s="10">
        <f>U43</f>
        <v>0</v>
      </c>
      <c r="J53" s="11"/>
    </row>
    <row r="54" spans="8:10" ht="15.75" customHeight="1" x14ac:dyDescent="0.25">
      <c r="H54" s="12" t="s">
        <v>28</v>
      </c>
      <c r="I54" s="13"/>
      <c r="J54" s="13"/>
    </row>
    <row r="55" spans="8:10" ht="15.75" customHeight="1" x14ac:dyDescent="0.25">
      <c r="H55" s="14" t="s">
        <v>29</v>
      </c>
      <c r="I55" s="13"/>
      <c r="J55" s="13"/>
    </row>
    <row r="56" spans="8:10" ht="21" customHeight="1" x14ac:dyDescent="0.35">
      <c r="H56" s="15" t="s">
        <v>30</v>
      </c>
      <c r="I56" s="16">
        <f>SUM(I49:I55)</f>
        <v>20000</v>
      </c>
      <c r="J56" s="16">
        <f>SUM(J49:J53)</f>
        <v>40</v>
      </c>
    </row>
  </sheetData>
  <autoFilter ref="A2:P42" xr:uid="{00000000-0009-0000-0000-000006000000}">
    <sortState xmlns:xlrd2="http://schemas.microsoft.com/office/spreadsheetml/2017/richdata2" ref="A3:P42">
      <sortCondition ref="J2:J42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009E-85BD-4AF1-AB22-5EF93D8AE06B}">
  <dimension ref="A1:R68"/>
  <sheetViews>
    <sheetView topLeftCell="A39" workbookViewId="0">
      <selection activeCell="C43" sqref="C4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442</v>
      </c>
      <c r="C1" s="1" t="s">
        <v>443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448</v>
      </c>
      <c r="D3" s="18" t="s">
        <v>449</v>
      </c>
      <c r="E3" s="18" t="s">
        <v>450</v>
      </c>
      <c r="F3" s="19">
        <v>7</v>
      </c>
      <c r="G3" s="19">
        <v>470</v>
      </c>
      <c r="H3" s="19">
        <v>30</v>
      </c>
      <c r="I3" s="19">
        <f>G3-H3</f>
        <v>440</v>
      </c>
      <c r="J3" s="18" t="s">
        <v>451</v>
      </c>
      <c r="K3" s="18" t="s">
        <v>15</v>
      </c>
      <c r="L3" s="18" t="s">
        <v>447</v>
      </c>
      <c r="M3" s="18"/>
      <c r="N3" s="18"/>
      <c r="O3" s="18"/>
      <c r="P3" s="18"/>
      <c r="Q3" s="19">
        <v>1</v>
      </c>
    </row>
    <row r="4" spans="1:18" customFormat="1" x14ac:dyDescent="0.25">
      <c r="A4" s="18"/>
      <c r="B4" s="18" t="s">
        <v>34</v>
      </c>
      <c r="C4" s="18" t="s">
        <v>455</v>
      </c>
      <c r="D4" s="18" t="s">
        <v>456</v>
      </c>
      <c r="E4" s="18" t="s">
        <v>457</v>
      </c>
      <c r="F4" s="18" t="s">
        <v>38</v>
      </c>
      <c r="G4" s="19">
        <v>820</v>
      </c>
      <c r="H4" s="19">
        <v>30</v>
      </c>
      <c r="I4" s="19">
        <f>G4-H4</f>
        <v>790</v>
      </c>
      <c r="J4" s="18" t="s">
        <v>451</v>
      </c>
      <c r="K4" s="18" t="s">
        <v>15</v>
      </c>
      <c r="L4" s="18" t="s">
        <v>447</v>
      </c>
      <c r="M4" s="18"/>
      <c r="N4" s="18"/>
      <c r="O4" s="18"/>
      <c r="P4" s="18"/>
      <c r="Q4" s="19">
        <v>1</v>
      </c>
    </row>
    <row r="5" spans="1:18" customFormat="1" x14ac:dyDescent="0.25">
      <c r="A5" s="18"/>
      <c r="B5" s="18" t="s">
        <v>34</v>
      </c>
      <c r="C5" s="18" t="s">
        <v>458</v>
      </c>
      <c r="D5" s="18" t="s">
        <v>459</v>
      </c>
      <c r="E5" s="18" t="s">
        <v>460</v>
      </c>
      <c r="F5" s="19">
        <v>8</v>
      </c>
      <c r="G5" s="19">
        <v>0</v>
      </c>
      <c r="H5" s="19">
        <v>25</v>
      </c>
      <c r="I5" s="19">
        <f>-H5</f>
        <v>-25</v>
      </c>
      <c r="J5" s="18" t="s">
        <v>451</v>
      </c>
      <c r="K5" s="18" t="s">
        <v>15</v>
      </c>
      <c r="L5" s="18" t="s">
        <v>447</v>
      </c>
      <c r="M5" s="18"/>
      <c r="N5" s="18"/>
      <c r="O5" s="18"/>
      <c r="P5" s="18"/>
      <c r="Q5" s="19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461</v>
      </c>
      <c r="D6" s="18" t="s">
        <v>462</v>
      </c>
      <c r="E6" s="18" t="s">
        <v>463</v>
      </c>
      <c r="F6" s="19">
        <v>6</v>
      </c>
      <c r="G6" s="19">
        <v>1515</v>
      </c>
      <c r="H6" s="19">
        <v>25</v>
      </c>
      <c r="I6" s="19">
        <f t="shared" ref="I6:I11" si="0">G6-H6</f>
        <v>1490</v>
      </c>
      <c r="J6" s="18" t="s">
        <v>451</v>
      </c>
      <c r="K6" s="18" t="s">
        <v>15</v>
      </c>
      <c r="L6" s="18" t="s">
        <v>447</v>
      </c>
      <c r="M6" s="18"/>
      <c r="N6" s="18"/>
      <c r="O6" s="18"/>
      <c r="P6" s="18"/>
      <c r="Q6" s="19">
        <v>1</v>
      </c>
    </row>
    <row r="7" spans="1:18" customFormat="1" x14ac:dyDescent="0.25">
      <c r="A7" s="18"/>
      <c r="B7" s="18" t="s">
        <v>34</v>
      </c>
      <c r="C7" s="18" t="s">
        <v>464</v>
      </c>
      <c r="D7" s="18" t="s">
        <v>465</v>
      </c>
      <c r="E7" s="18" t="s">
        <v>466</v>
      </c>
      <c r="F7" s="18" t="s">
        <v>38</v>
      </c>
      <c r="G7" s="19">
        <v>890</v>
      </c>
      <c r="H7" s="19">
        <v>30</v>
      </c>
      <c r="I7" s="19">
        <f t="shared" si="0"/>
        <v>860</v>
      </c>
      <c r="J7" s="18" t="s">
        <v>451</v>
      </c>
      <c r="K7" s="18" t="s">
        <v>15</v>
      </c>
      <c r="L7" s="18" t="s">
        <v>447</v>
      </c>
      <c r="M7" s="18"/>
      <c r="N7" s="18"/>
      <c r="O7" s="18"/>
      <c r="P7" s="18"/>
      <c r="Q7" s="19">
        <v>1</v>
      </c>
    </row>
    <row r="8" spans="1:18" customFormat="1" x14ac:dyDescent="0.25">
      <c r="A8" s="18"/>
      <c r="B8" s="18" t="s">
        <v>34</v>
      </c>
      <c r="C8" s="18" t="s">
        <v>467</v>
      </c>
      <c r="D8" s="18" t="s">
        <v>468</v>
      </c>
      <c r="E8" s="18" t="s">
        <v>469</v>
      </c>
      <c r="F8" s="18" t="s">
        <v>38</v>
      </c>
      <c r="G8" s="19">
        <v>470</v>
      </c>
      <c r="H8" s="19">
        <v>30</v>
      </c>
      <c r="I8" s="19">
        <f t="shared" si="0"/>
        <v>440</v>
      </c>
      <c r="J8" s="18" t="s">
        <v>451</v>
      </c>
      <c r="K8" s="18" t="s">
        <v>15</v>
      </c>
      <c r="L8" s="18" t="s">
        <v>447</v>
      </c>
      <c r="M8" s="18"/>
      <c r="N8" s="18"/>
      <c r="O8" s="18"/>
      <c r="P8" s="18"/>
      <c r="Q8" s="19">
        <v>1</v>
      </c>
    </row>
    <row r="9" spans="1:18" customFormat="1" x14ac:dyDescent="0.25">
      <c r="A9" s="18"/>
      <c r="B9" s="18" t="s">
        <v>34</v>
      </c>
      <c r="C9" s="18" t="s">
        <v>479</v>
      </c>
      <c r="D9" s="18" t="s">
        <v>480</v>
      </c>
      <c r="E9" s="18" t="s">
        <v>481</v>
      </c>
      <c r="F9" s="18" t="s">
        <v>38</v>
      </c>
      <c r="G9" s="19">
        <v>920</v>
      </c>
      <c r="H9" s="19">
        <v>30</v>
      </c>
      <c r="I9" s="19">
        <f t="shared" si="0"/>
        <v>890</v>
      </c>
      <c r="J9" s="18" t="s">
        <v>451</v>
      </c>
      <c r="K9" s="18" t="s">
        <v>15</v>
      </c>
      <c r="L9" s="18" t="s">
        <v>447</v>
      </c>
      <c r="M9" s="18"/>
      <c r="N9" s="18"/>
      <c r="O9" s="18"/>
      <c r="P9" s="18"/>
      <c r="Q9" s="19">
        <v>1</v>
      </c>
    </row>
    <row r="10" spans="1:18" customFormat="1" x14ac:dyDescent="0.25">
      <c r="A10" s="18"/>
      <c r="B10" s="18" t="s">
        <v>34</v>
      </c>
      <c r="C10" s="18" t="s">
        <v>495</v>
      </c>
      <c r="D10" s="18" t="s">
        <v>496</v>
      </c>
      <c r="E10" s="18" t="s">
        <v>497</v>
      </c>
      <c r="F10" s="19">
        <v>6</v>
      </c>
      <c r="G10" s="19">
        <v>695</v>
      </c>
      <c r="H10" s="19">
        <v>25</v>
      </c>
      <c r="I10" s="19">
        <f t="shared" si="0"/>
        <v>670</v>
      </c>
      <c r="J10" s="18" t="s">
        <v>451</v>
      </c>
      <c r="K10" s="18" t="s">
        <v>15</v>
      </c>
      <c r="L10" s="18" t="s">
        <v>447</v>
      </c>
      <c r="M10" s="18"/>
      <c r="N10" s="18"/>
      <c r="O10" s="18"/>
      <c r="P10" s="18"/>
      <c r="Q10" s="19">
        <v>1</v>
      </c>
    </row>
    <row r="11" spans="1:18" customFormat="1" x14ac:dyDescent="0.25">
      <c r="A11" s="18"/>
      <c r="B11" s="18" t="s">
        <v>34</v>
      </c>
      <c r="C11" s="18" t="s">
        <v>498</v>
      </c>
      <c r="D11" s="18" t="s">
        <v>499</v>
      </c>
      <c r="E11" s="18" t="s">
        <v>500</v>
      </c>
      <c r="F11" s="19">
        <v>7</v>
      </c>
      <c r="G11" s="19">
        <v>700</v>
      </c>
      <c r="H11" s="19">
        <v>30</v>
      </c>
      <c r="I11" s="19">
        <f t="shared" si="0"/>
        <v>670</v>
      </c>
      <c r="J11" s="18" t="s">
        <v>451</v>
      </c>
      <c r="K11" s="18" t="s">
        <v>15</v>
      </c>
      <c r="L11" s="18" t="s">
        <v>447</v>
      </c>
      <c r="M11" s="18"/>
      <c r="N11" s="18"/>
      <c r="O11" s="18"/>
      <c r="P11" s="18"/>
      <c r="Q11" s="19">
        <v>1</v>
      </c>
    </row>
    <row r="12" spans="1:18" customFormat="1" x14ac:dyDescent="0.25">
      <c r="A12" s="18"/>
      <c r="B12" s="18" t="s">
        <v>34</v>
      </c>
      <c r="C12" s="18" t="s">
        <v>510</v>
      </c>
      <c r="D12" s="18" t="s">
        <v>511</v>
      </c>
      <c r="E12" s="18" t="s">
        <v>512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451</v>
      </c>
      <c r="K12" s="18" t="s">
        <v>15</v>
      </c>
      <c r="L12" s="18" t="s">
        <v>447</v>
      </c>
      <c r="M12" s="18"/>
      <c r="N12" s="18"/>
      <c r="O12" s="18"/>
      <c r="P12" s="18"/>
      <c r="Q12" s="19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516</v>
      </c>
      <c r="D13" s="18" t="s">
        <v>517</v>
      </c>
      <c r="E13" s="18" t="s">
        <v>518</v>
      </c>
      <c r="F13" s="18" t="s">
        <v>38</v>
      </c>
      <c r="G13" s="19">
        <v>1020</v>
      </c>
      <c r="H13" s="19">
        <v>30</v>
      </c>
      <c r="I13" s="19">
        <f t="shared" ref="I13:I26" si="1">G13-H13</f>
        <v>990</v>
      </c>
      <c r="J13" s="18" t="s">
        <v>451</v>
      </c>
      <c r="K13" s="18" t="s">
        <v>15</v>
      </c>
      <c r="L13" s="18" t="s">
        <v>447</v>
      </c>
      <c r="M13" s="18"/>
      <c r="N13" s="18"/>
      <c r="O13" s="18"/>
      <c r="P13" s="18"/>
      <c r="Q13" s="19">
        <v>1</v>
      </c>
    </row>
    <row r="14" spans="1:18" customFormat="1" x14ac:dyDescent="0.25">
      <c r="A14" s="18"/>
      <c r="B14" s="18" t="s">
        <v>34</v>
      </c>
      <c r="C14" s="18" t="s">
        <v>540</v>
      </c>
      <c r="D14" s="18" t="s">
        <v>541</v>
      </c>
      <c r="E14" s="18" t="s">
        <v>542</v>
      </c>
      <c r="F14" s="18" t="s">
        <v>123</v>
      </c>
      <c r="G14" s="19">
        <v>475</v>
      </c>
      <c r="H14" s="19">
        <v>35</v>
      </c>
      <c r="I14" s="19">
        <f t="shared" si="1"/>
        <v>440</v>
      </c>
      <c r="J14" s="18" t="s">
        <v>451</v>
      </c>
      <c r="K14" s="18" t="s">
        <v>15</v>
      </c>
      <c r="L14" s="18" t="s">
        <v>447</v>
      </c>
      <c r="M14" s="18"/>
      <c r="N14" s="18"/>
      <c r="O14" s="18"/>
      <c r="P14" s="18"/>
      <c r="Q14" s="19">
        <v>1</v>
      </c>
    </row>
    <row r="15" spans="1:18" customFormat="1" x14ac:dyDescent="0.25">
      <c r="A15" s="18"/>
      <c r="B15" s="18" t="s">
        <v>34</v>
      </c>
      <c r="C15" s="18" t="s">
        <v>549</v>
      </c>
      <c r="D15" s="18" t="s">
        <v>550</v>
      </c>
      <c r="E15" s="18" t="s">
        <v>551</v>
      </c>
      <c r="F15" s="19">
        <v>6</v>
      </c>
      <c r="G15" s="19">
        <v>2220</v>
      </c>
      <c r="H15" s="19">
        <v>30</v>
      </c>
      <c r="I15" s="19">
        <f t="shared" si="1"/>
        <v>2190</v>
      </c>
      <c r="J15" s="18" t="s">
        <v>451</v>
      </c>
      <c r="K15" s="18" t="s">
        <v>15</v>
      </c>
      <c r="L15" s="18" t="s">
        <v>447</v>
      </c>
      <c r="M15" s="27" t="s">
        <v>377</v>
      </c>
      <c r="N15" s="18"/>
      <c r="O15" s="18"/>
      <c r="P15" s="18"/>
      <c r="Q15" s="19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558</v>
      </c>
      <c r="D16" s="18" t="s">
        <v>559</v>
      </c>
      <c r="E16" s="18" t="s">
        <v>407</v>
      </c>
      <c r="F16" s="18" t="s">
        <v>38</v>
      </c>
      <c r="G16" s="19">
        <v>720</v>
      </c>
      <c r="H16" s="19">
        <v>30</v>
      </c>
      <c r="I16" s="19">
        <f t="shared" si="1"/>
        <v>690</v>
      </c>
      <c r="J16" s="18" t="s">
        <v>451</v>
      </c>
      <c r="K16" s="18" t="s">
        <v>15</v>
      </c>
      <c r="L16" s="18" t="s">
        <v>447</v>
      </c>
      <c r="M16" s="18"/>
      <c r="N16" s="18"/>
      <c r="O16" s="18"/>
      <c r="P16" s="18"/>
      <c r="Q16" s="19">
        <v>1</v>
      </c>
    </row>
    <row r="17" spans="1:18" customFormat="1" x14ac:dyDescent="0.25">
      <c r="A17" s="18"/>
      <c r="B17" s="18" t="s">
        <v>34</v>
      </c>
      <c r="C17" s="18" t="s">
        <v>560</v>
      </c>
      <c r="D17" s="18" t="s">
        <v>561</v>
      </c>
      <c r="E17" s="18" t="s">
        <v>562</v>
      </c>
      <c r="F17" s="18" t="s">
        <v>38</v>
      </c>
      <c r="G17" s="19">
        <v>750</v>
      </c>
      <c r="H17" s="19">
        <v>30</v>
      </c>
      <c r="I17" s="19">
        <f t="shared" si="1"/>
        <v>720</v>
      </c>
      <c r="J17" s="18" t="s">
        <v>451</v>
      </c>
      <c r="K17" s="18" t="s">
        <v>15</v>
      </c>
      <c r="L17" s="18" t="s">
        <v>447</v>
      </c>
      <c r="M17" s="18"/>
      <c r="N17" s="18"/>
      <c r="O17" s="18"/>
      <c r="P17" s="18"/>
      <c r="Q17" s="19">
        <v>1</v>
      </c>
    </row>
    <row r="18" spans="1:18" customFormat="1" x14ac:dyDescent="0.25">
      <c r="A18" s="18"/>
      <c r="B18" s="18" t="s">
        <v>34</v>
      </c>
      <c r="C18" s="18" t="s">
        <v>563</v>
      </c>
      <c r="D18" s="18" t="s">
        <v>564</v>
      </c>
      <c r="E18" s="18" t="s">
        <v>565</v>
      </c>
      <c r="F18" s="19">
        <v>8</v>
      </c>
      <c r="G18" s="19">
        <v>390</v>
      </c>
      <c r="H18" s="19">
        <v>30</v>
      </c>
      <c r="I18" s="19">
        <f t="shared" si="1"/>
        <v>360</v>
      </c>
      <c r="J18" s="18" t="s">
        <v>451</v>
      </c>
      <c r="K18" s="18" t="s">
        <v>15</v>
      </c>
      <c r="L18" s="18" t="s">
        <v>447</v>
      </c>
      <c r="M18" s="18"/>
      <c r="N18" s="18"/>
      <c r="O18" s="18"/>
      <c r="P18" s="18"/>
      <c r="Q18" s="19">
        <v>1</v>
      </c>
    </row>
    <row r="19" spans="1:18" customFormat="1" x14ac:dyDescent="0.25">
      <c r="A19" s="18"/>
      <c r="B19" s="18" t="s">
        <v>34</v>
      </c>
      <c r="C19" s="18" t="s">
        <v>574</v>
      </c>
      <c r="D19" s="18" t="s">
        <v>575</v>
      </c>
      <c r="E19" s="18" t="s">
        <v>576</v>
      </c>
      <c r="F19" s="18" t="s">
        <v>38</v>
      </c>
      <c r="G19" s="19">
        <v>820</v>
      </c>
      <c r="H19" s="19">
        <v>30</v>
      </c>
      <c r="I19" s="19">
        <f t="shared" si="1"/>
        <v>790</v>
      </c>
      <c r="J19" s="18" t="s">
        <v>451</v>
      </c>
      <c r="K19" s="18" t="s">
        <v>15</v>
      </c>
      <c r="L19" s="18" t="s">
        <v>447</v>
      </c>
      <c r="M19" s="18"/>
      <c r="N19" s="18"/>
      <c r="O19" s="18"/>
      <c r="P19" s="18"/>
      <c r="Q19" s="19">
        <v>1</v>
      </c>
    </row>
    <row r="20" spans="1:18" customFormat="1" x14ac:dyDescent="0.25">
      <c r="A20" s="18" t="s">
        <v>96</v>
      </c>
      <c r="B20" s="18" t="s">
        <v>34</v>
      </c>
      <c r="C20" s="18" t="s">
        <v>583</v>
      </c>
      <c r="D20" s="18"/>
      <c r="E20" s="18" t="s">
        <v>584</v>
      </c>
      <c r="F20" s="18" t="s">
        <v>212</v>
      </c>
      <c r="G20" s="19">
        <v>30</v>
      </c>
      <c r="H20" s="19">
        <v>30</v>
      </c>
      <c r="I20" s="19">
        <f t="shared" si="1"/>
        <v>0</v>
      </c>
      <c r="J20" s="18" t="s">
        <v>451</v>
      </c>
      <c r="K20" s="18" t="s">
        <v>15</v>
      </c>
      <c r="L20" s="18" t="s">
        <v>447</v>
      </c>
      <c r="M20" s="18"/>
      <c r="N20" s="18"/>
      <c r="O20" s="18"/>
      <c r="P20" s="18"/>
      <c r="Q20" s="19">
        <v>1</v>
      </c>
    </row>
    <row r="21" spans="1:18" customFormat="1" x14ac:dyDescent="0.25">
      <c r="A21" s="18" t="s">
        <v>96</v>
      </c>
      <c r="B21" s="18" t="s">
        <v>34</v>
      </c>
      <c r="C21" s="18" t="s">
        <v>260</v>
      </c>
      <c r="D21" s="18"/>
      <c r="E21" s="18" t="s">
        <v>585</v>
      </c>
      <c r="F21" s="19">
        <v>6</v>
      </c>
      <c r="G21" s="19">
        <v>30</v>
      </c>
      <c r="H21" s="19">
        <v>30</v>
      </c>
      <c r="I21" s="19">
        <f t="shared" si="1"/>
        <v>0</v>
      </c>
      <c r="J21" s="18" t="s">
        <v>451</v>
      </c>
      <c r="K21" s="18" t="s">
        <v>15</v>
      </c>
      <c r="L21" s="18" t="s">
        <v>447</v>
      </c>
      <c r="M21" s="18"/>
      <c r="N21" s="18"/>
      <c r="O21" s="18"/>
      <c r="P21" s="18"/>
      <c r="Q21" s="19">
        <v>1</v>
      </c>
    </row>
    <row r="22" spans="1:18" customFormat="1" x14ac:dyDescent="0.25">
      <c r="A22" s="18"/>
      <c r="B22" s="18" t="s">
        <v>34</v>
      </c>
      <c r="C22" s="18" t="s">
        <v>444</v>
      </c>
      <c r="D22" s="18" t="s">
        <v>445</v>
      </c>
      <c r="E22" s="18" t="s">
        <v>446</v>
      </c>
      <c r="F22" s="18" t="s">
        <v>18</v>
      </c>
      <c r="G22" s="19">
        <v>0</v>
      </c>
      <c r="H22" s="19">
        <v>25</v>
      </c>
      <c r="I22" s="19">
        <f t="shared" si="1"/>
        <v>-25</v>
      </c>
      <c r="J22" s="18" t="s">
        <v>15</v>
      </c>
      <c r="K22" s="18" t="s">
        <v>15</v>
      </c>
      <c r="L22" s="18" t="s">
        <v>447</v>
      </c>
      <c r="M22" s="33" t="s">
        <v>590</v>
      </c>
      <c r="N22" s="18"/>
      <c r="O22" s="18"/>
      <c r="P22" s="18"/>
      <c r="Q22" s="19">
        <v>1</v>
      </c>
      <c r="R22" s="17">
        <f>H22</f>
        <v>25</v>
      </c>
    </row>
    <row r="23" spans="1:18" s="32" customFormat="1" x14ac:dyDescent="0.25">
      <c r="A23" s="30"/>
      <c r="B23" s="30" t="s">
        <v>34</v>
      </c>
      <c r="C23" s="30" t="s">
        <v>452</v>
      </c>
      <c r="D23" s="30" t="s">
        <v>453</v>
      </c>
      <c r="E23" s="30" t="s">
        <v>454</v>
      </c>
      <c r="F23" s="30" t="s">
        <v>144</v>
      </c>
      <c r="G23" s="31">
        <v>1710</v>
      </c>
      <c r="H23" s="31">
        <v>30</v>
      </c>
      <c r="I23" s="31">
        <f t="shared" si="1"/>
        <v>1680</v>
      </c>
      <c r="J23" s="30" t="s">
        <v>15</v>
      </c>
      <c r="K23" s="30" t="s">
        <v>15</v>
      </c>
      <c r="L23" s="30" t="s">
        <v>447</v>
      </c>
      <c r="M23" s="30"/>
      <c r="N23" s="30"/>
      <c r="O23" s="30"/>
      <c r="P23" s="30"/>
      <c r="Q23" s="31">
        <v>1</v>
      </c>
    </row>
    <row r="24" spans="1:18" customFormat="1" x14ac:dyDescent="0.25">
      <c r="A24" s="18"/>
      <c r="B24" s="18" t="s">
        <v>34</v>
      </c>
      <c r="C24" s="18" t="s">
        <v>476</v>
      </c>
      <c r="D24" s="18" t="s">
        <v>477</v>
      </c>
      <c r="E24" s="18" t="s">
        <v>478</v>
      </c>
      <c r="F24" s="19">
        <v>2</v>
      </c>
      <c r="G24" s="19">
        <v>1510</v>
      </c>
      <c r="H24" s="19">
        <v>30</v>
      </c>
      <c r="I24" s="19">
        <f t="shared" si="1"/>
        <v>1480</v>
      </c>
      <c r="J24" s="18" t="s">
        <v>15</v>
      </c>
      <c r="K24" s="18" t="s">
        <v>15</v>
      </c>
      <c r="L24" s="18" t="s">
        <v>447</v>
      </c>
      <c r="M24" s="18"/>
      <c r="N24" s="18"/>
      <c r="O24" s="18"/>
      <c r="P24" s="18"/>
      <c r="Q24" s="19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482</v>
      </c>
      <c r="E25" s="18" t="s">
        <v>140</v>
      </c>
      <c r="F25" s="18" t="s">
        <v>19</v>
      </c>
      <c r="G25" s="19">
        <v>680</v>
      </c>
      <c r="H25" s="19">
        <v>20</v>
      </c>
      <c r="I25" s="19">
        <f t="shared" si="1"/>
        <v>660</v>
      </c>
      <c r="J25" s="18" t="s">
        <v>15</v>
      </c>
      <c r="K25" s="18" t="s">
        <v>15</v>
      </c>
      <c r="L25" s="18" t="s">
        <v>447</v>
      </c>
      <c r="M25" s="18"/>
      <c r="N25" s="18"/>
      <c r="O25" s="18"/>
      <c r="P25" s="18"/>
      <c r="Q25" s="19">
        <v>1</v>
      </c>
    </row>
    <row r="26" spans="1:18" customFormat="1" x14ac:dyDescent="0.25">
      <c r="A26" s="18"/>
      <c r="B26" s="18" t="s">
        <v>34</v>
      </c>
      <c r="C26" s="18" t="s">
        <v>483</v>
      </c>
      <c r="D26" s="18" t="s">
        <v>484</v>
      </c>
      <c r="E26" s="18" t="s">
        <v>485</v>
      </c>
      <c r="F26" s="18" t="s">
        <v>144</v>
      </c>
      <c r="G26" s="19">
        <v>1020</v>
      </c>
      <c r="H26" s="19">
        <v>30</v>
      </c>
      <c r="I26" s="19">
        <f t="shared" si="1"/>
        <v>990</v>
      </c>
      <c r="J26" s="18" t="s">
        <v>15</v>
      </c>
      <c r="K26" s="18" t="s">
        <v>15</v>
      </c>
      <c r="L26" s="18" t="s">
        <v>447</v>
      </c>
      <c r="M26" s="18"/>
      <c r="N26" s="18"/>
      <c r="O26" s="18"/>
      <c r="P26" s="18"/>
      <c r="Q26" s="19">
        <v>1</v>
      </c>
    </row>
    <row r="27" spans="1:18" customFormat="1" x14ac:dyDescent="0.25">
      <c r="A27" s="18"/>
      <c r="B27" s="18" t="s">
        <v>34</v>
      </c>
      <c r="C27" s="18" t="s">
        <v>486</v>
      </c>
      <c r="D27" s="18" t="s">
        <v>487</v>
      </c>
      <c r="E27" s="18" t="s">
        <v>488</v>
      </c>
      <c r="F27" s="18" t="s">
        <v>144</v>
      </c>
      <c r="G27" s="19">
        <v>0</v>
      </c>
      <c r="H27" s="19">
        <v>30</v>
      </c>
      <c r="I27" s="19">
        <f>-H27</f>
        <v>-30</v>
      </c>
      <c r="J27" s="18" t="s">
        <v>15</v>
      </c>
      <c r="K27" s="18" t="s">
        <v>15</v>
      </c>
      <c r="L27" s="18" t="s">
        <v>447</v>
      </c>
      <c r="M27" s="18"/>
      <c r="N27" s="18"/>
      <c r="O27" s="18"/>
      <c r="P27" s="18"/>
      <c r="Q27" s="19">
        <v>1</v>
      </c>
      <c r="R27" s="17">
        <f t="shared" ref="R27:R28" si="2">H27</f>
        <v>30</v>
      </c>
    </row>
    <row r="28" spans="1:18" customFormat="1" x14ac:dyDescent="0.25">
      <c r="A28" s="18"/>
      <c r="B28" s="18" t="s">
        <v>34</v>
      </c>
      <c r="C28" s="18" t="s">
        <v>528</v>
      </c>
      <c r="D28" s="18" t="s">
        <v>529</v>
      </c>
      <c r="E28" s="18" t="s">
        <v>530</v>
      </c>
      <c r="F28" s="18" t="s">
        <v>18</v>
      </c>
      <c r="G28" s="19">
        <v>0</v>
      </c>
      <c r="H28" s="19">
        <v>25</v>
      </c>
      <c r="I28" s="19">
        <f>-H28</f>
        <v>-25</v>
      </c>
      <c r="J28" s="18" t="s">
        <v>15</v>
      </c>
      <c r="K28" s="18" t="s">
        <v>15</v>
      </c>
      <c r="L28" s="18" t="s">
        <v>447</v>
      </c>
      <c r="M28" s="18"/>
      <c r="N28" s="18"/>
      <c r="O28" s="18"/>
      <c r="P28" s="18"/>
      <c r="Q28" s="19">
        <v>1</v>
      </c>
      <c r="R28" s="17">
        <f t="shared" si="2"/>
        <v>25</v>
      </c>
    </row>
    <row r="29" spans="1:18" customFormat="1" x14ac:dyDescent="0.25">
      <c r="A29" s="18"/>
      <c r="B29" s="18" t="s">
        <v>34</v>
      </c>
      <c r="C29" s="18" t="s">
        <v>543</v>
      </c>
      <c r="D29" s="18" t="s">
        <v>544</v>
      </c>
      <c r="E29" s="18" t="s">
        <v>545</v>
      </c>
      <c r="F29" s="19">
        <v>2</v>
      </c>
      <c r="G29" s="19">
        <v>820</v>
      </c>
      <c r="H29" s="19">
        <v>30</v>
      </c>
      <c r="I29" s="19">
        <f>G29-H29</f>
        <v>790</v>
      </c>
      <c r="J29" s="18" t="s">
        <v>15</v>
      </c>
      <c r="K29" s="18" t="s">
        <v>15</v>
      </c>
      <c r="L29" s="18" t="s">
        <v>447</v>
      </c>
      <c r="M29" s="18"/>
      <c r="N29" s="18"/>
      <c r="O29" s="18"/>
      <c r="P29" s="18"/>
      <c r="Q29" s="19">
        <v>1</v>
      </c>
    </row>
    <row r="30" spans="1:18" customFormat="1" x14ac:dyDescent="0.25">
      <c r="A30" s="18"/>
      <c r="B30" s="18" t="s">
        <v>34</v>
      </c>
      <c r="C30" s="18" t="s">
        <v>552</v>
      </c>
      <c r="D30" s="18" t="s">
        <v>553</v>
      </c>
      <c r="E30" s="18" t="s">
        <v>554</v>
      </c>
      <c r="F30" s="18" t="s">
        <v>18</v>
      </c>
      <c r="G30" s="19">
        <v>0</v>
      </c>
      <c r="H30" s="19">
        <v>25</v>
      </c>
      <c r="I30" s="19">
        <f>-H30</f>
        <v>-25</v>
      </c>
      <c r="J30" s="18" t="s">
        <v>15</v>
      </c>
      <c r="K30" s="18" t="s">
        <v>15</v>
      </c>
      <c r="L30" s="18" t="s">
        <v>447</v>
      </c>
      <c r="M30" s="18"/>
      <c r="N30" s="18"/>
      <c r="O30" s="18"/>
      <c r="P30" s="18"/>
      <c r="Q30" s="19">
        <v>1</v>
      </c>
      <c r="R30" s="17">
        <f>H30</f>
        <v>25</v>
      </c>
    </row>
    <row r="31" spans="1:18" customFormat="1" x14ac:dyDescent="0.25">
      <c r="A31" s="18"/>
      <c r="B31" s="18" t="s">
        <v>34</v>
      </c>
      <c r="C31" s="18" t="s">
        <v>566</v>
      </c>
      <c r="D31" s="18" t="s">
        <v>567</v>
      </c>
      <c r="E31" s="18" t="s">
        <v>568</v>
      </c>
      <c r="F31" s="19">
        <v>2</v>
      </c>
      <c r="G31" s="19">
        <v>1020</v>
      </c>
      <c r="H31" s="19">
        <v>30</v>
      </c>
      <c r="I31" s="19">
        <f>G31-H31</f>
        <v>990</v>
      </c>
      <c r="J31" s="18" t="s">
        <v>15</v>
      </c>
      <c r="K31" s="18" t="s">
        <v>15</v>
      </c>
      <c r="L31" s="18" t="s">
        <v>447</v>
      </c>
      <c r="M31" s="18"/>
      <c r="N31" s="18"/>
      <c r="O31" s="18"/>
      <c r="P31" s="18"/>
      <c r="Q31" s="19">
        <v>1</v>
      </c>
    </row>
    <row r="32" spans="1:18" customFormat="1" x14ac:dyDescent="0.25">
      <c r="A32" s="18"/>
      <c r="B32" s="18" t="s">
        <v>34</v>
      </c>
      <c r="C32" s="18" t="s">
        <v>326</v>
      </c>
      <c r="D32" s="18" t="s">
        <v>569</v>
      </c>
      <c r="E32" s="18" t="s">
        <v>570</v>
      </c>
      <c r="F32" s="19">
        <v>2</v>
      </c>
      <c r="G32" s="19">
        <v>380</v>
      </c>
      <c r="H32" s="19">
        <v>30</v>
      </c>
      <c r="I32" s="19">
        <f>G32-H32</f>
        <v>350</v>
      </c>
      <c r="J32" s="18" t="s">
        <v>15</v>
      </c>
      <c r="K32" s="18" t="s">
        <v>15</v>
      </c>
      <c r="L32" s="18" t="s">
        <v>447</v>
      </c>
      <c r="M32" s="18"/>
      <c r="N32" s="18"/>
      <c r="O32" s="18"/>
      <c r="P32" s="18"/>
      <c r="Q32" s="19">
        <v>1</v>
      </c>
    </row>
    <row r="33" spans="1:18" customFormat="1" x14ac:dyDescent="0.25">
      <c r="A33" s="18"/>
      <c r="B33" s="18" t="s">
        <v>34</v>
      </c>
      <c r="C33" s="18" t="s">
        <v>571</v>
      </c>
      <c r="D33" s="18" t="s">
        <v>572</v>
      </c>
      <c r="E33" s="18" t="s">
        <v>573</v>
      </c>
      <c r="F33" s="19">
        <v>12</v>
      </c>
      <c r="G33" s="19">
        <v>1020</v>
      </c>
      <c r="H33" s="19">
        <v>30</v>
      </c>
      <c r="I33" s="19">
        <f>G33-H33</f>
        <v>990</v>
      </c>
      <c r="J33" s="18" t="s">
        <v>15</v>
      </c>
      <c r="K33" s="18" t="s">
        <v>15</v>
      </c>
      <c r="L33" s="18" t="s">
        <v>447</v>
      </c>
      <c r="M33" s="18"/>
      <c r="N33" s="18"/>
      <c r="O33" s="18"/>
      <c r="P33" s="18"/>
      <c r="Q33" s="19">
        <v>1</v>
      </c>
    </row>
    <row r="34" spans="1:18" customFormat="1" x14ac:dyDescent="0.25">
      <c r="A34" s="18" t="s">
        <v>96</v>
      </c>
      <c r="B34" s="18" t="s">
        <v>34</v>
      </c>
      <c r="C34" s="18" t="s">
        <v>577</v>
      </c>
      <c r="D34" s="18"/>
      <c r="E34" s="18" t="s">
        <v>578</v>
      </c>
      <c r="F34" s="18" t="s">
        <v>20</v>
      </c>
      <c r="G34" s="19">
        <v>30</v>
      </c>
      <c r="H34" s="19">
        <v>30</v>
      </c>
      <c r="I34" s="19">
        <f>G34-H34</f>
        <v>0</v>
      </c>
      <c r="J34" s="18" t="s">
        <v>15</v>
      </c>
      <c r="K34" s="18" t="s">
        <v>15</v>
      </c>
      <c r="L34" s="18" t="s">
        <v>447</v>
      </c>
      <c r="M34" s="18"/>
      <c r="N34" s="18"/>
      <c r="O34" s="18"/>
      <c r="P34" s="18"/>
      <c r="Q34" s="19">
        <v>1</v>
      </c>
    </row>
    <row r="35" spans="1:18" customFormat="1" x14ac:dyDescent="0.25">
      <c r="A35" s="18" t="s">
        <v>96</v>
      </c>
      <c r="B35" s="18" t="s">
        <v>34</v>
      </c>
      <c r="C35" s="18" t="s">
        <v>581</v>
      </c>
      <c r="D35" s="18"/>
      <c r="E35" s="18" t="s">
        <v>582</v>
      </c>
      <c r="F35" s="19">
        <v>12</v>
      </c>
      <c r="G35" s="19">
        <v>0</v>
      </c>
      <c r="H35" s="19">
        <v>35</v>
      </c>
      <c r="I35" s="19">
        <f>-H35</f>
        <v>-35</v>
      </c>
      <c r="J35" s="18" t="s">
        <v>15</v>
      </c>
      <c r="K35" s="18" t="s">
        <v>15</v>
      </c>
      <c r="L35" s="18" t="s">
        <v>447</v>
      </c>
      <c r="M35" s="18"/>
      <c r="N35" s="18"/>
      <c r="O35" s="18"/>
      <c r="P35" s="18"/>
      <c r="Q35" s="19">
        <v>1</v>
      </c>
      <c r="R35" s="17">
        <f>H35</f>
        <v>35</v>
      </c>
    </row>
    <row r="36" spans="1:18" customFormat="1" x14ac:dyDescent="0.25">
      <c r="A36" s="18" t="s">
        <v>96</v>
      </c>
      <c r="B36" s="18" t="s">
        <v>34</v>
      </c>
      <c r="C36" s="18" t="s">
        <v>314</v>
      </c>
      <c r="D36" s="18"/>
      <c r="E36" s="18" t="s">
        <v>315</v>
      </c>
      <c r="F36" s="18" t="s">
        <v>20</v>
      </c>
      <c r="G36" s="19">
        <v>30</v>
      </c>
      <c r="H36" s="19">
        <v>30</v>
      </c>
      <c r="I36" s="19">
        <f t="shared" ref="I36:I52" si="3">G36-H36</f>
        <v>0</v>
      </c>
      <c r="J36" s="18" t="s">
        <v>15</v>
      </c>
      <c r="K36" s="18" t="s">
        <v>15</v>
      </c>
      <c r="L36" s="18" t="s">
        <v>447</v>
      </c>
      <c r="M36" s="18"/>
      <c r="N36" s="18"/>
      <c r="O36" s="18"/>
      <c r="P36" s="18"/>
      <c r="Q36" s="19">
        <v>1</v>
      </c>
    </row>
    <row r="37" spans="1:18" customFormat="1" x14ac:dyDescent="0.25">
      <c r="A37" s="18" t="s">
        <v>96</v>
      </c>
      <c r="B37" s="18" t="s">
        <v>34</v>
      </c>
      <c r="C37" s="18" t="s">
        <v>586</v>
      </c>
      <c r="D37" s="18"/>
      <c r="E37" s="18" t="s">
        <v>587</v>
      </c>
      <c r="F37" s="18" t="s">
        <v>144</v>
      </c>
      <c r="G37" s="19">
        <v>1015</v>
      </c>
      <c r="H37" s="19">
        <v>35</v>
      </c>
      <c r="I37" s="19">
        <f t="shared" si="3"/>
        <v>980</v>
      </c>
      <c r="J37" s="18" t="s">
        <v>15</v>
      </c>
      <c r="K37" s="18" t="s">
        <v>15</v>
      </c>
      <c r="L37" s="18" t="s">
        <v>447</v>
      </c>
      <c r="M37" s="18"/>
      <c r="N37" s="18"/>
      <c r="O37" s="18"/>
      <c r="P37" s="18"/>
      <c r="Q37" s="19">
        <v>1</v>
      </c>
    </row>
    <row r="38" spans="1:18" customFormat="1" x14ac:dyDescent="0.25">
      <c r="A38" s="18"/>
      <c r="B38" s="18" t="s">
        <v>34</v>
      </c>
      <c r="C38" s="18" t="s">
        <v>470</v>
      </c>
      <c r="D38" s="18" t="s">
        <v>471</v>
      </c>
      <c r="E38" s="18" t="s">
        <v>472</v>
      </c>
      <c r="F38" s="19">
        <v>10</v>
      </c>
      <c r="G38" s="19">
        <v>1505</v>
      </c>
      <c r="H38" s="19">
        <v>25</v>
      </c>
      <c r="I38" s="19">
        <f t="shared" si="3"/>
        <v>1480</v>
      </c>
      <c r="J38" s="18" t="s">
        <v>160</v>
      </c>
      <c r="K38" s="18" t="s">
        <v>15</v>
      </c>
      <c r="L38" s="18" t="s">
        <v>447</v>
      </c>
      <c r="M38" s="18"/>
      <c r="N38" s="18"/>
      <c r="O38" s="18"/>
      <c r="P38" s="18"/>
      <c r="Q38" s="19">
        <v>1</v>
      </c>
    </row>
    <row r="39" spans="1:18" customFormat="1" x14ac:dyDescent="0.25">
      <c r="A39" s="18"/>
      <c r="B39" s="18" t="s">
        <v>34</v>
      </c>
      <c r="C39" s="18" t="s">
        <v>473</v>
      </c>
      <c r="D39" s="18" t="s">
        <v>474</v>
      </c>
      <c r="E39" s="18" t="s">
        <v>475</v>
      </c>
      <c r="F39" s="19">
        <v>4</v>
      </c>
      <c r="G39" s="19">
        <v>815</v>
      </c>
      <c r="H39" s="19">
        <v>25</v>
      </c>
      <c r="I39" s="19">
        <f t="shared" si="3"/>
        <v>790</v>
      </c>
      <c r="J39" s="18" t="s">
        <v>160</v>
      </c>
      <c r="K39" s="18" t="s">
        <v>15</v>
      </c>
      <c r="L39" s="18" t="s">
        <v>447</v>
      </c>
      <c r="M39" s="18"/>
      <c r="N39" s="18"/>
      <c r="O39" s="18"/>
      <c r="P39" s="18"/>
      <c r="Q39" s="19">
        <v>1</v>
      </c>
    </row>
    <row r="40" spans="1:18" customFormat="1" x14ac:dyDescent="0.25">
      <c r="A40" s="18"/>
      <c r="B40" s="18" t="s">
        <v>34</v>
      </c>
      <c r="C40" s="18" t="s">
        <v>489</v>
      </c>
      <c r="D40" s="18" t="s">
        <v>490</v>
      </c>
      <c r="E40" s="18" t="s">
        <v>491</v>
      </c>
      <c r="F40" s="19">
        <v>8</v>
      </c>
      <c r="G40" s="19">
        <v>820</v>
      </c>
      <c r="H40" s="19">
        <v>30</v>
      </c>
      <c r="I40" s="19">
        <f t="shared" si="3"/>
        <v>790</v>
      </c>
      <c r="J40" s="18" t="s">
        <v>160</v>
      </c>
      <c r="K40" s="18" t="s">
        <v>15</v>
      </c>
      <c r="L40" s="18" t="s">
        <v>447</v>
      </c>
      <c r="M40" s="18"/>
      <c r="N40" s="18"/>
      <c r="O40" s="18"/>
      <c r="P40" s="18"/>
      <c r="Q40" s="19">
        <v>1</v>
      </c>
    </row>
    <row r="41" spans="1:18" customFormat="1" x14ac:dyDescent="0.25">
      <c r="A41" s="18"/>
      <c r="B41" s="18" t="s">
        <v>34</v>
      </c>
      <c r="C41" s="18" t="s">
        <v>492</v>
      </c>
      <c r="D41" s="18" t="s">
        <v>493</v>
      </c>
      <c r="E41" s="18" t="s">
        <v>494</v>
      </c>
      <c r="F41" s="18" t="s">
        <v>18</v>
      </c>
      <c r="G41" s="19">
        <v>845</v>
      </c>
      <c r="H41" s="19">
        <v>25</v>
      </c>
      <c r="I41" s="19">
        <f t="shared" si="3"/>
        <v>820</v>
      </c>
      <c r="J41" s="18" t="s">
        <v>160</v>
      </c>
      <c r="K41" s="18" t="s">
        <v>15</v>
      </c>
      <c r="L41" s="18" t="s">
        <v>447</v>
      </c>
      <c r="M41" s="18"/>
      <c r="N41" s="18"/>
      <c r="O41" s="18"/>
      <c r="P41" s="18"/>
      <c r="Q41" s="19">
        <v>1</v>
      </c>
    </row>
    <row r="42" spans="1:18" customFormat="1" x14ac:dyDescent="0.25">
      <c r="A42" s="18"/>
      <c r="B42" s="18" t="s">
        <v>34</v>
      </c>
      <c r="C42" s="18" t="s">
        <v>501</v>
      </c>
      <c r="D42" s="18" t="s">
        <v>502</v>
      </c>
      <c r="E42" s="18" t="s">
        <v>503</v>
      </c>
      <c r="F42" s="19">
        <v>4</v>
      </c>
      <c r="G42" s="19">
        <v>735</v>
      </c>
      <c r="H42" s="19">
        <v>25</v>
      </c>
      <c r="I42" s="19">
        <f t="shared" si="3"/>
        <v>710</v>
      </c>
      <c r="J42" s="18" t="s">
        <v>160</v>
      </c>
      <c r="K42" s="18" t="s">
        <v>15</v>
      </c>
      <c r="L42" s="18" t="s">
        <v>447</v>
      </c>
      <c r="M42" s="18"/>
      <c r="N42" s="18"/>
      <c r="O42" s="18"/>
      <c r="P42" s="18"/>
      <c r="Q42" s="19">
        <v>1</v>
      </c>
    </row>
    <row r="43" spans="1:18" s="22" customFormat="1" x14ac:dyDescent="0.25">
      <c r="A43" s="20"/>
      <c r="B43" s="20" t="s">
        <v>34</v>
      </c>
      <c r="C43" s="20" t="s">
        <v>504</v>
      </c>
      <c r="D43" s="20" t="s">
        <v>505</v>
      </c>
      <c r="E43" s="20" t="s">
        <v>506</v>
      </c>
      <c r="F43" s="21">
        <v>4</v>
      </c>
      <c r="G43" s="21">
        <v>75</v>
      </c>
      <c r="H43" s="21">
        <v>25</v>
      </c>
      <c r="I43" s="21">
        <f t="shared" si="3"/>
        <v>50</v>
      </c>
      <c r="J43" s="20" t="s">
        <v>160</v>
      </c>
      <c r="K43" s="20" t="s">
        <v>15</v>
      </c>
      <c r="L43" s="20" t="s">
        <v>447</v>
      </c>
      <c r="M43" s="20" t="s">
        <v>16</v>
      </c>
      <c r="N43" s="20"/>
      <c r="O43" s="20"/>
      <c r="P43" s="20"/>
      <c r="Q43" s="21">
        <v>1</v>
      </c>
    </row>
    <row r="44" spans="1:18" customFormat="1" x14ac:dyDescent="0.25">
      <c r="A44" s="18"/>
      <c r="B44" s="18" t="s">
        <v>34</v>
      </c>
      <c r="C44" s="18" t="s">
        <v>507</v>
      </c>
      <c r="D44" s="18" t="s">
        <v>508</v>
      </c>
      <c r="E44" s="18" t="s">
        <v>509</v>
      </c>
      <c r="F44" s="19">
        <v>4</v>
      </c>
      <c r="G44" s="19">
        <v>715</v>
      </c>
      <c r="H44" s="19">
        <v>25</v>
      </c>
      <c r="I44" s="19">
        <f t="shared" si="3"/>
        <v>690</v>
      </c>
      <c r="J44" s="18" t="s">
        <v>160</v>
      </c>
      <c r="K44" s="18" t="s">
        <v>15</v>
      </c>
      <c r="L44" s="18" t="s">
        <v>447</v>
      </c>
      <c r="M44" s="18"/>
      <c r="N44" s="18"/>
      <c r="O44" s="18"/>
      <c r="P44" s="18"/>
      <c r="Q44" s="19">
        <v>1</v>
      </c>
    </row>
    <row r="45" spans="1:18" customFormat="1" x14ac:dyDescent="0.25">
      <c r="A45" s="18"/>
      <c r="B45" s="18" t="s">
        <v>34</v>
      </c>
      <c r="C45" s="18" t="s">
        <v>513</v>
      </c>
      <c r="D45" s="18" t="s">
        <v>514</v>
      </c>
      <c r="E45" s="18" t="s">
        <v>515</v>
      </c>
      <c r="F45" s="19">
        <v>5</v>
      </c>
      <c r="G45" s="19">
        <v>685</v>
      </c>
      <c r="H45" s="19">
        <v>25</v>
      </c>
      <c r="I45" s="19">
        <f t="shared" si="3"/>
        <v>660</v>
      </c>
      <c r="J45" s="18" t="s">
        <v>160</v>
      </c>
      <c r="K45" s="18" t="s">
        <v>15</v>
      </c>
      <c r="L45" s="18" t="s">
        <v>447</v>
      </c>
      <c r="M45" s="18"/>
      <c r="N45" s="18"/>
      <c r="O45" s="18"/>
      <c r="P45" s="18"/>
      <c r="Q45" s="19">
        <v>1</v>
      </c>
    </row>
    <row r="46" spans="1:18" customFormat="1" x14ac:dyDescent="0.25">
      <c r="A46" s="18"/>
      <c r="B46" s="18" t="s">
        <v>34</v>
      </c>
      <c r="C46" s="18" t="s">
        <v>519</v>
      </c>
      <c r="D46" s="18" t="s">
        <v>520</v>
      </c>
      <c r="E46" s="18" t="s">
        <v>521</v>
      </c>
      <c r="F46" s="19">
        <v>5</v>
      </c>
      <c r="G46" s="19">
        <v>1185</v>
      </c>
      <c r="H46" s="19">
        <v>25</v>
      </c>
      <c r="I46" s="19">
        <f t="shared" si="3"/>
        <v>1160</v>
      </c>
      <c r="J46" s="18" t="s">
        <v>160</v>
      </c>
      <c r="K46" s="18" t="s">
        <v>15</v>
      </c>
      <c r="L46" s="18" t="s">
        <v>447</v>
      </c>
      <c r="M46" s="18"/>
      <c r="N46" s="18"/>
      <c r="O46" s="18"/>
      <c r="P46" s="18"/>
      <c r="Q46" s="19">
        <v>1</v>
      </c>
    </row>
    <row r="47" spans="1:18" customFormat="1" x14ac:dyDescent="0.25">
      <c r="A47" s="18"/>
      <c r="B47" s="18" t="s">
        <v>34</v>
      </c>
      <c r="C47" s="18" t="s">
        <v>522</v>
      </c>
      <c r="D47" s="18" t="s">
        <v>523</v>
      </c>
      <c r="E47" s="18" t="s">
        <v>524</v>
      </c>
      <c r="F47" s="19">
        <v>1</v>
      </c>
      <c r="G47" s="19">
        <v>745</v>
      </c>
      <c r="H47" s="19">
        <v>25</v>
      </c>
      <c r="I47" s="19">
        <f t="shared" si="3"/>
        <v>720</v>
      </c>
      <c r="J47" s="18" t="s">
        <v>160</v>
      </c>
      <c r="K47" s="18" t="s">
        <v>15</v>
      </c>
      <c r="L47" s="18" t="s">
        <v>447</v>
      </c>
      <c r="M47" s="18"/>
      <c r="N47" s="18"/>
      <c r="O47" s="18"/>
      <c r="P47" s="18"/>
      <c r="Q47" s="19">
        <v>1</v>
      </c>
    </row>
    <row r="48" spans="1:18" customFormat="1" x14ac:dyDescent="0.25">
      <c r="A48" s="18"/>
      <c r="B48" s="18" t="s">
        <v>34</v>
      </c>
      <c r="C48" s="18" t="s">
        <v>525</v>
      </c>
      <c r="D48" s="18" t="s">
        <v>526</v>
      </c>
      <c r="E48" s="18" t="s">
        <v>527</v>
      </c>
      <c r="F48" s="19">
        <v>10</v>
      </c>
      <c r="G48" s="19">
        <v>1255</v>
      </c>
      <c r="H48" s="19">
        <v>25</v>
      </c>
      <c r="I48" s="19">
        <f t="shared" si="3"/>
        <v>1230</v>
      </c>
      <c r="J48" s="18" t="s">
        <v>160</v>
      </c>
      <c r="K48" s="18" t="s">
        <v>15</v>
      </c>
      <c r="L48" s="18" t="s">
        <v>447</v>
      </c>
      <c r="M48" s="18"/>
      <c r="N48" s="18"/>
      <c r="O48" s="18"/>
      <c r="P48" s="18"/>
      <c r="Q48" s="19">
        <v>1</v>
      </c>
    </row>
    <row r="49" spans="1:18" customFormat="1" x14ac:dyDescent="0.25">
      <c r="A49" s="18"/>
      <c r="B49" s="18" t="s">
        <v>34</v>
      </c>
      <c r="C49" s="18" t="s">
        <v>531</v>
      </c>
      <c r="D49" s="18" t="s">
        <v>532</v>
      </c>
      <c r="E49" s="18" t="s">
        <v>533</v>
      </c>
      <c r="F49" s="18" t="s">
        <v>17</v>
      </c>
      <c r="G49" s="19">
        <v>370</v>
      </c>
      <c r="H49" s="19">
        <v>20</v>
      </c>
      <c r="I49" s="19">
        <f t="shared" si="3"/>
        <v>350</v>
      </c>
      <c r="J49" s="18" t="s">
        <v>160</v>
      </c>
      <c r="K49" s="18" t="s">
        <v>15</v>
      </c>
      <c r="L49" s="18" t="s">
        <v>447</v>
      </c>
      <c r="M49" s="18"/>
      <c r="N49" s="18"/>
      <c r="O49" s="18"/>
      <c r="P49" s="18"/>
      <c r="Q49" s="19">
        <v>1</v>
      </c>
    </row>
    <row r="50" spans="1:18" customFormat="1" x14ac:dyDescent="0.25">
      <c r="A50" s="18"/>
      <c r="B50" s="18" t="s">
        <v>34</v>
      </c>
      <c r="C50" s="18" t="s">
        <v>534</v>
      </c>
      <c r="D50" s="18" t="s">
        <v>535</v>
      </c>
      <c r="E50" s="18" t="s">
        <v>536</v>
      </c>
      <c r="F50" s="19">
        <v>1</v>
      </c>
      <c r="G50" s="19">
        <v>915</v>
      </c>
      <c r="H50" s="19">
        <v>25</v>
      </c>
      <c r="I50" s="19">
        <f t="shared" si="3"/>
        <v>890</v>
      </c>
      <c r="J50" s="18" t="s">
        <v>160</v>
      </c>
      <c r="K50" s="18" t="s">
        <v>15</v>
      </c>
      <c r="L50" s="18" t="s">
        <v>447</v>
      </c>
      <c r="M50" s="18"/>
      <c r="N50" s="18"/>
      <c r="O50" s="18"/>
      <c r="P50" s="18"/>
      <c r="Q50" s="19">
        <v>1</v>
      </c>
    </row>
    <row r="51" spans="1:18" customFormat="1" x14ac:dyDescent="0.25">
      <c r="A51" s="18"/>
      <c r="B51" s="18" t="s">
        <v>34</v>
      </c>
      <c r="C51" s="18" t="s">
        <v>537</v>
      </c>
      <c r="D51" s="18" t="s">
        <v>538</v>
      </c>
      <c r="E51" s="18" t="s">
        <v>539</v>
      </c>
      <c r="F51" s="19">
        <v>1</v>
      </c>
      <c r="G51" s="19">
        <v>1635</v>
      </c>
      <c r="H51" s="19">
        <v>25</v>
      </c>
      <c r="I51" s="19">
        <f t="shared" si="3"/>
        <v>1610</v>
      </c>
      <c r="J51" s="18" t="s">
        <v>160</v>
      </c>
      <c r="K51" s="18" t="s">
        <v>15</v>
      </c>
      <c r="L51" s="18" t="s">
        <v>447</v>
      </c>
      <c r="M51" s="18"/>
      <c r="N51" s="18"/>
      <c r="O51" s="18"/>
      <c r="P51" s="18"/>
      <c r="Q51" s="19">
        <v>1</v>
      </c>
    </row>
    <row r="52" spans="1:18" customFormat="1" x14ac:dyDescent="0.25">
      <c r="A52" s="18"/>
      <c r="B52" s="18" t="s">
        <v>34</v>
      </c>
      <c r="C52" s="18" t="s">
        <v>546</v>
      </c>
      <c r="D52" s="18" t="s">
        <v>547</v>
      </c>
      <c r="E52" s="18" t="s">
        <v>548</v>
      </c>
      <c r="F52" s="19">
        <v>10</v>
      </c>
      <c r="G52" s="19">
        <v>465</v>
      </c>
      <c r="H52" s="19">
        <v>25</v>
      </c>
      <c r="I52" s="19">
        <f t="shared" si="3"/>
        <v>440</v>
      </c>
      <c r="J52" s="18" t="s">
        <v>160</v>
      </c>
      <c r="K52" s="18" t="s">
        <v>15</v>
      </c>
      <c r="L52" s="18" t="s">
        <v>447</v>
      </c>
      <c r="M52" s="18"/>
      <c r="N52" s="18"/>
      <c r="O52" s="18"/>
      <c r="P52" s="18"/>
      <c r="Q52" s="19">
        <v>1</v>
      </c>
    </row>
    <row r="53" spans="1:18" customFormat="1" x14ac:dyDescent="0.25">
      <c r="A53" s="18"/>
      <c r="B53" s="18" t="s">
        <v>34</v>
      </c>
      <c r="C53" s="18" t="s">
        <v>555</v>
      </c>
      <c r="D53" s="18" t="s">
        <v>556</v>
      </c>
      <c r="E53" s="18" t="s">
        <v>557</v>
      </c>
      <c r="F53" s="19">
        <v>4</v>
      </c>
      <c r="G53" s="19">
        <v>0</v>
      </c>
      <c r="H53" s="19">
        <v>25</v>
      </c>
      <c r="I53" s="19">
        <f>-H53</f>
        <v>-25</v>
      </c>
      <c r="J53" s="18" t="s">
        <v>160</v>
      </c>
      <c r="K53" s="18" t="s">
        <v>15</v>
      </c>
      <c r="L53" s="18" t="s">
        <v>447</v>
      </c>
      <c r="M53" s="18"/>
      <c r="N53" s="18"/>
      <c r="O53" s="18"/>
      <c r="P53" s="18"/>
      <c r="Q53" s="19">
        <v>1</v>
      </c>
      <c r="R53" s="17">
        <f>H53</f>
        <v>25</v>
      </c>
    </row>
    <row r="54" spans="1:18" customFormat="1" x14ac:dyDescent="0.25">
      <c r="A54" s="18" t="s">
        <v>96</v>
      </c>
      <c r="B54" s="18" t="s">
        <v>34</v>
      </c>
      <c r="C54" s="18" t="s">
        <v>579</v>
      </c>
      <c r="D54" s="18"/>
      <c r="E54" s="18" t="s">
        <v>580</v>
      </c>
      <c r="F54" s="19">
        <v>4</v>
      </c>
      <c r="G54" s="19">
        <v>30</v>
      </c>
      <c r="H54" s="19">
        <v>30</v>
      </c>
      <c r="I54" s="19">
        <f>G54-H54</f>
        <v>0</v>
      </c>
      <c r="J54" s="18" t="s">
        <v>160</v>
      </c>
      <c r="K54" s="18" t="s">
        <v>15</v>
      </c>
      <c r="L54" s="18" t="s">
        <v>447</v>
      </c>
      <c r="M54" s="18"/>
      <c r="N54" s="18"/>
      <c r="O54" s="18"/>
      <c r="P54" s="18"/>
      <c r="Q54" s="19">
        <v>1</v>
      </c>
    </row>
    <row r="56" spans="1:18" x14ac:dyDescent="0.25">
      <c r="G56" s="1">
        <f t="shared" ref="G56:R56" si="4">SUBTOTAL(9,G3:G55)</f>
        <v>34965</v>
      </c>
      <c r="H56" s="1">
        <f t="shared" si="4"/>
        <v>1455</v>
      </c>
      <c r="I56" s="1">
        <f t="shared" si="4"/>
        <v>33510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52</v>
      </c>
      <c r="R56" s="1">
        <f t="shared" si="4"/>
        <v>250</v>
      </c>
    </row>
    <row r="57" spans="1:18" x14ac:dyDescent="0.25">
      <c r="I57" s="1">
        <v>-860</v>
      </c>
      <c r="J57" s="1" t="s">
        <v>588</v>
      </c>
    </row>
    <row r="60" spans="1:18" ht="20.25" customHeight="1" x14ac:dyDescent="0.3">
      <c r="H60" s="4" t="s">
        <v>441</v>
      </c>
      <c r="I60" s="5" t="s">
        <v>21</v>
      </c>
      <c r="J60" s="6" t="s">
        <v>22</v>
      </c>
    </row>
    <row r="61" spans="1:18" ht="15.75" customHeight="1" x14ac:dyDescent="0.25">
      <c r="H61" s="7" t="s">
        <v>23</v>
      </c>
      <c r="I61" s="8">
        <f>SUM(I55:I59)</f>
        <v>32650</v>
      </c>
      <c r="J61" s="8">
        <f>Q56</f>
        <v>52</v>
      </c>
    </row>
    <row r="62" spans="1:18" x14ac:dyDescent="0.25">
      <c r="H62" s="9" t="s">
        <v>24</v>
      </c>
      <c r="I62" s="10">
        <f>R56</f>
        <v>250</v>
      </c>
      <c r="J62" s="11"/>
    </row>
    <row r="63" spans="1:18" x14ac:dyDescent="0.25">
      <c r="H63" s="9" t="s">
        <v>25</v>
      </c>
      <c r="I63" s="10">
        <f>S55</f>
        <v>0</v>
      </c>
      <c r="J63" s="11"/>
    </row>
    <row r="64" spans="1:18" x14ac:dyDescent="0.25">
      <c r="H64" s="9" t="s">
        <v>26</v>
      </c>
      <c r="I64" s="10">
        <f>T55</f>
        <v>0</v>
      </c>
      <c r="J64" s="11"/>
    </row>
    <row r="65" spans="8:10" x14ac:dyDescent="0.25">
      <c r="H65" s="9" t="s">
        <v>27</v>
      </c>
      <c r="I65" s="10">
        <f>U55</f>
        <v>0</v>
      </c>
      <c r="J65" s="11"/>
    </row>
    <row r="66" spans="8:10" ht="15.75" customHeight="1" x14ac:dyDescent="0.25">
      <c r="H66" s="12" t="s">
        <v>28</v>
      </c>
      <c r="I66" s="13"/>
      <c r="J66" s="13"/>
    </row>
    <row r="67" spans="8:10" ht="15.75" customHeight="1" x14ac:dyDescent="0.25">
      <c r="H67" s="14" t="s">
        <v>29</v>
      </c>
      <c r="I67" s="13"/>
      <c r="J67" s="13"/>
    </row>
    <row r="68" spans="8:10" ht="21" customHeight="1" x14ac:dyDescent="0.35">
      <c r="H68" s="15" t="s">
        <v>30</v>
      </c>
      <c r="I68" s="16">
        <f>SUM(I61:I67)</f>
        <v>32900</v>
      </c>
      <c r="J68" s="16">
        <f>SUM(J61:J65)</f>
        <v>52</v>
      </c>
    </row>
  </sheetData>
  <autoFilter ref="A2:P54" xr:uid="{00000000-0009-0000-0000-000006000000}">
    <sortState xmlns:xlrd2="http://schemas.microsoft.com/office/spreadsheetml/2017/richdata2" ref="A3:P54">
      <sortCondition ref="J2:J54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89614-9040-44FF-A0BC-959B92F97DFE}">
  <dimension ref="A1:R48"/>
  <sheetViews>
    <sheetView topLeftCell="A22" workbookViewId="0">
      <selection activeCell="J30" sqref="J3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591</v>
      </c>
      <c r="C1" s="1" t="s">
        <v>592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594</v>
      </c>
      <c r="D3" s="18" t="s">
        <v>595</v>
      </c>
      <c r="E3" s="18" t="s">
        <v>596</v>
      </c>
      <c r="F3" s="18" t="s">
        <v>212</v>
      </c>
      <c r="G3" s="19">
        <v>1035</v>
      </c>
      <c r="H3" s="19">
        <v>25</v>
      </c>
      <c r="I3" s="19">
        <f t="shared" ref="I3:I15" si="0">G3-H3</f>
        <v>1010</v>
      </c>
      <c r="J3" s="18" t="s">
        <v>597</v>
      </c>
      <c r="K3" s="18" t="s">
        <v>15</v>
      </c>
      <c r="L3" s="18" t="s">
        <v>598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599</v>
      </c>
      <c r="D4" s="18" t="s">
        <v>600</v>
      </c>
      <c r="E4" s="18" t="s">
        <v>601</v>
      </c>
      <c r="F4" s="18" t="s">
        <v>38</v>
      </c>
      <c r="G4" s="19">
        <v>820</v>
      </c>
      <c r="H4" s="19">
        <v>30</v>
      </c>
      <c r="I4" s="19">
        <f t="shared" si="0"/>
        <v>790</v>
      </c>
      <c r="J4" s="18" t="s">
        <v>597</v>
      </c>
      <c r="K4" s="18" t="s">
        <v>15</v>
      </c>
      <c r="L4" s="18" t="s">
        <v>598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602</v>
      </c>
      <c r="D5" s="18" t="s">
        <v>603</v>
      </c>
      <c r="E5" s="18" t="s">
        <v>604</v>
      </c>
      <c r="F5" s="19">
        <v>7</v>
      </c>
      <c r="G5" s="19">
        <v>780</v>
      </c>
      <c r="H5" s="19">
        <v>30</v>
      </c>
      <c r="I5" s="19">
        <f t="shared" si="0"/>
        <v>750</v>
      </c>
      <c r="J5" s="18" t="s">
        <v>597</v>
      </c>
      <c r="K5" s="18" t="s">
        <v>15</v>
      </c>
      <c r="L5" s="18" t="s">
        <v>598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605</v>
      </c>
      <c r="D6" s="18" t="s">
        <v>606</v>
      </c>
      <c r="E6" s="18" t="s">
        <v>607</v>
      </c>
      <c r="F6" s="18" t="s">
        <v>38</v>
      </c>
      <c r="G6" s="19">
        <v>2500</v>
      </c>
      <c r="H6" s="19">
        <v>35</v>
      </c>
      <c r="I6" s="19">
        <f t="shared" si="0"/>
        <v>2465</v>
      </c>
      <c r="J6" s="18" t="s">
        <v>597</v>
      </c>
      <c r="K6" s="18" t="s">
        <v>15</v>
      </c>
      <c r="L6" s="18" t="s">
        <v>598</v>
      </c>
      <c r="M6" s="27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608</v>
      </c>
      <c r="D7" s="18" t="s">
        <v>609</v>
      </c>
      <c r="E7" s="18" t="s">
        <v>610</v>
      </c>
      <c r="F7" s="19">
        <v>6</v>
      </c>
      <c r="G7" s="19">
        <v>845</v>
      </c>
      <c r="H7" s="19">
        <v>25</v>
      </c>
      <c r="I7" s="19">
        <f t="shared" si="0"/>
        <v>820</v>
      </c>
      <c r="J7" s="18" t="s">
        <v>597</v>
      </c>
      <c r="K7" s="18" t="s">
        <v>15</v>
      </c>
      <c r="L7" s="18" t="s">
        <v>598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611</v>
      </c>
      <c r="D8" s="18" t="s">
        <v>612</v>
      </c>
      <c r="E8" s="18" t="s">
        <v>613</v>
      </c>
      <c r="F8" s="19">
        <v>8</v>
      </c>
      <c r="G8" s="19">
        <v>620</v>
      </c>
      <c r="H8" s="19">
        <v>30</v>
      </c>
      <c r="I8" s="19">
        <f t="shared" si="0"/>
        <v>590</v>
      </c>
      <c r="J8" s="18" t="s">
        <v>597</v>
      </c>
      <c r="K8" s="18" t="s">
        <v>15</v>
      </c>
      <c r="L8" s="18" t="s">
        <v>598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41</v>
      </c>
      <c r="D9" s="18" t="s">
        <v>614</v>
      </c>
      <c r="E9" s="18" t="s">
        <v>43</v>
      </c>
      <c r="F9" s="19">
        <v>7</v>
      </c>
      <c r="G9" s="19">
        <v>820</v>
      </c>
      <c r="H9" s="19">
        <v>30</v>
      </c>
      <c r="I9" s="19">
        <f t="shared" si="0"/>
        <v>790</v>
      </c>
      <c r="J9" s="18" t="s">
        <v>597</v>
      </c>
      <c r="K9" s="18" t="s">
        <v>15</v>
      </c>
      <c r="L9" s="18" t="s">
        <v>598</v>
      </c>
      <c r="M9" s="18"/>
      <c r="N9" s="18"/>
      <c r="O9" s="18"/>
      <c r="P9" s="18"/>
      <c r="Q9" s="18">
        <v>1</v>
      </c>
    </row>
    <row r="10" spans="1:18" customFormat="1" x14ac:dyDescent="0.25">
      <c r="A10" s="18" t="s">
        <v>96</v>
      </c>
      <c r="B10" s="18" t="s">
        <v>34</v>
      </c>
      <c r="C10" s="18" t="s">
        <v>615</v>
      </c>
      <c r="D10" s="18"/>
      <c r="E10" s="18" t="s">
        <v>616</v>
      </c>
      <c r="F10" s="19">
        <v>6</v>
      </c>
      <c r="G10" s="19">
        <v>1110</v>
      </c>
      <c r="H10" s="19">
        <v>30</v>
      </c>
      <c r="I10" s="19">
        <f t="shared" si="0"/>
        <v>1080</v>
      </c>
      <c r="J10" s="18" t="s">
        <v>597</v>
      </c>
      <c r="K10" s="18" t="s">
        <v>15</v>
      </c>
      <c r="L10" s="18" t="s">
        <v>598</v>
      </c>
      <c r="M10" s="18"/>
      <c r="N10" s="18"/>
      <c r="O10" s="18"/>
      <c r="P10" s="18"/>
      <c r="Q10" s="18">
        <v>1</v>
      </c>
    </row>
    <row r="11" spans="1:18" customFormat="1" x14ac:dyDescent="0.25">
      <c r="A11" s="18" t="s">
        <v>96</v>
      </c>
      <c r="B11" s="18" t="s">
        <v>34</v>
      </c>
      <c r="C11" s="18" t="s">
        <v>617</v>
      </c>
      <c r="D11" s="18"/>
      <c r="E11" s="18" t="s">
        <v>618</v>
      </c>
      <c r="F11" s="18" t="s">
        <v>254</v>
      </c>
      <c r="G11" s="19">
        <v>45</v>
      </c>
      <c r="H11" s="19">
        <v>45</v>
      </c>
      <c r="I11" s="19">
        <f t="shared" si="0"/>
        <v>0</v>
      </c>
      <c r="J11" s="18" t="s">
        <v>597</v>
      </c>
      <c r="K11" s="18" t="s">
        <v>15</v>
      </c>
      <c r="L11" s="18" t="s">
        <v>598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619</v>
      </c>
      <c r="D12" s="18" t="s">
        <v>620</v>
      </c>
      <c r="E12" s="18" t="s">
        <v>621</v>
      </c>
      <c r="F12" s="19">
        <v>2</v>
      </c>
      <c r="G12" s="19">
        <v>850</v>
      </c>
      <c r="H12" s="19">
        <v>30</v>
      </c>
      <c r="I12" s="19">
        <f t="shared" si="0"/>
        <v>820</v>
      </c>
      <c r="J12" s="18" t="s">
        <v>15</v>
      </c>
      <c r="K12" s="18" t="s">
        <v>15</v>
      </c>
      <c r="L12" s="18" t="s">
        <v>598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622</v>
      </c>
      <c r="D13" s="18" t="s">
        <v>623</v>
      </c>
      <c r="E13" s="18" t="s">
        <v>624</v>
      </c>
      <c r="F13" s="18" t="s">
        <v>144</v>
      </c>
      <c r="G13" s="19">
        <v>1840</v>
      </c>
      <c r="H13" s="19">
        <v>30</v>
      </c>
      <c r="I13" s="19">
        <f t="shared" si="0"/>
        <v>1810</v>
      </c>
      <c r="J13" s="18" t="s">
        <v>15</v>
      </c>
      <c r="K13" s="18" t="s">
        <v>15</v>
      </c>
      <c r="L13" s="18" t="s">
        <v>598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625</v>
      </c>
      <c r="D14" s="18" t="s">
        <v>626</v>
      </c>
      <c r="E14" s="18" t="s">
        <v>627</v>
      </c>
      <c r="F14" s="18" t="s">
        <v>19</v>
      </c>
      <c r="G14" s="19">
        <v>815</v>
      </c>
      <c r="H14" s="19">
        <v>25</v>
      </c>
      <c r="I14" s="19">
        <f t="shared" si="0"/>
        <v>790</v>
      </c>
      <c r="J14" s="18" t="s">
        <v>15</v>
      </c>
      <c r="K14" s="18" t="s">
        <v>15</v>
      </c>
      <c r="L14" s="18" t="s">
        <v>598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628</v>
      </c>
      <c r="D15" s="18" t="s">
        <v>629</v>
      </c>
      <c r="E15" s="18" t="s">
        <v>630</v>
      </c>
      <c r="F15" s="18" t="s">
        <v>20</v>
      </c>
      <c r="G15" s="19">
        <v>815</v>
      </c>
      <c r="H15" s="19">
        <v>25</v>
      </c>
      <c r="I15" s="19">
        <f t="shared" si="0"/>
        <v>790</v>
      </c>
      <c r="J15" s="18" t="s">
        <v>15</v>
      </c>
      <c r="K15" s="18" t="s">
        <v>15</v>
      </c>
      <c r="L15" s="18" t="s">
        <v>598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631</v>
      </c>
      <c r="D16" s="18" t="s">
        <v>632</v>
      </c>
      <c r="E16" s="18" t="s">
        <v>633</v>
      </c>
      <c r="F16" s="19">
        <v>12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598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634</v>
      </c>
      <c r="D17" s="18" t="s">
        <v>635</v>
      </c>
      <c r="E17" s="18" t="s">
        <v>636</v>
      </c>
      <c r="F17" s="18" t="s">
        <v>144</v>
      </c>
      <c r="G17" s="19">
        <v>0</v>
      </c>
      <c r="H17" s="19">
        <v>30</v>
      </c>
      <c r="I17" s="19">
        <f>-H17</f>
        <v>-30</v>
      </c>
      <c r="J17" s="18" t="s">
        <v>15</v>
      </c>
      <c r="K17" s="18" t="s">
        <v>15</v>
      </c>
      <c r="L17" s="18" t="s">
        <v>598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637</v>
      </c>
      <c r="D18" s="18" t="s">
        <v>638</v>
      </c>
      <c r="E18" s="18" t="s">
        <v>639</v>
      </c>
      <c r="F18" s="18" t="s">
        <v>20</v>
      </c>
      <c r="G18" s="19">
        <v>695</v>
      </c>
      <c r="H18" s="19">
        <v>25</v>
      </c>
      <c r="I18" s="19">
        <f>G18-H18</f>
        <v>670</v>
      </c>
      <c r="J18" s="18" t="s">
        <v>15</v>
      </c>
      <c r="K18" s="18" t="s">
        <v>15</v>
      </c>
      <c r="L18" s="18" t="s">
        <v>598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640</v>
      </c>
      <c r="D19" s="18"/>
      <c r="E19" s="18" t="s">
        <v>641</v>
      </c>
      <c r="F19" s="18" t="s">
        <v>20</v>
      </c>
      <c r="G19" s="19">
        <v>4895</v>
      </c>
      <c r="H19" s="19">
        <v>35</v>
      </c>
      <c r="I19" s="19">
        <f>G19-H19</f>
        <v>4860</v>
      </c>
      <c r="J19" s="18" t="s">
        <v>15</v>
      </c>
      <c r="K19" s="18" t="s">
        <v>15</v>
      </c>
      <c r="L19" s="18" t="s">
        <v>598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642</v>
      </c>
      <c r="D20" s="18"/>
      <c r="E20" s="18" t="s">
        <v>643</v>
      </c>
      <c r="F20" s="19">
        <v>12</v>
      </c>
      <c r="G20" s="19">
        <v>0</v>
      </c>
      <c r="H20" s="19">
        <v>35</v>
      </c>
      <c r="I20" s="19">
        <f>-H20</f>
        <v>-35</v>
      </c>
      <c r="J20" s="18" t="s">
        <v>15</v>
      </c>
      <c r="K20" s="18" t="s">
        <v>15</v>
      </c>
      <c r="L20" s="18" t="s">
        <v>598</v>
      </c>
      <c r="M20" s="18"/>
      <c r="N20" s="18"/>
      <c r="O20" s="18"/>
      <c r="P20" s="18"/>
      <c r="Q20" s="18">
        <v>1</v>
      </c>
      <c r="R20" s="17">
        <f t="shared" ref="R20:R21" si="1">H20</f>
        <v>35</v>
      </c>
    </row>
    <row r="21" spans="1:18" customFormat="1" x14ac:dyDescent="0.25">
      <c r="A21" s="18" t="s">
        <v>96</v>
      </c>
      <c r="B21" s="18" t="s">
        <v>34</v>
      </c>
      <c r="C21" s="18" t="s">
        <v>644</v>
      </c>
      <c r="D21" s="18"/>
      <c r="E21" s="18" t="s">
        <v>422</v>
      </c>
      <c r="F21" s="19">
        <v>12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598</v>
      </c>
      <c r="M21" s="18"/>
      <c r="N21" s="18"/>
      <c r="O21" s="18"/>
      <c r="P21" s="18"/>
      <c r="Q21" s="18">
        <v>1</v>
      </c>
      <c r="R21" s="17">
        <f t="shared" si="1"/>
        <v>35</v>
      </c>
    </row>
    <row r="22" spans="1:18" customFormat="1" x14ac:dyDescent="0.25">
      <c r="A22" s="18"/>
      <c r="B22" s="18" t="s">
        <v>34</v>
      </c>
      <c r="C22" s="18" t="s">
        <v>645</v>
      </c>
      <c r="D22" s="18" t="s">
        <v>646</v>
      </c>
      <c r="E22" s="18" t="s">
        <v>647</v>
      </c>
      <c r="F22" s="19">
        <v>1</v>
      </c>
      <c r="G22" s="19">
        <v>745</v>
      </c>
      <c r="H22" s="19">
        <v>25</v>
      </c>
      <c r="I22" s="19">
        <f t="shared" ref="I22:I27" si="2">G22-H22</f>
        <v>720</v>
      </c>
      <c r="J22" s="18" t="s">
        <v>160</v>
      </c>
      <c r="K22" s="18" t="s">
        <v>15</v>
      </c>
      <c r="L22" s="18" t="s">
        <v>598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648</v>
      </c>
      <c r="D23" s="18" t="s">
        <v>649</v>
      </c>
      <c r="E23" s="18" t="s">
        <v>650</v>
      </c>
      <c r="F23" s="19">
        <v>3</v>
      </c>
      <c r="G23" s="19">
        <v>1025</v>
      </c>
      <c r="H23" s="19">
        <v>25</v>
      </c>
      <c r="I23" s="19">
        <f t="shared" si="2"/>
        <v>1000</v>
      </c>
      <c r="J23" s="18" t="s">
        <v>160</v>
      </c>
      <c r="K23" s="18" t="s">
        <v>15</v>
      </c>
      <c r="L23" s="18" t="s">
        <v>598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651</v>
      </c>
      <c r="D24" s="18" t="s">
        <v>652</v>
      </c>
      <c r="E24" s="18" t="s">
        <v>653</v>
      </c>
      <c r="F24" s="18" t="s">
        <v>18</v>
      </c>
      <c r="G24" s="19">
        <v>115</v>
      </c>
      <c r="H24" s="19">
        <v>25</v>
      </c>
      <c r="I24" s="19">
        <f t="shared" si="2"/>
        <v>90</v>
      </c>
      <c r="J24" s="18" t="s">
        <v>160</v>
      </c>
      <c r="K24" s="18" t="s">
        <v>15</v>
      </c>
      <c r="L24" s="18" t="s">
        <v>598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654</v>
      </c>
      <c r="D25" s="18" t="s">
        <v>655</v>
      </c>
      <c r="E25" s="18" t="s">
        <v>656</v>
      </c>
      <c r="F25" s="18" t="s">
        <v>18</v>
      </c>
      <c r="G25" s="19">
        <v>1325</v>
      </c>
      <c r="H25" s="19">
        <v>25</v>
      </c>
      <c r="I25" s="19">
        <f t="shared" si="2"/>
        <v>1300</v>
      </c>
      <c r="J25" s="18" t="s">
        <v>160</v>
      </c>
      <c r="K25" s="18" t="s">
        <v>15</v>
      </c>
      <c r="L25" s="18" t="s">
        <v>598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657</v>
      </c>
      <c r="D26" s="18" t="s">
        <v>658</v>
      </c>
      <c r="E26" s="18" t="s">
        <v>659</v>
      </c>
      <c r="F26" s="18" t="s">
        <v>18</v>
      </c>
      <c r="G26" s="19">
        <v>765</v>
      </c>
      <c r="H26" s="19">
        <v>25</v>
      </c>
      <c r="I26" s="19">
        <f t="shared" si="2"/>
        <v>740</v>
      </c>
      <c r="J26" s="18" t="s">
        <v>160</v>
      </c>
      <c r="K26" s="18" t="s">
        <v>15</v>
      </c>
      <c r="L26" s="18" t="s">
        <v>598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660</v>
      </c>
      <c r="D27" s="18"/>
      <c r="E27" s="18" t="s">
        <v>661</v>
      </c>
      <c r="F27" s="19">
        <v>5</v>
      </c>
      <c r="G27" s="19">
        <v>30</v>
      </c>
      <c r="H27" s="19">
        <v>30</v>
      </c>
      <c r="I27" s="19">
        <f t="shared" si="2"/>
        <v>0</v>
      </c>
      <c r="J27" s="18" t="s">
        <v>160</v>
      </c>
      <c r="K27" s="18" t="s">
        <v>15</v>
      </c>
      <c r="L27" s="18" t="s">
        <v>598</v>
      </c>
      <c r="M27" s="18"/>
      <c r="N27" s="18"/>
      <c r="O27" s="18"/>
      <c r="P27" s="18"/>
      <c r="Q27" s="18">
        <v>1</v>
      </c>
    </row>
    <row r="29" spans="1:18" x14ac:dyDescent="0.25">
      <c r="G29" s="1">
        <f t="shared" ref="G29:R29" si="3">SUBTOTAL(9,G3:G28)</f>
        <v>22490</v>
      </c>
      <c r="H29" s="1">
        <f t="shared" si="3"/>
        <v>735</v>
      </c>
      <c r="I29" s="1">
        <f t="shared" si="3"/>
        <v>21755</v>
      </c>
      <c r="J29" s="1">
        <f t="shared" si="3"/>
        <v>0</v>
      </c>
      <c r="K29" s="1">
        <f t="shared" si="3"/>
        <v>0</v>
      </c>
      <c r="L29" s="1">
        <f t="shared" si="3"/>
        <v>0</v>
      </c>
      <c r="M29" s="1">
        <f t="shared" si="3"/>
        <v>0</v>
      </c>
      <c r="N29" s="1">
        <f t="shared" si="3"/>
        <v>0</v>
      </c>
      <c r="O29" s="1">
        <f t="shared" si="3"/>
        <v>0</v>
      </c>
      <c r="P29" s="1">
        <f t="shared" si="3"/>
        <v>0</v>
      </c>
      <c r="Q29" s="1">
        <f t="shared" si="3"/>
        <v>25</v>
      </c>
      <c r="R29" s="1">
        <f t="shared" si="3"/>
        <v>165</v>
      </c>
    </row>
    <row r="30" spans="1:18" x14ac:dyDescent="0.25">
      <c r="I30" s="1">
        <v>-1715</v>
      </c>
      <c r="J30" s="1" t="s">
        <v>663</v>
      </c>
    </row>
    <row r="31" spans="1:18" x14ac:dyDescent="0.25">
      <c r="I31" s="1">
        <v>-70</v>
      </c>
      <c r="J31" s="1" t="s">
        <v>666</v>
      </c>
    </row>
    <row r="32" spans="1:18" x14ac:dyDescent="0.25">
      <c r="I32" s="1">
        <v>2390</v>
      </c>
      <c r="J32" s="1" t="s">
        <v>667</v>
      </c>
    </row>
    <row r="33" spans="1:18" ht="20.25" customHeight="1" x14ac:dyDescent="0.3">
      <c r="H33" s="4" t="s">
        <v>593</v>
      </c>
      <c r="I33" s="5" t="s">
        <v>21</v>
      </c>
      <c r="J33" s="6" t="s">
        <v>22</v>
      </c>
    </row>
    <row r="34" spans="1:18" ht="15.75" customHeight="1" x14ac:dyDescent="0.25">
      <c r="H34" s="7" t="s">
        <v>23</v>
      </c>
      <c r="I34" s="8">
        <f>SUM(I28:I32)</f>
        <v>22360</v>
      </c>
      <c r="J34" s="8">
        <f>Q29</f>
        <v>25</v>
      </c>
    </row>
    <row r="35" spans="1:18" x14ac:dyDescent="0.25">
      <c r="H35" s="9" t="s">
        <v>24</v>
      </c>
      <c r="I35" s="10">
        <f>R29</f>
        <v>165</v>
      </c>
      <c r="J35" s="11"/>
    </row>
    <row r="36" spans="1:18" x14ac:dyDescent="0.25">
      <c r="H36" s="9" t="s">
        <v>25</v>
      </c>
      <c r="I36" s="10">
        <f>S28</f>
        <v>0</v>
      </c>
      <c r="J36" s="11"/>
    </row>
    <row r="37" spans="1:18" x14ac:dyDescent="0.25">
      <c r="H37" s="9" t="s">
        <v>26</v>
      </c>
      <c r="I37" s="10">
        <f>T28</f>
        <v>0</v>
      </c>
      <c r="J37" s="11"/>
    </row>
    <row r="38" spans="1:18" x14ac:dyDescent="0.25">
      <c r="H38" s="9" t="s">
        <v>27</v>
      </c>
      <c r="I38" s="10">
        <f>U28</f>
        <v>0</v>
      </c>
      <c r="J38" s="11"/>
    </row>
    <row r="39" spans="1:18" ht="15.75" customHeight="1" x14ac:dyDescent="0.25">
      <c r="H39" s="12" t="s">
        <v>28</v>
      </c>
      <c r="I39" s="13"/>
      <c r="J39" s="13"/>
    </row>
    <row r="40" spans="1:18" ht="15.75" customHeight="1" x14ac:dyDescent="0.25">
      <c r="H40" s="14" t="s">
        <v>29</v>
      </c>
      <c r="I40" s="13"/>
      <c r="J40" s="13"/>
    </row>
    <row r="41" spans="1:18" ht="21" customHeight="1" x14ac:dyDescent="0.35">
      <c r="H41" s="15" t="s">
        <v>30</v>
      </c>
      <c r="I41" s="16">
        <f>SUM(I34:I40)</f>
        <v>22525</v>
      </c>
      <c r="J41" s="16">
        <f>SUM(J34:J38)</f>
        <v>25</v>
      </c>
    </row>
    <row r="44" spans="1:18" x14ac:dyDescent="0.25">
      <c r="A44" s="1" t="s">
        <v>663</v>
      </c>
    </row>
    <row r="45" spans="1:18" s="23" customFormat="1" x14ac:dyDescent="0.25">
      <c r="A45" s="24" t="s">
        <v>34</v>
      </c>
      <c r="B45" s="24" t="s">
        <v>566</v>
      </c>
      <c r="C45" s="24" t="s">
        <v>567</v>
      </c>
      <c r="D45" s="24" t="s">
        <v>568</v>
      </c>
      <c r="E45" s="24">
        <v>2</v>
      </c>
      <c r="F45" s="25">
        <v>1020</v>
      </c>
      <c r="G45" s="25">
        <v>0</v>
      </c>
      <c r="H45" s="25">
        <v>1020</v>
      </c>
      <c r="I45" s="24" t="s">
        <v>662</v>
      </c>
      <c r="J45" s="24" t="s">
        <v>15</v>
      </c>
      <c r="K45" s="24" t="s">
        <v>447</v>
      </c>
      <c r="L45" s="26" t="s">
        <v>665</v>
      </c>
    </row>
    <row r="46" spans="1:18" s="23" customFormat="1" x14ac:dyDescent="0.25">
      <c r="A46" s="24" t="s">
        <v>34</v>
      </c>
      <c r="B46" s="24" t="s">
        <v>228</v>
      </c>
      <c r="C46" s="24" t="s">
        <v>229</v>
      </c>
      <c r="D46" s="24" t="s">
        <v>230</v>
      </c>
      <c r="E46" s="24" t="s">
        <v>123</v>
      </c>
      <c r="F46" s="25">
        <v>695</v>
      </c>
      <c r="G46" s="25">
        <v>0</v>
      </c>
      <c r="H46" s="25">
        <v>695</v>
      </c>
      <c r="I46" s="24" t="s">
        <v>662</v>
      </c>
      <c r="J46" s="24" t="s">
        <v>15</v>
      </c>
      <c r="K46" s="24" t="s">
        <v>177</v>
      </c>
      <c r="L46" s="26" t="s">
        <v>664</v>
      </c>
    </row>
    <row r="47" spans="1:18" x14ac:dyDescent="0.25">
      <c r="A47" s="1" t="s">
        <v>667</v>
      </c>
    </row>
    <row r="48" spans="1:18" customFormat="1" x14ac:dyDescent="0.25">
      <c r="A48" s="24" t="s">
        <v>34</v>
      </c>
      <c r="B48" s="24" t="s">
        <v>444</v>
      </c>
      <c r="C48" s="24" t="s">
        <v>445</v>
      </c>
      <c r="D48" s="24" t="s">
        <v>446</v>
      </c>
      <c r="E48" s="24" t="s">
        <v>18</v>
      </c>
      <c r="F48" s="25">
        <v>2390</v>
      </c>
      <c r="G48" s="25">
        <v>0</v>
      </c>
      <c r="H48" s="25">
        <f t="shared" ref="H48" si="4">F48-G48</f>
        <v>2390</v>
      </c>
      <c r="I48" s="24" t="s">
        <v>15</v>
      </c>
      <c r="J48" s="24" t="s">
        <v>15</v>
      </c>
      <c r="K48" s="24" t="s">
        <v>447</v>
      </c>
      <c r="L48" s="34"/>
      <c r="M48" s="1"/>
      <c r="Q48" s="17"/>
      <c r="R48" s="17"/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297B9-F2E8-4DF4-9FB4-E70914D177FE}">
  <dimension ref="A1:R63"/>
  <sheetViews>
    <sheetView topLeftCell="A37" workbookViewId="0">
      <selection activeCell="A62" sqref="A62:XFD63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7" x14ac:dyDescent="0.25">
      <c r="B1" s="1" t="s">
        <v>31</v>
      </c>
      <c r="C1" s="1" t="s">
        <v>792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8"/>
      <c r="B3" s="18" t="s">
        <v>34</v>
      </c>
      <c r="C3" s="18" t="s">
        <v>669</v>
      </c>
      <c r="D3" s="18" t="s">
        <v>670</v>
      </c>
      <c r="E3" s="18" t="s">
        <v>671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56</v>
      </c>
      <c r="K3" s="18" t="s">
        <v>15</v>
      </c>
      <c r="L3" s="18" t="s">
        <v>672</v>
      </c>
      <c r="M3" s="18"/>
      <c r="N3" s="18"/>
      <c r="O3" s="18"/>
      <c r="P3" s="18"/>
      <c r="Q3" s="18">
        <v>1</v>
      </c>
    </row>
    <row r="4" spans="1:17" s="22" customFormat="1" x14ac:dyDescent="0.25">
      <c r="A4" s="20"/>
      <c r="B4" s="20" t="s">
        <v>34</v>
      </c>
      <c r="C4" s="20" t="s">
        <v>174</v>
      </c>
      <c r="D4" s="20" t="s">
        <v>673</v>
      </c>
      <c r="E4" s="20" t="s">
        <v>176</v>
      </c>
      <c r="F4" s="21">
        <v>9</v>
      </c>
      <c r="G4" s="21">
        <v>30</v>
      </c>
      <c r="H4" s="21">
        <v>30</v>
      </c>
      <c r="I4" s="21">
        <f t="shared" si="0"/>
        <v>0</v>
      </c>
      <c r="J4" s="20" t="s">
        <v>56</v>
      </c>
      <c r="K4" s="20" t="s">
        <v>15</v>
      </c>
      <c r="L4" s="20" t="s">
        <v>672</v>
      </c>
      <c r="M4" s="20" t="s">
        <v>16</v>
      </c>
      <c r="N4" s="20"/>
      <c r="O4" s="20"/>
      <c r="P4" s="20"/>
      <c r="Q4" s="20">
        <v>1</v>
      </c>
    </row>
    <row r="5" spans="1:17" customFormat="1" x14ac:dyDescent="0.25">
      <c r="A5" s="18" t="s">
        <v>96</v>
      </c>
      <c r="B5" s="18" t="s">
        <v>34</v>
      </c>
      <c r="C5" s="18" t="s">
        <v>674</v>
      </c>
      <c r="D5" s="18"/>
      <c r="E5" s="18" t="s">
        <v>675</v>
      </c>
      <c r="F5" s="18" t="s">
        <v>254</v>
      </c>
      <c r="G5" s="19">
        <v>3660</v>
      </c>
      <c r="H5" s="19">
        <v>40</v>
      </c>
      <c r="I5" s="19">
        <f t="shared" si="0"/>
        <v>3620</v>
      </c>
      <c r="J5" s="18" t="s">
        <v>676</v>
      </c>
      <c r="K5" s="18" t="s">
        <v>15</v>
      </c>
      <c r="L5" s="18" t="s">
        <v>672</v>
      </c>
      <c r="M5" s="18"/>
      <c r="N5" s="18"/>
      <c r="O5" s="18"/>
      <c r="P5" s="18"/>
      <c r="Q5" s="18">
        <v>1</v>
      </c>
    </row>
    <row r="6" spans="1:17" customFormat="1" x14ac:dyDescent="0.25">
      <c r="A6" s="18"/>
      <c r="B6" s="18" t="s">
        <v>34</v>
      </c>
      <c r="C6" s="18" t="s">
        <v>677</v>
      </c>
      <c r="D6" s="18" t="s">
        <v>678</v>
      </c>
      <c r="E6" s="18" t="s">
        <v>679</v>
      </c>
      <c r="F6" s="18" t="s">
        <v>108</v>
      </c>
      <c r="G6" s="19">
        <v>475</v>
      </c>
      <c r="H6" s="19">
        <v>35</v>
      </c>
      <c r="I6" s="19">
        <f t="shared" si="0"/>
        <v>440</v>
      </c>
      <c r="J6" s="18" t="s">
        <v>676</v>
      </c>
      <c r="K6" s="18" t="s">
        <v>15</v>
      </c>
      <c r="L6" s="18" t="s">
        <v>672</v>
      </c>
      <c r="M6" s="18"/>
      <c r="N6" s="18"/>
      <c r="O6" s="18"/>
      <c r="P6" s="18"/>
      <c r="Q6" s="18">
        <v>1</v>
      </c>
    </row>
    <row r="7" spans="1:17" customFormat="1" x14ac:dyDescent="0.25">
      <c r="A7" s="18"/>
      <c r="B7" s="18" t="s">
        <v>34</v>
      </c>
      <c r="C7" s="18" t="s">
        <v>680</v>
      </c>
      <c r="D7" s="18" t="s">
        <v>681</v>
      </c>
      <c r="E7" s="18" t="s">
        <v>682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676</v>
      </c>
      <c r="K7" s="18" t="s">
        <v>15</v>
      </c>
      <c r="L7" s="18" t="s">
        <v>672</v>
      </c>
      <c r="M7" s="18"/>
      <c r="N7" s="18"/>
      <c r="O7" s="18"/>
      <c r="P7" s="18"/>
      <c r="Q7" s="18">
        <v>1</v>
      </c>
    </row>
    <row r="8" spans="1:17" customFormat="1" x14ac:dyDescent="0.25">
      <c r="A8" s="18"/>
      <c r="B8" s="18" t="s">
        <v>34</v>
      </c>
      <c r="C8" s="18" t="s">
        <v>683</v>
      </c>
      <c r="D8" s="18" t="s">
        <v>684</v>
      </c>
      <c r="E8" s="18" t="s">
        <v>685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676</v>
      </c>
      <c r="K8" s="18" t="s">
        <v>15</v>
      </c>
      <c r="L8" s="18" t="s">
        <v>672</v>
      </c>
      <c r="M8" s="18"/>
      <c r="N8" s="18"/>
      <c r="O8" s="18"/>
      <c r="P8" s="18"/>
      <c r="Q8" s="18">
        <v>1</v>
      </c>
    </row>
    <row r="9" spans="1:17" customFormat="1" x14ac:dyDescent="0.25">
      <c r="A9" s="18"/>
      <c r="B9" s="18" t="s">
        <v>34</v>
      </c>
      <c r="C9" s="18" t="s">
        <v>191</v>
      </c>
      <c r="D9" s="18" t="s">
        <v>686</v>
      </c>
      <c r="E9" s="18" t="s">
        <v>687</v>
      </c>
      <c r="F9" s="18" t="s">
        <v>20</v>
      </c>
      <c r="G9" s="19">
        <v>0</v>
      </c>
      <c r="H9" s="19">
        <v>25</v>
      </c>
      <c r="I9" s="19">
        <f>-H9</f>
        <v>-25</v>
      </c>
      <c r="J9" s="18" t="s">
        <v>676</v>
      </c>
      <c r="K9" s="18" t="s">
        <v>15</v>
      </c>
      <c r="L9" s="18" t="s">
        <v>672</v>
      </c>
      <c r="M9" s="18"/>
      <c r="N9" s="18"/>
      <c r="O9" s="18"/>
      <c r="P9" s="18"/>
      <c r="Q9" s="18">
        <v>1</v>
      </c>
    </row>
    <row r="10" spans="1:17" customFormat="1" x14ac:dyDescent="0.25">
      <c r="A10" s="18"/>
      <c r="B10" s="18" t="s">
        <v>34</v>
      </c>
      <c r="C10" s="18" t="s">
        <v>688</v>
      </c>
      <c r="D10" s="18" t="s">
        <v>689</v>
      </c>
      <c r="E10" s="18" t="s">
        <v>690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676</v>
      </c>
      <c r="K10" s="18" t="s">
        <v>15</v>
      </c>
      <c r="L10" s="18" t="s">
        <v>672</v>
      </c>
      <c r="M10" s="18"/>
      <c r="N10" s="18"/>
      <c r="O10" s="18"/>
      <c r="P10" s="18"/>
      <c r="Q10" s="18">
        <v>1</v>
      </c>
    </row>
    <row r="11" spans="1:17" customFormat="1" x14ac:dyDescent="0.25">
      <c r="A11" s="18"/>
      <c r="B11" s="18" t="s">
        <v>34</v>
      </c>
      <c r="C11" s="18" t="s">
        <v>691</v>
      </c>
      <c r="D11" s="18" t="s">
        <v>692</v>
      </c>
      <c r="E11" s="18" t="s">
        <v>693</v>
      </c>
      <c r="F11" s="18" t="s">
        <v>38</v>
      </c>
      <c r="G11" s="19">
        <v>1170</v>
      </c>
      <c r="H11" s="19">
        <v>30</v>
      </c>
      <c r="I11" s="19">
        <f>G11-H11</f>
        <v>1140</v>
      </c>
      <c r="J11" s="18" t="s">
        <v>676</v>
      </c>
      <c r="K11" s="18" t="s">
        <v>15</v>
      </c>
      <c r="L11" s="18" t="s">
        <v>672</v>
      </c>
      <c r="M11" s="18"/>
      <c r="N11" s="18"/>
      <c r="O11" s="18"/>
      <c r="P11" s="18"/>
      <c r="Q11" s="18">
        <v>1</v>
      </c>
    </row>
    <row r="12" spans="1:17" customFormat="1" x14ac:dyDescent="0.25">
      <c r="A12" s="18"/>
      <c r="B12" s="18" t="s">
        <v>34</v>
      </c>
      <c r="C12" s="18" t="s">
        <v>694</v>
      </c>
      <c r="D12" s="18" t="s">
        <v>695</v>
      </c>
      <c r="E12" s="18" t="s">
        <v>696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676</v>
      </c>
      <c r="K12" s="18" t="s">
        <v>15</v>
      </c>
      <c r="L12" s="18" t="s">
        <v>672</v>
      </c>
      <c r="M12" s="18"/>
      <c r="N12" s="18"/>
      <c r="O12" s="18"/>
      <c r="P12" s="18"/>
      <c r="Q12" s="18">
        <v>1</v>
      </c>
    </row>
    <row r="13" spans="1:17" customFormat="1" x14ac:dyDescent="0.25">
      <c r="A13" s="18"/>
      <c r="B13" s="18" t="s">
        <v>34</v>
      </c>
      <c r="C13" s="18" t="s">
        <v>228</v>
      </c>
      <c r="D13" s="18" t="s">
        <v>697</v>
      </c>
      <c r="E13" s="18" t="s">
        <v>698</v>
      </c>
      <c r="F13" s="18" t="s">
        <v>254</v>
      </c>
      <c r="G13" s="19">
        <v>785</v>
      </c>
      <c r="H13" s="19">
        <v>35</v>
      </c>
      <c r="I13" s="19">
        <f>G13-H13</f>
        <v>750</v>
      </c>
      <c r="J13" s="18" t="s">
        <v>676</v>
      </c>
      <c r="K13" s="18" t="s">
        <v>15</v>
      </c>
      <c r="L13" s="18" t="s">
        <v>672</v>
      </c>
      <c r="M13" s="18"/>
      <c r="N13" s="18"/>
      <c r="O13" s="18"/>
      <c r="P13" s="18"/>
      <c r="Q13" s="18">
        <v>1</v>
      </c>
    </row>
    <row r="14" spans="1:17" customFormat="1" x14ac:dyDescent="0.25">
      <c r="A14" s="18"/>
      <c r="B14" s="18" t="s">
        <v>34</v>
      </c>
      <c r="C14" s="18" t="s">
        <v>699</v>
      </c>
      <c r="D14" s="18" t="s">
        <v>700</v>
      </c>
      <c r="E14" s="18" t="s">
        <v>701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676</v>
      </c>
      <c r="K14" s="18" t="s">
        <v>15</v>
      </c>
      <c r="L14" s="18" t="s">
        <v>672</v>
      </c>
      <c r="M14" s="18"/>
      <c r="N14" s="18"/>
      <c r="O14" s="18"/>
      <c r="P14" s="18"/>
      <c r="Q14" s="18">
        <v>1</v>
      </c>
    </row>
    <row r="15" spans="1:17" customFormat="1" x14ac:dyDescent="0.25">
      <c r="A15" s="18"/>
      <c r="B15" s="18" t="s">
        <v>34</v>
      </c>
      <c r="C15" s="18" t="s">
        <v>702</v>
      </c>
      <c r="D15" s="18" t="s">
        <v>703</v>
      </c>
      <c r="E15" s="18" t="s">
        <v>704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676</v>
      </c>
      <c r="K15" s="18" t="s">
        <v>15</v>
      </c>
      <c r="L15" s="18" t="s">
        <v>672</v>
      </c>
      <c r="M15" s="18"/>
      <c r="N15" s="18"/>
      <c r="O15" s="18"/>
      <c r="P15" s="18"/>
      <c r="Q15" s="18">
        <v>1</v>
      </c>
    </row>
    <row r="16" spans="1:17" customFormat="1" x14ac:dyDescent="0.25">
      <c r="A16" s="18"/>
      <c r="B16" s="18" t="s">
        <v>34</v>
      </c>
      <c r="C16" s="18" t="s">
        <v>705</v>
      </c>
      <c r="D16" s="18" t="s">
        <v>706</v>
      </c>
      <c r="E16" s="18" t="s">
        <v>707</v>
      </c>
      <c r="F16" s="18" t="s">
        <v>212</v>
      </c>
      <c r="G16" s="19">
        <v>725</v>
      </c>
      <c r="H16" s="19">
        <v>25</v>
      </c>
      <c r="I16" s="19">
        <f t="shared" si="1"/>
        <v>700</v>
      </c>
      <c r="J16" s="18" t="s">
        <v>676</v>
      </c>
      <c r="K16" s="18" t="s">
        <v>15</v>
      </c>
      <c r="L16" s="18" t="s">
        <v>672</v>
      </c>
      <c r="M16" s="18"/>
      <c r="N16" s="18"/>
      <c r="O16" s="18"/>
      <c r="P16" s="18"/>
      <c r="Q16" s="18">
        <v>1</v>
      </c>
    </row>
    <row r="17" spans="1:17" customFormat="1" x14ac:dyDescent="0.25">
      <c r="A17" s="18"/>
      <c r="B17" s="18" t="s">
        <v>34</v>
      </c>
      <c r="C17" s="18" t="s">
        <v>708</v>
      </c>
      <c r="D17" s="18" t="s">
        <v>709</v>
      </c>
      <c r="E17" s="18" t="s">
        <v>710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676</v>
      </c>
      <c r="K17" s="18" t="s">
        <v>15</v>
      </c>
      <c r="L17" s="18" t="s">
        <v>672</v>
      </c>
      <c r="M17" s="18"/>
      <c r="N17" s="18"/>
      <c r="O17" s="18"/>
      <c r="P17" s="18"/>
      <c r="Q17" s="18">
        <v>1</v>
      </c>
    </row>
    <row r="18" spans="1:17" customFormat="1" x14ac:dyDescent="0.25">
      <c r="A18" s="18"/>
      <c r="B18" s="18" t="s">
        <v>34</v>
      </c>
      <c r="C18" s="18" t="s">
        <v>711</v>
      </c>
      <c r="D18" s="18" t="s">
        <v>712</v>
      </c>
      <c r="E18" s="18" t="s">
        <v>713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676</v>
      </c>
      <c r="K18" s="18" t="s">
        <v>15</v>
      </c>
      <c r="L18" s="18" t="s">
        <v>672</v>
      </c>
      <c r="M18" s="18"/>
      <c r="N18" s="18"/>
      <c r="O18" s="18"/>
      <c r="P18" s="18"/>
      <c r="Q18" s="18">
        <v>1</v>
      </c>
    </row>
    <row r="19" spans="1:17" customFormat="1" x14ac:dyDescent="0.25">
      <c r="A19" s="18"/>
      <c r="B19" s="18" t="s">
        <v>34</v>
      </c>
      <c r="C19" s="18" t="s">
        <v>516</v>
      </c>
      <c r="D19" s="18" t="s">
        <v>714</v>
      </c>
      <c r="E19" s="18" t="s">
        <v>518</v>
      </c>
      <c r="F19" s="18" t="s">
        <v>38</v>
      </c>
      <c r="G19" s="19">
        <v>2010</v>
      </c>
      <c r="H19" s="19">
        <v>30</v>
      </c>
      <c r="I19" s="19">
        <f t="shared" si="1"/>
        <v>1980</v>
      </c>
      <c r="J19" s="18" t="s">
        <v>676</v>
      </c>
      <c r="K19" s="18" t="s">
        <v>15</v>
      </c>
      <c r="L19" s="18" t="s">
        <v>672</v>
      </c>
      <c r="M19" s="18"/>
      <c r="N19" s="18"/>
      <c r="O19" s="18"/>
      <c r="P19" s="18"/>
      <c r="Q19" s="18">
        <v>1</v>
      </c>
    </row>
    <row r="20" spans="1:17" customFormat="1" x14ac:dyDescent="0.25">
      <c r="A20" s="18"/>
      <c r="B20" s="18" t="s">
        <v>34</v>
      </c>
      <c r="C20" s="18" t="s">
        <v>715</v>
      </c>
      <c r="D20" s="18" t="s">
        <v>716</v>
      </c>
      <c r="E20" s="18" t="s">
        <v>717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676</v>
      </c>
      <c r="K20" s="18" t="s">
        <v>15</v>
      </c>
      <c r="L20" s="18" t="s">
        <v>672</v>
      </c>
      <c r="M20" s="18"/>
      <c r="N20" s="18"/>
      <c r="O20" s="18"/>
      <c r="P20" s="18"/>
      <c r="Q20" s="18">
        <v>1</v>
      </c>
    </row>
    <row r="21" spans="1:17" customFormat="1" x14ac:dyDescent="0.25">
      <c r="A21" s="18" t="s">
        <v>96</v>
      </c>
      <c r="B21" s="18" t="s">
        <v>34</v>
      </c>
      <c r="C21" s="18" t="s">
        <v>718</v>
      </c>
      <c r="D21" s="18"/>
      <c r="E21" s="18" t="s">
        <v>719</v>
      </c>
      <c r="F21" s="18" t="s">
        <v>144</v>
      </c>
      <c r="G21" s="19">
        <v>0</v>
      </c>
      <c r="H21" s="19">
        <v>35</v>
      </c>
      <c r="I21" s="19">
        <f>-H21</f>
        <v>-35</v>
      </c>
      <c r="J21" s="18" t="s">
        <v>15</v>
      </c>
      <c r="K21" s="18" t="s">
        <v>15</v>
      </c>
      <c r="L21" s="18" t="s">
        <v>672</v>
      </c>
      <c r="M21" s="18"/>
      <c r="N21" s="18"/>
      <c r="O21" s="18"/>
      <c r="P21" s="18"/>
      <c r="Q21" s="18">
        <v>1</v>
      </c>
    </row>
    <row r="22" spans="1:17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>G22-H22</f>
        <v>0</v>
      </c>
      <c r="J22" s="18" t="s">
        <v>15</v>
      </c>
      <c r="K22" s="18" t="s">
        <v>15</v>
      </c>
      <c r="L22" s="18" t="s">
        <v>672</v>
      </c>
      <c r="M22" s="18"/>
      <c r="N22" s="18"/>
      <c r="O22" s="18"/>
      <c r="P22" s="18"/>
      <c r="Q22" s="18">
        <v>1</v>
      </c>
    </row>
    <row r="23" spans="1:17" customFormat="1" x14ac:dyDescent="0.25">
      <c r="A23" s="18"/>
      <c r="B23" s="18" t="s">
        <v>34</v>
      </c>
      <c r="C23" s="18" t="s">
        <v>720</v>
      </c>
      <c r="D23" s="18" t="s">
        <v>721</v>
      </c>
      <c r="E23" s="18" t="s">
        <v>722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15</v>
      </c>
      <c r="K23" s="18" t="s">
        <v>15</v>
      </c>
      <c r="L23" s="18" t="s">
        <v>672</v>
      </c>
      <c r="M23" s="18"/>
      <c r="N23" s="18"/>
      <c r="O23" s="18"/>
      <c r="P23" s="18"/>
      <c r="Q23" s="18">
        <v>1</v>
      </c>
    </row>
    <row r="24" spans="1:17" customFormat="1" x14ac:dyDescent="0.25">
      <c r="A24" s="18"/>
      <c r="B24" s="18" t="s">
        <v>34</v>
      </c>
      <c r="C24" s="18" t="s">
        <v>148</v>
      </c>
      <c r="D24" s="18" t="s">
        <v>723</v>
      </c>
      <c r="E24" s="18" t="s">
        <v>150</v>
      </c>
      <c r="F24" s="18" t="s">
        <v>19</v>
      </c>
      <c r="G24" s="19">
        <v>0</v>
      </c>
      <c r="H24" s="19">
        <v>20</v>
      </c>
      <c r="I24" s="19">
        <f>-H24</f>
        <v>-20</v>
      </c>
      <c r="J24" s="18" t="s">
        <v>15</v>
      </c>
      <c r="K24" s="18" t="s">
        <v>15</v>
      </c>
      <c r="L24" s="18" t="s">
        <v>672</v>
      </c>
      <c r="M24" s="18"/>
      <c r="N24" s="18"/>
      <c r="O24" s="18"/>
      <c r="P24" s="18"/>
      <c r="Q24" s="18">
        <v>1</v>
      </c>
    </row>
    <row r="25" spans="1:17" customFormat="1" x14ac:dyDescent="0.25">
      <c r="A25" s="18"/>
      <c r="B25" s="18" t="s">
        <v>34</v>
      </c>
      <c r="C25" s="18" t="s">
        <v>724</v>
      </c>
      <c r="D25" s="18" t="s">
        <v>725</v>
      </c>
      <c r="E25" s="18" t="s">
        <v>726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672</v>
      </c>
      <c r="M25" s="18"/>
      <c r="N25" s="18"/>
      <c r="O25" s="18"/>
      <c r="P25" s="18"/>
      <c r="Q25" s="18">
        <v>1</v>
      </c>
    </row>
    <row r="26" spans="1:17" customFormat="1" x14ac:dyDescent="0.25">
      <c r="A26" s="18"/>
      <c r="B26" s="18" t="s">
        <v>34</v>
      </c>
      <c r="C26" s="18" t="s">
        <v>727</v>
      </c>
      <c r="D26" s="18" t="s">
        <v>728</v>
      </c>
      <c r="E26" s="18" t="s">
        <v>729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15</v>
      </c>
      <c r="K26" s="18" t="s">
        <v>15</v>
      </c>
      <c r="L26" s="18" t="s">
        <v>672</v>
      </c>
      <c r="M26" s="18"/>
      <c r="N26" s="18"/>
      <c r="O26" s="18"/>
      <c r="P26" s="18"/>
      <c r="Q26" s="18">
        <v>1</v>
      </c>
    </row>
    <row r="27" spans="1:17" customFormat="1" x14ac:dyDescent="0.25">
      <c r="A27" s="18"/>
      <c r="B27" s="18" t="s">
        <v>34</v>
      </c>
      <c r="C27" s="18" t="s">
        <v>730</v>
      </c>
      <c r="D27" s="18" t="s">
        <v>731</v>
      </c>
      <c r="E27" s="18" t="s">
        <v>732</v>
      </c>
      <c r="F27" s="18" t="s">
        <v>19</v>
      </c>
      <c r="G27" s="19">
        <v>460</v>
      </c>
      <c r="H27" s="19">
        <v>20</v>
      </c>
      <c r="I27" s="19">
        <f>G27-H27</f>
        <v>440</v>
      </c>
      <c r="J27" s="18" t="s">
        <v>15</v>
      </c>
      <c r="K27" s="18" t="s">
        <v>15</v>
      </c>
      <c r="L27" s="18" t="s">
        <v>672</v>
      </c>
      <c r="M27" s="18"/>
      <c r="N27" s="18"/>
      <c r="O27" s="18"/>
      <c r="P27" s="18"/>
      <c r="Q27" s="18">
        <v>1</v>
      </c>
    </row>
    <row r="28" spans="1:17" customFormat="1" x14ac:dyDescent="0.25">
      <c r="A28" s="18"/>
      <c r="B28" s="18" t="s">
        <v>34</v>
      </c>
      <c r="C28" s="18" t="s">
        <v>733</v>
      </c>
      <c r="D28" s="18" t="s">
        <v>734</v>
      </c>
      <c r="E28" s="18" t="s">
        <v>735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15</v>
      </c>
      <c r="K28" s="18" t="s">
        <v>15</v>
      </c>
      <c r="L28" s="18" t="s">
        <v>672</v>
      </c>
      <c r="M28" s="18"/>
      <c r="N28" s="18"/>
      <c r="O28" s="18"/>
      <c r="P28" s="18"/>
      <c r="Q28" s="18">
        <v>1</v>
      </c>
    </row>
    <row r="29" spans="1:17" customFormat="1" x14ac:dyDescent="0.25">
      <c r="A29" s="18"/>
      <c r="B29" s="18" t="s">
        <v>34</v>
      </c>
      <c r="C29" s="18" t="s">
        <v>736</v>
      </c>
      <c r="D29" s="18" t="s">
        <v>737</v>
      </c>
      <c r="E29" s="18" t="s">
        <v>738</v>
      </c>
      <c r="F29" s="18" t="s">
        <v>20</v>
      </c>
      <c r="G29" s="19">
        <v>1115</v>
      </c>
      <c r="H29" s="19">
        <v>25</v>
      </c>
      <c r="I29" s="19">
        <f>G29-H29</f>
        <v>1090</v>
      </c>
      <c r="J29" s="18" t="s">
        <v>15</v>
      </c>
      <c r="K29" s="18" t="s">
        <v>15</v>
      </c>
      <c r="L29" s="18" t="s">
        <v>672</v>
      </c>
      <c r="M29" s="18"/>
      <c r="N29" s="18"/>
      <c r="O29" s="18"/>
      <c r="P29" s="18"/>
      <c r="Q29" s="18">
        <v>1</v>
      </c>
    </row>
    <row r="30" spans="1:17" customFormat="1" x14ac:dyDescent="0.25">
      <c r="A30" s="18"/>
      <c r="B30" s="18" t="s">
        <v>34</v>
      </c>
      <c r="C30" s="18" t="s">
        <v>739</v>
      </c>
      <c r="D30" s="18" t="s">
        <v>740</v>
      </c>
      <c r="E30" s="18" t="s">
        <v>741</v>
      </c>
      <c r="F30" s="18" t="s">
        <v>144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672</v>
      </c>
      <c r="M30" s="18"/>
      <c r="N30" s="18"/>
      <c r="O30" s="18"/>
      <c r="P30" s="18"/>
      <c r="Q30" s="18">
        <v>1</v>
      </c>
    </row>
    <row r="31" spans="1:17" customFormat="1" x14ac:dyDescent="0.25">
      <c r="A31" s="18"/>
      <c r="B31" s="18" t="s">
        <v>34</v>
      </c>
      <c r="C31" s="18" t="s">
        <v>742</v>
      </c>
      <c r="D31" s="18" t="s">
        <v>743</v>
      </c>
      <c r="E31" s="18" t="s">
        <v>744</v>
      </c>
      <c r="F31" s="18" t="s">
        <v>144</v>
      </c>
      <c r="G31" s="19">
        <v>820</v>
      </c>
      <c r="H31" s="19">
        <v>30</v>
      </c>
      <c r="I31" s="19">
        <f>G31-H31</f>
        <v>790</v>
      </c>
      <c r="J31" s="18" t="s">
        <v>15</v>
      </c>
      <c r="K31" s="18" t="s">
        <v>15</v>
      </c>
      <c r="L31" s="18" t="s">
        <v>672</v>
      </c>
      <c r="M31" s="18"/>
      <c r="N31" s="18"/>
      <c r="O31" s="18"/>
      <c r="P31" s="18"/>
      <c r="Q31" s="18">
        <v>1</v>
      </c>
    </row>
    <row r="32" spans="1:17" customFormat="1" x14ac:dyDescent="0.25">
      <c r="A32" s="18"/>
      <c r="B32" s="18" t="s">
        <v>34</v>
      </c>
      <c r="C32" s="18" t="s">
        <v>745</v>
      </c>
      <c r="D32" s="18" t="s">
        <v>746</v>
      </c>
      <c r="E32" s="18" t="s">
        <v>747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15</v>
      </c>
      <c r="K32" s="18" t="s">
        <v>15</v>
      </c>
      <c r="L32" s="18" t="s">
        <v>672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748</v>
      </c>
      <c r="D33" s="18" t="s">
        <v>749</v>
      </c>
      <c r="E33" s="18" t="s">
        <v>750</v>
      </c>
      <c r="F33" s="18" t="s">
        <v>17</v>
      </c>
      <c r="G33" s="19">
        <v>370</v>
      </c>
      <c r="H33" s="19">
        <v>20</v>
      </c>
      <c r="I33" s="19">
        <f>G33-H33</f>
        <v>350</v>
      </c>
      <c r="J33" s="18" t="s">
        <v>160</v>
      </c>
      <c r="K33" s="18" t="s">
        <v>15</v>
      </c>
      <c r="L33" s="18" t="s">
        <v>672</v>
      </c>
      <c r="M33" s="18"/>
      <c r="N33" s="18"/>
      <c r="O33" s="18"/>
      <c r="P33" s="18"/>
      <c r="Q33" s="18">
        <v>1</v>
      </c>
    </row>
    <row r="34" spans="1:18" s="22" customFormat="1" x14ac:dyDescent="0.25">
      <c r="A34" s="20"/>
      <c r="B34" s="20" t="s">
        <v>34</v>
      </c>
      <c r="C34" s="20" t="s">
        <v>399</v>
      </c>
      <c r="D34" s="20" t="s">
        <v>751</v>
      </c>
      <c r="E34" s="20" t="s">
        <v>401</v>
      </c>
      <c r="F34" s="21">
        <v>4</v>
      </c>
      <c r="G34" s="21">
        <v>935</v>
      </c>
      <c r="H34" s="21">
        <v>25</v>
      </c>
      <c r="I34" s="21">
        <f>G34-H34</f>
        <v>910</v>
      </c>
      <c r="J34" s="20" t="s">
        <v>160</v>
      </c>
      <c r="K34" s="20" t="s">
        <v>15</v>
      </c>
      <c r="L34" s="20" t="s">
        <v>672</v>
      </c>
      <c r="M34" s="20" t="s">
        <v>16</v>
      </c>
      <c r="N34" s="20"/>
      <c r="O34" s="20"/>
      <c r="P34" s="20"/>
      <c r="Q34" s="20">
        <v>1</v>
      </c>
    </row>
    <row r="35" spans="1:18" customFormat="1" x14ac:dyDescent="0.25">
      <c r="A35" s="18"/>
      <c r="B35" s="18" t="s">
        <v>34</v>
      </c>
      <c r="C35" s="18" t="s">
        <v>752</v>
      </c>
      <c r="D35" s="18" t="s">
        <v>753</v>
      </c>
      <c r="E35" s="18" t="s">
        <v>754</v>
      </c>
      <c r="F35" s="18" t="s">
        <v>17</v>
      </c>
      <c r="G35" s="19">
        <v>0</v>
      </c>
      <c r="H35" s="19">
        <v>20</v>
      </c>
      <c r="I35" s="19">
        <f>-H35</f>
        <v>-20</v>
      </c>
      <c r="J35" s="18" t="s">
        <v>160</v>
      </c>
      <c r="K35" s="18" t="s">
        <v>15</v>
      </c>
      <c r="L35" s="18" t="s">
        <v>672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755</v>
      </c>
      <c r="D36" s="18" t="s">
        <v>756</v>
      </c>
      <c r="E36" s="18" t="s">
        <v>757</v>
      </c>
      <c r="F36" s="19">
        <v>1</v>
      </c>
      <c r="G36" s="19">
        <v>2010</v>
      </c>
      <c r="H36" s="19">
        <v>30</v>
      </c>
      <c r="I36" s="19">
        <f t="shared" ref="I36:I45" si="2">G36-H36</f>
        <v>1980</v>
      </c>
      <c r="J36" s="18" t="s">
        <v>160</v>
      </c>
      <c r="K36" s="18" t="s">
        <v>15</v>
      </c>
      <c r="L36" s="18" t="s">
        <v>672</v>
      </c>
      <c r="M36" s="27" t="s">
        <v>377</v>
      </c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758</v>
      </c>
      <c r="D37" s="18" t="s">
        <v>759</v>
      </c>
      <c r="E37" s="18" t="s">
        <v>760</v>
      </c>
      <c r="F37" s="18" t="s">
        <v>18</v>
      </c>
      <c r="G37" s="19">
        <v>725</v>
      </c>
      <c r="H37" s="19">
        <v>25</v>
      </c>
      <c r="I37" s="19">
        <f t="shared" si="2"/>
        <v>700</v>
      </c>
      <c r="J37" s="18" t="s">
        <v>160</v>
      </c>
      <c r="K37" s="18" t="s">
        <v>15</v>
      </c>
      <c r="L37" s="18" t="s">
        <v>672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761</v>
      </c>
      <c r="D38" s="18" t="s">
        <v>762</v>
      </c>
      <c r="E38" s="18" t="s">
        <v>763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160</v>
      </c>
      <c r="K38" s="18" t="s">
        <v>15</v>
      </c>
      <c r="L38" s="18" t="s">
        <v>672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264</v>
      </c>
      <c r="D39" s="18" t="s">
        <v>764</v>
      </c>
      <c r="E39" s="18" t="s">
        <v>266</v>
      </c>
      <c r="F39" s="18" t="s">
        <v>17</v>
      </c>
      <c r="G39" s="19">
        <v>810</v>
      </c>
      <c r="H39" s="19">
        <v>20</v>
      </c>
      <c r="I39" s="19">
        <f t="shared" si="2"/>
        <v>790</v>
      </c>
      <c r="J39" s="18" t="s">
        <v>160</v>
      </c>
      <c r="K39" s="18" t="s">
        <v>15</v>
      </c>
      <c r="L39" s="18" t="s">
        <v>672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765</v>
      </c>
      <c r="D40" s="18" t="s">
        <v>766</v>
      </c>
      <c r="E40" s="18" t="s">
        <v>767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160</v>
      </c>
      <c r="K40" s="18" t="s">
        <v>15</v>
      </c>
      <c r="L40" s="18" t="s">
        <v>672</v>
      </c>
      <c r="M40" s="27" t="s">
        <v>768</v>
      </c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769</v>
      </c>
      <c r="D41" s="18" t="s">
        <v>770</v>
      </c>
      <c r="E41" s="18" t="s">
        <v>771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160</v>
      </c>
      <c r="K41" s="18" t="s">
        <v>15</v>
      </c>
      <c r="L41" s="18" t="s">
        <v>672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772</v>
      </c>
      <c r="D42" s="18" t="s">
        <v>773</v>
      </c>
      <c r="E42" s="18" t="s">
        <v>774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160</v>
      </c>
      <c r="K42" s="18" t="s">
        <v>15</v>
      </c>
      <c r="L42" s="18" t="s">
        <v>672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775</v>
      </c>
      <c r="D43" s="18" t="s">
        <v>776</v>
      </c>
      <c r="E43" s="18" t="s">
        <v>777</v>
      </c>
      <c r="F43" s="18" t="s">
        <v>17</v>
      </c>
      <c r="G43" s="19">
        <v>710</v>
      </c>
      <c r="H43" s="19">
        <v>20</v>
      </c>
      <c r="I43" s="19">
        <f t="shared" si="2"/>
        <v>690</v>
      </c>
      <c r="J43" s="18" t="s">
        <v>160</v>
      </c>
      <c r="K43" s="18" t="s">
        <v>15</v>
      </c>
      <c r="L43" s="18" t="s">
        <v>672</v>
      </c>
      <c r="M43" s="18"/>
      <c r="N43" s="18"/>
      <c r="O43" s="18"/>
      <c r="P43" s="18"/>
      <c r="Q43" s="18">
        <v>1</v>
      </c>
    </row>
    <row r="44" spans="1:18" s="36" customFormat="1" x14ac:dyDescent="0.25">
      <c r="A44" s="18"/>
      <c r="B44" s="18" t="s">
        <v>34</v>
      </c>
      <c r="C44" s="18" t="s">
        <v>778</v>
      </c>
      <c r="D44" s="18" t="s">
        <v>779</v>
      </c>
      <c r="E44" s="18" t="s">
        <v>780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160</v>
      </c>
      <c r="K44" s="18" t="s">
        <v>15</v>
      </c>
      <c r="L44" s="18" t="s">
        <v>672</v>
      </c>
      <c r="M44" s="18"/>
      <c r="N44" s="18"/>
      <c r="O44" s="18"/>
      <c r="P44" s="18"/>
      <c r="Q44" s="35">
        <v>1</v>
      </c>
    </row>
    <row r="45" spans="1:18" s="41" customFormat="1" x14ac:dyDescent="0.25">
      <c r="A45" s="37"/>
      <c r="B45" s="37" t="s">
        <v>34</v>
      </c>
      <c r="C45" s="37" t="s">
        <v>781</v>
      </c>
      <c r="D45" s="37" t="s">
        <v>782</v>
      </c>
      <c r="E45" s="37" t="s">
        <v>783</v>
      </c>
      <c r="F45" s="37" t="s">
        <v>784</v>
      </c>
      <c r="G45" s="38">
        <v>360</v>
      </c>
      <c r="H45" s="38">
        <v>0</v>
      </c>
      <c r="I45" s="38">
        <f t="shared" si="2"/>
        <v>360</v>
      </c>
      <c r="J45" s="37" t="s">
        <v>662</v>
      </c>
      <c r="K45" s="37" t="s">
        <v>15</v>
      </c>
      <c r="L45" s="37" t="s">
        <v>785</v>
      </c>
      <c r="M45" s="39" t="s">
        <v>786</v>
      </c>
      <c r="N45" s="37" t="s">
        <v>787</v>
      </c>
      <c r="O45" s="37"/>
      <c r="P45" s="37" t="s">
        <v>788</v>
      </c>
      <c r="Q45" s="38">
        <v>1</v>
      </c>
      <c r="R45" s="40"/>
    </row>
    <row r="47" spans="1:18" x14ac:dyDescent="0.25">
      <c r="G47" s="1">
        <f t="shared" ref="G47:R47" si="3">SUBTOTAL(9,G3:G46)</f>
        <v>26545</v>
      </c>
      <c r="H47" s="1">
        <f t="shared" si="3"/>
        <v>1165</v>
      </c>
      <c r="I47" s="1">
        <f t="shared" si="3"/>
        <v>25380</v>
      </c>
      <c r="J47" s="1">
        <f t="shared" si="3"/>
        <v>0</v>
      </c>
      <c r="K47" s="1">
        <f t="shared" si="3"/>
        <v>0</v>
      </c>
      <c r="L47" s="1">
        <f t="shared" si="3"/>
        <v>0</v>
      </c>
      <c r="M47" s="1">
        <f t="shared" si="3"/>
        <v>0</v>
      </c>
      <c r="N47" s="1">
        <f t="shared" si="3"/>
        <v>0</v>
      </c>
      <c r="O47" s="1">
        <f t="shared" si="3"/>
        <v>0</v>
      </c>
      <c r="P47" s="1">
        <f t="shared" si="3"/>
        <v>0</v>
      </c>
      <c r="Q47" s="1">
        <f t="shared" si="3"/>
        <v>43</v>
      </c>
      <c r="R47" s="1">
        <f t="shared" si="3"/>
        <v>0</v>
      </c>
    </row>
    <row r="48" spans="1:18" x14ac:dyDescent="0.25">
      <c r="I48" s="1">
        <v>-710</v>
      </c>
      <c r="J48" s="1" t="s">
        <v>789</v>
      </c>
    </row>
    <row r="51" spans="1:12" ht="20.25" customHeight="1" x14ac:dyDescent="0.3">
      <c r="H51" s="4" t="s">
        <v>668</v>
      </c>
      <c r="I51" s="5" t="s">
        <v>21</v>
      </c>
      <c r="J51" s="6" t="s">
        <v>22</v>
      </c>
    </row>
    <row r="52" spans="1:12" ht="15.75" customHeight="1" x14ac:dyDescent="0.25">
      <c r="H52" s="7" t="s">
        <v>23</v>
      </c>
      <c r="I52" s="8">
        <f>SUM(I46:I50)</f>
        <v>24670</v>
      </c>
      <c r="J52" s="8">
        <f>Q47</f>
        <v>43</v>
      </c>
    </row>
    <row r="53" spans="1:12" x14ac:dyDescent="0.25">
      <c r="H53" s="9" t="s">
        <v>24</v>
      </c>
      <c r="I53" s="10">
        <f>R47</f>
        <v>0</v>
      </c>
      <c r="J53" s="11"/>
    </row>
    <row r="54" spans="1:12" x14ac:dyDescent="0.25">
      <c r="H54" s="9" t="s">
        <v>25</v>
      </c>
      <c r="I54" s="10">
        <f>S46</f>
        <v>0</v>
      </c>
      <c r="J54" s="11"/>
    </row>
    <row r="55" spans="1:12" x14ac:dyDescent="0.25">
      <c r="H55" s="9" t="s">
        <v>26</v>
      </c>
      <c r="I55" s="10">
        <f>T46</f>
        <v>0</v>
      </c>
      <c r="J55" s="11"/>
    </row>
    <row r="56" spans="1:12" x14ac:dyDescent="0.25">
      <c r="H56" s="9" t="s">
        <v>27</v>
      </c>
      <c r="I56" s="10">
        <f>U46</f>
        <v>0</v>
      </c>
      <c r="J56" s="11"/>
    </row>
    <row r="57" spans="1:12" ht="15.75" customHeight="1" x14ac:dyDescent="0.25">
      <c r="H57" s="12" t="s">
        <v>28</v>
      </c>
      <c r="I57" s="13"/>
      <c r="J57" s="13"/>
    </row>
    <row r="58" spans="1:12" ht="15.75" customHeight="1" x14ac:dyDescent="0.25">
      <c r="H58" s="14" t="s">
        <v>29</v>
      </c>
      <c r="I58" s="13"/>
      <c r="J58" s="13"/>
    </row>
    <row r="59" spans="1:12" ht="21" customHeight="1" x14ac:dyDescent="0.35">
      <c r="H59" s="15" t="s">
        <v>30</v>
      </c>
      <c r="I59" s="16">
        <f>SUM(I52:I58)</f>
        <v>24670</v>
      </c>
      <c r="J59" s="16">
        <f>SUM(J52:J56)</f>
        <v>43</v>
      </c>
    </row>
    <row r="62" spans="1:12" x14ac:dyDescent="0.25">
      <c r="A62" s="1" t="s">
        <v>173</v>
      </c>
    </row>
    <row r="63" spans="1:12" x14ac:dyDescent="0.25">
      <c r="A63" s="24" t="s">
        <v>34</v>
      </c>
      <c r="B63" s="24" t="s">
        <v>765</v>
      </c>
      <c r="C63" s="24" t="s">
        <v>766</v>
      </c>
      <c r="D63" s="24" t="s">
        <v>767</v>
      </c>
      <c r="E63" s="25">
        <v>10</v>
      </c>
      <c r="F63" s="25">
        <v>1935</v>
      </c>
      <c r="G63" s="25">
        <v>0</v>
      </c>
      <c r="H63" s="25">
        <f t="shared" ref="H63" si="4">F63-G63</f>
        <v>1935</v>
      </c>
      <c r="I63" s="24" t="s">
        <v>160</v>
      </c>
      <c r="J63" s="24" t="s">
        <v>15</v>
      </c>
      <c r="K63" s="24" t="s">
        <v>672</v>
      </c>
      <c r="L63" s="26" t="s">
        <v>768</v>
      </c>
    </row>
  </sheetData>
  <autoFilter ref="A2:P45" xr:uid="{00000000-0009-0000-0000-000006000000}">
    <sortState xmlns:xlrd2="http://schemas.microsoft.com/office/spreadsheetml/2017/richdata2" ref="A3:P45">
      <sortCondition ref="J2:J45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D2BC-03C6-489C-8EEF-A37F190B53E9}">
  <dimension ref="A1:R53"/>
  <sheetViews>
    <sheetView topLeftCell="A28" workbookViewId="0">
      <selection activeCell="E34" sqref="E3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102</v>
      </c>
      <c r="C1" s="1" t="s">
        <v>791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260</v>
      </c>
      <c r="D3" s="18"/>
      <c r="E3" s="18" t="s">
        <v>261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793</v>
      </c>
      <c r="K3" s="18" t="s">
        <v>15</v>
      </c>
      <c r="L3" s="18" t="s">
        <v>794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795</v>
      </c>
      <c r="D4" s="18" t="s">
        <v>796</v>
      </c>
      <c r="E4" s="18" t="s">
        <v>797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793</v>
      </c>
      <c r="K4" s="18" t="s">
        <v>15</v>
      </c>
      <c r="L4" s="18" t="s">
        <v>794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798</v>
      </c>
      <c r="D5" s="18" t="s">
        <v>799</v>
      </c>
      <c r="E5" s="18" t="s">
        <v>800</v>
      </c>
      <c r="F5" s="18" t="s">
        <v>212</v>
      </c>
      <c r="G5" s="19">
        <v>0</v>
      </c>
      <c r="H5" s="19">
        <v>25</v>
      </c>
      <c r="I5" s="19">
        <f>-H5</f>
        <v>-25</v>
      </c>
      <c r="J5" s="18" t="s">
        <v>793</v>
      </c>
      <c r="K5" s="18" t="s">
        <v>15</v>
      </c>
      <c r="L5" s="18" t="s">
        <v>794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801</v>
      </c>
      <c r="D6" s="18" t="s">
        <v>802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793</v>
      </c>
      <c r="K6" s="18" t="s">
        <v>15</v>
      </c>
      <c r="L6" s="18" t="s">
        <v>794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803</v>
      </c>
      <c r="D7" s="18" t="s">
        <v>804</v>
      </c>
      <c r="E7" s="18" t="s">
        <v>805</v>
      </c>
      <c r="F7" s="18" t="s">
        <v>212</v>
      </c>
      <c r="G7" s="19">
        <v>1260</v>
      </c>
      <c r="H7" s="19">
        <v>30</v>
      </c>
      <c r="I7" s="19">
        <f t="shared" si="0"/>
        <v>1230</v>
      </c>
      <c r="J7" s="18" t="s">
        <v>793</v>
      </c>
      <c r="K7" s="18" t="s">
        <v>15</v>
      </c>
      <c r="L7" s="18" t="s">
        <v>794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806</v>
      </c>
      <c r="D8" s="18" t="s">
        <v>807</v>
      </c>
      <c r="E8" s="18" t="s">
        <v>808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793</v>
      </c>
      <c r="K8" s="18" t="s">
        <v>15</v>
      </c>
      <c r="L8" s="18" t="s">
        <v>794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809</v>
      </c>
      <c r="D9" s="18" t="s">
        <v>810</v>
      </c>
      <c r="E9" s="18" t="s">
        <v>811</v>
      </c>
      <c r="F9" s="18" t="s">
        <v>38</v>
      </c>
      <c r="G9" s="19">
        <v>820</v>
      </c>
      <c r="H9" s="19">
        <v>30</v>
      </c>
      <c r="I9" s="19">
        <f t="shared" si="0"/>
        <v>790</v>
      </c>
      <c r="J9" s="18" t="s">
        <v>793</v>
      </c>
      <c r="K9" s="18" t="s">
        <v>15</v>
      </c>
      <c r="L9" s="18" t="s">
        <v>794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812</v>
      </c>
      <c r="D10" s="18" t="s">
        <v>813</v>
      </c>
      <c r="E10" s="18" t="s">
        <v>814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793</v>
      </c>
      <c r="K10" s="18" t="s">
        <v>15</v>
      </c>
      <c r="L10" s="18" t="s">
        <v>794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815</v>
      </c>
      <c r="D11" s="18" t="s">
        <v>816</v>
      </c>
      <c r="E11" s="18" t="s">
        <v>817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793</v>
      </c>
      <c r="K11" s="18" t="s">
        <v>15</v>
      </c>
      <c r="L11" s="18" t="s">
        <v>794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818</v>
      </c>
      <c r="D12" s="18" t="s">
        <v>819</v>
      </c>
      <c r="E12" s="18" t="s">
        <v>820</v>
      </c>
      <c r="F12" s="18" t="s">
        <v>18</v>
      </c>
      <c r="G12" s="19">
        <v>0</v>
      </c>
      <c r="H12" s="19">
        <v>25</v>
      </c>
      <c r="I12" s="19">
        <f>-H12</f>
        <v>-25</v>
      </c>
      <c r="J12" s="18" t="s">
        <v>793</v>
      </c>
      <c r="K12" s="18" t="s">
        <v>15</v>
      </c>
      <c r="L12" s="18" t="s">
        <v>794</v>
      </c>
      <c r="M12" s="18"/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821</v>
      </c>
      <c r="D13" s="18" t="s">
        <v>822</v>
      </c>
      <c r="E13" s="18" t="s">
        <v>823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793</v>
      </c>
      <c r="K13" s="18" t="s">
        <v>15</v>
      </c>
      <c r="L13" s="18" t="s">
        <v>794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824</v>
      </c>
      <c r="D14" s="18" t="s">
        <v>825</v>
      </c>
      <c r="E14" s="18" t="s">
        <v>826</v>
      </c>
      <c r="F14" s="18" t="s">
        <v>38</v>
      </c>
      <c r="G14" s="19">
        <v>470</v>
      </c>
      <c r="H14" s="19">
        <v>30</v>
      </c>
      <c r="I14" s="19">
        <f>G14-H14</f>
        <v>440</v>
      </c>
      <c r="J14" s="18" t="s">
        <v>793</v>
      </c>
      <c r="K14" s="18" t="s">
        <v>15</v>
      </c>
      <c r="L14" s="18" t="s">
        <v>794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827</v>
      </c>
      <c r="D15" s="18" t="s">
        <v>828</v>
      </c>
      <c r="E15" s="18" t="s">
        <v>829</v>
      </c>
      <c r="F15" s="18" t="s">
        <v>18</v>
      </c>
      <c r="G15" s="19">
        <v>0</v>
      </c>
      <c r="H15" s="19">
        <v>25</v>
      </c>
      <c r="I15" s="19">
        <f>-H15</f>
        <v>-25</v>
      </c>
      <c r="J15" s="18" t="s">
        <v>793</v>
      </c>
      <c r="K15" s="18" t="s">
        <v>15</v>
      </c>
      <c r="L15" s="18" t="s">
        <v>794</v>
      </c>
      <c r="M15" s="18"/>
      <c r="N15" s="18"/>
      <c r="O15" s="18"/>
      <c r="P15" s="18"/>
      <c r="Q15" s="18">
        <v>1</v>
      </c>
      <c r="R15" s="17">
        <f>H15</f>
        <v>25</v>
      </c>
    </row>
    <row r="16" spans="1:18" customFormat="1" x14ac:dyDescent="0.25">
      <c r="A16" s="18"/>
      <c r="B16" s="18" t="s">
        <v>34</v>
      </c>
      <c r="C16" s="18" t="s">
        <v>830</v>
      </c>
      <c r="D16" s="18" t="s">
        <v>831</v>
      </c>
      <c r="E16" s="18" t="s">
        <v>832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793</v>
      </c>
      <c r="K16" s="18" t="s">
        <v>15</v>
      </c>
      <c r="L16" s="18" t="s">
        <v>794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833</v>
      </c>
      <c r="D17" s="18" t="s">
        <v>834</v>
      </c>
      <c r="E17" s="18" t="s">
        <v>835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793</v>
      </c>
      <c r="K17" s="18" t="s">
        <v>15</v>
      </c>
      <c r="L17" s="18" t="s">
        <v>794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586</v>
      </c>
      <c r="D18" s="18"/>
      <c r="E18" s="18" t="s">
        <v>587</v>
      </c>
      <c r="F18" s="18" t="s">
        <v>144</v>
      </c>
      <c r="G18" s="19">
        <v>2135</v>
      </c>
      <c r="H18" s="19">
        <v>35</v>
      </c>
      <c r="I18" s="19">
        <f>G18-H18</f>
        <v>2100</v>
      </c>
      <c r="J18" s="18" t="s">
        <v>15</v>
      </c>
      <c r="K18" s="18" t="s">
        <v>15</v>
      </c>
      <c r="L18" s="18" t="s">
        <v>794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836</v>
      </c>
      <c r="D19" s="18" t="s">
        <v>837</v>
      </c>
      <c r="E19" s="18" t="s">
        <v>838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15</v>
      </c>
      <c r="K19" s="18" t="s">
        <v>15</v>
      </c>
      <c r="L19" s="18" t="s">
        <v>794</v>
      </c>
      <c r="M19" s="18"/>
      <c r="N19" s="18"/>
      <c r="O19" s="18"/>
      <c r="P19" s="18"/>
      <c r="Q19" s="18">
        <v>1</v>
      </c>
      <c r="R19" s="17">
        <f>H19</f>
        <v>30</v>
      </c>
    </row>
    <row r="20" spans="1:18" customFormat="1" x14ac:dyDescent="0.25">
      <c r="A20" s="18"/>
      <c r="B20" s="18" t="s">
        <v>34</v>
      </c>
      <c r="C20" s="18" t="s">
        <v>839</v>
      </c>
      <c r="D20" s="18" t="s">
        <v>840</v>
      </c>
      <c r="E20" s="18" t="s">
        <v>841</v>
      </c>
      <c r="F20" s="18" t="s">
        <v>20</v>
      </c>
      <c r="G20" s="19">
        <v>815</v>
      </c>
      <c r="H20" s="19">
        <v>25</v>
      </c>
      <c r="I20" s="19">
        <f>G20-H20</f>
        <v>790</v>
      </c>
      <c r="J20" s="18" t="s">
        <v>15</v>
      </c>
      <c r="K20" s="18" t="s">
        <v>15</v>
      </c>
      <c r="L20" s="18" t="s">
        <v>794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842</v>
      </c>
      <c r="D21" s="18" t="s">
        <v>843</v>
      </c>
      <c r="E21" s="18" t="s">
        <v>844</v>
      </c>
      <c r="F21" s="18" t="s">
        <v>18</v>
      </c>
      <c r="G21" s="19">
        <v>0</v>
      </c>
      <c r="H21" s="19">
        <v>25</v>
      </c>
      <c r="I21" s="19">
        <f>-H21</f>
        <v>-25</v>
      </c>
      <c r="J21" s="18" t="s">
        <v>15</v>
      </c>
      <c r="K21" s="18" t="s">
        <v>15</v>
      </c>
      <c r="L21" s="18" t="s">
        <v>794</v>
      </c>
      <c r="M21" s="18"/>
      <c r="N21" s="18"/>
      <c r="O21" s="18"/>
      <c r="P21" s="18"/>
      <c r="Q21" s="18">
        <v>1</v>
      </c>
      <c r="R21" s="17">
        <f>H21</f>
        <v>25</v>
      </c>
    </row>
    <row r="22" spans="1:18" customFormat="1" x14ac:dyDescent="0.25">
      <c r="A22" s="18"/>
      <c r="B22" s="18" t="s">
        <v>34</v>
      </c>
      <c r="C22" s="18" t="s">
        <v>845</v>
      </c>
      <c r="D22" s="18" t="s">
        <v>846</v>
      </c>
      <c r="E22" s="18" t="s">
        <v>847</v>
      </c>
      <c r="F22" s="18" t="s">
        <v>144</v>
      </c>
      <c r="G22" s="19">
        <v>730</v>
      </c>
      <c r="H22" s="19">
        <v>30</v>
      </c>
      <c r="I22" s="19">
        <f>G22-H22</f>
        <v>700</v>
      </c>
      <c r="J22" s="18" t="s">
        <v>15</v>
      </c>
      <c r="K22" s="18" t="s">
        <v>15</v>
      </c>
      <c r="L22" s="18" t="s">
        <v>794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848</v>
      </c>
      <c r="D23" s="18" t="s">
        <v>849</v>
      </c>
      <c r="E23" s="18" t="s">
        <v>850</v>
      </c>
      <c r="F23" s="18" t="s">
        <v>20</v>
      </c>
      <c r="G23" s="19">
        <v>1345</v>
      </c>
      <c r="H23" s="19">
        <v>25</v>
      </c>
      <c r="I23" s="19">
        <f>G23-H23</f>
        <v>1320</v>
      </c>
      <c r="J23" s="18" t="s">
        <v>15</v>
      </c>
      <c r="K23" s="18" t="s">
        <v>15</v>
      </c>
      <c r="L23" s="18" t="s">
        <v>794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851</v>
      </c>
      <c r="D24" s="18" t="s">
        <v>852</v>
      </c>
      <c r="E24" s="18" t="s">
        <v>853</v>
      </c>
      <c r="F24" s="18" t="s">
        <v>18</v>
      </c>
      <c r="G24" s="19">
        <v>0</v>
      </c>
      <c r="H24" s="19">
        <v>25</v>
      </c>
      <c r="I24" s="19">
        <f>-H24</f>
        <v>-25</v>
      </c>
      <c r="J24" s="18" t="s">
        <v>15</v>
      </c>
      <c r="K24" s="18" t="s">
        <v>15</v>
      </c>
      <c r="L24" s="18" t="s">
        <v>794</v>
      </c>
      <c r="M24" s="18"/>
      <c r="N24" s="18"/>
      <c r="O24" s="18"/>
      <c r="P24" s="18"/>
      <c r="Q24" s="18">
        <v>1</v>
      </c>
      <c r="R24" s="17">
        <f t="shared" ref="R24:R25" si="1">H24</f>
        <v>25</v>
      </c>
    </row>
    <row r="25" spans="1:18" customFormat="1" x14ac:dyDescent="0.25">
      <c r="A25" s="18"/>
      <c r="B25" s="18" t="s">
        <v>34</v>
      </c>
      <c r="C25" s="18" t="s">
        <v>854</v>
      </c>
      <c r="D25" s="18" t="s">
        <v>855</v>
      </c>
      <c r="E25" s="18" t="s">
        <v>856</v>
      </c>
      <c r="F25" s="18" t="s">
        <v>20</v>
      </c>
      <c r="G25" s="19">
        <v>0</v>
      </c>
      <c r="H25" s="19">
        <v>25</v>
      </c>
      <c r="I25" s="19">
        <f>-H25</f>
        <v>-25</v>
      </c>
      <c r="J25" s="18" t="s">
        <v>15</v>
      </c>
      <c r="K25" s="18" t="s">
        <v>15</v>
      </c>
      <c r="L25" s="18" t="s">
        <v>794</v>
      </c>
      <c r="M25" s="18"/>
      <c r="N25" s="18"/>
      <c r="O25" s="18"/>
      <c r="P25" s="18"/>
      <c r="Q25" s="18">
        <v>1</v>
      </c>
      <c r="R25" s="17">
        <f t="shared" si="1"/>
        <v>25</v>
      </c>
    </row>
    <row r="26" spans="1:18" customFormat="1" x14ac:dyDescent="0.25">
      <c r="A26" s="18"/>
      <c r="B26" s="18" t="s">
        <v>34</v>
      </c>
      <c r="C26" s="18" t="s">
        <v>857</v>
      </c>
      <c r="D26" s="18" t="s">
        <v>858</v>
      </c>
      <c r="E26" s="18" t="s">
        <v>859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15</v>
      </c>
      <c r="K26" s="18" t="s">
        <v>15</v>
      </c>
      <c r="L26" s="18" t="s">
        <v>794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860</v>
      </c>
      <c r="D27" s="18" t="s">
        <v>861</v>
      </c>
      <c r="E27" s="18" t="s">
        <v>862</v>
      </c>
      <c r="F27" s="18" t="s">
        <v>19</v>
      </c>
      <c r="G27" s="19">
        <v>1110</v>
      </c>
      <c r="H27" s="19">
        <v>20</v>
      </c>
      <c r="I27" s="19">
        <f>G27-H27</f>
        <v>1090</v>
      </c>
      <c r="J27" s="18" t="s">
        <v>15</v>
      </c>
      <c r="K27" s="18" t="s">
        <v>15</v>
      </c>
      <c r="L27" s="18" t="s">
        <v>794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444</v>
      </c>
      <c r="D28" s="18" t="s">
        <v>863</v>
      </c>
      <c r="E28" s="18" t="s">
        <v>446</v>
      </c>
      <c r="F28" s="18" t="s">
        <v>18</v>
      </c>
      <c r="G28" s="19">
        <v>815</v>
      </c>
      <c r="H28" s="19">
        <v>25</v>
      </c>
      <c r="I28" s="19">
        <f>G28-H28</f>
        <v>790</v>
      </c>
      <c r="J28" s="18" t="s">
        <v>15</v>
      </c>
      <c r="K28" s="18" t="s">
        <v>15</v>
      </c>
      <c r="L28" s="18" t="s">
        <v>794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864</v>
      </c>
      <c r="D29" s="18" t="s">
        <v>865</v>
      </c>
      <c r="E29" s="18" t="s">
        <v>866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160</v>
      </c>
      <c r="K29" s="18" t="s">
        <v>15</v>
      </c>
      <c r="L29" s="18" t="s">
        <v>794</v>
      </c>
      <c r="M29" s="18"/>
      <c r="N29" s="18"/>
      <c r="O29" s="18"/>
      <c r="P29" s="18"/>
      <c r="Q29" s="18">
        <v>1</v>
      </c>
      <c r="R29" s="17">
        <f>H29</f>
        <v>25</v>
      </c>
    </row>
    <row r="30" spans="1:18" customFormat="1" x14ac:dyDescent="0.25">
      <c r="A30" s="18"/>
      <c r="B30" s="18" t="s">
        <v>34</v>
      </c>
      <c r="C30" s="18" t="s">
        <v>867</v>
      </c>
      <c r="D30" s="18" t="s">
        <v>868</v>
      </c>
      <c r="E30" s="18" t="s">
        <v>869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160</v>
      </c>
      <c r="K30" s="18" t="s">
        <v>15</v>
      </c>
      <c r="L30" s="18" t="s">
        <v>794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870</v>
      </c>
      <c r="D31" s="18" t="s">
        <v>871</v>
      </c>
      <c r="E31" s="18" t="s">
        <v>872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160</v>
      </c>
      <c r="K31" s="18" t="s">
        <v>15</v>
      </c>
      <c r="L31" s="18" t="s">
        <v>794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873</v>
      </c>
      <c r="D32" s="18" t="s">
        <v>874</v>
      </c>
      <c r="E32" s="18" t="s">
        <v>875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160</v>
      </c>
      <c r="K32" s="18" t="s">
        <v>15</v>
      </c>
      <c r="L32" s="18" t="s">
        <v>794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876</v>
      </c>
      <c r="D33" s="18" t="s">
        <v>877</v>
      </c>
      <c r="E33" s="18" t="s">
        <v>878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160</v>
      </c>
      <c r="K33" s="18" t="s">
        <v>15</v>
      </c>
      <c r="L33" s="18" t="s">
        <v>794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879</v>
      </c>
      <c r="D34" s="18" t="s">
        <v>880</v>
      </c>
      <c r="E34" s="18" t="s">
        <v>881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160</v>
      </c>
      <c r="K34" s="18" t="s">
        <v>15</v>
      </c>
      <c r="L34" s="18" t="s">
        <v>794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882</v>
      </c>
      <c r="D35" s="18" t="s">
        <v>883</v>
      </c>
      <c r="E35" s="18" t="s">
        <v>884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160</v>
      </c>
      <c r="K35" s="18" t="s">
        <v>15</v>
      </c>
      <c r="L35" s="18" t="s">
        <v>794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885</v>
      </c>
      <c r="D36" s="18" t="s">
        <v>886</v>
      </c>
      <c r="E36" s="18" t="s">
        <v>887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160</v>
      </c>
      <c r="K36" s="18" t="s">
        <v>15</v>
      </c>
      <c r="L36" s="18" t="s">
        <v>794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888</v>
      </c>
      <c r="D37" s="18" t="s">
        <v>889</v>
      </c>
      <c r="E37" s="18" t="s">
        <v>890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160</v>
      </c>
      <c r="K37" s="18" t="s">
        <v>15</v>
      </c>
      <c r="L37" s="18" t="s">
        <v>794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891</v>
      </c>
      <c r="D38" s="18" t="s">
        <v>892</v>
      </c>
      <c r="E38" s="18" t="s">
        <v>893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160</v>
      </c>
      <c r="K38" s="18" t="s">
        <v>15</v>
      </c>
      <c r="L38" s="18" t="s">
        <v>794</v>
      </c>
      <c r="M38" s="18"/>
      <c r="N38" s="18"/>
      <c r="O38" s="18"/>
      <c r="P38" s="18"/>
      <c r="Q38" s="18">
        <v>1</v>
      </c>
      <c r="R38" s="17">
        <f>H38</f>
        <v>25</v>
      </c>
    </row>
    <row r="39" spans="1:18" customFormat="1" x14ac:dyDescent="0.25">
      <c r="A39" s="18"/>
      <c r="B39" s="18" t="s">
        <v>34</v>
      </c>
      <c r="C39" s="18" t="s">
        <v>894</v>
      </c>
      <c r="D39" s="18" t="s">
        <v>895</v>
      </c>
      <c r="E39" s="18" t="s">
        <v>896</v>
      </c>
      <c r="F39" s="18" t="s">
        <v>17</v>
      </c>
      <c r="G39" s="19">
        <v>530</v>
      </c>
      <c r="H39" s="19">
        <v>20</v>
      </c>
      <c r="I39" s="19">
        <f>G39-H39</f>
        <v>510</v>
      </c>
      <c r="J39" s="18" t="s">
        <v>160</v>
      </c>
      <c r="K39" s="18" t="s">
        <v>15</v>
      </c>
      <c r="L39" s="18" t="s">
        <v>794</v>
      </c>
      <c r="M39" s="18"/>
      <c r="N39" s="18"/>
      <c r="O39" s="18"/>
      <c r="P39" s="18"/>
      <c r="Q39" s="18">
        <v>1</v>
      </c>
    </row>
    <row r="41" spans="1:18" x14ac:dyDescent="0.25">
      <c r="G41" s="1">
        <f t="shared" ref="G41:R41" si="2">SUBTOTAL(9,G3:G40)</f>
        <v>24970</v>
      </c>
      <c r="H41" s="1">
        <f t="shared" si="2"/>
        <v>985</v>
      </c>
      <c r="I41" s="1">
        <f t="shared" si="2"/>
        <v>23985</v>
      </c>
      <c r="J41" s="1">
        <f t="shared" si="2"/>
        <v>0</v>
      </c>
      <c r="K41" s="1">
        <f t="shared" si="2"/>
        <v>0</v>
      </c>
      <c r="L41" s="1">
        <f t="shared" si="2"/>
        <v>0</v>
      </c>
      <c r="M41" s="1">
        <f t="shared" si="2"/>
        <v>0</v>
      </c>
      <c r="N41" s="1">
        <f t="shared" si="2"/>
        <v>0</v>
      </c>
      <c r="O41" s="1">
        <f t="shared" si="2"/>
        <v>0</v>
      </c>
      <c r="P41" s="1">
        <f t="shared" si="2"/>
        <v>0</v>
      </c>
      <c r="Q41" s="1">
        <f t="shared" si="2"/>
        <v>37</v>
      </c>
      <c r="R41" s="1">
        <f t="shared" si="2"/>
        <v>255</v>
      </c>
    </row>
    <row r="45" spans="1:18" ht="20.25" customHeight="1" x14ac:dyDescent="0.3">
      <c r="H45" s="4" t="s">
        <v>790</v>
      </c>
      <c r="I45" s="5" t="s">
        <v>21</v>
      </c>
      <c r="J45" s="6" t="s">
        <v>22</v>
      </c>
    </row>
    <row r="46" spans="1:18" ht="15.75" customHeight="1" x14ac:dyDescent="0.25">
      <c r="H46" s="7" t="s">
        <v>23</v>
      </c>
      <c r="I46" s="8">
        <f>SUM(I40:I44)</f>
        <v>23985</v>
      </c>
      <c r="J46" s="8">
        <f>Q41</f>
        <v>37</v>
      </c>
    </row>
    <row r="47" spans="1:18" x14ac:dyDescent="0.25">
      <c r="H47" s="9" t="s">
        <v>24</v>
      </c>
      <c r="I47" s="10">
        <f>R41</f>
        <v>255</v>
      </c>
      <c r="J47" s="11"/>
    </row>
    <row r="48" spans="1:18" x14ac:dyDescent="0.25">
      <c r="H48" s="9" t="s">
        <v>25</v>
      </c>
      <c r="I48" s="10">
        <f>S40</f>
        <v>0</v>
      </c>
      <c r="J48" s="11"/>
    </row>
    <row r="49" spans="8:10" x14ac:dyDescent="0.25">
      <c r="H49" s="9" t="s">
        <v>26</v>
      </c>
      <c r="I49" s="10">
        <f>T40</f>
        <v>0</v>
      </c>
      <c r="J49" s="11"/>
    </row>
    <row r="50" spans="8:10" x14ac:dyDescent="0.25">
      <c r="H50" s="9" t="s">
        <v>27</v>
      </c>
      <c r="I50" s="10">
        <f>U40</f>
        <v>0</v>
      </c>
      <c r="J50" s="11"/>
    </row>
    <row r="51" spans="8:10" ht="15.75" customHeight="1" x14ac:dyDescent="0.25">
      <c r="H51" s="12" t="s">
        <v>28</v>
      </c>
      <c r="I51" s="13"/>
      <c r="J51" s="13"/>
    </row>
    <row r="52" spans="8:10" ht="15.75" customHeight="1" x14ac:dyDescent="0.25">
      <c r="H52" s="14" t="s">
        <v>29</v>
      </c>
      <c r="I52" s="13"/>
      <c r="J52" s="13"/>
    </row>
    <row r="53" spans="8:10" ht="21" customHeight="1" x14ac:dyDescent="0.35">
      <c r="H53" s="15" t="s">
        <v>30</v>
      </c>
      <c r="I53" s="16">
        <f>SUM(I46:I52)</f>
        <v>24240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D406-DBFB-4835-94EA-D8478D651C34}">
  <dimension ref="A1:R74"/>
  <sheetViews>
    <sheetView topLeftCell="A48" zoomScaleNormal="100" workbookViewId="0">
      <selection activeCell="F50" sqref="F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316</v>
      </c>
      <c r="C1" s="1" t="s">
        <v>898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899</v>
      </c>
      <c r="D3" s="18" t="s">
        <v>900</v>
      </c>
      <c r="E3" s="18" t="s">
        <v>901</v>
      </c>
      <c r="F3" s="18" t="s">
        <v>38</v>
      </c>
      <c r="G3" s="19">
        <v>720</v>
      </c>
      <c r="H3" s="19">
        <v>30</v>
      </c>
      <c r="I3" s="19">
        <f t="shared" ref="I3:I26" si="0">G3-H3</f>
        <v>690</v>
      </c>
      <c r="J3" s="18" t="s">
        <v>902</v>
      </c>
      <c r="K3" s="18" t="s">
        <v>15</v>
      </c>
      <c r="L3" s="18" t="s">
        <v>903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904</v>
      </c>
      <c r="D4" s="18" t="s">
        <v>905</v>
      </c>
      <c r="E4" s="18" t="s">
        <v>906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902</v>
      </c>
      <c r="K4" s="18" t="s">
        <v>15</v>
      </c>
      <c r="L4" s="18" t="s">
        <v>903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907</v>
      </c>
      <c r="D5" s="18" t="s">
        <v>908</v>
      </c>
      <c r="E5" s="18" t="s">
        <v>909</v>
      </c>
      <c r="F5" s="18" t="s">
        <v>18</v>
      </c>
      <c r="G5" s="19">
        <v>25</v>
      </c>
      <c r="H5" s="19">
        <v>25</v>
      </c>
      <c r="I5" s="19">
        <f t="shared" si="0"/>
        <v>0</v>
      </c>
      <c r="J5" s="18" t="s">
        <v>902</v>
      </c>
      <c r="K5" s="18" t="s">
        <v>15</v>
      </c>
      <c r="L5" s="18" t="s">
        <v>903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910</v>
      </c>
      <c r="D6" s="18" t="s">
        <v>911</v>
      </c>
      <c r="E6" s="18" t="s">
        <v>912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902</v>
      </c>
      <c r="K6" s="18" t="s">
        <v>15</v>
      </c>
      <c r="L6" s="18" t="s">
        <v>903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913</v>
      </c>
      <c r="D7" s="18" t="s">
        <v>914</v>
      </c>
      <c r="E7" s="18" t="s">
        <v>915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902</v>
      </c>
      <c r="K7" s="18" t="s">
        <v>15</v>
      </c>
      <c r="L7" s="18" t="s">
        <v>903</v>
      </c>
      <c r="M7" s="27" t="s">
        <v>377</v>
      </c>
      <c r="N7" s="18"/>
      <c r="O7" s="18"/>
      <c r="P7" s="18"/>
      <c r="Q7" s="18">
        <v>1</v>
      </c>
      <c r="R7" s="17">
        <f>H7</f>
        <v>40</v>
      </c>
    </row>
    <row r="8" spans="1:18" customFormat="1" x14ac:dyDescent="0.25">
      <c r="A8" s="18"/>
      <c r="B8" s="18" t="s">
        <v>34</v>
      </c>
      <c r="C8" s="18" t="s">
        <v>916</v>
      </c>
      <c r="D8" s="18" t="s">
        <v>917</v>
      </c>
      <c r="E8" s="18" t="s">
        <v>918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902</v>
      </c>
      <c r="K8" s="18" t="s">
        <v>15</v>
      </c>
      <c r="L8" s="18" t="s">
        <v>903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919</v>
      </c>
      <c r="D9" s="18" t="s">
        <v>920</v>
      </c>
      <c r="E9" s="18" t="s">
        <v>921</v>
      </c>
      <c r="F9" s="18" t="s">
        <v>212</v>
      </c>
      <c r="G9" s="19">
        <v>1535</v>
      </c>
      <c r="H9" s="19">
        <v>25</v>
      </c>
      <c r="I9" s="19">
        <f t="shared" si="0"/>
        <v>1510</v>
      </c>
      <c r="J9" s="18" t="s">
        <v>902</v>
      </c>
      <c r="K9" s="18" t="s">
        <v>15</v>
      </c>
      <c r="L9" s="18" t="s">
        <v>903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922</v>
      </c>
      <c r="D10" s="18" t="s">
        <v>923</v>
      </c>
      <c r="E10" s="18" t="s">
        <v>924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902</v>
      </c>
      <c r="K10" s="18" t="s">
        <v>15</v>
      </c>
      <c r="L10" s="18" t="s">
        <v>903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242</v>
      </c>
      <c r="D11" s="18" t="s">
        <v>925</v>
      </c>
      <c r="E11" s="18" t="s">
        <v>926</v>
      </c>
      <c r="F11" s="18" t="s">
        <v>38</v>
      </c>
      <c r="G11" s="19">
        <v>820</v>
      </c>
      <c r="H11" s="19">
        <v>30</v>
      </c>
      <c r="I11" s="19">
        <f t="shared" si="0"/>
        <v>790</v>
      </c>
      <c r="J11" s="18" t="s">
        <v>902</v>
      </c>
      <c r="K11" s="18" t="s">
        <v>15</v>
      </c>
      <c r="L11" s="18" t="s">
        <v>903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927</v>
      </c>
      <c r="D12" s="18" t="s">
        <v>928</v>
      </c>
      <c r="E12" s="18" t="s">
        <v>929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902</v>
      </c>
      <c r="K12" s="18" t="s">
        <v>15</v>
      </c>
      <c r="L12" s="18" t="s">
        <v>903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930</v>
      </c>
      <c r="D13" s="18" t="s">
        <v>931</v>
      </c>
      <c r="E13" s="18" t="s">
        <v>932</v>
      </c>
      <c r="F13" s="18" t="s">
        <v>18</v>
      </c>
      <c r="G13" s="19">
        <v>705</v>
      </c>
      <c r="H13" s="19">
        <v>25</v>
      </c>
      <c r="I13" s="19">
        <f t="shared" si="0"/>
        <v>680</v>
      </c>
      <c r="J13" s="18" t="s">
        <v>902</v>
      </c>
      <c r="K13" s="18" t="s">
        <v>15</v>
      </c>
      <c r="L13" s="18" t="s">
        <v>903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933</v>
      </c>
      <c r="D14" s="18" t="s">
        <v>934</v>
      </c>
      <c r="E14" s="18" t="s">
        <v>935</v>
      </c>
      <c r="F14" s="18" t="s">
        <v>38</v>
      </c>
      <c r="G14" s="19">
        <v>850</v>
      </c>
      <c r="H14" s="19">
        <v>30</v>
      </c>
      <c r="I14" s="19">
        <f t="shared" si="0"/>
        <v>820</v>
      </c>
      <c r="J14" s="18" t="s">
        <v>902</v>
      </c>
      <c r="K14" s="18" t="s">
        <v>15</v>
      </c>
      <c r="L14" s="18" t="s">
        <v>903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936</v>
      </c>
      <c r="D15" s="18" t="s">
        <v>937</v>
      </c>
      <c r="E15" s="18" t="s">
        <v>938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902</v>
      </c>
      <c r="K15" s="18" t="s">
        <v>15</v>
      </c>
      <c r="L15" s="18" t="s">
        <v>903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939</v>
      </c>
      <c r="D16" s="18" t="s">
        <v>940</v>
      </c>
      <c r="E16" s="18" t="s">
        <v>941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902</v>
      </c>
      <c r="K16" s="18" t="s">
        <v>15</v>
      </c>
      <c r="L16" s="18" t="s">
        <v>903</v>
      </c>
      <c r="M16" s="18"/>
      <c r="N16" s="18"/>
      <c r="O16" s="18"/>
      <c r="P16" s="18"/>
      <c r="Q16" s="18">
        <v>1</v>
      </c>
    </row>
    <row r="17" spans="1:18" customFormat="1" x14ac:dyDescent="0.25">
      <c r="A17" s="18" t="s">
        <v>96</v>
      </c>
      <c r="B17" s="18" t="s">
        <v>34</v>
      </c>
      <c r="C17" s="18" t="s">
        <v>942</v>
      </c>
      <c r="D17" s="18"/>
      <c r="E17" s="18" t="s">
        <v>943</v>
      </c>
      <c r="F17" s="18" t="s">
        <v>18</v>
      </c>
      <c r="G17" s="19">
        <v>30</v>
      </c>
      <c r="H17" s="19">
        <v>30</v>
      </c>
      <c r="I17" s="19">
        <f t="shared" si="0"/>
        <v>0</v>
      </c>
      <c r="J17" s="18" t="s">
        <v>15</v>
      </c>
      <c r="K17" s="18" t="s">
        <v>15</v>
      </c>
      <c r="L17" s="18" t="s">
        <v>903</v>
      </c>
      <c r="M17" s="18"/>
      <c r="N17" s="18"/>
      <c r="O17" s="18"/>
      <c r="P17" s="18"/>
      <c r="Q17" s="18">
        <v>1</v>
      </c>
    </row>
    <row r="18" spans="1:18" customFormat="1" x14ac:dyDescent="0.25">
      <c r="A18" s="18" t="s">
        <v>96</v>
      </c>
      <c r="B18" s="18" t="s">
        <v>34</v>
      </c>
      <c r="C18" s="18" t="s">
        <v>640</v>
      </c>
      <c r="D18" s="18"/>
      <c r="E18" s="18" t="s">
        <v>641</v>
      </c>
      <c r="F18" s="18" t="s">
        <v>20</v>
      </c>
      <c r="G18" s="19">
        <v>3050</v>
      </c>
      <c r="H18" s="19">
        <v>30</v>
      </c>
      <c r="I18" s="19">
        <f t="shared" si="0"/>
        <v>3020</v>
      </c>
      <c r="J18" s="18" t="s">
        <v>15</v>
      </c>
      <c r="K18" s="18" t="s">
        <v>15</v>
      </c>
      <c r="L18" s="18" t="s">
        <v>903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944</v>
      </c>
      <c r="D19" s="18"/>
      <c r="E19" s="18" t="s">
        <v>945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15</v>
      </c>
      <c r="K19" s="18" t="s">
        <v>15</v>
      </c>
      <c r="L19" s="18" t="s">
        <v>903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341</v>
      </c>
      <c r="D20" s="18"/>
      <c r="E20" s="18" t="s">
        <v>946</v>
      </c>
      <c r="F20" s="18" t="s">
        <v>20</v>
      </c>
      <c r="G20" s="19">
        <v>845</v>
      </c>
      <c r="H20" s="19">
        <v>25</v>
      </c>
      <c r="I20" s="19">
        <f t="shared" si="0"/>
        <v>820</v>
      </c>
      <c r="J20" s="18" t="s">
        <v>15</v>
      </c>
      <c r="K20" s="18" t="s">
        <v>15</v>
      </c>
      <c r="L20" s="18" t="s">
        <v>903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947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15</v>
      </c>
      <c r="K21" s="18" t="s">
        <v>15</v>
      </c>
      <c r="L21" s="18" t="s">
        <v>903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948</v>
      </c>
      <c r="D22" s="18" t="s">
        <v>949</v>
      </c>
      <c r="E22" s="18" t="s">
        <v>950</v>
      </c>
      <c r="F22" s="18" t="s">
        <v>19</v>
      </c>
      <c r="G22" s="19">
        <v>1570</v>
      </c>
      <c r="H22" s="19">
        <v>20</v>
      </c>
      <c r="I22" s="19">
        <f t="shared" si="0"/>
        <v>1550</v>
      </c>
      <c r="J22" s="18" t="s">
        <v>15</v>
      </c>
      <c r="K22" s="18" t="s">
        <v>15</v>
      </c>
      <c r="L22" s="18" t="s">
        <v>903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951</v>
      </c>
      <c r="D23" s="18" t="s">
        <v>952</v>
      </c>
      <c r="E23" s="18" t="s">
        <v>953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15</v>
      </c>
      <c r="K23" s="18" t="s">
        <v>15</v>
      </c>
      <c r="L23" s="18" t="s">
        <v>903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857</v>
      </c>
      <c r="D24" s="18" t="s">
        <v>954</v>
      </c>
      <c r="E24" s="18" t="s">
        <v>859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15</v>
      </c>
      <c r="K24" s="18" t="s">
        <v>15</v>
      </c>
      <c r="L24" s="18" t="s">
        <v>903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138</v>
      </c>
      <c r="D25" s="18" t="s">
        <v>955</v>
      </c>
      <c r="E25" s="18" t="s">
        <v>140</v>
      </c>
      <c r="F25" s="18" t="s">
        <v>19</v>
      </c>
      <c r="G25" s="19">
        <v>2670</v>
      </c>
      <c r="H25" s="19">
        <v>25</v>
      </c>
      <c r="I25" s="19">
        <f t="shared" si="0"/>
        <v>2645</v>
      </c>
      <c r="J25" s="18" t="s">
        <v>15</v>
      </c>
      <c r="K25" s="18" t="s">
        <v>15</v>
      </c>
      <c r="L25" s="18" t="s">
        <v>903</v>
      </c>
      <c r="M25" s="27" t="s">
        <v>377</v>
      </c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356</v>
      </c>
      <c r="D26" s="18" t="s">
        <v>956</v>
      </c>
      <c r="E26" s="18" t="s">
        <v>957</v>
      </c>
      <c r="F26" s="18" t="s">
        <v>20</v>
      </c>
      <c r="G26" s="19">
        <v>865</v>
      </c>
      <c r="H26" s="19">
        <v>25</v>
      </c>
      <c r="I26" s="19">
        <f t="shared" si="0"/>
        <v>840</v>
      </c>
      <c r="J26" s="18" t="s">
        <v>15</v>
      </c>
      <c r="K26" s="18" t="s">
        <v>15</v>
      </c>
      <c r="L26" s="18" t="s">
        <v>903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958</v>
      </c>
      <c r="D27" s="18" t="s">
        <v>959</v>
      </c>
      <c r="E27" s="18" t="s">
        <v>960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903</v>
      </c>
      <c r="M27" s="26" t="s">
        <v>961</v>
      </c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962</v>
      </c>
      <c r="D28" s="18" t="s">
        <v>963</v>
      </c>
      <c r="E28" s="18" t="s">
        <v>964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15</v>
      </c>
      <c r="K28" s="18" t="s">
        <v>15</v>
      </c>
      <c r="L28" s="18" t="s">
        <v>903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965</v>
      </c>
      <c r="D29" s="18" t="s">
        <v>966</v>
      </c>
      <c r="E29" s="18" t="s">
        <v>967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15</v>
      </c>
      <c r="K29" s="18" t="s">
        <v>15</v>
      </c>
      <c r="L29" s="18" t="s">
        <v>903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968</v>
      </c>
      <c r="D30" s="18" t="s">
        <v>969</v>
      </c>
      <c r="E30" s="18" t="s">
        <v>970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15</v>
      </c>
      <c r="K30" s="18" t="s">
        <v>15</v>
      </c>
      <c r="L30" s="18" t="s">
        <v>903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971</v>
      </c>
      <c r="D31" s="18" t="s">
        <v>972</v>
      </c>
      <c r="E31" s="18" t="s">
        <v>973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15</v>
      </c>
      <c r="K31" s="18" t="s">
        <v>15</v>
      </c>
      <c r="L31" s="18" t="s">
        <v>903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974</v>
      </c>
      <c r="D32" s="18" t="s">
        <v>975</v>
      </c>
      <c r="E32" s="18" t="s">
        <v>976</v>
      </c>
      <c r="F32" s="18" t="s">
        <v>18</v>
      </c>
      <c r="G32" s="19">
        <v>845</v>
      </c>
      <c r="H32" s="19">
        <v>25</v>
      </c>
      <c r="I32" s="19">
        <f t="shared" si="1"/>
        <v>820</v>
      </c>
      <c r="J32" s="18" t="s">
        <v>15</v>
      </c>
      <c r="K32" s="18" t="s">
        <v>15</v>
      </c>
      <c r="L32" s="18" t="s">
        <v>903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977</v>
      </c>
      <c r="D33" s="18" t="s">
        <v>978</v>
      </c>
      <c r="E33" s="18" t="s">
        <v>979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15</v>
      </c>
      <c r="K33" s="18" t="s">
        <v>15</v>
      </c>
      <c r="L33" s="18" t="s">
        <v>903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980</v>
      </c>
      <c r="D34" s="18" t="s">
        <v>981</v>
      </c>
      <c r="E34" s="18" t="s">
        <v>982</v>
      </c>
      <c r="F34" s="18" t="s">
        <v>20</v>
      </c>
      <c r="G34" s="19">
        <v>0</v>
      </c>
      <c r="H34" s="19">
        <v>25</v>
      </c>
      <c r="I34" s="19">
        <f t="shared" si="1"/>
        <v>-25</v>
      </c>
      <c r="J34" s="18" t="s">
        <v>15</v>
      </c>
      <c r="K34" s="18" t="s">
        <v>15</v>
      </c>
      <c r="L34" s="18" t="s">
        <v>903</v>
      </c>
      <c r="M34" s="26" t="s">
        <v>983</v>
      </c>
      <c r="N34" s="18"/>
      <c r="O34" s="18"/>
      <c r="P34" s="18"/>
      <c r="Q34" s="18">
        <v>1</v>
      </c>
      <c r="R34" s="17">
        <f t="shared" ref="R34:R35" si="2">H34</f>
        <v>25</v>
      </c>
    </row>
    <row r="35" spans="1:18" customFormat="1" x14ac:dyDescent="0.25">
      <c r="A35" s="18"/>
      <c r="B35" s="18" t="s">
        <v>34</v>
      </c>
      <c r="C35" s="18" t="s">
        <v>984</v>
      </c>
      <c r="D35" s="18" t="s">
        <v>985</v>
      </c>
      <c r="E35" s="18" t="s">
        <v>986</v>
      </c>
      <c r="F35" s="18" t="s">
        <v>19</v>
      </c>
      <c r="G35" s="19">
        <v>0</v>
      </c>
      <c r="H35" s="19">
        <v>20</v>
      </c>
      <c r="I35" s="19">
        <f>-H35</f>
        <v>-20</v>
      </c>
      <c r="J35" s="18" t="s">
        <v>15</v>
      </c>
      <c r="K35" s="18" t="s">
        <v>15</v>
      </c>
      <c r="L35" s="18" t="s">
        <v>903</v>
      </c>
      <c r="M35" s="18"/>
      <c r="N35" s="18"/>
      <c r="O35" s="18"/>
      <c r="P35" s="18"/>
      <c r="Q35" s="18">
        <v>1</v>
      </c>
      <c r="R35" s="17">
        <f t="shared" si="2"/>
        <v>20</v>
      </c>
    </row>
    <row r="36" spans="1:18" customFormat="1" x14ac:dyDescent="0.25">
      <c r="A36" s="18"/>
      <c r="B36" s="18" t="s">
        <v>34</v>
      </c>
      <c r="C36" s="18" t="s">
        <v>987</v>
      </c>
      <c r="D36" s="18" t="s">
        <v>988</v>
      </c>
      <c r="E36" s="18" t="s">
        <v>989</v>
      </c>
      <c r="F36" s="18" t="s">
        <v>18</v>
      </c>
      <c r="G36" s="19">
        <v>2030</v>
      </c>
      <c r="H36" s="19">
        <v>30</v>
      </c>
      <c r="I36" s="19">
        <f t="shared" ref="I36:I44" si="3">G36-H36</f>
        <v>2000</v>
      </c>
      <c r="J36" s="18" t="s">
        <v>15</v>
      </c>
      <c r="K36" s="18" t="s">
        <v>15</v>
      </c>
      <c r="L36" s="18" t="s">
        <v>903</v>
      </c>
      <c r="M36" s="27" t="s">
        <v>377</v>
      </c>
      <c r="N36" s="18"/>
      <c r="O36" s="18"/>
      <c r="P36" s="18"/>
      <c r="Q36" s="18">
        <v>1</v>
      </c>
      <c r="R36" s="17">
        <f>H36</f>
        <v>30</v>
      </c>
    </row>
    <row r="37" spans="1:18" customFormat="1" x14ac:dyDescent="0.25">
      <c r="A37" s="18" t="s">
        <v>96</v>
      </c>
      <c r="B37" s="18" t="s">
        <v>34</v>
      </c>
      <c r="C37" s="18" t="s">
        <v>579</v>
      </c>
      <c r="D37" s="18"/>
      <c r="E37" s="18" t="s">
        <v>580</v>
      </c>
      <c r="F37" s="19">
        <v>4</v>
      </c>
      <c r="G37" s="19">
        <v>30</v>
      </c>
      <c r="H37" s="19">
        <v>30</v>
      </c>
      <c r="I37" s="19">
        <f t="shared" si="3"/>
        <v>0</v>
      </c>
      <c r="J37" s="18" t="s">
        <v>160</v>
      </c>
      <c r="K37" s="18" t="s">
        <v>15</v>
      </c>
      <c r="L37" s="18" t="s">
        <v>903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990</v>
      </c>
      <c r="D38" s="18" t="s">
        <v>991</v>
      </c>
      <c r="E38" s="18" t="s">
        <v>992</v>
      </c>
      <c r="F38" s="19">
        <v>10</v>
      </c>
      <c r="G38" s="19">
        <v>1025</v>
      </c>
      <c r="H38" s="19">
        <v>25</v>
      </c>
      <c r="I38" s="19">
        <f t="shared" si="3"/>
        <v>1000</v>
      </c>
      <c r="J38" s="18" t="s">
        <v>160</v>
      </c>
      <c r="K38" s="18" t="s">
        <v>15</v>
      </c>
      <c r="L38" s="18" t="s">
        <v>903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993</v>
      </c>
      <c r="D39" s="18" t="s">
        <v>994</v>
      </c>
      <c r="E39" s="18" t="s">
        <v>995</v>
      </c>
      <c r="F39" s="18" t="s">
        <v>17</v>
      </c>
      <c r="G39" s="19">
        <v>1110</v>
      </c>
      <c r="H39" s="19">
        <v>20</v>
      </c>
      <c r="I39" s="19">
        <f t="shared" si="3"/>
        <v>1090</v>
      </c>
      <c r="J39" s="18" t="s">
        <v>160</v>
      </c>
      <c r="K39" s="18" t="s">
        <v>15</v>
      </c>
      <c r="L39" s="18" t="s">
        <v>903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996</v>
      </c>
      <c r="D40" s="18" t="s">
        <v>997</v>
      </c>
      <c r="E40" s="18" t="s">
        <v>998</v>
      </c>
      <c r="F40" s="19">
        <v>1</v>
      </c>
      <c r="G40" s="19">
        <v>1355</v>
      </c>
      <c r="H40" s="19">
        <v>25</v>
      </c>
      <c r="I40" s="19">
        <f t="shared" si="3"/>
        <v>1330</v>
      </c>
      <c r="J40" s="18" t="s">
        <v>160</v>
      </c>
      <c r="K40" s="18" t="s">
        <v>15</v>
      </c>
      <c r="L40" s="18" t="s">
        <v>903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999</v>
      </c>
      <c r="D41" s="18" t="s">
        <v>1000</v>
      </c>
      <c r="E41" s="18" t="s">
        <v>1001</v>
      </c>
      <c r="F41" s="18" t="s">
        <v>18</v>
      </c>
      <c r="G41" s="19">
        <v>945</v>
      </c>
      <c r="H41" s="19">
        <v>25</v>
      </c>
      <c r="I41" s="19">
        <f t="shared" si="3"/>
        <v>920</v>
      </c>
      <c r="J41" s="18" t="s">
        <v>160</v>
      </c>
      <c r="K41" s="18" t="s">
        <v>15</v>
      </c>
      <c r="L41" s="18" t="s">
        <v>903</v>
      </c>
      <c r="M41" s="27" t="s">
        <v>307</v>
      </c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999</v>
      </c>
      <c r="D42" s="18" t="s">
        <v>1026</v>
      </c>
      <c r="E42" s="18" t="s">
        <v>1001</v>
      </c>
      <c r="F42" s="18" t="s">
        <v>18</v>
      </c>
      <c r="G42" s="19">
        <v>760</v>
      </c>
      <c r="H42" s="19">
        <v>0</v>
      </c>
      <c r="I42" s="19">
        <f>G42-H42</f>
        <v>760</v>
      </c>
      <c r="J42" s="18" t="s">
        <v>160</v>
      </c>
      <c r="K42" s="18" t="s">
        <v>15</v>
      </c>
      <c r="L42" s="18" t="s">
        <v>903</v>
      </c>
      <c r="M42" s="27" t="s">
        <v>307</v>
      </c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1002</v>
      </c>
      <c r="D43" s="18" t="s">
        <v>1003</v>
      </c>
      <c r="E43" s="18" t="s">
        <v>1004</v>
      </c>
      <c r="F43" s="18" t="s">
        <v>17</v>
      </c>
      <c r="G43" s="19">
        <v>560</v>
      </c>
      <c r="H43" s="19">
        <v>20</v>
      </c>
      <c r="I43" s="19">
        <f t="shared" si="3"/>
        <v>540</v>
      </c>
      <c r="J43" s="18" t="s">
        <v>160</v>
      </c>
      <c r="K43" s="18" t="s">
        <v>15</v>
      </c>
      <c r="L43" s="18" t="s">
        <v>903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1005</v>
      </c>
      <c r="D44" s="18" t="s">
        <v>1006</v>
      </c>
      <c r="E44" s="18" t="s">
        <v>1007</v>
      </c>
      <c r="F44" s="19">
        <v>1</v>
      </c>
      <c r="G44" s="44">
        <v>790</v>
      </c>
      <c r="H44" s="44">
        <v>30</v>
      </c>
      <c r="I44" s="19">
        <f t="shared" si="3"/>
        <v>760</v>
      </c>
      <c r="J44" s="18" t="s">
        <v>160</v>
      </c>
      <c r="K44" s="18" t="s">
        <v>15</v>
      </c>
      <c r="L44" s="18" t="s">
        <v>903</v>
      </c>
      <c r="M44" s="43" t="s">
        <v>1037</v>
      </c>
      <c r="N44" s="18"/>
      <c r="O44" s="18"/>
      <c r="P44" s="18"/>
      <c r="Q44" s="18">
        <v>1</v>
      </c>
      <c r="R44" s="17">
        <f>H44</f>
        <v>30</v>
      </c>
    </row>
    <row r="45" spans="1:18" customFormat="1" x14ac:dyDescent="0.25">
      <c r="A45" s="18"/>
      <c r="B45" s="18" t="s">
        <v>34</v>
      </c>
      <c r="C45" s="18" t="s">
        <v>1005</v>
      </c>
      <c r="D45" s="18" t="s">
        <v>1025</v>
      </c>
      <c r="E45" s="18" t="s">
        <v>1007</v>
      </c>
      <c r="F45" s="19">
        <v>1</v>
      </c>
      <c r="G45" s="44">
        <v>1330</v>
      </c>
      <c r="H45" s="44">
        <v>0</v>
      </c>
      <c r="I45" s="19">
        <f>G45-H45</f>
        <v>1330</v>
      </c>
      <c r="J45" s="18" t="s">
        <v>160</v>
      </c>
      <c r="K45" s="18" t="s">
        <v>15</v>
      </c>
      <c r="L45" s="18" t="s">
        <v>903</v>
      </c>
      <c r="M45" s="43" t="s">
        <v>307</v>
      </c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338</v>
      </c>
      <c r="D46" s="18" t="s">
        <v>1008</v>
      </c>
      <c r="E46" s="18" t="s">
        <v>340</v>
      </c>
      <c r="F46" s="19">
        <v>3</v>
      </c>
      <c r="G46" s="19">
        <v>0</v>
      </c>
      <c r="H46" s="19">
        <v>25</v>
      </c>
      <c r="I46" s="19">
        <f>-H46</f>
        <v>-25</v>
      </c>
      <c r="J46" s="18" t="s">
        <v>160</v>
      </c>
      <c r="K46" s="18" t="s">
        <v>15</v>
      </c>
      <c r="L46" s="18" t="s">
        <v>903</v>
      </c>
      <c r="M46" s="18"/>
      <c r="N46" s="18"/>
      <c r="O46" s="18"/>
      <c r="P46" s="18"/>
      <c r="Q46" s="18">
        <v>1</v>
      </c>
      <c r="R46" s="17">
        <f t="shared" ref="R46:R48" si="4">H46</f>
        <v>25</v>
      </c>
    </row>
    <row r="47" spans="1:18" customFormat="1" x14ac:dyDescent="0.25">
      <c r="A47" s="18"/>
      <c r="B47" s="18" t="s">
        <v>34</v>
      </c>
      <c r="C47" s="18" t="s">
        <v>1009</v>
      </c>
      <c r="D47" s="18" t="s">
        <v>1010</v>
      </c>
      <c r="E47" s="18" t="s">
        <v>1011</v>
      </c>
      <c r="F47" s="18" t="s">
        <v>18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903</v>
      </c>
      <c r="M47" s="18"/>
      <c r="N47" s="18"/>
      <c r="O47" s="18"/>
      <c r="P47" s="18"/>
      <c r="Q47" s="18">
        <v>1</v>
      </c>
      <c r="R47" s="17">
        <f t="shared" si="4"/>
        <v>25</v>
      </c>
    </row>
    <row r="48" spans="1:18" customFormat="1" x14ac:dyDescent="0.25">
      <c r="A48" s="18"/>
      <c r="B48" s="18" t="s">
        <v>34</v>
      </c>
      <c r="C48" s="18" t="s">
        <v>1012</v>
      </c>
      <c r="D48" s="18" t="s">
        <v>1013</v>
      </c>
      <c r="E48" s="18" t="s">
        <v>1014</v>
      </c>
      <c r="F48" s="19">
        <v>3</v>
      </c>
      <c r="G48" s="19">
        <v>0</v>
      </c>
      <c r="H48" s="19">
        <v>25</v>
      </c>
      <c r="I48" s="19">
        <f>G48-H48</f>
        <v>-25</v>
      </c>
      <c r="J48" s="18" t="s">
        <v>160</v>
      </c>
      <c r="K48" s="18" t="s">
        <v>15</v>
      </c>
      <c r="L48" s="18" t="s">
        <v>903</v>
      </c>
      <c r="M48" s="26" t="s">
        <v>1015</v>
      </c>
      <c r="N48" s="18"/>
      <c r="O48" s="18"/>
      <c r="P48" s="18"/>
      <c r="Q48" s="18">
        <v>1</v>
      </c>
      <c r="R48" s="17">
        <f t="shared" si="4"/>
        <v>25</v>
      </c>
    </row>
    <row r="49" spans="1:18" customFormat="1" x14ac:dyDescent="0.25">
      <c r="A49" s="18"/>
      <c r="B49" s="18" t="s">
        <v>34</v>
      </c>
      <c r="C49" s="18" t="s">
        <v>1016</v>
      </c>
      <c r="D49" s="18" t="s">
        <v>1017</v>
      </c>
      <c r="E49" s="18" t="s">
        <v>1018</v>
      </c>
      <c r="F49" s="19">
        <v>3</v>
      </c>
      <c r="G49" s="19">
        <v>1601</v>
      </c>
      <c r="H49" s="19">
        <v>25</v>
      </c>
      <c r="I49" s="19">
        <f>G49-H49</f>
        <v>1576</v>
      </c>
      <c r="J49" s="18" t="s">
        <v>160</v>
      </c>
      <c r="K49" s="18" t="s">
        <v>15</v>
      </c>
      <c r="L49" s="18" t="s">
        <v>903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1019</v>
      </c>
      <c r="D50" s="18" t="s">
        <v>1020</v>
      </c>
      <c r="E50" s="18" t="s">
        <v>1021</v>
      </c>
      <c r="F50" s="19">
        <v>1</v>
      </c>
      <c r="G50" s="19">
        <v>0</v>
      </c>
      <c r="H50" s="19">
        <v>25</v>
      </c>
      <c r="I50" s="19">
        <f>-H50</f>
        <v>-25</v>
      </c>
      <c r="J50" s="18" t="s">
        <v>160</v>
      </c>
      <c r="K50" s="18" t="s">
        <v>15</v>
      </c>
      <c r="L50" s="18" t="s">
        <v>903</v>
      </c>
      <c r="M50" s="18"/>
      <c r="N50" s="18"/>
      <c r="O50" s="18"/>
      <c r="P50" s="18"/>
      <c r="Q50" s="18">
        <v>1</v>
      </c>
      <c r="R50" s="17">
        <f>H50</f>
        <v>25</v>
      </c>
    </row>
    <row r="51" spans="1:18" customFormat="1" x14ac:dyDescent="0.25">
      <c r="A51" s="18"/>
      <c r="B51" s="18" t="s">
        <v>34</v>
      </c>
      <c r="C51" s="18" t="s">
        <v>1022</v>
      </c>
      <c r="D51" s="18" t="s">
        <v>1023</v>
      </c>
      <c r="E51" s="18" t="s">
        <v>1024</v>
      </c>
      <c r="F51" s="18" t="s">
        <v>18</v>
      </c>
      <c r="G51" s="19">
        <v>0</v>
      </c>
      <c r="H51" s="19">
        <v>25</v>
      </c>
      <c r="I51" s="19">
        <f>G51-H51</f>
        <v>-25</v>
      </c>
      <c r="J51" s="18" t="s">
        <v>160</v>
      </c>
      <c r="K51" s="18" t="s">
        <v>15</v>
      </c>
      <c r="L51" s="18" t="s">
        <v>903</v>
      </c>
      <c r="M51" s="18"/>
      <c r="N51" s="18"/>
      <c r="O51" s="18"/>
      <c r="P51" s="18"/>
      <c r="Q51" s="18">
        <v>1</v>
      </c>
      <c r="R51" s="17">
        <f>H51</f>
        <v>25</v>
      </c>
    </row>
    <row r="52" spans="1:18" customFormat="1" x14ac:dyDescent="0.25">
      <c r="A52" s="18"/>
      <c r="B52" s="18" t="s">
        <v>34</v>
      </c>
      <c r="C52" s="18" t="s">
        <v>1027</v>
      </c>
      <c r="D52" s="18" t="s">
        <v>1028</v>
      </c>
      <c r="E52" s="18" t="s">
        <v>1029</v>
      </c>
      <c r="F52" s="19">
        <v>10</v>
      </c>
      <c r="G52" s="19">
        <v>845</v>
      </c>
      <c r="H52" s="19">
        <v>25</v>
      </c>
      <c r="I52" s="19">
        <f>G52-H52</f>
        <v>820</v>
      </c>
      <c r="J52" s="18" t="s">
        <v>160</v>
      </c>
      <c r="K52" s="18" t="s">
        <v>15</v>
      </c>
      <c r="L52" s="18" t="s">
        <v>903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1030</v>
      </c>
      <c r="D53" s="18" t="s">
        <v>1031</v>
      </c>
      <c r="E53" s="18" t="s">
        <v>1032</v>
      </c>
      <c r="F53" s="19">
        <v>3</v>
      </c>
      <c r="G53" s="19">
        <v>515</v>
      </c>
      <c r="H53" s="19">
        <v>25</v>
      </c>
      <c r="I53" s="19">
        <f>G53-H53</f>
        <v>490</v>
      </c>
      <c r="J53" s="18" t="s">
        <v>160</v>
      </c>
      <c r="K53" s="18" t="s">
        <v>15</v>
      </c>
      <c r="L53" s="18" t="s">
        <v>903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5">SUBTOTAL(9,G3:G54)</f>
        <v>45011</v>
      </c>
      <c r="H55" s="1">
        <f t="shared" si="5"/>
        <v>1335</v>
      </c>
      <c r="I55" s="1">
        <f t="shared" si="5"/>
        <v>43676</v>
      </c>
      <c r="J55" s="1">
        <f t="shared" si="5"/>
        <v>0</v>
      </c>
      <c r="K55" s="1">
        <f t="shared" si="5"/>
        <v>0</v>
      </c>
      <c r="L55" s="1">
        <f t="shared" si="5"/>
        <v>0</v>
      </c>
      <c r="M55" s="1">
        <f t="shared" si="5"/>
        <v>0</v>
      </c>
      <c r="N55" s="1">
        <f t="shared" si="5"/>
        <v>0</v>
      </c>
      <c r="O55" s="1">
        <f t="shared" si="5"/>
        <v>0</v>
      </c>
      <c r="P55" s="1">
        <f t="shared" si="5"/>
        <v>0</v>
      </c>
      <c r="Q55" s="1">
        <f t="shared" si="5"/>
        <v>51</v>
      </c>
      <c r="R55" s="1">
        <f t="shared" si="5"/>
        <v>320</v>
      </c>
    </row>
    <row r="56" spans="1:18" x14ac:dyDescent="0.25">
      <c r="I56" s="1">
        <v>-210</v>
      </c>
      <c r="J56" s="1" t="s">
        <v>1033</v>
      </c>
    </row>
    <row r="57" spans="1:18" x14ac:dyDescent="0.25">
      <c r="I57" s="1">
        <v>-765</v>
      </c>
      <c r="J57" s="1" t="s">
        <v>1036</v>
      </c>
    </row>
    <row r="59" spans="1:18" ht="20.25" customHeight="1" x14ac:dyDescent="0.3">
      <c r="H59" s="4" t="s">
        <v>897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42701</v>
      </c>
      <c r="J60" s="8">
        <f>Q55</f>
        <v>51</v>
      </c>
    </row>
    <row r="61" spans="1:18" x14ac:dyDescent="0.25">
      <c r="H61" s="9" t="s">
        <v>24</v>
      </c>
      <c r="I61" s="10">
        <f>R55</f>
        <v>320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43021</v>
      </c>
      <c r="J67" s="16">
        <f>SUM(J60:J64)</f>
        <v>51</v>
      </c>
    </row>
    <row r="69" spans="1:12" x14ac:dyDescent="0.25">
      <c r="A69" s="1" t="s">
        <v>1033</v>
      </c>
    </row>
    <row r="70" spans="1:12" x14ac:dyDescent="0.25">
      <c r="A70" s="24" t="s">
        <v>34</v>
      </c>
      <c r="B70" s="24" t="s">
        <v>1034</v>
      </c>
      <c r="C70" s="24"/>
      <c r="D70" s="24" t="s">
        <v>1035</v>
      </c>
      <c r="E70" s="25" t="s">
        <v>17</v>
      </c>
      <c r="F70" s="25">
        <v>210</v>
      </c>
      <c r="G70" s="25">
        <v>0</v>
      </c>
      <c r="H70" s="25">
        <f>F70-G70</f>
        <v>210</v>
      </c>
      <c r="I70" s="24" t="s">
        <v>662</v>
      </c>
      <c r="J70" s="24" t="s">
        <v>15</v>
      </c>
      <c r="K70" s="24"/>
      <c r="L70" s="42"/>
    </row>
    <row r="71" spans="1:12" x14ac:dyDescent="0.25">
      <c r="A71" s="1" t="s">
        <v>173</v>
      </c>
    </row>
    <row r="72" spans="1:12" x14ac:dyDescent="0.25">
      <c r="A72" s="24" t="s">
        <v>34</v>
      </c>
      <c r="B72" s="24" t="s">
        <v>958</v>
      </c>
      <c r="C72" s="24" t="s">
        <v>959</v>
      </c>
      <c r="D72" s="24" t="s">
        <v>960</v>
      </c>
      <c r="E72" s="28" t="s">
        <v>20</v>
      </c>
      <c r="F72" s="25">
        <v>785</v>
      </c>
      <c r="G72" s="25">
        <v>0</v>
      </c>
      <c r="H72" s="25">
        <f>F72-G72</f>
        <v>785</v>
      </c>
      <c r="I72" s="24" t="s">
        <v>15</v>
      </c>
      <c r="J72" s="24" t="s">
        <v>15</v>
      </c>
      <c r="K72" s="24" t="s">
        <v>903</v>
      </c>
      <c r="L72" s="26" t="s">
        <v>961</v>
      </c>
    </row>
    <row r="73" spans="1:12" x14ac:dyDescent="0.25">
      <c r="A73" s="24" t="s">
        <v>34</v>
      </c>
      <c r="B73" s="24" t="s">
        <v>1012</v>
      </c>
      <c r="C73" s="24" t="s">
        <v>1013</v>
      </c>
      <c r="D73" s="24" t="s">
        <v>1014</v>
      </c>
      <c r="E73" s="28">
        <v>3</v>
      </c>
      <c r="F73" s="25">
        <v>465</v>
      </c>
      <c r="G73" s="25">
        <v>0</v>
      </c>
      <c r="H73" s="25">
        <f>F73-G73</f>
        <v>465</v>
      </c>
      <c r="I73" s="24" t="s">
        <v>160</v>
      </c>
      <c r="J73" s="24" t="s">
        <v>15</v>
      </c>
      <c r="K73" s="24" t="s">
        <v>903</v>
      </c>
      <c r="L73" s="26" t="s">
        <v>1015</v>
      </c>
    </row>
    <row r="74" spans="1:12" x14ac:dyDescent="0.25">
      <c r="A74" s="24" t="s">
        <v>34</v>
      </c>
      <c r="B74" s="24" t="s">
        <v>980</v>
      </c>
      <c r="C74" s="24" t="s">
        <v>981</v>
      </c>
      <c r="D74" s="24" t="s">
        <v>982</v>
      </c>
      <c r="E74" s="28" t="s">
        <v>20</v>
      </c>
      <c r="F74" s="25">
        <v>1865</v>
      </c>
      <c r="G74" s="25">
        <v>0</v>
      </c>
      <c r="H74" s="25">
        <f>F74-G74</f>
        <v>1865</v>
      </c>
      <c r="I74" s="24" t="s">
        <v>15</v>
      </c>
      <c r="J74" s="24" t="s">
        <v>15</v>
      </c>
      <c r="K74" s="24" t="s">
        <v>903</v>
      </c>
      <c r="L74" s="26" t="s">
        <v>983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4CC74-A78E-46C3-B51A-6A668A48CD0E}">
  <dimension ref="A1:R57"/>
  <sheetViews>
    <sheetView topLeftCell="A38" workbookViewId="0">
      <selection activeCell="J24" sqref="J24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5703125" style="1" bestFit="1" customWidth="1"/>
    <col min="5" max="5" width="67" style="1" bestFit="1" customWidth="1"/>
    <col min="6" max="6" width="10.7109375" style="1" bestFit="1" customWidth="1"/>
    <col min="7" max="9" width="9.140625" style="1"/>
    <col min="10" max="10" width="12.140625" style="1" bestFit="1" customWidth="1"/>
    <col min="11" max="11" width="9.140625" style="1"/>
    <col min="12" max="12" width="12.28515625" style="1" bestFit="1" customWidth="1"/>
    <col min="13" max="13" width="15.7109375" style="1" bestFit="1" customWidth="1"/>
    <col min="14" max="16384" width="9.140625" style="1"/>
  </cols>
  <sheetData>
    <row r="1" spans="1:18" x14ac:dyDescent="0.25">
      <c r="B1" s="1" t="s">
        <v>320</v>
      </c>
      <c r="C1" s="1" t="s">
        <v>1039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1040</v>
      </c>
      <c r="D3" s="18" t="s">
        <v>1041</v>
      </c>
      <c r="E3" s="18" t="s">
        <v>1042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56</v>
      </c>
      <c r="K3" s="18" t="s">
        <v>15</v>
      </c>
      <c r="L3" s="18" t="s">
        <v>1043</v>
      </c>
      <c r="M3" s="18"/>
      <c r="N3" s="18"/>
      <c r="O3" s="18"/>
      <c r="P3" s="18"/>
      <c r="Q3" s="18">
        <v>1</v>
      </c>
    </row>
    <row r="4" spans="1:18" s="22" customFormat="1" x14ac:dyDescent="0.25">
      <c r="A4" s="20"/>
      <c r="B4" s="20" t="s">
        <v>34</v>
      </c>
      <c r="C4" s="20" t="s">
        <v>680</v>
      </c>
      <c r="D4" s="20" t="s">
        <v>1044</v>
      </c>
      <c r="E4" s="20" t="s">
        <v>682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1045</v>
      </c>
      <c r="K4" s="20" t="s">
        <v>15</v>
      </c>
      <c r="L4" s="20" t="s">
        <v>1043</v>
      </c>
      <c r="M4" s="20" t="s">
        <v>16</v>
      </c>
      <c r="N4" s="20"/>
      <c r="O4" s="20"/>
      <c r="P4" s="20"/>
      <c r="Q4" s="20">
        <v>1</v>
      </c>
      <c r="R4" s="29">
        <f>H4</f>
        <v>25</v>
      </c>
    </row>
    <row r="5" spans="1:18" customFormat="1" x14ac:dyDescent="0.25">
      <c r="A5" s="18"/>
      <c r="B5" s="18" t="s">
        <v>34</v>
      </c>
      <c r="C5" s="18" t="s">
        <v>1046</v>
      </c>
      <c r="D5" s="18" t="s">
        <v>1047</v>
      </c>
      <c r="E5" s="18" t="s">
        <v>1048</v>
      </c>
      <c r="F5" s="18" t="s">
        <v>38</v>
      </c>
      <c r="G5" s="19">
        <v>390</v>
      </c>
      <c r="H5" s="19">
        <v>30</v>
      </c>
      <c r="I5" s="19">
        <f>G5-H5</f>
        <v>360</v>
      </c>
      <c r="J5" s="18" t="s">
        <v>1045</v>
      </c>
      <c r="K5" s="18" t="s">
        <v>15</v>
      </c>
      <c r="L5" s="18" t="s">
        <v>1043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1049</v>
      </c>
      <c r="D6" s="18" t="s">
        <v>1050</v>
      </c>
      <c r="E6" s="18" t="s">
        <v>1051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1045</v>
      </c>
      <c r="K6" s="18" t="s">
        <v>15</v>
      </c>
      <c r="L6" s="18" t="s">
        <v>1043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1052</v>
      </c>
      <c r="D7" s="18" t="s">
        <v>1053</v>
      </c>
      <c r="E7" s="18" t="s">
        <v>1054</v>
      </c>
      <c r="F7" s="18" t="s">
        <v>144</v>
      </c>
      <c r="G7" s="19">
        <v>0</v>
      </c>
      <c r="H7" s="19">
        <v>30</v>
      </c>
      <c r="I7" s="19">
        <f>-H7</f>
        <v>-30</v>
      </c>
      <c r="J7" s="18" t="s">
        <v>1045</v>
      </c>
      <c r="K7" s="18" t="s">
        <v>15</v>
      </c>
      <c r="L7" s="18" t="s">
        <v>1043</v>
      </c>
      <c r="M7" s="18"/>
      <c r="N7" s="18"/>
      <c r="O7" s="18"/>
      <c r="P7" s="18"/>
      <c r="Q7" s="18">
        <v>1</v>
      </c>
      <c r="R7" s="17">
        <f t="shared" ref="R7:R8" si="0">H7</f>
        <v>30</v>
      </c>
    </row>
    <row r="8" spans="1:18" customFormat="1" x14ac:dyDescent="0.25">
      <c r="A8" s="18"/>
      <c r="B8" s="18" t="s">
        <v>34</v>
      </c>
      <c r="C8" s="18" t="s">
        <v>1055</v>
      </c>
      <c r="D8" s="18" t="s">
        <v>1056</v>
      </c>
      <c r="E8" s="18" t="s">
        <v>1057</v>
      </c>
      <c r="F8" s="18" t="s">
        <v>18</v>
      </c>
      <c r="G8" s="19">
        <v>0</v>
      </c>
      <c r="H8" s="19">
        <v>25</v>
      </c>
      <c r="I8" s="19">
        <f>-H8</f>
        <v>-25</v>
      </c>
      <c r="J8" s="18" t="s">
        <v>1045</v>
      </c>
      <c r="K8" s="18" t="s">
        <v>15</v>
      </c>
      <c r="L8" s="18" t="s">
        <v>1043</v>
      </c>
      <c r="M8" s="18"/>
      <c r="N8" s="18"/>
      <c r="O8" s="18"/>
      <c r="P8" s="18"/>
      <c r="Q8" s="18">
        <v>1</v>
      </c>
      <c r="R8" s="17">
        <f t="shared" si="0"/>
        <v>25</v>
      </c>
    </row>
    <row r="9" spans="1:18" customFormat="1" x14ac:dyDescent="0.25">
      <c r="A9" s="18"/>
      <c r="B9" s="18" t="s">
        <v>34</v>
      </c>
      <c r="C9" s="18" t="s">
        <v>1058</v>
      </c>
      <c r="D9" s="18" t="s">
        <v>1059</v>
      </c>
      <c r="E9" s="18" t="s">
        <v>1060</v>
      </c>
      <c r="F9" s="19">
        <v>6</v>
      </c>
      <c r="G9" s="19">
        <v>915</v>
      </c>
      <c r="H9" s="19">
        <v>25</v>
      </c>
      <c r="I9" s="19">
        <f t="shared" ref="I9:I14" si="1">G9-H9</f>
        <v>890</v>
      </c>
      <c r="J9" s="18" t="s">
        <v>1045</v>
      </c>
      <c r="K9" s="18" t="s">
        <v>15</v>
      </c>
      <c r="L9" s="18" t="s">
        <v>1043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1061</v>
      </c>
      <c r="D10" s="18" t="s">
        <v>1062</v>
      </c>
      <c r="E10" s="18" t="s">
        <v>1063</v>
      </c>
      <c r="F10" s="18" t="s">
        <v>108</v>
      </c>
      <c r="G10" s="19">
        <v>1365</v>
      </c>
      <c r="H10" s="19">
        <v>35</v>
      </c>
      <c r="I10" s="19">
        <f t="shared" si="1"/>
        <v>1330</v>
      </c>
      <c r="J10" s="18" t="s">
        <v>1045</v>
      </c>
      <c r="K10" s="18" t="s">
        <v>15</v>
      </c>
      <c r="L10" s="18" t="s">
        <v>1043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1064</v>
      </c>
      <c r="D11" s="18" t="s">
        <v>1065</v>
      </c>
      <c r="E11" s="18" t="s">
        <v>1066</v>
      </c>
      <c r="F11" s="18" t="s">
        <v>212</v>
      </c>
      <c r="G11" s="19">
        <v>2970</v>
      </c>
      <c r="H11" s="19">
        <v>30</v>
      </c>
      <c r="I11" s="19">
        <f t="shared" si="1"/>
        <v>2940</v>
      </c>
      <c r="J11" s="18" t="s">
        <v>1045</v>
      </c>
      <c r="K11" s="18" t="s">
        <v>15</v>
      </c>
      <c r="L11" s="18" t="s">
        <v>1043</v>
      </c>
      <c r="M11" s="26" t="s">
        <v>377</v>
      </c>
      <c r="N11" s="18"/>
      <c r="O11" s="18"/>
      <c r="P11" s="18"/>
      <c r="Q11" s="18">
        <v>1</v>
      </c>
      <c r="R11" s="17">
        <f>H11</f>
        <v>30</v>
      </c>
    </row>
    <row r="12" spans="1:18" customFormat="1" x14ac:dyDescent="0.25">
      <c r="A12" s="18"/>
      <c r="B12" s="18" t="s">
        <v>34</v>
      </c>
      <c r="C12" s="18" t="s">
        <v>1067</v>
      </c>
      <c r="D12" s="18" t="s">
        <v>1068</v>
      </c>
      <c r="E12" s="18" t="s">
        <v>1069</v>
      </c>
      <c r="F12" s="19">
        <v>7</v>
      </c>
      <c r="G12" s="19">
        <v>1390</v>
      </c>
      <c r="H12" s="19">
        <v>30</v>
      </c>
      <c r="I12" s="19">
        <f t="shared" si="1"/>
        <v>1360</v>
      </c>
      <c r="J12" s="18" t="s">
        <v>1045</v>
      </c>
      <c r="K12" s="18" t="s">
        <v>15</v>
      </c>
      <c r="L12" s="18" t="s">
        <v>1043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1070</v>
      </c>
      <c r="D13" s="18" t="s">
        <v>1071</v>
      </c>
      <c r="E13" s="18" t="s">
        <v>1072</v>
      </c>
      <c r="F13" s="19">
        <v>12</v>
      </c>
      <c r="G13" s="19">
        <v>890</v>
      </c>
      <c r="H13" s="19">
        <v>30</v>
      </c>
      <c r="I13" s="19">
        <f t="shared" si="1"/>
        <v>860</v>
      </c>
      <c r="J13" s="18" t="s">
        <v>1045</v>
      </c>
      <c r="K13" s="18" t="s">
        <v>15</v>
      </c>
      <c r="L13" s="18" t="s">
        <v>1043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1073</v>
      </c>
      <c r="D14" s="18" t="s">
        <v>1074</v>
      </c>
      <c r="E14" s="18" t="s">
        <v>1075</v>
      </c>
      <c r="F14" s="18" t="s">
        <v>38</v>
      </c>
      <c r="G14" s="19">
        <v>1450</v>
      </c>
      <c r="H14" s="19">
        <v>30</v>
      </c>
      <c r="I14" s="19">
        <f t="shared" si="1"/>
        <v>1420</v>
      </c>
      <c r="J14" s="18" t="s">
        <v>1045</v>
      </c>
      <c r="K14" s="18" t="s">
        <v>15</v>
      </c>
      <c r="L14" s="18" t="s">
        <v>1043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1076</v>
      </c>
      <c r="D15" s="18" t="s">
        <v>1077</v>
      </c>
      <c r="E15" s="18" t="s">
        <v>1078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1045</v>
      </c>
      <c r="K15" s="18" t="s">
        <v>15</v>
      </c>
      <c r="L15" s="18" t="s">
        <v>1043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1079</v>
      </c>
      <c r="D16" s="18" t="s">
        <v>1080</v>
      </c>
      <c r="E16" s="18" t="s">
        <v>1081</v>
      </c>
      <c r="F16" s="19">
        <v>7</v>
      </c>
      <c r="G16" s="19">
        <v>1120</v>
      </c>
      <c r="H16" s="19">
        <v>30</v>
      </c>
      <c r="I16" s="19">
        <f t="shared" ref="I16:I26" si="2">G16-H16</f>
        <v>1090</v>
      </c>
      <c r="J16" s="18" t="s">
        <v>1045</v>
      </c>
      <c r="K16" s="18" t="s">
        <v>15</v>
      </c>
      <c r="L16" s="18" t="s">
        <v>1043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1082</v>
      </c>
      <c r="D17" s="18" t="s">
        <v>1083</v>
      </c>
      <c r="E17" s="18" t="s">
        <v>1084</v>
      </c>
      <c r="F17" s="18" t="s">
        <v>123</v>
      </c>
      <c r="G17" s="19">
        <v>925</v>
      </c>
      <c r="H17" s="19">
        <v>35</v>
      </c>
      <c r="I17" s="19">
        <f t="shared" si="2"/>
        <v>890</v>
      </c>
      <c r="J17" s="18" t="s">
        <v>1045</v>
      </c>
      <c r="K17" s="18" t="s">
        <v>15</v>
      </c>
      <c r="L17" s="18" t="s">
        <v>1043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242</v>
      </c>
      <c r="D18" s="18" t="s">
        <v>1085</v>
      </c>
      <c r="E18" s="18" t="s">
        <v>926</v>
      </c>
      <c r="F18" s="18" t="s">
        <v>38</v>
      </c>
      <c r="G18" s="19">
        <v>3250</v>
      </c>
      <c r="H18" s="19">
        <v>35</v>
      </c>
      <c r="I18" s="19">
        <f t="shared" si="2"/>
        <v>3215</v>
      </c>
      <c r="J18" s="18" t="s">
        <v>1045</v>
      </c>
      <c r="K18" s="18" t="s">
        <v>15</v>
      </c>
      <c r="L18" s="18" t="s">
        <v>1043</v>
      </c>
      <c r="M18" s="26" t="s">
        <v>377</v>
      </c>
      <c r="N18" s="18"/>
      <c r="O18" s="18"/>
      <c r="P18" s="18"/>
      <c r="Q18" s="18">
        <v>1</v>
      </c>
      <c r="R18" s="17">
        <f>H18</f>
        <v>35</v>
      </c>
    </row>
    <row r="19" spans="1:18" customFormat="1" x14ac:dyDescent="0.25">
      <c r="A19" s="18"/>
      <c r="B19" s="18" t="s">
        <v>34</v>
      </c>
      <c r="C19" s="18" t="s">
        <v>1086</v>
      </c>
      <c r="D19" s="18" t="s">
        <v>1087</v>
      </c>
      <c r="E19" s="18" t="s">
        <v>1088</v>
      </c>
      <c r="F19" s="19">
        <v>7</v>
      </c>
      <c r="G19" s="19">
        <v>380</v>
      </c>
      <c r="H19" s="19">
        <v>30</v>
      </c>
      <c r="I19" s="19">
        <f t="shared" si="2"/>
        <v>350</v>
      </c>
      <c r="J19" s="18" t="s">
        <v>1045</v>
      </c>
      <c r="K19" s="18" t="s">
        <v>15</v>
      </c>
      <c r="L19" s="18" t="s">
        <v>1043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1089</v>
      </c>
      <c r="D20" s="18" t="s">
        <v>1090</v>
      </c>
      <c r="E20" s="18" t="s">
        <v>1091</v>
      </c>
      <c r="F20" s="19">
        <v>6</v>
      </c>
      <c r="G20" s="19">
        <v>815</v>
      </c>
      <c r="H20" s="19">
        <v>25</v>
      </c>
      <c r="I20" s="19">
        <f t="shared" si="2"/>
        <v>790</v>
      </c>
      <c r="J20" s="18" t="s">
        <v>1045</v>
      </c>
      <c r="K20" s="18" t="s">
        <v>15</v>
      </c>
      <c r="L20" s="18" t="s">
        <v>1043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944</v>
      </c>
      <c r="D21" s="18"/>
      <c r="E21" s="18" t="s">
        <v>1092</v>
      </c>
      <c r="F21" s="19">
        <v>2</v>
      </c>
      <c r="G21" s="19">
        <v>35</v>
      </c>
      <c r="H21" s="19">
        <v>35</v>
      </c>
      <c r="I21" s="19">
        <f t="shared" si="2"/>
        <v>0</v>
      </c>
      <c r="J21" s="18" t="s">
        <v>15</v>
      </c>
      <c r="K21" s="18" t="s">
        <v>15</v>
      </c>
      <c r="L21" s="18" t="s">
        <v>1043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312</v>
      </c>
      <c r="D22" s="18"/>
      <c r="E22" s="18" t="s">
        <v>313</v>
      </c>
      <c r="F22" s="18" t="s">
        <v>20</v>
      </c>
      <c r="G22" s="19">
        <v>30</v>
      </c>
      <c r="H22" s="19">
        <v>30</v>
      </c>
      <c r="I22" s="19">
        <f t="shared" si="2"/>
        <v>0</v>
      </c>
      <c r="J22" s="18" t="s">
        <v>15</v>
      </c>
      <c r="K22" s="18" t="s">
        <v>15</v>
      </c>
      <c r="L22" s="18" t="s">
        <v>1043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1093</v>
      </c>
      <c r="D23" s="18" t="s">
        <v>1094</v>
      </c>
      <c r="E23" s="18" t="s">
        <v>1095</v>
      </c>
      <c r="F23" s="18" t="s">
        <v>19</v>
      </c>
      <c r="G23" s="19">
        <v>510</v>
      </c>
      <c r="H23" s="19">
        <v>20</v>
      </c>
      <c r="I23" s="19">
        <f t="shared" si="2"/>
        <v>490</v>
      </c>
      <c r="J23" s="18" t="s">
        <v>15</v>
      </c>
      <c r="K23" s="18" t="s">
        <v>15</v>
      </c>
      <c r="L23" s="18" t="s">
        <v>1043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1096</v>
      </c>
      <c r="D24" s="18" t="s">
        <v>1097</v>
      </c>
      <c r="E24" s="18" t="s">
        <v>1098</v>
      </c>
      <c r="F24" s="19">
        <v>2</v>
      </c>
      <c r="G24" s="19">
        <v>520</v>
      </c>
      <c r="H24" s="19">
        <v>30</v>
      </c>
      <c r="I24" s="19">
        <f t="shared" si="2"/>
        <v>490</v>
      </c>
      <c r="J24" s="18" t="s">
        <v>15</v>
      </c>
      <c r="K24" s="18" t="s">
        <v>15</v>
      </c>
      <c r="L24" s="18" t="s">
        <v>1043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1099</v>
      </c>
      <c r="D25" s="18" t="s">
        <v>1100</v>
      </c>
      <c r="E25" s="18" t="s">
        <v>1101</v>
      </c>
      <c r="F25" s="18" t="s">
        <v>19</v>
      </c>
      <c r="G25" s="19">
        <v>510</v>
      </c>
      <c r="H25" s="19">
        <v>20</v>
      </c>
      <c r="I25" s="19">
        <f t="shared" si="2"/>
        <v>490</v>
      </c>
      <c r="J25" s="18" t="s">
        <v>15</v>
      </c>
      <c r="K25" s="18" t="s">
        <v>15</v>
      </c>
      <c r="L25" s="18" t="s">
        <v>1043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1102</v>
      </c>
      <c r="D26" s="18" t="s">
        <v>1103</v>
      </c>
      <c r="E26" s="18" t="s">
        <v>1104</v>
      </c>
      <c r="F26" s="18" t="s">
        <v>144</v>
      </c>
      <c r="G26" s="19">
        <v>470</v>
      </c>
      <c r="H26" s="19">
        <v>30</v>
      </c>
      <c r="I26" s="19">
        <f t="shared" si="2"/>
        <v>440</v>
      </c>
      <c r="J26" s="18" t="s">
        <v>15</v>
      </c>
      <c r="K26" s="18" t="s">
        <v>15</v>
      </c>
      <c r="L26" s="18" t="s">
        <v>1043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1105</v>
      </c>
      <c r="D27" s="18" t="s">
        <v>1106</v>
      </c>
      <c r="E27" s="18" t="s">
        <v>1107</v>
      </c>
      <c r="F27" s="18" t="s">
        <v>20</v>
      </c>
      <c r="G27" s="19">
        <v>0</v>
      </c>
      <c r="H27" s="19">
        <v>25</v>
      </c>
      <c r="I27" s="19">
        <f>-H27</f>
        <v>-25</v>
      </c>
      <c r="J27" s="18" t="s">
        <v>15</v>
      </c>
      <c r="K27" s="18" t="s">
        <v>15</v>
      </c>
      <c r="L27" s="18" t="s">
        <v>1043</v>
      </c>
      <c r="M27" s="18"/>
      <c r="N27" s="18"/>
      <c r="O27" s="18"/>
      <c r="P27" s="18"/>
      <c r="Q27" s="18">
        <v>1</v>
      </c>
      <c r="R27" s="17">
        <f>H27</f>
        <v>25</v>
      </c>
    </row>
    <row r="28" spans="1:18" customFormat="1" x14ac:dyDescent="0.25">
      <c r="A28" s="18"/>
      <c r="B28" s="18" t="s">
        <v>34</v>
      </c>
      <c r="C28" s="18" t="s">
        <v>1108</v>
      </c>
      <c r="D28" s="18" t="s">
        <v>1109</v>
      </c>
      <c r="E28" s="18" t="s">
        <v>1110</v>
      </c>
      <c r="F28" s="19">
        <v>2</v>
      </c>
      <c r="G28" s="19">
        <v>790</v>
      </c>
      <c r="H28" s="19">
        <v>30</v>
      </c>
      <c r="I28" s="19">
        <f t="shared" ref="I28:I33" si="3">G28-H28</f>
        <v>760</v>
      </c>
      <c r="J28" s="18" t="s">
        <v>15</v>
      </c>
      <c r="K28" s="18" t="s">
        <v>15</v>
      </c>
      <c r="L28" s="18" t="s">
        <v>1043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1111</v>
      </c>
      <c r="D29" s="18" t="s">
        <v>1112</v>
      </c>
      <c r="E29" s="18" t="s">
        <v>1113</v>
      </c>
      <c r="F29" s="18" t="s">
        <v>19</v>
      </c>
      <c r="G29" s="19">
        <v>910</v>
      </c>
      <c r="H29" s="19">
        <v>20</v>
      </c>
      <c r="I29" s="19">
        <f t="shared" si="3"/>
        <v>890</v>
      </c>
      <c r="J29" s="18" t="s">
        <v>15</v>
      </c>
      <c r="K29" s="18" t="s">
        <v>15</v>
      </c>
      <c r="L29" s="18" t="s">
        <v>1043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1114</v>
      </c>
      <c r="D30" s="18" t="s">
        <v>1115</v>
      </c>
      <c r="E30" s="18" t="s">
        <v>1116</v>
      </c>
      <c r="F30" s="19">
        <v>3</v>
      </c>
      <c r="G30" s="19">
        <v>535</v>
      </c>
      <c r="H30" s="19">
        <v>25</v>
      </c>
      <c r="I30" s="19">
        <f t="shared" si="3"/>
        <v>510</v>
      </c>
      <c r="J30" s="18" t="s">
        <v>160</v>
      </c>
      <c r="K30" s="18" t="s">
        <v>15</v>
      </c>
      <c r="L30" s="18" t="s">
        <v>1043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1117</v>
      </c>
      <c r="D31" s="18" t="s">
        <v>1118</v>
      </c>
      <c r="E31" s="18" t="s">
        <v>1119</v>
      </c>
      <c r="F31" s="19">
        <v>3</v>
      </c>
      <c r="G31" s="19">
        <v>1005</v>
      </c>
      <c r="H31" s="19">
        <v>25</v>
      </c>
      <c r="I31" s="19">
        <f t="shared" si="3"/>
        <v>980</v>
      </c>
      <c r="J31" s="18" t="s">
        <v>160</v>
      </c>
      <c r="K31" s="18" t="s">
        <v>15</v>
      </c>
      <c r="L31" s="18" t="s">
        <v>1043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1120</v>
      </c>
      <c r="D32" s="18" t="s">
        <v>1121</v>
      </c>
      <c r="E32" s="18" t="s">
        <v>1122</v>
      </c>
      <c r="F32" s="19">
        <v>1</v>
      </c>
      <c r="G32" s="19">
        <v>375</v>
      </c>
      <c r="H32" s="19">
        <v>25</v>
      </c>
      <c r="I32" s="19">
        <f t="shared" si="3"/>
        <v>350</v>
      </c>
      <c r="J32" s="18" t="s">
        <v>160</v>
      </c>
      <c r="K32" s="18" t="s">
        <v>15</v>
      </c>
      <c r="L32" s="18" t="s">
        <v>1043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1123</v>
      </c>
      <c r="D33" s="18" t="s">
        <v>1124</v>
      </c>
      <c r="E33" s="18" t="s">
        <v>1125</v>
      </c>
      <c r="F33" s="19">
        <v>4</v>
      </c>
      <c r="G33" s="19">
        <v>845</v>
      </c>
      <c r="H33" s="19">
        <v>25</v>
      </c>
      <c r="I33" s="19">
        <f t="shared" si="3"/>
        <v>820</v>
      </c>
      <c r="J33" s="18" t="s">
        <v>160</v>
      </c>
      <c r="K33" s="18" t="s">
        <v>15</v>
      </c>
      <c r="L33" s="18" t="s">
        <v>1043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1126</v>
      </c>
      <c r="D34" s="18" t="s">
        <v>1127</v>
      </c>
      <c r="E34" s="18" t="s">
        <v>1128</v>
      </c>
      <c r="F34" s="18" t="s">
        <v>18</v>
      </c>
      <c r="G34" s="19">
        <v>0</v>
      </c>
      <c r="H34" s="19">
        <v>25</v>
      </c>
      <c r="I34" s="19">
        <f>-H34</f>
        <v>-25</v>
      </c>
      <c r="J34" s="18" t="s">
        <v>160</v>
      </c>
      <c r="K34" s="18" t="s">
        <v>15</v>
      </c>
      <c r="L34" s="18" t="s">
        <v>1043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1129</v>
      </c>
      <c r="D35" s="18" t="s">
        <v>1130</v>
      </c>
      <c r="E35" s="18" t="s">
        <v>1131</v>
      </c>
      <c r="F35" s="18" t="s">
        <v>17</v>
      </c>
      <c r="G35" s="19">
        <v>560</v>
      </c>
      <c r="H35" s="19">
        <v>20</v>
      </c>
      <c r="I35" s="19">
        <f t="shared" ref="I35:I40" si="4">G35-H35</f>
        <v>540</v>
      </c>
      <c r="J35" s="18" t="s">
        <v>160</v>
      </c>
      <c r="K35" s="18" t="s">
        <v>15</v>
      </c>
      <c r="L35" s="18" t="s">
        <v>1043</v>
      </c>
      <c r="M35" s="18"/>
      <c r="N35" s="18"/>
      <c r="O35" s="18"/>
      <c r="P35" s="18"/>
      <c r="Q35" s="18">
        <v>1</v>
      </c>
    </row>
    <row r="36" spans="1:18" s="22" customFormat="1" x14ac:dyDescent="0.25">
      <c r="A36" s="20"/>
      <c r="B36" s="20" t="s">
        <v>34</v>
      </c>
      <c r="C36" s="20" t="s">
        <v>1132</v>
      </c>
      <c r="D36" s="20" t="s">
        <v>1133</v>
      </c>
      <c r="E36" s="20" t="s">
        <v>1134</v>
      </c>
      <c r="F36" s="21">
        <v>10</v>
      </c>
      <c r="G36" s="21">
        <v>445</v>
      </c>
      <c r="H36" s="21">
        <v>25</v>
      </c>
      <c r="I36" s="21">
        <f t="shared" si="4"/>
        <v>420</v>
      </c>
      <c r="J36" s="20" t="s">
        <v>160</v>
      </c>
      <c r="K36" s="20" t="s">
        <v>15</v>
      </c>
      <c r="L36" s="20" t="s">
        <v>1043</v>
      </c>
      <c r="M36" s="20" t="s">
        <v>16</v>
      </c>
      <c r="N36" s="20"/>
      <c r="O36" s="20"/>
      <c r="P36" s="20"/>
      <c r="Q36" s="20">
        <v>1</v>
      </c>
    </row>
    <row r="37" spans="1:18" customFormat="1" x14ac:dyDescent="0.25">
      <c r="A37" s="18"/>
      <c r="B37" s="18" t="s">
        <v>34</v>
      </c>
      <c r="C37" s="18" t="s">
        <v>1135</v>
      </c>
      <c r="D37" s="18" t="s">
        <v>1136</v>
      </c>
      <c r="E37" s="18" t="s">
        <v>1137</v>
      </c>
      <c r="F37" s="19">
        <v>5</v>
      </c>
      <c r="G37" s="19">
        <v>515</v>
      </c>
      <c r="H37" s="19">
        <v>25</v>
      </c>
      <c r="I37" s="19">
        <f t="shared" si="4"/>
        <v>490</v>
      </c>
      <c r="J37" s="18" t="s">
        <v>160</v>
      </c>
      <c r="K37" s="18" t="s">
        <v>15</v>
      </c>
      <c r="L37" s="18" t="s">
        <v>1043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1138</v>
      </c>
      <c r="D38" s="18" t="s">
        <v>1139</v>
      </c>
      <c r="E38" s="18" t="s">
        <v>1140</v>
      </c>
      <c r="F38" s="18" t="s">
        <v>17</v>
      </c>
      <c r="G38" s="19">
        <v>1350</v>
      </c>
      <c r="H38" s="19">
        <v>20</v>
      </c>
      <c r="I38" s="19">
        <f t="shared" si="4"/>
        <v>1330</v>
      </c>
      <c r="J38" s="18" t="s">
        <v>160</v>
      </c>
      <c r="K38" s="18" t="s">
        <v>15</v>
      </c>
      <c r="L38" s="18" t="s">
        <v>1043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1141</v>
      </c>
      <c r="D39" s="18" t="s">
        <v>1142</v>
      </c>
      <c r="E39" s="18" t="s">
        <v>1143</v>
      </c>
      <c r="F39" s="19">
        <v>4</v>
      </c>
      <c r="G39" s="19">
        <v>785</v>
      </c>
      <c r="H39" s="19">
        <v>25</v>
      </c>
      <c r="I39" s="19">
        <f t="shared" si="4"/>
        <v>760</v>
      </c>
      <c r="J39" s="18" t="s">
        <v>160</v>
      </c>
      <c r="K39" s="18" t="s">
        <v>15</v>
      </c>
      <c r="L39" s="18" t="s">
        <v>1043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1144</v>
      </c>
      <c r="D40" s="18" t="s">
        <v>1145</v>
      </c>
      <c r="E40" s="18" t="s">
        <v>1146</v>
      </c>
      <c r="F40" s="19">
        <v>1</v>
      </c>
      <c r="G40" s="19">
        <v>515</v>
      </c>
      <c r="H40" s="19">
        <v>25</v>
      </c>
      <c r="I40" s="19">
        <f t="shared" si="4"/>
        <v>490</v>
      </c>
      <c r="J40" s="18" t="s">
        <v>160</v>
      </c>
      <c r="K40" s="18" t="s">
        <v>15</v>
      </c>
      <c r="L40" s="18" t="s">
        <v>1043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1147</v>
      </c>
      <c r="D41" s="18" t="s">
        <v>1148</v>
      </c>
      <c r="E41" s="18" t="s">
        <v>1149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1043</v>
      </c>
      <c r="M41" s="18"/>
      <c r="N41" s="18"/>
      <c r="O41" s="18"/>
      <c r="P41" s="18"/>
      <c r="Q41" s="18">
        <v>1</v>
      </c>
      <c r="R41" s="17">
        <f>H41</f>
        <v>25</v>
      </c>
    </row>
    <row r="42" spans="1:18" customFormat="1" x14ac:dyDescent="0.25">
      <c r="A42" s="18"/>
      <c r="B42" s="18" t="s">
        <v>34</v>
      </c>
      <c r="C42" s="18" t="s">
        <v>993</v>
      </c>
      <c r="D42" s="18" t="s">
        <v>1150</v>
      </c>
      <c r="E42" s="18" t="s">
        <v>1151</v>
      </c>
      <c r="F42" s="18" t="s">
        <v>17</v>
      </c>
      <c r="G42" s="19">
        <v>1110</v>
      </c>
      <c r="H42" s="19">
        <v>20</v>
      </c>
      <c r="I42" s="19">
        <f>G42-H42</f>
        <v>1090</v>
      </c>
      <c r="J42" s="18" t="s">
        <v>160</v>
      </c>
      <c r="K42" s="18" t="s">
        <v>15</v>
      </c>
      <c r="L42" s="18" t="s">
        <v>1043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1152</v>
      </c>
      <c r="D43" s="18" t="s">
        <v>1153</v>
      </c>
      <c r="E43" s="18" t="s">
        <v>1154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160</v>
      </c>
      <c r="K43" s="18" t="s">
        <v>15</v>
      </c>
      <c r="L43" s="18" t="s">
        <v>1043</v>
      </c>
      <c r="M43" s="18"/>
      <c r="N43" s="18"/>
      <c r="O43" s="18"/>
      <c r="P43" s="18"/>
      <c r="Q43" s="18">
        <v>1</v>
      </c>
    </row>
    <row r="45" spans="1:18" x14ac:dyDescent="0.25">
      <c r="G45" s="1">
        <f t="shared" ref="G45:R45" si="5">SUBTOTAL(9,G3:G44)</f>
        <v>29910</v>
      </c>
      <c r="H45" s="1">
        <f t="shared" si="5"/>
        <v>1110</v>
      </c>
      <c r="I45" s="1">
        <f t="shared" si="5"/>
        <v>28800</v>
      </c>
      <c r="J45" s="1">
        <f t="shared" si="5"/>
        <v>0</v>
      </c>
      <c r="K45" s="1">
        <f t="shared" si="5"/>
        <v>0</v>
      </c>
      <c r="L45" s="1">
        <f t="shared" si="5"/>
        <v>0</v>
      </c>
      <c r="M45" s="1">
        <f t="shared" si="5"/>
        <v>0</v>
      </c>
      <c r="N45" s="1">
        <f t="shared" si="5"/>
        <v>0</v>
      </c>
      <c r="O45" s="1">
        <f t="shared" si="5"/>
        <v>0</v>
      </c>
      <c r="P45" s="1">
        <f t="shared" si="5"/>
        <v>0</v>
      </c>
      <c r="Q45" s="1">
        <f t="shared" si="5"/>
        <v>41</v>
      </c>
      <c r="R45" s="1">
        <f t="shared" si="5"/>
        <v>280</v>
      </c>
    </row>
    <row r="49" spans="8:10" ht="20.25" customHeight="1" x14ac:dyDescent="0.3">
      <c r="H49" s="4" t="s">
        <v>1038</v>
      </c>
      <c r="I49" s="5" t="s">
        <v>21</v>
      </c>
      <c r="J49" s="6" t="s">
        <v>22</v>
      </c>
    </row>
    <row r="50" spans="8:10" ht="15.75" customHeight="1" x14ac:dyDescent="0.25">
      <c r="H50" s="7" t="s">
        <v>23</v>
      </c>
      <c r="I50" s="8">
        <f>SUM(I44:I48)</f>
        <v>28800</v>
      </c>
      <c r="J50" s="8">
        <f>Q45</f>
        <v>41</v>
      </c>
    </row>
    <row r="51" spans="8:10" x14ac:dyDescent="0.25">
      <c r="H51" s="9" t="s">
        <v>24</v>
      </c>
      <c r="I51" s="10">
        <f>R45</f>
        <v>280</v>
      </c>
      <c r="J51" s="11"/>
    </row>
    <row r="52" spans="8:10" x14ac:dyDescent="0.25">
      <c r="H52" s="9" t="s">
        <v>25</v>
      </c>
      <c r="I52" s="10">
        <f>S44</f>
        <v>0</v>
      </c>
      <c r="J52" s="11"/>
    </row>
    <row r="53" spans="8:10" x14ac:dyDescent="0.25">
      <c r="H53" s="9" t="s">
        <v>26</v>
      </c>
      <c r="I53" s="10">
        <f>T44</f>
        <v>0</v>
      </c>
      <c r="J53" s="11"/>
    </row>
    <row r="54" spans="8:10" x14ac:dyDescent="0.25">
      <c r="H54" s="9" t="s">
        <v>27</v>
      </c>
      <c r="I54" s="10">
        <f>U44</f>
        <v>0</v>
      </c>
      <c r="J54" s="11"/>
    </row>
    <row r="55" spans="8:10" ht="15.75" customHeight="1" x14ac:dyDescent="0.25">
      <c r="H55" s="12" t="s">
        <v>28</v>
      </c>
      <c r="I55" s="13"/>
      <c r="J55" s="13"/>
    </row>
    <row r="56" spans="8:10" ht="15.75" customHeight="1" x14ac:dyDescent="0.25">
      <c r="H56" s="14" t="s">
        <v>29</v>
      </c>
      <c r="I56" s="13"/>
      <c r="J56" s="13"/>
    </row>
    <row r="57" spans="8:10" ht="21" customHeight="1" x14ac:dyDescent="0.35">
      <c r="H57" s="15" t="s">
        <v>30</v>
      </c>
      <c r="I57" s="16">
        <f>SUM(I50:I56)</f>
        <v>29080</v>
      </c>
      <c r="J57" s="16">
        <f>SUM(J50:J54)</f>
        <v>41</v>
      </c>
    </row>
  </sheetData>
  <autoFilter ref="A2:P43" xr:uid="{00000000-0009-0000-0000-000006000000}">
    <sortState xmlns:xlrd2="http://schemas.microsoft.com/office/spreadsheetml/2017/richdata2" ref="A3:P43">
      <sortCondition ref="J2:J43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67337-0001-4BC5-B3FD-5D2E0203B2F2}">
  <dimension ref="A1:R79"/>
  <sheetViews>
    <sheetView topLeftCell="A59" zoomScaleNormal="100" workbookViewId="0">
      <selection activeCell="S45" sqref="S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442</v>
      </c>
      <c r="C1" s="1" t="s">
        <v>1156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1157</v>
      </c>
      <c r="D3" s="18" t="s">
        <v>1158</v>
      </c>
      <c r="E3" s="18" t="s">
        <v>1159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56</v>
      </c>
      <c r="K3" s="18" t="s">
        <v>15</v>
      </c>
      <c r="L3" s="18" t="s">
        <v>1160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1161</v>
      </c>
      <c r="D4" s="18" t="s">
        <v>1162</v>
      </c>
      <c r="E4" s="18" t="s">
        <v>1163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56</v>
      </c>
      <c r="K4" s="18" t="s">
        <v>15</v>
      </c>
      <c r="L4" s="18" t="s">
        <v>1160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1164</v>
      </c>
      <c r="D5" s="18" t="s">
        <v>1165</v>
      </c>
      <c r="E5" s="18" t="s">
        <v>1166</v>
      </c>
      <c r="F5" s="18" t="s">
        <v>123</v>
      </c>
      <c r="G5" s="19">
        <v>825</v>
      </c>
      <c r="H5" s="19">
        <v>35</v>
      </c>
      <c r="I5" s="19">
        <f>G5-H5</f>
        <v>790</v>
      </c>
      <c r="J5" s="18" t="s">
        <v>1167</v>
      </c>
      <c r="K5" s="18" t="s">
        <v>15</v>
      </c>
      <c r="L5" s="18" t="s">
        <v>1160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1168</v>
      </c>
      <c r="D6" s="18" t="s">
        <v>1169</v>
      </c>
      <c r="E6" s="18" t="s">
        <v>1170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1167</v>
      </c>
      <c r="K6" s="18" t="s">
        <v>15</v>
      </c>
      <c r="L6" s="18" t="s">
        <v>1160</v>
      </c>
      <c r="M6" s="18"/>
      <c r="N6" s="18"/>
      <c r="O6" s="18"/>
      <c r="P6" s="18"/>
      <c r="Q6" s="18">
        <v>1</v>
      </c>
      <c r="R6" s="17">
        <f>H6</f>
        <v>30</v>
      </c>
    </row>
    <row r="7" spans="1:18" customFormat="1" x14ac:dyDescent="0.25">
      <c r="A7" s="18"/>
      <c r="B7" s="18" t="s">
        <v>34</v>
      </c>
      <c r="C7" s="18" t="s">
        <v>1171</v>
      </c>
      <c r="D7" s="18" t="s">
        <v>1172</v>
      </c>
      <c r="E7" s="18" t="s">
        <v>1173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1167</v>
      </c>
      <c r="K7" s="18" t="s">
        <v>15</v>
      </c>
      <c r="L7" s="18" t="s">
        <v>1160</v>
      </c>
      <c r="M7" s="18"/>
      <c r="N7" s="18"/>
      <c r="O7" s="18"/>
      <c r="P7" s="18"/>
      <c r="Q7" s="18">
        <v>1</v>
      </c>
      <c r="R7" s="17">
        <f>H7</f>
        <v>30</v>
      </c>
    </row>
    <row r="8" spans="1:18" customFormat="1" x14ac:dyDescent="0.25">
      <c r="A8" s="18"/>
      <c r="B8" s="18" t="s">
        <v>34</v>
      </c>
      <c r="C8" s="18" t="s">
        <v>1174</v>
      </c>
      <c r="D8" s="18" t="s">
        <v>1175</v>
      </c>
      <c r="E8" s="18" t="s">
        <v>1176</v>
      </c>
      <c r="F8" s="18" t="s">
        <v>212</v>
      </c>
      <c r="G8" s="19">
        <v>795</v>
      </c>
      <c r="H8" s="19">
        <v>25</v>
      </c>
      <c r="I8" s="19">
        <f t="shared" ref="I8:I13" si="0">G8-H8</f>
        <v>770</v>
      </c>
      <c r="J8" s="18" t="s">
        <v>1167</v>
      </c>
      <c r="K8" s="18" t="s">
        <v>15</v>
      </c>
      <c r="L8" s="18" t="s">
        <v>1160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1177</v>
      </c>
      <c r="D9" s="18" t="s">
        <v>1178</v>
      </c>
      <c r="E9" s="18" t="s">
        <v>1179</v>
      </c>
      <c r="F9" s="18" t="s">
        <v>38</v>
      </c>
      <c r="G9" s="19">
        <v>830</v>
      </c>
      <c r="H9" s="19">
        <v>30</v>
      </c>
      <c r="I9" s="19">
        <f t="shared" si="0"/>
        <v>800</v>
      </c>
      <c r="J9" s="18" t="s">
        <v>1167</v>
      </c>
      <c r="K9" s="18" t="s">
        <v>15</v>
      </c>
      <c r="L9" s="18" t="s">
        <v>1160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1180</v>
      </c>
      <c r="D10" s="18" t="s">
        <v>1181</v>
      </c>
      <c r="E10" s="18" t="s">
        <v>1182</v>
      </c>
      <c r="F10" s="18" t="s">
        <v>123</v>
      </c>
      <c r="G10" s="19">
        <v>875</v>
      </c>
      <c r="H10" s="19">
        <v>35</v>
      </c>
      <c r="I10" s="19">
        <f t="shared" si="0"/>
        <v>840</v>
      </c>
      <c r="J10" s="18" t="s">
        <v>1167</v>
      </c>
      <c r="K10" s="18" t="s">
        <v>15</v>
      </c>
      <c r="L10" s="18" t="s">
        <v>1160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1183</v>
      </c>
      <c r="D11" s="18" t="s">
        <v>1184</v>
      </c>
      <c r="E11" s="18" t="s">
        <v>1185</v>
      </c>
      <c r="F11" s="18" t="s">
        <v>212</v>
      </c>
      <c r="G11" s="19">
        <v>715</v>
      </c>
      <c r="H11" s="19">
        <v>25</v>
      </c>
      <c r="I11" s="19">
        <f t="shared" si="0"/>
        <v>690</v>
      </c>
      <c r="J11" s="18" t="s">
        <v>1167</v>
      </c>
      <c r="K11" s="18" t="s">
        <v>15</v>
      </c>
      <c r="L11" s="18" t="s">
        <v>1160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1186</v>
      </c>
      <c r="D12" s="18" t="s">
        <v>1187</v>
      </c>
      <c r="E12" s="18" t="s">
        <v>1188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1167</v>
      </c>
      <c r="K12" s="18" t="s">
        <v>15</v>
      </c>
      <c r="L12" s="18" t="s">
        <v>1160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1189</v>
      </c>
      <c r="D13" s="18" t="s">
        <v>1190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1167</v>
      </c>
      <c r="K13" s="18" t="s">
        <v>15</v>
      </c>
      <c r="L13" s="18" t="s">
        <v>1160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1191</v>
      </c>
      <c r="D14" s="18" t="s">
        <v>1192</v>
      </c>
      <c r="E14" s="18" t="s">
        <v>1193</v>
      </c>
      <c r="F14" s="18" t="s">
        <v>18</v>
      </c>
      <c r="G14" s="19">
        <v>0</v>
      </c>
      <c r="H14" s="19">
        <v>25</v>
      </c>
      <c r="I14" s="19">
        <f>-H14</f>
        <v>-25</v>
      </c>
      <c r="J14" s="18" t="s">
        <v>1167</v>
      </c>
      <c r="K14" s="18" t="s">
        <v>15</v>
      </c>
      <c r="L14" s="18" t="s">
        <v>1160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216</v>
      </c>
      <c r="D15" s="18" t="s">
        <v>1194</v>
      </c>
      <c r="E15" s="18" t="s">
        <v>218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1167</v>
      </c>
      <c r="K15" s="18" t="s">
        <v>15</v>
      </c>
      <c r="L15" s="18" t="s">
        <v>1160</v>
      </c>
      <c r="M15" s="26" t="s">
        <v>377</v>
      </c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1195</v>
      </c>
      <c r="D16" s="18" t="s">
        <v>1196</v>
      </c>
      <c r="E16" s="18" t="s">
        <v>1197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1167</v>
      </c>
      <c r="K16" s="18" t="s">
        <v>15</v>
      </c>
      <c r="L16" s="18" t="s">
        <v>1160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1198</v>
      </c>
      <c r="D17" s="18" t="s">
        <v>1199</v>
      </c>
      <c r="E17" s="18" t="s">
        <v>1200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1167</v>
      </c>
      <c r="K17" s="18" t="s">
        <v>15</v>
      </c>
      <c r="L17" s="18" t="s">
        <v>1160</v>
      </c>
      <c r="M17" s="18"/>
      <c r="N17" s="18"/>
      <c r="O17" s="18"/>
      <c r="P17" s="18"/>
      <c r="Q17" s="18">
        <v>1</v>
      </c>
    </row>
    <row r="18" spans="1:18" s="22" customFormat="1" x14ac:dyDescent="0.25">
      <c r="A18" s="20"/>
      <c r="B18" s="20" t="s">
        <v>34</v>
      </c>
      <c r="C18" s="20" t="s">
        <v>1067</v>
      </c>
      <c r="D18" s="20" t="s">
        <v>1201</v>
      </c>
      <c r="E18" s="20" t="s">
        <v>1202</v>
      </c>
      <c r="F18" s="21">
        <v>7</v>
      </c>
      <c r="G18" s="21">
        <v>0</v>
      </c>
      <c r="H18" s="21">
        <v>30</v>
      </c>
      <c r="I18" s="21">
        <f>-H18</f>
        <v>-30</v>
      </c>
      <c r="J18" s="20" t="s">
        <v>1167</v>
      </c>
      <c r="K18" s="20" t="s">
        <v>15</v>
      </c>
      <c r="L18" s="20" t="s">
        <v>1160</v>
      </c>
      <c r="M18" s="20" t="s">
        <v>16</v>
      </c>
      <c r="N18" s="20"/>
      <c r="O18" s="20"/>
      <c r="P18" s="20"/>
      <c r="Q18" s="20">
        <v>1</v>
      </c>
      <c r="R18" s="29">
        <f>H18</f>
        <v>30</v>
      </c>
    </row>
    <row r="19" spans="1:18" customFormat="1" x14ac:dyDescent="0.25">
      <c r="A19" s="18"/>
      <c r="B19" s="18" t="s">
        <v>34</v>
      </c>
      <c r="C19" s="18" t="s">
        <v>1203</v>
      </c>
      <c r="D19" s="18" t="s">
        <v>1204</v>
      </c>
      <c r="E19" s="18" t="s">
        <v>1205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1167</v>
      </c>
      <c r="K19" s="18" t="s">
        <v>15</v>
      </c>
      <c r="L19" s="18" t="s">
        <v>1160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1206</v>
      </c>
      <c r="D20" s="18" t="s">
        <v>1207</v>
      </c>
      <c r="E20" s="18" t="s">
        <v>1208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1167</v>
      </c>
      <c r="K20" s="18" t="s">
        <v>15</v>
      </c>
      <c r="L20" s="18" t="s">
        <v>1160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1209</v>
      </c>
      <c r="D21" s="18" t="s">
        <v>1210</v>
      </c>
      <c r="E21" s="18" t="s">
        <v>1211</v>
      </c>
      <c r="F21" s="18" t="s">
        <v>38</v>
      </c>
      <c r="G21" s="19">
        <v>870</v>
      </c>
      <c r="H21" s="19">
        <v>30</v>
      </c>
      <c r="I21" s="19">
        <f>G21-H21</f>
        <v>840</v>
      </c>
      <c r="J21" s="18" t="s">
        <v>1167</v>
      </c>
      <c r="K21" s="18" t="s">
        <v>15</v>
      </c>
      <c r="L21" s="18" t="s">
        <v>1160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1212</v>
      </c>
      <c r="D22" s="18" t="s">
        <v>1213</v>
      </c>
      <c r="E22" s="18" t="s">
        <v>1214</v>
      </c>
      <c r="F22" s="18" t="s">
        <v>38</v>
      </c>
      <c r="G22" s="19">
        <v>0</v>
      </c>
      <c r="H22" s="19">
        <v>30</v>
      </c>
      <c r="I22" s="19">
        <f>-H22</f>
        <v>-30</v>
      </c>
      <c r="J22" s="18" t="s">
        <v>1167</v>
      </c>
      <c r="K22" s="18" t="s">
        <v>15</v>
      </c>
      <c r="L22" s="18" t="s">
        <v>1160</v>
      </c>
      <c r="M22" s="18"/>
      <c r="N22" s="18"/>
      <c r="O22" s="18"/>
      <c r="P22" s="18"/>
      <c r="Q22" s="18">
        <v>1</v>
      </c>
      <c r="R22" s="17">
        <f>H22</f>
        <v>30</v>
      </c>
    </row>
    <row r="23" spans="1:18" customFormat="1" x14ac:dyDescent="0.25">
      <c r="A23" s="18"/>
      <c r="B23" s="18" t="s">
        <v>34</v>
      </c>
      <c r="C23" s="18" t="s">
        <v>197</v>
      </c>
      <c r="D23" s="18" t="s">
        <v>1215</v>
      </c>
      <c r="E23" s="18" t="s">
        <v>1216</v>
      </c>
      <c r="F23" s="18" t="s">
        <v>18</v>
      </c>
      <c r="G23" s="19">
        <v>815</v>
      </c>
      <c r="H23" s="19">
        <v>25</v>
      </c>
      <c r="I23" s="19">
        <f>G23-H23</f>
        <v>790</v>
      </c>
      <c r="J23" s="18" t="s">
        <v>1167</v>
      </c>
      <c r="K23" s="18" t="s">
        <v>15</v>
      </c>
      <c r="L23" s="18" t="s">
        <v>1160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1217</v>
      </c>
      <c r="D24" s="18" t="s">
        <v>1218</v>
      </c>
      <c r="E24" s="18" t="s">
        <v>1219</v>
      </c>
      <c r="F24" s="18" t="s">
        <v>38</v>
      </c>
      <c r="G24" s="19">
        <v>0</v>
      </c>
      <c r="H24" s="19">
        <v>30</v>
      </c>
      <c r="I24" s="19">
        <f>-H24</f>
        <v>-30</v>
      </c>
      <c r="J24" s="18" t="s">
        <v>1167</v>
      </c>
      <c r="K24" s="18" t="s">
        <v>15</v>
      </c>
      <c r="L24" s="18" t="s">
        <v>1160</v>
      </c>
      <c r="M24" s="18"/>
      <c r="N24" s="18"/>
      <c r="O24" s="18"/>
      <c r="P24" s="18"/>
      <c r="Q24" s="18">
        <v>1</v>
      </c>
      <c r="R24" s="17">
        <f>H24</f>
        <v>30</v>
      </c>
    </row>
    <row r="25" spans="1:18" customFormat="1" x14ac:dyDescent="0.25">
      <c r="A25" s="18"/>
      <c r="B25" s="18" t="s">
        <v>34</v>
      </c>
      <c r="C25" s="18" t="s">
        <v>1220</v>
      </c>
      <c r="D25" s="18" t="s">
        <v>1221</v>
      </c>
      <c r="E25" s="18" t="s">
        <v>1222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1167</v>
      </c>
      <c r="K25" s="18" t="s">
        <v>15</v>
      </c>
      <c r="L25" s="18" t="s">
        <v>1160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1223</v>
      </c>
      <c r="D26" s="18" t="s">
        <v>1224</v>
      </c>
      <c r="E26" s="18" t="s">
        <v>1225</v>
      </c>
      <c r="F26" s="18" t="s">
        <v>38</v>
      </c>
      <c r="G26" s="19">
        <v>0</v>
      </c>
      <c r="H26" s="19">
        <v>30</v>
      </c>
      <c r="I26" s="19">
        <f>-H26</f>
        <v>-30</v>
      </c>
      <c r="J26" s="18" t="s">
        <v>1167</v>
      </c>
      <c r="K26" s="18" t="s">
        <v>15</v>
      </c>
      <c r="L26" s="18" t="s">
        <v>1160</v>
      </c>
      <c r="M26" s="18"/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1226</v>
      </c>
      <c r="D27" s="18" t="s">
        <v>1227</v>
      </c>
      <c r="E27" s="18" t="s">
        <v>1228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1167</v>
      </c>
      <c r="K27" s="18" t="s">
        <v>15</v>
      </c>
      <c r="L27" s="18" t="s">
        <v>1160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1229</v>
      </c>
      <c r="D28" s="18" t="s">
        <v>1230</v>
      </c>
      <c r="E28" s="18" t="s">
        <v>1231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1167</v>
      </c>
      <c r="K28" s="18" t="s">
        <v>15</v>
      </c>
      <c r="L28" s="18" t="s">
        <v>1160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1232</v>
      </c>
      <c r="D29" s="18" t="s">
        <v>1233</v>
      </c>
      <c r="E29" s="18" t="s">
        <v>1234</v>
      </c>
      <c r="F29" s="18" t="s">
        <v>18</v>
      </c>
      <c r="G29" s="19">
        <v>915</v>
      </c>
      <c r="H29" s="19">
        <v>25</v>
      </c>
      <c r="I29" s="19">
        <f>G29-H29</f>
        <v>890</v>
      </c>
      <c r="J29" s="18" t="s">
        <v>1167</v>
      </c>
      <c r="K29" s="18" t="s">
        <v>15</v>
      </c>
      <c r="L29" s="18" t="s">
        <v>1160</v>
      </c>
      <c r="M29" s="18"/>
      <c r="N29" s="18"/>
      <c r="O29" s="18"/>
      <c r="P29" s="18"/>
      <c r="Q29" s="18">
        <v>1</v>
      </c>
    </row>
    <row r="30" spans="1:18" customFormat="1" x14ac:dyDescent="0.25">
      <c r="A30" s="18" t="s">
        <v>96</v>
      </c>
      <c r="B30" s="18" t="s">
        <v>34</v>
      </c>
      <c r="C30" s="18"/>
      <c r="D30" s="18"/>
      <c r="E30" s="18" t="s">
        <v>1235</v>
      </c>
      <c r="F30" s="18" t="s">
        <v>38</v>
      </c>
      <c r="G30" s="19">
        <v>0</v>
      </c>
      <c r="H30" s="19">
        <v>35</v>
      </c>
      <c r="I30" s="19">
        <f>-H30</f>
        <v>-35</v>
      </c>
      <c r="J30" s="18" t="s">
        <v>1167</v>
      </c>
      <c r="K30" s="18" t="s">
        <v>15</v>
      </c>
      <c r="L30" s="18" t="s">
        <v>1160</v>
      </c>
      <c r="M30" s="18"/>
      <c r="N30" s="18"/>
      <c r="O30" s="18"/>
      <c r="P30" s="18"/>
      <c r="Q30" s="18">
        <v>1</v>
      </c>
      <c r="R30" s="17">
        <f>H30</f>
        <v>35</v>
      </c>
    </row>
    <row r="31" spans="1:18" customFormat="1" x14ac:dyDescent="0.25">
      <c r="A31" s="18"/>
      <c r="B31" s="18" t="s">
        <v>34</v>
      </c>
      <c r="C31" s="18" t="s">
        <v>1236</v>
      </c>
      <c r="D31" s="18" t="s">
        <v>1237</v>
      </c>
      <c r="E31" s="18" t="s">
        <v>1238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15</v>
      </c>
      <c r="K31" s="18" t="s">
        <v>15</v>
      </c>
      <c r="L31" s="18" t="s">
        <v>1160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148</v>
      </c>
      <c r="D32" s="18" t="s">
        <v>1239</v>
      </c>
      <c r="E32" s="18" t="s">
        <v>150</v>
      </c>
      <c r="F32" s="18" t="s">
        <v>19</v>
      </c>
      <c r="G32" s="19">
        <v>0</v>
      </c>
      <c r="H32" s="19">
        <v>20</v>
      </c>
      <c r="I32" s="19">
        <f>-H32</f>
        <v>-20</v>
      </c>
      <c r="J32" s="18" t="s">
        <v>15</v>
      </c>
      <c r="K32" s="18" t="s">
        <v>15</v>
      </c>
      <c r="L32" s="18" t="s">
        <v>1160</v>
      </c>
      <c r="M32" s="18"/>
      <c r="N32" s="18"/>
      <c r="O32" s="18"/>
      <c r="P32" s="18"/>
      <c r="Q32" s="18">
        <v>1</v>
      </c>
      <c r="R32" s="17">
        <f>H32</f>
        <v>20</v>
      </c>
    </row>
    <row r="33" spans="1:18" customFormat="1" x14ac:dyDescent="0.25">
      <c r="A33" s="18"/>
      <c r="B33" s="18" t="s">
        <v>34</v>
      </c>
      <c r="C33" s="18" t="s">
        <v>745</v>
      </c>
      <c r="D33" s="18" t="s">
        <v>1240</v>
      </c>
      <c r="E33" s="18" t="s">
        <v>1241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15</v>
      </c>
      <c r="K33" s="18" t="s">
        <v>15</v>
      </c>
      <c r="L33" s="18" t="s">
        <v>1160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1242</v>
      </c>
      <c r="D34" s="18" t="s">
        <v>1243</v>
      </c>
      <c r="E34" s="18" t="s">
        <v>1244</v>
      </c>
      <c r="F34" s="18" t="s">
        <v>144</v>
      </c>
      <c r="G34" s="19">
        <v>820</v>
      </c>
      <c r="H34" s="19">
        <v>30</v>
      </c>
      <c r="I34" s="19">
        <f>G34-H34</f>
        <v>790</v>
      </c>
      <c r="J34" s="18" t="s">
        <v>15</v>
      </c>
      <c r="K34" s="18" t="s">
        <v>15</v>
      </c>
      <c r="L34" s="18" t="s">
        <v>1160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1245</v>
      </c>
      <c r="D35" s="18" t="s">
        <v>1246</v>
      </c>
      <c r="E35" s="18" t="s">
        <v>1247</v>
      </c>
      <c r="F35" s="18" t="s">
        <v>20</v>
      </c>
      <c r="G35" s="19">
        <v>1455</v>
      </c>
      <c r="H35" s="19">
        <v>25</v>
      </c>
      <c r="I35" s="19">
        <f>G35-H35</f>
        <v>1430</v>
      </c>
      <c r="J35" s="18" t="s">
        <v>15</v>
      </c>
      <c r="K35" s="18" t="s">
        <v>15</v>
      </c>
      <c r="L35" s="18" t="s">
        <v>1160</v>
      </c>
      <c r="M35" s="18"/>
      <c r="N35" s="18"/>
      <c r="O35" s="18"/>
      <c r="P35" s="18"/>
      <c r="Q35" s="18">
        <v>1</v>
      </c>
    </row>
    <row r="36" spans="1:18" customFormat="1" x14ac:dyDescent="0.25">
      <c r="A36" s="18" t="s">
        <v>96</v>
      </c>
      <c r="B36" s="18" t="s">
        <v>34</v>
      </c>
      <c r="C36" s="18" t="s">
        <v>1248</v>
      </c>
      <c r="D36" s="18"/>
      <c r="E36" s="18" t="s">
        <v>1249</v>
      </c>
      <c r="F36" s="18" t="s">
        <v>19</v>
      </c>
      <c r="G36" s="19">
        <v>0</v>
      </c>
      <c r="H36" s="19">
        <v>25</v>
      </c>
      <c r="I36" s="19">
        <f>-H36</f>
        <v>-25</v>
      </c>
      <c r="J36" s="18" t="s">
        <v>15</v>
      </c>
      <c r="K36" s="18" t="s">
        <v>15</v>
      </c>
      <c r="L36" s="18" t="s">
        <v>1160</v>
      </c>
      <c r="M36" s="18"/>
      <c r="N36" s="18"/>
      <c r="O36" s="18"/>
      <c r="P36" s="18"/>
      <c r="Q36" s="18">
        <v>1</v>
      </c>
      <c r="R36" s="17">
        <f>H36</f>
        <v>25</v>
      </c>
    </row>
    <row r="37" spans="1:18" customFormat="1" x14ac:dyDescent="0.25">
      <c r="A37" s="18"/>
      <c r="B37" s="18" t="s">
        <v>34</v>
      </c>
      <c r="C37" s="18" t="s">
        <v>476</v>
      </c>
      <c r="D37" s="18" t="s">
        <v>1250</v>
      </c>
      <c r="E37" s="18" t="s">
        <v>478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15</v>
      </c>
      <c r="K37" s="18" t="s">
        <v>15</v>
      </c>
      <c r="L37" s="18" t="s">
        <v>1160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1251</v>
      </c>
      <c r="D38" s="18" t="s">
        <v>1252</v>
      </c>
      <c r="E38" s="18" t="s">
        <v>1253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15</v>
      </c>
      <c r="K38" s="18" t="s">
        <v>15</v>
      </c>
      <c r="L38" s="18" t="s">
        <v>1160</v>
      </c>
      <c r="M38" s="26" t="s">
        <v>1254</v>
      </c>
      <c r="N38" s="18"/>
      <c r="O38" s="18"/>
      <c r="P38" s="18"/>
      <c r="Q38" s="18">
        <v>1</v>
      </c>
      <c r="R38" s="17">
        <f t="shared" ref="R38:R39" si="1">H38</f>
        <v>30</v>
      </c>
    </row>
    <row r="39" spans="1:18" customFormat="1" x14ac:dyDescent="0.25">
      <c r="A39" s="18"/>
      <c r="B39" s="18" t="s">
        <v>34</v>
      </c>
      <c r="C39" s="18" t="s">
        <v>1251</v>
      </c>
      <c r="D39" s="18" t="s">
        <v>1255</v>
      </c>
      <c r="E39" s="18" t="s">
        <v>1256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15</v>
      </c>
      <c r="K39" s="18" t="s">
        <v>15</v>
      </c>
      <c r="L39" s="18" t="s">
        <v>1160</v>
      </c>
      <c r="M39" s="26" t="s">
        <v>307</v>
      </c>
      <c r="N39" s="18"/>
      <c r="O39" s="18"/>
      <c r="P39" s="18"/>
      <c r="Q39" s="18">
        <v>1</v>
      </c>
      <c r="R39" s="17">
        <f t="shared" si="1"/>
        <v>0</v>
      </c>
    </row>
    <row r="40" spans="1:18" s="22" customFormat="1" x14ac:dyDescent="0.25">
      <c r="A40" s="20"/>
      <c r="B40" s="20" t="s">
        <v>34</v>
      </c>
      <c r="C40" s="20" t="s">
        <v>1257</v>
      </c>
      <c r="D40" s="20" t="s">
        <v>1258</v>
      </c>
      <c r="E40" s="20" t="s">
        <v>1259</v>
      </c>
      <c r="F40" s="21">
        <v>2</v>
      </c>
      <c r="G40" s="21">
        <v>0</v>
      </c>
      <c r="H40" s="21">
        <v>30</v>
      </c>
      <c r="I40" s="21">
        <f>-H40</f>
        <v>-30</v>
      </c>
      <c r="J40" s="20" t="s">
        <v>15</v>
      </c>
      <c r="K40" s="20" t="s">
        <v>15</v>
      </c>
      <c r="L40" s="20" t="s">
        <v>1160</v>
      </c>
      <c r="M40" s="20" t="s">
        <v>16</v>
      </c>
      <c r="N40" s="20"/>
      <c r="O40" s="20"/>
      <c r="P40" s="20"/>
      <c r="Q40" s="20">
        <v>1</v>
      </c>
      <c r="R40" s="29">
        <f>H40</f>
        <v>30</v>
      </c>
    </row>
    <row r="41" spans="1:18" customFormat="1" x14ac:dyDescent="0.25">
      <c r="A41" s="18"/>
      <c r="B41" s="18" t="s">
        <v>34</v>
      </c>
      <c r="C41" s="18" t="s">
        <v>1260</v>
      </c>
      <c r="D41" s="18" t="s">
        <v>1261</v>
      </c>
      <c r="E41" s="18" t="s">
        <v>1262</v>
      </c>
      <c r="F41" s="18" t="s">
        <v>19</v>
      </c>
      <c r="G41" s="19">
        <v>810</v>
      </c>
      <c r="H41" s="19">
        <v>20</v>
      </c>
      <c r="I41" s="19">
        <f t="shared" ref="I41:I46" si="2">G41-H41</f>
        <v>790</v>
      </c>
      <c r="J41" s="18" t="s">
        <v>15</v>
      </c>
      <c r="K41" s="18" t="s">
        <v>15</v>
      </c>
      <c r="L41" s="18" t="s">
        <v>1160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53</v>
      </c>
      <c r="D42" s="18" t="s">
        <v>1263</v>
      </c>
      <c r="E42" s="18" t="s">
        <v>1264</v>
      </c>
      <c r="F42" s="19">
        <v>2</v>
      </c>
      <c r="G42" s="19">
        <v>410</v>
      </c>
      <c r="H42" s="19">
        <v>30</v>
      </c>
      <c r="I42" s="19">
        <f t="shared" si="2"/>
        <v>380</v>
      </c>
      <c r="J42" s="18" t="s">
        <v>15</v>
      </c>
      <c r="K42" s="18" t="s">
        <v>15</v>
      </c>
      <c r="L42" s="18" t="s">
        <v>1160</v>
      </c>
      <c r="M42" s="18"/>
      <c r="N42" s="18"/>
      <c r="O42" s="18"/>
      <c r="P42" s="18"/>
      <c r="Q42" s="18">
        <v>1</v>
      </c>
    </row>
    <row r="43" spans="1:18" customFormat="1" x14ac:dyDescent="0.25">
      <c r="A43" s="18"/>
      <c r="B43" s="18" t="s">
        <v>34</v>
      </c>
      <c r="C43" s="18" t="s">
        <v>1265</v>
      </c>
      <c r="D43" s="18" t="s">
        <v>1266</v>
      </c>
      <c r="E43" s="18" t="s">
        <v>1267</v>
      </c>
      <c r="F43" s="18" t="s">
        <v>20</v>
      </c>
      <c r="G43" s="19">
        <v>515</v>
      </c>
      <c r="H43" s="19">
        <v>25</v>
      </c>
      <c r="I43" s="19">
        <f t="shared" si="2"/>
        <v>490</v>
      </c>
      <c r="J43" s="18" t="s">
        <v>15</v>
      </c>
      <c r="K43" s="18" t="s">
        <v>15</v>
      </c>
      <c r="L43" s="18" t="s">
        <v>1160</v>
      </c>
      <c r="M43" s="26" t="s">
        <v>307</v>
      </c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1265</v>
      </c>
      <c r="D44" s="18" t="s">
        <v>1268</v>
      </c>
      <c r="E44" s="18" t="s">
        <v>1267</v>
      </c>
      <c r="F44" s="18" t="s">
        <v>20</v>
      </c>
      <c r="G44" s="19">
        <v>450</v>
      </c>
      <c r="H44" s="19">
        <v>0</v>
      </c>
      <c r="I44" s="19">
        <f t="shared" si="2"/>
        <v>450</v>
      </c>
      <c r="J44" s="18" t="s">
        <v>15</v>
      </c>
      <c r="K44" s="18" t="s">
        <v>15</v>
      </c>
      <c r="L44" s="18" t="s">
        <v>1160</v>
      </c>
      <c r="M44" s="26" t="s">
        <v>307</v>
      </c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640</v>
      </c>
      <c r="D45" s="18"/>
      <c r="E45" s="18" t="s">
        <v>1269</v>
      </c>
      <c r="F45" s="18" t="s">
        <v>20</v>
      </c>
      <c r="G45" s="19">
        <v>4015</v>
      </c>
      <c r="H45" s="19">
        <v>35</v>
      </c>
      <c r="I45" s="19">
        <f t="shared" si="2"/>
        <v>3980</v>
      </c>
      <c r="J45" s="18" t="s">
        <v>15</v>
      </c>
      <c r="K45" s="18" t="s">
        <v>15</v>
      </c>
      <c r="L45" s="18" t="s">
        <v>1160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1270</v>
      </c>
      <c r="D46" s="18" t="s">
        <v>1271</v>
      </c>
      <c r="E46" s="18" t="s">
        <v>1272</v>
      </c>
      <c r="F46" s="19">
        <v>10</v>
      </c>
      <c r="G46" s="19">
        <v>765</v>
      </c>
      <c r="H46" s="19">
        <v>25</v>
      </c>
      <c r="I46" s="19">
        <f t="shared" si="2"/>
        <v>740</v>
      </c>
      <c r="J46" s="18" t="s">
        <v>160</v>
      </c>
      <c r="K46" s="18" t="s">
        <v>15</v>
      </c>
      <c r="L46" s="18" t="s">
        <v>1160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1273</v>
      </c>
      <c r="D47" s="18" t="s">
        <v>1274</v>
      </c>
      <c r="E47" s="18" t="s">
        <v>1275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1160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1276</v>
      </c>
      <c r="D48" s="18" t="s">
        <v>1277</v>
      </c>
      <c r="E48" s="18" t="s">
        <v>1278</v>
      </c>
      <c r="F48" s="18" t="s">
        <v>18</v>
      </c>
      <c r="G48" s="19">
        <v>695</v>
      </c>
      <c r="H48" s="19">
        <v>25</v>
      </c>
      <c r="I48" s="19">
        <f t="shared" ref="I48:I53" si="3">G48-H48</f>
        <v>670</v>
      </c>
      <c r="J48" s="18" t="s">
        <v>160</v>
      </c>
      <c r="K48" s="18" t="s">
        <v>15</v>
      </c>
      <c r="L48" s="18" t="s">
        <v>1160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1279</v>
      </c>
      <c r="D49" s="18" t="s">
        <v>1280</v>
      </c>
      <c r="E49" s="18" t="s">
        <v>1281</v>
      </c>
      <c r="F49" s="19">
        <v>4</v>
      </c>
      <c r="G49" s="19">
        <v>375</v>
      </c>
      <c r="H49" s="19">
        <v>25</v>
      </c>
      <c r="I49" s="19">
        <f t="shared" si="3"/>
        <v>350</v>
      </c>
      <c r="J49" s="18" t="s">
        <v>160</v>
      </c>
      <c r="K49" s="18" t="s">
        <v>15</v>
      </c>
      <c r="L49" s="18" t="s">
        <v>1160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1282</v>
      </c>
      <c r="D50" s="18" t="s">
        <v>1283</v>
      </c>
      <c r="E50" s="18" t="s">
        <v>1284</v>
      </c>
      <c r="F50" s="18" t="s">
        <v>18</v>
      </c>
      <c r="G50" s="19">
        <v>1005</v>
      </c>
      <c r="H50" s="19">
        <v>25</v>
      </c>
      <c r="I50" s="19">
        <f t="shared" si="3"/>
        <v>980</v>
      </c>
      <c r="J50" s="18" t="s">
        <v>160</v>
      </c>
      <c r="K50" s="18" t="s">
        <v>15</v>
      </c>
      <c r="L50" s="18" t="s">
        <v>1160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1285</v>
      </c>
      <c r="D51" s="18" t="s">
        <v>1286</v>
      </c>
      <c r="E51" s="18" t="s">
        <v>1287</v>
      </c>
      <c r="F51" s="19">
        <v>3</v>
      </c>
      <c r="G51" s="19">
        <v>565</v>
      </c>
      <c r="H51" s="19">
        <v>25</v>
      </c>
      <c r="I51" s="19">
        <f t="shared" si="3"/>
        <v>540</v>
      </c>
      <c r="J51" s="18" t="s">
        <v>160</v>
      </c>
      <c r="K51" s="18" t="s">
        <v>15</v>
      </c>
      <c r="L51" s="18" t="s">
        <v>1160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1288</v>
      </c>
      <c r="D52" s="18" t="s">
        <v>1289</v>
      </c>
      <c r="E52" s="18" t="s">
        <v>1290</v>
      </c>
      <c r="F52" s="18" t="s">
        <v>18</v>
      </c>
      <c r="G52" s="19">
        <v>475</v>
      </c>
      <c r="H52" s="19">
        <v>25</v>
      </c>
      <c r="I52" s="19">
        <f t="shared" si="3"/>
        <v>450</v>
      </c>
      <c r="J52" s="18" t="s">
        <v>160</v>
      </c>
      <c r="K52" s="18" t="s">
        <v>15</v>
      </c>
      <c r="L52" s="18" t="s">
        <v>1160</v>
      </c>
      <c r="M52" s="26" t="s">
        <v>307</v>
      </c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1288</v>
      </c>
      <c r="D53" s="18" t="s">
        <v>1291</v>
      </c>
      <c r="E53" s="18" t="s">
        <v>1290</v>
      </c>
      <c r="F53" s="18" t="s">
        <v>18</v>
      </c>
      <c r="G53" s="19">
        <v>920</v>
      </c>
      <c r="H53" s="19">
        <v>0</v>
      </c>
      <c r="I53" s="19">
        <f t="shared" si="3"/>
        <v>920</v>
      </c>
      <c r="J53" s="18" t="s">
        <v>160</v>
      </c>
      <c r="K53" s="18" t="s">
        <v>15</v>
      </c>
      <c r="L53" s="18" t="s">
        <v>1160</v>
      </c>
      <c r="M53" s="26" t="s">
        <v>307</v>
      </c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1292</v>
      </c>
      <c r="D54" s="18" t="s">
        <v>1293</v>
      </c>
      <c r="E54" s="18" t="s">
        <v>1294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160</v>
      </c>
      <c r="K54" s="18" t="s">
        <v>15</v>
      </c>
      <c r="L54" s="18" t="s">
        <v>1160</v>
      </c>
      <c r="M54" s="18"/>
      <c r="N54" s="18"/>
      <c r="O54" s="18"/>
      <c r="P54" s="18"/>
      <c r="Q54" s="18">
        <v>1</v>
      </c>
      <c r="R54" s="17">
        <f>H54</f>
        <v>25</v>
      </c>
    </row>
    <row r="55" spans="1:18" customFormat="1" x14ac:dyDescent="0.25">
      <c r="A55" s="18"/>
      <c r="B55" s="18" t="s">
        <v>34</v>
      </c>
      <c r="C55" s="18" t="s">
        <v>1295</v>
      </c>
      <c r="D55" s="18" t="s">
        <v>1296</v>
      </c>
      <c r="E55" s="18" t="s">
        <v>1297</v>
      </c>
      <c r="F55" s="18" t="s">
        <v>17</v>
      </c>
      <c r="G55" s="19">
        <v>2220</v>
      </c>
      <c r="H55" s="19">
        <v>25</v>
      </c>
      <c r="I55" s="19">
        <f>G55-H55</f>
        <v>2195</v>
      </c>
      <c r="J55" s="18" t="s">
        <v>160</v>
      </c>
      <c r="K55" s="18" t="s">
        <v>15</v>
      </c>
      <c r="L55" s="18" t="s">
        <v>1160</v>
      </c>
      <c r="M55" s="26" t="s">
        <v>377</v>
      </c>
      <c r="N55" s="18"/>
      <c r="O55" s="18"/>
      <c r="P55" s="18"/>
      <c r="Q55" s="18">
        <v>1</v>
      </c>
      <c r="R55" s="17">
        <f>H55</f>
        <v>25</v>
      </c>
    </row>
    <row r="56" spans="1:18" customFormat="1" x14ac:dyDescent="0.25">
      <c r="A56" s="18"/>
      <c r="B56" s="18" t="s">
        <v>34</v>
      </c>
      <c r="C56" s="18" t="s">
        <v>1298</v>
      </c>
      <c r="D56" s="18" t="s">
        <v>1299</v>
      </c>
      <c r="E56" s="18" t="s">
        <v>1300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160</v>
      </c>
      <c r="K56" s="18" t="s">
        <v>15</v>
      </c>
      <c r="L56" s="18" t="s">
        <v>1160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1301</v>
      </c>
      <c r="D57" s="18" t="s">
        <v>1302</v>
      </c>
      <c r="E57" s="18" t="s">
        <v>1303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160</v>
      </c>
      <c r="K57" s="18" t="s">
        <v>15</v>
      </c>
      <c r="L57" s="18" t="s">
        <v>1160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1304</v>
      </c>
      <c r="D58" s="18" t="s">
        <v>1305</v>
      </c>
      <c r="E58" s="18" t="s">
        <v>1306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160</v>
      </c>
      <c r="K58" s="18" t="s">
        <v>15</v>
      </c>
      <c r="L58" s="18" t="s">
        <v>1160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1307</v>
      </c>
      <c r="D59" s="18" t="s">
        <v>1308</v>
      </c>
      <c r="E59" s="18" t="s">
        <v>1309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160</v>
      </c>
      <c r="K59" s="18" t="s">
        <v>15</v>
      </c>
      <c r="L59" s="18" t="s">
        <v>1160</v>
      </c>
      <c r="M59" s="18"/>
      <c r="N59" s="18"/>
      <c r="O59" s="18"/>
      <c r="P59" s="18"/>
      <c r="Q59" s="18">
        <v>1</v>
      </c>
      <c r="R59" s="17">
        <f>H59</f>
        <v>25</v>
      </c>
    </row>
    <row r="60" spans="1:18" customFormat="1" x14ac:dyDescent="0.25">
      <c r="A60" s="18"/>
      <c r="B60" s="18" t="s">
        <v>34</v>
      </c>
      <c r="C60" s="18" t="s">
        <v>1310</v>
      </c>
      <c r="D60" s="18" t="s">
        <v>1311</v>
      </c>
      <c r="E60" s="18" t="s">
        <v>1312</v>
      </c>
      <c r="F60" s="19">
        <v>4</v>
      </c>
      <c r="G60" s="19">
        <v>25</v>
      </c>
      <c r="H60" s="19">
        <v>25</v>
      </c>
      <c r="I60" s="19">
        <f t="shared" ref="I60:I65" si="4">G60-H60</f>
        <v>0</v>
      </c>
      <c r="J60" s="18" t="s">
        <v>160</v>
      </c>
      <c r="K60" s="18" t="s">
        <v>15</v>
      </c>
      <c r="L60" s="18" t="s">
        <v>1160</v>
      </c>
      <c r="M60" s="18"/>
      <c r="N60" s="18"/>
      <c r="O60" s="18"/>
      <c r="P60" s="18"/>
      <c r="Q60" s="18">
        <v>1</v>
      </c>
    </row>
    <row r="61" spans="1:18" customFormat="1" x14ac:dyDescent="0.25">
      <c r="A61" s="18"/>
      <c r="B61" s="18" t="s">
        <v>34</v>
      </c>
      <c r="C61" s="18" t="s">
        <v>308</v>
      </c>
      <c r="D61" s="18" t="s">
        <v>1313</v>
      </c>
      <c r="E61" s="18" t="s">
        <v>310</v>
      </c>
      <c r="F61" s="18" t="s">
        <v>18</v>
      </c>
      <c r="G61" s="19">
        <v>1185</v>
      </c>
      <c r="H61" s="19">
        <v>25</v>
      </c>
      <c r="I61" s="19">
        <f t="shared" si="4"/>
        <v>1160</v>
      </c>
      <c r="J61" s="18" t="s">
        <v>160</v>
      </c>
      <c r="K61" s="18" t="s">
        <v>15</v>
      </c>
      <c r="L61" s="18" t="s">
        <v>1160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1314</v>
      </c>
      <c r="D62" s="18" t="s">
        <v>1315</v>
      </c>
      <c r="E62" s="18" t="s">
        <v>1316</v>
      </c>
      <c r="F62" s="18" t="s">
        <v>18</v>
      </c>
      <c r="G62" s="19">
        <v>535</v>
      </c>
      <c r="H62" s="19">
        <v>25</v>
      </c>
      <c r="I62" s="19">
        <f t="shared" si="4"/>
        <v>510</v>
      </c>
      <c r="J62" s="18" t="s">
        <v>160</v>
      </c>
      <c r="K62" s="18" t="s">
        <v>15</v>
      </c>
      <c r="L62" s="18" t="s">
        <v>1160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1152</v>
      </c>
      <c r="D63" s="18" t="s">
        <v>1317</v>
      </c>
      <c r="E63" s="18" t="s">
        <v>1154</v>
      </c>
      <c r="F63" s="19">
        <v>4</v>
      </c>
      <c r="G63" s="19">
        <v>615</v>
      </c>
      <c r="H63" s="19">
        <v>25</v>
      </c>
      <c r="I63" s="19">
        <f t="shared" si="4"/>
        <v>590</v>
      </c>
      <c r="J63" s="18" t="s">
        <v>160</v>
      </c>
      <c r="K63" s="18" t="s">
        <v>15</v>
      </c>
      <c r="L63" s="18" t="s">
        <v>1160</v>
      </c>
      <c r="M63" s="18"/>
      <c r="N63" s="18"/>
      <c r="O63" s="18"/>
      <c r="P63" s="18"/>
      <c r="Q63" s="18">
        <v>1</v>
      </c>
    </row>
    <row r="64" spans="1:18" customFormat="1" x14ac:dyDescent="0.25">
      <c r="A64" s="18" t="s">
        <v>96</v>
      </c>
      <c r="B64" s="18" t="s">
        <v>34</v>
      </c>
      <c r="C64" s="18" t="s">
        <v>1016</v>
      </c>
      <c r="D64" s="18"/>
      <c r="E64" s="18" t="s">
        <v>1018</v>
      </c>
      <c r="F64" s="19">
        <v>3</v>
      </c>
      <c r="G64" s="19">
        <v>25</v>
      </c>
      <c r="H64" s="19">
        <v>25</v>
      </c>
      <c r="I64" s="19">
        <f t="shared" si="4"/>
        <v>0</v>
      </c>
      <c r="J64" s="18" t="s">
        <v>160</v>
      </c>
      <c r="K64" s="18" t="s">
        <v>15</v>
      </c>
      <c r="L64" s="18" t="s">
        <v>1160</v>
      </c>
      <c r="M64" s="18"/>
      <c r="N64" s="18"/>
      <c r="O64" s="18"/>
      <c r="P64" s="18"/>
      <c r="Q64" s="18">
        <v>1</v>
      </c>
    </row>
    <row r="65" spans="1:18" customFormat="1" x14ac:dyDescent="0.25">
      <c r="A65" s="18" t="s">
        <v>96</v>
      </c>
      <c r="B65" s="18" t="s">
        <v>34</v>
      </c>
      <c r="C65" s="18" t="s">
        <v>432</v>
      </c>
      <c r="D65" s="18"/>
      <c r="E65" s="18" t="s">
        <v>433</v>
      </c>
      <c r="F65" s="18" t="s">
        <v>18</v>
      </c>
      <c r="G65" s="19">
        <v>30</v>
      </c>
      <c r="H65" s="19">
        <v>30</v>
      </c>
      <c r="I65" s="19">
        <f t="shared" si="4"/>
        <v>0</v>
      </c>
      <c r="J65" s="18" t="s">
        <v>160</v>
      </c>
      <c r="K65" s="18" t="s">
        <v>15</v>
      </c>
      <c r="L65" s="18" t="s">
        <v>1160</v>
      </c>
      <c r="M65" s="18"/>
      <c r="N65" s="18"/>
      <c r="O65" s="18"/>
      <c r="P65" s="18"/>
      <c r="Q65" s="18">
        <v>1</v>
      </c>
    </row>
    <row r="67" spans="1:18" x14ac:dyDescent="0.25">
      <c r="G67" s="1">
        <f t="shared" ref="G67:R67" si="5">SUBTOTAL(9,G3:G66)</f>
        <v>41920</v>
      </c>
      <c r="H67" s="1">
        <f t="shared" si="5"/>
        <v>1645</v>
      </c>
      <c r="I67" s="1">
        <f t="shared" si="5"/>
        <v>40275</v>
      </c>
      <c r="J67" s="1">
        <f t="shared" si="5"/>
        <v>0</v>
      </c>
      <c r="K67" s="1">
        <f t="shared" si="5"/>
        <v>0</v>
      </c>
      <c r="L67" s="1">
        <f t="shared" si="5"/>
        <v>0</v>
      </c>
      <c r="M67" s="1">
        <f t="shared" si="5"/>
        <v>0</v>
      </c>
      <c r="N67" s="1">
        <f t="shared" si="5"/>
        <v>0</v>
      </c>
      <c r="O67" s="1">
        <f t="shared" si="5"/>
        <v>0</v>
      </c>
      <c r="P67" s="1">
        <f t="shared" si="5"/>
        <v>0</v>
      </c>
      <c r="Q67" s="1">
        <f t="shared" si="5"/>
        <v>63</v>
      </c>
      <c r="R67" s="1">
        <f t="shared" si="5"/>
        <v>475</v>
      </c>
    </row>
    <row r="68" spans="1:18" x14ac:dyDescent="0.25">
      <c r="I68" s="1">
        <v>-790</v>
      </c>
      <c r="J68" s="1" t="s">
        <v>1318</v>
      </c>
    </row>
    <row r="71" spans="1:18" ht="20.25" customHeight="1" x14ac:dyDescent="0.3">
      <c r="H71" s="4" t="s">
        <v>1155</v>
      </c>
      <c r="I71" s="5" t="s">
        <v>21</v>
      </c>
      <c r="J71" s="6" t="s">
        <v>22</v>
      </c>
    </row>
    <row r="72" spans="1:18" ht="15.75" customHeight="1" x14ac:dyDescent="0.25">
      <c r="H72" s="7" t="s">
        <v>23</v>
      </c>
      <c r="I72" s="8">
        <f>SUM(I66:I70)</f>
        <v>39485</v>
      </c>
      <c r="J72" s="8">
        <f>Q67</f>
        <v>63</v>
      </c>
    </row>
    <row r="73" spans="1:18" x14ac:dyDescent="0.25">
      <c r="H73" s="9" t="s">
        <v>24</v>
      </c>
      <c r="I73" s="10">
        <f>R67</f>
        <v>475</v>
      </c>
      <c r="J73" s="11"/>
    </row>
    <row r="74" spans="1:18" x14ac:dyDescent="0.25">
      <c r="H74" s="9" t="s">
        <v>25</v>
      </c>
      <c r="I74" s="10">
        <f>S66</f>
        <v>0</v>
      </c>
      <c r="J74" s="11"/>
    </row>
    <row r="75" spans="1:18" x14ac:dyDescent="0.25">
      <c r="H75" s="9" t="s">
        <v>26</v>
      </c>
      <c r="I75" s="10">
        <f>T66</f>
        <v>0</v>
      </c>
      <c r="J75" s="11"/>
    </row>
    <row r="76" spans="1:18" x14ac:dyDescent="0.25">
      <c r="H76" s="9" t="s">
        <v>27</v>
      </c>
      <c r="I76" s="10">
        <f>U66</f>
        <v>0</v>
      </c>
      <c r="J76" s="11"/>
    </row>
    <row r="77" spans="1:18" ht="15.75" customHeight="1" x14ac:dyDescent="0.25">
      <c r="H77" s="12" t="s">
        <v>28</v>
      </c>
      <c r="I77" s="13"/>
      <c r="J77" s="13"/>
    </row>
    <row r="78" spans="1:18" ht="15.75" customHeight="1" x14ac:dyDescent="0.25">
      <c r="H78" s="14" t="s">
        <v>29</v>
      </c>
      <c r="I78" s="13"/>
      <c r="J78" s="13"/>
    </row>
    <row r="79" spans="1:18" ht="21" customHeight="1" x14ac:dyDescent="0.35">
      <c r="H79" s="15" t="s">
        <v>30</v>
      </c>
      <c r="I79" s="16">
        <f>SUM(I72:I78)</f>
        <v>39960</v>
      </c>
      <c r="J79" s="16">
        <f>SUM(J72:J76)</f>
        <v>63</v>
      </c>
    </row>
  </sheetData>
  <autoFilter ref="A2:P65" xr:uid="{00000000-0009-0000-0000-000006000000}">
    <sortState xmlns:xlrd2="http://schemas.microsoft.com/office/spreadsheetml/2017/richdata2" ref="A3:P65">
      <sortCondition ref="J2:J65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89EF-7AB3-4A63-ABFF-53E6E1FCB05B}">
  <dimension ref="A1:R36"/>
  <sheetViews>
    <sheetView topLeftCell="A15" zoomScaleNormal="100" workbookViewId="0">
      <selection activeCell="F28" sqref="F28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1320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1322</v>
      </c>
      <c r="D3" s="18" t="s">
        <v>1323</v>
      </c>
      <c r="E3" s="18" t="s">
        <v>1324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56</v>
      </c>
      <c r="K3" s="18" t="s">
        <v>15</v>
      </c>
      <c r="L3" s="18" t="s">
        <v>1325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1326</v>
      </c>
      <c r="D4" s="18" t="s">
        <v>1327</v>
      </c>
      <c r="E4" s="18" t="s">
        <v>1328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56</v>
      </c>
      <c r="K4" s="18" t="s">
        <v>15</v>
      </c>
      <c r="L4" s="18" t="s">
        <v>1325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1329</v>
      </c>
      <c r="D5" s="18" t="s">
        <v>1330</v>
      </c>
      <c r="E5" s="18" t="s">
        <v>1331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56</v>
      </c>
      <c r="K5" s="18" t="s">
        <v>15</v>
      </c>
      <c r="L5" s="18" t="s">
        <v>1325</v>
      </c>
      <c r="M5" s="18"/>
      <c r="N5" s="18"/>
      <c r="O5" s="18"/>
      <c r="P5" s="18"/>
      <c r="Q5" s="18">
        <v>1</v>
      </c>
      <c r="R5" s="17">
        <f>H5</f>
        <v>25</v>
      </c>
    </row>
    <row r="6" spans="1:18" customFormat="1" x14ac:dyDescent="0.25">
      <c r="A6" s="18"/>
      <c r="B6" s="18" t="s">
        <v>34</v>
      </c>
      <c r="C6" s="18" t="s">
        <v>1332</v>
      </c>
      <c r="D6" s="18" t="s">
        <v>1333</v>
      </c>
      <c r="E6" s="18" t="s">
        <v>1334</v>
      </c>
      <c r="F6" s="18" t="s">
        <v>38</v>
      </c>
      <c r="G6" s="19">
        <v>740</v>
      </c>
      <c r="H6" s="19">
        <v>30</v>
      </c>
      <c r="I6" s="19">
        <f>G6-H6</f>
        <v>710</v>
      </c>
      <c r="J6" s="18" t="s">
        <v>1335</v>
      </c>
      <c r="K6" s="18" t="s">
        <v>15</v>
      </c>
      <c r="L6" s="18" t="s">
        <v>1325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990</v>
      </c>
      <c r="D7" s="18" t="s">
        <v>1336</v>
      </c>
      <c r="E7" s="18" t="s">
        <v>1337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1335</v>
      </c>
      <c r="K7" s="18" t="s">
        <v>15</v>
      </c>
      <c r="L7" s="18" t="s">
        <v>1325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1338</v>
      </c>
      <c r="D8" s="18" t="s">
        <v>1339</v>
      </c>
      <c r="E8" s="18" t="s">
        <v>1340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1335</v>
      </c>
      <c r="K8" s="18" t="s">
        <v>15</v>
      </c>
      <c r="L8" s="18" t="s">
        <v>1325</v>
      </c>
      <c r="M8" s="18"/>
      <c r="N8" s="18"/>
      <c r="O8" s="18"/>
      <c r="P8" s="18"/>
      <c r="Q8" s="18">
        <v>1</v>
      </c>
      <c r="R8" s="17">
        <f>H8</f>
        <v>25</v>
      </c>
    </row>
    <row r="9" spans="1:18" customFormat="1" x14ac:dyDescent="0.25">
      <c r="A9" s="18"/>
      <c r="B9" s="18" t="s">
        <v>34</v>
      </c>
      <c r="C9" s="18" t="s">
        <v>1341</v>
      </c>
      <c r="D9" s="18" t="s">
        <v>1342</v>
      </c>
      <c r="E9" s="18" t="s">
        <v>1343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1335</v>
      </c>
      <c r="K9" s="18" t="s">
        <v>15</v>
      </c>
      <c r="L9" s="18" t="s">
        <v>1325</v>
      </c>
      <c r="M9" s="18"/>
      <c r="N9" s="18"/>
      <c r="O9" s="18"/>
      <c r="P9" s="18"/>
      <c r="Q9" s="18">
        <v>1</v>
      </c>
    </row>
    <row r="10" spans="1:18" s="22" customFormat="1" x14ac:dyDescent="0.25">
      <c r="A10" s="20"/>
      <c r="B10" s="20" t="s">
        <v>34</v>
      </c>
      <c r="C10" s="20" t="s">
        <v>1344</v>
      </c>
      <c r="D10" s="20" t="s">
        <v>1345</v>
      </c>
      <c r="E10" s="20" t="s">
        <v>1346</v>
      </c>
      <c r="F10" s="20" t="s">
        <v>123</v>
      </c>
      <c r="G10" s="21">
        <v>135</v>
      </c>
      <c r="H10" s="21">
        <v>35</v>
      </c>
      <c r="I10" s="21">
        <f>G10-H10</f>
        <v>100</v>
      </c>
      <c r="J10" s="20" t="s">
        <v>1335</v>
      </c>
      <c r="K10" s="20" t="s">
        <v>15</v>
      </c>
      <c r="L10" s="20" t="s">
        <v>1325</v>
      </c>
      <c r="M10" s="20" t="s">
        <v>16</v>
      </c>
      <c r="N10" s="20"/>
      <c r="O10" s="20"/>
      <c r="P10" s="20"/>
      <c r="Q10" s="20">
        <v>1</v>
      </c>
    </row>
    <row r="11" spans="1:18" s="22" customFormat="1" x14ac:dyDescent="0.25">
      <c r="A11" s="20"/>
      <c r="B11" s="20" t="s">
        <v>34</v>
      </c>
      <c r="C11" s="20" t="s">
        <v>1265</v>
      </c>
      <c r="D11" s="20" t="s">
        <v>1347</v>
      </c>
      <c r="E11" s="20" t="s">
        <v>1267</v>
      </c>
      <c r="F11" s="20" t="s">
        <v>20</v>
      </c>
      <c r="G11" s="21">
        <v>25</v>
      </c>
      <c r="H11" s="21">
        <v>25</v>
      </c>
      <c r="I11" s="21">
        <f>G11-H11</f>
        <v>0</v>
      </c>
      <c r="J11" s="20" t="s">
        <v>15</v>
      </c>
      <c r="K11" s="20" t="s">
        <v>15</v>
      </c>
      <c r="L11" s="20" t="s">
        <v>1325</v>
      </c>
      <c r="M11" s="20" t="s">
        <v>16</v>
      </c>
      <c r="N11" s="20"/>
      <c r="O11" s="20"/>
      <c r="P11" s="20"/>
      <c r="Q11" s="20">
        <v>1</v>
      </c>
    </row>
    <row r="12" spans="1:18" customFormat="1" x14ac:dyDescent="0.25">
      <c r="A12" s="18"/>
      <c r="B12" s="18" t="s">
        <v>34</v>
      </c>
      <c r="C12" s="18" t="s">
        <v>1348</v>
      </c>
      <c r="D12" s="18" t="s">
        <v>1349</v>
      </c>
      <c r="E12" s="18" t="s">
        <v>1170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15</v>
      </c>
      <c r="K12" s="18" t="s">
        <v>15</v>
      </c>
      <c r="L12" s="18" t="s">
        <v>1325</v>
      </c>
      <c r="M12" s="18"/>
      <c r="N12" s="18"/>
      <c r="O12" s="18"/>
      <c r="P12" s="18"/>
      <c r="Q12" s="18">
        <v>1</v>
      </c>
      <c r="R12" s="17">
        <f>H12</f>
        <v>30</v>
      </c>
    </row>
    <row r="13" spans="1:18" customFormat="1" x14ac:dyDescent="0.25">
      <c r="A13" s="18"/>
      <c r="B13" s="18" t="s">
        <v>34</v>
      </c>
      <c r="C13" s="18" t="s">
        <v>951</v>
      </c>
      <c r="D13" s="18" t="s">
        <v>1350</v>
      </c>
      <c r="E13" s="18" t="s">
        <v>953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15</v>
      </c>
      <c r="K13" s="18" t="s">
        <v>15</v>
      </c>
      <c r="L13" s="18" t="s">
        <v>1325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1351</v>
      </c>
      <c r="D14" s="18" t="s">
        <v>1352</v>
      </c>
      <c r="E14" s="18" t="s">
        <v>1353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15</v>
      </c>
      <c r="K14" s="18" t="s">
        <v>15</v>
      </c>
      <c r="L14" s="18" t="s">
        <v>1325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1354</v>
      </c>
      <c r="D15" s="18" t="s">
        <v>1355</v>
      </c>
      <c r="E15" s="18" t="s">
        <v>1356</v>
      </c>
      <c r="F15" s="18" t="s">
        <v>20</v>
      </c>
      <c r="G15" s="19">
        <v>1115</v>
      </c>
      <c r="H15" s="19">
        <v>25</v>
      </c>
      <c r="I15" s="19">
        <f t="shared" si="0"/>
        <v>1090</v>
      </c>
      <c r="J15" s="18" t="s">
        <v>15</v>
      </c>
      <c r="K15" s="18" t="s">
        <v>15</v>
      </c>
      <c r="L15" s="18" t="s">
        <v>1325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534</v>
      </c>
      <c r="D16" s="18" t="s">
        <v>1357</v>
      </c>
      <c r="E16" s="18" t="s">
        <v>1358</v>
      </c>
      <c r="F16" s="18" t="s">
        <v>19</v>
      </c>
      <c r="G16" s="19">
        <v>770</v>
      </c>
      <c r="H16" s="19">
        <v>20</v>
      </c>
      <c r="I16" s="19">
        <f t="shared" si="0"/>
        <v>750</v>
      </c>
      <c r="J16" s="18" t="s">
        <v>15</v>
      </c>
      <c r="K16" s="18" t="s">
        <v>15</v>
      </c>
      <c r="L16" s="18" t="s">
        <v>1325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1359</v>
      </c>
      <c r="D17" s="18" t="s">
        <v>1360</v>
      </c>
      <c r="E17" s="18" t="s">
        <v>1361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15</v>
      </c>
      <c r="K17" s="18" t="s">
        <v>15</v>
      </c>
      <c r="L17" s="18" t="s">
        <v>1325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1362</v>
      </c>
      <c r="D18" s="18" t="s">
        <v>1363</v>
      </c>
      <c r="E18" s="18" t="s">
        <v>1364</v>
      </c>
      <c r="F18" s="18" t="s">
        <v>19</v>
      </c>
      <c r="G18" s="19">
        <v>840</v>
      </c>
      <c r="H18" s="19">
        <v>20</v>
      </c>
      <c r="I18" s="19">
        <f t="shared" si="0"/>
        <v>820</v>
      </c>
      <c r="J18" s="18" t="s">
        <v>15</v>
      </c>
      <c r="K18" s="18" t="s">
        <v>15</v>
      </c>
      <c r="L18" s="18" t="s">
        <v>1325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845</v>
      </c>
      <c r="D19" s="18" t="s">
        <v>1365</v>
      </c>
      <c r="E19" s="18" t="s">
        <v>1366</v>
      </c>
      <c r="F19" s="18" t="s">
        <v>144</v>
      </c>
      <c r="G19" s="19">
        <v>570</v>
      </c>
      <c r="H19" s="19">
        <v>30</v>
      </c>
      <c r="I19" s="19">
        <f t="shared" si="0"/>
        <v>540</v>
      </c>
      <c r="J19" s="18" t="s">
        <v>15</v>
      </c>
      <c r="K19" s="18" t="s">
        <v>15</v>
      </c>
      <c r="L19" s="18" t="s">
        <v>1325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1367</v>
      </c>
      <c r="D20" s="18" t="s">
        <v>1368</v>
      </c>
      <c r="E20" s="18" t="s">
        <v>422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15</v>
      </c>
      <c r="K20" s="18" t="s">
        <v>15</v>
      </c>
      <c r="L20" s="18" t="s">
        <v>1325</v>
      </c>
      <c r="M20" s="18"/>
      <c r="N20" s="18"/>
      <c r="O20" s="18"/>
      <c r="P20" s="18"/>
      <c r="Q20" s="18">
        <v>1</v>
      </c>
      <c r="R20" s="17">
        <f>H20</f>
        <v>30</v>
      </c>
    </row>
    <row r="21" spans="1:18" customFormat="1" x14ac:dyDescent="0.25">
      <c r="A21" s="18"/>
      <c r="B21" s="18" t="s">
        <v>34</v>
      </c>
      <c r="C21" s="18" t="s">
        <v>1369</v>
      </c>
      <c r="D21" s="18" t="s">
        <v>1370</v>
      </c>
      <c r="E21" s="18" t="s">
        <v>1371</v>
      </c>
      <c r="F21" s="18" t="s">
        <v>20</v>
      </c>
      <c r="G21" s="19">
        <v>865</v>
      </c>
      <c r="H21" s="19">
        <v>25</v>
      </c>
      <c r="I21" s="19">
        <f t="shared" ref="I21:I22" si="1">G21-H21</f>
        <v>840</v>
      </c>
      <c r="J21" s="18" t="s">
        <v>15</v>
      </c>
      <c r="K21" s="18" t="s">
        <v>15</v>
      </c>
      <c r="L21" s="18" t="s">
        <v>1325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1372</v>
      </c>
      <c r="D22" s="18"/>
      <c r="E22" s="18" t="s">
        <v>1373</v>
      </c>
      <c r="F22" s="18" t="s">
        <v>18</v>
      </c>
      <c r="G22" s="19">
        <v>30</v>
      </c>
      <c r="H22" s="19">
        <v>30</v>
      </c>
      <c r="I22" s="19">
        <f t="shared" si="1"/>
        <v>0</v>
      </c>
      <c r="J22" s="18" t="s">
        <v>160</v>
      </c>
      <c r="K22" s="18" t="s">
        <v>15</v>
      </c>
      <c r="L22" s="18" t="s">
        <v>1325</v>
      </c>
      <c r="M22" s="18"/>
      <c r="N22" s="18"/>
      <c r="O22" s="18"/>
      <c r="P22" s="18"/>
      <c r="Q22" s="18">
        <v>1</v>
      </c>
    </row>
    <row r="24" spans="1:18" x14ac:dyDescent="0.25">
      <c r="G24" s="1">
        <f t="shared" ref="G24:R24" si="2">SUBTOTAL(9,G3:G23)</f>
        <v>11410</v>
      </c>
      <c r="H24" s="1">
        <f t="shared" si="2"/>
        <v>550</v>
      </c>
      <c r="I24" s="1">
        <f t="shared" si="2"/>
        <v>10860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110</v>
      </c>
    </row>
    <row r="25" spans="1:18" x14ac:dyDescent="0.25">
      <c r="I25" s="1">
        <v>-2910</v>
      </c>
      <c r="J25" s="1" t="s">
        <v>1321</v>
      </c>
    </row>
    <row r="28" spans="1:18" ht="20.25" customHeight="1" x14ac:dyDescent="0.3">
      <c r="H28" s="4" t="s">
        <v>1319</v>
      </c>
      <c r="I28" s="5" t="s">
        <v>21</v>
      </c>
      <c r="J28" s="6" t="s">
        <v>22</v>
      </c>
    </row>
    <row r="29" spans="1:18" ht="15.75" customHeight="1" x14ac:dyDescent="0.25">
      <c r="H29" s="7" t="s">
        <v>23</v>
      </c>
      <c r="I29" s="8">
        <f>SUM(I23:I27)</f>
        <v>7950</v>
      </c>
      <c r="J29" s="8">
        <f>Q24</f>
        <v>20</v>
      </c>
    </row>
    <row r="30" spans="1:18" x14ac:dyDescent="0.25">
      <c r="H30" s="9" t="s">
        <v>24</v>
      </c>
      <c r="I30" s="10">
        <f>R24</f>
        <v>110</v>
      </c>
      <c r="J30" s="11"/>
    </row>
    <row r="31" spans="1:18" x14ac:dyDescent="0.25">
      <c r="H31" s="9" t="s">
        <v>25</v>
      </c>
      <c r="I31" s="10">
        <f>S23</f>
        <v>0</v>
      </c>
      <c r="J31" s="11"/>
    </row>
    <row r="32" spans="1:18" x14ac:dyDescent="0.25">
      <c r="H32" s="9" t="s">
        <v>26</v>
      </c>
      <c r="I32" s="10">
        <f>T23</f>
        <v>0</v>
      </c>
      <c r="J32" s="11"/>
    </row>
    <row r="33" spans="8:10" x14ac:dyDescent="0.25">
      <c r="H33" s="9" t="s">
        <v>27</v>
      </c>
      <c r="I33" s="10">
        <f>U23</f>
        <v>0</v>
      </c>
      <c r="J33" s="11"/>
    </row>
    <row r="34" spans="8:10" ht="15.75" customHeight="1" x14ac:dyDescent="0.25">
      <c r="H34" s="12" t="s">
        <v>28</v>
      </c>
      <c r="I34" s="13"/>
      <c r="J34" s="13"/>
    </row>
    <row r="35" spans="8:10" ht="15.75" customHeight="1" x14ac:dyDescent="0.25">
      <c r="H35" s="14" t="s">
        <v>29</v>
      </c>
      <c r="I35" s="13"/>
      <c r="J35" s="13"/>
    </row>
    <row r="36" spans="8:10" ht="21" customHeight="1" x14ac:dyDescent="0.35">
      <c r="H36" s="15" t="s">
        <v>30</v>
      </c>
      <c r="I36" s="16">
        <f>SUM(I29:I35)</f>
        <v>8060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D7674-6003-4AB9-9F62-334D606648D9}">
  <dimension ref="A1:R51"/>
  <sheetViews>
    <sheetView topLeftCell="A25" zoomScaleNormal="100" workbookViewId="0">
      <selection activeCell="A50" sqref="A50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</v>
      </c>
      <c r="C1" s="1" t="s">
        <v>1375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1376</v>
      </c>
      <c r="D3" s="18" t="s">
        <v>1377</v>
      </c>
      <c r="E3" s="18" t="s">
        <v>1378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1379</v>
      </c>
      <c r="M3" s="18"/>
      <c r="N3" s="18"/>
      <c r="O3" s="18"/>
      <c r="P3" s="18"/>
      <c r="Q3" s="18">
        <v>1</v>
      </c>
    </row>
    <row r="4" spans="1:18" customFormat="1" x14ac:dyDescent="0.25">
      <c r="A4" s="18" t="s">
        <v>96</v>
      </c>
      <c r="B4" s="18" t="s">
        <v>34</v>
      </c>
      <c r="C4" s="18" t="s">
        <v>1380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56</v>
      </c>
      <c r="K4" s="18" t="s">
        <v>15</v>
      </c>
      <c r="L4" s="18" t="s">
        <v>1379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1212</v>
      </c>
      <c r="D5" s="18" t="s">
        <v>1382</v>
      </c>
      <c r="E5" s="18" t="s">
        <v>1214</v>
      </c>
      <c r="F5" s="18" t="s">
        <v>38</v>
      </c>
      <c r="G5" s="19">
        <v>0</v>
      </c>
      <c r="H5" s="19">
        <v>30</v>
      </c>
      <c r="I5" s="19">
        <f>-H5</f>
        <v>-30</v>
      </c>
      <c r="J5" s="18" t="s">
        <v>1383</v>
      </c>
      <c r="K5" s="18" t="s">
        <v>15</v>
      </c>
      <c r="L5" s="18" t="s">
        <v>1379</v>
      </c>
      <c r="M5" s="18"/>
      <c r="N5" s="18"/>
      <c r="O5" s="18"/>
      <c r="P5" s="18"/>
      <c r="Q5" s="18">
        <v>1</v>
      </c>
      <c r="R5" s="17">
        <f>H5</f>
        <v>30</v>
      </c>
    </row>
    <row r="6" spans="1:18" customFormat="1" x14ac:dyDescent="0.25">
      <c r="A6" s="18"/>
      <c r="B6" s="18" t="s">
        <v>34</v>
      </c>
      <c r="C6" s="18" t="s">
        <v>111</v>
      </c>
      <c r="D6" s="18" t="s">
        <v>1384</v>
      </c>
      <c r="E6" s="18" t="s">
        <v>1385</v>
      </c>
      <c r="F6" s="18" t="s">
        <v>38</v>
      </c>
      <c r="G6" s="19">
        <v>2420</v>
      </c>
      <c r="H6" s="19">
        <v>35</v>
      </c>
      <c r="I6" s="19">
        <f>G6-H6</f>
        <v>2385</v>
      </c>
      <c r="J6" s="18" t="s">
        <v>1383</v>
      </c>
      <c r="K6" s="18" t="s">
        <v>15</v>
      </c>
      <c r="L6" s="18" t="s">
        <v>1379</v>
      </c>
      <c r="M6" s="26" t="s">
        <v>377</v>
      </c>
      <c r="N6" s="18"/>
      <c r="O6" s="18"/>
      <c r="P6" s="18"/>
      <c r="Q6" s="18">
        <v>1</v>
      </c>
      <c r="R6" s="17">
        <f>H6</f>
        <v>35</v>
      </c>
    </row>
    <row r="7" spans="1:18" customFormat="1" x14ac:dyDescent="0.25">
      <c r="A7" s="18"/>
      <c r="B7" s="18" t="s">
        <v>34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1383</v>
      </c>
      <c r="K7" s="18" t="s">
        <v>15</v>
      </c>
      <c r="L7" s="18" t="s">
        <v>1379</v>
      </c>
      <c r="M7" s="18"/>
      <c r="N7" s="18"/>
      <c r="O7" s="18"/>
      <c r="P7" s="18"/>
      <c r="Q7" s="18">
        <v>1</v>
      </c>
      <c r="R7" s="17">
        <f>H7</f>
        <v>25</v>
      </c>
    </row>
    <row r="8" spans="1:18" customFormat="1" x14ac:dyDescent="0.25">
      <c r="A8" s="18"/>
      <c r="B8" s="18" t="s">
        <v>34</v>
      </c>
      <c r="C8" s="18" t="s">
        <v>1389</v>
      </c>
      <c r="D8" s="18" t="s">
        <v>1390</v>
      </c>
      <c r="E8" s="18" t="s">
        <v>1391</v>
      </c>
      <c r="F8" s="18" t="s">
        <v>123</v>
      </c>
      <c r="G8" s="19">
        <v>1565</v>
      </c>
      <c r="H8" s="19">
        <v>35</v>
      </c>
      <c r="I8" s="19">
        <f>G8-H8</f>
        <v>1530</v>
      </c>
      <c r="J8" s="18" t="s">
        <v>1383</v>
      </c>
      <c r="K8" s="18" t="s">
        <v>15</v>
      </c>
      <c r="L8" s="18" t="s">
        <v>1379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1392</v>
      </c>
      <c r="D9" s="18" t="s">
        <v>1393</v>
      </c>
      <c r="E9" s="18" t="s">
        <v>422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1383</v>
      </c>
      <c r="K9" s="18" t="s">
        <v>15</v>
      </c>
      <c r="L9" s="18" t="s">
        <v>1379</v>
      </c>
      <c r="M9" s="18"/>
      <c r="N9" s="18"/>
      <c r="O9" s="18"/>
      <c r="P9" s="18"/>
      <c r="Q9" s="18">
        <v>1</v>
      </c>
      <c r="R9" s="17">
        <f>H9</f>
        <v>30</v>
      </c>
    </row>
    <row r="10" spans="1:18" customFormat="1" x14ac:dyDescent="0.25">
      <c r="A10" s="18"/>
      <c r="B10" s="18" t="s">
        <v>34</v>
      </c>
      <c r="C10" s="18" t="s">
        <v>1394</v>
      </c>
      <c r="D10" s="18" t="s">
        <v>1395</v>
      </c>
      <c r="E10" s="18" t="s">
        <v>1396</v>
      </c>
      <c r="F10" s="18" t="s">
        <v>254</v>
      </c>
      <c r="G10" s="19">
        <v>35</v>
      </c>
      <c r="H10" s="19">
        <v>35</v>
      </c>
      <c r="I10" s="19">
        <f t="shared" ref="I10:I15" si="0">G10-H10</f>
        <v>0</v>
      </c>
      <c r="J10" s="18" t="s">
        <v>1383</v>
      </c>
      <c r="K10" s="18" t="s">
        <v>15</v>
      </c>
      <c r="L10" s="18" t="s">
        <v>1379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1397</v>
      </c>
      <c r="D11" s="18" t="s">
        <v>1398</v>
      </c>
      <c r="E11" s="18" t="s">
        <v>1399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1383</v>
      </c>
      <c r="K11" s="18" t="s">
        <v>15</v>
      </c>
      <c r="L11" s="18" t="s">
        <v>1379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1400</v>
      </c>
      <c r="D12" s="18" t="s">
        <v>1401</v>
      </c>
      <c r="E12" s="18" t="s">
        <v>1402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1383</v>
      </c>
      <c r="K12" s="18" t="s">
        <v>15</v>
      </c>
      <c r="L12" s="18" t="s">
        <v>1379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1403</v>
      </c>
      <c r="D13" s="18" t="s">
        <v>1404</v>
      </c>
      <c r="E13" s="18" t="s">
        <v>1405</v>
      </c>
      <c r="F13" s="18" t="s">
        <v>212</v>
      </c>
      <c r="G13" s="19">
        <v>895</v>
      </c>
      <c r="H13" s="19">
        <v>25</v>
      </c>
      <c r="I13" s="19">
        <f t="shared" si="0"/>
        <v>870</v>
      </c>
      <c r="J13" s="18" t="s">
        <v>1383</v>
      </c>
      <c r="K13" s="18" t="s">
        <v>15</v>
      </c>
      <c r="L13" s="18" t="s">
        <v>1379</v>
      </c>
      <c r="M13" s="18"/>
      <c r="N13" s="18"/>
      <c r="O13" s="18"/>
      <c r="P13" s="18"/>
      <c r="Q13" s="18">
        <v>1</v>
      </c>
    </row>
    <row r="14" spans="1:18" customFormat="1" x14ac:dyDescent="0.25">
      <c r="A14" s="18" t="s">
        <v>96</v>
      </c>
      <c r="B14" s="18" t="s">
        <v>34</v>
      </c>
      <c r="C14" s="18" t="s">
        <v>583</v>
      </c>
      <c r="D14" s="18"/>
      <c r="E14" s="18" t="s">
        <v>584</v>
      </c>
      <c r="F14" s="18" t="s">
        <v>212</v>
      </c>
      <c r="G14" s="19">
        <v>30</v>
      </c>
      <c r="H14" s="19">
        <v>30</v>
      </c>
      <c r="I14" s="19">
        <f t="shared" si="0"/>
        <v>0</v>
      </c>
      <c r="J14" s="18" t="s">
        <v>1383</v>
      </c>
      <c r="K14" s="18" t="s">
        <v>15</v>
      </c>
      <c r="L14" s="18" t="s">
        <v>1379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674</v>
      </c>
      <c r="D15" s="18"/>
      <c r="E15" s="18" t="s">
        <v>675</v>
      </c>
      <c r="F15" s="18" t="s">
        <v>254</v>
      </c>
      <c r="G15" s="19">
        <v>1340</v>
      </c>
      <c r="H15" s="19">
        <v>40</v>
      </c>
      <c r="I15" s="19">
        <f t="shared" si="0"/>
        <v>1300</v>
      </c>
      <c r="J15" s="18" t="s">
        <v>1383</v>
      </c>
      <c r="K15" s="18" t="s">
        <v>15</v>
      </c>
      <c r="L15" s="18" t="s">
        <v>1379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1406</v>
      </c>
      <c r="D16" s="18" t="s">
        <v>1407</v>
      </c>
      <c r="E16" s="18" t="s">
        <v>1408</v>
      </c>
      <c r="F16" s="18" t="s">
        <v>144</v>
      </c>
      <c r="G16" s="19">
        <v>0</v>
      </c>
      <c r="H16" s="19">
        <v>30</v>
      </c>
      <c r="I16" s="19">
        <f>-H16</f>
        <v>-30</v>
      </c>
      <c r="J16" s="18" t="s">
        <v>15</v>
      </c>
      <c r="K16" s="18" t="s">
        <v>15</v>
      </c>
      <c r="L16" s="18" t="s">
        <v>1379</v>
      </c>
      <c r="M16" s="18"/>
      <c r="N16" s="18"/>
      <c r="O16" s="18"/>
      <c r="P16" s="18"/>
      <c r="Q16" s="18">
        <v>1</v>
      </c>
      <c r="R16" s="17">
        <f>H16</f>
        <v>30</v>
      </c>
    </row>
    <row r="17" spans="1:18" customFormat="1" x14ac:dyDescent="0.25">
      <c r="A17" s="18"/>
      <c r="B17" s="18" t="s">
        <v>34</v>
      </c>
      <c r="C17" s="18" t="s">
        <v>730</v>
      </c>
      <c r="D17" s="18" t="s">
        <v>1409</v>
      </c>
      <c r="E17" s="18" t="s">
        <v>732</v>
      </c>
      <c r="F17" s="18" t="s">
        <v>19</v>
      </c>
      <c r="G17" s="19">
        <v>730</v>
      </c>
      <c r="H17" s="19">
        <v>20</v>
      </c>
      <c r="I17" s="19">
        <f t="shared" ref="I17:I24" si="1">G17-H17</f>
        <v>710</v>
      </c>
      <c r="J17" s="18" t="s">
        <v>15</v>
      </c>
      <c r="K17" s="18" t="s">
        <v>15</v>
      </c>
      <c r="L17" s="18" t="s">
        <v>1379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1410</v>
      </c>
      <c r="D18" s="18" t="s">
        <v>1411</v>
      </c>
      <c r="E18" s="18" t="s">
        <v>1412</v>
      </c>
      <c r="F18" s="18" t="s">
        <v>144</v>
      </c>
      <c r="G18" s="19">
        <v>900</v>
      </c>
      <c r="H18" s="19">
        <v>30</v>
      </c>
      <c r="I18" s="19">
        <f t="shared" si="1"/>
        <v>870</v>
      </c>
      <c r="J18" s="18" t="s">
        <v>15</v>
      </c>
      <c r="K18" s="18" t="s">
        <v>15</v>
      </c>
      <c r="L18" s="18" t="s">
        <v>1379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1413</v>
      </c>
      <c r="D19" s="18" t="s">
        <v>1414</v>
      </c>
      <c r="E19" s="18" t="s">
        <v>1415</v>
      </c>
      <c r="F19" s="18" t="s">
        <v>18</v>
      </c>
      <c r="G19" s="19">
        <v>1735</v>
      </c>
      <c r="H19" s="19">
        <v>25</v>
      </c>
      <c r="I19" s="19">
        <f t="shared" si="1"/>
        <v>1710</v>
      </c>
      <c r="J19" s="18" t="s">
        <v>15</v>
      </c>
      <c r="K19" s="18" t="s">
        <v>15</v>
      </c>
      <c r="L19" s="18" t="s">
        <v>1379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628</v>
      </c>
      <c r="D20" s="18" t="s">
        <v>1416</v>
      </c>
      <c r="E20" s="18" t="s">
        <v>630</v>
      </c>
      <c r="F20" s="18" t="s">
        <v>20</v>
      </c>
      <c r="G20" s="19">
        <v>775</v>
      </c>
      <c r="H20" s="19">
        <v>25</v>
      </c>
      <c r="I20" s="19">
        <f t="shared" si="1"/>
        <v>750</v>
      </c>
      <c r="J20" s="18" t="s">
        <v>15</v>
      </c>
      <c r="K20" s="18" t="s">
        <v>15</v>
      </c>
      <c r="L20" s="18" t="s">
        <v>1379</v>
      </c>
      <c r="M20" s="18"/>
      <c r="N20" s="18"/>
      <c r="O20" s="18"/>
      <c r="P20" s="18"/>
      <c r="Q20" s="18">
        <v>1</v>
      </c>
    </row>
    <row r="21" spans="1:18" customFormat="1" x14ac:dyDescent="0.25">
      <c r="A21" s="18" t="s">
        <v>96</v>
      </c>
      <c r="B21" s="18" t="s">
        <v>34</v>
      </c>
      <c r="C21" s="18" t="s">
        <v>134</v>
      </c>
      <c r="D21" s="18"/>
      <c r="E21" s="18" t="s">
        <v>1417</v>
      </c>
      <c r="F21" s="18" t="s">
        <v>20</v>
      </c>
      <c r="G21" s="19">
        <v>1510</v>
      </c>
      <c r="H21" s="19">
        <v>30</v>
      </c>
      <c r="I21" s="19">
        <f t="shared" si="1"/>
        <v>1480</v>
      </c>
      <c r="J21" s="18" t="s">
        <v>15</v>
      </c>
      <c r="K21" s="18" t="s">
        <v>15</v>
      </c>
      <c r="L21" s="18" t="s">
        <v>1379</v>
      </c>
      <c r="M21" s="18"/>
      <c r="N21" s="18"/>
      <c r="O21" s="18"/>
      <c r="P21" s="18"/>
      <c r="Q21" s="18">
        <v>1</v>
      </c>
    </row>
    <row r="22" spans="1:18" customFormat="1" x14ac:dyDescent="0.25">
      <c r="A22" s="18" t="s">
        <v>96</v>
      </c>
      <c r="B22" s="18" t="s">
        <v>34</v>
      </c>
      <c r="C22" s="18" t="s">
        <v>586</v>
      </c>
      <c r="D22" s="18"/>
      <c r="E22" s="18" t="s">
        <v>587</v>
      </c>
      <c r="F22" s="18" t="s">
        <v>144</v>
      </c>
      <c r="G22" s="19">
        <v>2375</v>
      </c>
      <c r="H22" s="19">
        <v>35</v>
      </c>
      <c r="I22" s="19">
        <f t="shared" si="1"/>
        <v>2340</v>
      </c>
      <c r="J22" s="18" t="s">
        <v>15</v>
      </c>
      <c r="K22" s="18" t="s">
        <v>15</v>
      </c>
      <c r="L22" s="18" t="s">
        <v>1379</v>
      </c>
      <c r="M22" s="18"/>
      <c r="N22" s="18"/>
      <c r="O22" s="18"/>
      <c r="P22" s="18"/>
      <c r="Q22" s="18">
        <v>1</v>
      </c>
    </row>
    <row r="23" spans="1:18" customFormat="1" x14ac:dyDescent="0.25">
      <c r="A23" s="18" t="s">
        <v>96</v>
      </c>
      <c r="B23" s="18" t="s">
        <v>34</v>
      </c>
      <c r="C23" s="18" t="s">
        <v>640</v>
      </c>
      <c r="D23" s="18"/>
      <c r="E23" s="18" t="s">
        <v>641</v>
      </c>
      <c r="F23" s="18" t="s">
        <v>20</v>
      </c>
      <c r="G23" s="19">
        <v>1690</v>
      </c>
      <c r="H23" s="19">
        <v>30</v>
      </c>
      <c r="I23" s="19">
        <f t="shared" si="1"/>
        <v>1660</v>
      </c>
      <c r="J23" s="18" t="s">
        <v>15</v>
      </c>
      <c r="K23" s="18" t="s">
        <v>15</v>
      </c>
      <c r="L23" s="18" t="s">
        <v>1379</v>
      </c>
      <c r="M23" s="18"/>
      <c r="N23" s="18"/>
      <c r="O23" s="18"/>
      <c r="P23" s="18"/>
      <c r="Q23" s="18">
        <v>1</v>
      </c>
    </row>
    <row r="24" spans="1:18" customFormat="1" x14ac:dyDescent="0.25">
      <c r="A24" s="18" t="s">
        <v>96</v>
      </c>
      <c r="B24" s="18" t="s">
        <v>34</v>
      </c>
      <c r="C24" s="18" t="s">
        <v>1418</v>
      </c>
      <c r="D24" s="18"/>
      <c r="E24" s="18" t="s">
        <v>1419</v>
      </c>
      <c r="F24" s="18" t="s">
        <v>19</v>
      </c>
      <c r="G24" s="19">
        <v>30</v>
      </c>
      <c r="H24" s="19">
        <v>30</v>
      </c>
      <c r="I24" s="19">
        <f t="shared" si="1"/>
        <v>0</v>
      </c>
      <c r="J24" s="18" t="s">
        <v>15</v>
      </c>
      <c r="K24" s="18" t="s">
        <v>15</v>
      </c>
      <c r="L24" s="18" t="s">
        <v>1379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1420</v>
      </c>
      <c r="D25" s="18" t="s">
        <v>1421</v>
      </c>
      <c r="E25" s="18" t="s">
        <v>1422</v>
      </c>
      <c r="F25" s="18" t="s">
        <v>18</v>
      </c>
      <c r="G25" s="19">
        <v>0</v>
      </c>
      <c r="H25" s="19">
        <v>25</v>
      </c>
      <c r="I25" s="19">
        <f>-H25</f>
        <v>-25</v>
      </c>
      <c r="J25" s="18" t="s">
        <v>160</v>
      </c>
      <c r="K25" s="18" t="s">
        <v>15</v>
      </c>
      <c r="L25" s="18" t="s">
        <v>1379</v>
      </c>
      <c r="M25" s="18"/>
      <c r="N25" s="18"/>
      <c r="O25" s="18"/>
      <c r="P25" s="18"/>
      <c r="Q25" s="18">
        <v>1</v>
      </c>
      <c r="R25" s="17">
        <f>H25</f>
        <v>25</v>
      </c>
    </row>
    <row r="26" spans="1:18" customFormat="1" x14ac:dyDescent="0.25">
      <c r="A26" s="18"/>
      <c r="B26" s="18" t="s">
        <v>34</v>
      </c>
      <c r="C26" s="18" t="s">
        <v>733</v>
      </c>
      <c r="D26" s="18" t="s">
        <v>1423</v>
      </c>
      <c r="E26" s="18" t="s">
        <v>1424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160</v>
      </c>
      <c r="K26" s="18" t="s">
        <v>15</v>
      </c>
      <c r="L26" s="18" t="s">
        <v>1379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1425</v>
      </c>
      <c r="D27" s="18" t="s">
        <v>1426</v>
      </c>
      <c r="E27" s="18" t="s">
        <v>875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160</v>
      </c>
      <c r="K27" s="18" t="s">
        <v>15</v>
      </c>
      <c r="L27" s="18" t="s">
        <v>1379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1427</v>
      </c>
      <c r="D28" s="18" t="s">
        <v>1428</v>
      </c>
      <c r="E28" s="18" t="s">
        <v>1429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160</v>
      </c>
      <c r="K28" s="18" t="s">
        <v>15</v>
      </c>
      <c r="L28" s="18" t="s">
        <v>1379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1430</v>
      </c>
      <c r="D29" s="18" t="s">
        <v>1431</v>
      </c>
      <c r="E29" s="18" t="s">
        <v>1432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160</v>
      </c>
      <c r="K29" s="18" t="s">
        <v>15</v>
      </c>
      <c r="L29" s="18" t="s">
        <v>1379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1433</v>
      </c>
      <c r="D30" s="18" t="s">
        <v>1434</v>
      </c>
      <c r="E30" s="18" t="s">
        <v>1435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160</v>
      </c>
      <c r="K30" s="18" t="s">
        <v>15</v>
      </c>
      <c r="L30" s="18" t="s">
        <v>1379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657</v>
      </c>
      <c r="D31" s="18" t="s">
        <v>658</v>
      </c>
      <c r="E31" s="18" t="s">
        <v>659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1379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1436</v>
      </c>
      <c r="D32" s="18" t="s">
        <v>1437</v>
      </c>
      <c r="E32" s="18" t="s">
        <v>1438</v>
      </c>
      <c r="F32" s="18" t="s">
        <v>17</v>
      </c>
      <c r="G32" s="19">
        <v>780</v>
      </c>
      <c r="H32" s="19">
        <v>20</v>
      </c>
      <c r="I32" s="19">
        <f>G32-H32</f>
        <v>760</v>
      </c>
      <c r="J32" s="18" t="s">
        <v>160</v>
      </c>
      <c r="K32" s="18" t="s">
        <v>15</v>
      </c>
      <c r="L32" s="18" t="s">
        <v>1379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1439</v>
      </c>
      <c r="D33" s="18" t="s">
        <v>1440</v>
      </c>
      <c r="E33" s="18" t="s">
        <v>1441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160</v>
      </c>
      <c r="K33" s="18" t="s">
        <v>15</v>
      </c>
      <c r="L33" s="18" t="s">
        <v>1379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1442</v>
      </c>
      <c r="D34" s="18"/>
      <c r="E34" s="18" t="s">
        <v>1443</v>
      </c>
      <c r="F34" s="18" t="s">
        <v>18</v>
      </c>
      <c r="G34" s="19">
        <v>30</v>
      </c>
      <c r="H34" s="19">
        <v>30</v>
      </c>
      <c r="I34" s="19">
        <f>G34-H34</f>
        <v>0</v>
      </c>
      <c r="J34" s="18" t="s">
        <v>160</v>
      </c>
      <c r="K34" s="18" t="s">
        <v>15</v>
      </c>
      <c r="L34" s="18" t="s">
        <v>1379</v>
      </c>
      <c r="M34" s="18"/>
      <c r="N34" s="18"/>
      <c r="O34" s="18"/>
      <c r="P34" s="18"/>
      <c r="Q34" s="18">
        <v>1</v>
      </c>
    </row>
    <row r="36" spans="1:18" x14ac:dyDescent="0.25">
      <c r="G36" s="1">
        <f t="shared" ref="G36:R36" si="2">SUBTOTAL(9,G3:G35)</f>
        <v>23770</v>
      </c>
      <c r="H36" s="1">
        <f t="shared" si="2"/>
        <v>910</v>
      </c>
      <c r="I36" s="1">
        <f t="shared" si="2"/>
        <v>22860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200</v>
      </c>
    </row>
    <row r="37" spans="1:18" x14ac:dyDescent="0.25">
      <c r="I37" s="1">
        <v>-870</v>
      </c>
      <c r="J37" s="1" t="s">
        <v>663</v>
      </c>
    </row>
    <row r="40" spans="1:18" ht="20.25" customHeight="1" x14ac:dyDescent="0.3">
      <c r="H40" s="4" t="s">
        <v>1374</v>
      </c>
      <c r="I40" s="5" t="s">
        <v>21</v>
      </c>
      <c r="J40" s="6" t="s">
        <v>22</v>
      </c>
    </row>
    <row r="41" spans="1:18" ht="15.75" customHeight="1" x14ac:dyDescent="0.25">
      <c r="H41" s="7" t="s">
        <v>23</v>
      </c>
      <c r="I41" s="8">
        <f>SUM(I35:I39)</f>
        <v>21990</v>
      </c>
      <c r="J41" s="8">
        <f>Q36</f>
        <v>32</v>
      </c>
    </row>
    <row r="42" spans="1:18" x14ac:dyDescent="0.25">
      <c r="H42" s="9" t="s">
        <v>24</v>
      </c>
      <c r="I42" s="10">
        <f>R36</f>
        <v>200</v>
      </c>
      <c r="J42" s="11"/>
    </row>
    <row r="43" spans="1:18" x14ac:dyDescent="0.25">
      <c r="H43" s="9" t="s">
        <v>25</v>
      </c>
      <c r="I43" s="10">
        <f>S35</f>
        <v>0</v>
      </c>
      <c r="J43" s="11"/>
    </row>
    <row r="44" spans="1:18" x14ac:dyDescent="0.25">
      <c r="H44" s="9" t="s">
        <v>26</v>
      </c>
      <c r="I44" s="10">
        <f>T35</f>
        <v>0</v>
      </c>
      <c r="J44" s="11"/>
    </row>
    <row r="45" spans="1:18" x14ac:dyDescent="0.25">
      <c r="H45" s="9" t="s">
        <v>27</v>
      </c>
      <c r="I45" s="10">
        <f>U35</f>
        <v>0</v>
      </c>
      <c r="J45" s="11"/>
    </row>
    <row r="46" spans="1:18" ht="15.75" customHeight="1" x14ac:dyDescent="0.25">
      <c r="H46" s="12" t="s">
        <v>28</v>
      </c>
      <c r="I46" s="13"/>
      <c r="J46" s="13"/>
    </row>
    <row r="47" spans="1:18" ht="15.75" customHeight="1" x14ac:dyDescent="0.25">
      <c r="H47" s="14" t="s">
        <v>29</v>
      </c>
      <c r="I47" s="13"/>
      <c r="J47" s="13"/>
    </row>
    <row r="48" spans="1:18" ht="21" customHeight="1" x14ac:dyDescent="0.35">
      <c r="H48" s="15" t="s">
        <v>30</v>
      </c>
      <c r="I48" s="16">
        <f>SUM(I41:I47)</f>
        <v>22190</v>
      </c>
      <c r="J48" s="16">
        <f>SUM(J41:J45)</f>
        <v>32</v>
      </c>
    </row>
    <row r="50" spans="1:12" x14ac:dyDescent="0.25">
      <c r="A50" s="1" t="s">
        <v>663</v>
      </c>
    </row>
    <row r="51" spans="1:12" x14ac:dyDescent="0.25">
      <c r="A51" s="45" t="s">
        <v>34</v>
      </c>
      <c r="B51" s="45" t="s">
        <v>1226</v>
      </c>
      <c r="C51" s="45" t="s">
        <v>1227</v>
      </c>
      <c r="D51" s="45" t="s">
        <v>1228</v>
      </c>
      <c r="E51" s="46">
        <v>12</v>
      </c>
      <c r="F51" s="46">
        <v>870</v>
      </c>
      <c r="G51" s="46">
        <v>0</v>
      </c>
      <c r="H51" s="46">
        <f>F51-G51</f>
        <v>870</v>
      </c>
      <c r="I51" s="45" t="s">
        <v>662</v>
      </c>
      <c r="J51" s="45" t="s">
        <v>15</v>
      </c>
      <c r="K51" s="45" t="s">
        <v>1160</v>
      </c>
      <c r="L51" s="47" t="s">
        <v>1444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39D15-0C3D-484A-B38B-7B8EFD23FD7B}">
  <dimension ref="A1:R68"/>
  <sheetViews>
    <sheetView topLeftCell="A43" zoomScaleNormal="100" workbookViewId="0">
      <selection activeCell="A67" sqref="A6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102</v>
      </c>
      <c r="C1" s="1" t="s">
        <v>1446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1447</v>
      </c>
      <c r="D3" s="18" t="s">
        <v>1448</v>
      </c>
      <c r="E3" s="18" t="s">
        <v>1449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56</v>
      </c>
      <c r="K3" s="18" t="s">
        <v>15</v>
      </c>
      <c r="L3" s="18" t="s">
        <v>1450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1451</v>
      </c>
      <c r="D4" s="18" t="s">
        <v>1452</v>
      </c>
      <c r="E4" s="18" t="s">
        <v>1453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56</v>
      </c>
      <c r="K4" s="18" t="s">
        <v>15</v>
      </c>
      <c r="L4" s="18" t="s">
        <v>1450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1454</v>
      </c>
      <c r="D5" s="18" t="s">
        <v>1455</v>
      </c>
      <c r="E5" s="18" t="s">
        <v>1456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56</v>
      </c>
      <c r="K5" s="18" t="s">
        <v>15</v>
      </c>
      <c r="L5" s="18" t="s">
        <v>1450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362</v>
      </c>
      <c r="D6" s="18" t="s">
        <v>1457</v>
      </c>
      <c r="E6" s="18" t="s">
        <v>364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56</v>
      </c>
      <c r="K6" s="18" t="s">
        <v>15</v>
      </c>
      <c r="L6" s="18" t="s">
        <v>1450</v>
      </c>
      <c r="M6" s="18"/>
      <c r="N6" s="18"/>
      <c r="O6" s="18"/>
      <c r="P6" s="18"/>
      <c r="Q6" s="18">
        <v>1</v>
      </c>
    </row>
    <row r="7" spans="1:18" customFormat="1" x14ac:dyDescent="0.25">
      <c r="A7" s="18" t="s">
        <v>96</v>
      </c>
      <c r="B7" s="18" t="s">
        <v>34</v>
      </c>
      <c r="C7" s="18" t="s">
        <v>1458</v>
      </c>
      <c r="D7" s="18"/>
      <c r="E7" s="18" t="s">
        <v>1459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56</v>
      </c>
      <c r="K7" s="18" t="s">
        <v>15</v>
      </c>
      <c r="L7" s="18" t="s">
        <v>1450</v>
      </c>
      <c r="M7" s="18"/>
      <c r="N7" s="18"/>
      <c r="O7" s="18"/>
      <c r="P7" s="18"/>
      <c r="Q7" s="18">
        <v>1</v>
      </c>
      <c r="R7" s="17">
        <f>H7</f>
        <v>35</v>
      </c>
    </row>
    <row r="8" spans="1:18" customFormat="1" x14ac:dyDescent="0.25">
      <c r="A8" s="18"/>
      <c r="B8" s="18" t="s">
        <v>34</v>
      </c>
      <c r="C8" s="18" t="s">
        <v>1460</v>
      </c>
      <c r="D8" s="18" t="s">
        <v>1461</v>
      </c>
      <c r="E8" s="18" t="s">
        <v>1462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56</v>
      </c>
      <c r="K8" s="18" t="s">
        <v>15</v>
      </c>
      <c r="L8" s="18" t="s">
        <v>1450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1463</v>
      </c>
      <c r="D9" s="18" t="s">
        <v>1464</v>
      </c>
      <c r="E9" s="18" t="s">
        <v>1465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1466</v>
      </c>
      <c r="K9" s="18" t="s">
        <v>15</v>
      </c>
      <c r="L9" s="18" t="s">
        <v>1450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1467</v>
      </c>
      <c r="D10" s="18" t="s">
        <v>1468</v>
      </c>
      <c r="E10" s="18" t="s">
        <v>1469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1466</v>
      </c>
      <c r="K10" s="18" t="s">
        <v>15</v>
      </c>
      <c r="L10" s="18" t="s">
        <v>1450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1470</v>
      </c>
      <c r="D11" s="18" t="s">
        <v>1471</v>
      </c>
      <c r="E11" s="18" t="s">
        <v>1472</v>
      </c>
      <c r="F11" s="18" t="s">
        <v>38</v>
      </c>
      <c r="G11" s="19">
        <v>780</v>
      </c>
      <c r="H11" s="19">
        <v>30</v>
      </c>
      <c r="I11" s="19">
        <f t="shared" si="0"/>
        <v>750</v>
      </c>
      <c r="J11" s="18" t="s">
        <v>1466</v>
      </c>
      <c r="K11" s="18" t="s">
        <v>15</v>
      </c>
      <c r="L11" s="18" t="s">
        <v>1450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1473</v>
      </c>
      <c r="D12" s="18" t="s">
        <v>1474</v>
      </c>
      <c r="E12" s="18" t="s">
        <v>1475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1466</v>
      </c>
      <c r="K12" s="18" t="s">
        <v>15</v>
      </c>
      <c r="L12" s="18" t="s">
        <v>1450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1183</v>
      </c>
      <c r="D13" s="18" t="s">
        <v>1476</v>
      </c>
      <c r="E13" s="18" t="s">
        <v>1477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1466</v>
      </c>
      <c r="K13" s="18" t="s">
        <v>15</v>
      </c>
      <c r="L13" s="18" t="s">
        <v>1450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1478</v>
      </c>
      <c r="D14" s="18" t="s">
        <v>1479</v>
      </c>
      <c r="E14" s="18" t="s">
        <v>1480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1466</v>
      </c>
      <c r="K14" s="18" t="s">
        <v>15</v>
      </c>
      <c r="L14" s="18" t="s">
        <v>1450</v>
      </c>
      <c r="M14" s="18"/>
      <c r="N14" s="18"/>
      <c r="O14" s="18"/>
      <c r="P14" s="18"/>
      <c r="Q14" s="18">
        <v>1</v>
      </c>
      <c r="R14" s="17">
        <f>H14</f>
        <v>25</v>
      </c>
    </row>
    <row r="15" spans="1:18" customFormat="1" x14ac:dyDescent="0.25">
      <c r="A15" s="18"/>
      <c r="B15" s="18" t="s">
        <v>34</v>
      </c>
      <c r="C15" s="18" t="s">
        <v>1481</v>
      </c>
      <c r="D15" s="18" t="s">
        <v>1482</v>
      </c>
      <c r="E15" s="18" t="s">
        <v>1483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1466</v>
      </c>
      <c r="K15" s="18" t="s">
        <v>15</v>
      </c>
      <c r="L15" s="18" t="s">
        <v>1450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1484</v>
      </c>
      <c r="D16" s="18" t="s">
        <v>1485</v>
      </c>
      <c r="E16" s="18" t="s">
        <v>1486</v>
      </c>
      <c r="F16" s="18" t="s">
        <v>212</v>
      </c>
      <c r="G16" s="19">
        <v>1015</v>
      </c>
      <c r="H16" s="19">
        <v>25</v>
      </c>
      <c r="I16" s="19">
        <f>G16-H16</f>
        <v>990</v>
      </c>
      <c r="J16" s="18" t="s">
        <v>1466</v>
      </c>
      <c r="K16" s="18" t="s">
        <v>15</v>
      </c>
      <c r="L16" s="18" t="s">
        <v>1450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815</v>
      </c>
      <c r="D17" s="18" t="s">
        <v>1487</v>
      </c>
      <c r="E17" s="18" t="s">
        <v>1488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1466</v>
      </c>
      <c r="K17" s="18" t="s">
        <v>15</v>
      </c>
      <c r="L17" s="18" t="s">
        <v>1450</v>
      </c>
      <c r="M17" s="18"/>
      <c r="N17" s="18"/>
      <c r="O17" s="18"/>
      <c r="P17" s="18"/>
      <c r="Q17" s="18">
        <v>1</v>
      </c>
      <c r="R17" s="17">
        <f>H17</f>
        <v>30</v>
      </c>
    </row>
    <row r="18" spans="1:18" customFormat="1" x14ac:dyDescent="0.25">
      <c r="A18" s="18"/>
      <c r="B18" s="18" t="s">
        <v>34</v>
      </c>
      <c r="C18" s="18" t="s">
        <v>1489</v>
      </c>
      <c r="D18" s="18" t="s">
        <v>1490</v>
      </c>
      <c r="E18" s="18" t="s">
        <v>1491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1466</v>
      </c>
      <c r="K18" s="18" t="s">
        <v>15</v>
      </c>
      <c r="L18" s="18" t="s">
        <v>1450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458</v>
      </c>
      <c r="D19" s="18" t="s">
        <v>1492</v>
      </c>
      <c r="E19" s="18" t="s">
        <v>460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1466</v>
      </c>
      <c r="K19" s="18" t="s">
        <v>15</v>
      </c>
      <c r="L19" s="18" t="s">
        <v>1450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1493</v>
      </c>
      <c r="D20" s="18" t="s">
        <v>1494</v>
      </c>
      <c r="E20" s="18" t="s">
        <v>1495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1466</v>
      </c>
      <c r="K20" s="18" t="s">
        <v>15</v>
      </c>
      <c r="L20" s="18" t="s">
        <v>1450</v>
      </c>
      <c r="M20" s="18"/>
      <c r="N20" s="18"/>
      <c r="O20" s="18"/>
      <c r="P20" s="18"/>
      <c r="Q20" s="18">
        <v>1</v>
      </c>
      <c r="R20" s="17">
        <f t="shared" ref="R20:R21" si="1">H20</f>
        <v>25</v>
      </c>
    </row>
    <row r="21" spans="1:18" customFormat="1" x14ac:dyDescent="0.25">
      <c r="A21" s="18"/>
      <c r="B21" s="18" t="s">
        <v>34</v>
      </c>
      <c r="C21" s="18" t="s">
        <v>1496</v>
      </c>
      <c r="D21" s="18" t="s">
        <v>1497</v>
      </c>
      <c r="E21" s="18" t="s">
        <v>1498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1466</v>
      </c>
      <c r="K21" s="18" t="s">
        <v>15</v>
      </c>
      <c r="L21" s="18" t="s">
        <v>1450</v>
      </c>
      <c r="M21" s="18"/>
      <c r="N21" s="18"/>
      <c r="O21" s="18"/>
      <c r="P21" s="18"/>
      <c r="Q21" s="18">
        <v>1</v>
      </c>
      <c r="R21" s="17">
        <f t="shared" si="1"/>
        <v>25</v>
      </c>
    </row>
    <row r="22" spans="1:18" customFormat="1" x14ac:dyDescent="0.25">
      <c r="A22" s="18"/>
      <c r="B22" s="18" t="s">
        <v>34</v>
      </c>
      <c r="C22" s="18" t="s">
        <v>1499</v>
      </c>
      <c r="D22" s="18" t="s">
        <v>1500</v>
      </c>
      <c r="E22" s="18" t="s">
        <v>1501</v>
      </c>
      <c r="F22" s="18" t="s">
        <v>38</v>
      </c>
      <c r="G22" s="19">
        <v>900</v>
      </c>
      <c r="H22" s="19">
        <v>30</v>
      </c>
      <c r="I22" s="19">
        <f>G22-H22</f>
        <v>870</v>
      </c>
      <c r="J22" s="18" t="s">
        <v>1466</v>
      </c>
      <c r="K22" s="18" t="s">
        <v>15</v>
      </c>
      <c r="L22" s="18" t="s">
        <v>1450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1502</v>
      </c>
      <c r="D23" s="18" t="s">
        <v>1503</v>
      </c>
      <c r="E23" s="18" t="s">
        <v>1504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1466</v>
      </c>
      <c r="K23" s="18" t="s">
        <v>15</v>
      </c>
      <c r="L23" s="18" t="s">
        <v>1450</v>
      </c>
      <c r="M23" s="18"/>
      <c r="N23" s="18"/>
      <c r="O23" s="18"/>
      <c r="P23" s="18"/>
      <c r="Q23" s="18">
        <v>1</v>
      </c>
      <c r="R23" s="17">
        <f>H23</f>
        <v>25</v>
      </c>
    </row>
    <row r="24" spans="1:18" customFormat="1" x14ac:dyDescent="0.25">
      <c r="A24" s="18"/>
      <c r="B24" s="18" t="s">
        <v>34</v>
      </c>
      <c r="C24" s="18" t="s">
        <v>1505</v>
      </c>
      <c r="D24" s="18" t="s">
        <v>1506</v>
      </c>
      <c r="E24" s="18" t="s">
        <v>1507</v>
      </c>
      <c r="F24" s="18" t="s">
        <v>38</v>
      </c>
      <c r="G24" s="19">
        <v>30</v>
      </c>
      <c r="H24" s="19">
        <v>30</v>
      </c>
      <c r="I24" s="19">
        <f t="shared" ref="I24:I29" si="2">G24-H24</f>
        <v>0</v>
      </c>
      <c r="J24" s="18" t="s">
        <v>1466</v>
      </c>
      <c r="K24" s="18" t="s">
        <v>15</v>
      </c>
      <c r="L24" s="18" t="s">
        <v>1450</v>
      </c>
      <c r="M24" s="18" t="s">
        <v>377</v>
      </c>
      <c r="N24" s="18"/>
      <c r="O24" s="18"/>
      <c r="P24" s="18"/>
      <c r="Q24" s="18">
        <v>1</v>
      </c>
    </row>
    <row r="25" spans="1:18" customFormat="1" x14ac:dyDescent="0.25">
      <c r="A25" s="18" t="s">
        <v>96</v>
      </c>
      <c r="B25" s="18" t="s">
        <v>34</v>
      </c>
      <c r="C25" s="18" t="s">
        <v>1508</v>
      </c>
      <c r="D25" s="18"/>
      <c r="E25" s="18" t="s">
        <v>1509</v>
      </c>
      <c r="F25" s="18" t="s">
        <v>38</v>
      </c>
      <c r="G25" s="19">
        <v>40</v>
      </c>
      <c r="H25" s="19">
        <v>40</v>
      </c>
      <c r="I25" s="19">
        <f t="shared" si="2"/>
        <v>0</v>
      </c>
      <c r="J25" s="18" t="s">
        <v>1466</v>
      </c>
      <c r="K25" s="18" t="s">
        <v>15</v>
      </c>
      <c r="L25" s="18" t="s">
        <v>1450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1510</v>
      </c>
      <c r="D26" s="18" t="s">
        <v>1511</v>
      </c>
      <c r="E26" s="18" t="s">
        <v>1512</v>
      </c>
      <c r="F26" s="18" t="s">
        <v>19</v>
      </c>
      <c r="G26" s="19">
        <v>460</v>
      </c>
      <c r="H26" s="19">
        <v>20</v>
      </c>
      <c r="I26" s="19">
        <f t="shared" si="2"/>
        <v>440</v>
      </c>
      <c r="J26" s="18" t="s">
        <v>15</v>
      </c>
      <c r="K26" s="18" t="s">
        <v>15</v>
      </c>
      <c r="L26" s="18" t="s">
        <v>1450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1513</v>
      </c>
      <c r="D27" s="18" t="s">
        <v>1514</v>
      </c>
      <c r="E27" s="18" t="s">
        <v>1515</v>
      </c>
      <c r="F27" s="18" t="s">
        <v>20</v>
      </c>
      <c r="G27" s="19">
        <v>1855</v>
      </c>
      <c r="H27" s="19">
        <v>25</v>
      </c>
      <c r="I27" s="19">
        <f t="shared" si="2"/>
        <v>1830</v>
      </c>
      <c r="J27" s="18" t="s">
        <v>15</v>
      </c>
      <c r="K27" s="18" t="s">
        <v>15</v>
      </c>
      <c r="L27" s="18" t="s">
        <v>1450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1516</v>
      </c>
      <c r="D28" s="18" t="s">
        <v>1517</v>
      </c>
      <c r="E28" s="18" t="s">
        <v>1518</v>
      </c>
      <c r="F28" s="18" t="s">
        <v>144</v>
      </c>
      <c r="G28" s="19">
        <v>960</v>
      </c>
      <c r="H28" s="19">
        <v>30</v>
      </c>
      <c r="I28" s="19">
        <f t="shared" si="2"/>
        <v>930</v>
      </c>
      <c r="J28" s="18" t="s">
        <v>15</v>
      </c>
      <c r="K28" s="18" t="s">
        <v>15</v>
      </c>
      <c r="L28" s="18" t="s">
        <v>1450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1519</v>
      </c>
      <c r="D29" s="18" t="s">
        <v>1520</v>
      </c>
      <c r="E29" s="18" t="s">
        <v>1521</v>
      </c>
      <c r="F29" s="19">
        <v>2</v>
      </c>
      <c r="G29" s="19">
        <v>600</v>
      </c>
      <c r="H29" s="19">
        <v>30</v>
      </c>
      <c r="I29" s="19">
        <f t="shared" si="2"/>
        <v>570</v>
      </c>
      <c r="J29" s="18" t="s">
        <v>15</v>
      </c>
      <c r="K29" s="18" t="s">
        <v>15</v>
      </c>
      <c r="L29" s="18" t="s">
        <v>1450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148</v>
      </c>
      <c r="D30" s="18" t="s">
        <v>1522</v>
      </c>
      <c r="E30" s="18" t="s">
        <v>150</v>
      </c>
      <c r="F30" s="18" t="s">
        <v>19</v>
      </c>
      <c r="G30" s="19">
        <v>0</v>
      </c>
      <c r="H30" s="19">
        <v>20</v>
      </c>
      <c r="I30" s="19">
        <f>-H30</f>
        <v>-20</v>
      </c>
      <c r="J30" s="18" t="s">
        <v>15</v>
      </c>
      <c r="K30" s="18" t="s">
        <v>15</v>
      </c>
      <c r="L30" s="18" t="s">
        <v>1450</v>
      </c>
      <c r="M30" s="18"/>
      <c r="N30" s="18"/>
      <c r="O30" s="18"/>
      <c r="P30" s="18"/>
      <c r="Q30" s="18">
        <v>1</v>
      </c>
      <c r="R30" s="17">
        <f>H30</f>
        <v>20</v>
      </c>
    </row>
    <row r="31" spans="1:18" customFormat="1" x14ac:dyDescent="0.25">
      <c r="A31" s="18"/>
      <c r="B31" s="18" t="s">
        <v>34</v>
      </c>
      <c r="C31" s="18" t="s">
        <v>1523</v>
      </c>
      <c r="D31" s="18" t="s">
        <v>1524</v>
      </c>
      <c r="E31" s="18" t="s">
        <v>1525</v>
      </c>
      <c r="F31" s="18" t="s">
        <v>19</v>
      </c>
      <c r="G31" s="19">
        <v>840</v>
      </c>
      <c r="H31" s="19">
        <v>20</v>
      </c>
      <c r="I31" s="19">
        <f>G31-H31</f>
        <v>820</v>
      </c>
      <c r="J31" s="18" t="s">
        <v>15</v>
      </c>
      <c r="K31" s="18" t="s">
        <v>15</v>
      </c>
      <c r="L31" s="18" t="s">
        <v>1450</v>
      </c>
      <c r="M31" s="18"/>
      <c r="N31" s="18"/>
      <c r="O31" s="18"/>
      <c r="P31" s="18"/>
      <c r="Q31" s="18">
        <v>1</v>
      </c>
    </row>
    <row r="32" spans="1:18" customFormat="1" x14ac:dyDescent="0.25">
      <c r="A32" s="18"/>
      <c r="B32" s="18" t="s">
        <v>34</v>
      </c>
      <c r="C32" s="18" t="s">
        <v>1526</v>
      </c>
      <c r="D32" s="18" t="s">
        <v>1527</v>
      </c>
      <c r="E32" s="18" t="s">
        <v>1528</v>
      </c>
      <c r="F32" s="18" t="s">
        <v>20</v>
      </c>
      <c r="G32" s="19">
        <v>0</v>
      </c>
      <c r="H32" s="19">
        <v>25</v>
      </c>
      <c r="I32" s="19">
        <f>-H32</f>
        <v>-25</v>
      </c>
      <c r="J32" s="18" t="s">
        <v>15</v>
      </c>
      <c r="K32" s="18" t="s">
        <v>15</v>
      </c>
      <c r="L32" s="18" t="s">
        <v>1450</v>
      </c>
      <c r="M32" s="18"/>
      <c r="N32" s="18"/>
      <c r="O32" s="18"/>
      <c r="P32" s="18"/>
      <c r="Q32" s="18">
        <v>1</v>
      </c>
      <c r="R32" s="17">
        <f>H32</f>
        <v>25</v>
      </c>
    </row>
    <row r="33" spans="1:18" customFormat="1" x14ac:dyDescent="0.25">
      <c r="A33" s="18"/>
      <c r="B33" s="18" t="s">
        <v>34</v>
      </c>
      <c r="C33" s="18" t="s">
        <v>1529</v>
      </c>
      <c r="D33" s="18" t="s">
        <v>1530</v>
      </c>
      <c r="E33" s="18" t="s">
        <v>1531</v>
      </c>
      <c r="F33" s="18" t="s">
        <v>19</v>
      </c>
      <c r="G33" s="19">
        <v>970</v>
      </c>
      <c r="H33" s="19">
        <v>20</v>
      </c>
      <c r="I33" s="19">
        <f>G33-H33</f>
        <v>950</v>
      </c>
      <c r="J33" s="18" t="s">
        <v>15</v>
      </c>
      <c r="K33" s="18" t="s">
        <v>15</v>
      </c>
      <c r="L33" s="18" t="s">
        <v>1450</v>
      </c>
      <c r="M33" s="18"/>
      <c r="N33" s="18"/>
      <c r="O33" s="18"/>
      <c r="P33" s="18"/>
      <c r="Q33" s="18">
        <v>1</v>
      </c>
    </row>
    <row r="34" spans="1:18" customFormat="1" x14ac:dyDescent="0.25">
      <c r="A34" s="18"/>
      <c r="B34" s="18" t="s">
        <v>34</v>
      </c>
      <c r="C34" s="18" t="s">
        <v>1532</v>
      </c>
      <c r="D34" s="18" t="s">
        <v>1533</v>
      </c>
      <c r="E34" s="18" t="s">
        <v>1534</v>
      </c>
      <c r="F34" s="18" t="s">
        <v>20</v>
      </c>
      <c r="G34" s="19">
        <v>0</v>
      </c>
      <c r="H34" s="19">
        <v>25</v>
      </c>
      <c r="I34" s="19">
        <f>-H34</f>
        <v>-25</v>
      </c>
      <c r="J34" s="18" t="s">
        <v>15</v>
      </c>
      <c r="K34" s="18" t="s">
        <v>15</v>
      </c>
      <c r="L34" s="18" t="s">
        <v>1450</v>
      </c>
      <c r="M34" s="18"/>
      <c r="N34" s="18"/>
      <c r="O34" s="18"/>
      <c r="P34" s="18"/>
      <c r="Q34" s="18">
        <v>1</v>
      </c>
      <c r="R34" s="17">
        <f>H34</f>
        <v>25</v>
      </c>
    </row>
    <row r="35" spans="1:18" customFormat="1" x14ac:dyDescent="0.25">
      <c r="A35" s="18"/>
      <c r="B35" s="18" t="s">
        <v>34</v>
      </c>
      <c r="C35" s="18" t="s">
        <v>1535</v>
      </c>
      <c r="D35" s="18" t="s">
        <v>1536</v>
      </c>
      <c r="E35" s="18" t="s">
        <v>1537</v>
      </c>
      <c r="F35" s="18" t="s">
        <v>19</v>
      </c>
      <c r="G35" s="19">
        <v>810</v>
      </c>
      <c r="H35" s="19">
        <v>20</v>
      </c>
      <c r="I35" s="19">
        <f t="shared" ref="I35:I40" si="3">G35-H35</f>
        <v>790</v>
      </c>
      <c r="J35" s="18" t="s">
        <v>15</v>
      </c>
      <c r="K35" s="18" t="s">
        <v>15</v>
      </c>
      <c r="L35" s="18" t="s">
        <v>1450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1538</v>
      </c>
      <c r="D36" s="18" t="s">
        <v>1539</v>
      </c>
      <c r="E36" s="18" t="s">
        <v>1540</v>
      </c>
      <c r="F36" s="18" t="s">
        <v>19</v>
      </c>
      <c r="G36" s="19">
        <v>810</v>
      </c>
      <c r="H36" s="19">
        <v>20</v>
      </c>
      <c r="I36" s="19">
        <f t="shared" si="3"/>
        <v>790</v>
      </c>
      <c r="J36" s="18" t="s">
        <v>15</v>
      </c>
      <c r="K36" s="18" t="s">
        <v>15</v>
      </c>
      <c r="L36" s="18" t="s">
        <v>1450</v>
      </c>
      <c r="M36" s="18"/>
      <c r="N36" s="18"/>
      <c r="O36" s="18"/>
      <c r="P36" s="18"/>
      <c r="Q36" s="18">
        <v>1</v>
      </c>
    </row>
    <row r="37" spans="1:18" customFormat="1" x14ac:dyDescent="0.25">
      <c r="A37" s="18" t="s">
        <v>96</v>
      </c>
      <c r="B37" s="18" t="s">
        <v>34</v>
      </c>
      <c r="C37" s="18" t="s">
        <v>1541</v>
      </c>
      <c r="D37" s="18"/>
      <c r="E37" s="18" t="s">
        <v>1542</v>
      </c>
      <c r="F37" s="18" t="s">
        <v>144</v>
      </c>
      <c r="G37" s="19">
        <v>35</v>
      </c>
      <c r="H37" s="19">
        <v>35</v>
      </c>
      <c r="I37" s="19">
        <f t="shared" si="3"/>
        <v>0</v>
      </c>
      <c r="J37" s="18" t="s">
        <v>15</v>
      </c>
      <c r="K37" s="18" t="s">
        <v>15</v>
      </c>
      <c r="L37" s="18" t="s">
        <v>1450</v>
      </c>
      <c r="M37" s="18"/>
      <c r="N37" s="18"/>
      <c r="O37" s="18"/>
      <c r="P37" s="18"/>
      <c r="Q37" s="18">
        <v>1</v>
      </c>
    </row>
    <row r="38" spans="1:18" customFormat="1" x14ac:dyDescent="0.25">
      <c r="A38" s="18" t="s">
        <v>96</v>
      </c>
      <c r="B38" s="18" t="s">
        <v>34</v>
      </c>
      <c r="C38" s="18" t="s">
        <v>586</v>
      </c>
      <c r="D38" s="18"/>
      <c r="E38" s="18" t="s">
        <v>1543</v>
      </c>
      <c r="F38" s="18" t="s">
        <v>144</v>
      </c>
      <c r="G38" s="19">
        <v>1175</v>
      </c>
      <c r="H38" s="19">
        <v>35</v>
      </c>
      <c r="I38" s="19">
        <f t="shared" si="3"/>
        <v>1140</v>
      </c>
      <c r="J38" s="18" t="s">
        <v>15</v>
      </c>
      <c r="K38" s="18" t="s">
        <v>15</v>
      </c>
      <c r="L38" s="18" t="s">
        <v>1450</v>
      </c>
      <c r="M38" s="18"/>
      <c r="N38" s="18"/>
      <c r="O38" s="18"/>
      <c r="P38" s="18"/>
      <c r="Q38" s="18">
        <v>1</v>
      </c>
    </row>
    <row r="39" spans="1:18" s="36" customFormat="1" x14ac:dyDescent="0.25">
      <c r="A39" s="18"/>
      <c r="B39" s="18" t="s">
        <v>34</v>
      </c>
      <c r="C39" s="18" t="s">
        <v>651</v>
      </c>
      <c r="D39" s="18" t="s">
        <v>1544</v>
      </c>
      <c r="E39" s="18" t="s">
        <v>653</v>
      </c>
      <c r="F39" s="18" t="s">
        <v>18</v>
      </c>
      <c r="G39" s="19">
        <v>945</v>
      </c>
      <c r="H39" s="19">
        <v>25</v>
      </c>
      <c r="I39" s="19">
        <f t="shared" si="3"/>
        <v>920</v>
      </c>
      <c r="J39" s="18" t="s">
        <v>160</v>
      </c>
      <c r="K39" s="18" t="s">
        <v>15</v>
      </c>
      <c r="L39" s="18" t="s">
        <v>1450</v>
      </c>
      <c r="M39" s="18"/>
      <c r="N39" s="18"/>
      <c r="O39" s="18"/>
      <c r="P39" s="18"/>
      <c r="Q39" s="45">
        <v>1</v>
      </c>
    </row>
    <row r="40" spans="1:18" customFormat="1" x14ac:dyDescent="0.25">
      <c r="A40" s="18"/>
      <c r="B40" s="18" t="s">
        <v>34</v>
      </c>
      <c r="C40" s="18" t="s">
        <v>1545</v>
      </c>
      <c r="D40" s="18" t="s">
        <v>1546</v>
      </c>
      <c r="E40" s="18" t="s">
        <v>1547</v>
      </c>
      <c r="F40" s="19">
        <v>1</v>
      </c>
      <c r="G40" s="19">
        <v>725</v>
      </c>
      <c r="H40" s="19">
        <v>25</v>
      </c>
      <c r="I40" s="19">
        <f t="shared" si="3"/>
        <v>700</v>
      </c>
      <c r="J40" s="18" t="s">
        <v>160</v>
      </c>
      <c r="K40" s="18" t="s">
        <v>15</v>
      </c>
      <c r="L40" s="18" t="s">
        <v>1450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1548</v>
      </c>
      <c r="D41" s="18" t="s">
        <v>1549</v>
      </c>
      <c r="E41" s="18" t="s">
        <v>1550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160</v>
      </c>
      <c r="K41" s="18" t="s">
        <v>15</v>
      </c>
      <c r="L41" s="18" t="s">
        <v>1450</v>
      </c>
      <c r="M41" s="18"/>
      <c r="N41" s="18"/>
      <c r="O41" s="18"/>
      <c r="P41" s="18"/>
      <c r="Q41" s="18">
        <v>1</v>
      </c>
      <c r="R41" s="17">
        <f t="shared" ref="R41:R42" si="4">H41</f>
        <v>25</v>
      </c>
    </row>
    <row r="42" spans="1:18" customFormat="1" x14ac:dyDescent="0.25">
      <c r="A42" s="18"/>
      <c r="B42" s="18" t="s">
        <v>34</v>
      </c>
      <c r="C42" s="18" t="s">
        <v>1551</v>
      </c>
      <c r="D42" s="18" t="s">
        <v>1552</v>
      </c>
      <c r="E42" s="18" t="s">
        <v>1553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1450</v>
      </c>
      <c r="M42" s="18"/>
      <c r="N42" s="18"/>
      <c r="O42" s="18"/>
      <c r="P42" s="18"/>
      <c r="Q42" s="18">
        <v>1</v>
      </c>
      <c r="R42" s="17">
        <f t="shared" si="4"/>
        <v>25</v>
      </c>
    </row>
    <row r="43" spans="1:18" customFormat="1" x14ac:dyDescent="0.25">
      <c r="A43" s="18"/>
      <c r="B43" s="18" t="s">
        <v>34</v>
      </c>
      <c r="C43" s="18" t="s">
        <v>999</v>
      </c>
      <c r="D43" s="18" t="s">
        <v>1554</v>
      </c>
      <c r="E43" s="18" t="s">
        <v>1001</v>
      </c>
      <c r="F43" s="18" t="s">
        <v>18</v>
      </c>
      <c r="G43" s="19">
        <v>975</v>
      </c>
      <c r="H43" s="19">
        <v>25</v>
      </c>
      <c r="I43" s="19">
        <f>G43-H43</f>
        <v>950</v>
      </c>
      <c r="J43" s="18" t="s">
        <v>160</v>
      </c>
      <c r="K43" s="18" t="s">
        <v>15</v>
      </c>
      <c r="L43" s="18" t="s">
        <v>1450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778</v>
      </c>
      <c r="D44" s="18" t="s">
        <v>1555</v>
      </c>
      <c r="E44" s="18" t="s">
        <v>1556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160</v>
      </c>
      <c r="K44" s="18" t="s">
        <v>15</v>
      </c>
      <c r="L44" s="18" t="s">
        <v>1450</v>
      </c>
      <c r="M44" s="18"/>
      <c r="N44" s="18"/>
      <c r="O44" s="18"/>
      <c r="P44" s="18"/>
      <c r="Q44" s="18">
        <v>1</v>
      </c>
      <c r="R44" s="17">
        <f>H44</f>
        <v>25</v>
      </c>
    </row>
    <row r="45" spans="1:18" customFormat="1" x14ac:dyDescent="0.25">
      <c r="A45" s="18"/>
      <c r="B45" s="18" t="s">
        <v>34</v>
      </c>
      <c r="C45" s="18" t="s">
        <v>1557</v>
      </c>
      <c r="D45" s="18" t="s">
        <v>1558</v>
      </c>
      <c r="E45" s="18" t="s">
        <v>1559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160</v>
      </c>
      <c r="K45" s="18" t="s">
        <v>15</v>
      </c>
      <c r="L45" s="18" t="s">
        <v>1450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1560</v>
      </c>
      <c r="D46" s="18" t="s">
        <v>1561</v>
      </c>
      <c r="E46" s="18" t="s">
        <v>1562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160</v>
      </c>
      <c r="K46" s="18" t="s">
        <v>15</v>
      </c>
      <c r="L46" s="18" t="s">
        <v>1450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1563</v>
      </c>
      <c r="D47" s="18" t="s">
        <v>1564</v>
      </c>
      <c r="E47" s="18" t="s">
        <v>1565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160</v>
      </c>
      <c r="K47" s="18" t="s">
        <v>15</v>
      </c>
      <c r="L47" s="18" t="s">
        <v>1450</v>
      </c>
      <c r="M47" s="18"/>
      <c r="N47" s="18"/>
      <c r="O47" s="18"/>
      <c r="P47" s="18"/>
      <c r="Q47" s="18">
        <v>1</v>
      </c>
      <c r="R47" s="17">
        <f>H47</f>
        <v>25</v>
      </c>
    </row>
    <row r="48" spans="1:18" customFormat="1" x14ac:dyDescent="0.25">
      <c r="A48" s="18"/>
      <c r="B48" s="18" t="s">
        <v>34</v>
      </c>
      <c r="C48" s="18" t="s">
        <v>1304</v>
      </c>
      <c r="D48" s="18" t="s">
        <v>1566</v>
      </c>
      <c r="E48" s="18" t="s">
        <v>1306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160</v>
      </c>
      <c r="K48" s="18" t="s">
        <v>15</v>
      </c>
      <c r="L48" s="18" t="s">
        <v>1450</v>
      </c>
      <c r="M48" s="18"/>
      <c r="N48" s="18"/>
      <c r="O48" s="18"/>
      <c r="P48" s="18"/>
      <c r="Q48" s="18">
        <v>1</v>
      </c>
    </row>
    <row r="49" spans="1:18" customFormat="1" x14ac:dyDescent="0.25">
      <c r="A49" s="18" t="s">
        <v>96</v>
      </c>
      <c r="B49" s="18" t="s">
        <v>34</v>
      </c>
      <c r="C49" s="18" t="s">
        <v>579</v>
      </c>
      <c r="D49" s="18"/>
      <c r="E49" s="18" t="s">
        <v>580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160</v>
      </c>
      <c r="K49" s="18" t="s">
        <v>15</v>
      </c>
      <c r="L49" s="18" t="s">
        <v>1450</v>
      </c>
      <c r="M49" s="18"/>
      <c r="N49" s="18"/>
      <c r="O49" s="18"/>
      <c r="P49" s="18"/>
      <c r="Q49" s="18">
        <v>1</v>
      </c>
    </row>
    <row r="50" spans="1:18" customFormat="1" x14ac:dyDescent="0.25">
      <c r="A50" s="18" t="s">
        <v>96</v>
      </c>
      <c r="B50" s="18" t="s">
        <v>34</v>
      </c>
      <c r="C50" s="18" t="s">
        <v>1567</v>
      </c>
      <c r="D50" s="18"/>
      <c r="E50" s="18" t="s">
        <v>433</v>
      </c>
      <c r="F50" s="18" t="s">
        <v>18</v>
      </c>
      <c r="G50" s="19">
        <v>0</v>
      </c>
      <c r="H50" s="19">
        <v>30</v>
      </c>
      <c r="I50" s="19">
        <f>-H50</f>
        <v>-30</v>
      </c>
      <c r="J50" s="18" t="s">
        <v>160</v>
      </c>
      <c r="K50" s="18" t="s">
        <v>15</v>
      </c>
      <c r="L50" s="18" t="s">
        <v>1450</v>
      </c>
      <c r="M50" s="18"/>
      <c r="N50" s="18"/>
      <c r="O50" s="18"/>
      <c r="P50" s="18"/>
      <c r="Q50" s="18">
        <v>1</v>
      </c>
      <c r="R50" s="17">
        <f>H50</f>
        <v>30</v>
      </c>
    </row>
    <row r="51" spans="1:18" s="36" customFormat="1" x14ac:dyDescent="0.25">
      <c r="A51" s="45"/>
      <c r="B51" s="45" t="s">
        <v>34</v>
      </c>
      <c r="C51" s="45" t="s">
        <v>1568</v>
      </c>
      <c r="D51" s="45" t="s">
        <v>1569</v>
      </c>
      <c r="E51" s="45" t="s">
        <v>1570</v>
      </c>
      <c r="F51" s="45" t="s">
        <v>784</v>
      </c>
      <c r="G51" s="46">
        <v>2040</v>
      </c>
      <c r="H51" s="46">
        <v>0</v>
      </c>
      <c r="I51" s="46">
        <f>G51-H51</f>
        <v>2040</v>
      </c>
      <c r="J51" s="45" t="s">
        <v>662</v>
      </c>
      <c r="K51" s="45" t="s">
        <v>15</v>
      </c>
      <c r="L51" s="45" t="s">
        <v>1450</v>
      </c>
      <c r="M51" s="45" t="s">
        <v>786</v>
      </c>
      <c r="N51" s="45" t="s">
        <v>787</v>
      </c>
      <c r="O51" s="45"/>
      <c r="P51" s="45" t="s">
        <v>788</v>
      </c>
      <c r="Q51" s="46">
        <v>1</v>
      </c>
    </row>
    <row r="53" spans="1:18" x14ac:dyDescent="0.25">
      <c r="G53" s="1">
        <f t="shared" ref="G53:R53" si="5">SUBTOTAL(9,G3:G52)</f>
        <v>29470</v>
      </c>
      <c r="H53" s="1">
        <f t="shared" si="5"/>
        <v>1315</v>
      </c>
      <c r="I53" s="1">
        <f t="shared" si="5"/>
        <v>28155</v>
      </c>
      <c r="J53" s="1">
        <f t="shared" si="5"/>
        <v>0</v>
      </c>
      <c r="K53" s="1">
        <f t="shared" si="5"/>
        <v>0</v>
      </c>
      <c r="L53" s="1">
        <f t="shared" si="5"/>
        <v>0</v>
      </c>
      <c r="M53" s="1">
        <f t="shared" si="5"/>
        <v>0</v>
      </c>
      <c r="N53" s="1">
        <f t="shared" si="5"/>
        <v>0</v>
      </c>
      <c r="O53" s="1">
        <f t="shared" si="5"/>
        <v>0</v>
      </c>
      <c r="P53" s="1">
        <f t="shared" si="5"/>
        <v>0</v>
      </c>
      <c r="Q53" s="1">
        <f t="shared" si="5"/>
        <v>49</v>
      </c>
      <c r="R53" s="1">
        <f t="shared" si="5"/>
        <v>365</v>
      </c>
    </row>
    <row r="54" spans="1:18" x14ac:dyDescent="0.25">
      <c r="I54" s="1">
        <v>-3155</v>
      </c>
      <c r="J54" s="1" t="s">
        <v>663</v>
      </c>
    </row>
    <row r="57" spans="1:18" ht="20.25" customHeight="1" x14ac:dyDescent="0.3">
      <c r="H57" s="4" t="s">
        <v>1445</v>
      </c>
      <c r="I57" s="5" t="s">
        <v>21</v>
      </c>
      <c r="J57" s="6" t="s">
        <v>22</v>
      </c>
    </row>
    <row r="58" spans="1:18" ht="15.75" customHeight="1" x14ac:dyDescent="0.25">
      <c r="H58" s="7" t="s">
        <v>23</v>
      </c>
      <c r="I58" s="8">
        <f>SUM(I52:I56)</f>
        <v>25000</v>
      </c>
      <c r="J58" s="8">
        <f>Q53</f>
        <v>49</v>
      </c>
    </row>
    <row r="59" spans="1:18" x14ac:dyDescent="0.25">
      <c r="H59" s="9" t="s">
        <v>24</v>
      </c>
      <c r="I59" s="10">
        <f>R53</f>
        <v>365</v>
      </c>
      <c r="J59" s="11"/>
    </row>
    <row r="60" spans="1:18" x14ac:dyDescent="0.25">
      <c r="H60" s="9" t="s">
        <v>25</v>
      </c>
      <c r="I60" s="10">
        <f>S52</f>
        <v>0</v>
      </c>
      <c r="J60" s="11"/>
    </row>
    <row r="61" spans="1:18" x14ac:dyDescent="0.25">
      <c r="H61" s="9" t="s">
        <v>26</v>
      </c>
      <c r="I61" s="10">
        <f>T52</f>
        <v>0</v>
      </c>
      <c r="J61" s="11"/>
    </row>
    <row r="62" spans="1:18" x14ac:dyDescent="0.25">
      <c r="H62" s="9" t="s">
        <v>27</v>
      </c>
      <c r="I62" s="10">
        <f>U52</f>
        <v>0</v>
      </c>
      <c r="J62" s="11"/>
    </row>
    <row r="63" spans="1:18" ht="15.75" customHeight="1" x14ac:dyDescent="0.25">
      <c r="H63" s="12" t="s">
        <v>28</v>
      </c>
      <c r="I63" s="13"/>
      <c r="J63" s="13"/>
    </row>
    <row r="64" spans="1:18" ht="15.75" customHeight="1" x14ac:dyDescent="0.25">
      <c r="H64" s="14" t="s">
        <v>29</v>
      </c>
      <c r="I64" s="13"/>
      <c r="J64" s="13"/>
    </row>
    <row r="65" spans="1:12" ht="21" customHeight="1" x14ac:dyDescent="0.35">
      <c r="H65" s="15" t="s">
        <v>30</v>
      </c>
      <c r="I65" s="16">
        <f>SUM(I58:I64)</f>
        <v>25365</v>
      </c>
      <c r="J65" s="16">
        <f>SUM(J58:J62)</f>
        <v>49</v>
      </c>
    </row>
    <row r="67" spans="1:12" x14ac:dyDescent="0.25">
      <c r="A67" s="1" t="s">
        <v>663</v>
      </c>
    </row>
    <row r="68" spans="1:12" x14ac:dyDescent="0.25">
      <c r="A68" s="45" t="s">
        <v>34</v>
      </c>
      <c r="B68" s="45" t="s">
        <v>1354</v>
      </c>
      <c r="C68" s="45" t="s">
        <v>1355</v>
      </c>
      <c r="D68" s="45" t="s">
        <v>1356</v>
      </c>
      <c r="E68" s="46" t="s">
        <v>20</v>
      </c>
      <c r="F68" s="46">
        <v>1115</v>
      </c>
      <c r="G68" s="46">
        <v>0</v>
      </c>
      <c r="H68" s="46">
        <v>1115</v>
      </c>
      <c r="I68" s="45" t="s">
        <v>662</v>
      </c>
      <c r="J68" s="45" t="s">
        <v>15</v>
      </c>
      <c r="K68" s="45" t="s">
        <v>1325</v>
      </c>
      <c r="L68" s="47" t="s">
        <v>1571</v>
      </c>
    </row>
  </sheetData>
  <autoFilter ref="A2:P51" xr:uid="{00000000-0009-0000-0000-000006000000}">
    <sortState xmlns:xlrd2="http://schemas.microsoft.com/office/spreadsheetml/2017/richdata2" ref="A3:P51">
      <sortCondition ref="J2:J51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E3A42-D04F-4788-B481-8EBCB9D75947}">
  <dimension ref="A1:R70"/>
  <sheetViews>
    <sheetView topLeftCell="A28" zoomScaleNormal="100" workbookViewId="0">
      <selection activeCell="L75" sqref="L7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316</v>
      </c>
      <c r="C1" s="1" t="s">
        <v>1572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1574</v>
      </c>
      <c r="D3" s="18" t="s">
        <v>1575</v>
      </c>
      <c r="E3" s="18" t="s">
        <v>1576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56</v>
      </c>
      <c r="K3" s="18" t="s">
        <v>15</v>
      </c>
      <c r="L3" s="18" t="s">
        <v>1577</v>
      </c>
      <c r="M3" s="18"/>
      <c r="N3" s="18"/>
      <c r="O3" s="18"/>
      <c r="P3" s="18"/>
      <c r="Q3" s="18">
        <v>1</v>
      </c>
    </row>
    <row r="4" spans="1:18" customFormat="1" x14ac:dyDescent="0.25">
      <c r="A4" s="18"/>
      <c r="B4" s="18" t="s">
        <v>34</v>
      </c>
      <c r="C4" s="18" t="s">
        <v>1578</v>
      </c>
      <c r="D4" s="18" t="s">
        <v>1579</v>
      </c>
      <c r="E4" s="18" t="s">
        <v>1580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1577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1581</v>
      </c>
      <c r="D5" s="18" t="s">
        <v>1582</v>
      </c>
      <c r="E5" s="18" t="s">
        <v>1583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56</v>
      </c>
      <c r="K5" s="18" t="s">
        <v>15</v>
      </c>
      <c r="L5" s="18" t="s">
        <v>1577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1584</v>
      </c>
      <c r="D6" s="18" t="s">
        <v>1585</v>
      </c>
      <c r="E6" s="18" t="s">
        <v>1586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1587</v>
      </c>
      <c r="K6" s="18" t="s">
        <v>15</v>
      </c>
      <c r="L6" s="18" t="s">
        <v>1577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1588</v>
      </c>
      <c r="D7" s="18" t="s">
        <v>1589</v>
      </c>
      <c r="E7" s="18" t="s">
        <v>1590</v>
      </c>
      <c r="F7" s="18" t="s">
        <v>38</v>
      </c>
      <c r="G7" s="19">
        <v>980</v>
      </c>
      <c r="H7" s="19">
        <v>30</v>
      </c>
      <c r="I7" s="19">
        <f t="shared" si="0"/>
        <v>950</v>
      </c>
      <c r="J7" s="18" t="s">
        <v>1587</v>
      </c>
      <c r="K7" s="18" t="s">
        <v>15</v>
      </c>
      <c r="L7" s="18" t="s">
        <v>1577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1591</v>
      </c>
      <c r="D8" s="18" t="s">
        <v>1592</v>
      </c>
      <c r="E8" s="18" t="s">
        <v>1593</v>
      </c>
      <c r="F8" s="18" t="s">
        <v>38</v>
      </c>
      <c r="G8" s="19">
        <v>1440</v>
      </c>
      <c r="H8" s="19">
        <v>30</v>
      </c>
      <c r="I8" s="19">
        <f t="shared" si="0"/>
        <v>1410</v>
      </c>
      <c r="J8" s="18" t="s">
        <v>1587</v>
      </c>
      <c r="K8" s="18" t="s">
        <v>15</v>
      </c>
      <c r="L8" s="18" t="s">
        <v>1577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1594</v>
      </c>
      <c r="D9" s="18" t="s">
        <v>1595</v>
      </c>
      <c r="E9" s="18" t="s">
        <v>1596</v>
      </c>
      <c r="F9" s="18" t="s">
        <v>38</v>
      </c>
      <c r="G9" s="19">
        <v>1780</v>
      </c>
      <c r="H9" s="19">
        <v>30</v>
      </c>
      <c r="I9" s="19">
        <f t="shared" si="0"/>
        <v>1750</v>
      </c>
      <c r="J9" s="18" t="s">
        <v>1587</v>
      </c>
      <c r="K9" s="18" t="s">
        <v>15</v>
      </c>
      <c r="L9" s="18" t="s">
        <v>1577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1597</v>
      </c>
      <c r="D10" s="18" t="s">
        <v>1598</v>
      </c>
      <c r="E10" s="18" t="s">
        <v>1599</v>
      </c>
      <c r="F10" s="18" t="s">
        <v>18</v>
      </c>
      <c r="G10" s="19">
        <v>915</v>
      </c>
      <c r="H10" s="19">
        <v>25</v>
      </c>
      <c r="I10" s="19">
        <f t="shared" si="0"/>
        <v>890</v>
      </c>
      <c r="J10" s="18" t="s">
        <v>1587</v>
      </c>
      <c r="K10" s="18" t="s">
        <v>15</v>
      </c>
      <c r="L10" s="18" t="s">
        <v>1577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1600</v>
      </c>
      <c r="D11" s="18" t="s">
        <v>1601</v>
      </c>
      <c r="E11" s="18" t="s">
        <v>1602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1587</v>
      </c>
      <c r="K11" s="18" t="s">
        <v>15</v>
      </c>
      <c r="L11" s="18" t="s">
        <v>1577</v>
      </c>
      <c r="M11" s="18"/>
      <c r="N11" s="18"/>
      <c r="O11" s="18"/>
      <c r="P11" s="18"/>
      <c r="Q11" s="18">
        <v>1</v>
      </c>
      <c r="R11" s="17">
        <f>H11</f>
        <v>25</v>
      </c>
    </row>
    <row r="12" spans="1:18" customFormat="1" x14ac:dyDescent="0.25">
      <c r="A12" s="18"/>
      <c r="B12" s="18" t="s">
        <v>34</v>
      </c>
      <c r="C12" s="18" t="s">
        <v>1603</v>
      </c>
      <c r="D12" s="18" t="s">
        <v>1604</v>
      </c>
      <c r="E12" s="18" t="s">
        <v>1605</v>
      </c>
      <c r="F12" s="18" t="s">
        <v>212</v>
      </c>
      <c r="G12" s="19">
        <v>955</v>
      </c>
      <c r="H12" s="19">
        <v>25</v>
      </c>
      <c r="I12" s="19">
        <f>G12-H12</f>
        <v>930</v>
      </c>
      <c r="J12" s="18" t="s">
        <v>1587</v>
      </c>
      <c r="K12" s="18" t="s">
        <v>15</v>
      </c>
      <c r="L12" s="18" t="s">
        <v>1577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1606</v>
      </c>
      <c r="D13" s="18" t="s">
        <v>1607</v>
      </c>
      <c r="E13" s="18" t="s">
        <v>1608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1587</v>
      </c>
      <c r="K13" s="18" t="s">
        <v>15</v>
      </c>
      <c r="L13" s="18" t="s">
        <v>1577</v>
      </c>
      <c r="M13" s="18"/>
      <c r="N13" s="18"/>
      <c r="O13" s="18"/>
      <c r="P13" s="18"/>
      <c r="Q13" s="18">
        <v>1</v>
      </c>
      <c r="R13" s="17">
        <f t="shared" ref="R13:R15" si="1">H13</f>
        <v>30</v>
      </c>
    </row>
    <row r="14" spans="1:18" customFormat="1" x14ac:dyDescent="0.25">
      <c r="A14" s="18"/>
      <c r="B14" s="18" t="s">
        <v>34</v>
      </c>
      <c r="C14" s="18" t="s">
        <v>1609</v>
      </c>
      <c r="D14" s="18" t="s">
        <v>1610</v>
      </c>
      <c r="E14" s="18" t="s">
        <v>1611</v>
      </c>
      <c r="F14" s="18" t="s">
        <v>123</v>
      </c>
      <c r="G14" s="19">
        <v>0</v>
      </c>
      <c r="H14" s="19">
        <v>35</v>
      </c>
      <c r="I14" s="19">
        <f>-H14</f>
        <v>-35</v>
      </c>
      <c r="J14" s="18" t="s">
        <v>1587</v>
      </c>
      <c r="K14" s="18" t="s">
        <v>15</v>
      </c>
      <c r="L14" s="18" t="s">
        <v>1577</v>
      </c>
      <c r="M14" s="18"/>
      <c r="N14" s="18"/>
      <c r="O14" s="18"/>
      <c r="P14" s="18"/>
      <c r="Q14" s="18">
        <v>1</v>
      </c>
      <c r="R14" s="17">
        <f t="shared" si="1"/>
        <v>35</v>
      </c>
    </row>
    <row r="15" spans="1:18" customFormat="1" x14ac:dyDescent="0.25">
      <c r="A15" s="18"/>
      <c r="B15" s="18" t="s">
        <v>34</v>
      </c>
      <c r="C15" s="18" t="s">
        <v>1612</v>
      </c>
      <c r="D15" s="18" t="s">
        <v>1613</v>
      </c>
      <c r="E15" s="18" t="s">
        <v>1614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1587</v>
      </c>
      <c r="K15" s="18" t="s">
        <v>15</v>
      </c>
      <c r="L15" s="18" t="s">
        <v>1577</v>
      </c>
      <c r="M15" s="18"/>
      <c r="N15" s="18"/>
      <c r="O15" s="18"/>
      <c r="P15" s="18"/>
      <c r="Q15" s="18">
        <v>1</v>
      </c>
      <c r="R15" s="17">
        <f t="shared" si="1"/>
        <v>25</v>
      </c>
    </row>
    <row r="16" spans="1:18" customFormat="1" x14ac:dyDescent="0.25">
      <c r="A16" s="18"/>
      <c r="B16" s="18" t="s">
        <v>34</v>
      </c>
      <c r="C16" s="18" t="s">
        <v>1615</v>
      </c>
      <c r="D16" s="18" t="s">
        <v>1616</v>
      </c>
      <c r="E16" s="18" t="s">
        <v>1617</v>
      </c>
      <c r="F16" s="19">
        <v>11</v>
      </c>
      <c r="G16" s="19">
        <v>785</v>
      </c>
      <c r="H16" s="19">
        <v>25</v>
      </c>
      <c r="I16" s="19">
        <f t="shared" ref="I16:I21" si="2">G16-H16</f>
        <v>760</v>
      </c>
      <c r="J16" s="18" t="s">
        <v>1587</v>
      </c>
      <c r="K16" s="18" t="s">
        <v>15</v>
      </c>
      <c r="L16" s="18" t="s">
        <v>1577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1618</v>
      </c>
      <c r="D17" s="18" t="s">
        <v>1619</v>
      </c>
      <c r="E17" s="18" t="s">
        <v>1620</v>
      </c>
      <c r="F17" s="18" t="s">
        <v>123</v>
      </c>
      <c r="G17" s="19">
        <v>745</v>
      </c>
      <c r="H17" s="19">
        <v>35</v>
      </c>
      <c r="I17" s="19">
        <f t="shared" si="2"/>
        <v>710</v>
      </c>
      <c r="J17" s="18" t="s">
        <v>1587</v>
      </c>
      <c r="K17" s="18" t="s">
        <v>15</v>
      </c>
      <c r="L17" s="18" t="s">
        <v>1577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1621</v>
      </c>
      <c r="D18" s="18" t="s">
        <v>1622</v>
      </c>
      <c r="E18" s="18" t="s">
        <v>1623</v>
      </c>
      <c r="F18" s="18" t="s">
        <v>38</v>
      </c>
      <c r="G18" s="19">
        <v>920</v>
      </c>
      <c r="H18" s="19">
        <v>30</v>
      </c>
      <c r="I18" s="19">
        <f t="shared" si="2"/>
        <v>890</v>
      </c>
      <c r="J18" s="18" t="s">
        <v>1587</v>
      </c>
      <c r="K18" s="18" t="s">
        <v>15</v>
      </c>
      <c r="L18" s="18" t="s">
        <v>1577</v>
      </c>
      <c r="M18" s="18"/>
      <c r="N18" s="18"/>
      <c r="O18" s="18"/>
      <c r="P18" s="18"/>
      <c r="Q18" s="18">
        <v>1</v>
      </c>
    </row>
    <row r="19" spans="1:18" customFormat="1" x14ac:dyDescent="0.25">
      <c r="A19" s="18" t="s">
        <v>96</v>
      </c>
      <c r="B19" s="18" t="s">
        <v>34</v>
      </c>
      <c r="C19" s="18" t="s">
        <v>1624</v>
      </c>
      <c r="D19" s="18"/>
      <c r="E19" s="18" t="s">
        <v>1625</v>
      </c>
      <c r="F19" s="19">
        <v>8</v>
      </c>
      <c r="G19" s="19">
        <v>40</v>
      </c>
      <c r="H19" s="19">
        <v>40</v>
      </c>
      <c r="I19" s="19">
        <f t="shared" si="2"/>
        <v>0</v>
      </c>
      <c r="J19" s="18" t="s">
        <v>1587</v>
      </c>
      <c r="K19" s="18" t="s">
        <v>15</v>
      </c>
      <c r="L19" s="18" t="s">
        <v>1577</v>
      </c>
      <c r="M19" s="18"/>
      <c r="N19" s="18"/>
      <c r="O19" s="18"/>
      <c r="P19" s="18"/>
      <c r="Q19" s="18">
        <v>1</v>
      </c>
    </row>
    <row r="20" spans="1:18" customFormat="1" x14ac:dyDescent="0.25">
      <c r="A20" s="18" t="s">
        <v>96</v>
      </c>
      <c r="B20" s="18" t="s">
        <v>34</v>
      </c>
      <c r="C20" s="18" t="s">
        <v>1626</v>
      </c>
      <c r="D20" s="18"/>
      <c r="E20" s="18" t="s">
        <v>1627</v>
      </c>
      <c r="F20" s="18" t="s">
        <v>18</v>
      </c>
      <c r="G20" s="19">
        <v>30</v>
      </c>
      <c r="H20" s="19">
        <v>30</v>
      </c>
      <c r="I20" s="19">
        <f t="shared" si="2"/>
        <v>0</v>
      </c>
      <c r="J20" s="18" t="s">
        <v>1587</v>
      </c>
      <c r="K20" s="18" t="s">
        <v>15</v>
      </c>
      <c r="L20" s="18" t="s">
        <v>1577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308</v>
      </c>
      <c r="D21" s="18" t="s">
        <v>1628</v>
      </c>
      <c r="E21" s="18" t="s">
        <v>1629</v>
      </c>
      <c r="F21" s="18" t="s">
        <v>18</v>
      </c>
      <c r="G21" s="19">
        <v>0</v>
      </c>
      <c r="H21" s="19">
        <v>25</v>
      </c>
      <c r="I21" s="19">
        <f t="shared" si="2"/>
        <v>-25</v>
      </c>
      <c r="J21" s="18" t="s">
        <v>15</v>
      </c>
      <c r="K21" s="18" t="s">
        <v>15</v>
      </c>
      <c r="L21" s="18" t="s">
        <v>1577</v>
      </c>
      <c r="M21" s="27" t="s">
        <v>1630</v>
      </c>
      <c r="N21" s="18"/>
      <c r="O21" s="18"/>
      <c r="P21" s="18"/>
      <c r="Q21" s="18">
        <v>1</v>
      </c>
      <c r="R21" s="17">
        <f t="shared" ref="R21:R23" si="3">H21</f>
        <v>25</v>
      </c>
    </row>
    <row r="22" spans="1:18" customFormat="1" x14ac:dyDescent="0.25">
      <c r="A22" s="18"/>
      <c r="B22" s="18" t="s">
        <v>34</v>
      </c>
      <c r="C22" s="18" t="s">
        <v>1631</v>
      </c>
      <c r="D22" s="18" t="s">
        <v>1632</v>
      </c>
      <c r="E22" s="18" t="s">
        <v>1633</v>
      </c>
      <c r="F22" s="18" t="s">
        <v>20</v>
      </c>
      <c r="G22" s="19">
        <v>0</v>
      </c>
      <c r="H22" s="19">
        <v>25</v>
      </c>
      <c r="I22" s="19">
        <f>-H22</f>
        <v>-25</v>
      </c>
      <c r="J22" s="18" t="s">
        <v>15</v>
      </c>
      <c r="K22" s="18" t="s">
        <v>15</v>
      </c>
      <c r="L22" s="18" t="s">
        <v>1577</v>
      </c>
      <c r="M22" s="18"/>
      <c r="N22" s="18"/>
      <c r="O22" s="18"/>
      <c r="P22" s="18"/>
      <c r="Q22" s="18">
        <v>1</v>
      </c>
      <c r="R22" s="17">
        <f t="shared" si="3"/>
        <v>25</v>
      </c>
    </row>
    <row r="23" spans="1:18" customFormat="1" x14ac:dyDescent="0.25">
      <c r="A23" s="18"/>
      <c r="B23" s="18" t="s">
        <v>34</v>
      </c>
      <c r="C23" s="18" t="s">
        <v>1019</v>
      </c>
      <c r="D23" s="18" t="s">
        <v>1634</v>
      </c>
      <c r="E23" s="18" t="s">
        <v>1635</v>
      </c>
      <c r="F23" s="18" t="s">
        <v>19</v>
      </c>
      <c r="G23" s="19">
        <v>0</v>
      </c>
      <c r="H23" s="19">
        <v>20</v>
      </c>
      <c r="I23" s="19">
        <f>-H23</f>
        <v>-20</v>
      </c>
      <c r="J23" s="18" t="s">
        <v>15</v>
      </c>
      <c r="K23" s="18" t="s">
        <v>15</v>
      </c>
      <c r="L23" s="18" t="s">
        <v>1577</v>
      </c>
      <c r="M23" s="18"/>
      <c r="N23" s="18"/>
      <c r="O23" s="18"/>
      <c r="P23" s="18"/>
      <c r="Q23" s="18">
        <v>1</v>
      </c>
      <c r="R23" s="17">
        <f t="shared" si="3"/>
        <v>20</v>
      </c>
    </row>
    <row r="24" spans="1:18" customFormat="1" x14ac:dyDescent="0.25">
      <c r="A24" s="18"/>
      <c r="B24" s="18" t="s">
        <v>34</v>
      </c>
      <c r="C24" s="18" t="s">
        <v>1636</v>
      </c>
      <c r="D24" s="18" t="s">
        <v>1637</v>
      </c>
      <c r="E24" s="18" t="s">
        <v>1638</v>
      </c>
      <c r="F24" s="18" t="s">
        <v>19</v>
      </c>
      <c r="G24" s="19">
        <v>1700</v>
      </c>
      <c r="H24" s="19">
        <v>20</v>
      </c>
      <c r="I24" s="19">
        <f>G24-H24</f>
        <v>1680</v>
      </c>
      <c r="J24" s="18" t="s">
        <v>15</v>
      </c>
      <c r="K24" s="18" t="s">
        <v>15</v>
      </c>
      <c r="L24" s="18" t="s">
        <v>1577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1639</v>
      </c>
      <c r="D25" s="18" t="s">
        <v>1640</v>
      </c>
      <c r="E25" s="18" t="s">
        <v>1641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15</v>
      </c>
      <c r="K25" s="18" t="s">
        <v>15</v>
      </c>
      <c r="L25" s="18" t="s">
        <v>1577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1642</v>
      </c>
      <c r="D26" s="18" t="s">
        <v>1643</v>
      </c>
      <c r="E26" s="18" t="s">
        <v>1644</v>
      </c>
      <c r="F26" s="18" t="s">
        <v>144</v>
      </c>
      <c r="G26" s="19">
        <v>1960</v>
      </c>
      <c r="H26" s="19">
        <v>30</v>
      </c>
      <c r="I26" s="19">
        <f>G26-H26</f>
        <v>1930</v>
      </c>
      <c r="J26" s="18" t="s">
        <v>15</v>
      </c>
      <c r="K26" s="18" t="s">
        <v>15</v>
      </c>
      <c r="L26" s="18" t="s">
        <v>1577</v>
      </c>
      <c r="M26" s="48" t="s">
        <v>377</v>
      </c>
      <c r="N26" s="18"/>
      <c r="O26" s="18"/>
      <c r="P26" s="18"/>
      <c r="Q26" s="18">
        <v>1</v>
      </c>
      <c r="R26" s="17">
        <f>H26</f>
        <v>30</v>
      </c>
    </row>
    <row r="27" spans="1:18" customFormat="1" x14ac:dyDescent="0.25">
      <c r="A27" s="18"/>
      <c r="B27" s="18" t="s">
        <v>34</v>
      </c>
      <c r="C27" s="18" t="s">
        <v>1645</v>
      </c>
      <c r="D27" s="18" t="s">
        <v>1646</v>
      </c>
      <c r="E27" s="18" t="s">
        <v>1647</v>
      </c>
      <c r="F27" s="18" t="s">
        <v>20</v>
      </c>
      <c r="G27" s="19">
        <v>475</v>
      </c>
      <c r="H27" s="19">
        <v>25</v>
      </c>
      <c r="I27" s="19">
        <f>G27-H27</f>
        <v>450</v>
      </c>
      <c r="J27" s="18" t="s">
        <v>15</v>
      </c>
      <c r="K27" s="18" t="s">
        <v>15</v>
      </c>
      <c r="L27" s="18" t="s">
        <v>1577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148</v>
      </c>
      <c r="D28" s="18" t="s">
        <v>1648</v>
      </c>
      <c r="E28" s="18" t="s">
        <v>150</v>
      </c>
      <c r="F28" s="18" t="s">
        <v>19</v>
      </c>
      <c r="G28" s="19">
        <v>0</v>
      </c>
      <c r="H28" s="19">
        <v>20</v>
      </c>
      <c r="I28" s="19">
        <f>-H28</f>
        <v>-20</v>
      </c>
      <c r="J28" s="18" t="s">
        <v>15</v>
      </c>
      <c r="K28" s="18" t="s">
        <v>15</v>
      </c>
      <c r="L28" s="18" t="s">
        <v>1577</v>
      </c>
      <c r="M28" s="18"/>
      <c r="N28" s="18"/>
      <c r="O28" s="18"/>
      <c r="P28" s="18"/>
      <c r="Q28" s="18">
        <v>1</v>
      </c>
      <c r="R28" s="17">
        <f>H28</f>
        <v>20</v>
      </c>
    </row>
    <row r="29" spans="1:18" customFormat="1" x14ac:dyDescent="0.25">
      <c r="A29" s="18"/>
      <c r="B29" s="18" t="s">
        <v>34</v>
      </c>
      <c r="C29" s="18" t="s">
        <v>1649</v>
      </c>
      <c r="D29" s="18" t="s">
        <v>1650</v>
      </c>
      <c r="E29" s="18" t="s">
        <v>1651</v>
      </c>
      <c r="F29" s="18" t="s">
        <v>20</v>
      </c>
      <c r="G29" s="19">
        <v>745</v>
      </c>
      <c r="H29" s="19">
        <v>25</v>
      </c>
      <c r="I29" s="19">
        <f>G29-H29</f>
        <v>720</v>
      </c>
      <c r="J29" s="18" t="s">
        <v>15</v>
      </c>
      <c r="K29" s="18" t="s">
        <v>15</v>
      </c>
      <c r="L29" s="18" t="s">
        <v>1577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1652</v>
      </c>
      <c r="D30" s="18" t="s">
        <v>1653</v>
      </c>
      <c r="E30" s="18" t="s">
        <v>422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15</v>
      </c>
      <c r="K30" s="18" t="s">
        <v>15</v>
      </c>
      <c r="L30" s="18" t="s">
        <v>1577</v>
      </c>
      <c r="M30" s="18"/>
      <c r="N30" s="18"/>
      <c r="O30" s="18"/>
      <c r="P30" s="18"/>
      <c r="Q30" s="18">
        <v>1</v>
      </c>
      <c r="R30" s="17">
        <f t="shared" ref="R30:R31" si="4">H30</f>
        <v>30</v>
      </c>
    </row>
    <row r="31" spans="1:18" customFormat="1" x14ac:dyDescent="0.25">
      <c r="A31" s="18" t="s">
        <v>96</v>
      </c>
      <c r="B31" s="18" t="s">
        <v>34</v>
      </c>
      <c r="C31" s="18" t="s">
        <v>1654</v>
      </c>
      <c r="D31" s="18"/>
      <c r="E31" s="18" t="s">
        <v>1655</v>
      </c>
      <c r="F31" s="18" t="s">
        <v>20</v>
      </c>
      <c r="G31" s="19">
        <v>0</v>
      </c>
      <c r="H31" s="19">
        <v>30</v>
      </c>
      <c r="I31" s="19">
        <f>-H31</f>
        <v>-30</v>
      </c>
      <c r="J31" s="18" t="s">
        <v>15</v>
      </c>
      <c r="K31" s="18" t="s">
        <v>15</v>
      </c>
      <c r="L31" s="18" t="s">
        <v>1577</v>
      </c>
      <c r="M31" s="18"/>
      <c r="N31" s="18"/>
      <c r="O31" s="18"/>
      <c r="P31" s="18"/>
      <c r="Q31" s="18">
        <v>1</v>
      </c>
      <c r="R31" s="17">
        <f t="shared" si="4"/>
        <v>30</v>
      </c>
    </row>
    <row r="32" spans="1:18" customFormat="1" x14ac:dyDescent="0.25">
      <c r="A32" s="18" t="s">
        <v>96</v>
      </c>
      <c r="B32" s="18" t="s">
        <v>34</v>
      </c>
      <c r="C32" s="18" t="s">
        <v>1656</v>
      </c>
      <c r="D32" s="18"/>
      <c r="E32" s="18" t="s">
        <v>137</v>
      </c>
      <c r="F32" s="18" t="s">
        <v>18</v>
      </c>
      <c r="G32" s="19">
        <v>970</v>
      </c>
      <c r="H32" s="19">
        <v>30</v>
      </c>
      <c r="I32" s="19">
        <f t="shared" ref="I32:I41" si="5">G32-H32</f>
        <v>940</v>
      </c>
      <c r="J32" s="18" t="s">
        <v>15</v>
      </c>
      <c r="K32" s="18" t="s">
        <v>15</v>
      </c>
      <c r="L32" s="18" t="s">
        <v>1577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1657</v>
      </c>
      <c r="D33" s="18"/>
      <c r="E33" s="18" t="s">
        <v>1658</v>
      </c>
      <c r="F33" s="18" t="s">
        <v>20</v>
      </c>
      <c r="G33" s="19">
        <v>30</v>
      </c>
      <c r="H33" s="19">
        <v>30</v>
      </c>
      <c r="I33" s="19">
        <f t="shared" si="5"/>
        <v>0</v>
      </c>
      <c r="J33" s="18" t="s">
        <v>15</v>
      </c>
      <c r="K33" s="18" t="s">
        <v>15</v>
      </c>
      <c r="L33" s="18" t="s">
        <v>1577</v>
      </c>
      <c r="M33" s="18"/>
      <c r="N33" s="18"/>
      <c r="O33" s="18"/>
      <c r="P33" s="18"/>
      <c r="Q33" s="18">
        <v>1</v>
      </c>
    </row>
    <row r="34" spans="1:18" customFormat="1" x14ac:dyDescent="0.25">
      <c r="A34" s="18" t="s">
        <v>96</v>
      </c>
      <c r="B34" s="18" t="s">
        <v>34</v>
      </c>
      <c r="C34" s="18" t="s">
        <v>1659</v>
      </c>
      <c r="D34" s="18"/>
      <c r="E34" s="18" t="s">
        <v>943</v>
      </c>
      <c r="F34" s="18" t="s">
        <v>18</v>
      </c>
      <c r="G34" s="19">
        <v>30</v>
      </c>
      <c r="H34" s="19">
        <v>30</v>
      </c>
      <c r="I34" s="19">
        <f t="shared" si="5"/>
        <v>0</v>
      </c>
      <c r="J34" s="18" t="s">
        <v>15</v>
      </c>
      <c r="K34" s="18" t="s">
        <v>15</v>
      </c>
      <c r="L34" s="18" t="s">
        <v>1577</v>
      </c>
      <c r="M34" s="18"/>
      <c r="N34" s="18"/>
      <c r="O34" s="18"/>
      <c r="P34" s="18"/>
      <c r="Q34" s="18">
        <v>1</v>
      </c>
    </row>
    <row r="35" spans="1:18" customFormat="1" x14ac:dyDescent="0.25">
      <c r="A35" s="18" t="s">
        <v>96</v>
      </c>
      <c r="B35" s="18" t="s">
        <v>34</v>
      </c>
      <c r="C35" s="18" t="s">
        <v>577</v>
      </c>
      <c r="D35" s="18"/>
      <c r="E35" s="18" t="s">
        <v>578</v>
      </c>
      <c r="F35" s="18" t="s">
        <v>20</v>
      </c>
      <c r="G35" s="19">
        <v>30</v>
      </c>
      <c r="H35" s="19">
        <v>30</v>
      </c>
      <c r="I35" s="19">
        <f t="shared" si="5"/>
        <v>0</v>
      </c>
      <c r="J35" s="18" t="s">
        <v>15</v>
      </c>
      <c r="K35" s="18" t="s">
        <v>15</v>
      </c>
      <c r="L35" s="18" t="s">
        <v>1577</v>
      </c>
      <c r="M35" s="18"/>
      <c r="N35" s="18"/>
      <c r="O35" s="18"/>
      <c r="P35" s="18"/>
      <c r="Q35" s="18">
        <v>1</v>
      </c>
    </row>
    <row r="36" spans="1:18" customFormat="1" x14ac:dyDescent="0.25">
      <c r="A36" s="18"/>
      <c r="B36" s="18" t="s">
        <v>34</v>
      </c>
      <c r="C36" s="18" t="s">
        <v>399</v>
      </c>
      <c r="D36" s="18" t="s">
        <v>1660</v>
      </c>
      <c r="E36" s="18" t="s">
        <v>1661</v>
      </c>
      <c r="F36" s="19">
        <v>4</v>
      </c>
      <c r="G36" s="19">
        <v>775</v>
      </c>
      <c r="H36" s="19">
        <v>25</v>
      </c>
      <c r="I36" s="19">
        <f t="shared" si="5"/>
        <v>750</v>
      </c>
      <c r="J36" s="18" t="s">
        <v>160</v>
      </c>
      <c r="K36" s="18" t="s">
        <v>15</v>
      </c>
      <c r="L36" s="18" t="s">
        <v>1577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1662</v>
      </c>
      <c r="D37" s="18" t="s">
        <v>1663</v>
      </c>
      <c r="E37" s="18" t="s">
        <v>1664</v>
      </c>
      <c r="F37" s="19">
        <v>3</v>
      </c>
      <c r="G37" s="19">
        <v>775</v>
      </c>
      <c r="H37" s="19">
        <v>25</v>
      </c>
      <c r="I37" s="19">
        <f t="shared" si="5"/>
        <v>750</v>
      </c>
      <c r="J37" s="18" t="s">
        <v>160</v>
      </c>
      <c r="K37" s="18" t="s">
        <v>15</v>
      </c>
      <c r="L37" s="18" t="s">
        <v>1577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733</v>
      </c>
      <c r="D38" s="18" t="s">
        <v>1665</v>
      </c>
      <c r="E38" s="18" t="s">
        <v>1424</v>
      </c>
      <c r="F38" s="19">
        <v>1</v>
      </c>
      <c r="G38" s="19">
        <v>895</v>
      </c>
      <c r="H38" s="19">
        <v>25</v>
      </c>
      <c r="I38" s="19">
        <f t="shared" si="5"/>
        <v>870</v>
      </c>
      <c r="J38" s="18" t="s">
        <v>160</v>
      </c>
      <c r="K38" s="18" t="s">
        <v>15</v>
      </c>
      <c r="L38" s="18" t="s">
        <v>1577</v>
      </c>
      <c r="M38" s="48" t="s">
        <v>307</v>
      </c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733</v>
      </c>
      <c r="D39" s="18" t="s">
        <v>1666</v>
      </c>
      <c r="E39" s="18" t="s">
        <v>1424</v>
      </c>
      <c r="F39" s="19">
        <v>1</v>
      </c>
      <c r="G39" s="19">
        <v>890</v>
      </c>
      <c r="H39" s="19">
        <v>0</v>
      </c>
      <c r="I39" s="19">
        <f t="shared" si="5"/>
        <v>890</v>
      </c>
      <c r="J39" s="18" t="s">
        <v>160</v>
      </c>
      <c r="K39" s="18" t="s">
        <v>15</v>
      </c>
      <c r="L39" s="18" t="s">
        <v>1577</v>
      </c>
      <c r="M39" s="48" t="s">
        <v>307</v>
      </c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1667</v>
      </c>
      <c r="D40" s="18" t="s">
        <v>1668</v>
      </c>
      <c r="E40" s="18" t="s">
        <v>1669</v>
      </c>
      <c r="F40" s="18" t="s">
        <v>17</v>
      </c>
      <c r="G40" s="19">
        <v>590</v>
      </c>
      <c r="H40" s="19">
        <v>20</v>
      </c>
      <c r="I40" s="19">
        <f t="shared" si="5"/>
        <v>570</v>
      </c>
      <c r="J40" s="18" t="s">
        <v>160</v>
      </c>
      <c r="K40" s="18" t="s">
        <v>15</v>
      </c>
      <c r="L40" s="18" t="s">
        <v>1577</v>
      </c>
      <c r="M40" s="18"/>
      <c r="N40" s="18"/>
      <c r="O40" s="18"/>
      <c r="P40" s="18"/>
      <c r="Q40" s="18">
        <v>1</v>
      </c>
    </row>
    <row r="41" spans="1:18" customFormat="1" x14ac:dyDescent="0.25">
      <c r="A41" s="18"/>
      <c r="B41" s="18" t="s">
        <v>34</v>
      </c>
      <c r="C41" s="18" t="s">
        <v>1670</v>
      </c>
      <c r="D41" s="18" t="s">
        <v>1671</v>
      </c>
      <c r="E41" s="18" t="s">
        <v>1672</v>
      </c>
      <c r="F41" s="19">
        <v>10</v>
      </c>
      <c r="G41" s="19">
        <v>845</v>
      </c>
      <c r="H41" s="19">
        <v>25</v>
      </c>
      <c r="I41" s="19">
        <f t="shared" si="5"/>
        <v>820</v>
      </c>
      <c r="J41" s="18" t="s">
        <v>160</v>
      </c>
      <c r="K41" s="18" t="s">
        <v>15</v>
      </c>
      <c r="L41" s="18" t="s">
        <v>1577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1673</v>
      </c>
      <c r="D42" s="18" t="s">
        <v>1674</v>
      </c>
      <c r="E42" s="18" t="s">
        <v>1675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160</v>
      </c>
      <c r="K42" s="18" t="s">
        <v>15</v>
      </c>
      <c r="L42" s="18" t="s">
        <v>1577</v>
      </c>
      <c r="M42" s="18"/>
      <c r="N42" s="18"/>
      <c r="O42" s="18"/>
      <c r="P42" s="18"/>
      <c r="Q42" s="18">
        <v>1</v>
      </c>
      <c r="R42" s="17">
        <f>H42</f>
        <v>25</v>
      </c>
    </row>
    <row r="43" spans="1:18" customFormat="1" x14ac:dyDescent="0.25">
      <c r="A43" s="18"/>
      <c r="B43" s="18" t="s">
        <v>34</v>
      </c>
      <c r="C43" s="18" t="s">
        <v>1676</v>
      </c>
      <c r="D43" s="18" t="s">
        <v>1677</v>
      </c>
      <c r="E43" s="18" t="s">
        <v>1678</v>
      </c>
      <c r="F43" s="18" t="s">
        <v>18</v>
      </c>
      <c r="G43" s="19">
        <v>1515</v>
      </c>
      <c r="H43" s="19">
        <v>25</v>
      </c>
      <c r="I43" s="19">
        <f t="shared" ref="I43:I53" si="6">G43-H43</f>
        <v>1490</v>
      </c>
      <c r="J43" s="18" t="s">
        <v>160</v>
      </c>
      <c r="K43" s="18" t="s">
        <v>15</v>
      </c>
      <c r="L43" s="18" t="s">
        <v>1577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1679</v>
      </c>
      <c r="D44" s="18" t="s">
        <v>1680</v>
      </c>
      <c r="E44" s="18" t="s">
        <v>1681</v>
      </c>
      <c r="F44" s="18" t="s">
        <v>18</v>
      </c>
      <c r="G44" s="19">
        <v>915</v>
      </c>
      <c r="H44" s="19">
        <v>25</v>
      </c>
      <c r="I44" s="19">
        <f t="shared" si="6"/>
        <v>890</v>
      </c>
      <c r="J44" s="18" t="s">
        <v>160</v>
      </c>
      <c r="K44" s="18" t="s">
        <v>15</v>
      </c>
      <c r="L44" s="18" t="s">
        <v>1577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1682</v>
      </c>
      <c r="D45" s="18" t="s">
        <v>1683</v>
      </c>
      <c r="E45" s="18" t="s">
        <v>1684</v>
      </c>
      <c r="F45" s="19">
        <v>1</v>
      </c>
      <c r="G45" s="19">
        <v>725</v>
      </c>
      <c r="H45" s="19">
        <v>25</v>
      </c>
      <c r="I45" s="19">
        <f t="shared" si="6"/>
        <v>700</v>
      </c>
      <c r="J45" s="18" t="s">
        <v>160</v>
      </c>
      <c r="K45" s="18" t="s">
        <v>15</v>
      </c>
      <c r="L45" s="18" t="s">
        <v>1577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1685</v>
      </c>
      <c r="D46" s="18" t="s">
        <v>1686</v>
      </c>
      <c r="E46" s="18" t="s">
        <v>1687</v>
      </c>
      <c r="F46" s="18" t="s">
        <v>17</v>
      </c>
      <c r="G46" s="19">
        <v>690</v>
      </c>
      <c r="H46" s="19">
        <v>20</v>
      </c>
      <c r="I46" s="19">
        <f t="shared" si="6"/>
        <v>670</v>
      </c>
      <c r="J46" s="18" t="s">
        <v>160</v>
      </c>
      <c r="K46" s="18" t="s">
        <v>15</v>
      </c>
      <c r="L46" s="18" t="s">
        <v>1577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1688</v>
      </c>
      <c r="D47" s="18" t="s">
        <v>1689</v>
      </c>
      <c r="E47" s="18" t="s">
        <v>1690</v>
      </c>
      <c r="F47" s="19">
        <v>10</v>
      </c>
      <c r="G47" s="19">
        <v>845</v>
      </c>
      <c r="H47" s="19">
        <v>25</v>
      </c>
      <c r="I47" s="19">
        <f t="shared" si="6"/>
        <v>820</v>
      </c>
      <c r="J47" s="18" t="s">
        <v>160</v>
      </c>
      <c r="K47" s="18" t="s">
        <v>15</v>
      </c>
      <c r="L47" s="18" t="s">
        <v>1577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1691</v>
      </c>
      <c r="D48" s="18" t="s">
        <v>1692</v>
      </c>
      <c r="E48" s="18" t="s">
        <v>1693</v>
      </c>
      <c r="F48" s="19">
        <v>5</v>
      </c>
      <c r="G48" s="19">
        <v>595</v>
      </c>
      <c r="H48" s="19">
        <v>25</v>
      </c>
      <c r="I48" s="19">
        <f t="shared" si="6"/>
        <v>570</v>
      </c>
      <c r="J48" s="18" t="s">
        <v>160</v>
      </c>
      <c r="K48" s="18" t="s">
        <v>15</v>
      </c>
      <c r="L48" s="18" t="s">
        <v>1577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473</v>
      </c>
      <c r="D49" s="18" t="s">
        <v>1694</v>
      </c>
      <c r="E49" s="18" t="s">
        <v>475</v>
      </c>
      <c r="F49" s="19">
        <v>4</v>
      </c>
      <c r="G49" s="19">
        <v>1015</v>
      </c>
      <c r="H49" s="19">
        <v>25</v>
      </c>
      <c r="I49" s="19">
        <f t="shared" si="6"/>
        <v>990</v>
      </c>
      <c r="J49" s="18" t="s">
        <v>160</v>
      </c>
      <c r="K49" s="18" t="s">
        <v>15</v>
      </c>
      <c r="L49" s="18" t="s">
        <v>1577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752</v>
      </c>
      <c r="D50" s="18" t="s">
        <v>1695</v>
      </c>
      <c r="E50" s="18" t="s">
        <v>1696</v>
      </c>
      <c r="F50" s="19">
        <v>1</v>
      </c>
      <c r="G50" s="19">
        <v>400</v>
      </c>
      <c r="H50" s="19">
        <v>20</v>
      </c>
      <c r="I50" s="19">
        <f t="shared" si="6"/>
        <v>380</v>
      </c>
      <c r="J50" s="18" t="s">
        <v>160</v>
      </c>
      <c r="K50" s="18" t="s">
        <v>15</v>
      </c>
      <c r="L50" s="18" t="s">
        <v>1577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651</v>
      </c>
      <c r="D51" s="18" t="s">
        <v>1697</v>
      </c>
      <c r="E51" s="18" t="s">
        <v>653</v>
      </c>
      <c r="F51" s="18" t="s">
        <v>18</v>
      </c>
      <c r="G51" s="19">
        <v>875</v>
      </c>
      <c r="H51" s="19">
        <v>25</v>
      </c>
      <c r="I51" s="19">
        <f t="shared" si="6"/>
        <v>850</v>
      </c>
      <c r="J51" s="18" t="s">
        <v>160</v>
      </c>
      <c r="K51" s="18" t="s">
        <v>15</v>
      </c>
      <c r="L51" s="18" t="s">
        <v>1577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1698</v>
      </c>
      <c r="D52" s="18" t="s">
        <v>1699</v>
      </c>
      <c r="E52" s="18" t="s">
        <v>1700</v>
      </c>
      <c r="F52" s="19">
        <v>1</v>
      </c>
      <c r="G52" s="19">
        <v>1665</v>
      </c>
      <c r="H52" s="19">
        <v>25</v>
      </c>
      <c r="I52" s="19">
        <f t="shared" si="6"/>
        <v>1640</v>
      </c>
      <c r="J52" s="18" t="s">
        <v>160</v>
      </c>
      <c r="K52" s="18" t="s">
        <v>15</v>
      </c>
      <c r="L52" s="18" t="s">
        <v>1577</v>
      </c>
      <c r="M52" s="18"/>
      <c r="N52" s="18"/>
      <c r="O52" s="18"/>
      <c r="P52" s="18"/>
      <c r="Q52" s="18">
        <v>1</v>
      </c>
    </row>
    <row r="53" spans="1:18" customFormat="1" x14ac:dyDescent="0.25">
      <c r="A53" s="18" t="s">
        <v>96</v>
      </c>
      <c r="B53" s="18" t="s">
        <v>34</v>
      </c>
      <c r="C53" s="18" t="s">
        <v>1701</v>
      </c>
      <c r="D53" s="18"/>
      <c r="E53" s="18" t="s">
        <v>1702</v>
      </c>
      <c r="F53" s="18" t="s">
        <v>18</v>
      </c>
      <c r="G53" s="19">
        <v>35</v>
      </c>
      <c r="H53" s="19">
        <v>35</v>
      </c>
      <c r="I53" s="19">
        <f t="shared" si="6"/>
        <v>0</v>
      </c>
      <c r="J53" s="18" t="s">
        <v>160</v>
      </c>
      <c r="K53" s="18" t="s">
        <v>15</v>
      </c>
      <c r="L53" s="18" t="s">
        <v>1577</v>
      </c>
      <c r="M53" s="18"/>
      <c r="N53" s="18"/>
      <c r="O53" s="18"/>
      <c r="P53" s="18"/>
      <c r="Q53" s="18">
        <v>1</v>
      </c>
    </row>
    <row r="55" spans="1:18" x14ac:dyDescent="0.25">
      <c r="G55" s="1">
        <f t="shared" ref="G55:R55" si="7">SUBTOTAL(9,G3:G54)</f>
        <v>31835</v>
      </c>
      <c r="H55" s="1">
        <f t="shared" si="7"/>
        <v>1355</v>
      </c>
      <c r="I55" s="1">
        <f t="shared" si="7"/>
        <v>30480</v>
      </c>
      <c r="J55" s="1">
        <f t="shared" si="7"/>
        <v>0</v>
      </c>
      <c r="K55" s="1">
        <f t="shared" si="7"/>
        <v>0</v>
      </c>
      <c r="L55" s="1">
        <f t="shared" si="7"/>
        <v>0</v>
      </c>
      <c r="M55" s="1">
        <f t="shared" si="7"/>
        <v>0</v>
      </c>
      <c r="N55" s="1">
        <f t="shared" si="7"/>
        <v>0</v>
      </c>
      <c r="O55" s="1">
        <f t="shared" si="7"/>
        <v>0</v>
      </c>
      <c r="P55" s="1">
        <f t="shared" si="7"/>
        <v>0</v>
      </c>
      <c r="Q55" s="1">
        <f t="shared" si="7"/>
        <v>51</v>
      </c>
      <c r="R55" s="1">
        <f t="shared" si="7"/>
        <v>350</v>
      </c>
    </row>
    <row r="59" spans="1:18" ht="20.25" customHeight="1" x14ac:dyDescent="0.3">
      <c r="H59" s="4" t="s">
        <v>1573</v>
      </c>
      <c r="I59" s="5" t="s">
        <v>21</v>
      </c>
      <c r="J59" s="6" t="s">
        <v>22</v>
      </c>
    </row>
    <row r="60" spans="1:18" ht="15.75" customHeight="1" x14ac:dyDescent="0.25">
      <c r="H60" s="7" t="s">
        <v>23</v>
      </c>
      <c r="I60" s="8">
        <f>SUM(I54:I58)</f>
        <v>30480</v>
      </c>
      <c r="J60" s="8">
        <f>Q55</f>
        <v>51</v>
      </c>
    </row>
    <row r="61" spans="1:18" x14ac:dyDescent="0.25">
      <c r="H61" s="9" t="s">
        <v>24</v>
      </c>
      <c r="I61" s="10">
        <f>R55</f>
        <v>350</v>
      </c>
      <c r="J61" s="11"/>
    </row>
    <row r="62" spans="1:18" x14ac:dyDescent="0.25">
      <c r="H62" s="9" t="s">
        <v>25</v>
      </c>
      <c r="I62" s="10">
        <f>S54</f>
        <v>0</v>
      </c>
      <c r="J62" s="11"/>
    </row>
    <row r="63" spans="1:18" x14ac:dyDescent="0.25">
      <c r="H63" s="9" t="s">
        <v>26</v>
      </c>
      <c r="I63" s="10">
        <f>T54</f>
        <v>0</v>
      </c>
      <c r="J63" s="11"/>
    </row>
    <row r="64" spans="1:18" x14ac:dyDescent="0.25">
      <c r="H64" s="9" t="s">
        <v>27</v>
      </c>
      <c r="I64" s="10">
        <f>U54</f>
        <v>0</v>
      </c>
      <c r="J64" s="11"/>
    </row>
    <row r="65" spans="1:12" ht="15.75" customHeight="1" x14ac:dyDescent="0.25">
      <c r="H65" s="12" t="s">
        <v>28</v>
      </c>
      <c r="I65" s="13"/>
      <c r="J65" s="13"/>
    </row>
    <row r="66" spans="1:12" ht="15.75" customHeight="1" x14ac:dyDescent="0.25">
      <c r="H66" s="14" t="s">
        <v>29</v>
      </c>
      <c r="I66" s="13"/>
      <c r="J66" s="13"/>
    </row>
    <row r="67" spans="1:12" ht="21" customHeight="1" x14ac:dyDescent="0.35">
      <c r="H67" s="15" t="s">
        <v>30</v>
      </c>
      <c r="I67" s="16">
        <f>SUM(I60:I66)</f>
        <v>30830</v>
      </c>
      <c r="J67" s="16">
        <f>SUM(J60:J64)</f>
        <v>51</v>
      </c>
    </row>
    <row r="69" spans="1:12" x14ac:dyDescent="0.25">
      <c r="A69" s="1" t="s">
        <v>173</v>
      </c>
    </row>
    <row r="70" spans="1:12" x14ac:dyDescent="0.25">
      <c r="A70" s="45" t="s">
        <v>34</v>
      </c>
      <c r="B70" s="45" t="s">
        <v>308</v>
      </c>
      <c r="C70" s="45" t="s">
        <v>1628</v>
      </c>
      <c r="D70" s="45" t="s">
        <v>1629</v>
      </c>
      <c r="E70" s="46" t="s">
        <v>18</v>
      </c>
      <c r="F70" s="46">
        <v>975</v>
      </c>
      <c r="G70" s="46">
        <v>0</v>
      </c>
      <c r="H70" s="46">
        <f>F70-G70</f>
        <v>975</v>
      </c>
      <c r="I70" s="45" t="s">
        <v>15</v>
      </c>
      <c r="J70" s="45" t="s">
        <v>15</v>
      </c>
      <c r="K70" s="45" t="s">
        <v>1577</v>
      </c>
      <c r="L70" s="47" t="s">
        <v>1630</v>
      </c>
    </row>
  </sheetData>
  <autoFilter ref="A2:P53" xr:uid="{00000000-0009-0000-0000-000006000000}">
    <sortState xmlns:xlrd2="http://schemas.microsoft.com/office/spreadsheetml/2017/richdata2" ref="A3:P53">
      <sortCondition ref="J2:J53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58A5-7938-4812-AB21-3A7863DFC45E}">
  <dimension ref="A1:R56"/>
  <sheetViews>
    <sheetView topLeftCell="A25" zoomScaleNormal="100" workbookViewId="0">
      <selection activeCell="F45" sqref="F45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34.28515625" style="1" bestFit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1704</v>
      </c>
      <c r="D3" s="18" t="s">
        <v>1705</v>
      </c>
      <c r="E3" s="18" t="s">
        <v>1706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1707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1708</v>
      </c>
      <c r="D4" s="18" t="s">
        <v>1709</v>
      </c>
      <c r="E4" s="18" t="s">
        <v>1710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56</v>
      </c>
      <c r="K4" s="18" t="s">
        <v>15</v>
      </c>
      <c r="L4" s="18" t="s">
        <v>1707</v>
      </c>
      <c r="M4" s="18"/>
      <c r="N4" s="18"/>
      <c r="O4" s="18"/>
      <c r="P4" s="18"/>
      <c r="Q4" s="18">
        <v>1</v>
      </c>
    </row>
    <row r="5" spans="1:18" customFormat="1" x14ac:dyDescent="0.25">
      <c r="A5" s="18"/>
      <c r="B5" s="18" t="s">
        <v>34</v>
      </c>
      <c r="C5" s="18" t="s">
        <v>1711</v>
      </c>
      <c r="D5" s="18" t="s">
        <v>1712</v>
      </c>
      <c r="E5" s="18" t="s">
        <v>1713</v>
      </c>
      <c r="F5" s="18" t="s">
        <v>38</v>
      </c>
      <c r="G5" s="19">
        <v>570</v>
      </c>
      <c r="H5" s="19">
        <v>30</v>
      </c>
      <c r="I5" s="19">
        <f t="shared" si="0"/>
        <v>540</v>
      </c>
      <c r="J5" s="18" t="s">
        <v>1714</v>
      </c>
      <c r="K5" s="18" t="s">
        <v>15</v>
      </c>
      <c r="L5" s="18" t="s">
        <v>1707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1715</v>
      </c>
      <c r="D6" s="18" t="s">
        <v>1716</v>
      </c>
      <c r="E6" s="18" t="s">
        <v>1617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1714</v>
      </c>
      <c r="K6" s="18" t="s">
        <v>15</v>
      </c>
      <c r="L6" s="18" t="s">
        <v>1707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919</v>
      </c>
      <c r="D7" s="18" t="s">
        <v>1717</v>
      </c>
      <c r="E7" s="18" t="s">
        <v>1718</v>
      </c>
      <c r="F7" s="18" t="s">
        <v>212</v>
      </c>
      <c r="G7" s="19">
        <v>1015</v>
      </c>
      <c r="H7" s="19">
        <v>25</v>
      </c>
      <c r="I7" s="19">
        <f t="shared" si="0"/>
        <v>990</v>
      </c>
      <c r="J7" s="18" t="s">
        <v>1714</v>
      </c>
      <c r="K7" s="18" t="s">
        <v>15</v>
      </c>
      <c r="L7" s="18" t="s">
        <v>1707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1719</v>
      </c>
      <c r="D8" s="18" t="s">
        <v>1720</v>
      </c>
      <c r="E8" s="18" t="s">
        <v>1721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1714</v>
      </c>
      <c r="K8" s="18" t="s">
        <v>15</v>
      </c>
      <c r="L8" s="18" t="s">
        <v>1707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1722</v>
      </c>
      <c r="D9" s="18" t="s">
        <v>1723</v>
      </c>
      <c r="E9" s="18" t="s">
        <v>1724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1714</v>
      </c>
      <c r="K9" s="18" t="s">
        <v>15</v>
      </c>
      <c r="L9" s="18" t="s">
        <v>1707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1725</v>
      </c>
      <c r="D10" s="18" t="s">
        <v>1726</v>
      </c>
      <c r="E10" s="18" t="s">
        <v>1727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1714</v>
      </c>
      <c r="K10" s="18" t="s">
        <v>15</v>
      </c>
      <c r="L10" s="18" t="s">
        <v>1707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1189</v>
      </c>
      <c r="D11" s="18" t="s">
        <v>1728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1714</v>
      </c>
      <c r="K11" s="18" t="s">
        <v>15</v>
      </c>
      <c r="L11" s="18" t="s">
        <v>1707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1729</v>
      </c>
      <c r="D12" s="18" t="s">
        <v>1730</v>
      </c>
      <c r="E12" s="18" t="s">
        <v>1731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1714</v>
      </c>
      <c r="K12" s="18" t="s">
        <v>15</v>
      </c>
      <c r="L12" s="18" t="s">
        <v>1707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1732</v>
      </c>
      <c r="D13" s="18" t="s">
        <v>1733</v>
      </c>
      <c r="E13" s="18" t="s">
        <v>1734</v>
      </c>
      <c r="F13" s="18" t="s">
        <v>38</v>
      </c>
      <c r="G13" s="19">
        <v>1020</v>
      </c>
      <c r="H13" s="19">
        <v>30</v>
      </c>
      <c r="I13" s="19">
        <f t="shared" si="0"/>
        <v>990</v>
      </c>
      <c r="J13" s="18" t="s">
        <v>1714</v>
      </c>
      <c r="K13" s="18" t="s">
        <v>15</v>
      </c>
      <c r="L13" s="18" t="s">
        <v>1707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1735</v>
      </c>
      <c r="D14" s="18" t="s">
        <v>1736</v>
      </c>
      <c r="E14" s="18" t="s">
        <v>1737</v>
      </c>
      <c r="F14" s="18" t="s">
        <v>212</v>
      </c>
      <c r="G14" s="19">
        <v>775</v>
      </c>
      <c r="H14" s="19">
        <v>25</v>
      </c>
      <c r="I14" s="19">
        <f t="shared" si="0"/>
        <v>750</v>
      </c>
      <c r="J14" s="18" t="s">
        <v>1714</v>
      </c>
      <c r="K14" s="18" t="s">
        <v>15</v>
      </c>
      <c r="L14" s="18" t="s">
        <v>1707</v>
      </c>
      <c r="M14" s="18"/>
      <c r="N14" s="18"/>
      <c r="O14" s="18"/>
      <c r="P14" s="18"/>
      <c r="Q14" s="18">
        <v>1</v>
      </c>
    </row>
    <row r="15" spans="1:18" customFormat="1" x14ac:dyDescent="0.25">
      <c r="A15" s="18" t="s">
        <v>96</v>
      </c>
      <c r="B15" s="18" t="s">
        <v>34</v>
      </c>
      <c r="C15" s="18" t="s">
        <v>1738</v>
      </c>
      <c r="D15" s="18"/>
      <c r="E15" s="18" t="s">
        <v>1739</v>
      </c>
      <c r="F15" s="18" t="s">
        <v>38</v>
      </c>
      <c r="G15" s="19">
        <v>0</v>
      </c>
      <c r="H15" s="19">
        <v>30</v>
      </c>
      <c r="I15" s="19">
        <f>-H15</f>
        <v>-30</v>
      </c>
      <c r="J15" s="18" t="s">
        <v>1714</v>
      </c>
      <c r="K15" s="18" t="s">
        <v>15</v>
      </c>
      <c r="L15" s="18" t="s">
        <v>1707</v>
      </c>
      <c r="M15" s="18"/>
      <c r="N15" s="18"/>
      <c r="O15" s="18"/>
      <c r="P15" s="18"/>
      <c r="Q15" s="18">
        <v>1</v>
      </c>
      <c r="R15" s="17">
        <f t="shared" ref="R15:R16" si="1">H15</f>
        <v>30</v>
      </c>
    </row>
    <row r="16" spans="1:18" customFormat="1" x14ac:dyDescent="0.25">
      <c r="A16" s="18"/>
      <c r="B16" s="18" t="s">
        <v>34</v>
      </c>
      <c r="C16" s="18" t="s">
        <v>1740</v>
      </c>
      <c r="D16" s="18" t="s">
        <v>1741</v>
      </c>
      <c r="E16" s="18" t="s">
        <v>1742</v>
      </c>
      <c r="F16" s="18" t="s">
        <v>19</v>
      </c>
      <c r="G16" s="19">
        <v>0</v>
      </c>
      <c r="H16" s="19">
        <v>20</v>
      </c>
      <c r="I16" s="19">
        <f>-H16</f>
        <v>-20</v>
      </c>
      <c r="J16" s="18" t="s">
        <v>15</v>
      </c>
      <c r="K16" s="18" t="s">
        <v>15</v>
      </c>
      <c r="L16" s="18" t="s">
        <v>1707</v>
      </c>
      <c r="M16" s="18"/>
      <c r="N16" s="18"/>
      <c r="O16" s="18"/>
      <c r="P16" s="18"/>
      <c r="Q16" s="18">
        <v>1</v>
      </c>
      <c r="R16" s="17">
        <f t="shared" si="1"/>
        <v>20</v>
      </c>
    </row>
    <row r="17" spans="1:18" customFormat="1" x14ac:dyDescent="0.25">
      <c r="A17" s="18"/>
      <c r="B17" s="18" t="s">
        <v>34</v>
      </c>
      <c r="C17" s="18" t="s">
        <v>1245</v>
      </c>
      <c r="D17" s="18" t="s">
        <v>1743</v>
      </c>
      <c r="E17" s="18" t="s">
        <v>1744</v>
      </c>
      <c r="F17" s="18" t="s">
        <v>20</v>
      </c>
      <c r="G17" s="19">
        <v>615</v>
      </c>
      <c r="H17" s="19">
        <v>25</v>
      </c>
      <c r="I17" s="19">
        <f>G17-H17</f>
        <v>590</v>
      </c>
      <c r="J17" s="18" t="s">
        <v>15</v>
      </c>
      <c r="K17" s="18" t="s">
        <v>15</v>
      </c>
      <c r="L17" s="18" t="s">
        <v>1707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1745</v>
      </c>
      <c r="D18" s="18" t="s">
        <v>1746</v>
      </c>
      <c r="E18" s="18" t="s">
        <v>1747</v>
      </c>
      <c r="F18" s="18" t="s">
        <v>20</v>
      </c>
      <c r="G18" s="19">
        <v>745</v>
      </c>
      <c r="H18" s="19">
        <v>25</v>
      </c>
      <c r="I18" s="19">
        <f>G18-H18</f>
        <v>720</v>
      </c>
      <c r="J18" s="18" t="s">
        <v>15</v>
      </c>
      <c r="K18" s="18" t="s">
        <v>15</v>
      </c>
      <c r="L18" s="18" t="s">
        <v>1707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1748</v>
      </c>
      <c r="D19" s="18" t="s">
        <v>1749</v>
      </c>
      <c r="E19" s="18" t="s">
        <v>1515</v>
      </c>
      <c r="F19" s="18" t="s">
        <v>20</v>
      </c>
      <c r="G19" s="19">
        <v>935</v>
      </c>
      <c r="H19" s="19">
        <v>25</v>
      </c>
      <c r="I19" s="19">
        <f>G19-H19</f>
        <v>910</v>
      </c>
      <c r="J19" s="18" t="s">
        <v>15</v>
      </c>
      <c r="K19" s="18" t="s">
        <v>15</v>
      </c>
      <c r="L19" s="18" t="s">
        <v>1707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1750</v>
      </c>
      <c r="D20" s="18" t="s">
        <v>1751</v>
      </c>
      <c r="E20" s="18" t="s">
        <v>1752</v>
      </c>
      <c r="F20" s="18" t="s">
        <v>19</v>
      </c>
      <c r="G20" s="19">
        <v>910</v>
      </c>
      <c r="H20" s="19">
        <v>20</v>
      </c>
      <c r="I20" s="19">
        <f>G20-H20</f>
        <v>890</v>
      </c>
      <c r="J20" s="18" t="s">
        <v>15</v>
      </c>
      <c r="K20" s="18" t="s">
        <v>15</v>
      </c>
      <c r="L20" s="18" t="s">
        <v>1707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1753</v>
      </c>
      <c r="D21" s="18" t="s">
        <v>1754</v>
      </c>
      <c r="E21" s="18" t="s">
        <v>1755</v>
      </c>
      <c r="F21" s="18" t="s">
        <v>19</v>
      </c>
      <c r="G21" s="19">
        <v>0</v>
      </c>
      <c r="H21" s="19">
        <v>20</v>
      </c>
      <c r="I21" s="19">
        <f>-H21</f>
        <v>-20</v>
      </c>
      <c r="J21" s="18" t="s">
        <v>15</v>
      </c>
      <c r="K21" s="18" t="s">
        <v>15</v>
      </c>
      <c r="L21" s="18" t="s">
        <v>1707</v>
      </c>
      <c r="M21" s="18"/>
      <c r="N21" s="18"/>
      <c r="O21" s="18"/>
      <c r="P21" s="18"/>
      <c r="Q21" s="18">
        <v>1</v>
      </c>
      <c r="R21" s="17">
        <f>H21</f>
        <v>20</v>
      </c>
    </row>
    <row r="22" spans="1:18" customFormat="1" x14ac:dyDescent="0.25">
      <c r="A22" s="18"/>
      <c r="B22" s="18" t="s">
        <v>34</v>
      </c>
      <c r="C22" s="18" t="s">
        <v>1756</v>
      </c>
      <c r="D22" s="18" t="s">
        <v>1757</v>
      </c>
      <c r="E22" s="18" t="s">
        <v>1758</v>
      </c>
      <c r="F22" s="18" t="s">
        <v>144</v>
      </c>
      <c r="G22" s="19">
        <v>865</v>
      </c>
      <c r="H22" s="19">
        <v>25</v>
      </c>
      <c r="I22" s="19">
        <f>G22-H22</f>
        <v>840</v>
      </c>
      <c r="J22" s="18" t="s">
        <v>15</v>
      </c>
      <c r="K22" s="18" t="s">
        <v>15</v>
      </c>
      <c r="L22" s="18" t="s">
        <v>1707</v>
      </c>
      <c r="M22" s="18"/>
      <c r="N22" s="18"/>
      <c r="O22" s="18"/>
      <c r="P22" s="18"/>
      <c r="Q22" s="18">
        <v>1</v>
      </c>
    </row>
    <row r="23" spans="1:18" s="36" customFormat="1" x14ac:dyDescent="0.25">
      <c r="A23" s="18"/>
      <c r="B23" s="18" t="s">
        <v>34</v>
      </c>
      <c r="C23" s="18" t="s">
        <v>1759</v>
      </c>
      <c r="D23" s="18" t="s">
        <v>1760</v>
      </c>
      <c r="E23" s="18" t="s">
        <v>1761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15</v>
      </c>
      <c r="K23" s="18" t="s">
        <v>15</v>
      </c>
      <c r="L23" s="18" t="s">
        <v>1707</v>
      </c>
      <c r="M23" s="18"/>
      <c r="N23" s="18"/>
      <c r="O23" s="18"/>
      <c r="P23" s="18"/>
      <c r="Q23" s="49">
        <v>1</v>
      </c>
      <c r="R23" s="17">
        <f t="shared" ref="R23:R25" si="2">H23</f>
        <v>30</v>
      </c>
    </row>
    <row r="24" spans="1:18" customFormat="1" x14ac:dyDescent="0.25">
      <c r="A24" s="18"/>
      <c r="B24" s="18" t="s">
        <v>34</v>
      </c>
      <c r="C24" s="18" t="s">
        <v>1762</v>
      </c>
      <c r="D24" s="18" t="s">
        <v>1763</v>
      </c>
      <c r="E24" s="18" t="s">
        <v>1764</v>
      </c>
      <c r="F24" s="18" t="s">
        <v>144</v>
      </c>
      <c r="G24" s="19">
        <v>0</v>
      </c>
      <c r="H24" s="19">
        <v>30</v>
      </c>
      <c r="I24" s="19">
        <f>-H24</f>
        <v>-30</v>
      </c>
      <c r="J24" s="18" t="s">
        <v>15</v>
      </c>
      <c r="K24" s="18" t="s">
        <v>15</v>
      </c>
      <c r="L24" s="18" t="s">
        <v>1707</v>
      </c>
      <c r="M24" s="18"/>
      <c r="N24" s="18"/>
      <c r="O24" s="18"/>
      <c r="P24" s="18"/>
      <c r="Q24" s="18">
        <v>1</v>
      </c>
      <c r="R24" s="17">
        <f t="shared" si="2"/>
        <v>30</v>
      </c>
    </row>
    <row r="25" spans="1:18" customFormat="1" x14ac:dyDescent="0.25">
      <c r="A25" s="18" t="s">
        <v>96</v>
      </c>
      <c r="B25" s="18" t="s">
        <v>34</v>
      </c>
      <c r="C25" s="18" t="s">
        <v>1765</v>
      </c>
      <c r="D25" s="18"/>
      <c r="E25" s="18" t="s">
        <v>1766</v>
      </c>
      <c r="F25" s="18" t="s">
        <v>18</v>
      </c>
      <c r="G25" s="19">
        <v>0</v>
      </c>
      <c r="H25" s="19">
        <v>30</v>
      </c>
      <c r="I25" s="19">
        <f>-H25</f>
        <v>-30</v>
      </c>
      <c r="J25" s="18" t="s">
        <v>15</v>
      </c>
      <c r="K25" s="18" t="s">
        <v>15</v>
      </c>
      <c r="L25" s="18" t="s">
        <v>1707</v>
      </c>
      <c r="M25" s="18"/>
      <c r="N25" s="18"/>
      <c r="O25" s="18"/>
      <c r="P25" s="18"/>
      <c r="Q25" s="18">
        <v>1</v>
      </c>
      <c r="R25" s="17">
        <f t="shared" si="2"/>
        <v>30</v>
      </c>
    </row>
    <row r="26" spans="1:18" customFormat="1" x14ac:dyDescent="0.25">
      <c r="A26" s="18"/>
      <c r="B26" s="18" t="s">
        <v>34</v>
      </c>
      <c r="C26" s="18" t="s">
        <v>1767</v>
      </c>
      <c r="D26" s="18" t="s">
        <v>1768</v>
      </c>
      <c r="E26" s="18" t="s">
        <v>1769</v>
      </c>
      <c r="F26" s="18" t="s">
        <v>19</v>
      </c>
      <c r="G26" s="19">
        <v>680</v>
      </c>
      <c r="H26" s="19">
        <v>20</v>
      </c>
      <c r="I26" s="19">
        <f>G26-H26</f>
        <v>660</v>
      </c>
      <c r="J26" s="18" t="s">
        <v>15</v>
      </c>
      <c r="K26" s="18" t="s">
        <v>15</v>
      </c>
      <c r="L26" s="18" t="s">
        <v>1707</v>
      </c>
      <c r="M26" s="18"/>
      <c r="N26" s="18"/>
      <c r="O26" s="18"/>
      <c r="P26" s="18"/>
      <c r="Q26" s="18">
        <v>1</v>
      </c>
    </row>
    <row r="27" spans="1:18" customFormat="1" x14ac:dyDescent="0.25">
      <c r="A27" s="18" t="s">
        <v>96</v>
      </c>
      <c r="B27" s="18" t="s">
        <v>34</v>
      </c>
      <c r="C27" s="18" t="s">
        <v>353</v>
      </c>
      <c r="D27" s="18"/>
      <c r="E27" s="18" t="s">
        <v>1770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15</v>
      </c>
      <c r="K27" s="18" t="s">
        <v>15</v>
      </c>
      <c r="L27" s="18" t="s">
        <v>1707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1771</v>
      </c>
      <c r="D28" s="18" t="s">
        <v>1772</v>
      </c>
      <c r="E28" s="18" t="s">
        <v>1773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160</v>
      </c>
      <c r="K28" s="18" t="s">
        <v>15</v>
      </c>
      <c r="L28" s="18" t="s">
        <v>1707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645</v>
      </c>
      <c r="D29" s="18" t="s">
        <v>1774</v>
      </c>
      <c r="E29" s="18" t="s">
        <v>1775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160</v>
      </c>
      <c r="K29" s="18" t="s">
        <v>15</v>
      </c>
      <c r="L29" s="18" t="s">
        <v>1707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873</v>
      </c>
      <c r="D30" s="18" t="s">
        <v>1776</v>
      </c>
      <c r="E30" s="18" t="s">
        <v>875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160</v>
      </c>
      <c r="K30" s="18" t="s">
        <v>15</v>
      </c>
      <c r="L30" s="18" t="s">
        <v>1707</v>
      </c>
      <c r="M30" s="18"/>
      <c r="N30" s="18"/>
      <c r="O30" s="18"/>
      <c r="P30" s="18"/>
      <c r="Q30" s="18">
        <v>1</v>
      </c>
      <c r="R30" s="17">
        <f t="shared" ref="R30:R31" si="3">H30</f>
        <v>25</v>
      </c>
    </row>
    <row r="31" spans="1:18" customFormat="1" x14ac:dyDescent="0.25">
      <c r="A31" s="18"/>
      <c r="B31" s="18" t="s">
        <v>34</v>
      </c>
      <c r="C31" s="18" t="s">
        <v>1777</v>
      </c>
      <c r="D31" s="18" t="s">
        <v>1778</v>
      </c>
      <c r="E31" s="18" t="s">
        <v>1779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160</v>
      </c>
      <c r="K31" s="18" t="s">
        <v>15</v>
      </c>
      <c r="L31" s="18" t="s">
        <v>1707</v>
      </c>
      <c r="M31" s="18"/>
      <c r="N31" s="18"/>
      <c r="O31" s="18"/>
      <c r="P31" s="18"/>
      <c r="Q31" s="18">
        <v>1</v>
      </c>
      <c r="R31" s="17">
        <f t="shared" si="3"/>
        <v>25</v>
      </c>
    </row>
    <row r="32" spans="1:18" customFormat="1" x14ac:dyDescent="0.25">
      <c r="A32" s="18"/>
      <c r="B32" s="18" t="s">
        <v>34</v>
      </c>
      <c r="C32" s="18" t="s">
        <v>1780</v>
      </c>
      <c r="D32" s="18" t="s">
        <v>1781</v>
      </c>
      <c r="E32" s="18" t="s">
        <v>1782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160</v>
      </c>
      <c r="K32" s="18" t="s">
        <v>15</v>
      </c>
      <c r="L32" s="18" t="s">
        <v>1707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651</v>
      </c>
      <c r="D33" s="18" t="s">
        <v>1783</v>
      </c>
      <c r="E33" s="18" t="s">
        <v>653</v>
      </c>
      <c r="F33" s="18" t="s">
        <v>18</v>
      </c>
      <c r="G33" s="19">
        <v>0</v>
      </c>
      <c r="H33" s="19">
        <v>25</v>
      </c>
      <c r="I33" s="19">
        <f>G33-H33</f>
        <v>-25</v>
      </c>
      <c r="J33" s="18" t="s">
        <v>160</v>
      </c>
      <c r="K33" s="18" t="s">
        <v>15</v>
      </c>
      <c r="L33" s="18" t="s">
        <v>1707</v>
      </c>
      <c r="M33" s="30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 t="s">
        <v>96</v>
      </c>
      <c r="B34" s="18" t="s">
        <v>34</v>
      </c>
      <c r="C34" s="18" t="s">
        <v>1784</v>
      </c>
      <c r="D34" s="18"/>
      <c r="E34" s="18" t="s">
        <v>1785</v>
      </c>
      <c r="F34" s="18" t="s">
        <v>18</v>
      </c>
      <c r="G34" s="19">
        <v>35</v>
      </c>
      <c r="H34" s="19">
        <v>35</v>
      </c>
      <c r="I34" s="19">
        <f>G34-H34</f>
        <v>0</v>
      </c>
      <c r="J34" s="18" t="s">
        <v>160</v>
      </c>
      <c r="K34" s="18" t="s">
        <v>15</v>
      </c>
      <c r="L34" s="18" t="s">
        <v>1707</v>
      </c>
      <c r="M34" s="18"/>
      <c r="N34" s="18"/>
      <c r="O34" s="18"/>
      <c r="P34" s="18"/>
      <c r="Q34" s="18">
        <v>1</v>
      </c>
    </row>
    <row r="35" spans="1:18" customFormat="1" x14ac:dyDescent="0.25">
      <c r="A35" s="45"/>
      <c r="B35" s="45" t="s">
        <v>34</v>
      </c>
      <c r="C35" s="45" t="s">
        <v>1786</v>
      </c>
      <c r="D35" s="45" t="s">
        <v>1787</v>
      </c>
      <c r="E35" s="45" t="s">
        <v>1788</v>
      </c>
      <c r="F35" s="45" t="s">
        <v>784</v>
      </c>
      <c r="G35" s="46">
        <v>790</v>
      </c>
      <c r="H35" s="46">
        <v>0</v>
      </c>
      <c r="I35" s="46">
        <f>G35-H35</f>
        <v>790</v>
      </c>
      <c r="J35" s="45" t="s">
        <v>662</v>
      </c>
      <c r="K35" s="45" t="s">
        <v>15</v>
      </c>
      <c r="L35" s="45" t="s">
        <v>1707</v>
      </c>
      <c r="M35" s="48" t="s">
        <v>786</v>
      </c>
      <c r="N35" s="45" t="s">
        <v>787</v>
      </c>
      <c r="O35" s="45"/>
      <c r="P35" s="45" t="s">
        <v>788</v>
      </c>
      <c r="Q35" s="18">
        <v>1</v>
      </c>
    </row>
    <row r="37" spans="1:18" x14ac:dyDescent="0.25">
      <c r="G37" s="1">
        <f t="shared" ref="G37:R37" si="4">SUBTOTAL(9,G3:G36)</f>
        <v>16915</v>
      </c>
      <c r="H37" s="1">
        <f t="shared" si="4"/>
        <v>860</v>
      </c>
      <c r="I37" s="1">
        <f t="shared" si="4"/>
        <v>16055</v>
      </c>
      <c r="J37" s="1">
        <f t="shared" si="4"/>
        <v>0</v>
      </c>
      <c r="K37" s="1">
        <f t="shared" si="4"/>
        <v>0</v>
      </c>
      <c r="L37" s="1">
        <f t="shared" si="4"/>
        <v>0</v>
      </c>
      <c r="M37" s="1">
        <f t="shared" si="4"/>
        <v>0</v>
      </c>
      <c r="N37" s="1">
        <f t="shared" si="4"/>
        <v>0</v>
      </c>
      <c r="O37" s="1">
        <f t="shared" si="4"/>
        <v>0</v>
      </c>
      <c r="P37" s="1">
        <f t="shared" si="4"/>
        <v>0</v>
      </c>
      <c r="Q37" s="1">
        <f t="shared" si="4"/>
        <v>33</v>
      </c>
      <c r="R37" s="1">
        <f t="shared" si="4"/>
        <v>265</v>
      </c>
    </row>
    <row r="38" spans="1:18" x14ac:dyDescent="0.25">
      <c r="I38" s="1">
        <v>-2520</v>
      </c>
      <c r="J38" s="1" t="s">
        <v>663</v>
      </c>
    </row>
    <row r="39" spans="1:18" x14ac:dyDescent="0.25">
      <c r="I39" s="1">
        <v>-790</v>
      </c>
      <c r="J39" s="1" t="s">
        <v>1790</v>
      </c>
    </row>
    <row r="41" spans="1:18" ht="20.25" customHeight="1" x14ac:dyDescent="0.3">
      <c r="H41" s="4" t="s">
        <v>1703</v>
      </c>
      <c r="I41" s="5" t="s">
        <v>21</v>
      </c>
      <c r="J41" s="6" t="s">
        <v>22</v>
      </c>
    </row>
    <row r="42" spans="1:18" ht="15.75" customHeight="1" x14ac:dyDescent="0.25">
      <c r="H42" s="7" t="s">
        <v>23</v>
      </c>
      <c r="I42" s="8">
        <f>SUM(I36:I40)</f>
        <v>12745</v>
      </c>
      <c r="J42" s="8">
        <f>Q37</f>
        <v>33</v>
      </c>
    </row>
    <row r="43" spans="1:18" x14ac:dyDescent="0.25">
      <c r="H43" s="9" t="s">
        <v>24</v>
      </c>
      <c r="I43" s="10">
        <f>R37</f>
        <v>265</v>
      </c>
      <c r="J43" s="11"/>
    </row>
    <row r="44" spans="1:18" x14ac:dyDescent="0.25">
      <c r="H44" s="9" t="s">
        <v>25</v>
      </c>
      <c r="I44" s="10">
        <f>S36</f>
        <v>0</v>
      </c>
      <c r="J44" s="11"/>
    </row>
    <row r="45" spans="1:18" x14ac:dyDescent="0.25">
      <c r="H45" s="9" t="s">
        <v>26</v>
      </c>
      <c r="I45" s="10">
        <f>T36</f>
        <v>0</v>
      </c>
      <c r="J45" s="11"/>
    </row>
    <row r="46" spans="1:18" x14ac:dyDescent="0.25">
      <c r="H46" s="9" t="s">
        <v>27</v>
      </c>
      <c r="I46" s="10">
        <f>U36</f>
        <v>0</v>
      </c>
      <c r="J46" s="11"/>
    </row>
    <row r="47" spans="1:18" ht="15.75" customHeight="1" x14ac:dyDescent="0.25">
      <c r="H47" s="12" t="s">
        <v>28</v>
      </c>
      <c r="I47" s="13"/>
      <c r="J47" s="13"/>
    </row>
    <row r="48" spans="1:18" ht="15.75" customHeight="1" x14ac:dyDescent="0.25">
      <c r="H48" s="14" t="s">
        <v>29</v>
      </c>
      <c r="I48" s="13"/>
      <c r="J48" s="13"/>
    </row>
    <row r="49" spans="1:12" ht="21" customHeight="1" x14ac:dyDescent="0.35">
      <c r="H49" s="15" t="s">
        <v>30</v>
      </c>
      <c r="I49" s="16">
        <f>SUM(I42:I48)</f>
        <v>13010</v>
      </c>
      <c r="J49" s="16">
        <f>SUM(J42:J46)</f>
        <v>33</v>
      </c>
    </row>
    <row r="51" spans="1:12" s="50" customFormat="1" x14ac:dyDescent="0.25"/>
    <row r="52" spans="1:12" s="50" customFormat="1" x14ac:dyDescent="0.25">
      <c r="A52" s="51"/>
      <c r="B52" s="51"/>
      <c r="C52" s="51"/>
      <c r="D52" s="51"/>
      <c r="E52" s="52"/>
      <c r="F52" s="52"/>
      <c r="G52" s="52"/>
      <c r="H52" s="52"/>
      <c r="I52" s="51"/>
      <c r="J52" s="51"/>
      <c r="K52" s="51"/>
      <c r="L52" s="53"/>
    </row>
    <row r="53" spans="1:12" x14ac:dyDescent="0.25">
      <c r="A53" s="1" t="s">
        <v>663</v>
      </c>
    </row>
    <row r="54" spans="1:12" x14ac:dyDescent="0.25">
      <c r="A54" s="45" t="s">
        <v>34</v>
      </c>
      <c r="B54" s="45" t="s">
        <v>1791</v>
      </c>
      <c r="C54" s="45" t="s">
        <v>1792</v>
      </c>
      <c r="D54" s="45" t="s">
        <v>1793</v>
      </c>
      <c r="E54" s="46">
        <v>7</v>
      </c>
      <c r="F54" s="46">
        <v>700</v>
      </c>
      <c r="G54" s="46">
        <v>0</v>
      </c>
      <c r="H54" s="46">
        <f>F54-G54</f>
        <v>700</v>
      </c>
      <c r="I54" s="45" t="s">
        <v>662</v>
      </c>
      <c r="J54" s="45" t="s">
        <v>15</v>
      </c>
      <c r="K54" s="45" t="s">
        <v>1794</v>
      </c>
      <c r="L54" s="47" t="s">
        <v>1795</v>
      </c>
    </row>
    <row r="55" spans="1:12" x14ac:dyDescent="0.25">
      <c r="A55" s="45" t="s">
        <v>34</v>
      </c>
      <c r="B55" s="45" t="s">
        <v>651</v>
      </c>
      <c r="C55" s="45" t="s">
        <v>1544</v>
      </c>
      <c r="D55" s="45" t="s">
        <v>653</v>
      </c>
      <c r="E55" s="45" t="s">
        <v>18</v>
      </c>
      <c r="F55" s="46">
        <v>945</v>
      </c>
      <c r="G55" s="46">
        <v>0</v>
      </c>
      <c r="H55" s="46">
        <f>F55-G55</f>
        <v>945</v>
      </c>
      <c r="I55" s="45" t="s">
        <v>662</v>
      </c>
      <c r="J55" s="45" t="s">
        <v>15</v>
      </c>
      <c r="K55" s="45" t="s">
        <v>1450</v>
      </c>
      <c r="L55" s="47" t="s">
        <v>1796</v>
      </c>
    </row>
    <row r="56" spans="1:12" x14ac:dyDescent="0.25">
      <c r="A56" s="45" t="s">
        <v>34</v>
      </c>
      <c r="B56" s="45" t="s">
        <v>651</v>
      </c>
      <c r="C56" s="45" t="s">
        <v>1697</v>
      </c>
      <c r="D56" s="45" t="s">
        <v>653</v>
      </c>
      <c r="E56" s="45" t="s">
        <v>18</v>
      </c>
      <c r="F56" s="46">
        <v>875</v>
      </c>
      <c r="G56" s="46">
        <v>0</v>
      </c>
      <c r="H56" s="46">
        <f>F56-G56</f>
        <v>875</v>
      </c>
      <c r="I56" s="45" t="s">
        <v>662</v>
      </c>
      <c r="J56" s="45" t="s">
        <v>15</v>
      </c>
      <c r="K56" s="45" t="s">
        <v>1577</v>
      </c>
      <c r="L56" s="47" t="s">
        <v>1797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28ADF-6BC4-4720-8D45-68A4ED3700FD}">
  <dimension ref="A1:R115"/>
  <sheetViews>
    <sheetView topLeftCell="A93" zoomScaleNormal="100" workbookViewId="0">
      <selection activeCell="J100" sqref="J100"/>
    </sheetView>
  </sheetViews>
  <sheetFormatPr defaultRowHeight="15" x14ac:dyDescent="0.25"/>
  <cols>
    <col min="1" max="2" width="9.140625" style="1"/>
    <col min="3" max="3" width="4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0" width="9.140625" style="1"/>
    <col min="11" max="11" width="13.42578125" style="1" bestFit="1" customWidth="1"/>
    <col min="12" max="12" width="12.28515625" style="1" bestFit="1" customWidth="1"/>
    <col min="13" max="13" width="14.42578125" style="1" customWidth="1"/>
    <col min="14" max="16384" width="9.140625" style="1"/>
  </cols>
  <sheetData>
    <row r="1" spans="1:18" x14ac:dyDescent="0.25">
      <c r="B1" s="1" t="s">
        <v>320</v>
      </c>
      <c r="C1" s="1" t="s">
        <v>1789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 t="s">
        <v>96</v>
      </c>
      <c r="B3" s="18" t="s">
        <v>34</v>
      </c>
      <c r="C3" s="18" t="s">
        <v>1799</v>
      </c>
      <c r="D3" s="18"/>
      <c r="E3" s="18" t="s">
        <v>1800</v>
      </c>
      <c r="F3" s="19">
        <v>9</v>
      </c>
      <c r="G3" s="19">
        <v>0</v>
      </c>
      <c r="H3" s="19">
        <v>35</v>
      </c>
      <c r="I3" s="19">
        <f>-H3</f>
        <v>-35</v>
      </c>
      <c r="J3" s="18" t="s">
        <v>56</v>
      </c>
      <c r="K3" s="18" t="s">
        <v>15</v>
      </c>
      <c r="L3" s="18" t="s">
        <v>1801</v>
      </c>
      <c r="M3" s="18"/>
      <c r="N3" s="18"/>
      <c r="O3" s="18"/>
      <c r="P3" s="18"/>
      <c r="Q3" s="18">
        <v>1</v>
      </c>
      <c r="R3" s="17">
        <f>H3</f>
        <v>35</v>
      </c>
    </row>
    <row r="4" spans="1:18" customFormat="1" x14ac:dyDescent="0.25">
      <c r="A4" s="18" t="s">
        <v>96</v>
      </c>
      <c r="B4" s="18" t="s">
        <v>34</v>
      </c>
      <c r="C4" s="18" t="s">
        <v>1802</v>
      </c>
      <c r="D4" s="18"/>
      <c r="E4" s="18" t="s">
        <v>1381</v>
      </c>
      <c r="F4" s="19">
        <v>9</v>
      </c>
      <c r="G4" s="19">
        <v>35</v>
      </c>
      <c r="H4" s="19">
        <v>35</v>
      </c>
      <c r="I4" s="19">
        <f t="shared" ref="I4:I9" si="0">G4-H4</f>
        <v>0</v>
      </c>
      <c r="J4" s="18" t="s">
        <v>56</v>
      </c>
      <c r="K4" s="18" t="s">
        <v>15</v>
      </c>
      <c r="L4" s="18" t="s">
        <v>1801</v>
      </c>
      <c r="M4" s="18"/>
      <c r="N4" s="18"/>
      <c r="O4" s="18"/>
      <c r="P4" s="18"/>
      <c r="Q4" s="18">
        <v>1</v>
      </c>
    </row>
    <row r="5" spans="1:18" customFormat="1" x14ac:dyDescent="0.25">
      <c r="A5" s="18" t="s">
        <v>96</v>
      </c>
      <c r="B5" s="18" t="s">
        <v>34</v>
      </c>
      <c r="C5" s="18" t="s">
        <v>436</v>
      </c>
      <c r="D5" s="18"/>
      <c r="E5" s="18" t="s">
        <v>1803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56</v>
      </c>
      <c r="K5" s="18" t="s">
        <v>15</v>
      </c>
      <c r="L5" s="18" t="s">
        <v>1801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1804</v>
      </c>
      <c r="D6" s="18" t="s">
        <v>1805</v>
      </c>
      <c r="E6" s="18" t="s">
        <v>1806</v>
      </c>
      <c r="F6" s="18" t="s">
        <v>212</v>
      </c>
      <c r="G6" s="19">
        <v>1015</v>
      </c>
      <c r="H6" s="19">
        <v>25</v>
      </c>
      <c r="I6" s="19">
        <f t="shared" si="0"/>
        <v>990</v>
      </c>
      <c r="J6" s="18" t="s">
        <v>1807</v>
      </c>
      <c r="K6" s="18" t="s">
        <v>15</v>
      </c>
      <c r="L6" s="18" t="s">
        <v>1801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1808</v>
      </c>
      <c r="D7" s="18" t="s">
        <v>1809</v>
      </c>
      <c r="E7" s="18" t="s">
        <v>1810</v>
      </c>
      <c r="F7" s="18" t="s">
        <v>18</v>
      </c>
      <c r="G7" s="19">
        <v>515</v>
      </c>
      <c r="H7" s="19">
        <v>25</v>
      </c>
      <c r="I7" s="19">
        <f t="shared" si="0"/>
        <v>490</v>
      </c>
      <c r="J7" s="18" t="s">
        <v>1807</v>
      </c>
      <c r="K7" s="18" t="s">
        <v>15</v>
      </c>
      <c r="L7" s="18" t="s">
        <v>1801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1811</v>
      </c>
      <c r="D8" s="18" t="s">
        <v>1812</v>
      </c>
      <c r="E8" s="18" t="s">
        <v>1813</v>
      </c>
      <c r="F8" s="18" t="s">
        <v>38</v>
      </c>
      <c r="G8" s="19">
        <v>900</v>
      </c>
      <c r="H8" s="19">
        <v>30</v>
      </c>
      <c r="I8" s="19">
        <f t="shared" si="0"/>
        <v>870</v>
      </c>
      <c r="J8" s="18" t="s">
        <v>1807</v>
      </c>
      <c r="K8" s="18" t="s">
        <v>15</v>
      </c>
      <c r="L8" s="18" t="s">
        <v>1801</v>
      </c>
      <c r="M8" s="18"/>
      <c r="N8" s="18"/>
      <c r="O8" s="18"/>
      <c r="P8" s="18"/>
      <c r="Q8" s="18">
        <v>1</v>
      </c>
    </row>
    <row r="9" spans="1:18" customFormat="1" x14ac:dyDescent="0.25">
      <c r="A9" s="18"/>
      <c r="B9" s="18" t="s">
        <v>34</v>
      </c>
      <c r="C9" s="18" t="s">
        <v>1814</v>
      </c>
      <c r="D9" s="18" t="s">
        <v>1815</v>
      </c>
      <c r="E9" s="18" t="s">
        <v>1816</v>
      </c>
      <c r="F9" s="18" t="s">
        <v>108</v>
      </c>
      <c r="G9" s="19">
        <v>415</v>
      </c>
      <c r="H9" s="19">
        <v>35</v>
      </c>
      <c r="I9" s="19">
        <f t="shared" si="0"/>
        <v>380</v>
      </c>
      <c r="J9" s="18" t="s">
        <v>1807</v>
      </c>
      <c r="K9" s="18" t="s">
        <v>15</v>
      </c>
      <c r="L9" s="18" t="s">
        <v>1801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1817</v>
      </c>
      <c r="D10" s="18" t="s">
        <v>1818</v>
      </c>
      <c r="E10" s="18" t="s">
        <v>1819</v>
      </c>
      <c r="F10" s="18" t="s">
        <v>38</v>
      </c>
      <c r="G10" s="19">
        <v>0</v>
      </c>
      <c r="H10" s="19">
        <v>30</v>
      </c>
      <c r="I10" s="19">
        <f>-H10</f>
        <v>-30</v>
      </c>
      <c r="J10" s="18" t="s">
        <v>1807</v>
      </c>
      <c r="K10" s="18" t="s">
        <v>15</v>
      </c>
      <c r="L10" s="18" t="s">
        <v>1801</v>
      </c>
      <c r="M10" s="18"/>
      <c r="N10" s="18"/>
      <c r="O10" s="18"/>
      <c r="P10" s="18"/>
      <c r="Q10" s="18">
        <v>1</v>
      </c>
      <c r="R10" s="17">
        <f>H10</f>
        <v>30</v>
      </c>
    </row>
    <row r="11" spans="1:18" customFormat="1" x14ac:dyDescent="0.25">
      <c r="A11" s="18"/>
      <c r="B11" s="18" t="s">
        <v>34</v>
      </c>
      <c r="C11" s="18" t="s">
        <v>1820</v>
      </c>
      <c r="D11" s="18" t="s">
        <v>1821</v>
      </c>
      <c r="E11" s="18" t="s">
        <v>1822</v>
      </c>
      <c r="F11" s="19">
        <v>12</v>
      </c>
      <c r="G11" s="19">
        <v>30</v>
      </c>
      <c r="H11" s="19">
        <v>30</v>
      </c>
      <c r="I11" s="19">
        <f t="shared" ref="I11:I25" si="1">G11-H11</f>
        <v>0</v>
      </c>
      <c r="J11" s="18" t="s">
        <v>1807</v>
      </c>
      <c r="K11" s="18" t="s">
        <v>15</v>
      </c>
      <c r="L11" s="18" t="s">
        <v>1801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1823</v>
      </c>
      <c r="D12" s="18" t="s">
        <v>1824</v>
      </c>
      <c r="E12" s="18" t="s">
        <v>1825</v>
      </c>
      <c r="F12" s="19">
        <v>8</v>
      </c>
      <c r="G12" s="19">
        <v>690</v>
      </c>
      <c r="H12" s="19">
        <v>30</v>
      </c>
      <c r="I12" s="19">
        <f t="shared" si="1"/>
        <v>660</v>
      </c>
      <c r="J12" s="18" t="s">
        <v>1807</v>
      </c>
      <c r="K12" s="18" t="s">
        <v>15</v>
      </c>
      <c r="L12" s="18" t="s">
        <v>1801</v>
      </c>
      <c r="M12" s="18"/>
      <c r="N12" s="18"/>
      <c r="O12" s="18"/>
      <c r="P12" s="18"/>
      <c r="Q12" s="18">
        <v>1</v>
      </c>
    </row>
    <row r="13" spans="1:18" customFormat="1" x14ac:dyDescent="0.25">
      <c r="A13" s="18"/>
      <c r="B13" s="18" t="s">
        <v>34</v>
      </c>
      <c r="C13" s="18" t="s">
        <v>1826</v>
      </c>
      <c r="D13" s="18" t="s">
        <v>1827</v>
      </c>
      <c r="E13" s="18" t="s">
        <v>1828</v>
      </c>
      <c r="F13" s="19">
        <v>7</v>
      </c>
      <c r="G13" s="19">
        <v>820</v>
      </c>
      <c r="H13" s="19">
        <v>30</v>
      </c>
      <c r="I13" s="19">
        <f t="shared" si="1"/>
        <v>790</v>
      </c>
      <c r="J13" s="18" t="s">
        <v>1807</v>
      </c>
      <c r="K13" s="18" t="s">
        <v>15</v>
      </c>
      <c r="L13" s="18" t="s">
        <v>1801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1829</v>
      </c>
      <c r="D14" s="18" t="s">
        <v>1830</v>
      </c>
      <c r="E14" s="18" t="s">
        <v>1831</v>
      </c>
      <c r="F14" s="19">
        <v>12</v>
      </c>
      <c r="G14" s="19">
        <v>560</v>
      </c>
      <c r="H14" s="19">
        <v>30</v>
      </c>
      <c r="I14" s="19">
        <f t="shared" si="1"/>
        <v>530</v>
      </c>
      <c r="J14" s="18" t="s">
        <v>1807</v>
      </c>
      <c r="K14" s="18" t="s">
        <v>15</v>
      </c>
      <c r="L14" s="18" t="s">
        <v>1801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1832</v>
      </c>
      <c r="D15" s="18" t="s">
        <v>1833</v>
      </c>
      <c r="E15" s="18" t="s">
        <v>1834</v>
      </c>
      <c r="F15" s="19">
        <v>7</v>
      </c>
      <c r="G15" s="19">
        <v>1610</v>
      </c>
      <c r="H15" s="19">
        <v>30</v>
      </c>
      <c r="I15" s="19">
        <f t="shared" si="1"/>
        <v>1580</v>
      </c>
      <c r="J15" s="18" t="s">
        <v>1807</v>
      </c>
      <c r="K15" s="18" t="s">
        <v>15</v>
      </c>
      <c r="L15" s="18" t="s">
        <v>1801</v>
      </c>
      <c r="M15" s="18"/>
      <c r="N15" s="18"/>
      <c r="O15" s="18"/>
      <c r="P15" s="18"/>
      <c r="Q15" s="18">
        <v>1</v>
      </c>
    </row>
    <row r="16" spans="1:18" customFormat="1" x14ac:dyDescent="0.25">
      <c r="A16" s="18"/>
      <c r="B16" s="18" t="s">
        <v>34</v>
      </c>
      <c r="C16" s="18" t="s">
        <v>1835</v>
      </c>
      <c r="D16" s="18" t="s">
        <v>1836</v>
      </c>
      <c r="E16" s="18" t="s">
        <v>1837</v>
      </c>
      <c r="F16" s="18" t="s">
        <v>38</v>
      </c>
      <c r="G16" s="19">
        <v>555</v>
      </c>
      <c r="H16" s="19">
        <v>25</v>
      </c>
      <c r="I16" s="19">
        <f t="shared" si="1"/>
        <v>530</v>
      </c>
      <c r="J16" s="18" t="s">
        <v>1807</v>
      </c>
      <c r="K16" s="18" t="s">
        <v>15</v>
      </c>
      <c r="L16" s="18" t="s">
        <v>1801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1838</v>
      </c>
      <c r="D17" s="18" t="s">
        <v>1839</v>
      </c>
      <c r="E17" s="18" t="s">
        <v>1840</v>
      </c>
      <c r="F17" s="18" t="s">
        <v>212</v>
      </c>
      <c r="G17" s="19">
        <v>845</v>
      </c>
      <c r="H17" s="19">
        <v>25</v>
      </c>
      <c r="I17" s="19">
        <f t="shared" si="1"/>
        <v>820</v>
      </c>
      <c r="J17" s="18" t="s">
        <v>1807</v>
      </c>
      <c r="K17" s="18" t="s">
        <v>15</v>
      </c>
      <c r="L17" s="18" t="s">
        <v>1801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216</v>
      </c>
      <c r="D18" s="18" t="s">
        <v>1841</v>
      </c>
      <c r="E18" s="18" t="s">
        <v>218</v>
      </c>
      <c r="F18" s="19">
        <v>8</v>
      </c>
      <c r="G18" s="19">
        <v>2000</v>
      </c>
      <c r="H18" s="19">
        <v>30</v>
      </c>
      <c r="I18" s="19">
        <f t="shared" si="1"/>
        <v>1970</v>
      </c>
      <c r="J18" s="18" t="s">
        <v>1807</v>
      </c>
      <c r="K18" s="18" t="s">
        <v>15</v>
      </c>
      <c r="L18" s="18" t="s">
        <v>1801</v>
      </c>
      <c r="M18" s="18"/>
      <c r="N18" s="18"/>
      <c r="O18" s="18"/>
      <c r="P18" s="18"/>
      <c r="Q18" s="18">
        <v>1</v>
      </c>
    </row>
    <row r="19" spans="1:18" s="22" customFormat="1" x14ac:dyDescent="0.25">
      <c r="A19" s="20"/>
      <c r="B19" s="20" t="s">
        <v>34</v>
      </c>
      <c r="C19" s="20" t="s">
        <v>1842</v>
      </c>
      <c r="D19" s="20" t="s">
        <v>1843</v>
      </c>
      <c r="E19" s="20" t="s">
        <v>1844</v>
      </c>
      <c r="F19" s="20" t="s">
        <v>123</v>
      </c>
      <c r="G19" s="21">
        <v>35</v>
      </c>
      <c r="H19" s="21">
        <v>35</v>
      </c>
      <c r="I19" s="21">
        <f t="shared" si="1"/>
        <v>0</v>
      </c>
      <c r="J19" s="20" t="s">
        <v>1807</v>
      </c>
      <c r="K19" s="20" t="s">
        <v>15</v>
      </c>
      <c r="L19" s="20" t="s">
        <v>1801</v>
      </c>
      <c r="M19" s="20" t="s">
        <v>16</v>
      </c>
      <c r="N19" s="20"/>
      <c r="O19" s="20"/>
      <c r="P19" s="20"/>
      <c r="Q19" s="20">
        <v>1</v>
      </c>
    </row>
    <row r="20" spans="1:18" customFormat="1" x14ac:dyDescent="0.25">
      <c r="A20" s="18"/>
      <c r="B20" s="18" t="s">
        <v>34</v>
      </c>
      <c r="C20" s="18" t="s">
        <v>1845</v>
      </c>
      <c r="D20" s="18" t="s">
        <v>1846</v>
      </c>
      <c r="E20" s="18" t="s">
        <v>1847</v>
      </c>
      <c r="F20" s="19">
        <v>11</v>
      </c>
      <c r="G20" s="19">
        <v>955</v>
      </c>
      <c r="H20" s="19">
        <v>25</v>
      </c>
      <c r="I20" s="19">
        <f t="shared" si="1"/>
        <v>930</v>
      </c>
      <c r="J20" s="18" t="s">
        <v>1807</v>
      </c>
      <c r="K20" s="18" t="s">
        <v>15</v>
      </c>
      <c r="L20" s="18" t="s">
        <v>1801</v>
      </c>
      <c r="M20" s="18"/>
      <c r="N20" s="18"/>
      <c r="O20" s="18"/>
      <c r="P20" s="18"/>
      <c r="Q20" s="18">
        <v>1</v>
      </c>
    </row>
    <row r="21" spans="1:18" customFormat="1" x14ac:dyDescent="0.25">
      <c r="A21" s="18"/>
      <c r="B21" s="18" t="s">
        <v>34</v>
      </c>
      <c r="C21" s="18" t="s">
        <v>1848</v>
      </c>
      <c r="D21" s="18" t="s">
        <v>1849</v>
      </c>
      <c r="E21" s="18" t="s">
        <v>1850</v>
      </c>
      <c r="F21" s="19">
        <v>7</v>
      </c>
      <c r="G21" s="19">
        <v>800</v>
      </c>
      <c r="H21" s="19">
        <v>30</v>
      </c>
      <c r="I21" s="19">
        <f t="shared" si="1"/>
        <v>770</v>
      </c>
      <c r="J21" s="18" t="s">
        <v>1807</v>
      </c>
      <c r="K21" s="18" t="s">
        <v>15</v>
      </c>
      <c r="L21" s="18" t="s">
        <v>1801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1851</v>
      </c>
      <c r="D22" s="18" t="s">
        <v>1852</v>
      </c>
      <c r="E22" s="18" t="s">
        <v>1853</v>
      </c>
      <c r="F22" s="18" t="s">
        <v>123</v>
      </c>
      <c r="G22" s="19">
        <v>695</v>
      </c>
      <c r="H22" s="19">
        <v>35</v>
      </c>
      <c r="I22" s="19">
        <f t="shared" si="1"/>
        <v>660</v>
      </c>
      <c r="J22" s="18" t="s">
        <v>1807</v>
      </c>
      <c r="K22" s="18" t="s">
        <v>15</v>
      </c>
      <c r="L22" s="18" t="s">
        <v>1801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1854</v>
      </c>
      <c r="D23" s="18" t="s">
        <v>1855</v>
      </c>
      <c r="E23" s="18" t="s">
        <v>1856</v>
      </c>
      <c r="F23" s="18" t="s">
        <v>212</v>
      </c>
      <c r="G23" s="19">
        <v>955</v>
      </c>
      <c r="H23" s="19">
        <v>25</v>
      </c>
      <c r="I23" s="19">
        <f t="shared" si="1"/>
        <v>930</v>
      </c>
      <c r="J23" s="18" t="s">
        <v>1807</v>
      </c>
      <c r="K23" s="18" t="s">
        <v>15</v>
      </c>
      <c r="L23" s="18" t="s">
        <v>1801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691</v>
      </c>
      <c r="D24" s="18" t="s">
        <v>1857</v>
      </c>
      <c r="E24" s="18" t="s">
        <v>1858</v>
      </c>
      <c r="F24" s="18" t="s">
        <v>38</v>
      </c>
      <c r="G24" s="19">
        <v>1450</v>
      </c>
      <c r="H24" s="19">
        <v>30</v>
      </c>
      <c r="I24" s="19">
        <f t="shared" si="1"/>
        <v>1420</v>
      </c>
      <c r="J24" s="18" t="s">
        <v>1807</v>
      </c>
      <c r="K24" s="18" t="s">
        <v>15</v>
      </c>
      <c r="L24" s="18" t="s">
        <v>1801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1859</v>
      </c>
      <c r="D25" s="18" t="s">
        <v>1860</v>
      </c>
      <c r="E25" s="18" t="s">
        <v>1861</v>
      </c>
      <c r="F25" s="19">
        <v>6</v>
      </c>
      <c r="G25" s="19">
        <v>685</v>
      </c>
      <c r="H25" s="19">
        <v>25</v>
      </c>
      <c r="I25" s="19">
        <f t="shared" si="1"/>
        <v>660</v>
      </c>
      <c r="J25" s="18" t="s">
        <v>1807</v>
      </c>
      <c r="K25" s="18" t="s">
        <v>15</v>
      </c>
      <c r="L25" s="18" t="s">
        <v>1801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1862</v>
      </c>
      <c r="D26" s="18" t="s">
        <v>1863</v>
      </c>
      <c r="E26" s="18" t="s">
        <v>1864</v>
      </c>
      <c r="F26" s="18" t="s">
        <v>254</v>
      </c>
      <c r="G26" s="19">
        <v>0</v>
      </c>
      <c r="H26" s="19">
        <v>35</v>
      </c>
      <c r="I26" s="19">
        <f>-H26</f>
        <v>-35</v>
      </c>
      <c r="J26" s="18" t="s">
        <v>1807</v>
      </c>
      <c r="K26" s="18" t="s">
        <v>15</v>
      </c>
      <c r="L26" s="18" t="s">
        <v>1801</v>
      </c>
      <c r="M26" s="18"/>
      <c r="N26" s="18"/>
      <c r="O26" s="18"/>
      <c r="P26" s="18"/>
      <c r="Q26" s="18">
        <v>1</v>
      </c>
      <c r="R26" s="17">
        <f>H26</f>
        <v>35</v>
      </c>
    </row>
    <row r="27" spans="1:18" customFormat="1" x14ac:dyDescent="0.25">
      <c r="A27" s="18"/>
      <c r="B27" s="18" t="s">
        <v>34</v>
      </c>
      <c r="C27" s="18" t="s">
        <v>1865</v>
      </c>
      <c r="D27" s="18" t="s">
        <v>1866</v>
      </c>
      <c r="E27" s="18" t="s">
        <v>1867</v>
      </c>
      <c r="F27" s="18" t="s">
        <v>38</v>
      </c>
      <c r="G27" s="19">
        <v>900</v>
      </c>
      <c r="H27" s="19">
        <v>30</v>
      </c>
      <c r="I27" s="19">
        <f t="shared" ref="I27:I32" si="2">G27-H27</f>
        <v>870</v>
      </c>
      <c r="J27" s="18" t="s">
        <v>1807</v>
      </c>
      <c r="K27" s="18" t="s">
        <v>15</v>
      </c>
      <c r="L27" s="18" t="s">
        <v>1801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347</v>
      </c>
      <c r="D28" s="18" t="s">
        <v>1868</v>
      </c>
      <c r="E28" s="18" t="s">
        <v>349</v>
      </c>
      <c r="F28" s="18" t="s">
        <v>38</v>
      </c>
      <c r="G28" s="19">
        <v>720</v>
      </c>
      <c r="H28" s="19">
        <v>30</v>
      </c>
      <c r="I28" s="19">
        <f t="shared" si="2"/>
        <v>690</v>
      </c>
      <c r="J28" s="18" t="s">
        <v>1807</v>
      </c>
      <c r="K28" s="18" t="s">
        <v>15</v>
      </c>
      <c r="L28" s="18" t="s">
        <v>1801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1344</v>
      </c>
      <c r="D29" s="18" t="s">
        <v>1869</v>
      </c>
      <c r="E29" s="18" t="s">
        <v>1346</v>
      </c>
      <c r="F29" s="18" t="s">
        <v>123</v>
      </c>
      <c r="G29" s="19">
        <v>895</v>
      </c>
      <c r="H29" s="19">
        <v>35</v>
      </c>
      <c r="I29" s="19">
        <f t="shared" si="2"/>
        <v>860</v>
      </c>
      <c r="J29" s="18" t="s">
        <v>1807</v>
      </c>
      <c r="K29" s="18" t="s">
        <v>15</v>
      </c>
      <c r="L29" s="18" t="s">
        <v>1801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705</v>
      </c>
      <c r="D30" s="18" t="s">
        <v>1870</v>
      </c>
      <c r="E30" s="18" t="s">
        <v>707</v>
      </c>
      <c r="F30" s="18" t="s">
        <v>212</v>
      </c>
      <c r="G30" s="19">
        <v>825</v>
      </c>
      <c r="H30" s="19">
        <v>25</v>
      </c>
      <c r="I30" s="19">
        <f t="shared" si="2"/>
        <v>800</v>
      </c>
      <c r="J30" s="18" t="s">
        <v>1807</v>
      </c>
      <c r="K30" s="18" t="s">
        <v>15</v>
      </c>
      <c r="L30" s="18" t="s">
        <v>1801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1871</v>
      </c>
      <c r="D31" s="18" t="s">
        <v>1872</v>
      </c>
      <c r="E31" s="18" t="s">
        <v>1873</v>
      </c>
      <c r="F31" s="19">
        <v>11</v>
      </c>
      <c r="G31" s="19">
        <v>2050</v>
      </c>
      <c r="H31" s="19">
        <v>25</v>
      </c>
      <c r="I31" s="19">
        <f t="shared" si="2"/>
        <v>2025</v>
      </c>
      <c r="J31" s="18" t="s">
        <v>1807</v>
      </c>
      <c r="K31" s="18" t="s">
        <v>15</v>
      </c>
      <c r="L31" s="18" t="s">
        <v>1801</v>
      </c>
      <c r="M31" s="48" t="s">
        <v>377</v>
      </c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1874</v>
      </c>
      <c r="D32" s="18" t="s">
        <v>1875</v>
      </c>
      <c r="E32" s="18" t="s">
        <v>1876</v>
      </c>
      <c r="F32" s="18" t="s">
        <v>38</v>
      </c>
      <c r="G32" s="19">
        <v>750</v>
      </c>
      <c r="H32" s="19">
        <v>30</v>
      </c>
      <c r="I32" s="19">
        <f t="shared" si="2"/>
        <v>720</v>
      </c>
      <c r="J32" s="18" t="s">
        <v>1807</v>
      </c>
      <c r="K32" s="18" t="s">
        <v>15</v>
      </c>
      <c r="L32" s="18" t="s">
        <v>1801</v>
      </c>
      <c r="M32" s="18"/>
      <c r="N32" s="18"/>
      <c r="O32" s="18"/>
      <c r="P32" s="18"/>
      <c r="Q32" s="18">
        <v>1</v>
      </c>
    </row>
    <row r="33" spans="1:18" customFormat="1" x14ac:dyDescent="0.25">
      <c r="A33" s="18"/>
      <c r="B33" s="18" t="s">
        <v>34</v>
      </c>
      <c r="C33" s="18" t="s">
        <v>1877</v>
      </c>
      <c r="D33" s="18" t="s">
        <v>1878</v>
      </c>
      <c r="E33" s="18" t="s">
        <v>1879</v>
      </c>
      <c r="F33" s="19">
        <v>8</v>
      </c>
      <c r="G33" s="19">
        <v>0</v>
      </c>
      <c r="H33" s="19">
        <v>25</v>
      </c>
      <c r="I33" s="19">
        <f>-H33</f>
        <v>-25</v>
      </c>
      <c r="J33" s="18" t="s">
        <v>1807</v>
      </c>
      <c r="K33" s="18" t="s">
        <v>15</v>
      </c>
      <c r="L33" s="18" t="s">
        <v>1801</v>
      </c>
      <c r="M33" s="18"/>
      <c r="N33" s="18"/>
      <c r="O33" s="18"/>
      <c r="P33" s="18"/>
      <c r="Q33" s="18">
        <v>1</v>
      </c>
      <c r="R33" s="17">
        <f>H33</f>
        <v>25</v>
      </c>
    </row>
    <row r="34" spans="1:18" customFormat="1" x14ac:dyDescent="0.25">
      <c r="A34" s="18"/>
      <c r="B34" s="18" t="s">
        <v>34</v>
      </c>
      <c r="C34" s="18" t="s">
        <v>1880</v>
      </c>
      <c r="D34" s="18" t="s">
        <v>1881</v>
      </c>
      <c r="E34" s="18" t="s">
        <v>1882</v>
      </c>
      <c r="F34" s="18" t="s">
        <v>108</v>
      </c>
      <c r="G34" s="19">
        <v>965</v>
      </c>
      <c r="H34" s="19">
        <v>35</v>
      </c>
      <c r="I34" s="19">
        <f>G34-H34</f>
        <v>930</v>
      </c>
      <c r="J34" s="18" t="s">
        <v>1807</v>
      </c>
      <c r="K34" s="18" t="s">
        <v>15</v>
      </c>
      <c r="L34" s="18" t="s">
        <v>1801</v>
      </c>
      <c r="M34" s="18"/>
      <c r="N34" s="18"/>
      <c r="O34" s="18"/>
      <c r="P34" s="18"/>
      <c r="Q34" s="18">
        <v>1</v>
      </c>
    </row>
    <row r="35" spans="1:18" s="22" customFormat="1" x14ac:dyDescent="0.25">
      <c r="A35" s="20"/>
      <c r="B35" s="20" t="s">
        <v>34</v>
      </c>
      <c r="C35" s="20" t="s">
        <v>1883</v>
      </c>
      <c r="D35" s="20" t="s">
        <v>1884</v>
      </c>
      <c r="E35" s="20" t="s">
        <v>1885</v>
      </c>
      <c r="F35" s="20" t="s">
        <v>108</v>
      </c>
      <c r="G35" s="21">
        <v>0</v>
      </c>
      <c r="H35" s="21">
        <v>35</v>
      </c>
      <c r="I35" s="21">
        <f>-H35</f>
        <v>-35</v>
      </c>
      <c r="J35" s="20" t="s">
        <v>1807</v>
      </c>
      <c r="K35" s="20" t="s">
        <v>15</v>
      </c>
      <c r="L35" s="20" t="s">
        <v>1801</v>
      </c>
      <c r="M35" s="20" t="s">
        <v>16</v>
      </c>
      <c r="N35" s="20"/>
      <c r="O35" s="20"/>
      <c r="P35" s="20"/>
      <c r="Q35" s="20">
        <v>1</v>
      </c>
      <c r="R35" s="29">
        <f>H35</f>
        <v>35</v>
      </c>
    </row>
    <row r="36" spans="1:18" customFormat="1" x14ac:dyDescent="0.25">
      <c r="A36" s="18"/>
      <c r="B36" s="18" t="s">
        <v>34</v>
      </c>
      <c r="C36" s="18" t="s">
        <v>1183</v>
      </c>
      <c r="D36" s="18" t="s">
        <v>1886</v>
      </c>
      <c r="E36" s="18" t="s">
        <v>1887</v>
      </c>
      <c r="F36" s="19">
        <v>7</v>
      </c>
      <c r="G36" s="19">
        <v>690</v>
      </c>
      <c r="H36" s="19">
        <v>30</v>
      </c>
      <c r="I36" s="19">
        <f>G36-H36</f>
        <v>660</v>
      </c>
      <c r="J36" s="18" t="s">
        <v>1807</v>
      </c>
      <c r="K36" s="18" t="s">
        <v>15</v>
      </c>
      <c r="L36" s="18" t="s">
        <v>1801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1888</v>
      </c>
      <c r="D37" s="18" t="s">
        <v>1889</v>
      </c>
      <c r="E37" s="18" t="s">
        <v>1890</v>
      </c>
      <c r="F37" s="18" t="s">
        <v>123</v>
      </c>
      <c r="G37" s="19">
        <v>895</v>
      </c>
      <c r="H37" s="19">
        <v>35</v>
      </c>
      <c r="I37" s="19">
        <f>G37-H37</f>
        <v>860</v>
      </c>
      <c r="J37" s="18" t="s">
        <v>1807</v>
      </c>
      <c r="K37" s="18" t="s">
        <v>15</v>
      </c>
      <c r="L37" s="18" t="s">
        <v>1801</v>
      </c>
      <c r="M37" s="18"/>
      <c r="N37" s="18"/>
      <c r="O37" s="18"/>
      <c r="P37" s="18"/>
      <c r="Q37" s="18">
        <v>1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1891</v>
      </c>
      <c r="E38" s="18" t="s">
        <v>926</v>
      </c>
      <c r="F38" s="18" t="s">
        <v>38</v>
      </c>
      <c r="G38" s="19">
        <v>1420</v>
      </c>
      <c r="H38" s="19">
        <v>30</v>
      </c>
      <c r="I38" s="19">
        <f>G38-H38</f>
        <v>1390</v>
      </c>
      <c r="J38" s="18" t="s">
        <v>1807</v>
      </c>
      <c r="K38" s="18" t="s">
        <v>15</v>
      </c>
      <c r="L38" s="18" t="s">
        <v>1801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1892</v>
      </c>
      <c r="D39" s="18" t="s">
        <v>1893</v>
      </c>
      <c r="E39" s="18" t="s">
        <v>1894</v>
      </c>
      <c r="F39" s="19">
        <v>8</v>
      </c>
      <c r="G39" s="19">
        <v>890</v>
      </c>
      <c r="H39" s="19">
        <v>30</v>
      </c>
      <c r="I39" s="19">
        <f>G39-H39</f>
        <v>860</v>
      </c>
      <c r="J39" s="18" t="s">
        <v>1807</v>
      </c>
      <c r="K39" s="18" t="s">
        <v>15</v>
      </c>
      <c r="L39" s="18" t="s">
        <v>1801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1895</v>
      </c>
      <c r="D40" s="18" t="s">
        <v>1896</v>
      </c>
      <c r="E40" s="18" t="s">
        <v>1897</v>
      </c>
      <c r="F40" s="19">
        <v>8</v>
      </c>
      <c r="G40" s="19">
        <v>0</v>
      </c>
      <c r="H40" s="19">
        <v>25</v>
      </c>
      <c r="I40" s="19">
        <f>-H40</f>
        <v>-25</v>
      </c>
      <c r="J40" s="18" t="s">
        <v>1807</v>
      </c>
      <c r="K40" s="18" t="s">
        <v>15</v>
      </c>
      <c r="L40" s="18" t="s">
        <v>1801</v>
      </c>
      <c r="M40" s="18"/>
      <c r="N40" s="18"/>
      <c r="O40" s="18"/>
      <c r="P40" s="18"/>
      <c r="Q40" s="18">
        <v>1</v>
      </c>
      <c r="R40" s="17">
        <f>H40</f>
        <v>25</v>
      </c>
    </row>
    <row r="41" spans="1:18" customFormat="1" x14ac:dyDescent="0.25">
      <c r="A41" s="18"/>
      <c r="B41" s="18" t="s">
        <v>34</v>
      </c>
      <c r="C41" s="18" t="s">
        <v>1898</v>
      </c>
      <c r="D41" s="18" t="s">
        <v>1899</v>
      </c>
      <c r="E41" s="18" t="s">
        <v>1900</v>
      </c>
      <c r="F41" s="18" t="s">
        <v>18</v>
      </c>
      <c r="G41" s="19">
        <v>0</v>
      </c>
      <c r="H41" s="19">
        <v>25</v>
      </c>
      <c r="I41" s="19">
        <f>-H41</f>
        <v>-25</v>
      </c>
      <c r="J41" s="18" t="s">
        <v>1807</v>
      </c>
      <c r="K41" s="18" t="s">
        <v>15</v>
      </c>
      <c r="L41" s="18" t="s">
        <v>1801</v>
      </c>
      <c r="M41" s="18"/>
      <c r="N41" s="18"/>
      <c r="O41" s="18"/>
      <c r="P41" s="18"/>
      <c r="Q41" s="18">
        <v>1</v>
      </c>
      <c r="R41" s="17">
        <f t="shared" ref="R41:R42" si="3">H41</f>
        <v>25</v>
      </c>
    </row>
    <row r="42" spans="1:18" customFormat="1" x14ac:dyDescent="0.25">
      <c r="A42" s="18" t="s">
        <v>96</v>
      </c>
      <c r="B42" s="18" t="s">
        <v>34</v>
      </c>
      <c r="C42" s="18" t="s">
        <v>99</v>
      </c>
      <c r="D42" s="18"/>
      <c r="E42" s="18" t="s">
        <v>100</v>
      </c>
      <c r="F42" s="19">
        <v>6</v>
      </c>
      <c r="G42" s="19">
        <v>0</v>
      </c>
      <c r="H42" s="19">
        <v>30</v>
      </c>
      <c r="I42" s="19">
        <f>-H42</f>
        <v>-30</v>
      </c>
      <c r="J42" s="18" t="s">
        <v>1807</v>
      </c>
      <c r="K42" s="18" t="s">
        <v>15</v>
      </c>
      <c r="L42" s="18" t="s">
        <v>1801</v>
      </c>
      <c r="M42" s="18"/>
      <c r="N42" s="18"/>
      <c r="O42" s="18"/>
      <c r="P42" s="18"/>
      <c r="Q42" s="18">
        <v>1</v>
      </c>
      <c r="R42" s="17">
        <f t="shared" si="3"/>
        <v>30</v>
      </c>
    </row>
    <row r="43" spans="1:18" customFormat="1" x14ac:dyDescent="0.25">
      <c r="A43" s="18"/>
      <c r="B43" s="18" t="s">
        <v>34</v>
      </c>
      <c r="C43" s="18" t="s">
        <v>1901</v>
      </c>
      <c r="D43" s="18" t="s">
        <v>1902</v>
      </c>
      <c r="E43" s="18" t="s">
        <v>1903</v>
      </c>
      <c r="F43" s="18" t="s">
        <v>144</v>
      </c>
      <c r="G43" s="19">
        <v>520</v>
      </c>
      <c r="H43" s="19">
        <v>30</v>
      </c>
      <c r="I43" s="19">
        <f>G43-H43</f>
        <v>490</v>
      </c>
      <c r="J43" s="18" t="s">
        <v>15</v>
      </c>
      <c r="K43" s="18" t="s">
        <v>15</v>
      </c>
      <c r="L43" s="18" t="s">
        <v>1801</v>
      </c>
      <c r="M43" s="18"/>
      <c r="N43" s="18"/>
      <c r="O43" s="18"/>
      <c r="P43" s="18"/>
      <c r="Q43" s="18">
        <v>1</v>
      </c>
    </row>
    <row r="44" spans="1:18" customFormat="1" x14ac:dyDescent="0.25">
      <c r="A44" s="18"/>
      <c r="B44" s="18" t="s">
        <v>34</v>
      </c>
      <c r="C44" s="18" t="s">
        <v>1904</v>
      </c>
      <c r="D44" s="18" t="s">
        <v>1905</v>
      </c>
      <c r="E44" s="18" t="s">
        <v>1906</v>
      </c>
      <c r="F44" s="18" t="s">
        <v>19</v>
      </c>
      <c r="G44" s="19">
        <v>550</v>
      </c>
      <c r="H44" s="19">
        <v>20</v>
      </c>
      <c r="I44" s="19">
        <f>G44-H44</f>
        <v>530</v>
      </c>
      <c r="J44" s="18" t="s">
        <v>15</v>
      </c>
      <c r="K44" s="18" t="s">
        <v>15</v>
      </c>
      <c r="L44" s="18" t="s">
        <v>1801</v>
      </c>
      <c r="M44" s="18"/>
      <c r="N44" s="18"/>
      <c r="O44" s="18"/>
      <c r="P44" s="18"/>
      <c r="Q44" s="18">
        <v>1</v>
      </c>
    </row>
    <row r="45" spans="1:18" customFormat="1" x14ac:dyDescent="0.25">
      <c r="A45" s="18"/>
      <c r="B45" s="18" t="s">
        <v>34</v>
      </c>
      <c r="C45" s="18" t="s">
        <v>1907</v>
      </c>
      <c r="D45" s="18" t="s">
        <v>1908</v>
      </c>
      <c r="E45" s="18" t="s">
        <v>1909</v>
      </c>
      <c r="F45" s="18" t="s">
        <v>20</v>
      </c>
      <c r="G45" s="19">
        <v>1085</v>
      </c>
      <c r="H45" s="19">
        <v>25</v>
      </c>
      <c r="I45" s="19">
        <f>G45-H45</f>
        <v>1060</v>
      </c>
      <c r="J45" s="18" t="s">
        <v>15</v>
      </c>
      <c r="K45" s="18" t="s">
        <v>15</v>
      </c>
      <c r="L45" s="18" t="s">
        <v>1801</v>
      </c>
      <c r="M45" s="18"/>
      <c r="N45" s="18"/>
      <c r="O45" s="18"/>
      <c r="P45" s="18"/>
      <c r="Q45" s="18">
        <v>1</v>
      </c>
    </row>
    <row r="46" spans="1:18" customFormat="1" x14ac:dyDescent="0.25">
      <c r="A46" s="18"/>
      <c r="B46" s="18" t="s">
        <v>34</v>
      </c>
      <c r="C46" s="18" t="s">
        <v>148</v>
      </c>
      <c r="D46" s="18" t="s">
        <v>1910</v>
      </c>
      <c r="E46" s="18" t="s">
        <v>150</v>
      </c>
      <c r="F46" s="18" t="s">
        <v>19</v>
      </c>
      <c r="G46" s="19">
        <v>0</v>
      </c>
      <c r="H46" s="19">
        <v>20</v>
      </c>
      <c r="I46" s="19">
        <f>-H46</f>
        <v>-20</v>
      </c>
      <c r="J46" s="18" t="s">
        <v>15</v>
      </c>
      <c r="K46" s="18" t="s">
        <v>15</v>
      </c>
      <c r="L46" s="18" t="s">
        <v>1801</v>
      </c>
      <c r="M46" s="18"/>
      <c r="N46" s="18"/>
      <c r="O46" s="18"/>
      <c r="P46" s="18"/>
      <c r="Q46" s="18">
        <v>1</v>
      </c>
      <c r="R46" s="17">
        <f t="shared" ref="R46:R47" si="4">H46</f>
        <v>20</v>
      </c>
    </row>
    <row r="47" spans="1:18" customFormat="1" x14ac:dyDescent="0.25">
      <c r="A47" s="18"/>
      <c r="B47" s="18" t="s">
        <v>34</v>
      </c>
      <c r="C47" s="18" t="s">
        <v>1911</v>
      </c>
      <c r="D47" s="18" t="s">
        <v>1912</v>
      </c>
      <c r="E47" s="18" t="s">
        <v>1761</v>
      </c>
      <c r="F47" s="19">
        <v>12</v>
      </c>
      <c r="G47" s="19">
        <v>0</v>
      </c>
      <c r="H47" s="19">
        <v>30</v>
      </c>
      <c r="I47" s="19">
        <f>-H47</f>
        <v>-30</v>
      </c>
      <c r="J47" s="18" t="s">
        <v>15</v>
      </c>
      <c r="K47" s="18" t="s">
        <v>15</v>
      </c>
      <c r="L47" s="18" t="s">
        <v>1801</v>
      </c>
      <c r="M47" s="18"/>
      <c r="N47" s="18"/>
      <c r="O47" s="18"/>
      <c r="P47" s="18"/>
      <c r="Q47" s="18">
        <v>1</v>
      </c>
      <c r="R47" s="17">
        <f t="shared" si="4"/>
        <v>30</v>
      </c>
    </row>
    <row r="48" spans="1:18" s="22" customFormat="1" x14ac:dyDescent="0.25">
      <c r="A48" s="20"/>
      <c r="B48" s="20" t="s">
        <v>34</v>
      </c>
      <c r="C48" s="20" t="s">
        <v>1581</v>
      </c>
      <c r="D48" s="20" t="s">
        <v>1913</v>
      </c>
      <c r="E48" s="20" t="s">
        <v>1914</v>
      </c>
      <c r="F48" s="21">
        <v>2</v>
      </c>
      <c r="G48" s="21">
        <v>100</v>
      </c>
      <c r="H48" s="21">
        <v>30</v>
      </c>
      <c r="I48" s="21">
        <f>G48-H48</f>
        <v>70</v>
      </c>
      <c r="J48" s="20" t="s">
        <v>15</v>
      </c>
      <c r="K48" s="20" t="s">
        <v>15</v>
      </c>
      <c r="L48" s="20" t="s">
        <v>1801</v>
      </c>
      <c r="M48" s="20" t="s">
        <v>16</v>
      </c>
      <c r="N48" s="20"/>
      <c r="O48" s="20"/>
      <c r="P48" s="20"/>
      <c r="Q48" s="20">
        <v>1</v>
      </c>
    </row>
    <row r="49" spans="1:18" customFormat="1" x14ac:dyDescent="0.25">
      <c r="A49" s="18"/>
      <c r="B49" s="18" t="s">
        <v>34</v>
      </c>
      <c r="C49" s="18" t="s">
        <v>1915</v>
      </c>
      <c r="D49" s="18" t="s">
        <v>1916</v>
      </c>
      <c r="E49" s="18" t="s">
        <v>1917</v>
      </c>
      <c r="F49" s="18" t="s">
        <v>19</v>
      </c>
      <c r="G49" s="19">
        <v>1270</v>
      </c>
      <c r="H49" s="19">
        <v>20</v>
      </c>
      <c r="I49" s="19">
        <f>G49-H49</f>
        <v>1250</v>
      </c>
      <c r="J49" s="18" t="s">
        <v>15</v>
      </c>
      <c r="K49" s="18" t="s">
        <v>15</v>
      </c>
      <c r="L49" s="18" t="s">
        <v>1801</v>
      </c>
      <c r="M49" s="18"/>
      <c r="N49" s="18"/>
      <c r="O49" s="18"/>
      <c r="P49" s="18"/>
      <c r="Q49" s="18">
        <v>1</v>
      </c>
    </row>
    <row r="50" spans="1:18" customFormat="1" x14ac:dyDescent="0.25">
      <c r="A50" s="18"/>
      <c r="B50" s="18" t="s">
        <v>34</v>
      </c>
      <c r="C50" s="18" t="s">
        <v>1918</v>
      </c>
      <c r="D50" s="18" t="s">
        <v>1919</v>
      </c>
      <c r="E50" s="18" t="s">
        <v>1920</v>
      </c>
      <c r="F50" s="18" t="s">
        <v>19</v>
      </c>
      <c r="G50" s="19">
        <v>0</v>
      </c>
      <c r="H50" s="19">
        <v>20</v>
      </c>
      <c r="I50" s="19">
        <f>-H50</f>
        <v>-20</v>
      </c>
      <c r="J50" s="18" t="s">
        <v>15</v>
      </c>
      <c r="K50" s="18" t="s">
        <v>15</v>
      </c>
      <c r="L50" s="18" t="s">
        <v>1801</v>
      </c>
      <c r="M50" s="48" t="s">
        <v>307</v>
      </c>
      <c r="N50" s="18"/>
      <c r="O50" s="18"/>
      <c r="P50" s="18"/>
      <c r="Q50" s="18">
        <v>1</v>
      </c>
      <c r="R50" s="17">
        <f t="shared" ref="R50:R51" si="5">H50</f>
        <v>20</v>
      </c>
    </row>
    <row r="51" spans="1:18" customFormat="1" x14ac:dyDescent="0.25">
      <c r="A51" s="18"/>
      <c r="B51" s="18" t="s">
        <v>34</v>
      </c>
      <c r="C51" s="18" t="s">
        <v>1918</v>
      </c>
      <c r="D51" s="18" t="s">
        <v>1921</v>
      </c>
      <c r="E51" s="18" t="s">
        <v>1920</v>
      </c>
      <c r="F51" s="18" t="s">
        <v>19</v>
      </c>
      <c r="G51" s="19">
        <v>0</v>
      </c>
      <c r="H51" s="19">
        <v>0</v>
      </c>
      <c r="I51" s="19">
        <f>H51</f>
        <v>0</v>
      </c>
      <c r="J51" s="18" t="s">
        <v>15</v>
      </c>
      <c r="K51" s="18" t="s">
        <v>15</v>
      </c>
      <c r="L51" s="18" t="s">
        <v>1801</v>
      </c>
      <c r="M51" s="48" t="s">
        <v>307</v>
      </c>
      <c r="N51" s="18"/>
      <c r="O51" s="18"/>
      <c r="P51" s="18"/>
      <c r="Q51" s="18">
        <v>1</v>
      </c>
      <c r="R51" s="17">
        <f t="shared" si="5"/>
        <v>0</v>
      </c>
    </row>
    <row r="52" spans="1:18" customFormat="1" x14ac:dyDescent="0.25">
      <c r="A52" s="18"/>
      <c r="B52" s="18" t="s">
        <v>34</v>
      </c>
      <c r="C52" s="18" t="s">
        <v>1922</v>
      </c>
      <c r="D52" s="18" t="s">
        <v>1923</v>
      </c>
      <c r="E52" s="18" t="s">
        <v>1924</v>
      </c>
      <c r="F52" s="18" t="s">
        <v>20</v>
      </c>
      <c r="G52" s="19">
        <v>895</v>
      </c>
      <c r="H52" s="19">
        <v>25</v>
      </c>
      <c r="I52" s="19">
        <f>G52-H52</f>
        <v>870</v>
      </c>
      <c r="J52" s="18" t="s">
        <v>15</v>
      </c>
      <c r="K52" s="18" t="s">
        <v>15</v>
      </c>
      <c r="L52" s="18" t="s">
        <v>1801</v>
      </c>
      <c r="M52" s="18"/>
      <c r="N52" s="18"/>
      <c r="O52" s="18"/>
      <c r="P52" s="18"/>
      <c r="Q52" s="18">
        <v>1</v>
      </c>
    </row>
    <row r="53" spans="1:18" customFormat="1" x14ac:dyDescent="0.25">
      <c r="A53" s="18"/>
      <c r="B53" s="18" t="s">
        <v>34</v>
      </c>
      <c r="C53" s="18" t="s">
        <v>1925</v>
      </c>
      <c r="D53" s="18" t="s">
        <v>1926</v>
      </c>
      <c r="E53" s="18" t="s">
        <v>1927</v>
      </c>
      <c r="F53" s="18" t="s">
        <v>20</v>
      </c>
      <c r="G53" s="19">
        <v>0</v>
      </c>
      <c r="H53" s="19">
        <v>25</v>
      </c>
      <c r="I53" s="19">
        <f>-H53</f>
        <v>-25</v>
      </c>
      <c r="J53" s="18" t="s">
        <v>15</v>
      </c>
      <c r="K53" s="18" t="s">
        <v>15</v>
      </c>
      <c r="L53" s="18" t="s">
        <v>1801</v>
      </c>
      <c r="M53" s="18"/>
      <c r="N53" s="18"/>
      <c r="O53" s="18"/>
      <c r="P53" s="18"/>
      <c r="Q53" s="18">
        <v>1</v>
      </c>
      <c r="R53" s="17">
        <f>H53</f>
        <v>25</v>
      </c>
    </row>
    <row r="54" spans="1:18" customFormat="1" x14ac:dyDescent="0.25">
      <c r="A54" s="18"/>
      <c r="B54" s="18" t="s">
        <v>34</v>
      </c>
      <c r="C54" s="18" t="s">
        <v>1928</v>
      </c>
      <c r="D54" s="18" t="s">
        <v>1929</v>
      </c>
      <c r="E54" s="18" t="s">
        <v>1930</v>
      </c>
      <c r="F54" s="19">
        <v>2</v>
      </c>
      <c r="G54" s="19">
        <v>690</v>
      </c>
      <c r="H54" s="19">
        <v>30</v>
      </c>
      <c r="I54" s="19">
        <f t="shared" ref="I54:I62" si="6">G54-H54</f>
        <v>660</v>
      </c>
      <c r="J54" s="18" t="s">
        <v>15</v>
      </c>
      <c r="K54" s="18" t="s">
        <v>15</v>
      </c>
      <c r="L54" s="18" t="s">
        <v>1801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54" t="s">
        <v>1931</v>
      </c>
      <c r="D55" s="18" t="s">
        <v>1932</v>
      </c>
      <c r="E55" s="18" t="s">
        <v>1933</v>
      </c>
      <c r="F55" s="19">
        <v>2</v>
      </c>
      <c r="G55" s="19">
        <v>1560</v>
      </c>
      <c r="H55" s="19">
        <v>30</v>
      </c>
      <c r="I55" s="19">
        <f t="shared" si="6"/>
        <v>1530</v>
      </c>
      <c r="J55" s="18" t="s">
        <v>15</v>
      </c>
      <c r="K55" s="18" t="s">
        <v>15</v>
      </c>
      <c r="L55" s="18" t="s">
        <v>1801</v>
      </c>
      <c r="M55" s="18"/>
      <c r="N55" s="18"/>
      <c r="O55" s="18"/>
      <c r="P55" s="18"/>
      <c r="Q55" s="18">
        <v>1</v>
      </c>
    </row>
    <row r="56" spans="1:18" customFormat="1" x14ac:dyDescent="0.25">
      <c r="A56" s="18"/>
      <c r="B56" s="18" t="s">
        <v>34</v>
      </c>
      <c r="C56" s="18" t="s">
        <v>1934</v>
      </c>
      <c r="D56" s="18" t="s">
        <v>1935</v>
      </c>
      <c r="E56" s="18" t="s">
        <v>1936</v>
      </c>
      <c r="F56" s="18" t="s">
        <v>18</v>
      </c>
      <c r="G56" s="19">
        <v>685</v>
      </c>
      <c r="H56" s="19">
        <v>25</v>
      </c>
      <c r="I56" s="19">
        <f t="shared" si="6"/>
        <v>660</v>
      </c>
      <c r="J56" s="18" t="s">
        <v>15</v>
      </c>
      <c r="K56" s="18" t="s">
        <v>15</v>
      </c>
      <c r="L56" s="18" t="s">
        <v>1801</v>
      </c>
      <c r="M56" s="18"/>
      <c r="N56" s="18"/>
      <c r="O56" s="18"/>
      <c r="P56" s="18"/>
      <c r="Q56" s="18">
        <v>1</v>
      </c>
    </row>
    <row r="57" spans="1:18" customFormat="1" x14ac:dyDescent="0.25">
      <c r="A57" s="18"/>
      <c r="B57" s="18" t="s">
        <v>34</v>
      </c>
      <c r="C57" s="18" t="s">
        <v>1937</v>
      </c>
      <c r="D57" s="18" t="s">
        <v>1938</v>
      </c>
      <c r="E57" s="18" t="s">
        <v>1939</v>
      </c>
      <c r="F57" s="19">
        <v>2</v>
      </c>
      <c r="G57" s="19">
        <v>1090</v>
      </c>
      <c r="H57" s="19">
        <v>30</v>
      </c>
      <c r="I57" s="19">
        <f t="shared" si="6"/>
        <v>1060</v>
      </c>
      <c r="J57" s="18" t="s">
        <v>15</v>
      </c>
      <c r="K57" s="18" t="s">
        <v>15</v>
      </c>
      <c r="L57" s="18" t="s">
        <v>1801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1940</v>
      </c>
      <c r="D58" s="18" t="s">
        <v>1941</v>
      </c>
      <c r="E58" s="18" t="s">
        <v>1942</v>
      </c>
      <c r="F58" s="18" t="s">
        <v>20</v>
      </c>
      <c r="G58" s="19">
        <v>725</v>
      </c>
      <c r="H58" s="19">
        <v>25</v>
      </c>
      <c r="I58" s="19">
        <f t="shared" si="6"/>
        <v>700</v>
      </c>
      <c r="J58" s="18" t="s">
        <v>15</v>
      </c>
      <c r="K58" s="18" t="s">
        <v>15</v>
      </c>
      <c r="L58" s="18" t="s">
        <v>1801</v>
      </c>
      <c r="M58" s="18"/>
      <c r="N58" s="18"/>
      <c r="O58" s="18"/>
      <c r="P58" s="18"/>
      <c r="Q58" s="18">
        <v>1</v>
      </c>
    </row>
    <row r="59" spans="1:18" customFormat="1" x14ac:dyDescent="0.25">
      <c r="A59" s="18"/>
      <c r="B59" s="18" t="s">
        <v>34</v>
      </c>
      <c r="C59" s="18" t="s">
        <v>1519</v>
      </c>
      <c r="D59" s="18" t="s">
        <v>1943</v>
      </c>
      <c r="E59" s="18" t="s">
        <v>1944</v>
      </c>
      <c r="F59" s="19">
        <v>2</v>
      </c>
      <c r="G59" s="19">
        <v>2190</v>
      </c>
      <c r="H59" s="19">
        <v>35</v>
      </c>
      <c r="I59" s="19">
        <f t="shared" si="6"/>
        <v>2155</v>
      </c>
      <c r="J59" s="18" t="s">
        <v>15</v>
      </c>
      <c r="K59" s="18" t="s">
        <v>15</v>
      </c>
      <c r="L59" s="18" t="s">
        <v>1801</v>
      </c>
      <c r="M59" s="48" t="s">
        <v>377</v>
      </c>
      <c r="N59" s="18"/>
      <c r="O59" s="18"/>
      <c r="P59" s="18"/>
      <c r="Q59" s="18">
        <v>1</v>
      </c>
      <c r="R59" s="17">
        <f>H59</f>
        <v>35</v>
      </c>
    </row>
    <row r="60" spans="1:18" customFormat="1" x14ac:dyDescent="0.25">
      <c r="A60" s="18"/>
      <c r="B60" s="18" t="s">
        <v>34</v>
      </c>
      <c r="C60" s="18" t="s">
        <v>1945</v>
      </c>
      <c r="D60" s="18" t="s">
        <v>1946</v>
      </c>
      <c r="E60" s="18" t="s">
        <v>1947</v>
      </c>
      <c r="F60" s="18" t="s">
        <v>19</v>
      </c>
      <c r="G60" s="19">
        <v>2770</v>
      </c>
      <c r="H60" s="19">
        <v>25</v>
      </c>
      <c r="I60" s="19">
        <f t="shared" si="6"/>
        <v>2745</v>
      </c>
      <c r="J60" s="18" t="s">
        <v>15</v>
      </c>
      <c r="K60" s="18" t="s">
        <v>15</v>
      </c>
      <c r="L60" s="18" t="s">
        <v>1801</v>
      </c>
      <c r="M60" s="48" t="s">
        <v>377</v>
      </c>
      <c r="N60" s="18"/>
      <c r="O60" s="18"/>
      <c r="P60" s="18"/>
      <c r="Q60" s="18">
        <v>1</v>
      </c>
      <c r="R60" s="17">
        <f>H60</f>
        <v>25</v>
      </c>
    </row>
    <row r="61" spans="1:18" customFormat="1" x14ac:dyDescent="0.25">
      <c r="A61" s="18"/>
      <c r="B61" s="18" t="s">
        <v>34</v>
      </c>
      <c r="C61" s="18" t="s">
        <v>1948</v>
      </c>
      <c r="D61" s="18" t="s">
        <v>1949</v>
      </c>
      <c r="E61" s="18" t="s">
        <v>1950</v>
      </c>
      <c r="F61" s="18" t="s">
        <v>144</v>
      </c>
      <c r="G61" s="19">
        <v>820</v>
      </c>
      <c r="H61" s="19">
        <v>30</v>
      </c>
      <c r="I61" s="19">
        <f t="shared" si="6"/>
        <v>790</v>
      </c>
      <c r="J61" s="18" t="s">
        <v>15</v>
      </c>
      <c r="K61" s="18" t="s">
        <v>15</v>
      </c>
      <c r="L61" s="18" t="s">
        <v>1801</v>
      </c>
      <c r="M61" s="18"/>
      <c r="N61" s="18"/>
      <c r="O61" s="18"/>
      <c r="P61" s="18"/>
      <c r="Q61" s="18">
        <v>1</v>
      </c>
    </row>
    <row r="62" spans="1:18" customFormat="1" x14ac:dyDescent="0.25">
      <c r="A62" s="18"/>
      <c r="B62" s="18" t="s">
        <v>34</v>
      </c>
      <c r="C62" s="18" t="s">
        <v>1951</v>
      </c>
      <c r="D62" s="18" t="s">
        <v>1952</v>
      </c>
      <c r="E62" s="18" t="s">
        <v>1953</v>
      </c>
      <c r="F62" s="19">
        <v>2</v>
      </c>
      <c r="G62" s="19">
        <v>720</v>
      </c>
      <c r="H62" s="19">
        <v>30</v>
      </c>
      <c r="I62" s="19">
        <f t="shared" si="6"/>
        <v>690</v>
      </c>
      <c r="J62" s="18" t="s">
        <v>15</v>
      </c>
      <c r="K62" s="18" t="s">
        <v>15</v>
      </c>
      <c r="L62" s="18" t="s">
        <v>1801</v>
      </c>
      <c r="M62" s="18"/>
      <c r="N62" s="18"/>
      <c r="O62" s="18"/>
      <c r="P62" s="18"/>
      <c r="Q62" s="18">
        <v>1</v>
      </c>
    </row>
    <row r="63" spans="1:18" customFormat="1" x14ac:dyDescent="0.25">
      <c r="A63" s="18"/>
      <c r="B63" s="18" t="s">
        <v>34</v>
      </c>
      <c r="C63" s="18" t="s">
        <v>836</v>
      </c>
      <c r="D63" s="18" t="s">
        <v>1954</v>
      </c>
      <c r="E63" s="18" t="s">
        <v>838</v>
      </c>
      <c r="F63" s="19">
        <v>2</v>
      </c>
      <c r="G63" s="19">
        <v>0</v>
      </c>
      <c r="H63" s="19">
        <v>30</v>
      </c>
      <c r="I63" s="19">
        <f>-H63</f>
        <v>-30</v>
      </c>
      <c r="J63" s="18" t="s">
        <v>15</v>
      </c>
      <c r="K63" s="18" t="s">
        <v>15</v>
      </c>
      <c r="L63" s="18" t="s">
        <v>1801</v>
      </c>
      <c r="M63" s="18"/>
      <c r="N63" s="18"/>
      <c r="O63" s="18"/>
      <c r="P63" s="18"/>
      <c r="Q63" s="18">
        <v>1</v>
      </c>
      <c r="R63" s="17">
        <f t="shared" ref="R63:R64" si="7">H63</f>
        <v>30</v>
      </c>
    </row>
    <row r="64" spans="1:18" customFormat="1" x14ac:dyDescent="0.25">
      <c r="A64" s="18"/>
      <c r="B64" s="18" t="s">
        <v>34</v>
      </c>
      <c r="C64" s="18" t="s">
        <v>1759</v>
      </c>
      <c r="D64" s="18" t="s">
        <v>1955</v>
      </c>
      <c r="E64" s="18" t="s">
        <v>1761</v>
      </c>
      <c r="F64" s="19">
        <v>12</v>
      </c>
      <c r="G64" s="19">
        <v>0</v>
      </c>
      <c r="H64" s="19">
        <v>30</v>
      </c>
      <c r="I64" s="19">
        <f>-H64</f>
        <v>-30</v>
      </c>
      <c r="J64" s="18" t="s">
        <v>15</v>
      </c>
      <c r="K64" s="18" t="s">
        <v>15</v>
      </c>
      <c r="L64" s="18" t="s">
        <v>1801</v>
      </c>
      <c r="M64" s="18"/>
      <c r="N64" s="18"/>
      <c r="O64" s="18"/>
      <c r="P64" s="18"/>
      <c r="Q64" s="18">
        <v>1</v>
      </c>
      <c r="R64" s="17">
        <f t="shared" si="7"/>
        <v>30</v>
      </c>
    </row>
    <row r="65" spans="1:18" customFormat="1" x14ac:dyDescent="0.25">
      <c r="A65" s="18"/>
      <c r="B65" s="18" t="s">
        <v>34</v>
      </c>
      <c r="C65" s="18" t="s">
        <v>1956</v>
      </c>
      <c r="D65" s="18" t="s">
        <v>1957</v>
      </c>
      <c r="E65" s="18" t="s">
        <v>1958</v>
      </c>
      <c r="F65" s="18" t="s">
        <v>20</v>
      </c>
      <c r="G65" s="19">
        <v>1305</v>
      </c>
      <c r="H65" s="19">
        <v>25</v>
      </c>
      <c r="I65" s="19">
        <f>G65-H65</f>
        <v>1280</v>
      </c>
      <c r="J65" s="18" t="s">
        <v>15</v>
      </c>
      <c r="K65" s="18" t="s">
        <v>15</v>
      </c>
      <c r="L65" s="18" t="s">
        <v>1801</v>
      </c>
      <c r="M65" s="18"/>
      <c r="N65" s="18"/>
      <c r="O65" s="18"/>
      <c r="P65" s="18"/>
      <c r="Q65" s="18">
        <v>1</v>
      </c>
    </row>
    <row r="66" spans="1:18" customFormat="1" x14ac:dyDescent="0.25">
      <c r="A66" s="18"/>
      <c r="B66" s="18" t="s">
        <v>34</v>
      </c>
      <c r="C66" s="18" t="s">
        <v>1959</v>
      </c>
      <c r="D66" s="18" t="s">
        <v>1960</v>
      </c>
      <c r="E66" s="18" t="s">
        <v>1961</v>
      </c>
      <c r="F66" s="19">
        <v>2</v>
      </c>
      <c r="G66" s="19">
        <v>960</v>
      </c>
      <c r="H66" s="19">
        <v>30</v>
      </c>
      <c r="I66" s="19">
        <f>G66-H66</f>
        <v>930</v>
      </c>
      <c r="J66" s="18" t="s">
        <v>15</v>
      </c>
      <c r="K66" s="18" t="s">
        <v>15</v>
      </c>
      <c r="L66" s="18" t="s">
        <v>1801</v>
      </c>
      <c r="M66" s="18"/>
      <c r="N66" s="18"/>
      <c r="O66" s="18"/>
      <c r="P66" s="18"/>
      <c r="Q66" s="18">
        <v>1</v>
      </c>
    </row>
    <row r="67" spans="1:18" customFormat="1" x14ac:dyDescent="0.25">
      <c r="A67" s="18"/>
      <c r="B67" s="18" t="s">
        <v>34</v>
      </c>
      <c r="C67" s="18" t="s">
        <v>1962</v>
      </c>
      <c r="D67" s="18" t="s">
        <v>1963</v>
      </c>
      <c r="E67" s="18" t="s">
        <v>1964</v>
      </c>
      <c r="F67" s="18" t="s">
        <v>19</v>
      </c>
      <c r="G67" s="19">
        <v>550</v>
      </c>
      <c r="H67" s="19">
        <v>20</v>
      </c>
      <c r="I67" s="19">
        <f>G67-H67</f>
        <v>530</v>
      </c>
      <c r="J67" s="18" t="s">
        <v>15</v>
      </c>
      <c r="K67" s="18" t="s">
        <v>15</v>
      </c>
      <c r="L67" s="18" t="s">
        <v>1801</v>
      </c>
      <c r="M67" s="18"/>
      <c r="N67" s="18"/>
      <c r="O67" s="18"/>
      <c r="P67" s="18"/>
      <c r="Q67" s="18">
        <v>1</v>
      </c>
    </row>
    <row r="68" spans="1:18" customFormat="1" x14ac:dyDescent="0.25">
      <c r="A68" s="18"/>
      <c r="B68" s="18" t="s">
        <v>34</v>
      </c>
      <c r="C68" s="18" t="s">
        <v>1965</v>
      </c>
      <c r="D68" s="18" t="s">
        <v>1966</v>
      </c>
      <c r="E68" s="18" t="s">
        <v>1967</v>
      </c>
      <c r="F68" s="18" t="s">
        <v>19</v>
      </c>
      <c r="G68" s="19">
        <v>0</v>
      </c>
      <c r="H68" s="19">
        <v>20</v>
      </c>
      <c r="I68" s="19">
        <f>-H68</f>
        <v>-20</v>
      </c>
      <c r="J68" s="18" t="s">
        <v>15</v>
      </c>
      <c r="K68" s="18" t="s">
        <v>15</v>
      </c>
      <c r="L68" s="18" t="s">
        <v>1801</v>
      </c>
      <c r="M68" s="18"/>
      <c r="N68" s="18"/>
      <c r="O68" s="18"/>
      <c r="P68" s="18"/>
      <c r="Q68" s="18">
        <v>1</v>
      </c>
      <c r="R68" s="17">
        <f>H68</f>
        <v>20</v>
      </c>
    </row>
    <row r="69" spans="1:18" customFormat="1" x14ac:dyDescent="0.25">
      <c r="A69" s="18"/>
      <c r="B69" s="18" t="s">
        <v>34</v>
      </c>
      <c r="C69" s="18" t="s">
        <v>1968</v>
      </c>
      <c r="D69" s="18" t="s">
        <v>1969</v>
      </c>
      <c r="E69" s="18" t="s">
        <v>1970</v>
      </c>
      <c r="F69" s="18" t="s">
        <v>19</v>
      </c>
      <c r="G69" s="19">
        <v>890</v>
      </c>
      <c r="H69" s="19">
        <v>20</v>
      </c>
      <c r="I69" s="19">
        <f>G69-H69</f>
        <v>870</v>
      </c>
      <c r="J69" s="18" t="s">
        <v>15</v>
      </c>
      <c r="K69" s="18" t="s">
        <v>15</v>
      </c>
      <c r="L69" s="18" t="s">
        <v>1801</v>
      </c>
      <c r="M69" s="18"/>
      <c r="N69" s="18"/>
      <c r="O69" s="18"/>
      <c r="P69" s="18"/>
      <c r="Q69" s="18">
        <v>1</v>
      </c>
    </row>
    <row r="70" spans="1:18" customFormat="1" x14ac:dyDescent="0.25">
      <c r="A70" s="18" t="s">
        <v>96</v>
      </c>
      <c r="B70" s="18" t="s">
        <v>34</v>
      </c>
      <c r="C70" s="18" t="s">
        <v>1971</v>
      </c>
      <c r="D70" s="18"/>
      <c r="E70" s="18" t="s">
        <v>1972</v>
      </c>
      <c r="F70" s="18" t="s">
        <v>19</v>
      </c>
      <c r="G70" s="19">
        <v>275</v>
      </c>
      <c r="H70" s="19">
        <v>25</v>
      </c>
      <c r="I70" s="19">
        <f>G70-H70</f>
        <v>250</v>
      </c>
      <c r="J70" s="18" t="s">
        <v>15</v>
      </c>
      <c r="K70" s="18" t="s">
        <v>15</v>
      </c>
      <c r="L70" s="18" t="s">
        <v>1801</v>
      </c>
      <c r="M70" s="18"/>
      <c r="N70" s="18"/>
      <c r="O70" s="18"/>
      <c r="P70" s="18"/>
      <c r="Q70" s="18">
        <v>1</v>
      </c>
    </row>
    <row r="71" spans="1:18" customFormat="1" x14ac:dyDescent="0.25">
      <c r="A71" s="18" t="s">
        <v>96</v>
      </c>
      <c r="B71" s="18" t="s">
        <v>34</v>
      </c>
      <c r="C71" s="18" t="s">
        <v>1973</v>
      </c>
      <c r="D71" s="18"/>
      <c r="E71" s="18" t="s">
        <v>259</v>
      </c>
      <c r="F71" s="19">
        <v>12</v>
      </c>
      <c r="G71" s="19">
        <v>0</v>
      </c>
      <c r="H71" s="19">
        <v>35</v>
      </c>
      <c r="I71" s="19">
        <f>-H71</f>
        <v>-35</v>
      </c>
      <c r="J71" s="18" t="s">
        <v>15</v>
      </c>
      <c r="K71" s="18" t="s">
        <v>15</v>
      </c>
      <c r="L71" s="18" t="s">
        <v>1801</v>
      </c>
      <c r="M71" s="18"/>
      <c r="N71" s="18"/>
      <c r="O71" s="18"/>
      <c r="P71" s="18"/>
      <c r="Q71" s="18">
        <v>1</v>
      </c>
      <c r="R71" s="17">
        <f t="shared" ref="R71:R72" si="8">H71</f>
        <v>35</v>
      </c>
    </row>
    <row r="72" spans="1:18" customFormat="1" x14ac:dyDescent="0.25">
      <c r="A72" s="18" t="s">
        <v>96</v>
      </c>
      <c r="B72" s="18" t="s">
        <v>34</v>
      </c>
      <c r="C72" s="18" t="s">
        <v>1974</v>
      </c>
      <c r="D72" s="18"/>
      <c r="E72" s="18" t="s">
        <v>259</v>
      </c>
      <c r="F72" s="19">
        <v>12</v>
      </c>
      <c r="G72" s="19">
        <v>0</v>
      </c>
      <c r="H72" s="19">
        <v>35</v>
      </c>
      <c r="I72" s="19">
        <f>-H72</f>
        <v>-35</v>
      </c>
      <c r="J72" s="18" t="s">
        <v>15</v>
      </c>
      <c r="K72" s="18" t="s">
        <v>15</v>
      </c>
      <c r="L72" s="18" t="s">
        <v>1801</v>
      </c>
      <c r="M72" s="18"/>
      <c r="N72" s="18"/>
      <c r="O72" s="18"/>
      <c r="P72" s="18"/>
      <c r="Q72" s="18">
        <v>1</v>
      </c>
      <c r="R72" s="17">
        <f t="shared" si="8"/>
        <v>35</v>
      </c>
    </row>
    <row r="73" spans="1:18" customFormat="1" x14ac:dyDescent="0.25">
      <c r="A73" s="18" t="s">
        <v>96</v>
      </c>
      <c r="B73" s="18" t="s">
        <v>34</v>
      </c>
      <c r="C73" s="18" t="s">
        <v>314</v>
      </c>
      <c r="D73" s="18"/>
      <c r="E73" s="18" t="s">
        <v>315</v>
      </c>
      <c r="F73" s="18" t="s">
        <v>20</v>
      </c>
      <c r="G73" s="19">
        <v>30</v>
      </c>
      <c r="H73" s="19">
        <v>30</v>
      </c>
      <c r="I73" s="19">
        <f>G73-H73</f>
        <v>0</v>
      </c>
      <c r="J73" s="18" t="s">
        <v>15</v>
      </c>
      <c r="K73" s="18" t="s">
        <v>15</v>
      </c>
      <c r="L73" s="18" t="s">
        <v>1801</v>
      </c>
      <c r="M73" s="18"/>
      <c r="N73" s="18"/>
      <c r="O73" s="18"/>
      <c r="P73" s="18"/>
      <c r="Q73" s="18">
        <v>1</v>
      </c>
    </row>
    <row r="74" spans="1:18" customFormat="1" x14ac:dyDescent="0.25">
      <c r="A74" s="18" t="s">
        <v>96</v>
      </c>
      <c r="B74" s="18" t="s">
        <v>34</v>
      </c>
      <c r="C74" s="18" t="s">
        <v>1975</v>
      </c>
      <c r="D74" s="18"/>
      <c r="E74" s="18" t="s">
        <v>1976</v>
      </c>
      <c r="F74" s="19">
        <v>12</v>
      </c>
      <c r="G74" s="19">
        <v>35</v>
      </c>
      <c r="H74" s="19">
        <v>35</v>
      </c>
      <c r="I74" s="19">
        <f>G74-H74</f>
        <v>0</v>
      </c>
      <c r="J74" s="18" t="s">
        <v>15</v>
      </c>
      <c r="K74" s="18" t="s">
        <v>15</v>
      </c>
      <c r="L74" s="18" t="s">
        <v>1801</v>
      </c>
      <c r="M74" s="18"/>
      <c r="N74" s="18"/>
      <c r="O74" s="18"/>
      <c r="P74" s="18"/>
      <c r="Q74" s="18">
        <v>1</v>
      </c>
    </row>
    <row r="75" spans="1:18" customFormat="1" x14ac:dyDescent="0.25">
      <c r="A75" s="18"/>
      <c r="B75" s="18" t="s">
        <v>34</v>
      </c>
      <c r="C75" s="18" t="s">
        <v>1977</v>
      </c>
      <c r="D75" s="18" t="s">
        <v>1978</v>
      </c>
      <c r="E75" s="18" t="s">
        <v>1435</v>
      </c>
      <c r="F75" s="19">
        <v>5</v>
      </c>
      <c r="G75" s="19">
        <v>785</v>
      </c>
      <c r="H75" s="19">
        <v>25</v>
      </c>
      <c r="I75" s="19">
        <f>G75-H75</f>
        <v>760</v>
      </c>
      <c r="J75" s="18" t="s">
        <v>160</v>
      </c>
      <c r="K75" s="18" t="s">
        <v>15</v>
      </c>
      <c r="L75" s="18" t="s">
        <v>1801</v>
      </c>
      <c r="M75" s="18"/>
      <c r="N75" s="18"/>
      <c r="O75" s="18"/>
      <c r="P75" s="18"/>
      <c r="Q75" s="18">
        <v>1</v>
      </c>
    </row>
    <row r="76" spans="1:18" customFormat="1" x14ac:dyDescent="0.25">
      <c r="A76" s="18"/>
      <c r="B76" s="18" t="s">
        <v>34</v>
      </c>
      <c r="C76" s="18" t="s">
        <v>1979</v>
      </c>
      <c r="D76" s="18" t="s">
        <v>1980</v>
      </c>
      <c r="E76" s="18" t="s">
        <v>1981</v>
      </c>
      <c r="F76" s="18" t="s">
        <v>18</v>
      </c>
      <c r="G76" s="19">
        <v>0</v>
      </c>
      <c r="H76" s="19">
        <v>25</v>
      </c>
      <c r="I76" s="19">
        <f>-H76</f>
        <v>-25</v>
      </c>
      <c r="J76" s="18" t="s">
        <v>160</v>
      </c>
      <c r="K76" s="18" t="s">
        <v>15</v>
      </c>
      <c r="L76" s="18" t="s">
        <v>1801</v>
      </c>
      <c r="M76" s="18"/>
      <c r="N76" s="18"/>
      <c r="O76" s="18"/>
      <c r="P76" s="18"/>
      <c r="Q76" s="18">
        <v>1</v>
      </c>
      <c r="R76" s="17">
        <f t="shared" ref="R76:R79" si="9">H76</f>
        <v>25</v>
      </c>
    </row>
    <row r="77" spans="1:18" customFormat="1" x14ac:dyDescent="0.25">
      <c r="A77" s="18"/>
      <c r="B77" s="18" t="s">
        <v>34</v>
      </c>
      <c r="C77" s="18" t="s">
        <v>1982</v>
      </c>
      <c r="D77" s="18" t="s">
        <v>1983</v>
      </c>
      <c r="E77" s="18" t="s">
        <v>1984</v>
      </c>
      <c r="F77" s="19">
        <v>10</v>
      </c>
      <c r="G77" s="19">
        <v>0</v>
      </c>
      <c r="H77" s="19">
        <v>25</v>
      </c>
      <c r="I77" s="19">
        <f>-H77</f>
        <v>-25</v>
      </c>
      <c r="J77" s="18" t="s">
        <v>160</v>
      </c>
      <c r="K77" s="18" t="s">
        <v>15</v>
      </c>
      <c r="L77" s="18" t="s">
        <v>1801</v>
      </c>
      <c r="M77" s="18"/>
      <c r="N77" s="18"/>
      <c r="O77" s="18"/>
      <c r="P77" s="18"/>
      <c r="Q77" s="18">
        <v>1</v>
      </c>
      <c r="R77" s="17">
        <f t="shared" si="9"/>
        <v>25</v>
      </c>
    </row>
    <row r="78" spans="1:18" customFormat="1" x14ac:dyDescent="0.25">
      <c r="A78" s="18"/>
      <c r="B78" s="18" t="s">
        <v>34</v>
      </c>
      <c r="C78" s="18" t="s">
        <v>1985</v>
      </c>
      <c r="D78" s="18" t="s">
        <v>1986</v>
      </c>
      <c r="E78" s="18" t="s">
        <v>1987</v>
      </c>
      <c r="F78" s="19">
        <v>10</v>
      </c>
      <c r="G78" s="19">
        <v>0</v>
      </c>
      <c r="H78" s="19">
        <v>25</v>
      </c>
      <c r="I78" s="19">
        <f t="shared" ref="I78:I84" si="10">G78-H78</f>
        <v>-25</v>
      </c>
      <c r="J78" s="18" t="s">
        <v>160</v>
      </c>
      <c r="K78" s="18" t="s">
        <v>15</v>
      </c>
      <c r="L78" s="18" t="s">
        <v>1801</v>
      </c>
      <c r="M78" s="48" t="s">
        <v>1988</v>
      </c>
      <c r="N78" s="18"/>
      <c r="O78" s="18"/>
      <c r="P78" s="18"/>
      <c r="Q78" s="18">
        <v>1</v>
      </c>
      <c r="R78" s="17">
        <f t="shared" si="9"/>
        <v>25</v>
      </c>
    </row>
    <row r="79" spans="1:18" customFormat="1" x14ac:dyDescent="0.25">
      <c r="A79" s="18"/>
      <c r="B79" s="18" t="s">
        <v>34</v>
      </c>
      <c r="C79" s="18" t="s">
        <v>1985</v>
      </c>
      <c r="D79" s="18" t="s">
        <v>1989</v>
      </c>
      <c r="E79" s="18" t="s">
        <v>1987</v>
      </c>
      <c r="F79" s="19">
        <v>10</v>
      </c>
      <c r="G79" s="19">
        <v>0</v>
      </c>
      <c r="H79" s="19">
        <v>0</v>
      </c>
      <c r="I79" s="19">
        <f t="shared" si="10"/>
        <v>0</v>
      </c>
      <c r="J79" s="18" t="s">
        <v>160</v>
      </c>
      <c r="K79" s="18" t="s">
        <v>15</v>
      </c>
      <c r="L79" s="18" t="s">
        <v>1801</v>
      </c>
      <c r="M79" s="48" t="s">
        <v>1990</v>
      </c>
      <c r="N79" s="18"/>
      <c r="O79" s="18"/>
      <c r="P79" s="18"/>
      <c r="Q79" s="18">
        <v>1</v>
      </c>
      <c r="R79" s="17">
        <f t="shared" si="9"/>
        <v>0</v>
      </c>
    </row>
    <row r="80" spans="1:18" customFormat="1" x14ac:dyDescent="0.25">
      <c r="A80" s="18"/>
      <c r="B80" s="18" t="s">
        <v>34</v>
      </c>
      <c r="C80" s="18" t="s">
        <v>1991</v>
      </c>
      <c r="D80" s="18" t="s">
        <v>1992</v>
      </c>
      <c r="E80" s="18" t="s">
        <v>1993</v>
      </c>
      <c r="F80" s="19">
        <v>4</v>
      </c>
      <c r="G80" s="19">
        <v>895</v>
      </c>
      <c r="H80" s="19">
        <v>25</v>
      </c>
      <c r="I80" s="19">
        <f t="shared" si="10"/>
        <v>870</v>
      </c>
      <c r="J80" s="18" t="s">
        <v>160</v>
      </c>
      <c r="K80" s="18" t="s">
        <v>15</v>
      </c>
      <c r="L80" s="18" t="s">
        <v>1801</v>
      </c>
      <c r="M80" s="18"/>
      <c r="N80" s="18"/>
      <c r="O80" s="18"/>
      <c r="P80" s="18"/>
      <c r="Q80" s="18">
        <v>1</v>
      </c>
    </row>
    <row r="81" spans="1:18" customFormat="1" x14ac:dyDescent="0.25">
      <c r="A81" s="18"/>
      <c r="B81" s="18" t="s">
        <v>34</v>
      </c>
      <c r="C81" s="18" t="s">
        <v>1994</v>
      </c>
      <c r="D81" s="18" t="s">
        <v>1995</v>
      </c>
      <c r="E81" s="18" t="s">
        <v>1996</v>
      </c>
      <c r="F81" s="19">
        <v>1</v>
      </c>
      <c r="G81" s="19">
        <v>695</v>
      </c>
      <c r="H81" s="19">
        <v>25</v>
      </c>
      <c r="I81" s="19">
        <f t="shared" si="10"/>
        <v>670</v>
      </c>
      <c r="J81" s="18" t="s">
        <v>160</v>
      </c>
      <c r="K81" s="18" t="s">
        <v>15</v>
      </c>
      <c r="L81" s="18" t="s">
        <v>1801</v>
      </c>
      <c r="M81" s="18"/>
      <c r="N81" s="18"/>
      <c r="O81" s="18"/>
      <c r="P81" s="18"/>
      <c r="Q81" s="18">
        <v>1</v>
      </c>
    </row>
    <row r="82" spans="1:18" customFormat="1" x14ac:dyDescent="0.25">
      <c r="A82" s="18"/>
      <c r="B82" s="18" t="s">
        <v>34</v>
      </c>
      <c r="C82" s="18" t="s">
        <v>1997</v>
      </c>
      <c r="D82" s="18" t="s">
        <v>1998</v>
      </c>
      <c r="E82" s="18" t="s">
        <v>1999</v>
      </c>
      <c r="F82" s="19">
        <v>1</v>
      </c>
      <c r="G82" s="19">
        <v>595</v>
      </c>
      <c r="H82" s="19">
        <v>25</v>
      </c>
      <c r="I82" s="19">
        <f t="shared" si="10"/>
        <v>570</v>
      </c>
      <c r="J82" s="18" t="s">
        <v>160</v>
      </c>
      <c r="K82" s="18" t="s">
        <v>15</v>
      </c>
      <c r="L82" s="18" t="s">
        <v>1801</v>
      </c>
      <c r="M82" s="18"/>
      <c r="N82" s="18"/>
      <c r="O82" s="18"/>
      <c r="P82" s="18"/>
      <c r="Q82" s="18">
        <v>1</v>
      </c>
    </row>
    <row r="83" spans="1:18" customFormat="1" x14ac:dyDescent="0.25">
      <c r="A83" s="18"/>
      <c r="B83" s="18" t="s">
        <v>34</v>
      </c>
      <c r="C83" s="18" t="s">
        <v>2000</v>
      </c>
      <c r="D83" s="18" t="s">
        <v>2001</v>
      </c>
      <c r="E83" s="18" t="s">
        <v>2002</v>
      </c>
      <c r="F83" s="19">
        <v>10</v>
      </c>
      <c r="G83" s="19">
        <v>1725</v>
      </c>
      <c r="H83" s="19">
        <v>25</v>
      </c>
      <c r="I83" s="19">
        <f t="shared" si="10"/>
        <v>1700</v>
      </c>
      <c r="J83" s="18" t="s">
        <v>160</v>
      </c>
      <c r="K83" s="18" t="s">
        <v>15</v>
      </c>
      <c r="L83" s="18" t="s">
        <v>1801</v>
      </c>
      <c r="M83" s="18"/>
      <c r="N83" s="18"/>
      <c r="O83" s="18"/>
      <c r="P83" s="18"/>
      <c r="Q83" s="18">
        <v>1</v>
      </c>
    </row>
    <row r="84" spans="1:18" customFormat="1" x14ac:dyDescent="0.25">
      <c r="A84" s="18"/>
      <c r="B84" s="18" t="s">
        <v>34</v>
      </c>
      <c r="C84" s="18" t="s">
        <v>308</v>
      </c>
      <c r="D84" s="18" t="s">
        <v>2003</v>
      </c>
      <c r="E84" s="18" t="s">
        <v>310</v>
      </c>
      <c r="F84" s="18" t="s">
        <v>18</v>
      </c>
      <c r="G84" s="19">
        <v>1545</v>
      </c>
      <c r="H84" s="19">
        <v>25</v>
      </c>
      <c r="I84" s="19">
        <f t="shared" si="10"/>
        <v>1520</v>
      </c>
      <c r="J84" s="18" t="s">
        <v>160</v>
      </c>
      <c r="K84" s="18" t="s">
        <v>15</v>
      </c>
      <c r="L84" s="18" t="s">
        <v>1801</v>
      </c>
      <c r="M84" s="18"/>
      <c r="N84" s="18"/>
      <c r="O84" s="18"/>
      <c r="P84" s="18"/>
      <c r="Q84" s="18">
        <v>1</v>
      </c>
    </row>
    <row r="85" spans="1:18" customFormat="1" x14ac:dyDescent="0.25">
      <c r="A85" s="18"/>
      <c r="B85" s="18" t="s">
        <v>34</v>
      </c>
      <c r="C85" s="18" t="s">
        <v>2004</v>
      </c>
      <c r="D85" s="18" t="s">
        <v>2005</v>
      </c>
      <c r="E85" s="18" t="s">
        <v>2006</v>
      </c>
      <c r="F85" s="19">
        <v>1</v>
      </c>
      <c r="G85" s="19">
        <v>0</v>
      </c>
      <c r="H85" s="19">
        <v>25</v>
      </c>
      <c r="I85" s="19">
        <f>-H85</f>
        <v>-25</v>
      </c>
      <c r="J85" s="18" t="s">
        <v>160</v>
      </c>
      <c r="K85" s="18" t="s">
        <v>15</v>
      </c>
      <c r="L85" s="18" t="s">
        <v>1801</v>
      </c>
      <c r="M85" s="18"/>
      <c r="N85" s="18"/>
      <c r="O85" s="18"/>
      <c r="P85" s="18"/>
      <c r="Q85" s="18">
        <v>1</v>
      </c>
      <c r="R85" s="17">
        <f t="shared" ref="R85:R86" si="11">H85</f>
        <v>25</v>
      </c>
    </row>
    <row r="86" spans="1:18" customFormat="1" x14ac:dyDescent="0.25">
      <c r="A86" s="18"/>
      <c r="B86" s="18" t="s">
        <v>34</v>
      </c>
      <c r="C86" s="18" t="s">
        <v>2007</v>
      </c>
      <c r="D86" s="18" t="s">
        <v>2008</v>
      </c>
      <c r="E86" s="18" t="s">
        <v>2009</v>
      </c>
      <c r="F86" s="18" t="s">
        <v>18</v>
      </c>
      <c r="G86" s="19">
        <v>0</v>
      </c>
      <c r="H86" s="19">
        <v>25</v>
      </c>
      <c r="I86" s="19">
        <f>-H86</f>
        <v>-25</v>
      </c>
      <c r="J86" s="18" t="s">
        <v>160</v>
      </c>
      <c r="K86" s="18" t="s">
        <v>15</v>
      </c>
      <c r="L86" s="18" t="s">
        <v>1801</v>
      </c>
      <c r="M86" s="18"/>
      <c r="N86" s="18"/>
      <c r="O86" s="18"/>
      <c r="P86" s="18"/>
      <c r="Q86" s="18">
        <v>1</v>
      </c>
      <c r="R86" s="17">
        <f t="shared" si="11"/>
        <v>25</v>
      </c>
    </row>
    <row r="87" spans="1:18" customFormat="1" x14ac:dyDescent="0.25">
      <c r="A87" s="18"/>
      <c r="B87" s="18" t="s">
        <v>34</v>
      </c>
      <c r="C87" s="18" t="s">
        <v>2010</v>
      </c>
      <c r="D87" s="18" t="s">
        <v>2011</v>
      </c>
      <c r="E87" s="18" t="s">
        <v>2012</v>
      </c>
      <c r="F87" s="19">
        <v>10</v>
      </c>
      <c r="G87" s="19">
        <v>885</v>
      </c>
      <c r="H87" s="19">
        <v>25</v>
      </c>
      <c r="I87" s="19">
        <f>G87-H87</f>
        <v>860</v>
      </c>
      <c r="J87" s="18" t="s">
        <v>160</v>
      </c>
      <c r="K87" s="18" t="s">
        <v>15</v>
      </c>
      <c r="L87" s="18" t="s">
        <v>1801</v>
      </c>
      <c r="M87" s="18"/>
      <c r="N87" s="18"/>
      <c r="O87" s="18"/>
      <c r="P87" s="18"/>
      <c r="Q87" s="18">
        <v>1</v>
      </c>
    </row>
    <row r="88" spans="1:18" customFormat="1" x14ac:dyDescent="0.25">
      <c r="A88" s="18"/>
      <c r="B88" s="18" t="s">
        <v>34</v>
      </c>
      <c r="C88" s="18" t="s">
        <v>2013</v>
      </c>
      <c r="D88" s="18" t="s">
        <v>2014</v>
      </c>
      <c r="E88" s="18" t="s">
        <v>2015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160</v>
      </c>
      <c r="K88" s="18" t="s">
        <v>15</v>
      </c>
      <c r="L88" s="18" t="s">
        <v>1801</v>
      </c>
      <c r="M88" s="18"/>
      <c r="N88" s="18"/>
      <c r="O88" s="18"/>
      <c r="P88" s="18"/>
      <c r="Q88" s="18">
        <v>1</v>
      </c>
      <c r="R88" s="17">
        <f>H88</f>
        <v>25</v>
      </c>
    </row>
    <row r="89" spans="1:18" customFormat="1" x14ac:dyDescent="0.25">
      <c r="A89" s="18"/>
      <c r="B89" s="18" t="s">
        <v>34</v>
      </c>
      <c r="C89" s="18" t="s">
        <v>2016</v>
      </c>
      <c r="D89" s="18" t="s">
        <v>2017</v>
      </c>
      <c r="E89" s="18" t="s">
        <v>2018</v>
      </c>
      <c r="F89" s="19">
        <v>3</v>
      </c>
      <c r="G89" s="19">
        <v>515</v>
      </c>
      <c r="H89" s="19">
        <v>25</v>
      </c>
      <c r="I89" s="19">
        <f>G89-H89</f>
        <v>490</v>
      </c>
      <c r="J89" s="18" t="s">
        <v>160</v>
      </c>
      <c r="K89" s="18" t="s">
        <v>15</v>
      </c>
      <c r="L89" s="18" t="s">
        <v>1801</v>
      </c>
      <c r="M89" s="18"/>
      <c r="N89" s="18"/>
      <c r="O89" s="18"/>
      <c r="P89" s="18"/>
      <c r="Q89" s="18">
        <v>1</v>
      </c>
    </row>
    <row r="90" spans="1:18" customFormat="1" x14ac:dyDescent="0.25">
      <c r="A90" s="18"/>
      <c r="B90" s="18" t="s">
        <v>34</v>
      </c>
      <c r="C90" s="18" t="s">
        <v>870</v>
      </c>
      <c r="D90" s="18" t="s">
        <v>2019</v>
      </c>
      <c r="E90" s="18" t="s">
        <v>872</v>
      </c>
      <c r="F90" s="19">
        <v>4</v>
      </c>
      <c r="G90" s="19">
        <v>0</v>
      </c>
      <c r="H90" s="19">
        <v>25</v>
      </c>
      <c r="I90" s="19">
        <f>-H90</f>
        <v>-25</v>
      </c>
      <c r="J90" s="18" t="s">
        <v>160</v>
      </c>
      <c r="K90" s="18" t="s">
        <v>15</v>
      </c>
      <c r="L90" s="18" t="s">
        <v>1801</v>
      </c>
      <c r="M90" s="18"/>
      <c r="N90" s="18"/>
      <c r="O90" s="18"/>
      <c r="P90" s="18"/>
      <c r="Q90" s="18">
        <v>1</v>
      </c>
      <c r="R90" s="17">
        <f>H90</f>
        <v>25</v>
      </c>
    </row>
    <row r="91" spans="1:18" customFormat="1" x14ac:dyDescent="0.25">
      <c r="A91" s="18" t="s">
        <v>96</v>
      </c>
      <c r="B91" s="18" t="s">
        <v>34</v>
      </c>
      <c r="C91" s="18" t="s">
        <v>579</v>
      </c>
      <c r="D91" s="18"/>
      <c r="E91" s="18" t="s">
        <v>580</v>
      </c>
      <c r="F91" s="19">
        <v>4</v>
      </c>
      <c r="G91" s="19">
        <v>30</v>
      </c>
      <c r="H91" s="19">
        <v>30</v>
      </c>
      <c r="I91" s="19">
        <f>G91-H91</f>
        <v>0</v>
      </c>
      <c r="J91" s="18" t="s">
        <v>160</v>
      </c>
      <c r="K91" s="18" t="s">
        <v>15</v>
      </c>
      <c r="L91" s="18" t="s">
        <v>1801</v>
      </c>
      <c r="M91" s="18"/>
      <c r="N91" s="18"/>
      <c r="O91" s="18"/>
      <c r="P91" s="18"/>
      <c r="Q91" s="18">
        <v>1</v>
      </c>
    </row>
    <row r="92" spans="1:18" customFormat="1" x14ac:dyDescent="0.25">
      <c r="A92" s="18" t="s">
        <v>96</v>
      </c>
      <c r="B92" s="18" t="s">
        <v>34</v>
      </c>
      <c r="C92" s="18" t="s">
        <v>2020</v>
      </c>
      <c r="D92" s="18"/>
      <c r="E92" s="18" t="s">
        <v>1329</v>
      </c>
      <c r="F92" s="19">
        <v>5</v>
      </c>
      <c r="G92" s="19">
        <v>40</v>
      </c>
      <c r="H92" s="19">
        <v>40</v>
      </c>
      <c r="I92" s="19">
        <f>G92-H92</f>
        <v>0</v>
      </c>
      <c r="J92" s="18" t="s">
        <v>160</v>
      </c>
      <c r="K92" s="18" t="s">
        <v>15</v>
      </c>
      <c r="L92" s="18" t="s">
        <v>1801</v>
      </c>
      <c r="M92" s="18"/>
      <c r="N92" s="18"/>
      <c r="O92" s="18"/>
      <c r="P92" s="18"/>
      <c r="Q92" s="18">
        <v>1</v>
      </c>
    </row>
    <row r="93" spans="1:18" customFormat="1" x14ac:dyDescent="0.25">
      <c r="A93" s="18" t="s">
        <v>96</v>
      </c>
      <c r="B93" s="18" t="s">
        <v>34</v>
      </c>
      <c r="C93" s="18" t="s">
        <v>2021</v>
      </c>
      <c r="D93" s="18"/>
      <c r="E93" s="18" t="s">
        <v>98</v>
      </c>
      <c r="F93" s="18" t="s">
        <v>18</v>
      </c>
      <c r="G93" s="19">
        <v>0</v>
      </c>
      <c r="H93" s="19">
        <v>30</v>
      </c>
      <c r="I93" s="19">
        <f>-H93</f>
        <v>-30</v>
      </c>
      <c r="J93" s="18" t="s">
        <v>160</v>
      </c>
      <c r="K93" s="18" t="s">
        <v>15</v>
      </c>
      <c r="L93" s="18" t="s">
        <v>1801</v>
      </c>
      <c r="M93" s="18"/>
      <c r="N93" s="18"/>
      <c r="O93" s="18"/>
      <c r="P93" s="18"/>
      <c r="Q93" s="18">
        <v>1</v>
      </c>
      <c r="R93" s="17">
        <f>H93</f>
        <v>30</v>
      </c>
    </row>
    <row r="94" spans="1:18" customFormat="1" x14ac:dyDescent="0.25">
      <c r="A94" s="18" t="s">
        <v>96</v>
      </c>
      <c r="B94" s="18" t="s">
        <v>34</v>
      </c>
      <c r="C94" s="18" t="s">
        <v>2022</v>
      </c>
      <c r="D94" s="18"/>
      <c r="E94" s="18" t="s">
        <v>2023</v>
      </c>
      <c r="F94" s="19">
        <v>5</v>
      </c>
      <c r="G94" s="19">
        <v>950</v>
      </c>
      <c r="H94" s="19">
        <v>30</v>
      </c>
      <c r="I94" s="19">
        <f>G94-H94</f>
        <v>920</v>
      </c>
      <c r="J94" s="18" t="s">
        <v>160</v>
      </c>
      <c r="K94" s="18" t="s">
        <v>15</v>
      </c>
      <c r="L94" s="18" t="s">
        <v>1801</v>
      </c>
      <c r="M94" s="18"/>
      <c r="N94" s="18"/>
      <c r="O94" s="18"/>
      <c r="P94" s="18"/>
      <c r="Q94" s="18">
        <v>1</v>
      </c>
    </row>
    <row r="95" spans="1:18" s="36" customFormat="1" x14ac:dyDescent="0.25">
      <c r="A95" s="45"/>
      <c r="B95" s="45" t="s">
        <v>34</v>
      </c>
      <c r="C95" s="45" t="s">
        <v>2024</v>
      </c>
      <c r="D95" s="45" t="s">
        <v>2025</v>
      </c>
      <c r="E95" s="45" t="s">
        <v>2026</v>
      </c>
      <c r="F95" s="45" t="s">
        <v>784</v>
      </c>
      <c r="G95" s="46">
        <v>870</v>
      </c>
      <c r="H95" s="46">
        <v>0</v>
      </c>
      <c r="I95" s="46">
        <f>G95-H95</f>
        <v>870</v>
      </c>
      <c r="J95" s="45" t="s">
        <v>662</v>
      </c>
      <c r="K95" s="45" t="s">
        <v>15</v>
      </c>
      <c r="L95" s="45" t="s">
        <v>1801</v>
      </c>
      <c r="M95" s="45" t="s">
        <v>786</v>
      </c>
      <c r="N95" s="45" t="s">
        <v>787</v>
      </c>
      <c r="O95" s="45"/>
      <c r="P95" s="45" t="s">
        <v>788</v>
      </c>
      <c r="Q95" s="45">
        <v>1</v>
      </c>
    </row>
    <row r="96" spans="1:18" s="36" customFormat="1" x14ac:dyDescent="0.25">
      <c r="A96" s="45"/>
      <c r="B96" s="45" t="s">
        <v>34</v>
      </c>
      <c r="C96" s="45" t="s">
        <v>2027</v>
      </c>
      <c r="D96" s="45" t="s">
        <v>2028</v>
      </c>
      <c r="E96" s="45" t="s">
        <v>2033</v>
      </c>
      <c r="F96" s="45" t="s">
        <v>784</v>
      </c>
      <c r="G96" s="46">
        <v>450</v>
      </c>
      <c r="H96" s="46">
        <v>0</v>
      </c>
      <c r="I96" s="46">
        <f>G96-H96</f>
        <v>450</v>
      </c>
      <c r="J96" s="45" t="s">
        <v>662</v>
      </c>
      <c r="K96" s="45" t="s">
        <v>15</v>
      </c>
      <c r="L96" s="45" t="s">
        <v>1801</v>
      </c>
      <c r="M96" s="45" t="s">
        <v>786</v>
      </c>
      <c r="N96" s="45" t="s">
        <v>787</v>
      </c>
      <c r="O96" s="45"/>
      <c r="P96" s="45" t="s">
        <v>788</v>
      </c>
      <c r="Q96" s="45">
        <v>1</v>
      </c>
    </row>
    <row r="97" spans="1:18" s="36" customFormat="1" x14ac:dyDescent="0.25">
      <c r="A97" s="45"/>
      <c r="B97" s="45" t="s">
        <v>34</v>
      </c>
      <c r="C97" s="45" t="s">
        <v>2029</v>
      </c>
      <c r="D97" s="45" t="s">
        <v>2030</v>
      </c>
      <c r="E97" s="45" t="s">
        <v>2031</v>
      </c>
      <c r="F97" s="45" t="s">
        <v>784</v>
      </c>
      <c r="G97" s="46">
        <v>1460</v>
      </c>
      <c r="H97" s="46">
        <v>0</v>
      </c>
      <c r="I97" s="46">
        <f>G97-H97</f>
        <v>1460</v>
      </c>
      <c r="J97" s="45" t="s">
        <v>662</v>
      </c>
      <c r="K97" s="45" t="s">
        <v>15</v>
      </c>
      <c r="L97" s="45" t="s">
        <v>1801</v>
      </c>
      <c r="M97" s="45" t="s">
        <v>786</v>
      </c>
      <c r="N97" s="45" t="s">
        <v>787</v>
      </c>
      <c r="O97" s="45"/>
      <c r="P97" s="45" t="s">
        <v>788</v>
      </c>
      <c r="Q97" s="45">
        <v>1</v>
      </c>
    </row>
    <row r="99" spans="1:18" x14ac:dyDescent="0.25">
      <c r="G99" s="1">
        <f>SUBTOTAL(9,G3:G97)</f>
        <v>58975</v>
      </c>
      <c r="H99" s="1">
        <f t="shared" ref="H99:Q99" si="12">SUBTOTAL(9,H3:H97)</f>
        <v>2540</v>
      </c>
      <c r="I99" s="1">
        <f t="shared" si="12"/>
        <v>56435</v>
      </c>
      <c r="J99" s="1">
        <f t="shared" si="12"/>
        <v>0</v>
      </c>
      <c r="K99" s="1">
        <f t="shared" si="12"/>
        <v>0</v>
      </c>
      <c r="L99" s="1">
        <f t="shared" si="12"/>
        <v>0</v>
      </c>
      <c r="M99" s="1">
        <f t="shared" si="12"/>
        <v>0</v>
      </c>
      <c r="N99" s="1">
        <f t="shared" si="12"/>
        <v>0</v>
      </c>
      <c r="O99" s="1">
        <f t="shared" si="12"/>
        <v>0</v>
      </c>
      <c r="P99" s="1">
        <f t="shared" si="12"/>
        <v>0</v>
      </c>
      <c r="Q99" s="1">
        <f t="shared" si="12"/>
        <v>95</v>
      </c>
      <c r="R99" s="1">
        <f t="shared" ref="R99" si="13">SUBTOTAL(9,R36:R98)</f>
        <v>590</v>
      </c>
    </row>
    <row r="100" spans="1:18" x14ac:dyDescent="0.25">
      <c r="I100" s="1">
        <v>-2780</v>
      </c>
      <c r="J100" s="1" t="s">
        <v>2032</v>
      </c>
    </row>
    <row r="103" spans="1:18" ht="20.25" customHeight="1" x14ac:dyDescent="0.3">
      <c r="H103" s="4" t="s">
        <v>1798</v>
      </c>
      <c r="I103" s="5" t="s">
        <v>21</v>
      </c>
      <c r="J103" s="6" t="s">
        <v>22</v>
      </c>
    </row>
    <row r="104" spans="1:18" ht="15.75" customHeight="1" x14ac:dyDescent="0.25">
      <c r="H104" s="7" t="s">
        <v>23</v>
      </c>
      <c r="I104" s="8">
        <f>SUM(I98:I102)</f>
        <v>53655</v>
      </c>
      <c r="J104" s="8">
        <f>Q99</f>
        <v>95</v>
      </c>
    </row>
    <row r="105" spans="1:18" x14ac:dyDescent="0.25">
      <c r="H105" s="9" t="s">
        <v>24</v>
      </c>
      <c r="I105" s="10">
        <f>R99</f>
        <v>590</v>
      </c>
      <c r="J105" s="11"/>
    </row>
    <row r="106" spans="1:18" x14ac:dyDescent="0.25">
      <c r="H106" s="9" t="s">
        <v>25</v>
      </c>
      <c r="I106" s="10">
        <f>S98</f>
        <v>0</v>
      </c>
      <c r="J106" s="11"/>
    </row>
    <row r="107" spans="1:18" x14ac:dyDescent="0.25">
      <c r="H107" s="9" t="s">
        <v>26</v>
      </c>
      <c r="I107" s="10">
        <f>T98</f>
        <v>0</v>
      </c>
      <c r="J107" s="11"/>
    </row>
    <row r="108" spans="1:18" x14ac:dyDescent="0.25">
      <c r="H108" s="9" t="s">
        <v>27</v>
      </c>
      <c r="I108" s="10">
        <f>U98</f>
        <v>0</v>
      </c>
      <c r="J108" s="11"/>
    </row>
    <row r="109" spans="1:18" ht="15.75" customHeight="1" x14ac:dyDescent="0.25">
      <c r="H109" s="12" t="s">
        <v>28</v>
      </c>
      <c r="I109" s="13"/>
      <c r="J109" s="13"/>
    </row>
    <row r="110" spans="1:18" ht="15.75" customHeight="1" x14ac:dyDescent="0.25">
      <c r="H110" s="14" t="s">
        <v>29</v>
      </c>
      <c r="I110" s="13"/>
      <c r="J110" s="13"/>
    </row>
    <row r="111" spans="1:18" ht="21" customHeight="1" x14ac:dyDescent="0.35">
      <c r="H111" s="15" t="s">
        <v>30</v>
      </c>
      <c r="I111" s="16">
        <f>SUM(I104:I110)</f>
        <v>54245</v>
      </c>
      <c r="J111" s="16">
        <f>SUM(J104:J108)</f>
        <v>95</v>
      </c>
    </row>
    <row r="113" spans="1:12" x14ac:dyDescent="0.25">
      <c r="A113" s="1" t="s">
        <v>173</v>
      </c>
    </row>
    <row r="114" spans="1:12" x14ac:dyDescent="0.25">
      <c r="A114" s="24" t="s">
        <v>34</v>
      </c>
      <c r="B114" s="24" t="s">
        <v>1985</v>
      </c>
      <c r="C114" s="24" t="s">
        <v>1986</v>
      </c>
      <c r="D114" s="24" t="s">
        <v>1987</v>
      </c>
      <c r="E114" s="25">
        <v>10</v>
      </c>
      <c r="F114" s="25">
        <v>1140</v>
      </c>
      <c r="G114" s="25">
        <v>0</v>
      </c>
      <c r="H114" s="25">
        <f>F114-G114</f>
        <v>1140</v>
      </c>
      <c r="I114" s="24" t="s">
        <v>160</v>
      </c>
      <c r="J114" s="24" t="s">
        <v>15</v>
      </c>
      <c r="K114" s="24" t="s">
        <v>1801</v>
      </c>
      <c r="L114" s="48" t="s">
        <v>1988</v>
      </c>
    </row>
    <row r="115" spans="1:12" x14ac:dyDescent="0.25">
      <c r="A115" s="24" t="s">
        <v>34</v>
      </c>
      <c r="B115" s="24" t="s">
        <v>1985</v>
      </c>
      <c r="C115" s="24" t="s">
        <v>1989</v>
      </c>
      <c r="D115" s="24" t="s">
        <v>1987</v>
      </c>
      <c r="E115" s="25">
        <v>10</v>
      </c>
      <c r="F115" s="25">
        <v>1060</v>
      </c>
      <c r="G115" s="25">
        <v>0</v>
      </c>
      <c r="H115" s="25">
        <f>F115-G115</f>
        <v>1060</v>
      </c>
      <c r="I115" s="24" t="s">
        <v>160</v>
      </c>
      <c r="J115" s="24" t="s">
        <v>15</v>
      </c>
      <c r="K115" s="24" t="s">
        <v>1801</v>
      </c>
      <c r="L115" s="48" t="s">
        <v>1990</v>
      </c>
    </row>
  </sheetData>
  <autoFilter ref="A2:P97" xr:uid="{00000000-0009-0000-0000-000006000000}">
    <sortState xmlns:xlrd2="http://schemas.microsoft.com/office/spreadsheetml/2017/richdata2" ref="A3:P97">
      <sortCondition ref="J2:J97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2227C-2178-4E11-899A-2D1935F45263}">
  <dimension ref="A1:R77"/>
  <sheetViews>
    <sheetView tabSelected="1" topLeftCell="A49" zoomScaleNormal="100" workbookViewId="0">
      <selection activeCell="A77" sqref="A77:XFD77"/>
    </sheetView>
  </sheetViews>
  <sheetFormatPr defaultRowHeight="15" x14ac:dyDescent="0.25"/>
  <cols>
    <col min="1" max="2" width="9.140625" style="1"/>
    <col min="3" max="3" width="26.140625" style="1" bestFit="1" customWidth="1"/>
    <col min="4" max="4" width="9.140625" style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8.140625" style="1" bestFit="1" customWidth="1"/>
    <col min="14" max="16384" width="9.140625" style="1"/>
  </cols>
  <sheetData>
    <row r="1" spans="1:18" x14ac:dyDescent="0.25">
      <c r="B1" s="1" t="s">
        <v>591</v>
      </c>
      <c r="C1" s="1" t="s">
        <v>2035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101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8"/>
      <c r="B3" s="18" t="s">
        <v>34</v>
      </c>
      <c r="C3" s="18" t="s">
        <v>2036</v>
      </c>
      <c r="D3" s="18" t="s">
        <v>2037</v>
      </c>
      <c r="E3" s="18" t="s">
        <v>2038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56</v>
      </c>
      <c r="K3" s="18" t="s">
        <v>15</v>
      </c>
      <c r="L3" s="18" t="s">
        <v>2039</v>
      </c>
      <c r="M3" s="18"/>
      <c r="N3" s="18"/>
      <c r="O3" s="18"/>
      <c r="P3" s="18"/>
      <c r="Q3" s="18">
        <v>1</v>
      </c>
      <c r="R3" s="17">
        <f>H3</f>
        <v>30</v>
      </c>
    </row>
    <row r="4" spans="1:18" customFormat="1" x14ac:dyDescent="0.25">
      <c r="A4" s="18"/>
      <c r="B4" s="18" t="s">
        <v>34</v>
      </c>
      <c r="C4" s="18" t="s">
        <v>2040</v>
      </c>
      <c r="D4" s="18" t="s">
        <v>2041</v>
      </c>
      <c r="E4" s="18" t="s">
        <v>2042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56</v>
      </c>
      <c r="K4" s="18" t="s">
        <v>15</v>
      </c>
      <c r="L4" s="18" t="s">
        <v>2039</v>
      </c>
      <c r="M4" s="18"/>
      <c r="N4" s="18"/>
      <c r="O4" s="18"/>
      <c r="P4" s="18"/>
      <c r="Q4" s="18">
        <v>1</v>
      </c>
      <c r="R4" s="17">
        <f>H4</f>
        <v>30</v>
      </c>
    </row>
    <row r="5" spans="1:18" customFormat="1" x14ac:dyDescent="0.25">
      <c r="A5" s="18"/>
      <c r="B5" s="18" t="s">
        <v>34</v>
      </c>
      <c r="C5" s="18" t="s">
        <v>2043</v>
      </c>
      <c r="D5" s="18" t="s">
        <v>2044</v>
      </c>
      <c r="E5" s="18" t="s">
        <v>2045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56</v>
      </c>
      <c r="K5" s="18" t="s">
        <v>15</v>
      </c>
      <c r="L5" s="18" t="s">
        <v>2039</v>
      </c>
      <c r="M5" s="18"/>
      <c r="N5" s="18"/>
      <c r="O5" s="18"/>
      <c r="P5" s="18"/>
      <c r="Q5" s="18">
        <v>1</v>
      </c>
    </row>
    <row r="6" spans="1:18" customFormat="1" x14ac:dyDescent="0.25">
      <c r="A6" s="18"/>
      <c r="B6" s="18" t="s">
        <v>34</v>
      </c>
      <c r="C6" s="18" t="s">
        <v>1451</v>
      </c>
      <c r="D6" s="18" t="s">
        <v>2046</v>
      </c>
      <c r="E6" s="18" t="s">
        <v>1453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56</v>
      </c>
      <c r="K6" s="18" t="s">
        <v>15</v>
      </c>
      <c r="L6" s="18" t="s">
        <v>2039</v>
      </c>
      <c r="M6" s="18"/>
      <c r="N6" s="18"/>
      <c r="O6" s="18"/>
      <c r="P6" s="18"/>
      <c r="Q6" s="18">
        <v>1</v>
      </c>
    </row>
    <row r="7" spans="1:18" customFormat="1" x14ac:dyDescent="0.25">
      <c r="A7" s="18"/>
      <c r="B7" s="18" t="s">
        <v>34</v>
      </c>
      <c r="C7" s="18" t="s">
        <v>2047</v>
      </c>
      <c r="D7" s="18" t="s">
        <v>2048</v>
      </c>
      <c r="E7" s="18" t="s">
        <v>2049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56</v>
      </c>
      <c r="K7" s="18" t="s">
        <v>15</v>
      </c>
      <c r="L7" s="18" t="s">
        <v>2039</v>
      </c>
      <c r="M7" s="18"/>
      <c r="N7" s="18"/>
      <c r="O7" s="18"/>
      <c r="P7" s="18"/>
      <c r="Q7" s="18">
        <v>1</v>
      </c>
    </row>
    <row r="8" spans="1:18" customFormat="1" x14ac:dyDescent="0.25">
      <c r="A8" s="18"/>
      <c r="B8" s="18" t="s">
        <v>34</v>
      </c>
      <c r="C8" s="18" t="s">
        <v>2050</v>
      </c>
      <c r="D8" s="18" t="s">
        <v>2051</v>
      </c>
      <c r="E8" s="18" t="s">
        <v>2052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56</v>
      </c>
      <c r="K8" s="18" t="s">
        <v>15</v>
      </c>
      <c r="L8" s="18" t="s">
        <v>2039</v>
      </c>
      <c r="M8" s="48" t="s">
        <v>377</v>
      </c>
      <c r="N8" s="18"/>
      <c r="O8" s="18"/>
      <c r="P8" s="18"/>
      <c r="Q8" s="18">
        <v>1</v>
      </c>
      <c r="R8" s="17">
        <f>H8</f>
        <v>35</v>
      </c>
    </row>
    <row r="9" spans="1:18" customFormat="1" x14ac:dyDescent="0.25">
      <c r="A9" s="18"/>
      <c r="B9" s="18" t="s">
        <v>34</v>
      </c>
      <c r="C9" s="18" t="s">
        <v>733</v>
      </c>
      <c r="D9" s="18" t="s">
        <v>2053</v>
      </c>
      <c r="E9" s="18" t="s">
        <v>2054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56</v>
      </c>
      <c r="K9" s="18" t="s">
        <v>15</v>
      </c>
      <c r="L9" s="18" t="s">
        <v>2039</v>
      </c>
      <c r="M9" s="18"/>
      <c r="N9" s="18"/>
      <c r="O9" s="18"/>
      <c r="P9" s="18"/>
      <c r="Q9" s="18">
        <v>1</v>
      </c>
    </row>
    <row r="10" spans="1:18" customFormat="1" x14ac:dyDescent="0.25">
      <c r="A10" s="18"/>
      <c r="B10" s="18" t="s">
        <v>34</v>
      </c>
      <c r="C10" s="18" t="s">
        <v>458</v>
      </c>
      <c r="D10" s="18" t="s">
        <v>2055</v>
      </c>
      <c r="E10" s="18" t="s">
        <v>2056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2057</v>
      </c>
      <c r="K10" s="18" t="s">
        <v>15</v>
      </c>
      <c r="L10" s="18" t="s">
        <v>2039</v>
      </c>
      <c r="M10" s="18"/>
      <c r="N10" s="18"/>
      <c r="O10" s="18"/>
      <c r="P10" s="18"/>
      <c r="Q10" s="18">
        <v>1</v>
      </c>
    </row>
    <row r="11" spans="1:18" customFormat="1" x14ac:dyDescent="0.25">
      <c r="A11" s="18"/>
      <c r="B11" s="18" t="s">
        <v>34</v>
      </c>
      <c r="C11" s="18" t="s">
        <v>2058</v>
      </c>
      <c r="D11" s="18" t="s">
        <v>2059</v>
      </c>
      <c r="E11" s="18" t="s">
        <v>2060</v>
      </c>
      <c r="F11" s="18" t="s">
        <v>212</v>
      </c>
      <c r="G11" s="19">
        <v>475</v>
      </c>
      <c r="H11" s="19">
        <v>25</v>
      </c>
      <c r="I11" s="19">
        <f t="shared" si="0"/>
        <v>450</v>
      </c>
      <c r="J11" s="18" t="s">
        <v>2057</v>
      </c>
      <c r="K11" s="18" t="s">
        <v>15</v>
      </c>
      <c r="L11" s="18" t="s">
        <v>2039</v>
      </c>
      <c r="M11" s="18"/>
      <c r="N11" s="18"/>
      <c r="O11" s="18"/>
      <c r="P11" s="18"/>
      <c r="Q11" s="18">
        <v>1</v>
      </c>
    </row>
    <row r="12" spans="1:18" customFormat="1" x14ac:dyDescent="0.25">
      <c r="A12" s="18"/>
      <c r="B12" s="18" t="s">
        <v>34</v>
      </c>
      <c r="C12" s="18" t="s">
        <v>2061</v>
      </c>
      <c r="D12" s="18" t="s">
        <v>2062</v>
      </c>
      <c r="E12" s="18" t="s">
        <v>2063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2057</v>
      </c>
      <c r="K12" s="18" t="s">
        <v>15</v>
      </c>
      <c r="L12" s="18" t="s">
        <v>2039</v>
      </c>
      <c r="M12" s="48" t="s">
        <v>377</v>
      </c>
      <c r="N12" s="18"/>
      <c r="O12" s="18"/>
      <c r="P12" s="18"/>
      <c r="Q12" s="18">
        <v>1</v>
      </c>
      <c r="R12" s="17">
        <f>H12</f>
        <v>25</v>
      </c>
    </row>
    <row r="13" spans="1:18" customFormat="1" x14ac:dyDescent="0.25">
      <c r="A13" s="18"/>
      <c r="B13" s="18" t="s">
        <v>34</v>
      </c>
      <c r="C13" s="18" t="s">
        <v>2064</v>
      </c>
      <c r="D13" s="18" t="s">
        <v>2065</v>
      </c>
      <c r="E13" s="18" t="s">
        <v>2066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2057</v>
      </c>
      <c r="K13" s="18" t="s">
        <v>15</v>
      </c>
      <c r="L13" s="18" t="s">
        <v>2039</v>
      </c>
      <c r="M13" s="18"/>
      <c r="N13" s="18"/>
      <c r="O13" s="18"/>
      <c r="P13" s="18"/>
      <c r="Q13" s="18">
        <v>1</v>
      </c>
    </row>
    <row r="14" spans="1:18" customFormat="1" x14ac:dyDescent="0.25">
      <c r="A14" s="18"/>
      <c r="B14" s="18" t="s">
        <v>34</v>
      </c>
      <c r="C14" s="18" t="s">
        <v>242</v>
      </c>
      <c r="D14" s="18" t="s">
        <v>2067</v>
      </c>
      <c r="E14" s="18" t="s">
        <v>244</v>
      </c>
      <c r="F14" s="18" t="s">
        <v>123</v>
      </c>
      <c r="G14" s="19">
        <v>385</v>
      </c>
      <c r="H14" s="19">
        <v>35</v>
      </c>
      <c r="I14" s="19">
        <f t="shared" si="0"/>
        <v>350</v>
      </c>
      <c r="J14" s="18" t="s">
        <v>2057</v>
      </c>
      <c r="K14" s="18" t="s">
        <v>15</v>
      </c>
      <c r="L14" s="18" t="s">
        <v>2039</v>
      </c>
      <c r="M14" s="18"/>
      <c r="N14" s="18"/>
      <c r="O14" s="18"/>
      <c r="P14" s="18"/>
      <c r="Q14" s="18">
        <v>1</v>
      </c>
    </row>
    <row r="15" spans="1:18" customFormat="1" x14ac:dyDescent="0.25">
      <c r="A15" s="18"/>
      <c r="B15" s="18" t="s">
        <v>34</v>
      </c>
      <c r="C15" s="18" t="s">
        <v>2068</v>
      </c>
      <c r="D15" s="18" t="s">
        <v>2069</v>
      </c>
      <c r="E15" s="18" t="s">
        <v>2070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2057</v>
      </c>
      <c r="K15" s="18" t="s">
        <v>15</v>
      </c>
      <c r="L15" s="18" t="s">
        <v>2039</v>
      </c>
      <c r="M15" s="18"/>
      <c r="N15" s="18"/>
      <c r="O15" s="18"/>
      <c r="P15" s="18"/>
      <c r="Q15" s="18">
        <v>1</v>
      </c>
      <c r="R15" s="17">
        <f>H15</f>
        <v>30</v>
      </c>
    </row>
    <row r="16" spans="1:18" customFormat="1" x14ac:dyDescent="0.25">
      <c r="A16" s="18"/>
      <c r="B16" s="18" t="s">
        <v>34</v>
      </c>
      <c r="C16" s="18" t="s">
        <v>2071</v>
      </c>
      <c r="D16" s="18" t="s">
        <v>2072</v>
      </c>
      <c r="E16" s="18" t="s">
        <v>2073</v>
      </c>
      <c r="F16" s="18" t="s">
        <v>38</v>
      </c>
      <c r="G16" s="19">
        <v>790</v>
      </c>
      <c r="H16" s="19">
        <v>30</v>
      </c>
      <c r="I16" s="19">
        <f>G16-H16</f>
        <v>760</v>
      </c>
      <c r="J16" s="18" t="s">
        <v>2057</v>
      </c>
      <c r="K16" s="18" t="s">
        <v>15</v>
      </c>
      <c r="L16" s="18" t="s">
        <v>2039</v>
      </c>
      <c r="M16" s="18"/>
      <c r="N16" s="18"/>
      <c r="O16" s="18"/>
      <c r="P16" s="18"/>
      <c r="Q16" s="18">
        <v>1</v>
      </c>
    </row>
    <row r="17" spans="1:18" customFormat="1" x14ac:dyDescent="0.25">
      <c r="A17" s="18"/>
      <c r="B17" s="18" t="s">
        <v>34</v>
      </c>
      <c r="C17" s="18" t="s">
        <v>2074</v>
      </c>
      <c r="D17" s="18" t="s">
        <v>2075</v>
      </c>
      <c r="E17" s="18" t="s">
        <v>2076</v>
      </c>
      <c r="F17" s="18" t="s">
        <v>38</v>
      </c>
      <c r="G17" s="19">
        <v>700</v>
      </c>
      <c r="H17" s="19">
        <v>30</v>
      </c>
      <c r="I17" s="19">
        <f>G17-H17</f>
        <v>670</v>
      </c>
      <c r="J17" s="18" t="s">
        <v>2057</v>
      </c>
      <c r="K17" s="18" t="s">
        <v>15</v>
      </c>
      <c r="L17" s="18" t="s">
        <v>2039</v>
      </c>
      <c r="M17" s="18"/>
      <c r="N17" s="18"/>
      <c r="O17" s="18"/>
      <c r="P17" s="18"/>
      <c r="Q17" s="18">
        <v>1</v>
      </c>
    </row>
    <row r="18" spans="1:18" customFormat="1" x14ac:dyDescent="0.25">
      <c r="A18" s="18"/>
      <c r="B18" s="18" t="s">
        <v>34</v>
      </c>
      <c r="C18" s="18" t="s">
        <v>2077</v>
      </c>
      <c r="D18" s="18" t="s">
        <v>2078</v>
      </c>
      <c r="E18" s="18" t="s">
        <v>2079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2057</v>
      </c>
      <c r="K18" s="18" t="s">
        <v>15</v>
      </c>
      <c r="L18" s="18" t="s">
        <v>2039</v>
      </c>
      <c r="M18" s="18"/>
      <c r="N18" s="18"/>
      <c r="O18" s="18"/>
      <c r="P18" s="18"/>
      <c r="Q18" s="18">
        <v>1</v>
      </c>
    </row>
    <row r="19" spans="1:18" customFormat="1" x14ac:dyDescent="0.25">
      <c r="A19" s="18"/>
      <c r="B19" s="18" t="s">
        <v>34</v>
      </c>
      <c r="C19" s="18" t="s">
        <v>2080</v>
      </c>
      <c r="D19" s="18" t="s">
        <v>2081</v>
      </c>
      <c r="E19" s="18" t="s">
        <v>2082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2057</v>
      </c>
      <c r="K19" s="18" t="s">
        <v>15</v>
      </c>
      <c r="L19" s="18" t="s">
        <v>2039</v>
      </c>
      <c r="M19" s="18"/>
      <c r="N19" s="18"/>
      <c r="O19" s="18"/>
      <c r="P19" s="18"/>
      <c r="Q19" s="18">
        <v>1</v>
      </c>
    </row>
    <row r="20" spans="1:18" customFormat="1" x14ac:dyDescent="0.25">
      <c r="A20" s="18"/>
      <c r="B20" s="18" t="s">
        <v>34</v>
      </c>
      <c r="C20" s="18" t="s">
        <v>341</v>
      </c>
      <c r="D20" s="18" t="s">
        <v>2083</v>
      </c>
      <c r="E20" s="18" t="s">
        <v>2084</v>
      </c>
      <c r="F20" s="18" t="s">
        <v>212</v>
      </c>
      <c r="G20" s="19">
        <v>0</v>
      </c>
      <c r="H20" s="19">
        <v>25</v>
      </c>
      <c r="I20" s="19">
        <f>-H20</f>
        <v>-25</v>
      </c>
      <c r="J20" s="18" t="s">
        <v>2057</v>
      </c>
      <c r="K20" s="18" t="s">
        <v>15</v>
      </c>
      <c r="L20" s="18" t="s">
        <v>2039</v>
      </c>
      <c r="M20" s="18"/>
      <c r="N20" s="18"/>
      <c r="O20" s="18"/>
      <c r="P20" s="18"/>
      <c r="Q20" s="18">
        <v>1</v>
      </c>
      <c r="R20" s="17">
        <f>H20</f>
        <v>25</v>
      </c>
    </row>
    <row r="21" spans="1:18" customFormat="1" x14ac:dyDescent="0.25">
      <c r="A21" s="18"/>
      <c r="B21" s="18" t="s">
        <v>34</v>
      </c>
      <c r="C21" s="18" t="s">
        <v>2085</v>
      </c>
      <c r="D21" s="18" t="s">
        <v>2086</v>
      </c>
      <c r="E21" s="18" t="s">
        <v>2087</v>
      </c>
      <c r="F21" s="18" t="s">
        <v>38</v>
      </c>
      <c r="G21" s="19">
        <v>890</v>
      </c>
      <c r="H21" s="19">
        <v>30</v>
      </c>
      <c r="I21" s="19">
        <f t="shared" ref="I21:I30" si="1">G21-H21</f>
        <v>860</v>
      </c>
      <c r="J21" s="18" t="s">
        <v>2057</v>
      </c>
      <c r="K21" s="18" t="s">
        <v>15</v>
      </c>
      <c r="L21" s="18" t="s">
        <v>2039</v>
      </c>
      <c r="M21" s="18"/>
      <c r="N21" s="18"/>
      <c r="O21" s="18"/>
      <c r="P21" s="18"/>
      <c r="Q21" s="18">
        <v>1</v>
      </c>
    </row>
    <row r="22" spans="1:18" customFormat="1" x14ac:dyDescent="0.25">
      <c r="A22" s="18"/>
      <c r="B22" s="18" t="s">
        <v>34</v>
      </c>
      <c r="C22" s="18" t="s">
        <v>41</v>
      </c>
      <c r="D22" s="18" t="s">
        <v>2088</v>
      </c>
      <c r="E22" s="18" t="s">
        <v>43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2057</v>
      </c>
      <c r="K22" s="18" t="s">
        <v>15</v>
      </c>
      <c r="L22" s="18" t="s">
        <v>2039</v>
      </c>
      <c r="M22" s="18"/>
      <c r="N22" s="18"/>
      <c r="O22" s="18"/>
      <c r="P22" s="18"/>
      <c r="Q22" s="18">
        <v>1</v>
      </c>
    </row>
    <row r="23" spans="1:18" customFormat="1" x14ac:dyDescent="0.25">
      <c r="A23" s="18"/>
      <c r="B23" s="18" t="s">
        <v>34</v>
      </c>
      <c r="C23" s="18" t="s">
        <v>2089</v>
      </c>
      <c r="D23" s="18" t="s">
        <v>2090</v>
      </c>
      <c r="E23" s="18" t="s">
        <v>2091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2057</v>
      </c>
      <c r="K23" s="18" t="s">
        <v>15</v>
      </c>
      <c r="L23" s="18" t="s">
        <v>2039</v>
      </c>
      <c r="M23" s="18"/>
      <c r="N23" s="18"/>
      <c r="O23" s="18"/>
      <c r="P23" s="18"/>
      <c r="Q23" s="18">
        <v>1</v>
      </c>
    </row>
    <row r="24" spans="1:18" customFormat="1" x14ac:dyDescent="0.25">
      <c r="A24" s="18"/>
      <c r="B24" s="18" t="s">
        <v>34</v>
      </c>
      <c r="C24" s="18" t="s">
        <v>1845</v>
      </c>
      <c r="D24" s="18" t="s">
        <v>2092</v>
      </c>
      <c r="E24" s="18" t="s">
        <v>2093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2057</v>
      </c>
      <c r="K24" s="18" t="s">
        <v>15</v>
      </c>
      <c r="L24" s="18" t="s">
        <v>2039</v>
      </c>
      <c r="M24" s="18"/>
      <c r="N24" s="18"/>
      <c r="O24" s="18"/>
      <c r="P24" s="18"/>
      <c r="Q24" s="18">
        <v>1</v>
      </c>
    </row>
    <row r="25" spans="1:18" customFormat="1" x14ac:dyDescent="0.25">
      <c r="A25" s="18"/>
      <c r="B25" s="18" t="s">
        <v>34</v>
      </c>
      <c r="C25" s="18" t="s">
        <v>2094</v>
      </c>
      <c r="D25" s="18" t="s">
        <v>2095</v>
      </c>
      <c r="E25" s="18" t="s">
        <v>2096</v>
      </c>
      <c r="F25" s="18" t="s">
        <v>38</v>
      </c>
      <c r="G25" s="19">
        <v>900</v>
      </c>
      <c r="H25" s="19">
        <v>30</v>
      </c>
      <c r="I25" s="19">
        <f t="shared" si="1"/>
        <v>870</v>
      </c>
      <c r="J25" s="18" t="s">
        <v>2057</v>
      </c>
      <c r="K25" s="18" t="s">
        <v>15</v>
      </c>
      <c r="L25" s="18" t="s">
        <v>2039</v>
      </c>
      <c r="M25" s="18"/>
      <c r="N25" s="18"/>
      <c r="O25" s="18"/>
      <c r="P25" s="18"/>
      <c r="Q25" s="18">
        <v>1</v>
      </c>
    </row>
    <row r="26" spans="1:18" customFormat="1" x14ac:dyDescent="0.25">
      <c r="A26" s="18"/>
      <c r="B26" s="18" t="s">
        <v>34</v>
      </c>
      <c r="C26" s="18" t="s">
        <v>680</v>
      </c>
      <c r="D26" s="18" t="s">
        <v>2097</v>
      </c>
      <c r="E26" s="18" t="s">
        <v>682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2057</v>
      </c>
      <c r="K26" s="18" t="s">
        <v>15</v>
      </c>
      <c r="L26" s="18" t="s">
        <v>2039</v>
      </c>
      <c r="M26" s="18"/>
      <c r="N26" s="18"/>
      <c r="O26" s="18"/>
      <c r="P26" s="18"/>
      <c r="Q26" s="18">
        <v>1</v>
      </c>
    </row>
    <row r="27" spans="1:18" customFormat="1" x14ac:dyDescent="0.25">
      <c r="A27" s="18"/>
      <c r="B27" s="18" t="s">
        <v>34</v>
      </c>
      <c r="C27" s="18" t="s">
        <v>2098</v>
      </c>
      <c r="D27" s="18" t="s">
        <v>2099</v>
      </c>
      <c r="E27" s="18" t="s">
        <v>2100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2057</v>
      </c>
      <c r="K27" s="18" t="s">
        <v>15</v>
      </c>
      <c r="L27" s="18" t="s">
        <v>2039</v>
      </c>
      <c r="M27" s="18"/>
      <c r="N27" s="18"/>
      <c r="O27" s="18"/>
      <c r="P27" s="18"/>
      <c r="Q27" s="18">
        <v>1</v>
      </c>
    </row>
    <row r="28" spans="1:18" customFormat="1" x14ac:dyDescent="0.25">
      <c r="A28" s="18"/>
      <c r="B28" s="18" t="s">
        <v>34</v>
      </c>
      <c r="C28" s="18" t="s">
        <v>2101</v>
      </c>
      <c r="D28" s="18" t="s">
        <v>2102</v>
      </c>
      <c r="E28" s="18" t="s">
        <v>2103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2057</v>
      </c>
      <c r="K28" s="18" t="s">
        <v>15</v>
      </c>
      <c r="L28" s="18" t="s">
        <v>2039</v>
      </c>
      <c r="M28" s="18"/>
      <c r="N28" s="18"/>
      <c r="O28" s="18"/>
      <c r="P28" s="18"/>
      <c r="Q28" s="18">
        <v>1</v>
      </c>
    </row>
    <row r="29" spans="1:18" customFormat="1" x14ac:dyDescent="0.25">
      <c r="A29" s="18"/>
      <c r="B29" s="18" t="s">
        <v>34</v>
      </c>
      <c r="C29" s="18" t="s">
        <v>2104</v>
      </c>
      <c r="D29" s="18" t="s">
        <v>2105</v>
      </c>
      <c r="E29" s="18" t="s">
        <v>2106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2057</v>
      </c>
      <c r="K29" s="18" t="s">
        <v>15</v>
      </c>
      <c r="L29" s="18" t="s">
        <v>2039</v>
      </c>
      <c r="M29" s="18"/>
      <c r="N29" s="18"/>
      <c r="O29" s="18"/>
      <c r="P29" s="18"/>
      <c r="Q29" s="18">
        <v>1</v>
      </c>
    </row>
    <row r="30" spans="1:18" customFormat="1" x14ac:dyDescent="0.25">
      <c r="A30" s="18"/>
      <c r="B30" s="18" t="s">
        <v>34</v>
      </c>
      <c r="C30" s="18" t="s">
        <v>2107</v>
      </c>
      <c r="D30" s="18" t="s">
        <v>2108</v>
      </c>
      <c r="E30" s="18" t="s">
        <v>2109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2057</v>
      </c>
      <c r="K30" s="18" t="s">
        <v>15</v>
      </c>
      <c r="L30" s="18" t="s">
        <v>2039</v>
      </c>
      <c r="M30" s="18"/>
      <c r="N30" s="18"/>
      <c r="O30" s="18"/>
      <c r="P30" s="18"/>
      <c r="Q30" s="18">
        <v>1</v>
      </c>
    </row>
    <row r="31" spans="1:18" customFormat="1" x14ac:dyDescent="0.25">
      <c r="A31" s="18"/>
      <c r="B31" s="18" t="s">
        <v>34</v>
      </c>
      <c r="C31" s="18" t="s">
        <v>2110</v>
      </c>
      <c r="D31" s="18" t="s">
        <v>2111</v>
      </c>
      <c r="E31" s="18" t="s">
        <v>2112</v>
      </c>
      <c r="F31" s="18" t="s">
        <v>18</v>
      </c>
      <c r="G31" s="19">
        <v>0</v>
      </c>
      <c r="H31" s="19">
        <v>25</v>
      </c>
      <c r="I31" s="19">
        <f>-H31</f>
        <v>-25</v>
      </c>
      <c r="J31" s="18" t="s">
        <v>2057</v>
      </c>
      <c r="K31" s="18" t="s">
        <v>15</v>
      </c>
      <c r="L31" s="18" t="s">
        <v>2039</v>
      </c>
      <c r="M31" s="18"/>
      <c r="N31" s="18"/>
      <c r="O31" s="18"/>
      <c r="P31" s="18"/>
      <c r="Q31" s="18">
        <v>1</v>
      </c>
      <c r="R31" s="17">
        <f>H31</f>
        <v>25</v>
      </c>
    </row>
    <row r="32" spans="1:18" customFormat="1" x14ac:dyDescent="0.25">
      <c r="A32" s="18"/>
      <c r="B32" s="18" t="s">
        <v>34</v>
      </c>
      <c r="C32" s="18" t="s">
        <v>111</v>
      </c>
      <c r="D32" s="18" t="s">
        <v>2113</v>
      </c>
      <c r="E32" s="18" t="s">
        <v>1385</v>
      </c>
      <c r="F32" s="18" t="s">
        <v>38</v>
      </c>
      <c r="G32" s="19">
        <v>1220</v>
      </c>
      <c r="H32" s="19">
        <v>30</v>
      </c>
      <c r="I32" s="19">
        <f>G32-H32</f>
        <v>1190</v>
      </c>
      <c r="J32" s="18" t="s">
        <v>2057</v>
      </c>
      <c r="K32" s="18" t="s">
        <v>15</v>
      </c>
      <c r="L32" s="18" t="s">
        <v>2039</v>
      </c>
      <c r="M32" s="18"/>
      <c r="N32" s="18"/>
      <c r="O32" s="18"/>
      <c r="P32" s="18"/>
      <c r="Q32" s="18">
        <v>1</v>
      </c>
    </row>
    <row r="33" spans="1:18" customFormat="1" x14ac:dyDescent="0.25">
      <c r="A33" s="18" t="s">
        <v>96</v>
      </c>
      <c r="B33" s="18" t="s">
        <v>34</v>
      </c>
      <c r="C33" s="18" t="s">
        <v>2114</v>
      </c>
      <c r="D33" s="18"/>
      <c r="E33" s="18" t="s">
        <v>2115</v>
      </c>
      <c r="F33" s="18" t="s">
        <v>38</v>
      </c>
      <c r="G33" s="19">
        <v>0</v>
      </c>
      <c r="H33" s="19">
        <v>35</v>
      </c>
      <c r="I33" s="19">
        <f>-H33</f>
        <v>-35</v>
      </c>
      <c r="J33" s="18" t="s">
        <v>2057</v>
      </c>
      <c r="K33" s="18" t="s">
        <v>15</v>
      </c>
      <c r="L33" s="18" t="s">
        <v>2039</v>
      </c>
      <c r="M33" s="18"/>
      <c r="N33" s="18"/>
      <c r="O33" s="18"/>
      <c r="P33" s="18"/>
      <c r="Q33" s="18">
        <v>1</v>
      </c>
      <c r="R33" s="17">
        <f>H33</f>
        <v>35</v>
      </c>
    </row>
    <row r="34" spans="1:18" customFormat="1" x14ac:dyDescent="0.25">
      <c r="A34" s="18"/>
      <c r="B34" s="18" t="s">
        <v>34</v>
      </c>
      <c r="C34" s="18" t="s">
        <v>2116</v>
      </c>
      <c r="D34" s="18" t="s">
        <v>2117</v>
      </c>
      <c r="E34" s="18" t="s">
        <v>2118</v>
      </c>
      <c r="F34" s="18" t="s">
        <v>19</v>
      </c>
      <c r="G34" s="19">
        <v>470</v>
      </c>
      <c r="H34" s="19">
        <v>20</v>
      </c>
      <c r="I34" s="19">
        <f>G34-H34</f>
        <v>450</v>
      </c>
      <c r="J34" s="18" t="s">
        <v>15</v>
      </c>
      <c r="K34" s="18" t="s">
        <v>15</v>
      </c>
      <c r="L34" s="18" t="s">
        <v>2039</v>
      </c>
      <c r="M34" s="18"/>
      <c r="N34" s="18"/>
      <c r="O34" s="18"/>
      <c r="P34" s="18"/>
      <c r="Q34" s="18">
        <v>1</v>
      </c>
    </row>
    <row r="35" spans="1:18" customFormat="1" x14ac:dyDescent="0.25">
      <c r="A35" s="18"/>
      <c r="B35" s="18" t="s">
        <v>34</v>
      </c>
      <c r="C35" s="18" t="s">
        <v>420</v>
      </c>
      <c r="D35" s="18" t="s">
        <v>2119</v>
      </c>
      <c r="E35" s="18" t="s">
        <v>2120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15</v>
      </c>
      <c r="K35" s="18" t="s">
        <v>15</v>
      </c>
      <c r="L35" s="18" t="s">
        <v>2039</v>
      </c>
      <c r="M35" s="18"/>
      <c r="N35" s="18"/>
      <c r="O35" s="18"/>
      <c r="P35" s="18"/>
      <c r="Q35" s="18">
        <v>1</v>
      </c>
      <c r="R35" s="17">
        <f>H35</f>
        <v>40</v>
      </c>
    </row>
    <row r="36" spans="1:18" customFormat="1" x14ac:dyDescent="0.25">
      <c r="A36" s="18"/>
      <c r="B36" s="18" t="s">
        <v>34</v>
      </c>
      <c r="C36" s="18" t="s">
        <v>2121</v>
      </c>
      <c r="D36" s="18" t="s">
        <v>2122</v>
      </c>
      <c r="E36" s="18" t="s">
        <v>2123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15</v>
      </c>
      <c r="K36" s="18" t="s">
        <v>15</v>
      </c>
      <c r="L36" s="18" t="s">
        <v>2039</v>
      </c>
      <c r="M36" s="18"/>
      <c r="N36" s="18"/>
      <c r="O36" s="18"/>
      <c r="P36" s="18"/>
      <c r="Q36" s="18">
        <v>1</v>
      </c>
    </row>
    <row r="37" spans="1:18" customFormat="1" x14ac:dyDescent="0.25">
      <c r="A37" s="18"/>
      <c r="B37" s="18" t="s">
        <v>34</v>
      </c>
      <c r="C37" s="18" t="s">
        <v>2124</v>
      </c>
      <c r="D37" s="18" t="s">
        <v>2125</v>
      </c>
      <c r="E37" s="18" t="s">
        <v>2126</v>
      </c>
      <c r="F37" s="18" t="s">
        <v>20</v>
      </c>
      <c r="G37" s="19">
        <v>2000</v>
      </c>
      <c r="H37" s="19">
        <v>25</v>
      </c>
      <c r="I37" s="19">
        <f t="shared" si="2"/>
        <v>1975</v>
      </c>
      <c r="J37" s="18" t="s">
        <v>15</v>
      </c>
      <c r="K37" s="18" t="s">
        <v>15</v>
      </c>
      <c r="L37" s="18" t="s">
        <v>2039</v>
      </c>
      <c r="M37" s="48" t="s">
        <v>377</v>
      </c>
      <c r="N37" s="18"/>
      <c r="O37" s="18"/>
      <c r="P37" s="18"/>
      <c r="Q37" s="18">
        <v>1</v>
      </c>
      <c r="R37" s="17">
        <f>H37</f>
        <v>25</v>
      </c>
    </row>
    <row r="38" spans="1:18" customFormat="1" x14ac:dyDescent="0.25">
      <c r="A38" s="18"/>
      <c r="B38" s="18" t="s">
        <v>34</v>
      </c>
      <c r="C38" s="18" t="s">
        <v>242</v>
      </c>
      <c r="D38" s="18" t="s">
        <v>2127</v>
      </c>
      <c r="E38" s="18" t="s">
        <v>2128</v>
      </c>
      <c r="F38" s="18" t="s">
        <v>20</v>
      </c>
      <c r="G38" s="19">
        <v>555</v>
      </c>
      <c r="H38" s="19">
        <v>25</v>
      </c>
      <c r="I38" s="19">
        <f t="shared" si="2"/>
        <v>530</v>
      </c>
      <c r="J38" s="18" t="s">
        <v>15</v>
      </c>
      <c r="K38" s="18" t="s">
        <v>15</v>
      </c>
      <c r="L38" s="18" t="s">
        <v>2039</v>
      </c>
      <c r="M38" s="18"/>
      <c r="N38" s="18"/>
      <c r="O38" s="18"/>
      <c r="P38" s="18"/>
      <c r="Q38" s="18">
        <v>1</v>
      </c>
    </row>
    <row r="39" spans="1:18" customFormat="1" x14ac:dyDescent="0.25">
      <c r="A39" s="18"/>
      <c r="B39" s="18" t="s">
        <v>34</v>
      </c>
      <c r="C39" s="18" t="s">
        <v>2129</v>
      </c>
      <c r="D39" s="18" t="s">
        <v>2130</v>
      </c>
      <c r="E39" s="18" t="s">
        <v>2131</v>
      </c>
      <c r="F39" s="18" t="s">
        <v>19</v>
      </c>
      <c r="G39" s="19">
        <v>550</v>
      </c>
      <c r="H39" s="19">
        <v>20</v>
      </c>
      <c r="I39" s="19">
        <f t="shared" si="2"/>
        <v>530</v>
      </c>
      <c r="J39" s="18" t="s">
        <v>15</v>
      </c>
      <c r="K39" s="18" t="s">
        <v>15</v>
      </c>
      <c r="L39" s="18" t="s">
        <v>2039</v>
      </c>
      <c r="M39" s="18"/>
      <c r="N39" s="18"/>
      <c r="O39" s="18"/>
      <c r="P39" s="18"/>
      <c r="Q39" s="18">
        <v>1</v>
      </c>
    </row>
    <row r="40" spans="1:18" customFormat="1" x14ac:dyDescent="0.25">
      <c r="A40" s="18"/>
      <c r="B40" s="18" t="s">
        <v>34</v>
      </c>
      <c r="C40" s="18" t="s">
        <v>138</v>
      </c>
      <c r="D40" s="18" t="s">
        <v>2132</v>
      </c>
      <c r="E40" s="18" t="s">
        <v>140</v>
      </c>
      <c r="F40" s="18" t="s">
        <v>19</v>
      </c>
      <c r="G40" s="19">
        <v>4910</v>
      </c>
      <c r="H40" s="19">
        <v>30</v>
      </c>
      <c r="I40" s="19">
        <f t="shared" si="2"/>
        <v>4880</v>
      </c>
      <c r="J40" s="18" t="s">
        <v>15</v>
      </c>
      <c r="K40" s="18" t="s">
        <v>15</v>
      </c>
      <c r="L40" s="18" t="s">
        <v>2039</v>
      </c>
      <c r="M40" s="48" t="s">
        <v>377</v>
      </c>
      <c r="N40" s="18"/>
      <c r="O40" s="18"/>
      <c r="P40" s="18"/>
      <c r="Q40" s="18">
        <v>1</v>
      </c>
      <c r="R40" s="17">
        <f>H40</f>
        <v>30</v>
      </c>
    </row>
    <row r="41" spans="1:18" customFormat="1" x14ac:dyDescent="0.25">
      <c r="A41" s="18"/>
      <c r="B41" s="18" t="s">
        <v>34</v>
      </c>
      <c r="C41" s="18" t="s">
        <v>2133</v>
      </c>
      <c r="D41" s="18" t="s">
        <v>2134</v>
      </c>
      <c r="E41" s="18" t="s">
        <v>2135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15</v>
      </c>
      <c r="K41" s="18" t="s">
        <v>15</v>
      </c>
      <c r="L41" s="18" t="s">
        <v>2039</v>
      </c>
      <c r="M41" s="18"/>
      <c r="N41" s="18"/>
      <c r="O41" s="18"/>
      <c r="P41" s="18"/>
      <c r="Q41" s="18">
        <v>1</v>
      </c>
    </row>
    <row r="42" spans="1:18" customFormat="1" x14ac:dyDescent="0.25">
      <c r="A42" s="18"/>
      <c r="B42" s="18" t="s">
        <v>34</v>
      </c>
      <c r="C42" s="18" t="s">
        <v>356</v>
      </c>
      <c r="D42" s="18" t="s">
        <v>2136</v>
      </c>
      <c r="E42" s="18" t="s">
        <v>957</v>
      </c>
      <c r="F42" s="18" t="s">
        <v>20</v>
      </c>
      <c r="G42" s="19">
        <v>1395</v>
      </c>
      <c r="H42" s="19">
        <v>25</v>
      </c>
      <c r="I42" s="19">
        <f t="shared" si="2"/>
        <v>1370</v>
      </c>
      <c r="J42" s="18" t="s">
        <v>15</v>
      </c>
      <c r="K42" s="18" t="s">
        <v>15</v>
      </c>
      <c r="L42" s="18" t="s">
        <v>2039</v>
      </c>
      <c r="M42" s="18"/>
      <c r="N42" s="18"/>
      <c r="O42" s="18"/>
      <c r="P42" s="18"/>
      <c r="Q42" s="18">
        <v>1</v>
      </c>
    </row>
    <row r="43" spans="1:18" customFormat="1" x14ac:dyDescent="0.25">
      <c r="A43" s="18" t="s">
        <v>96</v>
      </c>
      <c r="B43" s="18" t="s">
        <v>34</v>
      </c>
      <c r="C43" s="18" t="s">
        <v>2137</v>
      </c>
      <c r="D43" s="18"/>
      <c r="E43" s="18" t="s">
        <v>2138</v>
      </c>
      <c r="F43" s="18" t="s">
        <v>144</v>
      </c>
      <c r="G43" s="19">
        <v>35</v>
      </c>
      <c r="H43" s="19">
        <v>35</v>
      </c>
      <c r="I43" s="19">
        <f t="shared" si="2"/>
        <v>0</v>
      </c>
      <c r="J43" s="18" t="s">
        <v>15</v>
      </c>
      <c r="K43" s="18" t="s">
        <v>15</v>
      </c>
      <c r="L43" s="18" t="s">
        <v>2039</v>
      </c>
      <c r="M43" s="18"/>
      <c r="N43" s="18"/>
      <c r="O43" s="18"/>
      <c r="P43" s="18"/>
      <c r="Q43" s="18">
        <v>1</v>
      </c>
    </row>
    <row r="44" spans="1:18" customFormat="1" x14ac:dyDescent="0.25">
      <c r="A44" s="18" t="s">
        <v>96</v>
      </c>
      <c r="B44" s="18" t="s">
        <v>34</v>
      </c>
      <c r="C44" s="18" t="s">
        <v>640</v>
      </c>
      <c r="D44" s="18"/>
      <c r="E44" s="18" t="s">
        <v>641</v>
      </c>
      <c r="F44" s="18" t="s">
        <v>20</v>
      </c>
      <c r="G44" s="19">
        <v>2310</v>
      </c>
      <c r="H44" s="19">
        <v>30</v>
      </c>
      <c r="I44" s="19">
        <f t="shared" si="2"/>
        <v>2280</v>
      </c>
      <c r="J44" s="18" t="s">
        <v>15</v>
      </c>
      <c r="K44" s="18" t="s">
        <v>15</v>
      </c>
      <c r="L44" s="18" t="s">
        <v>2039</v>
      </c>
      <c r="M44" s="18"/>
      <c r="N44" s="18"/>
      <c r="O44" s="18"/>
      <c r="P44" s="18"/>
      <c r="Q44" s="18">
        <v>1</v>
      </c>
    </row>
    <row r="45" spans="1:18" customFormat="1" x14ac:dyDescent="0.25">
      <c r="A45" s="18" t="s">
        <v>96</v>
      </c>
      <c r="B45" s="18" t="s">
        <v>34</v>
      </c>
      <c r="C45" s="18" t="s">
        <v>314</v>
      </c>
      <c r="D45" s="18"/>
      <c r="E45" s="18" t="s">
        <v>315</v>
      </c>
      <c r="F45" s="18" t="s">
        <v>20</v>
      </c>
      <c r="G45" s="19">
        <v>0</v>
      </c>
      <c r="H45" s="19">
        <v>30</v>
      </c>
      <c r="I45" s="19">
        <f>-H45</f>
        <v>-30</v>
      </c>
      <c r="J45" s="18" t="s">
        <v>15</v>
      </c>
      <c r="K45" s="18" t="s">
        <v>15</v>
      </c>
      <c r="L45" s="18" t="s">
        <v>2039</v>
      </c>
      <c r="M45" s="18"/>
      <c r="N45" s="18"/>
      <c r="O45" s="18"/>
      <c r="P45" s="18"/>
      <c r="Q45" s="18">
        <v>1</v>
      </c>
      <c r="R45" s="17">
        <f>H45</f>
        <v>30</v>
      </c>
    </row>
    <row r="46" spans="1:18" customFormat="1" x14ac:dyDescent="0.25">
      <c r="A46" s="18"/>
      <c r="B46" s="18" t="s">
        <v>34</v>
      </c>
      <c r="C46" s="18" t="s">
        <v>2139</v>
      </c>
      <c r="D46" s="18" t="s">
        <v>2140</v>
      </c>
      <c r="E46" s="18" t="s">
        <v>2141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160</v>
      </c>
      <c r="K46" s="18" t="s">
        <v>15</v>
      </c>
      <c r="L46" s="18" t="s">
        <v>2039</v>
      </c>
      <c r="M46" s="18"/>
      <c r="N46" s="18"/>
      <c r="O46" s="18"/>
      <c r="P46" s="18"/>
      <c r="Q46" s="18">
        <v>1</v>
      </c>
    </row>
    <row r="47" spans="1:18" customFormat="1" x14ac:dyDescent="0.25">
      <c r="A47" s="18"/>
      <c r="B47" s="18" t="s">
        <v>34</v>
      </c>
      <c r="C47" s="18" t="s">
        <v>999</v>
      </c>
      <c r="D47" s="18" t="s">
        <v>2142</v>
      </c>
      <c r="E47" s="18" t="s">
        <v>1001</v>
      </c>
      <c r="F47" s="18" t="s">
        <v>18</v>
      </c>
      <c r="G47" s="19">
        <v>1925</v>
      </c>
      <c r="H47" s="19">
        <v>25</v>
      </c>
      <c r="I47" s="19">
        <f>G47-H47</f>
        <v>1900</v>
      </c>
      <c r="J47" s="18" t="s">
        <v>160</v>
      </c>
      <c r="K47" s="18" t="s">
        <v>15</v>
      </c>
      <c r="L47" s="18" t="s">
        <v>2039</v>
      </c>
      <c r="M47" s="18"/>
      <c r="N47" s="18"/>
      <c r="O47" s="18"/>
      <c r="P47" s="18"/>
      <c r="Q47" s="18">
        <v>1</v>
      </c>
    </row>
    <row r="48" spans="1:18" customFormat="1" x14ac:dyDescent="0.25">
      <c r="A48" s="18"/>
      <c r="B48" s="18" t="s">
        <v>34</v>
      </c>
      <c r="C48" s="18" t="s">
        <v>645</v>
      </c>
      <c r="D48" s="18" t="s">
        <v>2143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160</v>
      </c>
      <c r="K48" s="18" t="s">
        <v>15</v>
      </c>
      <c r="L48" s="18" t="s">
        <v>2039</v>
      </c>
      <c r="M48" s="18"/>
      <c r="N48" s="18"/>
      <c r="O48" s="18"/>
      <c r="P48" s="18"/>
      <c r="Q48" s="18">
        <v>1</v>
      </c>
    </row>
    <row r="49" spans="1:18" customFormat="1" x14ac:dyDescent="0.25">
      <c r="A49" s="18"/>
      <c r="B49" s="18" t="s">
        <v>34</v>
      </c>
      <c r="C49" s="18" t="s">
        <v>2144</v>
      </c>
      <c r="D49" s="18" t="s">
        <v>2145</v>
      </c>
      <c r="E49" s="18" t="s">
        <v>2146</v>
      </c>
      <c r="F49" s="18" t="s">
        <v>18</v>
      </c>
      <c r="G49" s="19">
        <v>0</v>
      </c>
      <c r="H49" s="19">
        <v>25</v>
      </c>
      <c r="I49" s="19">
        <f>-H49</f>
        <v>-25</v>
      </c>
      <c r="J49" s="18" t="s">
        <v>160</v>
      </c>
      <c r="K49" s="18" t="s">
        <v>15</v>
      </c>
      <c r="L49" s="18" t="s">
        <v>2039</v>
      </c>
      <c r="M49" s="18"/>
      <c r="N49" s="18"/>
      <c r="O49" s="18"/>
      <c r="P49" s="18"/>
      <c r="Q49" s="18">
        <v>1</v>
      </c>
      <c r="R49" s="17">
        <f>H49</f>
        <v>25</v>
      </c>
    </row>
    <row r="50" spans="1:18" customFormat="1" x14ac:dyDescent="0.25">
      <c r="A50" s="18"/>
      <c r="B50" s="18" t="s">
        <v>34</v>
      </c>
      <c r="C50" s="18" t="s">
        <v>894</v>
      </c>
      <c r="D50" s="18" t="s">
        <v>2147</v>
      </c>
      <c r="E50" s="18" t="s">
        <v>896</v>
      </c>
      <c r="F50" s="18" t="s">
        <v>17</v>
      </c>
      <c r="G50" s="19">
        <v>880</v>
      </c>
      <c r="H50" s="19">
        <v>20</v>
      </c>
      <c r="I50" s="19">
        <f>G50-H50</f>
        <v>860</v>
      </c>
      <c r="J50" s="18" t="s">
        <v>160</v>
      </c>
      <c r="K50" s="18" t="s">
        <v>15</v>
      </c>
      <c r="L50" s="18" t="s">
        <v>2039</v>
      </c>
      <c r="M50" s="18"/>
      <c r="N50" s="18"/>
      <c r="O50" s="18"/>
      <c r="P50" s="18"/>
      <c r="Q50" s="18">
        <v>1</v>
      </c>
    </row>
    <row r="51" spans="1:18" customFormat="1" x14ac:dyDescent="0.25">
      <c r="A51" s="18"/>
      <c r="B51" s="18" t="s">
        <v>34</v>
      </c>
      <c r="C51" s="18" t="s">
        <v>2148</v>
      </c>
      <c r="D51" s="18" t="s">
        <v>2149</v>
      </c>
      <c r="E51" s="18" t="s">
        <v>2150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160</v>
      </c>
      <c r="K51" s="18" t="s">
        <v>15</v>
      </c>
      <c r="L51" s="18" t="s">
        <v>2039</v>
      </c>
      <c r="M51" s="18"/>
      <c r="N51" s="18"/>
      <c r="O51" s="18"/>
      <c r="P51" s="18"/>
      <c r="Q51" s="18">
        <v>1</v>
      </c>
    </row>
    <row r="52" spans="1:18" customFormat="1" x14ac:dyDescent="0.25">
      <c r="A52" s="18"/>
      <c r="B52" s="18" t="s">
        <v>34</v>
      </c>
      <c r="C52" s="18" t="s">
        <v>2151</v>
      </c>
      <c r="D52" s="18" t="s">
        <v>2152</v>
      </c>
      <c r="E52" s="18" t="s">
        <v>2153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160</v>
      </c>
      <c r="K52" s="18" t="s">
        <v>15</v>
      </c>
      <c r="L52" s="18" t="s">
        <v>2039</v>
      </c>
      <c r="M52" s="48" t="s">
        <v>2176</v>
      </c>
      <c r="N52" s="18"/>
      <c r="O52" s="18"/>
      <c r="P52" s="18"/>
      <c r="Q52" s="18">
        <v>1</v>
      </c>
      <c r="R52" s="17">
        <f>H52</f>
        <v>25</v>
      </c>
    </row>
    <row r="53" spans="1:18" customFormat="1" x14ac:dyDescent="0.25">
      <c r="A53" s="18"/>
      <c r="B53" s="18" t="s">
        <v>34</v>
      </c>
      <c r="C53" s="18" t="s">
        <v>2154</v>
      </c>
      <c r="D53" s="18" t="s">
        <v>2155</v>
      </c>
      <c r="E53" s="18" t="s">
        <v>2156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160</v>
      </c>
      <c r="K53" s="18" t="s">
        <v>15</v>
      </c>
      <c r="L53" s="18" t="s">
        <v>2039</v>
      </c>
      <c r="M53" s="18"/>
      <c r="N53" s="18"/>
      <c r="O53" s="18"/>
      <c r="P53" s="18"/>
      <c r="Q53" s="18">
        <v>1</v>
      </c>
    </row>
    <row r="54" spans="1:18" customFormat="1" x14ac:dyDescent="0.25">
      <c r="A54" s="18"/>
      <c r="B54" s="18" t="s">
        <v>34</v>
      </c>
      <c r="C54" s="18" t="s">
        <v>1288</v>
      </c>
      <c r="D54" s="18" t="s">
        <v>2157</v>
      </c>
      <c r="E54" s="18" t="s">
        <v>1290</v>
      </c>
      <c r="F54" s="18" t="s">
        <v>18</v>
      </c>
      <c r="G54" s="19">
        <v>915</v>
      </c>
      <c r="H54" s="19">
        <v>25</v>
      </c>
      <c r="I54" s="19">
        <f>G54-H54</f>
        <v>890</v>
      </c>
      <c r="J54" s="18" t="s">
        <v>160</v>
      </c>
      <c r="K54" s="18" t="s">
        <v>15</v>
      </c>
      <c r="L54" s="18" t="s">
        <v>2039</v>
      </c>
      <c r="M54" s="18"/>
      <c r="N54" s="18"/>
      <c r="O54" s="18"/>
      <c r="P54" s="18"/>
      <c r="Q54" s="18">
        <v>1</v>
      </c>
    </row>
    <row r="55" spans="1:18" customFormat="1" x14ac:dyDescent="0.25">
      <c r="A55" s="18"/>
      <c r="B55" s="18" t="s">
        <v>34</v>
      </c>
      <c r="C55" s="18" t="s">
        <v>711</v>
      </c>
      <c r="D55" s="18" t="s">
        <v>2158</v>
      </c>
      <c r="E55" s="18" t="s">
        <v>2159</v>
      </c>
      <c r="F55" s="18" t="s">
        <v>17</v>
      </c>
      <c r="G55" s="19">
        <v>0</v>
      </c>
      <c r="H55" s="19">
        <v>20</v>
      </c>
      <c r="I55" s="19">
        <f>-H55</f>
        <v>-20</v>
      </c>
      <c r="J55" s="18" t="s">
        <v>160</v>
      </c>
      <c r="K55" s="18" t="s">
        <v>15</v>
      </c>
      <c r="L55" s="18" t="s">
        <v>2039</v>
      </c>
      <c r="M55" s="18"/>
      <c r="N55" s="18"/>
      <c r="O55" s="18"/>
      <c r="P55" s="18"/>
      <c r="Q55" s="18">
        <v>1</v>
      </c>
      <c r="R55" s="17">
        <f>H55</f>
        <v>20</v>
      </c>
    </row>
    <row r="56" spans="1:18" customFormat="1" x14ac:dyDescent="0.25">
      <c r="A56" s="18"/>
      <c r="B56" s="18" t="s">
        <v>34</v>
      </c>
      <c r="C56" s="18" t="s">
        <v>2160</v>
      </c>
      <c r="D56" s="18" t="s">
        <v>2161</v>
      </c>
      <c r="E56" s="18" t="s">
        <v>2162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160</v>
      </c>
      <c r="K56" s="18" t="s">
        <v>15</v>
      </c>
      <c r="L56" s="18" t="s">
        <v>2039</v>
      </c>
      <c r="M56" s="48" t="s">
        <v>377</v>
      </c>
      <c r="N56" s="18"/>
      <c r="O56" s="18"/>
      <c r="P56" s="18"/>
      <c r="Q56" s="18">
        <v>1</v>
      </c>
      <c r="R56" s="17">
        <f>H56</f>
        <v>30</v>
      </c>
    </row>
    <row r="57" spans="1:18" customFormat="1" x14ac:dyDescent="0.25">
      <c r="A57" s="18"/>
      <c r="B57" s="18" t="s">
        <v>34</v>
      </c>
      <c r="C57" s="18" t="s">
        <v>2163</v>
      </c>
      <c r="D57" s="18" t="s">
        <v>2164</v>
      </c>
      <c r="E57" s="18" t="s">
        <v>2165</v>
      </c>
      <c r="F57" s="18" t="s">
        <v>18</v>
      </c>
      <c r="G57" s="19">
        <v>1085</v>
      </c>
      <c r="H57" s="19">
        <v>25</v>
      </c>
      <c r="I57" s="19">
        <f>G57-H57</f>
        <v>1060</v>
      </c>
      <c r="J57" s="18" t="s">
        <v>160</v>
      </c>
      <c r="K57" s="18" t="s">
        <v>15</v>
      </c>
      <c r="L57" s="18" t="s">
        <v>2039</v>
      </c>
      <c r="M57" s="18"/>
      <c r="N57" s="18"/>
      <c r="O57" s="18"/>
      <c r="P57" s="18"/>
      <c r="Q57" s="18">
        <v>1</v>
      </c>
    </row>
    <row r="58" spans="1:18" customFormat="1" x14ac:dyDescent="0.25">
      <c r="A58" s="18"/>
      <c r="B58" s="18" t="s">
        <v>34</v>
      </c>
      <c r="C58" s="18" t="s">
        <v>2166</v>
      </c>
      <c r="D58" s="18" t="s">
        <v>2167</v>
      </c>
      <c r="E58" s="18" t="s">
        <v>2168</v>
      </c>
      <c r="F58" s="18" t="s">
        <v>17</v>
      </c>
      <c r="G58" s="19">
        <v>0</v>
      </c>
      <c r="H58" s="19">
        <v>20</v>
      </c>
      <c r="I58" s="19">
        <f>-H58</f>
        <v>-20</v>
      </c>
      <c r="J58" s="18" t="s">
        <v>160</v>
      </c>
      <c r="K58" s="18" t="s">
        <v>15</v>
      </c>
      <c r="L58" s="18" t="s">
        <v>2039</v>
      </c>
      <c r="M58" s="18"/>
      <c r="N58" s="18"/>
      <c r="O58" s="18"/>
      <c r="P58" s="18"/>
      <c r="Q58" s="18">
        <v>1</v>
      </c>
      <c r="R58" s="17">
        <f>H58</f>
        <v>20</v>
      </c>
    </row>
    <row r="59" spans="1:18" customFormat="1" x14ac:dyDescent="0.25">
      <c r="A59" s="18"/>
      <c r="B59" s="18" t="s">
        <v>34</v>
      </c>
      <c r="C59" s="18" t="s">
        <v>2169</v>
      </c>
      <c r="D59" s="18" t="s">
        <v>2170</v>
      </c>
      <c r="E59" s="18" t="s">
        <v>2171</v>
      </c>
      <c r="F59" s="19">
        <v>4</v>
      </c>
      <c r="G59" s="19">
        <v>1485</v>
      </c>
      <c r="H59" s="19">
        <v>25</v>
      </c>
      <c r="I59" s="19">
        <f>G59-H59</f>
        <v>1460</v>
      </c>
      <c r="J59" s="18" t="s">
        <v>160</v>
      </c>
      <c r="K59" s="18" t="s">
        <v>15</v>
      </c>
      <c r="L59" s="18" t="s">
        <v>2039</v>
      </c>
      <c r="M59" s="18"/>
      <c r="N59" s="18"/>
      <c r="O59" s="18"/>
      <c r="P59" s="18"/>
      <c r="Q59" s="18">
        <v>1</v>
      </c>
    </row>
    <row r="60" spans="1:18" s="36" customFormat="1" x14ac:dyDescent="0.25">
      <c r="A60" s="45"/>
      <c r="B60" s="45" t="s">
        <v>34</v>
      </c>
      <c r="C60" s="45" t="s">
        <v>2172</v>
      </c>
      <c r="D60" s="45" t="s">
        <v>2173</v>
      </c>
      <c r="E60" s="45" t="s">
        <v>2174</v>
      </c>
      <c r="F60" s="45" t="s">
        <v>784</v>
      </c>
      <c r="G60" s="46">
        <v>570</v>
      </c>
      <c r="H60" s="46">
        <v>0</v>
      </c>
      <c r="I60" s="46">
        <f>G60-H60</f>
        <v>570</v>
      </c>
      <c r="J60" s="45" t="s">
        <v>662</v>
      </c>
      <c r="K60" s="45" t="s">
        <v>15</v>
      </c>
      <c r="L60" s="45" t="s">
        <v>2039</v>
      </c>
      <c r="M60" s="45" t="s">
        <v>786</v>
      </c>
      <c r="N60" s="45" t="s">
        <v>787</v>
      </c>
      <c r="O60" s="45"/>
      <c r="P60" s="45" t="s">
        <v>788</v>
      </c>
      <c r="Q60" s="45">
        <v>1</v>
      </c>
    </row>
    <row r="62" spans="1:18" x14ac:dyDescent="0.25">
      <c r="G62" s="1">
        <f t="shared" ref="G62:R62" si="3">SUBTOTAL(9,G3:G61)</f>
        <v>49260</v>
      </c>
      <c r="H62" s="1">
        <f t="shared" si="3"/>
        <v>1590</v>
      </c>
      <c r="I62" s="1">
        <f t="shared" si="3"/>
        <v>47670</v>
      </c>
      <c r="J62" s="1">
        <f t="shared" si="3"/>
        <v>0</v>
      </c>
      <c r="K62" s="1">
        <f t="shared" si="3"/>
        <v>0</v>
      </c>
      <c r="L62" s="1">
        <f t="shared" si="3"/>
        <v>0</v>
      </c>
      <c r="M62" s="1">
        <f t="shared" si="3"/>
        <v>0</v>
      </c>
      <c r="N62" s="1">
        <f t="shared" si="3"/>
        <v>0</v>
      </c>
      <c r="O62" s="1">
        <f t="shared" si="3"/>
        <v>0</v>
      </c>
      <c r="P62" s="1">
        <f t="shared" si="3"/>
        <v>0</v>
      </c>
      <c r="Q62" s="1">
        <f t="shared" si="3"/>
        <v>58</v>
      </c>
      <c r="R62" s="1">
        <f t="shared" si="3"/>
        <v>480</v>
      </c>
    </row>
    <row r="63" spans="1:18" x14ac:dyDescent="0.25">
      <c r="I63" s="1">
        <v>-5360</v>
      </c>
      <c r="J63" s="1" t="s">
        <v>2175</v>
      </c>
    </row>
    <row r="66" spans="1:12" ht="20.25" customHeight="1" x14ac:dyDescent="0.3">
      <c r="H66" s="4" t="s">
        <v>2034</v>
      </c>
      <c r="I66" s="5" t="s">
        <v>21</v>
      </c>
      <c r="J66" s="6" t="s">
        <v>22</v>
      </c>
    </row>
    <row r="67" spans="1:12" ht="15.75" customHeight="1" x14ac:dyDescent="0.25">
      <c r="H67" s="7" t="s">
        <v>23</v>
      </c>
      <c r="I67" s="8">
        <f>SUM(I61:I65)</f>
        <v>42310</v>
      </c>
      <c r="J67" s="8">
        <f>Q62</f>
        <v>58</v>
      </c>
    </row>
    <row r="68" spans="1:12" x14ac:dyDescent="0.25">
      <c r="H68" s="9" t="s">
        <v>24</v>
      </c>
      <c r="I68" s="10">
        <f>R62</f>
        <v>480</v>
      </c>
      <c r="J68" s="11"/>
    </row>
    <row r="69" spans="1:12" x14ac:dyDescent="0.25">
      <c r="H69" s="9" t="s">
        <v>25</v>
      </c>
      <c r="I69" s="10">
        <f>S61</f>
        <v>0</v>
      </c>
      <c r="J69" s="11"/>
    </row>
    <row r="70" spans="1:12" x14ac:dyDescent="0.25">
      <c r="H70" s="9" t="s">
        <v>26</v>
      </c>
      <c r="I70" s="10">
        <f>T61</f>
        <v>0</v>
      </c>
      <c r="J70" s="11"/>
    </row>
    <row r="71" spans="1:12" x14ac:dyDescent="0.25">
      <c r="H71" s="9" t="s">
        <v>27</v>
      </c>
      <c r="I71" s="10">
        <f>U61</f>
        <v>0</v>
      </c>
      <c r="J71" s="11"/>
    </row>
    <row r="72" spans="1:12" ht="15.75" customHeight="1" x14ac:dyDescent="0.25">
      <c r="H72" s="12" t="s">
        <v>28</v>
      </c>
      <c r="I72" s="13"/>
      <c r="J72" s="13"/>
    </row>
    <row r="73" spans="1:12" ht="15.75" customHeight="1" x14ac:dyDescent="0.25">
      <c r="H73" s="14" t="s">
        <v>29</v>
      </c>
      <c r="I73" s="13"/>
      <c r="J73" s="13"/>
    </row>
    <row r="74" spans="1:12" ht="21" customHeight="1" x14ac:dyDescent="0.35">
      <c r="H74" s="15" t="s">
        <v>30</v>
      </c>
      <c r="I74" s="16">
        <f>SUM(I67:I73)</f>
        <v>42790</v>
      </c>
      <c r="J74" s="16">
        <f>SUM(J67:J71)</f>
        <v>58</v>
      </c>
    </row>
    <row r="76" spans="1:12" x14ac:dyDescent="0.25">
      <c r="A76" s="1" t="s">
        <v>173</v>
      </c>
    </row>
    <row r="77" spans="1:12" s="23" customFormat="1" x14ac:dyDescent="0.25">
      <c r="A77" s="24" t="s">
        <v>34</v>
      </c>
      <c r="B77" s="24" t="s">
        <v>2151</v>
      </c>
      <c r="C77" s="24" t="s">
        <v>2152</v>
      </c>
      <c r="D77" s="24" t="s">
        <v>2153</v>
      </c>
      <c r="E77" s="25">
        <v>5</v>
      </c>
      <c r="F77" s="25">
        <v>815</v>
      </c>
      <c r="G77" s="25">
        <v>0</v>
      </c>
      <c r="H77" s="25">
        <f>F77-G77</f>
        <v>815</v>
      </c>
      <c r="I77" s="24" t="s">
        <v>160</v>
      </c>
      <c r="J77" s="24" t="s">
        <v>15</v>
      </c>
      <c r="K77" s="24" t="s">
        <v>2039</v>
      </c>
      <c r="L77" s="48" t="s">
        <v>2176</v>
      </c>
    </row>
  </sheetData>
  <autoFilter ref="A2:P60" xr:uid="{00000000-0009-0000-0000-000006000000}">
    <sortState xmlns:xlrd2="http://schemas.microsoft.com/office/spreadsheetml/2017/richdata2" ref="A3:P60">
      <sortCondition ref="J2:J60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1-4</vt:lpstr>
      <vt:lpstr>2-4</vt:lpstr>
      <vt:lpstr>3-4</vt:lpstr>
      <vt:lpstr>4-4</vt:lpstr>
      <vt:lpstr>6-4</vt:lpstr>
      <vt:lpstr>7-4</vt:lpstr>
      <vt:lpstr>8-4</vt:lpstr>
      <vt:lpstr>9-4</vt:lpstr>
      <vt:lpstr>10-4</vt:lpstr>
      <vt:lpstr>11-4</vt:lpstr>
      <vt:lpstr>13-4</vt:lpstr>
      <vt:lpstr>14-4</vt:lpstr>
      <vt:lpstr>15-4</vt:lpstr>
      <vt:lpstr>16-4</vt:lpstr>
      <vt:lpstr>17-4</vt:lpstr>
      <vt:lpstr>18-4</vt:lpstr>
      <vt:lpstr>20-4</vt:lpstr>
      <vt:lpstr>21-4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2026-04-21T11:02:04Z</dcterms:modified>
</cp:coreProperties>
</file>