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Apr\"/>
    </mc:Choice>
  </mc:AlternateContent>
  <xr:revisionPtr revIDLastSave="0" documentId="13_ncr:1_{51E11964-9357-455C-B167-4DDAC6574667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1-4" sheetId="2" r:id="rId1"/>
    <sheet name="2-4" sheetId="3" r:id="rId2"/>
    <sheet name="3-4" sheetId="4" r:id="rId3"/>
    <sheet name="4-4" sheetId="5" r:id="rId4"/>
    <sheet name="6-4" sheetId="6" r:id="rId5"/>
    <sheet name="7-4" sheetId="7" r:id="rId6"/>
    <sheet name="8-4" sheetId="8" r:id="rId7"/>
    <sheet name="9-4" sheetId="9" r:id="rId8"/>
    <sheet name="10-4" sheetId="10" r:id="rId9"/>
  </sheets>
  <definedNames>
    <definedName name="_xlnm._FilterDatabase" localSheetId="8" hidden="1">'10-4'!$A$2:$P$53</definedName>
    <definedName name="_xlnm._FilterDatabase" localSheetId="0" hidden="1">'1-4'!$A$2:$P$23</definedName>
    <definedName name="_xlnm._FilterDatabase" localSheetId="1" hidden="1">'2-4'!$A$2:$P$24</definedName>
    <definedName name="_xlnm._FilterDatabase" localSheetId="2" hidden="1">'3-4'!$A$2:$P$53</definedName>
    <definedName name="_xlnm._FilterDatabase" localSheetId="3" hidden="1">'4-4'!$A$2:$P$42</definedName>
    <definedName name="_xlnm._FilterDatabase" localSheetId="4" hidden="1">'6-4'!$A$2:$P$54</definedName>
    <definedName name="_xlnm._FilterDatabase" localSheetId="5" hidden="1">'7-4'!$A$2:$P$27</definedName>
    <definedName name="_xlnm._FilterDatabase" localSheetId="6" hidden="1">'8-4'!$A$2:$P$45</definedName>
    <definedName name="_xlnm._FilterDatabase" localSheetId="7" hidden="1">'9-4'!$A$2:$P$39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4" i="10" l="1"/>
  <c r="I63" i="10"/>
  <c r="I62" i="10"/>
  <c r="Q55" i="10"/>
  <c r="J60" i="10" s="1"/>
  <c r="J67" i="10" s="1"/>
  <c r="P55" i="10"/>
  <c r="O55" i="10"/>
  <c r="N55" i="10"/>
  <c r="M55" i="10"/>
  <c r="L55" i="10"/>
  <c r="K55" i="10"/>
  <c r="J55" i="10"/>
  <c r="H55" i="10"/>
  <c r="G55" i="10"/>
  <c r="R53" i="10"/>
  <c r="I53" i="10"/>
  <c r="I52" i="10"/>
  <c r="I51" i="10"/>
  <c r="I50" i="10"/>
  <c r="I49" i="10"/>
  <c r="I48" i="10"/>
  <c r="I47" i="10"/>
  <c r="I46" i="10"/>
  <c r="I45" i="10"/>
  <c r="I44" i="10"/>
  <c r="I43" i="10"/>
  <c r="I42" i="10"/>
  <c r="I41" i="10"/>
  <c r="I40" i="10"/>
  <c r="I39" i="10"/>
  <c r="I38" i="10"/>
  <c r="I37" i="10"/>
  <c r="I36" i="10"/>
  <c r="R35" i="10"/>
  <c r="I35" i="10"/>
  <c r="I34" i="10"/>
  <c r="I33" i="10"/>
  <c r="I32" i="10"/>
  <c r="I31" i="10"/>
  <c r="R30" i="10"/>
  <c r="I30" i="10"/>
  <c r="I29" i="10"/>
  <c r="R28" i="10"/>
  <c r="I28" i="10"/>
  <c r="R27" i="10"/>
  <c r="I27" i="10"/>
  <c r="I26" i="10"/>
  <c r="I25" i="10"/>
  <c r="I24" i="10"/>
  <c r="I23" i="10"/>
  <c r="R22" i="10"/>
  <c r="I22" i="10"/>
  <c r="I21" i="10"/>
  <c r="I20" i="10"/>
  <c r="I19" i="10"/>
  <c r="I18" i="10"/>
  <c r="I17" i="10"/>
  <c r="I16" i="10"/>
  <c r="R15" i="10"/>
  <c r="I15" i="10"/>
  <c r="I14" i="10"/>
  <c r="I13" i="10"/>
  <c r="R12" i="10"/>
  <c r="I12" i="10"/>
  <c r="I11" i="10"/>
  <c r="I10" i="10"/>
  <c r="I9" i="10"/>
  <c r="I8" i="10"/>
  <c r="I7" i="10"/>
  <c r="I6" i="10"/>
  <c r="R5" i="10"/>
  <c r="R55" i="10" s="1"/>
  <c r="I61" i="10" s="1"/>
  <c r="I5" i="10"/>
  <c r="I4" i="10"/>
  <c r="I3" i="10"/>
  <c r="I55" i="10" s="1"/>
  <c r="I60" i="10" s="1"/>
  <c r="I67" i="10" s="1"/>
  <c r="R38" i="9"/>
  <c r="R33" i="9"/>
  <c r="R29" i="9"/>
  <c r="R25" i="9"/>
  <c r="R24" i="9"/>
  <c r="R21" i="9"/>
  <c r="R19" i="9"/>
  <c r="R15" i="9"/>
  <c r="R12" i="9"/>
  <c r="R5" i="9"/>
  <c r="I39" i="9"/>
  <c r="I38" i="9"/>
  <c r="I37" i="9"/>
  <c r="I41" i="9" s="1"/>
  <c r="I46" i="9" s="1"/>
  <c r="I36" i="9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I3" i="9"/>
  <c r="I50" i="9"/>
  <c r="I49" i="9"/>
  <c r="I48" i="9"/>
  <c r="R41" i="9"/>
  <c r="I47" i="9" s="1"/>
  <c r="Q41" i="9"/>
  <c r="J46" i="9" s="1"/>
  <c r="J53" i="9" s="1"/>
  <c r="P41" i="9"/>
  <c r="O41" i="9"/>
  <c r="N41" i="9"/>
  <c r="M41" i="9"/>
  <c r="L41" i="9"/>
  <c r="K41" i="9"/>
  <c r="J41" i="9"/>
  <c r="H41" i="9"/>
  <c r="G41" i="9"/>
  <c r="I11" i="3"/>
  <c r="I12" i="3"/>
  <c r="I13" i="3"/>
  <c r="I52" i="8"/>
  <c r="H63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I3" i="8"/>
  <c r="I56" i="8"/>
  <c r="I55" i="8"/>
  <c r="I54" i="8"/>
  <c r="Q47" i="8"/>
  <c r="J52" i="8" s="1"/>
  <c r="J59" i="8" s="1"/>
  <c r="P47" i="8"/>
  <c r="O47" i="8"/>
  <c r="N47" i="8"/>
  <c r="M47" i="8"/>
  <c r="L47" i="8"/>
  <c r="K47" i="8"/>
  <c r="J47" i="8"/>
  <c r="H47" i="8"/>
  <c r="G47" i="8"/>
  <c r="R47" i="8"/>
  <c r="I53" i="8" s="1"/>
  <c r="I47" i="8"/>
  <c r="H48" i="7"/>
  <c r="I34" i="7"/>
  <c r="I41" i="7" s="1"/>
  <c r="R21" i="7"/>
  <c r="R20" i="7"/>
  <c r="R17" i="7"/>
  <c r="R16" i="7"/>
  <c r="R6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I4" i="7"/>
  <c r="I3" i="7"/>
  <c r="I38" i="7"/>
  <c r="I37" i="7"/>
  <c r="I36" i="7"/>
  <c r="Q29" i="7"/>
  <c r="J34" i="7" s="1"/>
  <c r="J41" i="7" s="1"/>
  <c r="P29" i="7"/>
  <c r="O29" i="7"/>
  <c r="N29" i="7"/>
  <c r="M29" i="7"/>
  <c r="L29" i="7"/>
  <c r="K29" i="7"/>
  <c r="J29" i="7"/>
  <c r="H29" i="7"/>
  <c r="G29" i="7"/>
  <c r="R29" i="7"/>
  <c r="I35" i="7" s="1"/>
  <c r="R53" i="6"/>
  <c r="R35" i="6"/>
  <c r="R30" i="6"/>
  <c r="R28" i="6"/>
  <c r="R27" i="6"/>
  <c r="R12" i="6"/>
  <c r="R5" i="6"/>
  <c r="R22" i="6"/>
  <c r="R15" i="6"/>
  <c r="I37" i="6"/>
  <c r="I36" i="6"/>
  <c r="I21" i="6"/>
  <c r="I20" i="6"/>
  <c r="I35" i="6"/>
  <c r="I54" i="6"/>
  <c r="I34" i="6"/>
  <c r="I19" i="6"/>
  <c r="I33" i="6"/>
  <c r="I32" i="6"/>
  <c r="I31" i="6"/>
  <c r="I18" i="6"/>
  <c r="I17" i="6"/>
  <c r="I16" i="6"/>
  <c r="I53" i="6"/>
  <c r="I30" i="6"/>
  <c r="I15" i="6"/>
  <c r="I52" i="6"/>
  <c r="I29" i="6"/>
  <c r="I14" i="6"/>
  <c r="I51" i="6"/>
  <c r="I50" i="6"/>
  <c r="I49" i="6"/>
  <c r="I28" i="6"/>
  <c r="I48" i="6"/>
  <c r="I47" i="6"/>
  <c r="I46" i="6"/>
  <c r="I13" i="6"/>
  <c r="I45" i="6"/>
  <c r="I12" i="6"/>
  <c r="I44" i="6"/>
  <c r="I43" i="6"/>
  <c r="I42" i="6"/>
  <c r="I11" i="6"/>
  <c r="I10" i="6"/>
  <c r="I41" i="6"/>
  <c r="I40" i="6"/>
  <c r="I27" i="6"/>
  <c r="I26" i="6"/>
  <c r="I25" i="6"/>
  <c r="I9" i="6"/>
  <c r="I24" i="6"/>
  <c r="I39" i="6"/>
  <c r="I38" i="6"/>
  <c r="I8" i="6"/>
  <c r="I7" i="6"/>
  <c r="I6" i="6"/>
  <c r="I5" i="6"/>
  <c r="I4" i="6"/>
  <c r="I23" i="6"/>
  <c r="I3" i="6"/>
  <c r="I22" i="6"/>
  <c r="I65" i="6"/>
  <c r="I64" i="6"/>
  <c r="I63" i="6"/>
  <c r="Q56" i="6"/>
  <c r="J61" i="6" s="1"/>
  <c r="J68" i="6" s="1"/>
  <c r="P56" i="6"/>
  <c r="O56" i="6"/>
  <c r="N56" i="6"/>
  <c r="M56" i="6"/>
  <c r="L56" i="6"/>
  <c r="K56" i="6"/>
  <c r="J56" i="6"/>
  <c r="H56" i="6"/>
  <c r="G56" i="6"/>
  <c r="R41" i="5"/>
  <c r="R34" i="5"/>
  <c r="R33" i="5"/>
  <c r="R32" i="5"/>
  <c r="R29" i="5"/>
  <c r="R25" i="5"/>
  <c r="R14" i="5"/>
  <c r="R27" i="5"/>
  <c r="I20" i="5"/>
  <c r="I6" i="5"/>
  <c r="I7" i="5"/>
  <c r="I8" i="5"/>
  <c r="I34" i="5"/>
  <c r="I9" i="5"/>
  <c r="I21" i="5"/>
  <c r="I10" i="5"/>
  <c r="I22" i="5"/>
  <c r="I23" i="5"/>
  <c r="I11" i="5"/>
  <c r="I35" i="5"/>
  <c r="I3" i="5"/>
  <c r="I24" i="5"/>
  <c r="I25" i="5"/>
  <c r="I26" i="5"/>
  <c r="I27" i="5"/>
  <c r="I28" i="5"/>
  <c r="I36" i="5"/>
  <c r="I12" i="5"/>
  <c r="I13" i="5"/>
  <c r="I14" i="5"/>
  <c r="I37" i="5"/>
  <c r="I29" i="5"/>
  <c r="I38" i="5"/>
  <c r="I15" i="5"/>
  <c r="I16" i="5"/>
  <c r="I39" i="5"/>
  <c r="I30" i="5"/>
  <c r="I31" i="5"/>
  <c r="I32" i="5"/>
  <c r="I33" i="5"/>
  <c r="I40" i="5"/>
  <c r="I17" i="5"/>
  <c r="I41" i="5"/>
  <c r="I42" i="5"/>
  <c r="I18" i="5"/>
  <c r="I4" i="5"/>
  <c r="I19" i="5"/>
  <c r="I5" i="5"/>
  <c r="I53" i="5"/>
  <c r="I52" i="5"/>
  <c r="I51" i="5"/>
  <c r="Q44" i="5"/>
  <c r="J49" i="5" s="1"/>
  <c r="J56" i="5" s="1"/>
  <c r="P44" i="5"/>
  <c r="O44" i="5"/>
  <c r="N44" i="5"/>
  <c r="M44" i="5"/>
  <c r="L44" i="5"/>
  <c r="K44" i="5"/>
  <c r="J44" i="5"/>
  <c r="H44" i="5"/>
  <c r="G44" i="5"/>
  <c r="R44" i="5"/>
  <c r="I50" i="5" s="1"/>
  <c r="I50" i="4"/>
  <c r="R41" i="4"/>
  <c r="R40" i="4"/>
  <c r="R38" i="4"/>
  <c r="R37" i="4"/>
  <c r="R33" i="4"/>
  <c r="R31" i="4"/>
  <c r="R30" i="4"/>
  <c r="R5" i="4"/>
  <c r="R55" i="4" s="1"/>
  <c r="I61" i="4" s="1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1" i="4"/>
  <c r="I52" i="4"/>
  <c r="I5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" i="4"/>
  <c r="I55" i="4" s="1"/>
  <c r="I60" i="4" s="1"/>
  <c r="I64" i="4"/>
  <c r="I63" i="4"/>
  <c r="I62" i="4"/>
  <c r="Q55" i="4"/>
  <c r="J60" i="4" s="1"/>
  <c r="J67" i="4" s="1"/>
  <c r="P55" i="4"/>
  <c r="O55" i="4"/>
  <c r="N55" i="4"/>
  <c r="M55" i="4"/>
  <c r="L55" i="4"/>
  <c r="K55" i="4"/>
  <c r="J55" i="4"/>
  <c r="H55" i="4"/>
  <c r="G55" i="4"/>
  <c r="R16" i="3"/>
  <c r="R10" i="3"/>
  <c r="R23" i="3"/>
  <c r="R19" i="3"/>
  <c r="R17" i="3"/>
  <c r="R7" i="3"/>
  <c r="R5" i="3"/>
  <c r="H43" i="3"/>
  <c r="I24" i="3"/>
  <c r="I23" i="3"/>
  <c r="I22" i="3"/>
  <c r="I21" i="3"/>
  <c r="I20" i="3"/>
  <c r="I19" i="3"/>
  <c r="I18" i="3"/>
  <c r="I10" i="3"/>
  <c r="I17" i="3"/>
  <c r="I16" i="3"/>
  <c r="I15" i="3"/>
  <c r="I14" i="3"/>
  <c r="I9" i="3"/>
  <c r="I8" i="3"/>
  <c r="I7" i="3"/>
  <c r="I6" i="3"/>
  <c r="I5" i="3"/>
  <c r="I4" i="3"/>
  <c r="I3" i="3"/>
  <c r="I26" i="3" s="1"/>
  <c r="I31" i="3" s="1"/>
  <c r="I35" i="3"/>
  <c r="I34" i="3"/>
  <c r="I33" i="3"/>
  <c r="Q26" i="3"/>
  <c r="J31" i="3" s="1"/>
  <c r="J38" i="3" s="1"/>
  <c r="P26" i="3"/>
  <c r="O26" i="3"/>
  <c r="N26" i="3"/>
  <c r="M26" i="3"/>
  <c r="L26" i="3"/>
  <c r="K26" i="3"/>
  <c r="J26" i="3"/>
  <c r="H26" i="3"/>
  <c r="G26" i="3"/>
  <c r="R23" i="2"/>
  <c r="R17" i="2"/>
  <c r="R16" i="2"/>
  <c r="R9" i="2"/>
  <c r="R4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34" i="2"/>
  <c r="I33" i="2"/>
  <c r="I32" i="2"/>
  <c r="Q25" i="2"/>
  <c r="J30" i="2" s="1"/>
  <c r="J37" i="2" s="1"/>
  <c r="P25" i="2"/>
  <c r="O25" i="2"/>
  <c r="N25" i="2"/>
  <c r="M25" i="2"/>
  <c r="L25" i="2"/>
  <c r="K25" i="2"/>
  <c r="J25" i="2"/>
  <c r="H25" i="2"/>
  <c r="G25" i="2"/>
  <c r="I25" i="2"/>
  <c r="I30" i="2" s="1"/>
  <c r="I53" i="9" l="1"/>
  <c r="I59" i="8"/>
  <c r="I29" i="7"/>
  <c r="I56" i="6"/>
  <c r="I61" i="6" s="1"/>
  <c r="R56" i="6"/>
  <c r="I62" i="6" s="1"/>
  <c r="I44" i="5"/>
  <c r="I49" i="5" s="1"/>
  <c r="I56" i="5" s="1"/>
  <c r="I67" i="4"/>
  <c r="R26" i="3"/>
  <c r="I32" i="3" s="1"/>
  <c r="I38" i="3" s="1"/>
  <c r="R25" i="2"/>
  <c r="I31" i="2" s="1"/>
  <c r="I37" i="2" s="1"/>
  <c r="I68" i="6" l="1"/>
</calcChain>
</file>

<file path=xl/sharedStrings.xml><?xml version="1.0" encoding="utf-8"?>
<sst xmlns="http://schemas.openxmlformats.org/spreadsheetml/2006/main" count="2897" uniqueCount="899">
  <si>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</si>
  <si>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</si>
  <si>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</si>
  <si>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</si>
  <si>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</si>
  <si>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</si>
  <si>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</si>
  <si>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</si>
  <si>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</si>
  <si>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</si>
  <si>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</si>
  <si>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</si>
  <si>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</si>
  <si>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</si>
  <si>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</si>
  <si>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c.cuong</t>
  </si>
  <si>
    <t>đổi hàng</t>
  </si>
  <si>
    <t>phu nhuan</t>
  </si>
  <si>
    <t>tan binh</t>
  </si>
  <si>
    <t>binh thanh</t>
  </si>
  <si>
    <t>go vap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</si>
  <si>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</si>
  <si>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</si>
  <si>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</si>
  <si>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</si>
  <si>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</si>
  <si>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</si>
  <si>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</si>
  <si>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</si>
  <si>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</si>
  <si>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</si>
  <si>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THU 4</t>
  </si>
  <si>
    <t>NGAY 1-4</t>
  </si>
  <si>
    <t>T4.1.4.2026</t>
  </si>
  <si>
    <t>ĐOÀN NGÂN CHÂU</t>
  </si>
  <si>
    <t>Fb: quỳnh vũ( minh hải)</t>
  </si>
  <si>
    <t>HD006847</t>
  </si>
  <si>
    <t>Số 17 đường số 13 phường bình hưng hòa</t>
  </si>
  <si>
    <t>binh tan</t>
  </si>
  <si>
    <t>AT 01-04</t>
  </si>
  <si>
    <t>01-04-2026</t>
  </si>
  <si>
    <t>Sun Na</t>
  </si>
  <si>
    <t>HD006628</t>
  </si>
  <si>
    <t>Chung cư cardinal court toà B</t>
  </si>
  <si>
    <t>Quỳnh Giao</t>
  </si>
  <si>
    <t>HD006869</t>
  </si>
  <si>
    <t>148 đỗ thị lời f11</t>
  </si>
  <si>
    <t>Quỳnh Thy</t>
  </si>
  <si>
    <t>HD006825</t>
  </si>
  <si>
    <t>Block D chung cư ecogreen, 107 Nguyễn Văn Linh, Tân Thuận Tây</t>
  </si>
  <si>
    <t>Thu Ba DS</t>
  </si>
  <si>
    <t>HD006743</t>
  </si>
  <si>
    <t>395 Bùi Đình Tuý, p14</t>
  </si>
  <si>
    <t>Quỳnh Anh</t>
  </si>
  <si>
    <t>HD006833</t>
  </si>
  <si>
    <t>754 Nguyễn xiển p. long bình</t>
  </si>
  <si>
    <t>a.quyen</t>
  </si>
  <si>
    <t>Ngọc Mơ</t>
  </si>
  <si>
    <t>HD006858</t>
  </si>
  <si>
    <t>107/7 huỳnh an khương p5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</si>
  <si>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</si>
  <si>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</si>
  <si>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</si>
  <si>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</si>
  <si>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</si>
  <si>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</si>
  <si>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Nguyễn TC Tiên</t>
  </si>
  <si>
    <t>HD006773</t>
  </si>
  <si>
    <t>6 Thạch Thị Thanh, Tân Định</t>
  </si>
  <si>
    <t>Nguyễn thị huệ fb Jannie vu</t>
  </si>
  <si>
    <t>HD006846</t>
  </si>
  <si>
    <t>136 đông hưng thuận 3 phường đông hưng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</si>
  <si>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</si>
  <si>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</si>
  <si>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</si>
  <si>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</si>
  <si>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</si>
  <si>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</si>
  <si>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Ngoc Venus</t>
  </si>
  <si>
    <t>HD006867</t>
  </si>
  <si>
    <t>69 phố tiểu nam, p Tân Phú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</si>
  <si>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</si>
  <si>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</si>
  <si>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</si>
  <si>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</si>
  <si>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</si>
  <si>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</si>
  <si>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</si>
  <si>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</si>
  <si>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</si>
  <si>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X.Anh</t>
  </si>
  <si>
    <t>HD006728</t>
  </si>
  <si>
    <t>Căn 603, lô B2 chung cư orchard parkview, 130-132 hồng hà, p. Đức Nhuận</t>
  </si>
  <si>
    <t>Khánh Như</t>
  </si>
  <si>
    <t>HD006868</t>
  </si>
  <si>
    <t>688/23/1c Hương Lộ 2, phường Bình Trị Đông A</t>
  </si>
  <si>
    <t>hàng sỉ</t>
  </si>
  <si>
    <t>Kim Liên</t>
  </si>
  <si>
    <t>25/17/11 CỬU LONG PHƯỜNG 2</t>
  </si>
  <si>
    <t>Jess-9244</t>
  </si>
  <si>
    <t>275/14B1 Đặng Nguyên Cẩn, Phường Phú Lâm</t>
  </si>
  <si>
    <t>ĐỊA CHỈ</t>
  </si>
  <si>
    <t>THU 5</t>
  </si>
  <si>
    <t>NGAY 2-4</t>
  </si>
  <si>
    <t>T5.2.4.2026</t>
  </si>
  <si>
    <t>Thùy Dương</t>
  </si>
  <si>
    <t>HD007101</t>
  </si>
  <si>
    <t>2087 Huỳnh Tấn Phát</t>
  </si>
  <si>
    <t>nha be</t>
  </si>
  <si>
    <t>AT 02-04</t>
  </si>
  <si>
    <t>02-04-2026</t>
  </si>
  <si>
    <t>Nguyễn Thị Kim Thoa</t>
  </si>
  <si>
    <t>HD007091</t>
  </si>
  <si>
    <t>số 25a đường 22 sình hưng hòa a</t>
  </si>
  <si>
    <t>Linh Hạ</t>
  </si>
  <si>
    <t>HD006999</t>
  </si>
  <si>
    <t>854 tạ quang bửu chung cư gia việt phường 5</t>
  </si>
  <si>
    <t>Yến Oanh</t>
  </si>
  <si>
    <t>HD005268</t>
  </si>
  <si>
    <t>33 Đ Ng~ hữu thọ Tân hưng</t>
  </si>
  <si>
    <t>Cẩm Tú</t>
  </si>
  <si>
    <t>HD006777</t>
  </si>
  <si>
    <t>Chung cư west gate an gia Cẩm Tú</t>
  </si>
  <si>
    <t>binh chanh</t>
  </si>
  <si>
    <t>Hiếu Lee</t>
  </si>
  <si>
    <t>HD007067</t>
  </si>
  <si>
    <t>Chung cu folita him lam</t>
  </si>
  <si>
    <t>Tuyết Mai</t>
  </si>
  <si>
    <t>HD007102</t>
  </si>
  <si>
    <t>276/3/45/11/17 Mã lò, Phường Bình Trị Đông A</t>
  </si>
  <si>
    <t>Soipin - Hiền Đăng</t>
  </si>
  <si>
    <t>Xe Anh Khương</t>
  </si>
  <si>
    <t>Nt hai yen</t>
  </si>
  <si>
    <t>132 khu dân cư Tân tiến, Tân Thới Hiệp</t>
  </si>
  <si>
    <t>Phương Thảo</t>
  </si>
  <si>
    <t xml:space="preserve">189/46a Bạch Đằng, phường Hạnh Thông </t>
  </si>
  <si>
    <t>Bình Trần</t>
  </si>
  <si>
    <t>41/8 Mai Lão Bạng, Phường 13</t>
  </si>
  <si>
    <t>Mén HM</t>
  </si>
  <si>
    <t>HD006947</t>
  </si>
  <si>
    <t>Toà landmark 2</t>
  </si>
  <si>
    <t>Hồng Khanh fb Hoàng Thị Lộc</t>
  </si>
  <si>
    <t>HD007069</t>
  </si>
  <si>
    <t>1080, Đỗ Mười, phường linh trung</t>
  </si>
  <si>
    <t>thu duc</t>
  </si>
  <si>
    <t>Lê Quốc Khánh_FE: My Le</t>
  </si>
  <si>
    <t>HD006896</t>
  </si>
  <si>
    <t>Hẻm 132, 132/78 nguyễn hữu cảnh</t>
  </si>
  <si>
    <t>Nguyễn Trương Phương Oanh</t>
  </si>
  <si>
    <t>HD006977</t>
  </si>
  <si>
    <t>125/42/2 Bùi Đình Tuý, phường 14</t>
  </si>
  <si>
    <t>kh ck shop 1215k</t>
  </si>
  <si>
    <t>Phương Kim</t>
  </si>
  <si>
    <t>HD007131</t>
  </si>
  <si>
    <t>213/6 đường số 1,p6</t>
  </si>
  <si>
    <t>Nguyễn Thị Thùy Trang</t>
  </si>
  <si>
    <t>HD007013</t>
  </si>
  <si>
    <t>41A huỳnh tịnh của p19</t>
  </si>
  <si>
    <t>Hoàng anh</t>
  </si>
  <si>
    <t>71/39/31 Nguyễn Bặc, Phường 3</t>
  </si>
  <si>
    <t>c.hieu</t>
  </si>
  <si>
    <t>Nguyệt Nguyễn Thị Minh</t>
  </si>
  <si>
    <t>HD007068</t>
  </si>
  <si>
    <t>35 Lý Văn Phức phường Tân Định</t>
  </si>
  <si>
    <t>HD007115</t>
  </si>
  <si>
    <t>3/51/4 thành thái p14</t>
  </si>
  <si>
    <t>Kim Minh</t>
  </si>
  <si>
    <t>HD006908</t>
  </si>
  <si>
    <t>Địa chỉ : 189A Cống Quỳnh p.Cầu Ông Lãnh</t>
  </si>
  <si>
    <t>kh ck shop 895k</t>
  </si>
  <si>
    <t>Linh Tiêu</t>
  </si>
  <si>
    <t>HD006958</t>
  </si>
  <si>
    <t>97 Ký Con,p Nguyễn Thái Bình</t>
  </si>
  <si>
    <t>đơn ck</t>
  </si>
  <si>
    <t>Bùi Thị Cẩm Dung (inst: zunzunggg)</t>
  </si>
  <si>
    <t>HD005892</t>
  </si>
  <si>
    <t>T2-35 Khu Manhattan vinhomes Grand Park, Long Bình</t>
  </si>
  <si>
    <t>03-04-2026</t>
  </si>
  <si>
    <t>Kim</t>
  </si>
  <si>
    <t>HD007057</t>
  </si>
  <si>
    <t>Lumiere Boulevard Block B Vinhome grand park , Phường Long Bình</t>
  </si>
  <si>
    <t>Công Thanh - Bảo Trân</t>
  </si>
  <si>
    <t>HD007401</t>
  </si>
  <si>
    <t>Giao về 63/5 dương đình hội, phước long B</t>
  </si>
  <si>
    <t>Đan Phạm Ngọc Hùng</t>
  </si>
  <si>
    <t>HD007393</t>
  </si>
  <si>
    <t>Số 25 đường 265, P. Hiệp Phú</t>
  </si>
  <si>
    <t>chị như</t>
  </si>
  <si>
    <t>HD007285</t>
  </si>
  <si>
    <t>j stay deluxe apartments 476 trần hưng đạo p2 chợ quán</t>
  </si>
  <si>
    <t>AT 03-04</t>
  </si>
  <si>
    <t>Minh Thư</t>
  </si>
  <si>
    <t>HD007493</t>
  </si>
  <si>
    <t>6/24 tân chánh hiệp 36, p trung mỹ tây</t>
  </si>
  <si>
    <t>Mị Nương</t>
  </si>
  <si>
    <t>HD007511</t>
  </si>
  <si>
    <t>33 nguyễn hữu thọ chung cư sunrise city view block A</t>
  </si>
  <si>
    <t>Lê Thị Hoài Phương</t>
  </si>
  <si>
    <t>HD007406</t>
  </si>
  <si>
    <t>572/19/18 Âu cơ. Phường bảy hiền</t>
  </si>
  <si>
    <t>Annie Annie</t>
  </si>
  <si>
    <t>HD007516</t>
  </si>
  <si>
    <t>110 đường 14 Him Lam tân hưng</t>
  </si>
  <si>
    <t>Thanh Trúc Lê</t>
  </si>
  <si>
    <t>HD007541</t>
  </si>
  <si>
    <t>116/154/13 tổ 80 khu phố 3 Phường trung mỹ Tây</t>
  </si>
  <si>
    <t>Nhi Nhi</t>
  </si>
  <si>
    <t>HD007561</t>
  </si>
  <si>
    <t>chung cư sunrise city view block B</t>
  </si>
  <si>
    <t>Xuân Xuân</t>
  </si>
  <si>
    <t>HD007551</t>
  </si>
  <si>
    <t>Địa chỉ đối diện 210/12 trịnh đình trọng, p tan phu</t>
  </si>
  <si>
    <t>tan phu</t>
  </si>
  <si>
    <t>chị ngọc</t>
  </si>
  <si>
    <t>HD007306</t>
  </si>
  <si>
    <t>C4/68 phạm hùng</t>
  </si>
  <si>
    <t>Tranh ( mẹ e nhận ghi tên Tranh )</t>
  </si>
  <si>
    <t>HD007313</t>
  </si>
  <si>
    <t>245A/14D Ba Đình p8</t>
  </si>
  <si>
    <t>Thu Ba Nguyễn</t>
  </si>
  <si>
    <t>HD007575</t>
  </si>
  <si>
    <t>chung cư Tô Hiến Thành 339/34A Tô Hiến Thành p12</t>
  </si>
  <si>
    <t>Thảo Vy</t>
  </si>
  <si>
    <t>HD007327</t>
  </si>
  <si>
    <t>Dạ 163/14/41 Tô Hiến Thành phường Hoà Hưng</t>
  </si>
  <si>
    <t>Như Hoàng</t>
  </si>
  <si>
    <t>HD006996</t>
  </si>
  <si>
    <t>130 châu văn liêm p11</t>
  </si>
  <si>
    <t>Ngọc Anh</t>
  </si>
  <si>
    <t>HD007286</t>
  </si>
  <si>
    <t>Toà MP7 - chung cư Mizuki Park - Bình Hưng</t>
  </si>
  <si>
    <t>Tramm Anh</t>
  </si>
  <si>
    <t>HD007233</t>
  </si>
  <si>
    <t>246 lý thường kiệt</t>
  </si>
  <si>
    <t>Linh Phan</t>
  </si>
  <si>
    <t>HD007200</t>
  </si>
  <si>
    <t>6 thái văn lung p. bến nghé</t>
  </si>
  <si>
    <t>Hạnh Hạnh</t>
  </si>
  <si>
    <t>HD007529</t>
  </si>
  <si>
    <t>334 tô hiến thành p14 Chung cư kingdom101 block a</t>
  </si>
  <si>
    <t>HD007195</t>
  </si>
  <si>
    <t>6/24 tấn chánh hiệp 36, p trung mỹ tây</t>
  </si>
  <si>
    <t>Huỳnh Như</t>
  </si>
  <si>
    <t>HD007431</t>
  </si>
  <si>
    <t>Block B chung cư Mia đường 9a kdc trung sơn bình Hưng</t>
  </si>
  <si>
    <t>Mercy Nguyễn Pmu</t>
  </si>
  <si>
    <t>HD007354</t>
  </si>
  <si>
    <t>298/16/8B Tân Hoà Đông P bình trị đông</t>
  </si>
  <si>
    <t>Nguyen Ngoc</t>
  </si>
  <si>
    <t>HD007390</t>
  </si>
  <si>
    <t>Toà Nhà Victory Tân Phú</t>
  </si>
  <si>
    <t>đặng - fb Kim Lee</t>
  </si>
  <si>
    <t>HD007191</t>
  </si>
  <si>
    <t>3/44 ấp nhị tân, xã tân thới nhì</t>
  </si>
  <si>
    <t>hoc mon</t>
  </si>
  <si>
    <t>Tram Anh Nguyen</t>
  </si>
  <si>
    <t>HD005110</t>
  </si>
  <si>
    <t>Topaz phoenix Ib phường 4</t>
  </si>
  <si>
    <t>NGA ANNA</t>
  </si>
  <si>
    <t>375 tân thới hiệp 21, Tổ 3, Kp3</t>
  </si>
  <si>
    <t>BELLA TRẦN</t>
  </si>
  <si>
    <t>66đường 17 p10</t>
  </si>
  <si>
    <t>TUYẾT NHI</t>
  </si>
  <si>
    <t>170F Tân Hoà Đông f14</t>
  </si>
  <si>
    <t>Liễu ( fb Lina Nguyễn)</t>
  </si>
  <si>
    <t>HD007408</t>
  </si>
  <si>
    <t>261C Nguyễn Văn Trỗi, P10</t>
  </si>
  <si>
    <t>Emily fb Trần Nguyễn Ngọc Bích</t>
  </si>
  <si>
    <t>HD007272</t>
  </si>
  <si>
    <t>36/15 yên thế p2</t>
  </si>
  <si>
    <t>dolly dolly</t>
  </si>
  <si>
    <t>HD007490</t>
  </si>
  <si>
    <t>21 võ trường toản thảo điền</t>
  </si>
  <si>
    <t>Trương Tiểu Băng</t>
  </si>
  <si>
    <t>HD007429</t>
  </si>
  <si>
    <t>84 thống nhất phường 10</t>
  </si>
  <si>
    <t>Lâm Thảo Nhi</t>
  </si>
  <si>
    <t>HD007443</t>
  </si>
  <si>
    <t>173D Đặng Văn Ngữ</t>
  </si>
  <si>
    <t>Ngô Hoàng Ánh</t>
  </si>
  <si>
    <t>HD007350</t>
  </si>
  <si>
    <t>235 QL13 Cũ</t>
  </si>
  <si>
    <t>Ngọc Mai</t>
  </si>
  <si>
    <t>HD007587</t>
  </si>
  <si>
    <t>số 639 quốc lộ 13, phường hiệp bình phước</t>
  </si>
  <si>
    <t>HD007592</t>
  </si>
  <si>
    <t>Nuong Huynh</t>
  </si>
  <si>
    <t>HD007570</t>
  </si>
  <si>
    <t>67 mai chí thọ phường an phú</t>
  </si>
  <si>
    <t>Kim Thi</t>
  </si>
  <si>
    <t>HD007183</t>
  </si>
  <si>
    <t>219/78 trần văn đang</t>
  </si>
  <si>
    <t>Thiên Tú</t>
  </si>
  <si>
    <t>HD007273</t>
  </si>
  <si>
    <t>B1706 Chung cư Đất Phương Nam, 241 Chu Văn An</t>
  </si>
  <si>
    <t>Nguyệt LẠI</t>
  </si>
  <si>
    <t>HD007430</t>
  </si>
  <si>
    <t>111/8/2/62 Đặng Thùy Trâm, F13</t>
  </si>
  <si>
    <t>Phạm Thị Bảo Trân</t>
  </si>
  <si>
    <t>HD007243</t>
  </si>
  <si>
    <t>Block B Chung Cư Urban Green, Đường Số 6, Hiệp Bình</t>
  </si>
  <si>
    <t>Kiều Phương Thao</t>
  </si>
  <si>
    <t>HD007212</t>
  </si>
  <si>
    <t>290/5/15 Nơ Trang Long F12</t>
  </si>
  <si>
    <t>Duyên Nguyễn</t>
  </si>
  <si>
    <t>HD007196</t>
  </si>
  <si>
    <t>1244/64/7 Lê Đức Thọ, p13</t>
  </si>
  <si>
    <t>gộp</t>
  </si>
  <si>
    <t>Quỳnh Như</t>
  </si>
  <si>
    <t>HD007058</t>
  </si>
  <si>
    <t>66/68, Phổ Quang, Phường 2</t>
  </si>
  <si>
    <t>HD007574</t>
  </si>
  <si>
    <t>LISA</t>
  </si>
  <si>
    <t>685 tân sơn phường 12</t>
  </si>
  <si>
    <t>Ly Clara Selena</t>
  </si>
  <si>
    <t>403 tân sơn p12</t>
  </si>
  <si>
    <t>THU 6</t>
  </si>
  <si>
    <t>NGAY 3-4</t>
  </si>
  <si>
    <t>T6.3.4.2026</t>
  </si>
  <si>
    <t>HD007059</t>
  </si>
  <si>
    <t>THU 7</t>
  </si>
  <si>
    <t>NGAY 4-4</t>
  </si>
  <si>
    <t>đăng - fb Kim Lee.</t>
  </si>
  <si>
    <t>HD007875</t>
  </si>
  <si>
    <t>AT 04-04</t>
  </si>
  <si>
    <t>04-04-2026</t>
  </si>
  <si>
    <t>Trâm</t>
  </si>
  <si>
    <t>HD007872</t>
  </si>
  <si>
    <t>3 trịnh khắc lập, p. thạnh mỹ lợi, tp. thủ đức ( dc cũ)</t>
  </si>
  <si>
    <t>Trương Quỳnh Như</t>
  </si>
  <si>
    <t>HD007799</t>
  </si>
  <si>
    <t>27/62/34 thanh xuân 33</t>
  </si>
  <si>
    <t>Trang Hồ Vĩnh Như</t>
  </si>
  <si>
    <t>HD007699</t>
  </si>
  <si>
    <t>35 đặng đức thuật, chung cư RIVERPARK PREMIER Block A, p.Tân Phong ( kế bên tiệm bánh tour les Jours)</t>
  </si>
  <si>
    <t>Ji Ah</t>
  </si>
  <si>
    <t>HD007814</t>
  </si>
  <si>
    <t>89 lê thị chợ phú thuận Chung cư Skyline</t>
  </si>
  <si>
    <t>Nguyễn Tố Mai</t>
  </si>
  <si>
    <t>HD007743</t>
  </si>
  <si>
    <t>413/8 lê văn sỹ p12</t>
  </si>
  <si>
    <t>Nhi</t>
  </si>
  <si>
    <t>HD007616</t>
  </si>
  <si>
    <t>13/7 phú thọ f1</t>
  </si>
  <si>
    <t>THÁI HÀ</t>
  </si>
  <si>
    <t>HD007696</t>
  </si>
  <si>
    <t>inden ressidence Empire city thủ thiêm</t>
  </si>
  <si>
    <t>Trà Giang</t>
  </si>
  <si>
    <t>HD007851</t>
  </si>
  <si>
    <t>523 mã lò bình hưng hoà a</t>
  </si>
  <si>
    <t>Hạnh Bùi</t>
  </si>
  <si>
    <t>HD007610</t>
  </si>
  <si>
    <t>31 Đường số 12, P. Trường Thọ, 1994 Nail Room</t>
  </si>
  <si>
    <t>Trang Phạm</t>
  </si>
  <si>
    <t>HD007577</t>
  </si>
  <si>
    <t>16/3 đường số 51 p hiệp bình chánh kp8</t>
  </si>
  <si>
    <t>Dung Nguyễn</t>
  </si>
  <si>
    <t>HD007760</t>
  </si>
  <si>
    <t>322/8 đào sư tích phước lộc</t>
  </si>
  <si>
    <t>Tươi Em</t>
  </si>
  <si>
    <t>HD007580</t>
  </si>
  <si>
    <t>129 Nguyễn Thái Bình p3 Tân An</t>
  </si>
  <si>
    <t>Lê Thuỷ Tiên</t>
  </si>
  <si>
    <t>HD007708</t>
  </si>
  <si>
    <t>Chung cư Safira Khang điền 454 võ chí công</t>
  </si>
  <si>
    <t>Nguyễn Như Ngọc</t>
  </si>
  <si>
    <t>HD007870</t>
  </si>
  <si>
    <t>965/16/23h đg quang trung p14</t>
  </si>
  <si>
    <t>Alice</t>
  </si>
  <si>
    <t>HD007761</t>
  </si>
  <si>
    <t>39 an nhơn phường 17</t>
  </si>
  <si>
    <t>Phương Nhi Lê Ngọc</t>
  </si>
  <si>
    <t>HD007868</t>
  </si>
  <si>
    <t>Hẻm 83 Đường Tân Thới Hiệp 8, Phường Tân Thới Hiệp</t>
  </si>
  <si>
    <t>cao cường - fb Phan Hoài Thu</t>
  </si>
  <si>
    <t>HD007855</t>
  </si>
  <si>
    <t>128/13 lê đức thọ, phường 6</t>
  </si>
  <si>
    <t>shop chịu ship</t>
  </si>
  <si>
    <t>Mai Vu</t>
  </si>
  <si>
    <t>HD007426</t>
  </si>
  <si>
    <t>160/7 bùi đinh túy p12</t>
  </si>
  <si>
    <t>Nguyễn Đào</t>
  </si>
  <si>
    <t>HD007889</t>
  </si>
  <si>
    <t>670/59/16 đoàn văn bơ p16</t>
  </si>
  <si>
    <t>Amyy Hoang- Phương Uyên</t>
  </si>
  <si>
    <t>HD007867</t>
  </si>
  <si>
    <t>1D/2 tổ 58, khu phố 7, phường Trung Mỹ Tây</t>
  </si>
  <si>
    <t>Linh Hồ.</t>
  </si>
  <si>
    <t>HD007756</t>
  </si>
  <si>
    <t>Chung cư Đức Khải phường Tân Mỹ  Block B4</t>
  </si>
  <si>
    <t>Aren</t>
  </si>
  <si>
    <t>HD007021</t>
  </si>
  <si>
    <t>793/10 trần xuân soạn, phường tân hưng</t>
  </si>
  <si>
    <t>Thúy Nga</t>
  </si>
  <si>
    <t>HD007622</t>
  </si>
  <si>
    <t>45a đường 3/2</t>
  </si>
  <si>
    <t>Thụy fb Kim Ngọc Anh</t>
  </si>
  <si>
    <t>HD007621</t>
  </si>
  <si>
    <t>Chung cư parcspi ng, 537 nguyễn duy trinh, phường bình trưng đông</t>
  </si>
  <si>
    <t>Alina Joy</t>
  </si>
  <si>
    <t>HD007881</t>
  </si>
  <si>
    <t>Tháp B cc goldview p1</t>
  </si>
  <si>
    <t>Kim Dung Lý</t>
  </si>
  <si>
    <t>HD007853</t>
  </si>
  <si>
    <t>3024 phạm thế hiển P7</t>
  </si>
  <si>
    <t>Note : Bổng Kẹo</t>
  </si>
  <si>
    <t>HD007318</t>
  </si>
  <si>
    <t>124 đường 24b bình trị đông</t>
  </si>
  <si>
    <t>Nguyễn Thiên Nga</t>
  </si>
  <si>
    <t>HD007827</t>
  </si>
  <si>
    <t>481/42 Trường Chinh, phường 14</t>
  </si>
  <si>
    <t>An Hy</t>
  </si>
  <si>
    <t>HD007387</t>
  </si>
  <si>
    <t>Vinhomes Central Park – Park 6A 6B Vinhomes Tân Cảng, Phường 22</t>
  </si>
  <si>
    <t>Trâm Trâm</t>
  </si>
  <si>
    <t>HD007697</t>
  </si>
  <si>
    <t>188 nguyễn xí p26</t>
  </si>
  <si>
    <t>Angelaberr - Air Malay (inst happyodenky).</t>
  </si>
  <si>
    <t>HD007869</t>
  </si>
  <si>
    <t>1416 Trần Thị Trọng, Phường 15</t>
  </si>
  <si>
    <t>BN10247</t>
  </si>
  <si>
    <t>HD007213</t>
  </si>
  <si>
    <t>163 Đường Trương Thị Hoa, phường Tân Thới Hiệp</t>
  </si>
  <si>
    <t>Jennytram</t>
  </si>
  <si>
    <t>HD007659</t>
  </si>
  <si>
    <t>418/4 trường sa p2</t>
  </si>
  <si>
    <t>Thị Thị</t>
  </si>
  <si>
    <t>HD007791</t>
  </si>
  <si>
    <t>545 trần hưng đạo b phương 14</t>
  </si>
  <si>
    <t>Name: Yors Sreypouch Phone Number: 077905987</t>
  </si>
  <si>
    <t>HD007871</t>
  </si>
  <si>
    <t>301 phạm ngũ lão</t>
  </si>
  <si>
    <t>SU ANH</t>
  </si>
  <si>
    <t>22/40 Yên Thế, P2</t>
  </si>
  <si>
    <t>Trần Thảo</t>
  </si>
  <si>
    <t>Số 262/26/3 Lũy Bán Bích, phường Tân Phú</t>
  </si>
  <si>
    <t>NGÂN KIM</t>
  </si>
  <si>
    <t>T8-20 mahattan vinhomes Grand park , phường long bình</t>
  </si>
  <si>
    <t>NGA LINH</t>
  </si>
  <si>
    <t>137/31/21 phan anh . Kp 12 . Bình trị đông</t>
  </si>
  <si>
    <t>đơn trả 5.4</t>
  </si>
  <si>
    <t>T2.6.4.2026</t>
  </si>
  <si>
    <t>THU 2</t>
  </si>
  <si>
    <t>NGAY 6-4</t>
  </si>
  <si>
    <t>Uyên Hana</t>
  </si>
  <si>
    <t>HD008160</t>
  </si>
  <si>
    <t>32 phan văn sửu p13</t>
  </si>
  <si>
    <t>06-04-2026</t>
  </si>
  <si>
    <t>Nic Nic</t>
  </si>
  <si>
    <t>HD008240</t>
  </si>
  <si>
    <t>108 đường 85 tân hưng</t>
  </si>
  <si>
    <t>AT 06-04</t>
  </si>
  <si>
    <t>Tran Thi Khanh Linh</t>
  </si>
  <si>
    <t>HD008286</t>
  </si>
  <si>
    <t>225/4a đường tam bình phường tam phú</t>
  </si>
  <si>
    <t>Thúy Duy</t>
  </si>
  <si>
    <t>HD008205</t>
  </si>
  <si>
    <t>539/22 hương lộ 3 phường bình hưng hòa</t>
  </si>
  <si>
    <t>Bùi Vĩ Thương</t>
  </si>
  <si>
    <t>HD008410</t>
  </si>
  <si>
    <t>3273 phạm thế hiển, p7</t>
  </si>
  <si>
    <t>Thi Thi</t>
  </si>
  <si>
    <t>HD008072</t>
  </si>
  <si>
    <t>15 lô c cư xá phủ lâm D phường 10</t>
  </si>
  <si>
    <t>Ngọc Diệu</t>
  </si>
  <si>
    <t>HD008453</t>
  </si>
  <si>
    <t>132 Le van quoi p bình hưng hòa a</t>
  </si>
  <si>
    <t>Hạnh Huỳnh</t>
  </si>
  <si>
    <t>HD008244</t>
  </si>
  <si>
    <t>42A, đường Mã Lò, phường Bình Trị Đông A</t>
  </si>
  <si>
    <t>Vo Ngoc Han</t>
  </si>
  <si>
    <t>HD008134</t>
  </si>
  <si>
    <t>150 Thành Thái, p12</t>
  </si>
  <si>
    <t>Quỳnh Hương</t>
  </si>
  <si>
    <t>HD008283</t>
  </si>
  <si>
    <t>Saigon Royal Residences, Nguyễn Trường Tộ, phường 13</t>
  </si>
  <si>
    <t>Ngo Thuy Linh</t>
  </si>
  <si>
    <t>HD008187</t>
  </si>
  <si>
    <t>37 nguyễn văn hưởng thảo điền</t>
  </si>
  <si>
    <t>Hồng Ngọc</t>
  </si>
  <si>
    <t>HD008458</t>
  </si>
  <si>
    <t>575/11A tỉnh lộ 10</t>
  </si>
  <si>
    <t>HD007954</t>
  </si>
  <si>
    <t>Dung Phamm</t>
  </si>
  <si>
    <t>HD008440</t>
  </si>
  <si>
    <t>310 tô ngọc vân -tam phú</t>
  </si>
  <si>
    <t>Thúy Ly</t>
  </si>
  <si>
    <t>HD008413</t>
  </si>
  <si>
    <t>chung cư linh trung đường 16 linh trung</t>
  </si>
  <si>
    <t>Phương Thao</t>
  </si>
  <si>
    <t>HD008275</t>
  </si>
  <si>
    <t>137/18 âu dương lân</t>
  </si>
  <si>
    <t>Trần Ngọc Bích.</t>
  </si>
  <si>
    <t>HD008448</t>
  </si>
  <si>
    <t>43/3 Cửu Long p2</t>
  </si>
  <si>
    <t>Lê Huyền Trang</t>
  </si>
  <si>
    <t>HD007992</t>
  </si>
  <si>
    <t>737-739 hồng bàng, phường bình tây</t>
  </si>
  <si>
    <t>Huỳnh Huỳnh Như</t>
  </si>
  <si>
    <t>HD008318</t>
  </si>
  <si>
    <t>Đường số 15, Phường Tân Phú The Peak Midtown Phú Mỹ Hưng</t>
  </si>
  <si>
    <t>Hiền</t>
  </si>
  <si>
    <t>HD008424</t>
  </si>
  <si>
    <t>180 nguyễn tất thành</t>
  </si>
  <si>
    <t>Shin</t>
  </si>
  <si>
    <t>HD008285</t>
  </si>
  <si>
    <t>278-283 chung cư grand riverside đường Bến Vân Đồn, phường 2</t>
  </si>
  <si>
    <t>chị Vân - fb Nguyễn Linh</t>
  </si>
  <si>
    <t>HD008230</t>
  </si>
  <si>
    <t>130 Đoàn văn bơ P Khánh Hội</t>
  </si>
  <si>
    <t>Ánh nguyên - fb Thao Suong Hoang</t>
  </si>
  <si>
    <t>HD008237</t>
  </si>
  <si>
    <t>56 đường số 1 khu dân cư hirnlam Tân Hưng</t>
  </si>
  <si>
    <t>Miêu Trần</t>
  </si>
  <si>
    <t>HD007974</t>
  </si>
  <si>
    <t>Số 6 nguyễn biểu.P1</t>
  </si>
  <si>
    <t>Huỳnh Quế Trinh</t>
  </si>
  <si>
    <t>HD008460</t>
  </si>
  <si>
    <t>166 đường số 1, khu phố 25, phường Bình Hưng Hòa</t>
  </si>
  <si>
    <t>Elly Nguyễn</t>
  </si>
  <si>
    <t>HD008436</t>
  </si>
  <si>
    <t>431/7b đường Phan Văn Trị phường 7</t>
  </si>
  <si>
    <t>Kim Chúc</t>
  </si>
  <si>
    <t>HD008071</t>
  </si>
  <si>
    <t>Hẻm 188/73 Nguyễn thị minh khai đakao</t>
  </si>
  <si>
    <t>Kim Hạnh</t>
  </si>
  <si>
    <t>HD008246</t>
  </si>
  <si>
    <t>650 sư vạn hạnh p12</t>
  </si>
  <si>
    <t>Ngọc Ngân</t>
  </si>
  <si>
    <t>HD007961</t>
  </si>
  <si>
    <t>Số 5a, Tống Văn Hên, phường 15</t>
  </si>
  <si>
    <t>Kiều Filler</t>
  </si>
  <si>
    <t>HD006142</t>
  </si>
  <si>
    <t>166/48c thích quảng Đức</t>
  </si>
  <si>
    <t>Nguyễn Tiên</t>
  </si>
  <si>
    <t>HD008114</t>
  </si>
  <si>
    <t>326 trần quang khải tân định</t>
  </si>
  <si>
    <t>Trà An</t>
  </si>
  <si>
    <t>HD008241</t>
  </si>
  <si>
    <t>33 Trần Đình Xu, Phường Cầu Ông Lãnh</t>
  </si>
  <si>
    <t>Lài Lê</t>
  </si>
  <si>
    <t>HD008139</t>
  </si>
  <si>
    <t>F4/19 ấp 6c đường liên ấp 2/6, Xã Vĩnh Lộc A</t>
  </si>
  <si>
    <t>Ngô Bích Hợp</t>
  </si>
  <si>
    <t>HD008151</t>
  </si>
  <si>
    <t>83 song hành an phú ( chung cư estella hight tháp 4)</t>
  </si>
  <si>
    <t>Hà Trần</t>
  </si>
  <si>
    <t>HD008126</t>
  </si>
  <si>
    <t>200 đường 3/2 phường Hoà Hưng Chưng cư Hà Đô, Toà Iris 4</t>
  </si>
  <si>
    <t>Ngọc Dung</t>
  </si>
  <si>
    <t>HD007989</t>
  </si>
  <si>
    <t>B1 chung cư starlight phường 11.</t>
  </si>
  <si>
    <t>Van Huynh ft Trương Mỹ Linh</t>
  </si>
  <si>
    <t>HD008396</t>
  </si>
  <si>
    <t>130/21 trần thị trọng. P15</t>
  </si>
  <si>
    <t>Anna Le</t>
  </si>
  <si>
    <t>HD008155</t>
  </si>
  <si>
    <t>112 bến vân đồn, phường 9</t>
  </si>
  <si>
    <t>Note : Bống Kẹo</t>
  </si>
  <si>
    <t>HD007921</t>
  </si>
  <si>
    <t>Nguyên Nguyễn</t>
  </si>
  <si>
    <t>HD007920</t>
  </si>
  <si>
    <t>106A Vành Đai Trong, khu phố 13, P.An Lạc</t>
  </si>
  <si>
    <t>Vy Lê</t>
  </si>
  <si>
    <t>HX008403</t>
  </si>
  <si>
    <t>119F/31b đặng chất p.chánh hưng</t>
  </si>
  <si>
    <t>Thảo Hiền</t>
  </si>
  <si>
    <t>HD008235</t>
  </si>
  <si>
    <t>32 đường số 54, Thạnh Mỹ Lợi</t>
  </si>
  <si>
    <t>HD008108</t>
  </si>
  <si>
    <t>192 Nguyễn văn hưởng thảo điền</t>
  </si>
  <si>
    <t>Lâm Oanh</t>
  </si>
  <si>
    <t>HD008229</t>
  </si>
  <si>
    <t>102 phan văn hớn</t>
  </si>
  <si>
    <t>Người Nhận : FB HUYEN VUONG</t>
  </si>
  <si>
    <t>HD008127</t>
  </si>
  <si>
    <t>Số 78 Đường Số 7, P. Bình Hưng Hòa</t>
  </si>
  <si>
    <t>NANA CHONG</t>
  </si>
  <si>
    <t>535/59/4C THỐNG NHẤT P16</t>
  </si>
  <si>
    <t>NGUYÊN NGUYÊN</t>
  </si>
  <si>
    <t>12 TÔN ĐẢN P13</t>
  </si>
  <si>
    <t>WIND XPRESS</t>
  </si>
  <si>
    <t>375 tân thới hiệp 21, Tổ 3,Kp3</t>
  </si>
  <si>
    <t>Thanh Hằng (Vivi Kosalim)</t>
  </si>
  <si>
    <t>605 Âu Cơ, Phường Phú Trung</t>
  </si>
  <si>
    <t>66 đường 17 p10</t>
  </si>
  <si>
    <t>BOS BMB</t>
  </si>
  <si>
    <t>119 hoàng diệu 2 linh trung</t>
  </si>
  <si>
    <t>đơn trả 7.4</t>
  </si>
  <si>
    <t>kh ck shop 2370k</t>
  </si>
  <si>
    <t>kh ck shop 2390k</t>
  </si>
  <si>
    <t>THU 3</t>
  </si>
  <si>
    <t>NGAY 7-4</t>
  </si>
  <si>
    <t>T3.7.4.2026</t>
  </si>
  <si>
    <t>Vy Nguyên</t>
  </si>
  <si>
    <t>HD008724</t>
  </si>
  <si>
    <t>101 đường cn 11, phường sơn kỳ</t>
  </si>
  <si>
    <t>AT 07-04</t>
  </si>
  <si>
    <t>07-04-2026</t>
  </si>
  <si>
    <t>Nany Nany</t>
  </si>
  <si>
    <t>HD008494</t>
  </si>
  <si>
    <t>616/5/6 lê trọng tấn phường Bình Hưng Hòa</t>
  </si>
  <si>
    <t>phuong phuong (inst bedaunee)</t>
  </si>
  <si>
    <t>HD008639</t>
  </si>
  <si>
    <t>479 trần xuân soạn, phường tân kiểng</t>
  </si>
  <si>
    <t>Minh Hải zalo cẩm ngân</t>
  </si>
  <si>
    <t>HD008644</t>
  </si>
  <si>
    <t>17 Đường Số 13 Phường Bình Hưng Hòa</t>
  </si>
  <si>
    <t>Lam Nguyên</t>
  </si>
  <si>
    <t>HD008721</t>
  </si>
  <si>
    <t>M37/15 Cư Xá Phú Lâm A Phường 12</t>
  </si>
  <si>
    <t>Châu Phạm</t>
  </si>
  <si>
    <t>HD008691</t>
  </si>
  <si>
    <t>2050 phạm thể hiển p6</t>
  </si>
  <si>
    <t>HD008669</t>
  </si>
  <si>
    <t>NGÂN HÀ</t>
  </si>
  <si>
    <t>40 đường 53 p10</t>
  </si>
  <si>
    <t>A nam</t>
  </si>
  <si>
    <t>40/11B ấp 42 xã bà điểm</t>
  </si>
  <si>
    <t>Hồng Hoa</t>
  </si>
  <si>
    <t>HD008716</t>
  </si>
  <si>
    <t>chung cư Feliz en vista số 1 lệ hiến mai p thạnh mỹ lợi</t>
  </si>
  <si>
    <t>Tracyy An</t>
  </si>
  <si>
    <t>HD008658</t>
  </si>
  <si>
    <t>226 gò dưa tam bình</t>
  </si>
  <si>
    <t>Trần Hy Kim Ngân</t>
  </si>
  <si>
    <t>HD008694</t>
  </si>
  <si>
    <t>125/16/33 bùi đình tuy phường 14</t>
  </si>
  <si>
    <t>Phan Nhi</t>
  </si>
  <si>
    <t>HD008516</t>
  </si>
  <si>
    <t>107/189 quang trung, f.10</t>
  </si>
  <si>
    <t>Ivy Dao</t>
  </si>
  <si>
    <t>HD008553</t>
  </si>
  <si>
    <t>238/3 trường chinh, đông hưng thuận</t>
  </si>
  <si>
    <t>Võ Diễm My</t>
  </si>
  <si>
    <t>HD008657</t>
  </si>
  <si>
    <t>121 hiệp bình - p hiệp bình chánh</t>
  </si>
  <si>
    <t>Nhung Lê</t>
  </si>
  <si>
    <t>HD008600</t>
  </si>
  <si>
    <t>188/15 đường số 4 phường 16</t>
  </si>
  <si>
    <t>jenny bouti</t>
  </si>
  <si>
    <t>401 Quang trung f10</t>
  </si>
  <si>
    <t>HCM warehouse address</t>
  </si>
  <si>
    <t>14 Lam Thi Ho, Tan Chanh Hiep Ward</t>
  </si>
  <si>
    <t>Pachara (BN6994) hạnh Narin</t>
  </si>
  <si>
    <t>Thỏ Bunny</t>
  </si>
  <si>
    <t>HD007988</t>
  </si>
  <si>
    <t>Vinhomes Golden River - Aqua 2, Ton Duc Thang, ward Ben Nghe</t>
  </si>
  <si>
    <t>Winnie</t>
  </si>
  <si>
    <t>HD008429</t>
  </si>
  <si>
    <t>79/27 Trần Văn Đang, P. Nhiêu Lộc</t>
  </si>
  <si>
    <t>Jessie Beauty</t>
  </si>
  <si>
    <t>HD008545</t>
  </si>
  <si>
    <t>71/2/13 Nguyễn Bặc, Phường 3</t>
  </si>
  <si>
    <t>tran Bảo Châu</t>
  </si>
  <si>
    <t>HD008482</t>
  </si>
  <si>
    <t>654/6 lạc long quân p9</t>
  </si>
  <si>
    <t>Đào Hạnh nhận hộ An Hy</t>
  </si>
  <si>
    <t>HD008648</t>
  </si>
  <si>
    <t>24 Yên Thế, Phường 2</t>
  </si>
  <si>
    <t>UYÊN MI</t>
  </si>
  <si>
    <t>93/1 Nguyễn Chí Thanh P9</t>
  </si>
  <si>
    <t>luu tra</t>
  </si>
  <si>
    <t>đơn cũ ck</t>
  </si>
  <si>
    <t>kh ck shop 695k</t>
  </si>
  <si>
    <t>kh ck shop 1020k</t>
  </si>
  <si>
    <t>đơn nhà xe Anh Khương 2.4</t>
  </si>
  <si>
    <t>đơn thu hộ 6.4</t>
  </si>
  <si>
    <t>T4.8.4.2026</t>
  </si>
  <si>
    <t>Bình Bee</t>
  </si>
  <si>
    <t>HD0008527</t>
  </si>
  <si>
    <t>133 Đỗ Xuân Hợp, Phước Long B</t>
  </si>
  <si>
    <t>08-04-2026</t>
  </si>
  <si>
    <t>HD008637</t>
  </si>
  <si>
    <t>NHUNG HM</t>
  </si>
  <si>
    <t>8/1 nguyễn ảnh thủ, trung chánh</t>
  </si>
  <si>
    <t>AT 08-04</t>
  </si>
  <si>
    <t>Nguyễn Thu Phương</t>
  </si>
  <si>
    <t>HD008881</t>
  </si>
  <si>
    <t>Sunrise riverside tháp H Đường Nguyễn hữu thọ</t>
  </si>
  <si>
    <t>Kim Quyên</t>
  </si>
  <si>
    <t>HD009109</t>
  </si>
  <si>
    <t>Căn hộ Saigon Asiana 336/20 Nguyễn Văn Luông, P.Phú Lâm</t>
  </si>
  <si>
    <t>Anmy Vo</t>
  </si>
  <si>
    <t>HD009090</t>
  </si>
  <si>
    <t>33 Nguyễn Hữu Thọ phường Tân Hưng</t>
  </si>
  <si>
    <t>HD009071</t>
  </si>
  <si>
    <t>920/19 Quang Trung, phường 8</t>
  </si>
  <si>
    <t>Mỹ Huyền</t>
  </si>
  <si>
    <t>HD009095</t>
  </si>
  <si>
    <t>40-42 đường số 3 bông sao p.bình đông</t>
  </si>
  <si>
    <t>Ngọc Diệp</t>
  </si>
  <si>
    <t>HD008971</t>
  </si>
  <si>
    <t>Chung cư akari 77 đại lộ võ văn kiệt p. an lạc</t>
  </si>
  <si>
    <t>Bảo Trần</t>
  </si>
  <si>
    <t>HD008940</t>
  </si>
  <si>
    <t>22 Lô A đường số 1, Khu dân cư Phú Mỹ, phường Phú Mỹ</t>
  </si>
  <si>
    <t>HD009069</t>
  </si>
  <si>
    <t>121/2 Nguyễn Ảnh Thủ Xã Trung Chánh</t>
  </si>
  <si>
    <t>Kho Sg Tú- Ngọc Huyền</t>
  </si>
  <si>
    <t>HD009036</t>
  </si>
  <si>
    <t>275 Xóm Đất P10</t>
  </si>
  <si>
    <t>Châu Ngân</t>
  </si>
  <si>
    <t>HD009074</t>
  </si>
  <si>
    <t>Block D1 Chung cư saigon riverside complex số 4 đào trí phường Phú Thuận</t>
  </si>
  <si>
    <t>Hà Phan</t>
  </si>
  <si>
    <t>HD008936</t>
  </si>
  <si>
    <t>Khu Glen, số nhà V8-08, Cổng 1 Diamond Brilliant, Phường Sơn Kỳ</t>
  </si>
  <si>
    <t>MiNi Nguyễn</t>
  </si>
  <si>
    <t>HD009080</t>
  </si>
  <si>
    <t>68/27 đường 25a. Phường tân quy</t>
  </si>
  <si>
    <t>Ngọc Trần</t>
  </si>
  <si>
    <t>HD008875</t>
  </si>
  <si>
    <t>980/4b lò gốm p8</t>
  </si>
  <si>
    <t>HD009108</t>
  </si>
  <si>
    <t>Lê Ngọc Quỳnh Châu</t>
  </si>
  <si>
    <t>HD009049</t>
  </si>
  <si>
    <t>103/12 đường TL43 KP.33 P.Thanh Lộc</t>
  </si>
  <si>
    <t>PHƯƠNG DUNG</t>
  </si>
  <si>
    <t>23/4A đường 48 khu phố 6 hiệp bình chánh</t>
  </si>
  <si>
    <t>Mỹ mỹ - fb Yumi Nguyễn</t>
  </si>
  <si>
    <t>HD008832</t>
  </si>
  <si>
    <t>130 nguyễn Hoàng, an phú</t>
  </si>
  <si>
    <t>HD008903</t>
  </si>
  <si>
    <t>Hiền Bùi</t>
  </si>
  <si>
    <t>HD009047</t>
  </si>
  <si>
    <t>276 trần não phường an khánh</t>
  </si>
  <si>
    <t>Quỳnh</t>
  </si>
  <si>
    <t>HD009089</t>
  </si>
  <si>
    <t>67 Nguyễn Cừ, phường Thảo Điền</t>
  </si>
  <si>
    <t>Hồng Nhung</t>
  </si>
  <si>
    <t>HD009030</t>
  </si>
  <si>
    <t>Vinhomes Central Park3</t>
  </si>
  <si>
    <t>Ngân Nguyễn</t>
  </si>
  <si>
    <t>HD008726</t>
  </si>
  <si>
    <t>Empire city- Toà Tilia, 2B Mai Chí Thọ, Thủ Thiêm</t>
  </si>
  <si>
    <t>Huỳnh Thương</t>
  </si>
  <si>
    <t>HD008756</t>
  </si>
  <si>
    <t>600/33 quang trung, p11</t>
  </si>
  <si>
    <t>Thắm Nguyễn</t>
  </si>
  <si>
    <t>HD009107</t>
  </si>
  <si>
    <t>85 đường số 37, hiệp bình, kđt vạn phúc city</t>
  </si>
  <si>
    <t>Châu Le</t>
  </si>
  <si>
    <t>HD008944</t>
  </si>
  <si>
    <t>Chung cư urban green đường số 6 kp6 hiệp bình chánh</t>
  </si>
  <si>
    <t>Thế Diễm</t>
  </si>
  <si>
    <t>HD009091</t>
  </si>
  <si>
    <t>159 Võ Nguyên Giáp, P Thảo Điền Chung cư Masteri Thảo Điên (Tháp 3)</t>
  </si>
  <si>
    <t>Maria Nguyễn Sáng</t>
  </si>
  <si>
    <t>HD008981</t>
  </si>
  <si>
    <t>350/2a đường cô giang, phường cầu kiệu</t>
  </si>
  <si>
    <t>HD008809</t>
  </si>
  <si>
    <t>Van LE</t>
  </si>
  <si>
    <t>HD009020</t>
  </si>
  <si>
    <t>2B Cù lao p. Cầu kiệu</t>
  </si>
  <si>
    <t>Hồng Thảo Phùng</t>
  </si>
  <si>
    <t>HD008783</t>
  </si>
  <si>
    <t>150/52 Nguyễn Trãi P Bến Thành</t>
  </si>
  <si>
    <t>kim Nhung</t>
  </si>
  <si>
    <t>HD008953</t>
  </si>
  <si>
    <t>số 229A Đường bùi thị xuân phường 1</t>
  </si>
  <si>
    <t>Thùy Ngọc Võ</t>
  </si>
  <si>
    <t>HD008919</t>
  </si>
  <si>
    <t>Vinhomes Golden River Aqua 2, số 2, đường Tôn Đức Thắng, phường Bến Nghé</t>
  </si>
  <si>
    <t>HD008841</t>
  </si>
  <si>
    <t>Nguyễn Thị Ngọc Tâm</t>
  </si>
  <si>
    <t>HD009041</t>
  </si>
  <si>
    <t>490/124/2B Lý Thái Tổ, P10</t>
  </si>
  <si>
    <t>kh ck shop 1935k</t>
  </si>
  <si>
    <t>Thuý An</t>
  </si>
  <si>
    <t>HD008777</t>
  </si>
  <si>
    <t>100 /25/5 Trần hưng đạo</t>
  </si>
  <si>
    <t>Quế Chi Chi</t>
  </si>
  <si>
    <t>HD008861</t>
  </si>
  <si>
    <t>212b/d91 nguyễn trãi</t>
  </si>
  <si>
    <t>Le Phuong Ha My</t>
  </si>
  <si>
    <t>HD008966</t>
  </si>
  <si>
    <t>130-132 Hồng Hải F9 Orchard Parkview, Tháp Op1 - 1705</t>
  </si>
  <si>
    <t>Mi Mi</t>
  </si>
  <si>
    <t>HD008978</t>
  </si>
  <si>
    <t>34 Cao Bá Nhạ</t>
  </si>
  <si>
    <t>Võ Hằng</t>
  </si>
  <si>
    <t>HD008986</t>
  </si>
  <si>
    <t>Cty leading star, lô C đường số 3, KCN Đồng An, Bình Hòa</t>
  </si>
  <si>
    <t>tinh</t>
  </si>
  <si>
    <t>26-03-2026</t>
  </si>
  <si>
    <t>hàng tỉnh</t>
  </si>
  <si>
    <t>x</t>
  </si>
  <si>
    <t>xx</t>
  </si>
  <si>
    <t>đơn trả 9.4</t>
  </si>
  <si>
    <t>T5.9.4.2026</t>
  </si>
  <si>
    <t>NGAY 9-4</t>
  </si>
  <si>
    <t>NGAY 8-4</t>
  </si>
  <si>
    <t>AT 09-04</t>
  </si>
  <si>
    <t>09-04-2026</t>
  </si>
  <si>
    <t>Xuan Duy Ng</t>
  </si>
  <si>
    <t>HD009486</t>
  </si>
  <si>
    <t>Spa Sammy, 990 Tạ Quang Bửu p6</t>
  </si>
  <si>
    <t>Tường Vy fb Hạnh Nguyễn</t>
  </si>
  <si>
    <t>HD0009583</t>
  </si>
  <si>
    <t>Cchung cư Carillon 5</t>
  </si>
  <si>
    <t>Lam Nguyen</t>
  </si>
  <si>
    <t>HD009111</t>
  </si>
  <si>
    <t>Trang Angels</t>
  </si>
  <si>
    <t>HD009546</t>
  </si>
  <si>
    <t>nhà 20 đường 2B phường tân mỹ</t>
  </si>
  <si>
    <t>TRINH fb Nguyễn ‘oben</t>
  </si>
  <si>
    <t>HD009230</t>
  </si>
  <si>
    <t>Số 38 đường 58 phường 10</t>
  </si>
  <si>
    <t>Bé Gấu</t>
  </si>
  <si>
    <t>HD009351</t>
  </si>
  <si>
    <t>574/15/38 sinco, phường an lạc</t>
  </si>
  <si>
    <t>Khoa Phạm</t>
  </si>
  <si>
    <t>HD009529</t>
  </si>
  <si>
    <t>Đường Nguyễn Văn Linh/Ngã 4 Đ. Nguyễn Hữu Thọ, Tân Phong , căn hộ Lavida Plus</t>
  </si>
  <si>
    <t>Người nhận: Nguyễn Thu Hương</t>
  </si>
  <si>
    <t>HD009522</t>
  </si>
  <si>
    <t>114/4 Hương Lộ 80B, khu phố 7, P. Hiệp Thành</t>
  </si>
  <si>
    <t>Hoàn Mỹ</t>
  </si>
  <si>
    <t>HD009261</t>
  </si>
  <si>
    <t>71a ni su huynh lien p10</t>
  </si>
  <si>
    <t>Quyền Trần - fb Trang Nguyen</t>
  </si>
  <si>
    <t>HD009096</t>
  </si>
  <si>
    <t>184 trần văn kiểu p10</t>
  </si>
  <si>
    <t>Kim Huyền Trân</t>
  </si>
  <si>
    <t>HD009362</t>
  </si>
  <si>
    <t>425 Kinh Dương vương phường an lạc</t>
  </si>
  <si>
    <t>Ly Ly</t>
  </si>
  <si>
    <t>HD008730</t>
  </si>
  <si>
    <t>Số 19, Đất Thánh, Phường 6</t>
  </si>
  <si>
    <t>Trương Ngọc Diễm</t>
  </si>
  <si>
    <t>HD009447</t>
  </si>
  <si>
    <t>Đường 27 hẻm 13 sn 13/7/6 kp3 2 tân quy</t>
  </si>
  <si>
    <t>Nam Phương</t>
  </si>
  <si>
    <t>HD009138</t>
  </si>
  <si>
    <t>30/42 lâm văn bền phương tân kiểng</t>
  </si>
  <si>
    <t>Siêng Siêng</t>
  </si>
  <si>
    <t>HD009162</t>
  </si>
  <si>
    <t>12A ĐƯỜNG SỐ 5, BÌNH TRƯNG ĐÔNG</t>
  </si>
  <si>
    <t>Rose (Dung)</t>
  </si>
  <si>
    <t>HD009248</t>
  </si>
  <si>
    <t>403 Tân Sơn P.12</t>
  </si>
  <si>
    <t>Nguyễn Hoàng Thảo Vân</t>
  </si>
  <si>
    <t>HD009482</t>
  </si>
  <si>
    <t>133/50/35 trần thị trọng, phường 15</t>
  </si>
  <si>
    <t>Lê Xuân Nghi</t>
  </si>
  <si>
    <t>HD009377</t>
  </si>
  <si>
    <t>69 hoàng diệu 2</t>
  </si>
  <si>
    <t>zalo tuyền hoàng</t>
  </si>
  <si>
    <t>HD009345</t>
  </si>
  <si>
    <t>433/11/2 Lê Đức Thọ, Phường Gò Vấp ( phường 17 )</t>
  </si>
  <si>
    <t>Hoàng Kim Anh</t>
  </si>
  <si>
    <t>HD009584</t>
  </si>
  <si>
    <t>74/4 Trần Thái Tông, p15</t>
  </si>
  <si>
    <t>Nhan Thanh Nguyen</t>
  </si>
  <si>
    <t>HD009505</t>
  </si>
  <si>
    <t>688/12/7 quang trung p11</t>
  </si>
  <si>
    <t>Nguyen Minh Thu</t>
  </si>
  <si>
    <t>HD009231</t>
  </si>
  <si>
    <t>Số 2 đường số 51 p bình trưng đông</t>
  </si>
  <si>
    <t>Nguyễn Huỳnh Cẩm Tú</t>
  </si>
  <si>
    <t>HD009284</t>
  </si>
  <si>
    <t>Chung cư park 1, Vinhomes Central Park, Phường 22</t>
  </si>
  <si>
    <t>HD009166</t>
  </si>
  <si>
    <t>Ngọc Phạm</t>
  </si>
  <si>
    <t>HD009354</t>
  </si>
  <si>
    <t>80 BÀ HUYỆN THANH QUAN, P.9</t>
  </si>
  <si>
    <t>Nhật Lệ..</t>
  </si>
  <si>
    <t>HD009587</t>
  </si>
  <si>
    <t>15 thi sách bến nghé</t>
  </si>
  <si>
    <t>Saku Ra</t>
  </si>
  <si>
    <t>HD009056</t>
  </si>
  <si>
    <t>45 Vĩnh hội</t>
  </si>
  <si>
    <t>Dương Tường Vy</t>
  </si>
  <si>
    <t>HD009210</t>
  </si>
  <si>
    <t>24 đặng tất phường tân định</t>
  </si>
  <si>
    <t>Liễu Hiếu (đơn hàng Uyên)</t>
  </si>
  <si>
    <t>HD009511</t>
  </si>
  <si>
    <t>22 Vĩnh Viễn, Phường 2 (khu vực Vượn là cũ)</t>
  </si>
  <si>
    <t>Cherry Nguyễn</t>
  </si>
  <si>
    <t>HD009321</t>
  </si>
  <si>
    <t>66 hùng vương p1</t>
  </si>
  <si>
    <t>Duyên Đặng</t>
  </si>
  <si>
    <t>HD009226</t>
  </si>
  <si>
    <t>14/12 hoàng dư khương phường 12 , địa chỉ mới phường hòa hưng</t>
  </si>
  <si>
    <t>Ngọc Tuyết</t>
  </si>
  <si>
    <t>HD009147</t>
  </si>
  <si>
    <t>358/2/2 cmtt</t>
  </si>
  <si>
    <t>Minh Chu</t>
  </si>
  <si>
    <t>HD009411</t>
  </si>
  <si>
    <t>57 Khánh Hội, Phường 3 (Ngay dưới châncầu Kênh Tẻ)</t>
  </si>
  <si>
    <t>JJ Huy Đặng</t>
  </si>
  <si>
    <t>HD009157</t>
  </si>
  <si>
    <t>423/21 đoàn văn bơ, phường 13</t>
  </si>
  <si>
    <t>Chế Vân</t>
  </si>
  <si>
    <t>HD009387</t>
  </si>
  <si>
    <t>140b nguyễn văn trỗi p8</t>
  </si>
  <si>
    <t>T6.10.4.2026</t>
  </si>
  <si>
    <t>NGAY 10-4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</si>
</sst>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</font>
    <font>
      <sz val="11"/>
      <color rgb="FFFF0000"/>
      <name val="Calibri"/>
      <family val="2"/>
    </font>
    <font>
      <sz val="11"/>
      <color rgb="FFFF0000"/>
      <name val="Calibri"/>
      <family val="2"/>
      <charset val="163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2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3" fontId="0" fillId="0" borderId="0" xfId="0" applyNumberFormat="1"/>
    <xf numFmtId="0" fontId="0" fillId="0" borderId="1" xfId="0" applyBorder="1"/>
    <xf numFmtId="3" fontId="0" fillId="0" borderId="1" xfId="0" applyNumberFormat="1" applyBorder="1"/>
    <xf numFmtId="0" fontId="0" fillId="8" borderId="1" xfId="0" applyFill="1" applyBorder="1"/>
    <xf numFmtId="3" fontId="0" fillId="8" borderId="1" xfId="0" applyNumberFormat="1" applyFill="1" applyBorder="1"/>
    <xf numFmtId="0" fontId="0" fillId="8" borderId="0" xfId="0" applyFill="1"/>
    <xf numFmtId="0" fontId="8" fillId="0" borderId="0" xfId="1" applyFont="1"/>
    <xf numFmtId="0" fontId="8" fillId="0" borderId="1" xfId="0" applyFont="1" applyBorder="1"/>
    <xf numFmtId="3" fontId="8" fillId="0" borderId="1" xfId="0" applyNumberFormat="1" applyFont="1" applyBorder="1"/>
    <xf numFmtId="0" fontId="8" fillId="2" borderId="1" xfId="0" applyFont="1" applyFill="1" applyBorder="1"/>
    <xf numFmtId="0" fontId="0" fillId="2" borderId="1" xfId="0" applyFill="1" applyBorder="1"/>
    <xf numFmtId="49" fontId="8" fillId="0" borderId="1" xfId="0" applyNumberFormat="1" applyFont="1" applyBorder="1"/>
    <xf numFmtId="3" fontId="0" fillId="8" borderId="0" xfId="0" applyNumberFormat="1" applyFill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9" fillId="10" borderId="1" xfId="0" applyFont="1" applyFill="1" applyBorder="1"/>
    <xf numFmtId="0" fontId="8" fillId="11" borderId="2" xfId="0" applyFont="1" applyFill="1" applyBorder="1"/>
    <xf numFmtId="3" fontId="10" fillId="0" borderId="1" xfId="0" applyNumberFormat="1" applyFont="1" applyBorder="1"/>
    <xf numFmtId="0" fontId="11" fillId="0" borderId="0" xfId="0" applyFont="1"/>
    <xf numFmtId="0" fontId="12" fillId="9" borderId="1" xfId="0" applyFont="1" applyFill="1" applyBorder="1"/>
    <xf numFmtId="3" fontId="12" fillId="9" borderId="1" xfId="0" applyNumberFormat="1" applyFont="1" applyFill="1" applyBorder="1"/>
    <xf numFmtId="0" fontId="12" fillId="2" borderId="1" xfId="0" applyFont="1" applyFill="1" applyBorder="1"/>
    <xf numFmtId="3" fontId="12" fillId="9" borderId="0" xfId="0" applyNumberFormat="1" applyFont="1" applyFill="1"/>
    <xf numFmtId="0" fontId="12" fillId="9" borderId="0" xfId="0" applyFont="1" applyFill="1"/>
  </cellXfs>
  <cellStyles count="2">
    <cellStyle name="Normal" xfId="0" builtinId="0"/>
    <cellStyle name="Normal 2" xfId="1" xr:uid="{D1AD9FCC-7941-4EA1-A803-F399CA3A66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4BC43-3E96-403E-95A6-EB6F74A4AE2D}">
  <dimension ref="A1:R37"/>
  <sheetViews>
    <sheetView workbookViewId="0">
      <selection activeCell="C49" sqref="C49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11" width="9.140625" style="1"/>
    <col min="12" max="12" width="12.28515625" style="1" bestFit="1" customWidth="1"/>
    <col min="13" max="16384" width="9.140625" style="1"/>
  </cols>
  <sheetData>
    <row r="1" spans="1:18" x14ac:dyDescent="0.25">
      <c r="B1" s="1" t="s">
        <v>31</v>
      </c>
      <c r="C1" s="1" t="s">
        <v>32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53</v>
      </c>
      <c r="D3" s="18" t="s">
        <v>54</v>
      </c>
      <c r="E3" s="18" t="s">
        <v>55</v>
      </c>
      <c r="F3" s="19">
        <v>9</v>
      </c>
      <c r="G3" s="19">
        <v>780</v>
      </c>
      <c r="H3" s="19">
        <v>30</v>
      </c>
      <c r="I3" s="19">
        <f>G3-H3</f>
        <v>750</v>
      </c>
      <c r="J3" s="18" t="s">
        <v>56</v>
      </c>
      <c r="K3" s="18" t="s">
        <v>15</v>
      </c>
      <c r="L3" s="18" t="s">
        <v>40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35</v>
      </c>
      <c r="D4" s="18" t="s">
        <v>36</v>
      </c>
      <c r="E4" s="18" t="s">
        <v>37</v>
      </c>
      <c r="F4" s="18" t="s">
        <v>38</v>
      </c>
      <c r="G4" s="19">
        <v>0</v>
      </c>
      <c r="H4" s="19">
        <v>30</v>
      </c>
      <c r="I4" s="19">
        <f>-H4</f>
        <v>-30</v>
      </c>
      <c r="J4" s="18" t="s">
        <v>39</v>
      </c>
      <c r="K4" s="18" t="s">
        <v>15</v>
      </c>
      <c r="L4" s="18" t="s">
        <v>40</v>
      </c>
      <c r="M4" s="18"/>
      <c r="N4" s="18"/>
      <c r="O4" s="18"/>
      <c r="P4" s="18"/>
      <c r="Q4" s="18">
        <v>1</v>
      </c>
      <c r="R4" s="17">
        <f>H4</f>
        <v>30</v>
      </c>
    </row>
    <row r="5" spans="1:18" customFormat="1" x14ac:dyDescent="0.25">
      <c r="A5" s="18"/>
      <c r="B5" s="18" t="s">
        <v>34</v>
      </c>
      <c r="C5" s="18" t="s">
        <v>41</v>
      </c>
      <c r="D5" s="18" t="s">
        <v>42</v>
      </c>
      <c r="E5" s="18" t="s">
        <v>43</v>
      </c>
      <c r="F5" s="19">
        <v>7</v>
      </c>
      <c r="G5" s="19">
        <v>850</v>
      </c>
      <c r="H5" s="19">
        <v>30</v>
      </c>
      <c r="I5" s="19">
        <f>G5-H5</f>
        <v>820</v>
      </c>
      <c r="J5" s="18" t="s">
        <v>39</v>
      </c>
      <c r="K5" s="18" t="s">
        <v>15</v>
      </c>
      <c r="L5" s="18" t="s">
        <v>40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44</v>
      </c>
      <c r="D6" s="18" t="s">
        <v>45</v>
      </c>
      <c r="E6" s="18" t="s">
        <v>46</v>
      </c>
      <c r="F6" s="19">
        <v>3</v>
      </c>
      <c r="G6" s="19">
        <v>695</v>
      </c>
      <c r="H6" s="19">
        <v>25</v>
      </c>
      <c r="I6" s="19">
        <f>G6-H6</f>
        <v>670</v>
      </c>
      <c r="J6" s="18" t="s">
        <v>39</v>
      </c>
      <c r="K6" s="18" t="s">
        <v>15</v>
      </c>
      <c r="L6" s="18" t="s">
        <v>40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47</v>
      </c>
      <c r="D7" s="18" t="s">
        <v>48</v>
      </c>
      <c r="E7" s="18" t="s">
        <v>49</v>
      </c>
      <c r="F7" s="19">
        <v>7</v>
      </c>
      <c r="G7" s="19">
        <v>740</v>
      </c>
      <c r="H7" s="19">
        <v>30</v>
      </c>
      <c r="I7" s="19">
        <f>G7-H7</f>
        <v>710</v>
      </c>
      <c r="J7" s="18" t="s">
        <v>39</v>
      </c>
      <c r="K7" s="18" t="s">
        <v>15</v>
      </c>
      <c r="L7" s="18" t="s">
        <v>40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60</v>
      </c>
      <c r="D8" s="18" t="s">
        <v>61</v>
      </c>
      <c r="E8" s="18" t="s">
        <v>62</v>
      </c>
      <c r="F8" s="18" t="s">
        <v>38</v>
      </c>
      <c r="G8" s="19">
        <v>610</v>
      </c>
      <c r="H8" s="19">
        <v>30</v>
      </c>
      <c r="I8" s="19">
        <f>G8-H8</f>
        <v>580</v>
      </c>
      <c r="J8" s="18" t="s">
        <v>39</v>
      </c>
      <c r="K8" s="18" t="s">
        <v>15</v>
      </c>
      <c r="L8" s="18" t="s">
        <v>40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63</v>
      </c>
      <c r="D9" s="18" t="s">
        <v>64</v>
      </c>
      <c r="E9" s="18" t="s">
        <v>65</v>
      </c>
      <c r="F9" s="19">
        <v>8</v>
      </c>
      <c r="G9" s="19">
        <v>0</v>
      </c>
      <c r="H9" s="19">
        <v>25</v>
      </c>
      <c r="I9" s="19">
        <f>-H9</f>
        <v>-25</v>
      </c>
      <c r="J9" s="18" t="s">
        <v>39</v>
      </c>
      <c r="K9" s="18" t="s">
        <v>15</v>
      </c>
      <c r="L9" s="18" t="s">
        <v>40</v>
      </c>
      <c r="M9" s="18"/>
      <c r="N9" s="18"/>
      <c r="O9" s="18"/>
      <c r="P9" s="18"/>
      <c r="Q9" s="18">
        <v>1</v>
      </c>
      <c r="R9" s="17">
        <f>H9</f>
        <v>25</v>
      </c>
    </row>
    <row r="10" spans="1:18" customFormat="1" x14ac:dyDescent="0.25">
      <c r="A10" s="18"/>
      <c r="B10" s="18" t="s">
        <v>34</v>
      </c>
      <c r="C10" s="18" t="s">
        <v>69</v>
      </c>
      <c r="D10" s="18" t="s">
        <v>70</v>
      </c>
      <c r="E10" s="18" t="s">
        <v>71</v>
      </c>
      <c r="F10" s="19">
        <v>12</v>
      </c>
      <c r="G10" s="19">
        <v>750</v>
      </c>
      <c r="H10" s="19">
        <v>30</v>
      </c>
      <c r="I10" s="19">
        <f t="shared" ref="I10:I15" si="0">G10-H10</f>
        <v>720</v>
      </c>
      <c r="J10" s="18" t="s">
        <v>39</v>
      </c>
      <c r="K10" s="18" t="s">
        <v>15</v>
      </c>
      <c r="L10" s="18" t="s">
        <v>40</v>
      </c>
      <c r="M10" s="18"/>
      <c r="N10" s="18"/>
      <c r="O10" s="18"/>
      <c r="P10" s="18"/>
      <c r="Q10" s="18">
        <v>1</v>
      </c>
    </row>
    <row r="11" spans="1:18" s="22" customFormat="1" x14ac:dyDescent="0.25">
      <c r="A11" s="20"/>
      <c r="B11" s="20" t="s">
        <v>34</v>
      </c>
      <c r="C11" s="20" t="s">
        <v>78</v>
      </c>
      <c r="D11" s="20" t="s">
        <v>79</v>
      </c>
      <c r="E11" s="20" t="s">
        <v>80</v>
      </c>
      <c r="F11" s="21">
        <v>7</v>
      </c>
      <c r="G11" s="21">
        <v>30</v>
      </c>
      <c r="H11" s="21">
        <v>30</v>
      </c>
      <c r="I11" s="21">
        <f t="shared" si="0"/>
        <v>0</v>
      </c>
      <c r="J11" s="20" t="s">
        <v>39</v>
      </c>
      <c r="K11" s="20" t="s">
        <v>15</v>
      </c>
      <c r="L11" s="20" t="s">
        <v>40</v>
      </c>
      <c r="M11" s="20" t="s">
        <v>16</v>
      </c>
      <c r="N11" s="20"/>
      <c r="O11" s="20"/>
      <c r="P11" s="20"/>
      <c r="Q11" s="20">
        <v>1</v>
      </c>
    </row>
    <row r="12" spans="1:18" customFormat="1" x14ac:dyDescent="0.25">
      <c r="A12" s="18"/>
      <c r="B12" s="18" t="s">
        <v>34</v>
      </c>
      <c r="C12" s="18" t="s">
        <v>81</v>
      </c>
      <c r="D12" s="18" t="s">
        <v>82</v>
      </c>
      <c r="E12" s="18" t="s">
        <v>83</v>
      </c>
      <c r="F12" s="19">
        <v>7</v>
      </c>
      <c r="G12" s="19">
        <v>1640</v>
      </c>
      <c r="H12" s="19">
        <v>30</v>
      </c>
      <c r="I12" s="19">
        <f t="shared" si="0"/>
        <v>1610</v>
      </c>
      <c r="J12" s="18" t="s">
        <v>39</v>
      </c>
      <c r="K12" s="18" t="s">
        <v>15</v>
      </c>
      <c r="L12" s="18" t="s">
        <v>40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84</v>
      </c>
      <c r="D13" s="18" t="s">
        <v>85</v>
      </c>
      <c r="E13" s="18" t="s">
        <v>86</v>
      </c>
      <c r="F13" s="19">
        <v>12</v>
      </c>
      <c r="G13" s="19">
        <v>590</v>
      </c>
      <c r="H13" s="19">
        <v>30</v>
      </c>
      <c r="I13" s="19">
        <f t="shared" si="0"/>
        <v>560</v>
      </c>
      <c r="J13" s="18" t="s">
        <v>39</v>
      </c>
      <c r="K13" s="18" t="s">
        <v>15</v>
      </c>
      <c r="L13" s="18" t="s">
        <v>40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87</v>
      </c>
      <c r="D14" s="18" t="s">
        <v>88</v>
      </c>
      <c r="E14" s="18" t="s">
        <v>89</v>
      </c>
      <c r="F14" s="19">
        <v>7</v>
      </c>
      <c r="G14" s="19">
        <v>850</v>
      </c>
      <c r="H14" s="19">
        <v>30</v>
      </c>
      <c r="I14" s="19">
        <f t="shared" si="0"/>
        <v>820</v>
      </c>
      <c r="J14" s="18" t="s">
        <v>39</v>
      </c>
      <c r="K14" s="18" t="s">
        <v>15</v>
      </c>
      <c r="L14" s="18" t="s">
        <v>40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93</v>
      </c>
      <c r="D15" s="18" t="s">
        <v>94</v>
      </c>
      <c r="E15" s="18" t="s">
        <v>95</v>
      </c>
      <c r="F15" s="18" t="s">
        <v>38</v>
      </c>
      <c r="G15" s="19">
        <v>820</v>
      </c>
      <c r="H15" s="19">
        <v>30</v>
      </c>
      <c r="I15" s="19">
        <f t="shared" si="0"/>
        <v>790</v>
      </c>
      <c r="J15" s="18" t="s">
        <v>39</v>
      </c>
      <c r="K15" s="18" t="s">
        <v>15</v>
      </c>
      <c r="L15" s="18" t="s">
        <v>40</v>
      </c>
      <c r="M15" s="18"/>
      <c r="N15" s="18"/>
      <c r="O15" s="18"/>
      <c r="P15" s="18"/>
      <c r="Q15" s="18">
        <v>1</v>
      </c>
    </row>
    <row r="16" spans="1:18" customFormat="1" x14ac:dyDescent="0.25">
      <c r="A16" s="18" t="s">
        <v>96</v>
      </c>
      <c r="B16" s="18" t="s">
        <v>34</v>
      </c>
      <c r="C16" s="18" t="s">
        <v>99</v>
      </c>
      <c r="D16" s="18"/>
      <c r="E16" s="18" t="s">
        <v>100</v>
      </c>
      <c r="F16" s="19">
        <v>6</v>
      </c>
      <c r="G16" s="19">
        <v>0</v>
      </c>
      <c r="H16" s="19">
        <v>30</v>
      </c>
      <c r="I16" s="19">
        <f>-H16</f>
        <v>-30</v>
      </c>
      <c r="J16" s="18" t="s">
        <v>39</v>
      </c>
      <c r="K16" s="18" t="s">
        <v>15</v>
      </c>
      <c r="L16" s="18" t="s">
        <v>40</v>
      </c>
      <c r="M16" s="18"/>
      <c r="N16" s="18"/>
      <c r="O16" s="18"/>
      <c r="P16" s="18"/>
      <c r="Q16" s="18">
        <v>1</v>
      </c>
      <c r="R16" s="17">
        <f t="shared" ref="R16:R17" si="1">H16</f>
        <v>30</v>
      </c>
    </row>
    <row r="17" spans="1:18" customFormat="1" x14ac:dyDescent="0.25">
      <c r="A17" s="18"/>
      <c r="B17" s="18" t="s">
        <v>34</v>
      </c>
      <c r="C17" s="18" t="s">
        <v>50</v>
      </c>
      <c r="D17" s="18" t="s">
        <v>51</v>
      </c>
      <c r="E17" s="18" t="s">
        <v>52</v>
      </c>
      <c r="F17" s="18" t="s">
        <v>19</v>
      </c>
      <c r="G17" s="19">
        <v>0</v>
      </c>
      <c r="H17" s="19">
        <v>20</v>
      </c>
      <c r="I17" s="19">
        <f>-H17</f>
        <v>-20</v>
      </c>
      <c r="J17" s="18" t="s">
        <v>15</v>
      </c>
      <c r="K17" s="18" t="s">
        <v>15</v>
      </c>
      <c r="L17" s="18" t="s">
        <v>40</v>
      </c>
      <c r="M17" s="18"/>
      <c r="N17" s="18"/>
      <c r="O17" s="18"/>
      <c r="P17" s="18"/>
      <c r="Q17" s="18">
        <v>1</v>
      </c>
      <c r="R17" s="17">
        <f t="shared" si="1"/>
        <v>20</v>
      </c>
    </row>
    <row r="18" spans="1:18" customFormat="1" x14ac:dyDescent="0.25">
      <c r="A18" s="18"/>
      <c r="B18" s="18" t="s">
        <v>34</v>
      </c>
      <c r="C18" s="18" t="s">
        <v>57</v>
      </c>
      <c r="D18" s="18" t="s">
        <v>58</v>
      </c>
      <c r="E18" s="18" t="s">
        <v>59</v>
      </c>
      <c r="F18" s="18" t="s">
        <v>20</v>
      </c>
      <c r="G18" s="19">
        <v>615</v>
      </c>
      <c r="H18" s="19">
        <v>25</v>
      </c>
      <c r="I18" s="19">
        <f>G18-H18</f>
        <v>590</v>
      </c>
      <c r="J18" s="18" t="s">
        <v>15</v>
      </c>
      <c r="K18" s="18" t="s">
        <v>15</v>
      </c>
      <c r="L18" s="18" t="s">
        <v>40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66</v>
      </c>
      <c r="D19" s="18" t="s">
        <v>67</v>
      </c>
      <c r="E19" s="18" t="s">
        <v>68</v>
      </c>
      <c r="F19" s="19">
        <v>1</v>
      </c>
      <c r="G19" s="19">
        <v>845</v>
      </c>
      <c r="H19" s="19">
        <v>25</v>
      </c>
      <c r="I19" s="19">
        <f>G19-H19</f>
        <v>820</v>
      </c>
      <c r="J19" s="18" t="s">
        <v>15</v>
      </c>
      <c r="K19" s="18" t="s">
        <v>15</v>
      </c>
      <c r="L19" s="18" t="s">
        <v>40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72</v>
      </c>
      <c r="D20" s="18" t="s">
        <v>73</v>
      </c>
      <c r="E20" s="18" t="s">
        <v>74</v>
      </c>
      <c r="F20" s="18" t="s">
        <v>19</v>
      </c>
      <c r="G20" s="19">
        <v>1630</v>
      </c>
      <c r="H20" s="19">
        <v>20</v>
      </c>
      <c r="I20" s="19">
        <f>G20-H20</f>
        <v>1610</v>
      </c>
      <c r="J20" s="18" t="s">
        <v>15</v>
      </c>
      <c r="K20" s="18" t="s">
        <v>15</v>
      </c>
      <c r="L20" s="18" t="s">
        <v>40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75</v>
      </c>
      <c r="D21" s="18" t="s">
        <v>76</v>
      </c>
      <c r="E21" s="18" t="s">
        <v>77</v>
      </c>
      <c r="F21" s="19">
        <v>3</v>
      </c>
      <c r="G21" s="19">
        <v>405</v>
      </c>
      <c r="H21" s="19">
        <v>25</v>
      </c>
      <c r="I21" s="19">
        <f>G21-H21</f>
        <v>380</v>
      </c>
      <c r="J21" s="18" t="s">
        <v>15</v>
      </c>
      <c r="K21" s="18" t="s">
        <v>15</v>
      </c>
      <c r="L21" s="18" t="s">
        <v>40</v>
      </c>
      <c r="M21" s="18"/>
      <c r="N21" s="18"/>
      <c r="O21" s="18"/>
      <c r="P21" s="18"/>
      <c r="Q21" s="18">
        <v>1</v>
      </c>
    </row>
    <row r="22" spans="1:18" s="22" customFormat="1" x14ac:dyDescent="0.25">
      <c r="A22" s="20"/>
      <c r="B22" s="20" t="s">
        <v>34</v>
      </c>
      <c r="C22" s="20" t="s">
        <v>90</v>
      </c>
      <c r="D22" s="20" t="s">
        <v>91</v>
      </c>
      <c r="E22" s="20" t="s">
        <v>92</v>
      </c>
      <c r="F22" s="20" t="s">
        <v>17</v>
      </c>
      <c r="G22" s="21">
        <v>20</v>
      </c>
      <c r="H22" s="21">
        <v>20</v>
      </c>
      <c r="I22" s="21">
        <f>G22-H22</f>
        <v>0</v>
      </c>
      <c r="J22" s="20" t="s">
        <v>15</v>
      </c>
      <c r="K22" s="20" t="s">
        <v>15</v>
      </c>
      <c r="L22" s="20" t="s">
        <v>40</v>
      </c>
      <c r="M22" s="20" t="s">
        <v>16</v>
      </c>
      <c r="N22" s="20"/>
      <c r="O22" s="20"/>
      <c r="P22" s="20"/>
      <c r="Q22" s="20">
        <v>1</v>
      </c>
    </row>
    <row r="23" spans="1:18" customFormat="1" x14ac:dyDescent="0.25">
      <c r="A23" s="18" t="s">
        <v>96</v>
      </c>
      <c r="B23" s="18" t="s">
        <v>34</v>
      </c>
      <c r="C23" s="18" t="s">
        <v>97</v>
      </c>
      <c r="D23" s="18"/>
      <c r="E23" s="18" t="s">
        <v>98</v>
      </c>
      <c r="F23" s="18" t="s">
        <v>18</v>
      </c>
      <c r="G23" s="19">
        <v>0</v>
      </c>
      <c r="H23" s="19">
        <v>30</v>
      </c>
      <c r="I23" s="19">
        <f>-H23</f>
        <v>-30</v>
      </c>
      <c r="J23" s="18" t="s">
        <v>15</v>
      </c>
      <c r="K23" s="18" t="s">
        <v>15</v>
      </c>
      <c r="L23" s="18" t="s">
        <v>40</v>
      </c>
      <c r="M23" s="18"/>
      <c r="N23" s="18"/>
      <c r="O23" s="18"/>
      <c r="P23" s="18"/>
      <c r="Q23" s="18">
        <v>1</v>
      </c>
      <c r="R23" s="17">
        <f>H23</f>
        <v>30</v>
      </c>
    </row>
    <row r="25" spans="1:18" x14ac:dyDescent="0.25">
      <c r="G25" s="1">
        <f t="shared" ref="G25:R25" si="2">SUBTOTAL(9,G3:G24)</f>
        <v>11870</v>
      </c>
      <c r="H25" s="1">
        <f t="shared" si="2"/>
        <v>575</v>
      </c>
      <c r="I25" s="1">
        <f t="shared" si="2"/>
        <v>11295</v>
      </c>
      <c r="J25" s="1">
        <f t="shared" si="2"/>
        <v>0</v>
      </c>
      <c r="K25" s="1">
        <f t="shared" si="2"/>
        <v>0</v>
      </c>
      <c r="L25" s="1">
        <f t="shared" si="2"/>
        <v>0</v>
      </c>
      <c r="M25" s="1">
        <f t="shared" si="2"/>
        <v>0</v>
      </c>
      <c r="N25" s="1">
        <f t="shared" si="2"/>
        <v>0</v>
      </c>
      <c r="O25" s="1">
        <f t="shared" si="2"/>
        <v>0</v>
      </c>
      <c r="P25" s="1">
        <f t="shared" si="2"/>
        <v>0</v>
      </c>
      <c r="Q25" s="1">
        <f t="shared" si="2"/>
        <v>21</v>
      </c>
      <c r="R25" s="1">
        <f t="shared" si="2"/>
        <v>135</v>
      </c>
    </row>
    <row r="29" spans="1:18" ht="20.25" customHeight="1" x14ac:dyDescent="0.3">
      <c r="H29" s="4" t="s">
        <v>33</v>
      </c>
      <c r="I29" s="5" t="s">
        <v>21</v>
      </c>
      <c r="J29" s="6" t="s">
        <v>22</v>
      </c>
    </row>
    <row r="30" spans="1:18" ht="15.75" customHeight="1" x14ac:dyDescent="0.25">
      <c r="H30" s="7" t="s">
        <v>23</v>
      </c>
      <c r="I30" s="8">
        <f>SUM(I24:I28)</f>
        <v>11295</v>
      </c>
      <c r="J30" s="8">
        <f>Q25</f>
        <v>21</v>
      </c>
    </row>
    <row r="31" spans="1:18" x14ac:dyDescent="0.25">
      <c r="H31" s="9" t="s">
        <v>24</v>
      </c>
      <c r="I31" s="10">
        <f>R25</f>
        <v>135</v>
      </c>
      <c r="J31" s="11"/>
    </row>
    <row r="32" spans="1:18" x14ac:dyDescent="0.25">
      <c r="H32" s="9" t="s">
        <v>25</v>
      </c>
      <c r="I32" s="10">
        <f>S24</f>
        <v>0</v>
      </c>
      <c r="J32" s="11"/>
    </row>
    <row r="33" spans="8:10" x14ac:dyDescent="0.25">
      <c r="H33" s="9" t="s">
        <v>26</v>
      </c>
      <c r="I33" s="10">
        <f>T24</f>
        <v>0</v>
      </c>
      <c r="J33" s="11"/>
    </row>
    <row r="34" spans="8:10" x14ac:dyDescent="0.25">
      <c r="H34" s="9" t="s">
        <v>27</v>
      </c>
      <c r="I34" s="10">
        <f>U24</f>
        <v>0</v>
      </c>
      <c r="J34" s="11"/>
    </row>
    <row r="35" spans="8:10" ht="15.75" customHeight="1" x14ac:dyDescent="0.25">
      <c r="H35" s="12" t="s">
        <v>28</v>
      </c>
      <c r="I35" s="13"/>
      <c r="J35" s="13"/>
    </row>
    <row r="36" spans="8:10" ht="15.75" customHeight="1" x14ac:dyDescent="0.25">
      <c r="H36" s="14" t="s">
        <v>29</v>
      </c>
      <c r="I36" s="13"/>
      <c r="J36" s="13"/>
    </row>
    <row r="37" spans="8:10" ht="21" customHeight="1" x14ac:dyDescent="0.35">
      <c r="H37" s="15" t="s">
        <v>30</v>
      </c>
      <c r="I37" s="16">
        <f>SUM(I30:I36)</f>
        <v>11430</v>
      </c>
      <c r="J37" s="16">
        <f>SUM(J30:J34)</f>
        <v>21</v>
      </c>
    </row>
  </sheetData>
  <autoFilter ref="A2:P23" xr:uid="{00000000-0009-0000-0000-000006000000}">
    <sortState xmlns:xlrd2="http://schemas.microsoft.com/office/spreadsheetml/2017/richdata2" ref="A3:P23">
      <sortCondition ref="I2:I2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0E80B-AB04-46A5-9E8F-1C3F1DDB835A}">
  <dimension ref="A1:R43"/>
  <sheetViews>
    <sheetView zoomScale="80" zoomScaleNormal="80" workbookViewId="0">
      <selection activeCell="A7" sqref="A7:XFD7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102</v>
      </c>
      <c r="C1" s="1" t="s">
        <v>103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22" customFormat="1" x14ac:dyDescent="0.25">
      <c r="A3" s="20"/>
      <c r="B3" s="20" t="s">
        <v>34</v>
      </c>
      <c r="C3" s="20" t="s">
        <v>105</v>
      </c>
      <c r="D3" s="20" t="s">
        <v>106</v>
      </c>
      <c r="E3" s="20" t="s">
        <v>107</v>
      </c>
      <c r="F3" s="20" t="s">
        <v>108</v>
      </c>
      <c r="G3" s="21">
        <v>35</v>
      </c>
      <c r="H3" s="21">
        <v>35</v>
      </c>
      <c r="I3" s="21">
        <f t="shared" ref="I3:I24" si="0">G3-H3</f>
        <v>0</v>
      </c>
      <c r="J3" s="20" t="s">
        <v>109</v>
      </c>
      <c r="K3" s="20" t="s">
        <v>15</v>
      </c>
      <c r="L3" s="20" t="s">
        <v>110</v>
      </c>
      <c r="M3" s="20" t="s">
        <v>16</v>
      </c>
      <c r="N3" s="20"/>
      <c r="O3" s="20"/>
      <c r="P3" s="20"/>
      <c r="Q3" s="20">
        <v>1</v>
      </c>
    </row>
    <row r="4" spans="1:18" customFormat="1" x14ac:dyDescent="0.25">
      <c r="A4" s="18"/>
      <c r="B4" s="18" t="s">
        <v>34</v>
      </c>
      <c r="C4" s="18" t="s">
        <v>111</v>
      </c>
      <c r="D4" s="18" t="s">
        <v>112</v>
      </c>
      <c r="E4" s="18" t="s">
        <v>113</v>
      </c>
      <c r="F4" s="18" t="s">
        <v>38</v>
      </c>
      <c r="G4" s="19">
        <v>870</v>
      </c>
      <c r="H4" s="19">
        <v>30</v>
      </c>
      <c r="I4" s="19">
        <f t="shared" si="0"/>
        <v>840</v>
      </c>
      <c r="J4" s="18" t="s">
        <v>109</v>
      </c>
      <c r="K4" s="18" t="s">
        <v>15</v>
      </c>
      <c r="L4" s="18" t="s">
        <v>110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114</v>
      </c>
      <c r="D5" s="18" t="s">
        <v>115</v>
      </c>
      <c r="E5" s="18" t="s">
        <v>116</v>
      </c>
      <c r="F5" s="19">
        <v>8</v>
      </c>
      <c r="G5" s="19">
        <v>0</v>
      </c>
      <c r="H5" s="19">
        <v>25</v>
      </c>
      <c r="I5" s="19">
        <f t="shared" si="0"/>
        <v>-25</v>
      </c>
      <c r="J5" s="18" t="s">
        <v>109</v>
      </c>
      <c r="K5" s="18" t="s">
        <v>15</v>
      </c>
      <c r="L5" s="18" t="s">
        <v>110</v>
      </c>
      <c r="M5" s="18"/>
      <c r="N5" s="18"/>
      <c r="O5" s="18"/>
      <c r="P5" s="18"/>
      <c r="Q5" s="18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117</v>
      </c>
      <c r="D6" s="18" t="s">
        <v>118</v>
      </c>
      <c r="E6" s="18" t="s">
        <v>119</v>
      </c>
      <c r="F6" s="19">
        <v>7</v>
      </c>
      <c r="G6" s="19">
        <v>650</v>
      </c>
      <c r="H6" s="19">
        <v>30</v>
      </c>
      <c r="I6" s="19">
        <f t="shared" si="0"/>
        <v>620</v>
      </c>
      <c r="J6" s="18" t="s">
        <v>109</v>
      </c>
      <c r="K6" s="18" t="s">
        <v>15</v>
      </c>
      <c r="L6" s="18" t="s">
        <v>110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120</v>
      </c>
      <c r="D7" s="18" t="s">
        <v>121</v>
      </c>
      <c r="E7" s="18" t="s">
        <v>122</v>
      </c>
      <c r="F7" s="18" t="s">
        <v>123</v>
      </c>
      <c r="G7" s="19">
        <v>0</v>
      </c>
      <c r="H7" s="19">
        <v>35</v>
      </c>
      <c r="I7" s="19">
        <f t="shared" si="0"/>
        <v>-35</v>
      </c>
      <c r="J7" s="18" t="s">
        <v>109</v>
      </c>
      <c r="K7" s="18" t="s">
        <v>15</v>
      </c>
      <c r="L7" s="18" t="s">
        <v>110</v>
      </c>
      <c r="M7" s="27" t="s">
        <v>151</v>
      </c>
      <c r="N7" s="18"/>
      <c r="O7" s="18"/>
      <c r="P7" s="18"/>
      <c r="Q7" s="18">
        <v>1</v>
      </c>
      <c r="R7" s="17">
        <f>H7</f>
        <v>35</v>
      </c>
    </row>
    <row r="8" spans="1:18" customFormat="1" x14ac:dyDescent="0.25">
      <c r="A8" s="18"/>
      <c r="B8" s="18" t="s">
        <v>34</v>
      </c>
      <c r="C8" s="18" t="s">
        <v>124</v>
      </c>
      <c r="D8" s="18" t="s">
        <v>125</v>
      </c>
      <c r="E8" s="18" t="s">
        <v>126</v>
      </c>
      <c r="F8" s="19">
        <v>7</v>
      </c>
      <c r="G8" s="19">
        <v>740</v>
      </c>
      <c r="H8" s="19">
        <v>30</v>
      </c>
      <c r="I8" s="19">
        <f t="shared" si="0"/>
        <v>710</v>
      </c>
      <c r="J8" s="18" t="s">
        <v>109</v>
      </c>
      <c r="K8" s="18" t="s">
        <v>15</v>
      </c>
      <c r="L8" s="18" t="s">
        <v>110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127</v>
      </c>
      <c r="D9" s="18" t="s">
        <v>128</v>
      </c>
      <c r="E9" s="18" t="s">
        <v>129</v>
      </c>
      <c r="F9" s="18" t="s">
        <v>38</v>
      </c>
      <c r="G9" s="19">
        <v>770</v>
      </c>
      <c r="H9" s="19">
        <v>30</v>
      </c>
      <c r="I9" s="19">
        <f t="shared" si="0"/>
        <v>740</v>
      </c>
      <c r="J9" s="18" t="s">
        <v>109</v>
      </c>
      <c r="K9" s="18" t="s">
        <v>15</v>
      </c>
      <c r="L9" s="18" t="s">
        <v>110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148</v>
      </c>
      <c r="D10" s="18" t="s">
        <v>149</v>
      </c>
      <c r="E10" s="18" t="s">
        <v>150</v>
      </c>
      <c r="F10" s="18" t="s">
        <v>19</v>
      </c>
      <c r="G10" s="19">
        <v>0</v>
      </c>
      <c r="H10" s="19">
        <v>20</v>
      </c>
      <c r="I10" s="19">
        <f t="shared" si="0"/>
        <v>-20</v>
      </c>
      <c r="J10" s="18" t="s">
        <v>15</v>
      </c>
      <c r="K10" s="18" t="s">
        <v>15</v>
      </c>
      <c r="L10" s="18" t="s">
        <v>110</v>
      </c>
      <c r="M10" s="1"/>
      <c r="N10" s="18"/>
      <c r="O10" s="18"/>
      <c r="P10" s="18"/>
      <c r="Q10" s="18">
        <v>1</v>
      </c>
      <c r="R10" s="17">
        <f>H10</f>
        <v>20</v>
      </c>
    </row>
    <row r="11" spans="1:18" customFormat="1" x14ac:dyDescent="0.25">
      <c r="A11" s="18" t="s">
        <v>96</v>
      </c>
      <c r="B11" s="18" t="s">
        <v>34</v>
      </c>
      <c r="C11" s="18" t="s">
        <v>130</v>
      </c>
      <c r="D11" s="18"/>
      <c r="E11" s="18" t="s">
        <v>131</v>
      </c>
      <c r="F11" s="19">
        <v>6</v>
      </c>
      <c r="G11" s="19">
        <v>70</v>
      </c>
      <c r="H11" s="19">
        <v>70</v>
      </c>
      <c r="I11" s="19">
        <f t="shared" si="0"/>
        <v>0</v>
      </c>
      <c r="J11" s="18" t="s">
        <v>15</v>
      </c>
      <c r="K11" s="18" t="s">
        <v>15</v>
      </c>
      <c r="L11" s="18" t="s">
        <v>110</v>
      </c>
      <c r="M11" s="18"/>
      <c r="N11" s="18"/>
      <c r="O11" s="18"/>
      <c r="P11" s="18"/>
      <c r="Q11" s="18">
        <v>1</v>
      </c>
      <c r="R11" s="17"/>
    </row>
    <row r="12" spans="1:18" customFormat="1" x14ac:dyDescent="0.25">
      <c r="A12" s="18" t="s">
        <v>96</v>
      </c>
      <c r="B12" s="18" t="s">
        <v>34</v>
      </c>
      <c r="C12" s="18" t="s">
        <v>132</v>
      </c>
      <c r="D12" s="18"/>
      <c r="E12" s="18" t="s">
        <v>133</v>
      </c>
      <c r="F12" s="19">
        <v>12</v>
      </c>
      <c r="G12" s="19">
        <v>30</v>
      </c>
      <c r="H12" s="19">
        <v>30</v>
      </c>
      <c r="I12" s="19">
        <f t="shared" si="0"/>
        <v>0</v>
      </c>
      <c r="J12" s="18" t="s">
        <v>15</v>
      </c>
      <c r="K12" s="18" t="s">
        <v>15</v>
      </c>
      <c r="L12" s="18" t="s">
        <v>110</v>
      </c>
      <c r="M12" s="18"/>
      <c r="N12" s="18"/>
      <c r="O12" s="18"/>
      <c r="P12" s="18"/>
      <c r="Q12" s="18">
        <v>1</v>
      </c>
    </row>
    <row r="13" spans="1:18" customFormat="1" x14ac:dyDescent="0.25">
      <c r="A13" s="18" t="s">
        <v>96</v>
      </c>
      <c r="B13" s="18" t="s">
        <v>34</v>
      </c>
      <c r="C13" s="18" t="s">
        <v>134</v>
      </c>
      <c r="D13" s="18"/>
      <c r="E13" s="18" t="s">
        <v>135</v>
      </c>
      <c r="F13" s="18" t="s">
        <v>20</v>
      </c>
      <c r="G13" s="19">
        <v>30</v>
      </c>
      <c r="H13" s="19">
        <v>30</v>
      </c>
      <c r="I13" s="19">
        <f t="shared" si="0"/>
        <v>0</v>
      </c>
      <c r="J13" s="18" t="s">
        <v>15</v>
      </c>
      <c r="K13" s="18" t="s">
        <v>15</v>
      </c>
      <c r="L13" s="18" t="s">
        <v>110</v>
      </c>
      <c r="M13" s="18"/>
      <c r="N13" s="18"/>
      <c r="O13" s="18"/>
      <c r="P13" s="18"/>
      <c r="Q13" s="18">
        <v>1</v>
      </c>
    </row>
    <row r="14" spans="1:18" customFormat="1" x14ac:dyDescent="0.25">
      <c r="A14" s="18" t="s">
        <v>96</v>
      </c>
      <c r="B14" s="18" t="s">
        <v>34</v>
      </c>
      <c r="C14" s="18" t="s">
        <v>136</v>
      </c>
      <c r="D14" s="18"/>
      <c r="E14" s="18" t="s">
        <v>137</v>
      </c>
      <c r="F14" s="18" t="s">
        <v>18</v>
      </c>
      <c r="G14" s="19">
        <v>530</v>
      </c>
      <c r="H14" s="19">
        <v>30</v>
      </c>
      <c r="I14" s="19">
        <f t="shared" si="0"/>
        <v>500</v>
      </c>
      <c r="J14" s="18" t="s">
        <v>15</v>
      </c>
      <c r="K14" s="18" t="s">
        <v>15</v>
      </c>
      <c r="L14" s="18" t="s">
        <v>110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138</v>
      </c>
      <c r="D15" s="18" t="s">
        <v>139</v>
      </c>
      <c r="E15" s="18" t="s">
        <v>140</v>
      </c>
      <c r="F15" s="18" t="s">
        <v>19</v>
      </c>
      <c r="G15" s="19">
        <v>740</v>
      </c>
      <c r="H15" s="19">
        <v>20</v>
      </c>
      <c r="I15" s="19">
        <f t="shared" si="0"/>
        <v>720</v>
      </c>
      <c r="J15" s="18" t="s">
        <v>15</v>
      </c>
      <c r="K15" s="18" t="s">
        <v>15</v>
      </c>
      <c r="L15" s="18" t="s">
        <v>110</v>
      </c>
      <c r="M15" s="18"/>
      <c r="N15" s="18"/>
      <c r="O15" s="18"/>
      <c r="P15" s="18"/>
      <c r="Q15" s="18">
        <v>1</v>
      </c>
      <c r="R15" s="17"/>
    </row>
    <row r="16" spans="1:18" customFormat="1" x14ac:dyDescent="0.25">
      <c r="A16" s="18"/>
      <c r="B16" s="18" t="s">
        <v>34</v>
      </c>
      <c r="C16" s="18" t="s">
        <v>141</v>
      </c>
      <c r="D16" s="18" t="s">
        <v>142</v>
      </c>
      <c r="E16" s="18" t="s">
        <v>143</v>
      </c>
      <c r="F16" s="18" t="s">
        <v>144</v>
      </c>
      <c r="G16" s="19">
        <v>0</v>
      </c>
      <c r="H16" s="19">
        <v>30</v>
      </c>
      <c r="I16" s="19">
        <f t="shared" si="0"/>
        <v>-30</v>
      </c>
      <c r="J16" s="18" t="s">
        <v>15</v>
      </c>
      <c r="K16" s="18" t="s">
        <v>15</v>
      </c>
      <c r="L16" s="18" t="s">
        <v>110</v>
      </c>
      <c r="M16" s="18"/>
      <c r="N16" s="18"/>
      <c r="O16" s="18"/>
      <c r="P16" s="18"/>
      <c r="Q16" s="18">
        <v>1</v>
      </c>
      <c r="R16" s="17">
        <f>H16</f>
        <v>30</v>
      </c>
    </row>
    <row r="17" spans="1:18" customFormat="1" x14ac:dyDescent="0.25">
      <c r="A17" s="18"/>
      <c r="B17" s="18" t="s">
        <v>34</v>
      </c>
      <c r="C17" s="18" t="s">
        <v>145</v>
      </c>
      <c r="D17" s="18" t="s">
        <v>146</v>
      </c>
      <c r="E17" s="18" t="s">
        <v>147</v>
      </c>
      <c r="F17" s="18" t="s">
        <v>19</v>
      </c>
      <c r="G17" s="19">
        <v>510</v>
      </c>
      <c r="H17" s="19">
        <v>20</v>
      </c>
      <c r="I17" s="19">
        <f t="shared" si="0"/>
        <v>490</v>
      </c>
      <c r="J17" s="18" t="s">
        <v>15</v>
      </c>
      <c r="K17" s="18" t="s">
        <v>15</v>
      </c>
      <c r="L17" s="18" t="s">
        <v>110</v>
      </c>
      <c r="M17" s="18"/>
      <c r="N17" s="18"/>
      <c r="O17" s="18"/>
      <c r="P17" s="18"/>
      <c r="Q17" s="18">
        <v>1</v>
      </c>
      <c r="R17" s="17">
        <f>H17</f>
        <v>20</v>
      </c>
    </row>
    <row r="18" spans="1:18" customFormat="1" x14ac:dyDescent="0.25">
      <c r="A18" s="18"/>
      <c r="B18" s="18" t="s">
        <v>34</v>
      </c>
      <c r="C18" s="18" t="s">
        <v>152</v>
      </c>
      <c r="D18" s="18" t="s">
        <v>153</v>
      </c>
      <c r="E18" s="18" t="s">
        <v>154</v>
      </c>
      <c r="F18" s="18" t="s">
        <v>20</v>
      </c>
      <c r="G18" s="19">
        <v>745</v>
      </c>
      <c r="H18" s="19">
        <v>25</v>
      </c>
      <c r="I18" s="19">
        <f t="shared" si="0"/>
        <v>720</v>
      </c>
      <c r="J18" s="18" t="s">
        <v>15</v>
      </c>
      <c r="K18" s="18" t="s">
        <v>15</v>
      </c>
      <c r="L18" s="18" t="s">
        <v>110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155</v>
      </c>
      <c r="D19" s="18" t="s">
        <v>156</v>
      </c>
      <c r="E19" s="18" t="s">
        <v>157</v>
      </c>
      <c r="F19" s="18" t="s">
        <v>19</v>
      </c>
      <c r="G19" s="19">
        <v>0</v>
      </c>
      <c r="H19" s="19">
        <v>20</v>
      </c>
      <c r="I19" s="19">
        <f t="shared" si="0"/>
        <v>-20</v>
      </c>
      <c r="J19" s="18" t="s">
        <v>15</v>
      </c>
      <c r="K19" s="18" t="s">
        <v>15</v>
      </c>
      <c r="L19" s="18" t="s">
        <v>110</v>
      </c>
      <c r="M19" s="18"/>
      <c r="N19" s="18"/>
      <c r="O19" s="18"/>
      <c r="P19" s="18"/>
      <c r="Q19" s="18">
        <v>1</v>
      </c>
      <c r="R19" s="17">
        <f>H19</f>
        <v>20</v>
      </c>
    </row>
    <row r="20" spans="1:18" customFormat="1" x14ac:dyDescent="0.25">
      <c r="A20" s="18" t="s">
        <v>96</v>
      </c>
      <c r="B20" s="18" t="s">
        <v>34</v>
      </c>
      <c r="C20" s="18" t="s">
        <v>158</v>
      </c>
      <c r="D20" s="18"/>
      <c r="E20" s="18" t="s">
        <v>159</v>
      </c>
      <c r="F20" s="18" t="s">
        <v>18</v>
      </c>
      <c r="G20" s="19">
        <v>30</v>
      </c>
      <c r="H20" s="19">
        <v>30</v>
      </c>
      <c r="I20" s="19">
        <f t="shared" si="0"/>
        <v>0</v>
      </c>
      <c r="J20" s="18" t="s">
        <v>160</v>
      </c>
      <c r="K20" s="18" t="s">
        <v>15</v>
      </c>
      <c r="L20" s="18" t="s">
        <v>110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161</v>
      </c>
      <c r="D21" s="18" t="s">
        <v>162</v>
      </c>
      <c r="E21" s="18" t="s">
        <v>163</v>
      </c>
      <c r="F21" s="19">
        <v>1</v>
      </c>
      <c r="G21" s="19">
        <v>695</v>
      </c>
      <c r="H21" s="19">
        <v>25</v>
      </c>
      <c r="I21" s="19">
        <f t="shared" si="0"/>
        <v>670</v>
      </c>
      <c r="J21" s="18" t="s">
        <v>160</v>
      </c>
      <c r="K21" s="18" t="s">
        <v>15</v>
      </c>
      <c r="L21" s="18" t="s">
        <v>110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134</v>
      </c>
      <c r="D22" s="18" t="s">
        <v>164</v>
      </c>
      <c r="E22" s="18" t="s">
        <v>165</v>
      </c>
      <c r="F22" s="19">
        <v>10</v>
      </c>
      <c r="G22" s="19">
        <v>775</v>
      </c>
      <c r="H22" s="19">
        <v>25</v>
      </c>
      <c r="I22" s="19">
        <f t="shared" si="0"/>
        <v>750</v>
      </c>
      <c r="J22" s="18" t="s">
        <v>160</v>
      </c>
      <c r="K22" s="18" t="s">
        <v>15</v>
      </c>
      <c r="L22" s="18" t="s">
        <v>110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166</v>
      </c>
      <c r="D23" s="18" t="s">
        <v>167</v>
      </c>
      <c r="E23" s="18" t="s">
        <v>168</v>
      </c>
      <c r="F23" s="19">
        <v>1</v>
      </c>
      <c r="G23" s="19">
        <v>0</v>
      </c>
      <c r="H23" s="19">
        <v>25</v>
      </c>
      <c r="I23" s="19">
        <f t="shared" si="0"/>
        <v>-25</v>
      </c>
      <c r="J23" s="18" t="s">
        <v>160</v>
      </c>
      <c r="K23" s="18" t="s">
        <v>15</v>
      </c>
      <c r="L23" s="18" t="s">
        <v>110</v>
      </c>
      <c r="M23" s="27" t="s">
        <v>169</v>
      </c>
      <c r="N23" s="18"/>
      <c r="O23" s="18"/>
      <c r="P23" s="18"/>
      <c r="Q23" s="18">
        <v>1</v>
      </c>
      <c r="R23" s="17">
        <f>H23</f>
        <v>25</v>
      </c>
    </row>
    <row r="24" spans="1:18" customFormat="1" x14ac:dyDescent="0.25">
      <c r="A24" s="18"/>
      <c r="B24" s="18" t="s">
        <v>34</v>
      </c>
      <c r="C24" s="18" t="s">
        <v>170</v>
      </c>
      <c r="D24" s="18" t="s">
        <v>171</v>
      </c>
      <c r="E24" s="18" t="s">
        <v>172</v>
      </c>
      <c r="F24" s="19">
        <v>1</v>
      </c>
      <c r="G24" s="19">
        <v>695</v>
      </c>
      <c r="H24" s="19">
        <v>25</v>
      </c>
      <c r="I24" s="19">
        <f t="shared" si="0"/>
        <v>670</v>
      </c>
      <c r="J24" s="18" t="s">
        <v>160</v>
      </c>
      <c r="K24" s="18" t="s">
        <v>15</v>
      </c>
      <c r="L24" s="18" t="s">
        <v>110</v>
      </c>
      <c r="M24" s="18"/>
      <c r="N24" s="18"/>
      <c r="O24" s="18"/>
      <c r="P24" s="18"/>
      <c r="Q24" s="18">
        <v>1</v>
      </c>
    </row>
    <row r="26" spans="1:18" x14ac:dyDescent="0.25">
      <c r="G26" s="1">
        <f t="shared" ref="G26:R26" si="1">SUBTOTAL(9,G3:G25)</f>
        <v>7915</v>
      </c>
      <c r="H26" s="1">
        <f t="shared" si="1"/>
        <v>640</v>
      </c>
      <c r="I26" s="1">
        <f t="shared" si="1"/>
        <v>7275</v>
      </c>
      <c r="J26" s="1">
        <f t="shared" si="1"/>
        <v>0</v>
      </c>
      <c r="K26" s="1">
        <f t="shared" si="1"/>
        <v>0</v>
      </c>
      <c r="L26" s="1">
        <f t="shared" si="1"/>
        <v>0</v>
      </c>
      <c r="M26" s="1">
        <f t="shared" si="1"/>
        <v>0</v>
      </c>
      <c r="N26" s="1">
        <f t="shared" si="1"/>
        <v>0</v>
      </c>
      <c r="O26" s="1">
        <f t="shared" si="1"/>
        <v>0</v>
      </c>
      <c r="P26" s="1">
        <f t="shared" si="1"/>
        <v>0</v>
      </c>
      <c r="Q26" s="1">
        <f t="shared" si="1"/>
        <v>22</v>
      </c>
      <c r="R26" s="1">
        <f t="shared" si="1"/>
        <v>175</v>
      </c>
    </row>
    <row r="30" spans="1:18" ht="20.25" customHeight="1" x14ac:dyDescent="0.3">
      <c r="H30" s="4" t="s">
        <v>104</v>
      </c>
      <c r="I30" s="5" t="s">
        <v>21</v>
      </c>
      <c r="J30" s="6" t="s">
        <v>22</v>
      </c>
    </row>
    <row r="31" spans="1:18" ht="15.75" customHeight="1" x14ac:dyDescent="0.25">
      <c r="H31" s="7" t="s">
        <v>23</v>
      </c>
      <c r="I31" s="8">
        <f>SUM(I25:I29)</f>
        <v>7275</v>
      </c>
      <c r="J31" s="8">
        <f>Q26</f>
        <v>22</v>
      </c>
    </row>
    <row r="32" spans="1:18" x14ac:dyDescent="0.25">
      <c r="H32" s="9" t="s">
        <v>24</v>
      </c>
      <c r="I32" s="10">
        <f>R26</f>
        <v>175</v>
      </c>
      <c r="J32" s="11"/>
    </row>
    <row r="33" spans="1:12" x14ac:dyDescent="0.25">
      <c r="H33" s="9" t="s">
        <v>25</v>
      </c>
      <c r="I33" s="10">
        <f>S25</f>
        <v>0</v>
      </c>
      <c r="J33" s="11"/>
    </row>
    <row r="34" spans="1:12" x14ac:dyDescent="0.25">
      <c r="H34" s="9" t="s">
        <v>26</v>
      </c>
      <c r="I34" s="10">
        <f>T25</f>
        <v>0</v>
      </c>
      <c r="J34" s="11"/>
    </row>
    <row r="35" spans="1:12" x14ac:dyDescent="0.25">
      <c r="H35" s="9" t="s">
        <v>27</v>
      </c>
      <c r="I35" s="10">
        <f>U25</f>
        <v>0</v>
      </c>
      <c r="J35" s="11"/>
    </row>
    <row r="36" spans="1:12" ht="15.75" customHeight="1" x14ac:dyDescent="0.25">
      <c r="H36" s="12" t="s">
        <v>28</v>
      </c>
      <c r="I36" s="13"/>
      <c r="J36" s="13"/>
    </row>
    <row r="37" spans="1:12" ht="15.75" customHeight="1" x14ac:dyDescent="0.25">
      <c r="H37" s="14" t="s">
        <v>29</v>
      </c>
      <c r="I37" s="13"/>
      <c r="J37" s="13"/>
    </row>
    <row r="38" spans="1:12" ht="21" customHeight="1" x14ac:dyDescent="0.35">
      <c r="H38" s="15" t="s">
        <v>30</v>
      </c>
      <c r="I38" s="16">
        <f>SUM(I31:I37)</f>
        <v>7450</v>
      </c>
      <c r="J38" s="16">
        <f>SUM(J31:J35)</f>
        <v>22</v>
      </c>
    </row>
    <row r="41" spans="1:12" x14ac:dyDescent="0.25">
      <c r="A41" s="1" t="s">
        <v>173</v>
      </c>
    </row>
    <row r="42" spans="1:12" s="23" customFormat="1" x14ac:dyDescent="0.25">
      <c r="A42" s="24" t="s">
        <v>34</v>
      </c>
      <c r="B42" s="24" t="s">
        <v>120</v>
      </c>
      <c r="C42" s="24" t="s">
        <v>121</v>
      </c>
      <c r="D42" s="24" t="s">
        <v>122</v>
      </c>
      <c r="E42" s="24" t="s">
        <v>123</v>
      </c>
      <c r="F42" s="25">
        <v>1215</v>
      </c>
      <c r="G42" s="25">
        <v>0</v>
      </c>
      <c r="H42" s="25">
        <v>1215</v>
      </c>
      <c r="I42" s="24" t="s">
        <v>109</v>
      </c>
      <c r="J42" s="24" t="s">
        <v>15</v>
      </c>
      <c r="K42" s="24" t="s">
        <v>110</v>
      </c>
      <c r="L42" s="26" t="s">
        <v>151</v>
      </c>
    </row>
    <row r="43" spans="1:12" s="23" customFormat="1" x14ac:dyDescent="0.25">
      <c r="A43" s="24" t="s">
        <v>34</v>
      </c>
      <c r="B43" s="24" t="s">
        <v>166</v>
      </c>
      <c r="C43" s="24" t="s">
        <v>167</v>
      </c>
      <c r="D43" s="24" t="s">
        <v>168</v>
      </c>
      <c r="E43" s="28">
        <v>1</v>
      </c>
      <c r="F43" s="25">
        <v>895</v>
      </c>
      <c r="G43" s="25">
        <v>0</v>
      </c>
      <c r="H43" s="25">
        <f t="shared" ref="H43" si="2">F43-G43</f>
        <v>895</v>
      </c>
      <c r="I43" s="24" t="s">
        <v>160</v>
      </c>
      <c r="J43" s="24" t="s">
        <v>15</v>
      </c>
      <c r="K43" s="24" t="s">
        <v>110</v>
      </c>
      <c r="L43" s="26" t="s">
        <v>169</v>
      </c>
    </row>
  </sheetData>
  <autoFilter ref="A2:P24" xr:uid="{00000000-0009-0000-0000-000006000000}">
    <sortState xmlns:xlrd2="http://schemas.microsoft.com/office/spreadsheetml/2017/richdata2" ref="A3:P24">
      <sortCondition ref="J2:J24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306D0-4329-426B-9A19-17DF9E896AD6}">
  <dimension ref="A1:R67"/>
  <sheetViews>
    <sheetView topLeftCell="A20" workbookViewId="0">
      <selection activeCell="H34" sqref="H34:H49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316</v>
      </c>
      <c r="C1" s="1" t="s">
        <v>317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174</v>
      </c>
      <c r="D3" s="18" t="s">
        <v>175</v>
      </c>
      <c r="E3" s="18" t="s">
        <v>176</v>
      </c>
      <c r="F3" s="19">
        <v>9</v>
      </c>
      <c r="G3" s="19">
        <v>30</v>
      </c>
      <c r="H3" s="19">
        <v>30</v>
      </c>
      <c r="I3" s="19">
        <f>G3-H3</f>
        <v>0</v>
      </c>
      <c r="J3" s="18" t="s">
        <v>56</v>
      </c>
      <c r="K3" s="18" t="s">
        <v>15</v>
      </c>
      <c r="L3" s="18" t="s">
        <v>177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178</v>
      </c>
      <c r="D4" s="18" t="s">
        <v>179</v>
      </c>
      <c r="E4" s="18" t="s">
        <v>180</v>
      </c>
      <c r="F4" s="19">
        <v>9</v>
      </c>
      <c r="G4" s="19">
        <v>920</v>
      </c>
      <c r="H4" s="19">
        <v>30</v>
      </c>
      <c r="I4" s="19">
        <f t="shared" ref="I4:I53" si="0">G4-H4</f>
        <v>890</v>
      </c>
      <c r="J4" s="18" t="s">
        <v>56</v>
      </c>
      <c r="K4" s="18" t="s">
        <v>15</v>
      </c>
      <c r="L4" s="18" t="s">
        <v>177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181</v>
      </c>
      <c r="D5" s="18" t="s">
        <v>182</v>
      </c>
      <c r="E5" s="18" t="s">
        <v>183</v>
      </c>
      <c r="F5" s="19">
        <v>9</v>
      </c>
      <c r="G5" s="19">
        <v>0</v>
      </c>
      <c r="H5" s="19">
        <v>30</v>
      </c>
      <c r="I5" s="19">
        <f t="shared" si="0"/>
        <v>-30</v>
      </c>
      <c r="J5" s="18" t="s">
        <v>56</v>
      </c>
      <c r="K5" s="18" t="s">
        <v>15</v>
      </c>
      <c r="L5" s="18" t="s">
        <v>177</v>
      </c>
      <c r="M5" s="18"/>
      <c r="N5" s="18"/>
      <c r="O5" s="18"/>
      <c r="P5" s="18"/>
      <c r="Q5" s="18">
        <v>1</v>
      </c>
      <c r="R5" s="17">
        <f>H5</f>
        <v>30</v>
      </c>
    </row>
    <row r="6" spans="1:18" customFormat="1" x14ac:dyDescent="0.25">
      <c r="A6" s="18"/>
      <c r="B6" s="18" t="s">
        <v>34</v>
      </c>
      <c r="C6" s="18" t="s">
        <v>184</v>
      </c>
      <c r="D6" s="18" t="s">
        <v>185</v>
      </c>
      <c r="E6" s="18" t="s">
        <v>186</v>
      </c>
      <c r="F6" s="19">
        <v>9</v>
      </c>
      <c r="G6" s="19">
        <v>690</v>
      </c>
      <c r="H6" s="19">
        <v>30</v>
      </c>
      <c r="I6" s="19">
        <f t="shared" si="0"/>
        <v>660</v>
      </c>
      <c r="J6" s="18" t="s">
        <v>56</v>
      </c>
      <c r="K6" s="18" t="s">
        <v>15</v>
      </c>
      <c r="L6" s="18" t="s">
        <v>177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187</v>
      </c>
      <c r="D7" s="18" t="s">
        <v>188</v>
      </c>
      <c r="E7" s="18" t="s">
        <v>189</v>
      </c>
      <c r="F7" s="19">
        <v>5</v>
      </c>
      <c r="G7" s="19">
        <v>20</v>
      </c>
      <c r="H7" s="19">
        <v>20</v>
      </c>
      <c r="I7" s="19">
        <f t="shared" si="0"/>
        <v>0</v>
      </c>
      <c r="J7" s="18" t="s">
        <v>190</v>
      </c>
      <c r="K7" s="18" t="s">
        <v>15</v>
      </c>
      <c r="L7" s="18" t="s">
        <v>177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191</v>
      </c>
      <c r="D8" s="18" t="s">
        <v>192</v>
      </c>
      <c r="E8" s="18" t="s">
        <v>193</v>
      </c>
      <c r="F8" s="19">
        <v>12</v>
      </c>
      <c r="G8" s="19">
        <v>820</v>
      </c>
      <c r="H8" s="19">
        <v>30</v>
      </c>
      <c r="I8" s="19">
        <f t="shared" si="0"/>
        <v>790</v>
      </c>
      <c r="J8" s="18" t="s">
        <v>190</v>
      </c>
      <c r="K8" s="18" t="s">
        <v>15</v>
      </c>
      <c r="L8" s="18" t="s">
        <v>177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194</v>
      </c>
      <c r="D9" s="18" t="s">
        <v>195</v>
      </c>
      <c r="E9" s="18" t="s">
        <v>196</v>
      </c>
      <c r="F9" s="19">
        <v>7</v>
      </c>
      <c r="G9" s="19">
        <v>1330</v>
      </c>
      <c r="H9" s="19">
        <v>30</v>
      </c>
      <c r="I9" s="19">
        <f t="shared" si="0"/>
        <v>1300</v>
      </c>
      <c r="J9" s="18" t="s">
        <v>190</v>
      </c>
      <c r="K9" s="18" t="s">
        <v>15</v>
      </c>
      <c r="L9" s="18" t="s">
        <v>177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197</v>
      </c>
      <c r="D10" s="18" t="s">
        <v>198</v>
      </c>
      <c r="E10" s="18" t="s">
        <v>199</v>
      </c>
      <c r="F10" s="18" t="s">
        <v>18</v>
      </c>
      <c r="G10" s="19">
        <v>375</v>
      </c>
      <c r="H10" s="19">
        <v>25</v>
      </c>
      <c r="I10" s="19">
        <f t="shared" si="0"/>
        <v>350</v>
      </c>
      <c r="J10" s="18" t="s">
        <v>190</v>
      </c>
      <c r="K10" s="18" t="s">
        <v>15</v>
      </c>
      <c r="L10" s="18" t="s">
        <v>177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200</v>
      </c>
      <c r="D11" s="18" t="s">
        <v>201</v>
      </c>
      <c r="E11" s="18" t="s">
        <v>202</v>
      </c>
      <c r="F11" s="19">
        <v>7</v>
      </c>
      <c r="G11" s="19">
        <v>850</v>
      </c>
      <c r="H11" s="19">
        <v>30</v>
      </c>
      <c r="I11" s="19">
        <f t="shared" si="0"/>
        <v>820</v>
      </c>
      <c r="J11" s="18" t="s">
        <v>190</v>
      </c>
      <c r="K11" s="18" t="s">
        <v>15</v>
      </c>
      <c r="L11" s="18" t="s">
        <v>177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203</v>
      </c>
      <c r="D12" s="18" t="s">
        <v>204</v>
      </c>
      <c r="E12" s="18" t="s">
        <v>205</v>
      </c>
      <c r="F12" s="19">
        <v>12</v>
      </c>
      <c r="G12" s="19">
        <v>380</v>
      </c>
      <c r="H12" s="19">
        <v>30</v>
      </c>
      <c r="I12" s="19">
        <f t="shared" si="0"/>
        <v>350</v>
      </c>
      <c r="J12" s="18" t="s">
        <v>190</v>
      </c>
      <c r="K12" s="18" t="s">
        <v>15</v>
      </c>
      <c r="L12" s="18" t="s">
        <v>177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206</v>
      </c>
      <c r="D13" s="18" t="s">
        <v>207</v>
      </c>
      <c r="E13" s="18" t="s">
        <v>208</v>
      </c>
      <c r="F13" s="19">
        <v>7</v>
      </c>
      <c r="G13" s="19">
        <v>690</v>
      </c>
      <c r="H13" s="19">
        <v>30</v>
      </c>
      <c r="I13" s="19">
        <f t="shared" si="0"/>
        <v>660</v>
      </c>
      <c r="J13" s="18" t="s">
        <v>190</v>
      </c>
      <c r="K13" s="18" t="s">
        <v>15</v>
      </c>
      <c r="L13" s="18" t="s">
        <v>177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209</v>
      </c>
      <c r="D14" s="18" t="s">
        <v>210</v>
      </c>
      <c r="E14" s="18" t="s">
        <v>211</v>
      </c>
      <c r="F14" s="18" t="s">
        <v>212</v>
      </c>
      <c r="G14" s="19">
        <v>365</v>
      </c>
      <c r="H14" s="19">
        <v>25</v>
      </c>
      <c r="I14" s="19">
        <f t="shared" si="0"/>
        <v>340</v>
      </c>
      <c r="J14" s="18" t="s">
        <v>190</v>
      </c>
      <c r="K14" s="18" t="s">
        <v>15</v>
      </c>
      <c r="L14" s="18" t="s">
        <v>177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213</v>
      </c>
      <c r="D15" s="18" t="s">
        <v>214</v>
      </c>
      <c r="E15" s="18" t="s">
        <v>215</v>
      </c>
      <c r="F15" s="19">
        <v>8</v>
      </c>
      <c r="G15" s="19">
        <v>1460</v>
      </c>
      <c r="H15" s="19">
        <v>30</v>
      </c>
      <c r="I15" s="19">
        <f t="shared" si="0"/>
        <v>1430</v>
      </c>
      <c r="J15" s="18" t="s">
        <v>190</v>
      </c>
      <c r="K15" s="18" t="s">
        <v>15</v>
      </c>
      <c r="L15" s="18" t="s">
        <v>177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216</v>
      </c>
      <c r="D16" s="18" t="s">
        <v>217</v>
      </c>
      <c r="E16" s="18" t="s">
        <v>218</v>
      </c>
      <c r="F16" s="19">
        <v>8</v>
      </c>
      <c r="G16" s="19">
        <v>1440</v>
      </c>
      <c r="H16" s="19">
        <v>30</v>
      </c>
      <c r="I16" s="19">
        <f t="shared" si="0"/>
        <v>1410</v>
      </c>
      <c r="J16" s="18" t="s">
        <v>190</v>
      </c>
      <c r="K16" s="18" t="s">
        <v>15</v>
      </c>
      <c r="L16" s="18" t="s">
        <v>177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219</v>
      </c>
      <c r="D17" s="18" t="s">
        <v>220</v>
      </c>
      <c r="E17" s="18" t="s">
        <v>221</v>
      </c>
      <c r="F17" s="19">
        <v>10</v>
      </c>
      <c r="G17" s="19">
        <v>375</v>
      </c>
      <c r="H17" s="19">
        <v>25</v>
      </c>
      <c r="I17" s="19">
        <f t="shared" si="0"/>
        <v>350</v>
      </c>
      <c r="J17" s="18" t="s">
        <v>190</v>
      </c>
      <c r="K17" s="18" t="s">
        <v>15</v>
      </c>
      <c r="L17" s="18" t="s">
        <v>177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222</v>
      </c>
      <c r="D18" s="18" t="s">
        <v>223</v>
      </c>
      <c r="E18" s="18" t="s">
        <v>224</v>
      </c>
      <c r="F18" s="19">
        <v>10</v>
      </c>
      <c r="G18" s="19">
        <v>745</v>
      </c>
      <c r="H18" s="19">
        <v>25</v>
      </c>
      <c r="I18" s="19">
        <f t="shared" si="0"/>
        <v>720</v>
      </c>
      <c r="J18" s="18" t="s">
        <v>190</v>
      </c>
      <c r="K18" s="18" t="s">
        <v>15</v>
      </c>
      <c r="L18" s="18" t="s">
        <v>177</v>
      </c>
      <c r="M18" s="18"/>
      <c r="N18" s="18"/>
      <c r="O18" s="18"/>
      <c r="P18" s="18"/>
      <c r="Q18" s="18">
        <v>1</v>
      </c>
    </row>
    <row r="19" spans="1:18" s="22" customFormat="1" x14ac:dyDescent="0.25">
      <c r="A19" s="20"/>
      <c r="B19" s="20" t="s">
        <v>34</v>
      </c>
      <c r="C19" s="20" t="s">
        <v>225</v>
      </c>
      <c r="D19" s="20" t="s">
        <v>226</v>
      </c>
      <c r="E19" s="20" t="s">
        <v>227</v>
      </c>
      <c r="F19" s="21">
        <v>5</v>
      </c>
      <c r="G19" s="21">
        <v>30</v>
      </c>
      <c r="H19" s="21">
        <v>30</v>
      </c>
      <c r="I19" s="21">
        <f t="shared" si="0"/>
        <v>0</v>
      </c>
      <c r="J19" s="20" t="s">
        <v>190</v>
      </c>
      <c r="K19" s="20" t="s">
        <v>15</v>
      </c>
      <c r="L19" s="20" t="s">
        <v>177</v>
      </c>
      <c r="M19" s="20" t="s">
        <v>16</v>
      </c>
      <c r="N19" s="20"/>
      <c r="O19" s="20"/>
      <c r="P19" s="20"/>
      <c r="Q19" s="20">
        <v>1</v>
      </c>
    </row>
    <row r="20" spans="1:18" customFormat="1" x14ac:dyDescent="0.25">
      <c r="A20" s="18"/>
      <c r="B20" s="18" t="s">
        <v>34</v>
      </c>
      <c r="C20" s="18" t="s">
        <v>228</v>
      </c>
      <c r="D20" s="18" t="s">
        <v>229</v>
      </c>
      <c r="E20" s="18" t="s">
        <v>230</v>
      </c>
      <c r="F20" s="18" t="s">
        <v>123</v>
      </c>
      <c r="G20" s="19">
        <v>695</v>
      </c>
      <c r="H20" s="19">
        <v>35</v>
      </c>
      <c r="I20" s="19">
        <f t="shared" si="0"/>
        <v>660</v>
      </c>
      <c r="J20" s="18" t="s">
        <v>190</v>
      </c>
      <c r="K20" s="18" t="s">
        <v>15</v>
      </c>
      <c r="L20" s="18" t="s">
        <v>177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231</v>
      </c>
      <c r="D21" s="18" t="s">
        <v>232</v>
      </c>
      <c r="E21" s="18" t="s">
        <v>233</v>
      </c>
      <c r="F21" s="19">
        <v>10</v>
      </c>
      <c r="G21" s="19">
        <v>765</v>
      </c>
      <c r="H21" s="19">
        <v>25</v>
      </c>
      <c r="I21" s="19">
        <f t="shared" si="0"/>
        <v>740</v>
      </c>
      <c r="J21" s="18" t="s">
        <v>190</v>
      </c>
      <c r="K21" s="18" t="s">
        <v>15</v>
      </c>
      <c r="L21" s="18" t="s">
        <v>177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234</v>
      </c>
      <c r="D22" s="18" t="s">
        <v>235</v>
      </c>
      <c r="E22" s="18" t="s">
        <v>236</v>
      </c>
      <c r="F22" s="19">
        <v>1</v>
      </c>
      <c r="G22" s="19">
        <v>680</v>
      </c>
      <c r="H22" s="19">
        <v>20</v>
      </c>
      <c r="I22" s="19">
        <f t="shared" si="0"/>
        <v>660</v>
      </c>
      <c r="J22" s="18" t="s">
        <v>190</v>
      </c>
      <c r="K22" s="18" t="s">
        <v>15</v>
      </c>
      <c r="L22" s="18" t="s">
        <v>177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237</v>
      </c>
      <c r="D23" s="18" t="s">
        <v>238</v>
      </c>
      <c r="E23" s="18" t="s">
        <v>239</v>
      </c>
      <c r="F23" s="19">
        <v>10</v>
      </c>
      <c r="G23" s="19">
        <v>815</v>
      </c>
      <c r="H23" s="19">
        <v>25</v>
      </c>
      <c r="I23" s="19">
        <f t="shared" si="0"/>
        <v>790</v>
      </c>
      <c r="J23" s="18" t="s">
        <v>190</v>
      </c>
      <c r="K23" s="18" t="s">
        <v>15</v>
      </c>
      <c r="L23" s="18" t="s">
        <v>177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191</v>
      </c>
      <c r="D24" s="18" t="s">
        <v>240</v>
      </c>
      <c r="E24" s="18" t="s">
        <v>241</v>
      </c>
      <c r="F24" s="19">
        <v>12</v>
      </c>
      <c r="G24" s="19">
        <v>690</v>
      </c>
      <c r="H24" s="19">
        <v>30</v>
      </c>
      <c r="I24" s="19">
        <f t="shared" si="0"/>
        <v>660</v>
      </c>
      <c r="J24" s="18" t="s">
        <v>190</v>
      </c>
      <c r="K24" s="18" t="s">
        <v>15</v>
      </c>
      <c r="L24" s="18" t="s">
        <v>177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242</v>
      </c>
      <c r="D25" s="18" t="s">
        <v>243</v>
      </c>
      <c r="E25" s="18" t="s">
        <v>244</v>
      </c>
      <c r="F25" s="18" t="s">
        <v>123</v>
      </c>
      <c r="G25" s="19">
        <v>765</v>
      </c>
      <c r="H25" s="19">
        <v>35</v>
      </c>
      <c r="I25" s="19">
        <f t="shared" si="0"/>
        <v>730</v>
      </c>
      <c r="J25" s="18" t="s">
        <v>190</v>
      </c>
      <c r="K25" s="18" t="s">
        <v>15</v>
      </c>
      <c r="L25" s="18" t="s">
        <v>177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245</v>
      </c>
      <c r="D26" s="18" t="s">
        <v>246</v>
      </c>
      <c r="E26" s="18" t="s">
        <v>247</v>
      </c>
      <c r="F26" s="18" t="s">
        <v>38</v>
      </c>
      <c r="G26" s="19">
        <v>690</v>
      </c>
      <c r="H26" s="19">
        <v>30</v>
      </c>
      <c r="I26" s="19">
        <f t="shared" si="0"/>
        <v>660</v>
      </c>
      <c r="J26" s="18" t="s">
        <v>190</v>
      </c>
      <c r="K26" s="18" t="s">
        <v>15</v>
      </c>
      <c r="L26" s="18" t="s">
        <v>177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248</v>
      </c>
      <c r="D27" s="18" t="s">
        <v>249</v>
      </c>
      <c r="E27" s="18" t="s">
        <v>250</v>
      </c>
      <c r="F27" s="19">
        <v>7</v>
      </c>
      <c r="G27" s="19">
        <v>890</v>
      </c>
      <c r="H27" s="19">
        <v>30</v>
      </c>
      <c r="I27" s="19">
        <f t="shared" si="0"/>
        <v>860</v>
      </c>
      <c r="J27" s="18" t="s">
        <v>190</v>
      </c>
      <c r="K27" s="18" t="s">
        <v>15</v>
      </c>
      <c r="L27" s="18" t="s">
        <v>177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251</v>
      </c>
      <c r="D28" s="18" t="s">
        <v>252</v>
      </c>
      <c r="E28" s="18" t="s">
        <v>253</v>
      </c>
      <c r="F28" s="18" t="s">
        <v>254</v>
      </c>
      <c r="G28" s="19">
        <v>695</v>
      </c>
      <c r="H28" s="19">
        <v>35</v>
      </c>
      <c r="I28" s="19">
        <f t="shared" si="0"/>
        <v>660</v>
      </c>
      <c r="J28" s="18" t="s">
        <v>190</v>
      </c>
      <c r="K28" s="18" t="s">
        <v>15</v>
      </c>
      <c r="L28" s="18" t="s">
        <v>177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255</v>
      </c>
      <c r="D29" s="18" t="s">
        <v>256</v>
      </c>
      <c r="E29" s="18" t="s">
        <v>257</v>
      </c>
      <c r="F29" s="19">
        <v>8</v>
      </c>
      <c r="G29" s="19">
        <v>845</v>
      </c>
      <c r="H29" s="19">
        <v>25</v>
      </c>
      <c r="I29" s="19">
        <f t="shared" si="0"/>
        <v>820</v>
      </c>
      <c r="J29" s="18" t="s">
        <v>190</v>
      </c>
      <c r="K29" s="18" t="s">
        <v>15</v>
      </c>
      <c r="L29" s="18" t="s">
        <v>177</v>
      </c>
      <c r="M29" s="18"/>
      <c r="N29" s="18"/>
      <c r="O29" s="18"/>
      <c r="P29" s="18"/>
      <c r="Q29" s="18">
        <v>1</v>
      </c>
    </row>
    <row r="30" spans="1:18" customFormat="1" x14ac:dyDescent="0.25">
      <c r="A30" s="18" t="s">
        <v>96</v>
      </c>
      <c r="B30" s="18" t="s">
        <v>34</v>
      </c>
      <c r="C30" s="18" t="s">
        <v>99</v>
      </c>
      <c r="D30" s="18"/>
      <c r="E30" s="18" t="s">
        <v>100</v>
      </c>
      <c r="F30" s="19">
        <v>6</v>
      </c>
      <c r="G30" s="19">
        <v>0</v>
      </c>
      <c r="H30" s="19">
        <v>30</v>
      </c>
      <c r="I30" s="19">
        <f t="shared" si="0"/>
        <v>-30</v>
      </c>
      <c r="J30" s="18" t="s">
        <v>190</v>
      </c>
      <c r="K30" s="18" t="s">
        <v>15</v>
      </c>
      <c r="L30" s="18" t="s">
        <v>177</v>
      </c>
      <c r="M30" s="18"/>
      <c r="N30" s="18"/>
      <c r="O30" s="18"/>
      <c r="P30" s="18"/>
      <c r="Q30" s="18">
        <v>1</v>
      </c>
      <c r="R30" s="17">
        <f t="shared" ref="R30:R31" si="1">H30</f>
        <v>30</v>
      </c>
    </row>
    <row r="31" spans="1:18" customFormat="1" x14ac:dyDescent="0.25">
      <c r="A31" s="18" t="s">
        <v>96</v>
      </c>
      <c r="B31" s="18" t="s">
        <v>34</v>
      </c>
      <c r="C31" s="18" t="s">
        <v>258</v>
      </c>
      <c r="D31" s="18"/>
      <c r="E31" s="18" t="s">
        <v>259</v>
      </c>
      <c r="F31" s="19">
        <v>12</v>
      </c>
      <c r="G31" s="19">
        <v>0</v>
      </c>
      <c r="H31" s="19">
        <v>35</v>
      </c>
      <c r="I31" s="19">
        <f t="shared" si="0"/>
        <v>-35</v>
      </c>
      <c r="J31" s="18" t="s">
        <v>190</v>
      </c>
      <c r="K31" s="18" t="s">
        <v>15</v>
      </c>
      <c r="L31" s="18" t="s">
        <v>177</v>
      </c>
      <c r="M31" s="18"/>
      <c r="N31" s="18"/>
      <c r="O31" s="18"/>
      <c r="P31" s="18"/>
      <c r="Q31" s="18">
        <v>1</v>
      </c>
      <c r="R31" s="17">
        <f t="shared" si="1"/>
        <v>35</v>
      </c>
    </row>
    <row r="32" spans="1:18" customFormat="1" x14ac:dyDescent="0.25">
      <c r="A32" s="18" t="s">
        <v>96</v>
      </c>
      <c r="B32" s="18" t="s">
        <v>34</v>
      </c>
      <c r="C32" s="18" t="s">
        <v>260</v>
      </c>
      <c r="D32" s="18"/>
      <c r="E32" s="18" t="s">
        <v>261</v>
      </c>
      <c r="F32" s="19">
        <v>6</v>
      </c>
      <c r="G32" s="19">
        <v>35</v>
      </c>
      <c r="H32" s="19">
        <v>35</v>
      </c>
      <c r="I32" s="19">
        <f t="shared" si="0"/>
        <v>0</v>
      </c>
      <c r="J32" s="18" t="s">
        <v>190</v>
      </c>
      <c r="K32" s="18" t="s">
        <v>15</v>
      </c>
      <c r="L32" s="18" t="s">
        <v>177</v>
      </c>
      <c r="M32" s="18"/>
      <c r="N32" s="18"/>
      <c r="O32" s="18"/>
      <c r="P32" s="18"/>
      <c r="Q32" s="18">
        <v>1</v>
      </c>
    </row>
    <row r="33" spans="1:18" s="22" customFormat="1" x14ac:dyDescent="0.25">
      <c r="A33" s="20" t="s">
        <v>96</v>
      </c>
      <c r="B33" s="20" t="s">
        <v>34</v>
      </c>
      <c r="C33" s="20" t="s">
        <v>262</v>
      </c>
      <c r="D33" s="20"/>
      <c r="E33" s="20" t="s">
        <v>263</v>
      </c>
      <c r="F33" s="21">
        <v>6</v>
      </c>
      <c r="G33" s="21">
        <v>0</v>
      </c>
      <c r="H33" s="21">
        <v>30</v>
      </c>
      <c r="I33" s="21">
        <f t="shared" si="0"/>
        <v>-30</v>
      </c>
      <c r="J33" s="20" t="s">
        <v>190</v>
      </c>
      <c r="K33" s="20" t="s">
        <v>15</v>
      </c>
      <c r="L33" s="20" t="s">
        <v>177</v>
      </c>
      <c r="M33" s="20" t="s">
        <v>16</v>
      </c>
      <c r="N33" s="20"/>
      <c r="O33" s="20"/>
      <c r="P33" s="20"/>
      <c r="Q33" s="20">
        <v>1</v>
      </c>
      <c r="R33" s="29">
        <f>H33</f>
        <v>30</v>
      </c>
    </row>
    <row r="34" spans="1:18" customFormat="1" x14ac:dyDescent="0.25">
      <c r="A34" s="18"/>
      <c r="B34" s="18" t="s">
        <v>34</v>
      </c>
      <c r="C34" s="18" t="s">
        <v>264</v>
      </c>
      <c r="D34" s="18" t="s">
        <v>265</v>
      </c>
      <c r="E34" s="18" t="s">
        <v>266</v>
      </c>
      <c r="F34" s="18" t="s">
        <v>17</v>
      </c>
      <c r="G34" s="19">
        <v>680</v>
      </c>
      <c r="H34" s="19">
        <v>20</v>
      </c>
      <c r="I34" s="19">
        <f t="shared" si="0"/>
        <v>660</v>
      </c>
      <c r="J34" s="18" t="s">
        <v>15</v>
      </c>
      <c r="K34" s="18" t="s">
        <v>15</v>
      </c>
      <c r="L34" s="18" t="s">
        <v>177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267</v>
      </c>
      <c r="D35" s="18" t="s">
        <v>268</v>
      </c>
      <c r="E35" s="18" t="s">
        <v>269</v>
      </c>
      <c r="F35" s="18" t="s">
        <v>18</v>
      </c>
      <c r="G35" s="19">
        <v>685</v>
      </c>
      <c r="H35" s="19">
        <v>25</v>
      </c>
      <c r="I35" s="19">
        <f>G35-H35</f>
        <v>660</v>
      </c>
      <c r="J35" s="18" t="s">
        <v>15</v>
      </c>
      <c r="K35" s="18" t="s">
        <v>15</v>
      </c>
      <c r="L35" s="18" t="s">
        <v>177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270</v>
      </c>
      <c r="D36" s="18" t="s">
        <v>271</v>
      </c>
      <c r="E36" s="18" t="s">
        <v>272</v>
      </c>
      <c r="F36" s="19">
        <v>2</v>
      </c>
      <c r="G36" s="19">
        <v>1500</v>
      </c>
      <c r="H36" s="19">
        <v>30</v>
      </c>
      <c r="I36" s="19">
        <f t="shared" si="0"/>
        <v>1470</v>
      </c>
      <c r="J36" s="18" t="s">
        <v>15</v>
      </c>
      <c r="K36" s="18" t="s">
        <v>15</v>
      </c>
      <c r="L36" s="18" t="s">
        <v>177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273</v>
      </c>
      <c r="D37" s="18" t="s">
        <v>274</v>
      </c>
      <c r="E37" s="18" t="s">
        <v>275</v>
      </c>
      <c r="F37" s="18" t="s">
        <v>20</v>
      </c>
      <c r="G37" s="19">
        <v>0</v>
      </c>
      <c r="H37" s="19">
        <v>25</v>
      </c>
      <c r="I37" s="19">
        <f t="shared" si="0"/>
        <v>-25</v>
      </c>
      <c r="J37" s="18" t="s">
        <v>15</v>
      </c>
      <c r="K37" s="18" t="s">
        <v>15</v>
      </c>
      <c r="L37" s="18" t="s">
        <v>177</v>
      </c>
      <c r="M37" s="18"/>
      <c r="N37" s="18"/>
      <c r="O37" s="18"/>
      <c r="P37" s="18"/>
      <c r="Q37" s="18">
        <v>1</v>
      </c>
      <c r="R37" s="17">
        <f t="shared" ref="R37:R38" si="2">H37</f>
        <v>25</v>
      </c>
    </row>
    <row r="38" spans="1:18" customFormat="1" x14ac:dyDescent="0.25">
      <c r="A38" s="18"/>
      <c r="B38" s="18" t="s">
        <v>34</v>
      </c>
      <c r="C38" s="18" t="s">
        <v>276</v>
      </c>
      <c r="D38" s="18" t="s">
        <v>277</v>
      </c>
      <c r="E38" s="18" t="s">
        <v>278</v>
      </c>
      <c r="F38" s="18" t="s">
        <v>17</v>
      </c>
      <c r="G38" s="19">
        <v>0</v>
      </c>
      <c r="H38" s="19">
        <v>20</v>
      </c>
      <c r="I38" s="19">
        <f t="shared" si="0"/>
        <v>-20</v>
      </c>
      <c r="J38" s="18" t="s">
        <v>15</v>
      </c>
      <c r="K38" s="18" t="s">
        <v>15</v>
      </c>
      <c r="L38" s="18" t="s">
        <v>177</v>
      </c>
      <c r="M38" s="18"/>
      <c r="N38" s="18"/>
      <c r="O38" s="18"/>
      <c r="P38" s="18"/>
      <c r="Q38" s="18">
        <v>1</v>
      </c>
      <c r="R38" s="17">
        <f t="shared" si="2"/>
        <v>20</v>
      </c>
    </row>
    <row r="39" spans="1:18" customFormat="1" x14ac:dyDescent="0.25">
      <c r="A39" s="18"/>
      <c r="B39" s="18" t="s">
        <v>34</v>
      </c>
      <c r="C39" s="18" t="s">
        <v>279</v>
      </c>
      <c r="D39" s="18" t="s">
        <v>280</v>
      </c>
      <c r="E39" s="18" t="s">
        <v>281</v>
      </c>
      <c r="F39" s="18" t="s">
        <v>144</v>
      </c>
      <c r="G39" s="19">
        <v>690</v>
      </c>
      <c r="H39" s="19">
        <v>30</v>
      </c>
      <c r="I39" s="19">
        <f t="shared" si="0"/>
        <v>660</v>
      </c>
      <c r="J39" s="18" t="s">
        <v>15</v>
      </c>
      <c r="K39" s="18" t="s">
        <v>15</v>
      </c>
      <c r="L39" s="18" t="s">
        <v>177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282</v>
      </c>
      <c r="D40" s="18" t="s">
        <v>283</v>
      </c>
      <c r="E40" s="18" t="s">
        <v>284</v>
      </c>
      <c r="F40" s="18" t="s">
        <v>144</v>
      </c>
      <c r="G40" s="19">
        <v>0</v>
      </c>
      <c r="H40" s="19">
        <v>30</v>
      </c>
      <c r="I40" s="19">
        <f t="shared" si="0"/>
        <v>-30</v>
      </c>
      <c r="J40" s="18" t="s">
        <v>15</v>
      </c>
      <c r="K40" s="18" t="s">
        <v>15</v>
      </c>
      <c r="L40" s="18" t="s">
        <v>177</v>
      </c>
      <c r="M40" s="18"/>
      <c r="N40" s="18"/>
      <c r="O40" s="18"/>
      <c r="P40" s="18"/>
      <c r="Q40" s="18">
        <v>1</v>
      </c>
      <c r="R40" s="17">
        <f t="shared" ref="R40:R41" si="3">H40</f>
        <v>30</v>
      </c>
    </row>
    <row r="41" spans="1:18" customFormat="1" x14ac:dyDescent="0.25">
      <c r="A41" s="18"/>
      <c r="B41" s="18" t="s">
        <v>34</v>
      </c>
      <c r="C41" s="18" t="s">
        <v>148</v>
      </c>
      <c r="D41" s="18" t="s">
        <v>285</v>
      </c>
      <c r="E41" s="18" t="s">
        <v>150</v>
      </c>
      <c r="F41" s="18" t="s">
        <v>19</v>
      </c>
      <c r="G41" s="19">
        <v>0</v>
      </c>
      <c r="H41" s="19">
        <v>20</v>
      </c>
      <c r="I41" s="19">
        <f t="shared" si="0"/>
        <v>-20</v>
      </c>
      <c r="J41" s="18" t="s">
        <v>15</v>
      </c>
      <c r="K41" s="18" t="s">
        <v>15</v>
      </c>
      <c r="L41" s="18" t="s">
        <v>177</v>
      </c>
      <c r="M41" s="18"/>
      <c r="N41" s="18"/>
      <c r="O41" s="18"/>
      <c r="P41" s="18"/>
      <c r="Q41" s="18">
        <v>1</v>
      </c>
      <c r="R41" s="17">
        <f t="shared" si="3"/>
        <v>20</v>
      </c>
    </row>
    <row r="42" spans="1:18" customFormat="1" x14ac:dyDescent="0.25">
      <c r="A42" s="18"/>
      <c r="B42" s="18" t="s">
        <v>34</v>
      </c>
      <c r="C42" s="18" t="s">
        <v>286</v>
      </c>
      <c r="D42" s="18" t="s">
        <v>287</v>
      </c>
      <c r="E42" s="18" t="s">
        <v>288</v>
      </c>
      <c r="F42" s="19">
        <v>2</v>
      </c>
      <c r="G42" s="19">
        <v>1480</v>
      </c>
      <c r="H42" s="19">
        <v>30</v>
      </c>
      <c r="I42" s="19">
        <f t="shared" si="0"/>
        <v>1450</v>
      </c>
      <c r="J42" s="18" t="s">
        <v>15</v>
      </c>
      <c r="K42" s="18" t="s">
        <v>15</v>
      </c>
      <c r="L42" s="18" t="s">
        <v>177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289</v>
      </c>
      <c r="D43" s="18" t="s">
        <v>290</v>
      </c>
      <c r="E43" s="18" t="s">
        <v>291</v>
      </c>
      <c r="F43" s="19">
        <v>3</v>
      </c>
      <c r="G43" s="19">
        <v>685</v>
      </c>
      <c r="H43" s="19">
        <v>25</v>
      </c>
      <c r="I43" s="19">
        <f t="shared" si="0"/>
        <v>660</v>
      </c>
      <c r="J43" s="18" t="s">
        <v>15</v>
      </c>
      <c r="K43" s="18" t="s">
        <v>15</v>
      </c>
      <c r="L43" s="18" t="s">
        <v>177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292</v>
      </c>
      <c r="D44" s="18" t="s">
        <v>293</v>
      </c>
      <c r="E44" s="18" t="s">
        <v>294</v>
      </c>
      <c r="F44" s="18" t="s">
        <v>19</v>
      </c>
      <c r="G44" s="19">
        <v>770</v>
      </c>
      <c r="H44" s="19">
        <v>20</v>
      </c>
      <c r="I44" s="19">
        <f t="shared" si="0"/>
        <v>750</v>
      </c>
      <c r="J44" s="18" t="s">
        <v>15</v>
      </c>
      <c r="K44" s="18" t="s">
        <v>15</v>
      </c>
      <c r="L44" s="18" t="s">
        <v>177</v>
      </c>
      <c r="M44" s="18"/>
      <c r="N44" s="18"/>
      <c r="O44" s="18"/>
      <c r="P44" s="18"/>
      <c r="Q44" s="18">
        <v>1</v>
      </c>
    </row>
    <row r="45" spans="1:18" customFormat="1" x14ac:dyDescent="0.25">
      <c r="A45" s="18"/>
      <c r="B45" s="18" t="s">
        <v>34</v>
      </c>
      <c r="C45" s="18" t="s">
        <v>295</v>
      </c>
      <c r="D45" s="18" t="s">
        <v>296</v>
      </c>
      <c r="E45" s="18" t="s">
        <v>297</v>
      </c>
      <c r="F45" s="18" t="s">
        <v>19</v>
      </c>
      <c r="G45" s="19">
        <v>680</v>
      </c>
      <c r="H45" s="19">
        <v>20</v>
      </c>
      <c r="I45" s="19">
        <f t="shared" si="0"/>
        <v>660</v>
      </c>
      <c r="J45" s="18" t="s">
        <v>15</v>
      </c>
      <c r="K45" s="18" t="s">
        <v>15</v>
      </c>
      <c r="L45" s="18" t="s">
        <v>177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298</v>
      </c>
      <c r="D46" s="18" t="s">
        <v>299</v>
      </c>
      <c r="E46" s="18" t="s">
        <v>300</v>
      </c>
      <c r="F46" s="18" t="s">
        <v>144</v>
      </c>
      <c r="G46" s="19">
        <v>1030</v>
      </c>
      <c r="H46" s="19">
        <v>30</v>
      </c>
      <c r="I46" s="19">
        <f t="shared" si="0"/>
        <v>1000</v>
      </c>
      <c r="J46" s="18" t="s">
        <v>15</v>
      </c>
      <c r="K46" s="18" t="s">
        <v>15</v>
      </c>
      <c r="L46" s="18" t="s">
        <v>177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301</v>
      </c>
      <c r="D47" s="18" t="s">
        <v>302</v>
      </c>
      <c r="E47" s="18" t="s">
        <v>303</v>
      </c>
      <c r="F47" s="18" t="s">
        <v>19</v>
      </c>
      <c r="G47" s="19">
        <v>680</v>
      </c>
      <c r="H47" s="19">
        <v>20</v>
      </c>
      <c r="I47" s="19">
        <f t="shared" si="0"/>
        <v>660</v>
      </c>
      <c r="J47" s="18" t="s">
        <v>15</v>
      </c>
      <c r="K47" s="18" t="s">
        <v>15</v>
      </c>
      <c r="L47" s="18" t="s">
        <v>177</v>
      </c>
      <c r="M47" s="18"/>
      <c r="N47" s="18"/>
      <c r="O47" s="18"/>
      <c r="P47" s="18"/>
      <c r="Q47" s="18">
        <v>1</v>
      </c>
    </row>
    <row r="48" spans="1:18" customFormat="1" x14ac:dyDescent="0.25">
      <c r="A48" s="18"/>
      <c r="B48" s="18" t="s">
        <v>34</v>
      </c>
      <c r="C48" s="18" t="s">
        <v>304</v>
      </c>
      <c r="D48" s="18" t="s">
        <v>305</v>
      </c>
      <c r="E48" s="18" t="s">
        <v>306</v>
      </c>
      <c r="F48" s="18" t="s">
        <v>20</v>
      </c>
      <c r="G48" s="19">
        <v>685</v>
      </c>
      <c r="H48" s="19">
        <v>25</v>
      </c>
      <c r="I48" s="19">
        <f t="shared" si="0"/>
        <v>660</v>
      </c>
      <c r="J48" s="18" t="s">
        <v>15</v>
      </c>
      <c r="K48" s="18" t="s">
        <v>15</v>
      </c>
      <c r="L48" s="18" t="s">
        <v>177</v>
      </c>
      <c r="M48" s="27" t="s">
        <v>307</v>
      </c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308</v>
      </c>
      <c r="D49" s="18" t="s">
        <v>309</v>
      </c>
      <c r="E49" s="18" t="s">
        <v>310</v>
      </c>
      <c r="F49" s="18" t="s">
        <v>18</v>
      </c>
      <c r="G49" s="19">
        <v>820</v>
      </c>
      <c r="H49" s="19">
        <v>0</v>
      </c>
      <c r="I49" s="19">
        <f t="shared" si="0"/>
        <v>820</v>
      </c>
      <c r="J49" s="18" t="s">
        <v>15</v>
      </c>
      <c r="K49" s="18" t="s">
        <v>15</v>
      </c>
      <c r="L49" s="18" t="s">
        <v>177</v>
      </c>
      <c r="M49" s="27" t="s">
        <v>307</v>
      </c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308</v>
      </c>
      <c r="D50" s="18" t="s">
        <v>319</v>
      </c>
      <c r="E50" s="18" t="s">
        <v>310</v>
      </c>
      <c r="F50" s="18" t="s">
        <v>18</v>
      </c>
      <c r="G50" s="19">
        <v>1585</v>
      </c>
      <c r="H50" s="19">
        <v>25</v>
      </c>
      <c r="I50" s="19">
        <f t="shared" ref="I50" si="4">G50-H50</f>
        <v>1560</v>
      </c>
      <c r="J50" s="18" t="s">
        <v>15</v>
      </c>
      <c r="K50" s="18" t="s">
        <v>15</v>
      </c>
      <c r="L50" s="18" t="s">
        <v>177</v>
      </c>
      <c r="M50" s="27" t="s">
        <v>307</v>
      </c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304</v>
      </c>
      <c r="D51" s="18" t="s">
        <v>311</v>
      </c>
      <c r="E51" s="18" t="s">
        <v>306</v>
      </c>
      <c r="F51" s="18" t="s">
        <v>20</v>
      </c>
      <c r="G51" s="19">
        <v>1050</v>
      </c>
      <c r="H51" s="19">
        <v>0</v>
      </c>
      <c r="I51" s="19">
        <f t="shared" si="0"/>
        <v>1050</v>
      </c>
      <c r="J51" s="18" t="s">
        <v>15</v>
      </c>
      <c r="K51" s="18" t="s">
        <v>15</v>
      </c>
      <c r="L51" s="18" t="s">
        <v>177</v>
      </c>
      <c r="M51" s="27" t="s">
        <v>307</v>
      </c>
      <c r="N51" s="18"/>
      <c r="O51" s="18"/>
      <c r="P51" s="18"/>
      <c r="Q51" s="18">
        <v>1</v>
      </c>
    </row>
    <row r="52" spans="1:18" customFormat="1" x14ac:dyDescent="0.25">
      <c r="A52" s="18" t="s">
        <v>96</v>
      </c>
      <c r="B52" s="18" t="s">
        <v>34</v>
      </c>
      <c r="C52" s="18" t="s">
        <v>312</v>
      </c>
      <c r="D52" s="18"/>
      <c r="E52" s="18" t="s">
        <v>313</v>
      </c>
      <c r="F52" s="18" t="s">
        <v>20</v>
      </c>
      <c r="G52" s="19">
        <v>30</v>
      </c>
      <c r="H52" s="19">
        <v>30</v>
      </c>
      <c r="I52" s="19">
        <f t="shared" si="0"/>
        <v>0</v>
      </c>
      <c r="J52" s="18" t="s">
        <v>15</v>
      </c>
      <c r="K52" s="18" t="s">
        <v>15</v>
      </c>
      <c r="L52" s="18" t="s">
        <v>177</v>
      </c>
      <c r="M52" s="18"/>
      <c r="N52" s="18"/>
      <c r="O52" s="18"/>
      <c r="P52" s="18"/>
      <c r="Q52" s="18">
        <v>1</v>
      </c>
    </row>
    <row r="53" spans="1:18" customFormat="1" x14ac:dyDescent="0.25">
      <c r="A53" s="18" t="s">
        <v>96</v>
      </c>
      <c r="B53" s="18" t="s">
        <v>34</v>
      </c>
      <c r="C53" s="18" t="s">
        <v>314</v>
      </c>
      <c r="D53" s="18"/>
      <c r="E53" s="18" t="s">
        <v>315</v>
      </c>
      <c r="F53" s="18" t="s">
        <v>20</v>
      </c>
      <c r="G53" s="19">
        <v>30</v>
      </c>
      <c r="H53" s="19">
        <v>30</v>
      </c>
      <c r="I53" s="19">
        <f t="shared" si="0"/>
        <v>0</v>
      </c>
      <c r="J53" s="18" t="s">
        <v>15</v>
      </c>
      <c r="K53" s="18" t="s">
        <v>15</v>
      </c>
      <c r="L53" s="18" t="s">
        <v>177</v>
      </c>
      <c r="M53" s="18"/>
      <c r="N53" s="18"/>
      <c r="O53" s="18"/>
      <c r="P53" s="18"/>
      <c r="Q53" s="18">
        <v>1</v>
      </c>
    </row>
    <row r="55" spans="1:18" x14ac:dyDescent="0.25">
      <c r="G55" s="1">
        <f t="shared" ref="G55:R55" si="5">SUBTOTAL(9,G3:G54)</f>
        <v>31165</v>
      </c>
      <c r="H55" s="1">
        <f t="shared" si="5"/>
        <v>1355</v>
      </c>
      <c r="I55" s="1">
        <f t="shared" si="5"/>
        <v>29810</v>
      </c>
      <c r="J55" s="1">
        <f t="shared" si="5"/>
        <v>0</v>
      </c>
      <c r="K55" s="1">
        <f t="shared" si="5"/>
        <v>0</v>
      </c>
      <c r="L55" s="1">
        <f t="shared" si="5"/>
        <v>0</v>
      </c>
      <c r="M55" s="1">
        <f t="shared" si="5"/>
        <v>0</v>
      </c>
      <c r="N55" s="1">
        <f t="shared" si="5"/>
        <v>0</v>
      </c>
      <c r="O55" s="1">
        <f t="shared" si="5"/>
        <v>0</v>
      </c>
      <c r="P55" s="1">
        <f t="shared" si="5"/>
        <v>0</v>
      </c>
      <c r="Q55" s="1">
        <f t="shared" si="5"/>
        <v>51</v>
      </c>
      <c r="R55" s="1">
        <f t="shared" si="5"/>
        <v>220</v>
      </c>
    </row>
    <row r="59" spans="1:18" ht="20.25" customHeight="1" x14ac:dyDescent="0.3">
      <c r="H59" s="4" t="s">
        <v>318</v>
      </c>
      <c r="I59" s="5" t="s">
        <v>21</v>
      </c>
      <c r="J59" s="6" t="s">
        <v>22</v>
      </c>
    </row>
    <row r="60" spans="1:18" ht="15.75" customHeight="1" x14ac:dyDescent="0.25">
      <c r="H60" s="7" t="s">
        <v>23</v>
      </c>
      <c r="I60" s="8">
        <f>SUM(I54:I58)</f>
        <v>29810</v>
      </c>
      <c r="J60" s="8">
        <f>Q55</f>
        <v>51</v>
      </c>
    </row>
    <row r="61" spans="1:18" x14ac:dyDescent="0.25">
      <c r="H61" s="9" t="s">
        <v>24</v>
      </c>
      <c r="I61" s="10">
        <f>R55</f>
        <v>220</v>
      </c>
      <c r="J61" s="11"/>
    </row>
    <row r="62" spans="1:18" x14ac:dyDescent="0.25">
      <c r="H62" s="9" t="s">
        <v>25</v>
      </c>
      <c r="I62" s="10">
        <f>S54</f>
        <v>0</v>
      </c>
      <c r="J62" s="11"/>
    </row>
    <row r="63" spans="1:18" x14ac:dyDescent="0.25">
      <c r="H63" s="9" t="s">
        <v>26</v>
      </c>
      <c r="I63" s="10">
        <f>T54</f>
        <v>0</v>
      </c>
      <c r="J63" s="11"/>
    </row>
    <row r="64" spans="1:18" x14ac:dyDescent="0.25">
      <c r="H64" s="9" t="s">
        <v>27</v>
      </c>
      <c r="I64" s="10">
        <f>U54</f>
        <v>0</v>
      </c>
      <c r="J64" s="11"/>
    </row>
    <row r="65" spans="8:10" ht="15.75" customHeight="1" x14ac:dyDescent="0.25">
      <c r="H65" s="12" t="s">
        <v>28</v>
      </c>
      <c r="I65" s="13"/>
      <c r="J65" s="13"/>
    </row>
    <row r="66" spans="8:10" ht="15.75" customHeight="1" x14ac:dyDescent="0.25">
      <c r="H66" s="14" t="s">
        <v>29</v>
      </c>
      <c r="I66" s="13"/>
      <c r="J66" s="13"/>
    </row>
    <row r="67" spans="8:10" ht="21" customHeight="1" x14ac:dyDescent="0.35">
      <c r="H67" s="15" t="s">
        <v>30</v>
      </c>
      <c r="I67" s="16">
        <f>SUM(I60:I66)</f>
        <v>30030</v>
      </c>
      <c r="J67" s="16">
        <f>SUM(J60:J64)</f>
        <v>51</v>
      </c>
    </row>
  </sheetData>
  <autoFilter ref="A2:P53" xr:uid="{00000000-0009-0000-0000-000006000000}">
    <sortState xmlns:xlrd2="http://schemas.microsoft.com/office/spreadsheetml/2017/richdata2" ref="A3:P53">
      <sortCondition ref="J2:J53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2EBAD-A14F-499E-B383-585ACCC3575B}">
  <dimension ref="A1:R56"/>
  <sheetViews>
    <sheetView topLeftCell="A7" workbookViewId="0">
      <selection activeCell="A27" sqref="A27:XFD27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320</v>
      </c>
      <c r="C1" s="1" t="s">
        <v>321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362</v>
      </c>
      <c r="D3" s="18" t="s">
        <v>363</v>
      </c>
      <c r="E3" s="18" t="s">
        <v>364</v>
      </c>
      <c r="F3" s="19">
        <v>9</v>
      </c>
      <c r="G3" s="19">
        <v>690</v>
      </c>
      <c r="H3" s="19">
        <v>30</v>
      </c>
      <c r="I3" s="19">
        <f t="shared" ref="I3:I42" si="0">G3-H3</f>
        <v>660</v>
      </c>
      <c r="J3" s="18" t="s">
        <v>56</v>
      </c>
      <c r="K3" s="18" t="s">
        <v>15</v>
      </c>
      <c r="L3" s="18" t="s">
        <v>325</v>
      </c>
      <c r="M3" s="18"/>
      <c r="N3" s="18"/>
      <c r="O3" s="18"/>
      <c r="P3" s="18"/>
      <c r="Q3" s="18">
        <v>1</v>
      </c>
    </row>
    <row r="4" spans="1:18" customFormat="1" x14ac:dyDescent="0.25">
      <c r="A4" s="18" t="s">
        <v>96</v>
      </c>
      <c r="B4" s="18" t="s">
        <v>34</v>
      </c>
      <c r="C4" s="18" t="s">
        <v>436</v>
      </c>
      <c r="D4" s="18"/>
      <c r="E4" s="18" t="s">
        <v>437</v>
      </c>
      <c r="F4" s="19">
        <v>9</v>
      </c>
      <c r="G4" s="19">
        <v>35</v>
      </c>
      <c r="H4" s="19">
        <v>35</v>
      </c>
      <c r="I4" s="19">
        <f t="shared" si="0"/>
        <v>0</v>
      </c>
      <c r="J4" s="18" t="s">
        <v>56</v>
      </c>
      <c r="K4" s="18" t="s">
        <v>15</v>
      </c>
      <c r="L4" s="18" t="s">
        <v>325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322</v>
      </c>
      <c r="D5" s="18" t="s">
        <v>323</v>
      </c>
      <c r="E5" s="18" t="s">
        <v>253</v>
      </c>
      <c r="F5" s="18" t="s">
        <v>254</v>
      </c>
      <c r="G5" s="19">
        <v>735</v>
      </c>
      <c r="H5" s="19">
        <v>35</v>
      </c>
      <c r="I5" s="19">
        <f t="shared" si="0"/>
        <v>700</v>
      </c>
      <c r="J5" s="18" t="s">
        <v>324</v>
      </c>
      <c r="K5" s="18" t="s">
        <v>15</v>
      </c>
      <c r="L5" s="18" t="s">
        <v>325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329</v>
      </c>
      <c r="D6" s="18" t="s">
        <v>330</v>
      </c>
      <c r="E6" s="18" t="s">
        <v>331</v>
      </c>
      <c r="F6" s="19">
        <v>12</v>
      </c>
      <c r="G6" s="19">
        <v>760</v>
      </c>
      <c r="H6" s="19">
        <v>30</v>
      </c>
      <c r="I6" s="19">
        <f t="shared" si="0"/>
        <v>730</v>
      </c>
      <c r="J6" s="18" t="s">
        <v>324</v>
      </c>
      <c r="K6" s="18" t="s">
        <v>15</v>
      </c>
      <c r="L6" s="18" t="s">
        <v>325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332</v>
      </c>
      <c r="D7" s="18" t="s">
        <v>333</v>
      </c>
      <c r="E7" s="18" t="s">
        <v>334</v>
      </c>
      <c r="F7" s="19">
        <v>7</v>
      </c>
      <c r="G7" s="19">
        <v>690</v>
      </c>
      <c r="H7" s="19">
        <v>30</v>
      </c>
      <c r="I7" s="19">
        <f t="shared" si="0"/>
        <v>660</v>
      </c>
      <c r="J7" s="18" t="s">
        <v>324</v>
      </c>
      <c r="K7" s="18" t="s">
        <v>15</v>
      </c>
      <c r="L7" s="18" t="s">
        <v>325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335</v>
      </c>
      <c r="D8" s="18" t="s">
        <v>336</v>
      </c>
      <c r="E8" s="18" t="s">
        <v>337</v>
      </c>
      <c r="F8" s="19">
        <v>7</v>
      </c>
      <c r="G8" s="19">
        <v>920</v>
      </c>
      <c r="H8" s="19">
        <v>30</v>
      </c>
      <c r="I8" s="19">
        <f t="shared" si="0"/>
        <v>890</v>
      </c>
      <c r="J8" s="18" t="s">
        <v>324</v>
      </c>
      <c r="K8" s="18" t="s">
        <v>15</v>
      </c>
      <c r="L8" s="18" t="s">
        <v>325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341</v>
      </c>
      <c r="D9" s="18" t="s">
        <v>342</v>
      </c>
      <c r="E9" s="18" t="s">
        <v>343</v>
      </c>
      <c r="F9" s="19">
        <v>11</v>
      </c>
      <c r="G9" s="19">
        <v>375</v>
      </c>
      <c r="H9" s="19">
        <v>25</v>
      </c>
      <c r="I9" s="19">
        <f t="shared" si="0"/>
        <v>350</v>
      </c>
      <c r="J9" s="18" t="s">
        <v>324</v>
      </c>
      <c r="K9" s="18" t="s">
        <v>15</v>
      </c>
      <c r="L9" s="18" t="s">
        <v>325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347</v>
      </c>
      <c r="D10" s="18" t="s">
        <v>348</v>
      </c>
      <c r="E10" s="18" t="s">
        <v>349</v>
      </c>
      <c r="F10" s="18" t="s">
        <v>38</v>
      </c>
      <c r="G10" s="19">
        <v>720</v>
      </c>
      <c r="H10" s="19">
        <v>30</v>
      </c>
      <c r="I10" s="19">
        <f t="shared" si="0"/>
        <v>690</v>
      </c>
      <c r="J10" s="18" t="s">
        <v>324</v>
      </c>
      <c r="K10" s="18" t="s">
        <v>15</v>
      </c>
      <c r="L10" s="18" t="s">
        <v>325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356</v>
      </c>
      <c r="D11" s="18" t="s">
        <v>357</v>
      </c>
      <c r="E11" s="18" t="s">
        <v>358</v>
      </c>
      <c r="F11" s="18" t="s">
        <v>108</v>
      </c>
      <c r="G11" s="19">
        <v>1775</v>
      </c>
      <c r="H11" s="19">
        <v>35</v>
      </c>
      <c r="I11" s="19">
        <f t="shared" si="0"/>
        <v>1740</v>
      </c>
      <c r="J11" s="18" t="s">
        <v>324</v>
      </c>
      <c r="K11" s="18" t="s">
        <v>15</v>
      </c>
      <c r="L11" s="18" t="s">
        <v>325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384</v>
      </c>
      <c r="D12" s="18" t="s">
        <v>385</v>
      </c>
      <c r="E12" s="18" t="s">
        <v>386</v>
      </c>
      <c r="F12" s="19">
        <v>12</v>
      </c>
      <c r="G12" s="19">
        <v>720</v>
      </c>
      <c r="H12" s="19">
        <v>30</v>
      </c>
      <c r="I12" s="19">
        <f t="shared" si="0"/>
        <v>690</v>
      </c>
      <c r="J12" s="18" t="s">
        <v>324</v>
      </c>
      <c r="K12" s="18" t="s">
        <v>15</v>
      </c>
      <c r="L12" s="18" t="s">
        <v>325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387</v>
      </c>
      <c r="D13" s="18" t="s">
        <v>388</v>
      </c>
      <c r="E13" s="18" t="s">
        <v>389</v>
      </c>
      <c r="F13" s="19">
        <v>7</v>
      </c>
      <c r="G13" s="19">
        <v>690</v>
      </c>
      <c r="H13" s="19">
        <v>30</v>
      </c>
      <c r="I13" s="19">
        <f t="shared" si="0"/>
        <v>660</v>
      </c>
      <c r="J13" s="18" t="s">
        <v>324</v>
      </c>
      <c r="K13" s="18" t="s">
        <v>15</v>
      </c>
      <c r="L13" s="18" t="s">
        <v>325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390</v>
      </c>
      <c r="D14" s="18" t="s">
        <v>391</v>
      </c>
      <c r="E14" s="18" t="s">
        <v>392</v>
      </c>
      <c r="F14" s="19">
        <v>7</v>
      </c>
      <c r="G14" s="19">
        <v>0</v>
      </c>
      <c r="H14" s="19">
        <v>30</v>
      </c>
      <c r="I14" s="19">
        <f t="shared" si="0"/>
        <v>-30</v>
      </c>
      <c r="J14" s="18" t="s">
        <v>324</v>
      </c>
      <c r="K14" s="18" t="s">
        <v>15</v>
      </c>
      <c r="L14" s="18" t="s">
        <v>325</v>
      </c>
      <c r="M14" s="18"/>
      <c r="N14" s="18"/>
      <c r="O14" s="18"/>
      <c r="P14" s="18"/>
      <c r="Q14" s="18">
        <v>1</v>
      </c>
      <c r="R14" s="17">
        <f>H14</f>
        <v>30</v>
      </c>
    </row>
    <row r="15" spans="1:18" customFormat="1" x14ac:dyDescent="0.25">
      <c r="A15" s="18"/>
      <c r="B15" s="18" t="s">
        <v>34</v>
      </c>
      <c r="C15" s="18" t="s">
        <v>402</v>
      </c>
      <c r="D15" s="18" t="s">
        <v>403</v>
      </c>
      <c r="E15" s="18" t="s">
        <v>404</v>
      </c>
      <c r="F15" s="19">
        <v>8</v>
      </c>
      <c r="G15" s="19">
        <v>820</v>
      </c>
      <c r="H15" s="19">
        <v>30</v>
      </c>
      <c r="I15" s="19">
        <f t="shared" si="0"/>
        <v>790</v>
      </c>
      <c r="J15" s="18" t="s">
        <v>324</v>
      </c>
      <c r="K15" s="18" t="s">
        <v>15</v>
      </c>
      <c r="L15" s="18" t="s">
        <v>325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405</v>
      </c>
      <c r="D16" s="18" t="s">
        <v>406</v>
      </c>
      <c r="E16" s="18" t="s">
        <v>407</v>
      </c>
      <c r="F16" s="18" t="s">
        <v>38</v>
      </c>
      <c r="G16" s="19">
        <v>690</v>
      </c>
      <c r="H16" s="19">
        <v>30</v>
      </c>
      <c r="I16" s="19">
        <f t="shared" si="0"/>
        <v>660</v>
      </c>
      <c r="J16" s="18" t="s">
        <v>324</v>
      </c>
      <c r="K16" s="18" t="s">
        <v>15</v>
      </c>
      <c r="L16" s="18" t="s">
        <v>325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426</v>
      </c>
      <c r="D17" s="18" t="s">
        <v>427</v>
      </c>
      <c r="E17" s="18" t="s">
        <v>428</v>
      </c>
      <c r="F17" s="19">
        <v>5</v>
      </c>
      <c r="G17" s="19">
        <v>715</v>
      </c>
      <c r="H17" s="19">
        <v>25</v>
      </c>
      <c r="I17" s="19">
        <f t="shared" si="0"/>
        <v>690</v>
      </c>
      <c r="J17" s="18" t="s">
        <v>324</v>
      </c>
      <c r="K17" s="18" t="s">
        <v>15</v>
      </c>
      <c r="L17" s="18" t="s">
        <v>325</v>
      </c>
      <c r="M17" s="18"/>
      <c r="N17" s="18"/>
      <c r="O17" s="18"/>
      <c r="P17" s="18"/>
      <c r="Q17" s="18">
        <v>1</v>
      </c>
    </row>
    <row r="18" spans="1:18" customFormat="1" x14ac:dyDescent="0.25">
      <c r="A18" s="18" t="s">
        <v>96</v>
      </c>
      <c r="B18" s="18" t="s">
        <v>34</v>
      </c>
      <c r="C18" s="18" t="s">
        <v>434</v>
      </c>
      <c r="D18" s="18"/>
      <c r="E18" s="18" t="s">
        <v>435</v>
      </c>
      <c r="F18" s="18" t="s">
        <v>212</v>
      </c>
      <c r="G18" s="19">
        <v>30</v>
      </c>
      <c r="H18" s="19">
        <v>30</v>
      </c>
      <c r="I18" s="19">
        <f t="shared" si="0"/>
        <v>0</v>
      </c>
      <c r="J18" s="18" t="s">
        <v>324</v>
      </c>
      <c r="K18" s="18" t="s">
        <v>15</v>
      </c>
      <c r="L18" s="18" t="s">
        <v>325</v>
      </c>
      <c r="M18" s="18"/>
      <c r="N18" s="18"/>
      <c r="O18" s="18"/>
      <c r="P18" s="18"/>
      <c r="Q18" s="18">
        <v>1</v>
      </c>
    </row>
    <row r="19" spans="1:18" customFormat="1" x14ac:dyDescent="0.25">
      <c r="A19" s="18" t="s">
        <v>96</v>
      </c>
      <c r="B19" s="18" t="s">
        <v>34</v>
      </c>
      <c r="C19" s="18" t="s">
        <v>438</v>
      </c>
      <c r="D19" s="18"/>
      <c r="E19" s="18" t="s">
        <v>439</v>
      </c>
      <c r="F19" s="18" t="s">
        <v>38</v>
      </c>
      <c r="G19" s="19">
        <v>40</v>
      </c>
      <c r="H19" s="19">
        <v>40</v>
      </c>
      <c r="I19" s="19">
        <f t="shared" si="0"/>
        <v>0</v>
      </c>
      <c r="J19" s="18" t="s">
        <v>324</v>
      </c>
      <c r="K19" s="18" t="s">
        <v>15</v>
      </c>
      <c r="L19" s="18" t="s">
        <v>325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326</v>
      </c>
      <c r="D20" s="18" t="s">
        <v>327</v>
      </c>
      <c r="E20" s="18" t="s">
        <v>328</v>
      </c>
      <c r="F20" s="18" t="s">
        <v>144</v>
      </c>
      <c r="G20" s="19">
        <v>700</v>
      </c>
      <c r="H20" s="19">
        <v>30</v>
      </c>
      <c r="I20" s="19">
        <f t="shared" si="0"/>
        <v>670</v>
      </c>
      <c r="J20" s="18" t="s">
        <v>15</v>
      </c>
      <c r="K20" s="18" t="s">
        <v>15</v>
      </c>
      <c r="L20" s="18" t="s">
        <v>325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344</v>
      </c>
      <c r="D21" s="18" t="s">
        <v>345</v>
      </c>
      <c r="E21" s="18" t="s">
        <v>346</v>
      </c>
      <c r="F21" s="19">
        <v>2</v>
      </c>
      <c r="G21" s="19">
        <v>720</v>
      </c>
      <c r="H21" s="19">
        <v>30</v>
      </c>
      <c r="I21" s="19">
        <f t="shared" si="0"/>
        <v>690</v>
      </c>
      <c r="J21" s="18" t="s">
        <v>15</v>
      </c>
      <c r="K21" s="18" t="s">
        <v>15</v>
      </c>
      <c r="L21" s="18" t="s">
        <v>325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350</v>
      </c>
      <c r="D22" s="18" t="s">
        <v>351</v>
      </c>
      <c r="E22" s="18" t="s">
        <v>352</v>
      </c>
      <c r="F22" s="18" t="s">
        <v>144</v>
      </c>
      <c r="G22" s="19">
        <v>730</v>
      </c>
      <c r="H22" s="19">
        <v>30</v>
      </c>
      <c r="I22" s="19">
        <f t="shared" si="0"/>
        <v>700</v>
      </c>
      <c r="J22" s="18" t="s">
        <v>15</v>
      </c>
      <c r="K22" s="18" t="s">
        <v>15</v>
      </c>
      <c r="L22" s="18" t="s">
        <v>325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353</v>
      </c>
      <c r="D23" s="18" t="s">
        <v>354</v>
      </c>
      <c r="E23" s="18" t="s">
        <v>355</v>
      </c>
      <c r="F23" s="18" t="s">
        <v>144</v>
      </c>
      <c r="G23" s="19">
        <v>890</v>
      </c>
      <c r="H23" s="19">
        <v>30</v>
      </c>
      <c r="I23" s="19">
        <f t="shared" si="0"/>
        <v>860</v>
      </c>
      <c r="J23" s="18" t="s">
        <v>15</v>
      </c>
      <c r="K23" s="18" t="s">
        <v>15</v>
      </c>
      <c r="L23" s="18" t="s">
        <v>325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365</v>
      </c>
      <c r="D24" s="18" t="s">
        <v>366</v>
      </c>
      <c r="E24" s="18" t="s">
        <v>367</v>
      </c>
      <c r="F24" s="18" t="s">
        <v>20</v>
      </c>
      <c r="G24" s="19">
        <v>685</v>
      </c>
      <c r="H24" s="19">
        <v>25</v>
      </c>
      <c r="I24" s="19">
        <f t="shared" si="0"/>
        <v>660</v>
      </c>
      <c r="J24" s="18" t="s">
        <v>15</v>
      </c>
      <c r="K24" s="18" t="s">
        <v>15</v>
      </c>
      <c r="L24" s="18" t="s">
        <v>325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368</v>
      </c>
      <c r="D25" s="18" t="s">
        <v>369</v>
      </c>
      <c r="E25" s="18" t="s">
        <v>370</v>
      </c>
      <c r="F25" s="18" t="s">
        <v>20</v>
      </c>
      <c r="G25" s="19">
        <v>0</v>
      </c>
      <c r="H25" s="19">
        <v>25</v>
      </c>
      <c r="I25" s="19">
        <f t="shared" si="0"/>
        <v>-25</v>
      </c>
      <c r="J25" s="18" t="s">
        <v>15</v>
      </c>
      <c r="K25" s="18" t="s">
        <v>15</v>
      </c>
      <c r="L25" s="18" t="s">
        <v>325</v>
      </c>
      <c r="M25" s="18"/>
      <c r="N25" s="18"/>
      <c r="O25" s="18"/>
      <c r="P25" s="18"/>
      <c r="Q25" s="18">
        <v>1</v>
      </c>
      <c r="R25" s="17">
        <f>H25</f>
        <v>25</v>
      </c>
    </row>
    <row r="26" spans="1:18" customFormat="1" x14ac:dyDescent="0.25">
      <c r="A26" s="18"/>
      <c r="B26" s="18" t="s">
        <v>34</v>
      </c>
      <c r="C26" s="18" t="s">
        <v>371</v>
      </c>
      <c r="D26" s="18" t="s">
        <v>372</v>
      </c>
      <c r="E26" s="18" t="s">
        <v>373</v>
      </c>
      <c r="F26" s="19">
        <v>12</v>
      </c>
      <c r="G26" s="19">
        <v>870</v>
      </c>
      <c r="H26" s="19">
        <v>30</v>
      </c>
      <c r="I26" s="19">
        <f t="shared" si="0"/>
        <v>840</v>
      </c>
      <c r="J26" s="18" t="s">
        <v>15</v>
      </c>
      <c r="K26" s="18" t="s">
        <v>15</v>
      </c>
      <c r="L26" s="18" t="s">
        <v>325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374</v>
      </c>
      <c r="D27" s="18" t="s">
        <v>375</v>
      </c>
      <c r="E27" s="18" t="s">
        <v>376</v>
      </c>
      <c r="F27" s="18" t="s">
        <v>20</v>
      </c>
      <c r="G27" s="19">
        <v>0</v>
      </c>
      <c r="H27" s="19">
        <v>25</v>
      </c>
      <c r="I27" s="19">
        <f t="shared" si="0"/>
        <v>-25</v>
      </c>
      <c r="J27" s="18" t="s">
        <v>15</v>
      </c>
      <c r="K27" s="18" t="s">
        <v>15</v>
      </c>
      <c r="L27" s="18" t="s">
        <v>325</v>
      </c>
      <c r="M27" s="27" t="s">
        <v>589</v>
      </c>
      <c r="N27" s="18"/>
      <c r="O27" s="18"/>
      <c r="P27" s="18"/>
      <c r="Q27" s="18">
        <v>1</v>
      </c>
      <c r="R27" s="17">
        <f>H27</f>
        <v>25</v>
      </c>
    </row>
    <row r="28" spans="1:18" customFormat="1" x14ac:dyDescent="0.25">
      <c r="A28" s="18"/>
      <c r="B28" s="18" t="s">
        <v>34</v>
      </c>
      <c r="C28" s="18" t="s">
        <v>378</v>
      </c>
      <c r="D28" s="18" t="s">
        <v>379</v>
      </c>
      <c r="E28" s="18" t="s">
        <v>380</v>
      </c>
      <c r="F28" s="18" t="s">
        <v>19</v>
      </c>
      <c r="G28" s="19">
        <v>910</v>
      </c>
      <c r="H28" s="19">
        <v>20</v>
      </c>
      <c r="I28" s="19">
        <f t="shared" si="0"/>
        <v>890</v>
      </c>
      <c r="J28" s="18" t="s">
        <v>15</v>
      </c>
      <c r="K28" s="18" t="s">
        <v>15</v>
      </c>
      <c r="L28" s="18" t="s">
        <v>325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396</v>
      </c>
      <c r="D29" s="18" t="s">
        <v>397</v>
      </c>
      <c r="E29" s="18" t="s">
        <v>398</v>
      </c>
      <c r="F29" s="19">
        <v>2</v>
      </c>
      <c r="G29" s="19">
        <v>0</v>
      </c>
      <c r="H29" s="19">
        <v>30</v>
      </c>
      <c r="I29" s="19">
        <f t="shared" si="0"/>
        <v>-30</v>
      </c>
      <c r="J29" s="18" t="s">
        <v>15</v>
      </c>
      <c r="K29" s="18" t="s">
        <v>15</v>
      </c>
      <c r="L29" s="18" t="s">
        <v>325</v>
      </c>
      <c r="M29" s="18"/>
      <c r="N29" s="18"/>
      <c r="O29" s="18"/>
      <c r="P29" s="18"/>
      <c r="Q29" s="18">
        <v>1</v>
      </c>
      <c r="R29" s="17">
        <f>H29</f>
        <v>30</v>
      </c>
    </row>
    <row r="30" spans="1:18" customFormat="1" x14ac:dyDescent="0.25">
      <c r="A30" s="18"/>
      <c r="B30" s="18" t="s">
        <v>34</v>
      </c>
      <c r="C30" s="18" t="s">
        <v>411</v>
      </c>
      <c r="D30" s="18" t="s">
        <v>412</v>
      </c>
      <c r="E30" s="18" t="s">
        <v>413</v>
      </c>
      <c r="F30" s="18" t="s">
        <v>19</v>
      </c>
      <c r="G30" s="19">
        <v>680</v>
      </c>
      <c r="H30" s="19">
        <v>20</v>
      </c>
      <c r="I30" s="19">
        <f t="shared" si="0"/>
        <v>660</v>
      </c>
      <c r="J30" s="18" t="s">
        <v>15</v>
      </c>
      <c r="K30" s="18" t="s">
        <v>15</v>
      </c>
      <c r="L30" s="18" t="s">
        <v>325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414</v>
      </c>
      <c r="D31" s="18" t="s">
        <v>415</v>
      </c>
      <c r="E31" s="18" t="s">
        <v>416</v>
      </c>
      <c r="F31" s="18" t="s">
        <v>19</v>
      </c>
      <c r="G31" s="19">
        <v>840</v>
      </c>
      <c r="H31" s="19">
        <v>20</v>
      </c>
      <c r="I31" s="19">
        <f t="shared" si="0"/>
        <v>820</v>
      </c>
      <c r="J31" s="18" t="s">
        <v>15</v>
      </c>
      <c r="K31" s="18" t="s">
        <v>15</v>
      </c>
      <c r="L31" s="18" t="s">
        <v>325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417</v>
      </c>
      <c r="D32" s="18" t="s">
        <v>418</v>
      </c>
      <c r="E32" s="18" t="s">
        <v>419</v>
      </c>
      <c r="F32" s="18" t="s">
        <v>18</v>
      </c>
      <c r="G32" s="19">
        <v>0</v>
      </c>
      <c r="H32" s="19">
        <v>25</v>
      </c>
      <c r="I32" s="19">
        <f t="shared" si="0"/>
        <v>-25</v>
      </c>
      <c r="J32" s="18" t="s">
        <v>15</v>
      </c>
      <c r="K32" s="18" t="s">
        <v>15</v>
      </c>
      <c r="L32" s="18" t="s">
        <v>325</v>
      </c>
      <c r="M32" s="18"/>
      <c r="N32" s="18"/>
      <c r="O32" s="18"/>
      <c r="P32" s="18"/>
      <c r="Q32" s="18">
        <v>1</v>
      </c>
      <c r="R32" s="17">
        <f t="shared" ref="R32:R34" si="1">H32</f>
        <v>25</v>
      </c>
    </row>
    <row r="33" spans="1:18" customFormat="1" x14ac:dyDescent="0.25">
      <c r="A33" s="18"/>
      <c r="B33" s="18" t="s">
        <v>34</v>
      </c>
      <c r="C33" s="18" t="s">
        <v>420</v>
      </c>
      <c r="D33" s="18" t="s">
        <v>421</v>
      </c>
      <c r="E33" s="18" t="s">
        <v>422</v>
      </c>
      <c r="F33" s="19">
        <v>12</v>
      </c>
      <c r="G33" s="19">
        <v>0</v>
      </c>
      <c r="H33" s="19">
        <v>40</v>
      </c>
      <c r="I33" s="19">
        <f t="shared" si="0"/>
        <v>-40</v>
      </c>
      <c r="J33" s="18" t="s">
        <v>15</v>
      </c>
      <c r="K33" s="18" t="s">
        <v>15</v>
      </c>
      <c r="L33" s="18" t="s">
        <v>325</v>
      </c>
      <c r="M33" s="18"/>
      <c r="N33" s="18"/>
      <c r="O33" s="18"/>
      <c r="P33" s="18"/>
      <c r="Q33" s="18">
        <v>1</v>
      </c>
      <c r="R33" s="17">
        <f t="shared" si="1"/>
        <v>40</v>
      </c>
    </row>
    <row r="34" spans="1:18" customFormat="1" x14ac:dyDescent="0.25">
      <c r="A34" s="18"/>
      <c r="B34" s="18" t="s">
        <v>34</v>
      </c>
      <c r="C34" s="18" t="s">
        <v>338</v>
      </c>
      <c r="D34" s="18" t="s">
        <v>339</v>
      </c>
      <c r="E34" s="18" t="s">
        <v>340</v>
      </c>
      <c r="F34" s="19">
        <v>3</v>
      </c>
      <c r="G34" s="19">
        <v>0</v>
      </c>
      <c r="H34" s="19">
        <v>25</v>
      </c>
      <c r="I34" s="19">
        <f t="shared" si="0"/>
        <v>-25</v>
      </c>
      <c r="J34" s="18" t="s">
        <v>160</v>
      </c>
      <c r="K34" s="18" t="s">
        <v>15</v>
      </c>
      <c r="L34" s="18" t="s">
        <v>325</v>
      </c>
      <c r="M34" s="18"/>
      <c r="N34" s="18"/>
      <c r="O34" s="18"/>
      <c r="P34" s="18"/>
      <c r="Q34" s="18">
        <v>1</v>
      </c>
      <c r="R34" s="17">
        <f t="shared" si="1"/>
        <v>25</v>
      </c>
    </row>
    <row r="35" spans="1:18" customFormat="1" x14ac:dyDescent="0.25">
      <c r="A35" s="18"/>
      <c r="B35" s="18" t="s">
        <v>34</v>
      </c>
      <c r="C35" s="18" t="s">
        <v>359</v>
      </c>
      <c r="D35" s="18" t="s">
        <v>360</v>
      </c>
      <c r="E35" s="18" t="s">
        <v>361</v>
      </c>
      <c r="F35" s="19">
        <v>1</v>
      </c>
      <c r="G35" s="19">
        <v>885</v>
      </c>
      <c r="H35" s="19">
        <v>25</v>
      </c>
      <c r="I35" s="19">
        <f t="shared" si="0"/>
        <v>860</v>
      </c>
      <c r="J35" s="18" t="s">
        <v>160</v>
      </c>
      <c r="K35" s="18" t="s">
        <v>15</v>
      </c>
      <c r="L35" s="18" t="s">
        <v>325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381</v>
      </c>
      <c r="D36" s="18" t="s">
        <v>382</v>
      </c>
      <c r="E36" s="18" t="s">
        <v>383</v>
      </c>
      <c r="F36" s="19">
        <v>4</v>
      </c>
      <c r="G36" s="19">
        <v>375</v>
      </c>
      <c r="H36" s="19">
        <v>25</v>
      </c>
      <c r="I36" s="19">
        <f t="shared" si="0"/>
        <v>350</v>
      </c>
      <c r="J36" s="18" t="s">
        <v>160</v>
      </c>
      <c r="K36" s="18" t="s">
        <v>15</v>
      </c>
      <c r="L36" s="18" t="s">
        <v>325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393</v>
      </c>
      <c r="D37" s="18" t="s">
        <v>394</v>
      </c>
      <c r="E37" s="18" t="s">
        <v>395</v>
      </c>
      <c r="F37" s="19">
        <v>10</v>
      </c>
      <c r="G37" s="19">
        <v>815</v>
      </c>
      <c r="H37" s="19">
        <v>25</v>
      </c>
      <c r="I37" s="19">
        <f t="shared" si="0"/>
        <v>790</v>
      </c>
      <c r="J37" s="18" t="s">
        <v>160</v>
      </c>
      <c r="K37" s="18" t="s">
        <v>15</v>
      </c>
      <c r="L37" s="18" t="s">
        <v>325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399</v>
      </c>
      <c r="D38" s="18" t="s">
        <v>400</v>
      </c>
      <c r="E38" s="18" t="s">
        <v>401</v>
      </c>
      <c r="F38" s="19">
        <v>4</v>
      </c>
      <c r="G38" s="19">
        <v>775</v>
      </c>
      <c r="H38" s="19">
        <v>25</v>
      </c>
      <c r="I38" s="19">
        <f t="shared" si="0"/>
        <v>750</v>
      </c>
      <c r="J38" s="18" t="s">
        <v>160</v>
      </c>
      <c r="K38" s="18" t="s">
        <v>15</v>
      </c>
      <c r="L38" s="18" t="s">
        <v>325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408</v>
      </c>
      <c r="D39" s="18" t="s">
        <v>409</v>
      </c>
      <c r="E39" s="18" t="s">
        <v>410</v>
      </c>
      <c r="F39" s="18" t="s">
        <v>18</v>
      </c>
      <c r="G39" s="19">
        <v>885</v>
      </c>
      <c r="H39" s="19">
        <v>25</v>
      </c>
      <c r="I39" s="19">
        <f t="shared" si="0"/>
        <v>860</v>
      </c>
      <c r="J39" s="18" t="s">
        <v>160</v>
      </c>
      <c r="K39" s="18" t="s">
        <v>15</v>
      </c>
      <c r="L39" s="18" t="s">
        <v>325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423</v>
      </c>
      <c r="D40" s="18" t="s">
        <v>424</v>
      </c>
      <c r="E40" s="18" t="s">
        <v>425</v>
      </c>
      <c r="F40" s="18" t="s">
        <v>17</v>
      </c>
      <c r="G40" s="19">
        <v>680</v>
      </c>
      <c r="H40" s="19">
        <v>20</v>
      </c>
      <c r="I40" s="19">
        <f t="shared" si="0"/>
        <v>660</v>
      </c>
      <c r="J40" s="18" t="s">
        <v>160</v>
      </c>
      <c r="K40" s="18" t="s">
        <v>15</v>
      </c>
      <c r="L40" s="18" t="s">
        <v>325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429</v>
      </c>
      <c r="D41" s="18" t="s">
        <v>430</v>
      </c>
      <c r="E41" s="18" t="s">
        <v>431</v>
      </c>
      <c r="F41" s="19">
        <v>1</v>
      </c>
      <c r="G41" s="19">
        <v>0</v>
      </c>
      <c r="H41" s="19">
        <v>25</v>
      </c>
      <c r="I41" s="19">
        <f t="shared" si="0"/>
        <v>-25</v>
      </c>
      <c r="J41" s="18" t="s">
        <v>160</v>
      </c>
      <c r="K41" s="18" t="s">
        <v>15</v>
      </c>
      <c r="L41" s="18" t="s">
        <v>325</v>
      </c>
      <c r="M41" s="18"/>
      <c r="N41" s="18"/>
      <c r="O41" s="18"/>
      <c r="P41" s="18"/>
      <c r="Q41" s="18">
        <v>1</v>
      </c>
      <c r="R41" s="17">
        <f>H41</f>
        <v>25</v>
      </c>
    </row>
    <row r="42" spans="1:18" customFormat="1" x14ac:dyDescent="0.25">
      <c r="A42" s="18" t="s">
        <v>96</v>
      </c>
      <c r="B42" s="18" t="s">
        <v>34</v>
      </c>
      <c r="C42" s="18" t="s">
        <v>432</v>
      </c>
      <c r="D42" s="18"/>
      <c r="E42" s="18" t="s">
        <v>433</v>
      </c>
      <c r="F42" s="18" t="s">
        <v>18</v>
      </c>
      <c r="G42" s="19">
        <v>30</v>
      </c>
      <c r="H42" s="19">
        <v>30</v>
      </c>
      <c r="I42" s="19">
        <f t="shared" si="0"/>
        <v>0</v>
      </c>
      <c r="J42" s="18" t="s">
        <v>160</v>
      </c>
      <c r="K42" s="18" t="s">
        <v>15</v>
      </c>
      <c r="L42" s="18" t="s">
        <v>325</v>
      </c>
      <c r="M42" s="18"/>
      <c r="N42" s="18"/>
      <c r="O42" s="18"/>
      <c r="P42" s="18"/>
      <c r="Q42" s="18">
        <v>1</v>
      </c>
    </row>
    <row r="44" spans="1:18" x14ac:dyDescent="0.25">
      <c r="G44" s="1">
        <f t="shared" ref="G44:R44" si="2">SUBTOTAL(9,G3:G43)</f>
        <v>21875</v>
      </c>
      <c r="H44" s="1">
        <f t="shared" si="2"/>
        <v>1130</v>
      </c>
      <c r="I44" s="1">
        <f t="shared" si="2"/>
        <v>20745</v>
      </c>
      <c r="J44" s="1">
        <f t="shared" si="2"/>
        <v>0</v>
      </c>
      <c r="K44" s="1">
        <f t="shared" si="2"/>
        <v>0</v>
      </c>
      <c r="L44" s="1">
        <f t="shared" si="2"/>
        <v>0</v>
      </c>
      <c r="M44" s="1">
        <f t="shared" si="2"/>
        <v>0</v>
      </c>
      <c r="N44" s="1">
        <f t="shared" si="2"/>
        <v>0</v>
      </c>
      <c r="O44" s="1">
        <f t="shared" si="2"/>
        <v>0</v>
      </c>
      <c r="P44" s="1">
        <f t="shared" si="2"/>
        <v>0</v>
      </c>
      <c r="Q44" s="1">
        <f t="shared" si="2"/>
        <v>40</v>
      </c>
      <c r="R44" s="1">
        <f t="shared" si="2"/>
        <v>225</v>
      </c>
    </row>
    <row r="45" spans="1:18" x14ac:dyDescent="0.25">
      <c r="I45" s="1">
        <v>-970</v>
      </c>
      <c r="J45" s="1" t="s">
        <v>440</v>
      </c>
    </row>
    <row r="48" spans="1:18" ht="20.25" customHeight="1" x14ac:dyDescent="0.3">
      <c r="H48" s="4" t="s">
        <v>318</v>
      </c>
      <c r="I48" s="5" t="s">
        <v>21</v>
      </c>
      <c r="J48" s="6" t="s">
        <v>22</v>
      </c>
    </row>
    <row r="49" spans="8:10" ht="15.75" customHeight="1" x14ac:dyDescent="0.25">
      <c r="H49" s="7" t="s">
        <v>23</v>
      </c>
      <c r="I49" s="8">
        <f>SUM(I43:I47)</f>
        <v>19775</v>
      </c>
      <c r="J49" s="8">
        <f>Q44</f>
        <v>40</v>
      </c>
    </row>
    <row r="50" spans="8:10" x14ac:dyDescent="0.25">
      <c r="H50" s="9" t="s">
        <v>24</v>
      </c>
      <c r="I50" s="10">
        <f>R44</f>
        <v>225</v>
      </c>
      <c r="J50" s="11"/>
    </row>
    <row r="51" spans="8:10" x14ac:dyDescent="0.25">
      <c r="H51" s="9" t="s">
        <v>25</v>
      </c>
      <c r="I51" s="10">
        <f>S43</f>
        <v>0</v>
      </c>
      <c r="J51" s="11"/>
    </row>
    <row r="52" spans="8:10" x14ac:dyDescent="0.25">
      <c r="H52" s="9" t="s">
        <v>26</v>
      </c>
      <c r="I52" s="10">
        <f>T43</f>
        <v>0</v>
      </c>
      <c r="J52" s="11"/>
    </row>
    <row r="53" spans="8:10" x14ac:dyDescent="0.25">
      <c r="H53" s="9" t="s">
        <v>27</v>
      </c>
      <c r="I53" s="10">
        <f>U43</f>
        <v>0</v>
      </c>
      <c r="J53" s="11"/>
    </row>
    <row r="54" spans="8:10" ht="15.75" customHeight="1" x14ac:dyDescent="0.25">
      <c r="H54" s="12" t="s">
        <v>28</v>
      </c>
      <c r="I54" s="13"/>
      <c r="J54" s="13"/>
    </row>
    <row r="55" spans="8:10" ht="15.75" customHeight="1" x14ac:dyDescent="0.25">
      <c r="H55" s="14" t="s">
        <v>29</v>
      </c>
      <c r="I55" s="13"/>
      <c r="J55" s="13"/>
    </row>
    <row r="56" spans="8:10" ht="21" customHeight="1" x14ac:dyDescent="0.35">
      <c r="H56" s="15" t="s">
        <v>30</v>
      </c>
      <c r="I56" s="16">
        <f>SUM(I49:I55)</f>
        <v>20000</v>
      </c>
      <c r="J56" s="16">
        <f>SUM(J49:J53)</f>
        <v>40</v>
      </c>
    </row>
  </sheetData>
  <autoFilter ref="A2:P42" xr:uid="{00000000-0009-0000-0000-000006000000}">
    <sortState xmlns:xlrd2="http://schemas.microsoft.com/office/spreadsheetml/2017/richdata2" ref="A3:P42">
      <sortCondition ref="J2:J42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1009E-85BD-4AF1-AB22-5EF93D8AE06B}">
  <dimension ref="A1:R68"/>
  <sheetViews>
    <sheetView topLeftCell="A21" workbookViewId="0">
      <selection activeCell="C43" sqref="C43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442</v>
      </c>
      <c r="C1" s="1" t="s">
        <v>443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448</v>
      </c>
      <c r="D3" s="18" t="s">
        <v>449</v>
      </c>
      <c r="E3" s="18" t="s">
        <v>450</v>
      </c>
      <c r="F3" s="19">
        <v>7</v>
      </c>
      <c r="G3" s="19">
        <v>470</v>
      </c>
      <c r="H3" s="19">
        <v>30</v>
      </c>
      <c r="I3" s="19">
        <f>G3-H3</f>
        <v>440</v>
      </c>
      <c r="J3" s="18" t="s">
        <v>451</v>
      </c>
      <c r="K3" s="18" t="s">
        <v>15</v>
      </c>
      <c r="L3" s="18" t="s">
        <v>447</v>
      </c>
      <c r="M3" s="18"/>
      <c r="N3" s="18"/>
      <c r="O3" s="18"/>
      <c r="P3" s="18"/>
      <c r="Q3" s="19">
        <v>1</v>
      </c>
    </row>
    <row r="4" spans="1:18" customFormat="1" x14ac:dyDescent="0.25">
      <c r="A4" s="18"/>
      <c r="B4" s="18" t="s">
        <v>34</v>
      </c>
      <c r="C4" s="18" t="s">
        <v>455</v>
      </c>
      <c r="D4" s="18" t="s">
        <v>456</v>
      </c>
      <c r="E4" s="18" t="s">
        <v>457</v>
      </c>
      <c r="F4" s="18" t="s">
        <v>38</v>
      </c>
      <c r="G4" s="19">
        <v>820</v>
      </c>
      <c r="H4" s="19">
        <v>30</v>
      </c>
      <c r="I4" s="19">
        <f>G4-H4</f>
        <v>790</v>
      </c>
      <c r="J4" s="18" t="s">
        <v>451</v>
      </c>
      <c r="K4" s="18" t="s">
        <v>15</v>
      </c>
      <c r="L4" s="18" t="s">
        <v>447</v>
      </c>
      <c r="M4" s="18"/>
      <c r="N4" s="18"/>
      <c r="O4" s="18"/>
      <c r="P4" s="18"/>
      <c r="Q4" s="19">
        <v>1</v>
      </c>
    </row>
    <row r="5" spans="1:18" customFormat="1" x14ac:dyDescent="0.25">
      <c r="A5" s="18"/>
      <c r="B5" s="18" t="s">
        <v>34</v>
      </c>
      <c r="C5" s="18" t="s">
        <v>458</v>
      </c>
      <c r="D5" s="18" t="s">
        <v>459</v>
      </c>
      <c r="E5" s="18" t="s">
        <v>460</v>
      </c>
      <c r="F5" s="19">
        <v>8</v>
      </c>
      <c r="G5" s="19">
        <v>0</v>
      </c>
      <c r="H5" s="19">
        <v>25</v>
      </c>
      <c r="I5" s="19">
        <f>-H5</f>
        <v>-25</v>
      </c>
      <c r="J5" s="18" t="s">
        <v>451</v>
      </c>
      <c r="K5" s="18" t="s">
        <v>15</v>
      </c>
      <c r="L5" s="18" t="s">
        <v>447</v>
      </c>
      <c r="M5" s="18"/>
      <c r="N5" s="18"/>
      <c r="O5" s="18"/>
      <c r="P5" s="18"/>
      <c r="Q5" s="19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461</v>
      </c>
      <c r="D6" s="18" t="s">
        <v>462</v>
      </c>
      <c r="E6" s="18" t="s">
        <v>463</v>
      </c>
      <c r="F6" s="19">
        <v>6</v>
      </c>
      <c r="G6" s="19">
        <v>1515</v>
      </c>
      <c r="H6" s="19">
        <v>25</v>
      </c>
      <c r="I6" s="19">
        <f t="shared" ref="I6:I11" si="0">G6-H6</f>
        <v>1490</v>
      </c>
      <c r="J6" s="18" t="s">
        <v>451</v>
      </c>
      <c r="K6" s="18" t="s">
        <v>15</v>
      </c>
      <c r="L6" s="18" t="s">
        <v>447</v>
      </c>
      <c r="M6" s="18"/>
      <c r="N6" s="18"/>
      <c r="O6" s="18"/>
      <c r="P6" s="18"/>
      <c r="Q6" s="19">
        <v>1</v>
      </c>
    </row>
    <row r="7" spans="1:18" customFormat="1" x14ac:dyDescent="0.25">
      <c r="A7" s="18"/>
      <c r="B7" s="18" t="s">
        <v>34</v>
      </c>
      <c r="C7" s="18" t="s">
        <v>464</v>
      </c>
      <c r="D7" s="18" t="s">
        <v>465</v>
      </c>
      <c r="E7" s="18" t="s">
        <v>466</v>
      </c>
      <c r="F7" s="18" t="s">
        <v>38</v>
      </c>
      <c r="G7" s="19">
        <v>890</v>
      </c>
      <c r="H7" s="19">
        <v>30</v>
      </c>
      <c r="I7" s="19">
        <f t="shared" si="0"/>
        <v>860</v>
      </c>
      <c r="J7" s="18" t="s">
        <v>451</v>
      </c>
      <c r="K7" s="18" t="s">
        <v>15</v>
      </c>
      <c r="L7" s="18" t="s">
        <v>447</v>
      </c>
      <c r="M7" s="18"/>
      <c r="N7" s="18"/>
      <c r="O7" s="18"/>
      <c r="P7" s="18"/>
      <c r="Q7" s="19">
        <v>1</v>
      </c>
    </row>
    <row r="8" spans="1:18" customFormat="1" x14ac:dyDescent="0.25">
      <c r="A8" s="18"/>
      <c r="B8" s="18" t="s">
        <v>34</v>
      </c>
      <c r="C8" s="18" t="s">
        <v>467</v>
      </c>
      <c r="D8" s="18" t="s">
        <v>468</v>
      </c>
      <c r="E8" s="18" t="s">
        <v>469</v>
      </c>
      <c r="F8" s="18" t="s">
        <v>38</v>
      </c>
      <c r="G8" s="19">
        <v>470</v>
      </c>
      <c r="H8" s="19">
        <v>30</v>
      </c>
      <c r="I8" s="19">
        <f t="shared" si="0"/>
        <v>440</v>
      </c>
      <c r="J8" s="18" t="s">
        <v>451</v>
      </c>
      <c r="K8" s="18" t="s">
        <v>15</v>
      </c>
      <c r="L8" s="18" t="s">
        <v>447</v>
      </c>
      <c r="M8" s="18"/>
      <c r="N8" s="18"/>
      <c r="O8" s="18"/>
      <c r="P8" s="18"/>
      <c r="Q8" s="19">
        <v>1</v>
      </c>
    </row>
    <row r="9" spans="1:18" customFormat="1" x14ac:dyDescent="0.25">
      <c r="A9" s="18"/>
      <c r="B9" s="18" t="s">
        <v>34</v>
      </c>
      <c r="C9" s="18" t="s">
        <v>479</v>
      </c>
      <c r="D9" s="18" t="s">
        <v>480</v>
      </c>
      <c r="E9" s="18" t="s">
        <v>481</v>
      </c>
      <c r="F9" s="18" t="s">
        <v>38</v>
      </c>
      <c r="G9" s="19">
        <v>920</v>
      </c>
      <c r="H9" s="19">
        <v>30</v>
      </c>
      <c r="I9" s="19">
        <f t="shared" si="0"/>
        <v>890</v>
      </c>
      <c r="J9" s="18" t="s">
        <v>451</v>
      </c>
      <c r="K9" s="18" t="s">
        <v>15</v>
      </c>
      <c r="L9" s="18" t="s">
        <v>447</v>
      </c>
      <c r="M9" s="18"/>
      <c r="N9" s="18"/>
      <c r="O9" s="18"/>
      <c r="P9" s="18"/>
      <c r="Q9" s="19">
        <v>1</v>
      </c>
    </row>
    <row r="10" spans="1:18" customFormat="1" x14ac:dyDescent="0.25">
      <c r="A10" s="18"/>
      <c r="B10" s="18" t="s">
        <v>34</v>
      </c>
      <c r="C10" s="18" t="s">
        <v>495</v>
      </c>
      <c r="D10" s="18" t="s">
        <v>496</v>
      </c>
      <c r="E10" s="18" t="s">
        <v>497</v>
      </c>
      <c r="F10" s="19">
        <v>6</v>
      </c>
      <c r="G10" s="19">
        <v>695</v>
      </c>
      <c r="H10" s="19">
        <v>25</v>
      </c>
      <c r="I10" s="19">
        <f t="shared" si="0"/>
        <v>670</v>
      </c>
      <c r="J10" s="18" t="s">
        <v>451</v>
      </c>
      <c r="K10" s="18" t="s">
        <v>15</v>
      </c>
      <c r="L10" s="18" t="s">
        <v>447</v>
      </c>
      <c r="M10" s="18"/>
      <c r="N10" s="18"/>
      <c r="O10" s="18"/>
      <c r="P10" s="18"/>
      <c r="Q10" s="19">
        <v>1</v>
      </c>
    </row>
    <row r="11" spans="1:18" customFormat="1" x14ac:dyDescent="0.25">
      <c r="A11" s="18"/>
      <c r="B11" s="18" t="s">
        <v>34</v>
      </c>
      <c r="C11" s="18" t="s">
        <v>498</v>
      </c>
      <c r="D11" s="18" t="s">
        <v>499</v>
      </c>
      <c r="E11" s="18" t="s">
        <v>500</v>
      </c>
      <c r="F11" s="19">
        <v>7</v>
      </c>
      <c r="G11" s="19">
        <v>700</v>
      </c>
      <c r="H11" s="19">
        <v>30</v>
      </c>
      <c r="I11" s="19">
        <f t="shared" si="0"/>
        <v>670</v>
      </c>
      <c r="J11" s="18" t="s">
        <v>451</v>
      </c>
      <c r="K11" s="18" t="s">
        <v>15</v>
      </c>
      <c r="L11" s="18" t="s">
        <v>447</v>
      </c>
      <c r="M11" s="18"/>
      <c r="N11" s="18"/>
      <c r="O11" s="18"/>
      <c r="P11" s="18"/>
      <c r="Q11" s="19">
        <v>1</v>
      </c>
    </row>
    <row r="12" spans="1:18" customFormat="1" x14ac:dyDescent="0.25">
      <c r="A12" s="18"/>
      <c r="B12" s="18" t="s">
        <v>34</v>
      </c>
      <c r="C12" s="18" t="s">
        <v>510</v>
      </c>
      <c r="D12" s="18" t="s">
        <v>511</v>
      </c>
      <c r="E12" s="18" t="s">
        <v>512</v>
      </c>
      <c r="F12" s="19">
        <v>7</v>
      </c>
      <c r="G12" s="19">
        <v>0</v>
      </c>
      <c r="H12" s="19">
        <v>30</v>
      </c>
      <c r="I12" s="19">
        <f>-H12</f>
        <v>-30</v>
      </c>
      <c r="J12" s="18" t="s">
        <v>451</v>
      </c>
      <c r="K12" s="18" t="s">
        <v>15</v>
      </c>
      <c r="L12" s="18" t="s">
        <v>447</v>
      </c>
      <c r="M12" s="18"/>
      <c r="N12" s="18"/>
      <c r="O12" s="18"/>
      <c r="P12" s="18"/>
      <c r="Q12" s="19">
        <v>1</v>
      </c>
      <c r="R12" s="17">
        <f>H12</f>
        <v>30</v>
      </c>
    </row>
    <row r="13" spans="1:18" customFormat="1" x14ac:dyDescent="0.25">
      <c r="A13" s="18"/>
      <c r="B13" s="18" t="s">
        <v>34</v>
      </c>
      <c r="C13" s="18" t="s">
        <v>516</v>
      </c>
      <c r="D13" s="18" t="s">
        <v>517</v>
      </c>
      <c r="E13" s="18" t="s">
        <v>518</v>
      </c>
      <c r="F13" s="18" t="s">
        <v>38</v>
      </c>
      <c r="G13" s="19">
        <v>1020</v>
      </c>
      <c r="H13" s="19">
        <v>30</v>
      </c>
      <c r="I13" s="19">
        <f t="shared" ref="I13:I26" si="1">G13-H13</f>
        <v>990</v>
      </c>
      <c r="J13" s="18" t="s">
        <v>451</v>
      </c>
      <c r="K13" s="18" t="s">
        <v>15</v>
      </c>
      <c r="L13" s="18" t="s">
        <v>447</v>
      </c>
      <c r="M13" s="18"/>
      <c r="N13" s="18"/>
      <c r="O13" s="18"/>
      <c r="P13" s="18"/>
      <c r="Q13" s="19">
        <v>1</v>
      </c>
    </row>
    <row r="14" spans="1:18" customFormat="1" x14ac:dyDescent="0.25">
      <c r="A14" s="18"/>
      <c r="B14" s="18" t="s">
        <v>34</v>
      </c>
      <c r="C14" s="18" t="s">
        <v>540</v>
      </c>
      <c r="D14" s="18" t="s">
        <v>541</v>
      </c>
      <c r="E14" s="18" t="s">
        <v>542</v>
      </c>
      <c r="F14" s="18" t="s">
        <v>123</v>
      </c>
      <c r="G14" s="19">
        <v>475</v>
      </c>
      <c r="H14" s="19">
        <v>35</v>
      </c>
      <c r="I14" s="19">
        <f t="shared" si="1"/>
        <v>440</v>
      </c>
      <c r="J14" s="18" t="s">
        <v>451</v>
      </c>
      <c r="K14" s="18" t="s">
        <v>15</v>
      </c>
      <c r="L14" s="18" t="s">
        <v>447</v>
      </c>
      <c r="M14" s="18"/>
      <c r="N14" s="18"/>
      <c r="O14" s="18"/>
      <c r="P14" s="18"/>
      <c r="Q14" s="19">
        <v>1</v>
      </c>
    </row>
    <row r="15" spans="1:18" customFormat="1" x14ac:dyDescent="0.25">
      <c r="A15" s="18"/>
      <c r="B15" s="18" t="s">
        <v>34</v>
      </c>
      <c r="C15" s="18" t="s">
        <v>549</v>
      </c>
      <c r="D15" s="18" t="s">
        <v>550</v>
      </c>
      <c r="E15" s="18" t="s">
        <v>551</v>
      </c>
      <c r="F15" s="19">
        <v>6</v>
      </c>
      <c r="G15" s="19">
        <v>2220</v>
      </c>
      <c r="H15" s="19">
        <v>30</v>
      </c>
      <c r="I15" s="19">
        <f t="shared" si="1"/>
        <v>2190</v>
      </c>
      <c r="J15" s="18" t="s">
        <v>451</v>
      </c>
      <c r="K15" s="18" t="s">
        <v>15</v>
      </c>
      <c r="L15" s="18" t="s">
        <v>447</v>
      </c>
      <c r="M15" s="27" t="s">
        <v>377</v>
      </c>
      <c r="N15" s="18"/>
      <c r="O15" s="18"/>
      <c r="P15" s="18"/>
      <c r="Q15" s="19">
        <v>1</v>
      </c>
      <c r="R15" s="17">
        <f>H15</f>
        <v>30</v>
      </c>
    </row>
    <row r="16" spans="1:18" customFormat="1" x14ac:dyDescent="0.25">
      <c r="A16" s="18"/>
      <c r="B16" s="18" t="s">
        <v>34</v>
      </c>
      <c r="C16" s="18" t="s">
        <v>558</v>
      </c>
      <c r="D16" s="18" t="s">
        <v>559</v>
      </c>
      <c r="E16" s="18" t="s">
        <v>407</v>
      </c>
      <c r="F16" s="18" t="s">
        <v>38</v>
      </c>
      <c r="G16" s="19">
        <v>720</v>
      </c>
      <c r="H16" s="19">
        <v>30</v>
      </c>
      <c r="I16" s="19">
        <f t="shared" si="1"/>
        <v>690</v>
      </c>
      <c r="J16" s="18" t="s">
        <v>451</v>
      </c>
      <c r="K16" s="18" t="s">
        <v>15</v>
      </c>
      <c r="L16" s="18" t="s">
        <v>447</v>
      </c>
      <c r="M16" s="18"/>
      <c r="N16" s="18"/>
      <c r="O16" s="18"/>
      <c r="P16" s="18"/>
      <c r="Q16" s="19">
        <v>1</v>
      </c>
    </row>
    <row r="17" spans="1:18" customFormat="1" x14ac:dyDescent="0.25">
      <c r="A17" s="18"/>
      <c r="B17" s="18" t="s">
        <v>34</v>
      </c>
      <c r="C17" s="18" t="s">
        <v>560</v>
      </c>
      <c r="D17" s="18" t="s">
        <v>561</v>
      </c>
      <c r="E17" s="18" t="s">
        <v>562</v>
      </c>
      <c r="F17" s="18" t="s">
        <v>38</v>
      </c>
      <c r="G17" s="19">
        <v>750</v>
      </c>
      <c r="H17" s="19">
        <v>30</v>
      </c>
      <c r="I17" s="19">
        <f t="shared" si="1"/>
        <v>720</v>
      </c>
      <c r="J17" s="18" t="s">
        <v>451</v>
      </c>
      <c r="K17" s="18" t="s">
        <v>15</v>
      </c>
      <c r="L17" s="18" t="s">
        <v>447</v>
      </c>
      <c r="M17" s="18"/>
      <c r="N17" s="18"/>
      <c r="O17" s="18"/>
      <c r="P17" s="18"/>
      <c r="Q17" s="19">
        <v>1</v>
      </c>
    </row>
    <row r="18" spans="1:18" customFormat="1" x14ac:dyDescent="0.25">
      <c r="A18" s="18"/>
      <c r="B18" s="18" t="s">
        <v>34</v>
      </c>
      <c r="C18" s="18" t="s">
        <v>563</v>
      </c>
      <c r="D18" s="18" t="s">
        <v>564</v>
      </c>
      <c r="E18" s="18" t="s">
        <v>565</v>
      </c>
      <c r="F18" s="19">
        <v>8</v>
      </c>
      <c r="G18" s="19">
        <v>390</v>
      </c>
      <c r="H18" s="19">
        <v>30</v>
      </c>
      <c r="I18" s="19">
        <f t="shared" si="1"/>
        <v>360</v>
      </c>
      <c r="J18" s="18" t="s">
        <v>451</v>
      </c>
      <c r="K18" s="18" t="s">
        <v>15</v>
      </c>
      <c r="L18" s="18" t="s">
        <v>447</v>
      </c>
      <c r="M18" s="18"/>
      <c r="N18" s="18"/>
      <c r="O18" s="18"/>
      <c r="P18" s="18"/>
      <c r="Q18" s="19">
        <v>1</v>
      </c>
    </row>
    <row r="19" spans="1:18" customFormat="1" x14ac:dyDescent="0.25">
      <c r="A19" s="18"/>
      <c r="B19" s="18" t="s">
        <v>34</v>
      </c>
      <c r="C19" s="18" t="s">
        <v>574</v>
      </c>
      <c r="D19" s="18" t="s">
        <v>575</v>
      </c>
      <c r="E19" s="18" t="s">
        <v>576</v>
      </c>
      <c r="F19" s="18" t="s">
        <v>38</v>
      </c>
      <c r="G19" s="19">
        <v>820</v>
      </c>
      <c r="H19" s="19">
        <v>30</v>
      </c>
      <c r="I19" s="19">
        <f t="shared" si="1"/>
        <v>790</v>
      </c>
      <c r="J19" s="18" t="s">
        <v>451</v>
      </c>
      <c r="K19" s="18" t="s">
        <v>15</v>
      </c>
      <c r="L19" s="18" t="s">
        <v>447</v>
      </c>
      <c r="M19" s="18"/>
      <c r="N19" s="18"/>
      <c r="O19" s="18"/>
      <c r="P19" s="18"/>
      <c r="Q19" s="19">
        <v>1</v>
      </c>
    </row>
    <row r="20" spans="1:18" customFormat="1" x14ac:dyDescent="0.25">
      <c r="A20" s="18" t="s">
        <v>96</v>
      </c>
      <c r="B20" s="18" t="s">
        <v>34</v>
      </c>
      <c r="C20" s="18" t="s">
        <v>583</v>
      </c>
      <c r="D20" s="18"/>
      <c r="E20" s="18" t="s">
        <v>584</v>
      </c>
      <c r="F20" s="18" t="s">
        <v>212</v>
      </c>
      <c r="G20" s="19">
        <v>30</v>
      </c>
      <c r="H20" s="19">
        <v>30</v>
      </c>
      <c r="I20" s="19">
        <f t="shared" si="1"/>
        <v>0</v>
      </c>
      <c r="J20" s="18" t="s">
        <v>451</v>
      </c>
      <c r="K20" s="18" t="s">
        <v>15</v>
      </c>
      <c r="L20" s="18" t="s">
        <v>447</v>
      </c>
      <c r="M20" s="18"/>
      <c r="N20" s="18"/>
      <c r="O20" s="18"/>
      <c r="P20" s="18"/>
      <c r="Q20" s="19">
        <v>1</v>
      </c>
    </row>
    <row r="21" spans="1:18" customFormat="1" x14ac:dyDescent="0.25">
      <c r="A21" s="18" t="s">
        <v>96</v>
      </c>
      <c r="B21" s="18" t="s">
        <v>34</v>
      </c>
      <c r="C21" s="18" t="s">
        <v>260</v>
      </c>
      <c r="D21" s="18"/>
      <c r="E21" s="18" t="s">
        <v>585</v>
      </c>
      <c r="F21" s="19">
        <v>6</v>
      </c>
      <c r="G21" s="19">
        <v>30</v>
      </c>
      <c r="H21" s="19">
        <v>30</v>
      </c>
      <c r="I21" s="19">
        <f t="shared" si="1"/>
        <v>0</v>
      </c>
      <c r="J21" s="18" t="s">
        <v>451</v>
      </c>
      <c r="K21" s="18" t="s">
        <v>15</v>
      </c>
      <c r="L21" s="18" t="s">
        <v>447</v>
      </c>
      <c r="M21" s="18"/>
      <c r="N21" s="18"/>
      <c r="O21" s="18"/>
      <c r="P21" s="18"/>
      <c r="Q21" s="19">
        <v>1</v>
      </c>
    </row>
    <row r="22" spans="1:18" customFormat="1" x14ac:dyDescent="0.25">
      <c r="A22" s="18"/>
      <c r="B22" s="18" t="s">
        <v>34</v>
      </c>
      <c r="C22" s="18" t="s">
        <v>444</v>
      </c>
      <c r="D22" s="18" t="s">
        <v>445</v>
      </c>
      <c r="E22" s="18" t="s">
        <v>446</v>
      </c>
      <c r="F22" s="18" t="s">
        <v>18</v>
      </c>
      <c r="G22" s="19">
        <v>0</v>
      </c>
      <c r="H22" s="19">
        <v>25</v>
      </c>
      <c r="I22" s="19">
        <f t="shared" si="1"/>
        <v>-25</v>
      </c>
      <c r="J22" s="18" t="s">
        <v>15</v>
      </c>
      <c r="K22" s="18" t="s">
        <v>15</v>
      </c>
      <c r="L22" s="18" t="s">
        <v>447</v>
      </c>
      <c r="M22" s="33" t="s">
        <v>590</v>
      </c>
      <c r="N22" s="18"/>
      <c r="O22" s="18"/>
      <c r="P22" s="18"/>
      <c r="Q22" s="19">
        <v>1</v>
      </c>
      <c r="R22" s="17">
        <f>H22</f>
        <v>25</v>
      </c>
    </row>
    <row r="23" spans="1:18" s="32" customFormat="1" x14ac:dyDescent="0.25">
      <c r="A23" s="30"/>
      <c r="B23" s="30" t="s">
        <v>34</v>
      </c>
      <c r="C23" s="30" t="s">
        <v>452</v>
      </c>
      <c r="D23" s="30" t="s">
        <v>453</v>
      </c>
      <c r="E23" s="30" t="s">
        <v>454</v>
      </c>
      <c r="F23" s="30" t="s">
        <v>144</v>
      </c>
      <c r="G23" s="31">
        <v>1710</v>
      </c>
      <c r="H23" s="31">
        <v>30</v>
      </c>
      <c r="I23" s="31">
        <f t="shared" si="1"/>
        <v>1680</v>
      </c>
      <c r="J23" s="30" t="s">
        <v>15</v>
      </c>
      <c r="K23" s="30" t="s">
        <v>15</v>
      </c>
      <c r="L23" s="30" t="s">
        <v>447</v>
      </c>
      <c r="M23" s="30"/>
      <c r="N23" s="30"/>
      <c r="O23" s="30"/>
      <c r="P23" s="30"/>
      <c r="Q23" s="31">
        <v>1</v>
      </c>
    </row>
    <row r="24" spans="1:18" customFormat="1" x14ac:dyDescent="0.25">
      <c r="A24" s="18"/>
      <c r="B24" s="18" t="s">
        <v>34</v>
      </c>
      <c r="C24" s="18" t="s">
        <v>476</v>
      </c>
      <c r="D24" s="18" t="s">
        <v>477</v>
      </c>
      <c r="E24" s="18" t="s">
        <v>478</v>
      </c>
      <c r="F24" s="19">
        <v>2</v>
      </c>
      <c r="G24" s="19">
        <v>1510</v>
      </c>
      <c r="H24" s="19">
        <v>30</v>
      </c>
      <c r="I24" s="19">
        <f t="shared" si="1"/>
        <v>1480</v>
      </c>
      <c r="J24" s="18" t="s">
        <v>15</v>
      </c>
      <c r="K24" s="18" t="s">
        <v>15</v>
      </c>
      <c r="L24" s="18" t="s">
        <v>447</v>
      </c>
      <c r="M24" s="18"/>
      <c r="N24" s="18"/>
      <c r="O24" s="18"/>
      <c r="P24" s="18"/>
      <c r="Q24" s="19">
        <v>1</v>
      </c>
    </row>
    <row r="25" spans="1:18" customFormat="1" x14ac:dyDescent="0.25">
      <c r="A25" s="18"/>
      <c r="B25" s="18" t="s">
        <v>34</v>
      </c>
      <c r="C25" s="18" t="s">
        <v>138</v>
      </c>
      <c r="D25" s="18" t="s">
        <v>482</v>
      </c>
      <c r="E25" s="18" t="s">
        <v>140</v>
      </c>
      <c r="F25" s="18" t="s">
        <v>19</v>
      </c>
      <c r="G25" s="19">
        <v>680</v>
      </c>
      <c r="H25" s="19">
        <v>20</v>
      </c>
      <c r="I25" s="19">
        <f t="shared" si="1"/>
        <v>660</v>
      </c>
      <c r="J25" s="18" t="s">
        <v>15</v>
      </c>
      <c r="K25" s="18" t="s">
        <v>15</v>
      </c>
      <c r="L25" s="18" t="s">
        <v>447</v>
      </c>
      <c r="M25" s="18"/>
      <c r="N25" s="18"/>
      <c r="O25" s="18"/>
      <c r="P25" s="18"/>
      <c r="Q25" s="19">
        <v>1</v>
      </c>
    </row>
    <row r="26" spans="1:18" customFormat="1" x14ac:dyDescent="0.25">
      <c r="A26" s="18"/>
      <c r="B26" s="18" t="s">
        <v>34</v>
      </c>
      <c r="C26" s="18" t="s">
        <v>483</v>
      </c>
      <c r="D26" s="18" t="s">
        <v>484</v>
      </c>
      <c r="E26" s="18" t="s">
        <v>485</v>
      </c>
      <c r="F26" s="18" t="s">
        <v>144</v>
      </c>
      <c r="G26" s="19">
        <v>1020</v>
      </c>
      <c r="H26" s="19">
        <v>30</v>
      </c>
      <c r="I26" s="19">
        <f t="shared" si="1"/>
        <v>990</v>
      </c>
      <c r="J26" s="18" t="s">
        <v>15</v>
      </c>
      <c r="K26" s="18" t="s">
        <v>15</v>
      </c>
      <c r="L26" s="18" t="s">
        <v>447</v>
      </c>
      <c r="M26" s="18"/>
      <c r="N26" s="18"/>
      <c r="O26" s="18"/>
      <c r="P26" s="18"/>
      <c r="Q26" s="19">
        <v>1</v>
      </c>
    </row>
    <row r="27" spans="1:18" customFormat="1" x14ac:dyDescent="0.25">
      <c r="A27" s="18"/>
      <c r="B27" s="18" t="s">
        <v>34</v>
      </c>
      <c r="C27" s="18" t="s">
        <v>486</v>
      </c>
      <c r="D27" s="18" t="s">
        <v>487</v>
      </c>
      <c r="E27" s="18" t="s">
        <v>488</v>
      </c>
      <c r="F27" s="18" t="s">
        <v>144</v>
      </c>
      <c r="G27" s="19">
        <v>0</v>
      </c>
      <c r="H27" s="19">
        <v>30</v>
      </c>
      <c r="I27" s="19">
        <f>-H27</f>
        <v>-30</v>
      </c>
      <c r="J27" s="18" t="s">
        <v>15</v>
      </c>
      <c r="K27" s="18" t="s">
        <v>15</v>
      </c>
      <c r="L27" s="18" t="s">
        <v>447</v>
      </c>
      <c r="M27" s="18"/>
      <c r="N27" s="18"/>
      <c r="O27" s="18"/>
      <c r="P27" s="18"/>
      <c r="Q27" s="19">
        <v>1</v>
      </c>
      <c r="R27" s="17">
        <f t="shared" ref="R27:R28" si="2">H27</f>
        <v>30</v>
      </c>
    </row>
    <row r="28" spans="1:18" customFormat="1" x14ac:dyDescent="0.25">
      <c r="A28" s="18"/>
      <c r="B28" s="18" t="s">
        <v>34</v>
      </c>
      <c r="C28" s="18" t="s">
        <v>528</v>
      </c>
      <c r="D28" s="18" t="s">
        <v>529</v>
      </c>
      <c r="E28" s="18" t="s">
        <v>530</v>
      </c>
      <c r="F28" s="18" t="s">
        <v>18</v>
      </c>
      <c r="G28" s="19">
        <v>0</v>
      </c>
      <c r="H28" s="19">
        <v>25</v>
      </c>
      <c r="I28" s="19">
        <f>-H28</f>
        <v>-25</v>
      </c>
      <c r="J28" s="18" t="s">
        <v>15</v>
      </c>
      <c r="K28" s="18" t="s">
        <v>15</v>
      </c>
      <c r="L28" s="18" t="s">
        <v>447</v>
      </c>
      <c r="M28" s="18"/>
      <c r="N28" s="18"/>
      <c r="O28" s="18"/>
      <c r="P28" s="18"/>
      <c r="Q28" s="19">
        <v>1</v>
      </c>
      <c r="R28" s="17">
        <f t="shared" si="2"/>
        <v>25</v>
      </c>
    </row>
    <row r="29" spans="1:18" customFormat="1" x14ac:dyDescent="0.25">
      <c r="A29" s="18"/>
      <c r="B29" s="18" t="s">
        <v>34</v>
      </c>
      <c r="C29" s="18" t="s">
        <v>543</v>
      </c>
      <c r="D29" s="18" t="s">
        <v>544</v>
      </c>
      <c r="E29" s="18" t="s">
        <v>545</v>
      </c>
      <c r="F29" s="19">
        <v>2</v>
      </c>
      <c r="G29" s="19">
        <v>820</v>
      </c>
      <c r="H29" s="19">
        <v>30</v>
      </c>
      <c r="I29" s="19">
        <f>G29-H29</f>
        <v>790</v>
      </c>
      <c r="J29" s="18" t="s">
        <v>15</v>
      </c>
      <c r="K29" s="18" t="s">
        <v>15</v>
      </c>
      <c r="L29" s="18" t="s">
        <v>447</v>
      </c>
      <c r="M29" s="18"/>
      <c r="N29" s="18"/>
      <c r="O29" s="18"/>
      <c r="P29" s="18"/>
      <c r="Q29" s="19">
        <v>1</v>
      </c>
    </row>
    <row r="30" spans="1:18" customFormat="1" x14ac:dyDescent="0.25">
      <c r="A30" s="18"/>
      <c r="B30" s="18" t="s">
        <v>34</v>
      </c>
      <c r="C30" s="18" t="s">
        <v>552</v>
      </c>
      <c r="D30" s="18" t="s">
        <v>553</v>
      </c>
      <c r="E30" s="18" t="s">
        <v>554</v>
      </c>
      <c r="F30" s="18" t="s">
        <v>18</v>
      </c>
      <c r="G30" s="19">
        <v>0</v>
      </c>
      <c r="H30" s="19">
        <v>25</v>
      </c>
      <c r="I30" s="19">
        <f>-H30</f>
        <v>-25</v>
      </c>
      <c r="J30" s="18" t="s">
        <v>15</v>
      </c>
      <c r="K30" s="18" t="s">
        <v>15</v>
      </c>
      <c r="L30" s="18" t="s">
        <v>447</v>
      </c>
      <c r="M30" s="18"/>
      <c r="N30" s="18"/>
      <c r="O30" s="18"/>
      <c r="P30" s="18"/>
      <c r="Q30" s="19">
        <v>1</v>
      </c>
      <c r="R30" s="17">
        <f>H30</f>
        <v>25</v>
      </c>
    </row>
    <row r="31" spans="1:18" customFormat="1" x14ac:dyDescent="0.25">
      <c r="A31" s="18"/>
      <c r="B31" s="18" t="s">
        <v>34</v>
      </c>
      <c r="C31" s="18" t="s">
        <v>566</v>
      </c>
      <c r="D31" s="18" t="s">
        <v>567</v>
      </c>
      <c r="E31" s="18" t="s">
        <v>568</v>
      </c>
      <c r="F31" s="19">
        <v>2</v>
      </c>
      <c r="G31" s="19">
        <v>1020</v>
      </c>
      <c r="H31" s="19">
        <v>30</v>
      </c>
      <c r="I31" s="19">
        <f>G31-H31</f>
        <v>990</v>
      </c>
      <c r="J31" s="18" t="s">
        <v>15</v>
      </c>
      <c r="K31" s="18" t="s">
        <v>15</v>
      </c>
      <c r="L31" s="18" t="s">
        <v>447</v>
      </c>
      <c r="M31" s="18"/>
      <c r="N31" s="18"/>
      <c r="O31" s="18"/>
      <c r="P31" s="18"/>
      <c r="Q31" s="19">
        <v>1</v>
      </c>
    </row>
    <row r="32" spans="1:18" customFormat="1" x14ac:dyDescent="0.25">
      <c r="A32" s="18"/>
      <c r="B32" s="18" t="s">
        <v>34</v>
      </c>
      <c r="C32" s="18" t="s">
        <v>326</v>
      </c>
      <c r="D32" s="18" t="s">
        <v>569</v>
      </c>
      <c r="E32" s="18" t="s">
        <v>570</v>
      </c>
      <c r="F32" s="19">
        <v>2</v>
      </c>
      <c r="G32" s="19">
        <v>380</v>
      </c>
      <c r="H32" s="19">
        <v>30</v>
      </c>
      <c r="I32" s="19">
        <f>G32-H32</f>
        <v>350</v>
      </c>
      <c r="J32" s="18" t="s">
        <v>15</v>
      </c>
      <c r="K32" s="18" t="s">
        <v>15</v>
      </c>
      <c r="L32" s="18" t="s">
        <v>447</v>
      </c>
      <c r="M32" s="18"/>
      <c r="N32" s="18"/>
      <c r="O32" s="18"/>
      <c r="P32" s="18"/>
      <c r="Q32" s="19">
        <v>1</v>
      </c>
    </row>
    <row r="33" spans="1:18" customFormat="1" x14ac:dyDescent="0.25">
      <c r="A33" s="18"/>
      <c r="B33" s="18" t="s">
        <v>34</v>
      </c>
      <c r="C33" s="18" t="s">
        <v>571</v>
      </c>
      <c r="D33" s="18" t="s">
        <v>572</v>
      </c>
      <c r="E33" s="18" t="s">
        <v>573</v>
      </c>
      <c r="F33" s="19">
        <v>12</v>
      </c>
      <c r="G33" s="19">
        <v>1020</v>
      </c>
      <c r="H33" s="19">
        <v>30</v>
      </c>
      <c r="I33" s="19">
        <f>G33-H33</f>
        <v>990</v>
      </c>
      <c r="J33" s="18" t="s">
        <v>15</v>
      </c>
      <c r="K33" s="18" t="s">
        <v>15</v>
      </c>
      <c r="L33" s="18" t="s">
        <v>447</v>
      </c>
      <c r="M33" s="18"/>
      <c r="N33" s="18"/>
      <c r="O33" s="18"/>
      <c r="P33" s="18"/>
      <c r="Q33" s="19">
        <v>1</v>
      </c>
    </row>
    <row r="34" spans="1:18" customFormat="1" x14ac:dyDescent="0.25">
      <c r="A34" s="18" t="s">
        <v>96</v>
      </c>
      <c r="B34" s="18" t="s">
        <v>34</v>
      </c>
      <c r="C34" s="18" t="s">
        <v>577</v>
      </c>
      <c r="D34" s="18"/>
      <c r="E34" s="18" t="s">
        <v>578</v>
      </c>
      <c r="F34" s="18" t="s">
        <v>20</v>
      </c>
      <c r="G34" s="19">
        <v>30</v>
      </c>
      <c r="H34" s="19">
        <v>30</v>
      </c>
      <c r="I34" s="19">
        <f>G34-H34</f>
        <v>0</v>
      </c>
      <c r="J34" s="18" t="s">
        <v>15</v>
      </c>
      <c r="K34" s="18" t="s">
        <v>15</v>
      </c>
      <c r="L34" s="18" t="s">
        <v>447</v>
      </c>
      <c r="M34" s="18"/>
      <c r="N34" s="18"/>
      <c r="O34" s="18"/>
      <c r="P34" s="18"/>
      <c r="Q34" s="19">
        <v>1</v>
      </c>
    </row>
    <row r="35" spans="1:18" customFormat="1" x14ac:dyDescent="0.25">
      <c r="A35" s="18" t="s">
        <v>96</v>
      </c>
      <c r="B35" s="18" t="s">
        <v>34</v>
      </c>
      <c r="C35" s="18" t="s">
        <v>581</v>
      </c>
      <c r="D35" s="18"/>
      <c r="E35" s="18" t="s">
        <v>582</v>
      </c>
      <c r="F35" s="19">
        <v>12</v>
      </c>
      <c r="G35" s="19">
        <v>0</v>
      </c>
      <c r="H35" s="19">
        <v>35</v>
      </c>
      <c r="I35" s="19">
        <f>-H35</f>
        <v>-35</v>
      </c>
      <c r="J35" s="18" t="s">
        <v>15</v>
      </c>
      <c r="K35" s="18" t="s">
        <v>15</v>
      </c>
      <c r="L35" s="18" t="s">
        <v>447</v>
      </c>
      <c r="M35" s="18"/>
      <c r="N35" s="18"/>
      <c r="O35" s="18"/>
      <c r="P35" s="18"/>
      <c r="Q35" s="19">
        <v>1</v>
      </c>
      <c r="R35" s="17">
        <f>H35</f>
        <v>35</v>
      </c>
    </row>
    <row r="36" spans="1:18" customFormat="1" x14ac:dyDescent="0.25">
      <c r="A36" s="18" t="s">
        <v>96</v>
      </c>
      <c r="B36" s="18" t="s">
        <v>34</v>
      </c>
      <c r="C36" s="18" t="s">
        <v>314</v>
      </c>
      <c r="D36" s="18"/>
      <c r="E36" s="18" t="s">
        <v>315</v>
      </c>
      <c r="F36" s="18" t="s">
        <v>20</v>
      </c>
      <c r="G36" s="19">
        <v>30</v>
      </c>
      <c r="H36" s="19">
        <v>30</v>
      </c>
      <c r="I36" s="19">
        <f t="shared" ref="I36:I52" si="3">G36-H36</f>
        <v>0</v>
      </c>
      <c r="J36" s="18" t="s">
        <v>15</v>
      </c>
      <c r="K36" s="18" t="s">
        <v>15</v>
      </c>
      <c r="L36" s="18" t="s">
        <v>447</v>
      </c>
      <c r="M36" s="18"/>
      <c r="N36" s="18"/>
      <c r="O36" s="18"/>
      <c r="P36" s="18"/>
      <c r="Q36" s="19">
        <v>1</v>
      </c>
    </row>
    <row r="37" spans="1:18" customFormat="1" x14ac:dyDescent="0.25">
      <c r="A37" s="18" t="s">
        <v>96</v>
      </c>
      <c r="B37" s="18" t="s">
        <v>34</v>
      </c>
      <c r="C37" s="18" t="s">
        <v>586</v>
      </c>
      <c r="D37" s="18"/>
      <c r="E37" s="18" t="s">
        <v>587</v>
      </c>
      <c r="F37" s="18" t="s">
        <v>144</v>
      </c>
      <c r="G37" s="19">
        <v>1015</v>
      </c>
      <c r="H37" s="19">
        <v>35</v>
      </c>
      <c r="I37" s="19">
        <f t="shared" si="3"/>
        <v>980</v>
      </c>
      <c r="J37" s="18" t="s">
        <v>15</v>
      </c>
      <c r="K37" s="18" t="s">
        <v>15</v>
      </c>
      <c r="L37" s="18" t="s">
        <v>447</v>
      </c>
      <c r="M37" s="18"/>
      <c r="N37" s="18"/>
      <c r="O37" s="18"/>
      <c r="P37" s="18"/>
      <c r="Q37" s="19">
        <v>1</v>
      </c>
    </row>
    <row r="38" spans="1:18" customFormat="1" x14ac:dyDescent="0.25">
      <c r="A38" s="18"/>
      <c r="B38" s="18" t="s">
        <v>34</v>
      </c>
      <c r="C38" s="18" t="s">
        <v>470</v>
      </c>
      <c r="D38" s="18" t="s">
        <v>471</v>
      </c>
      <c r="E38" s="18" t="s">
        <v>472</v>
      </c>
      <c r="F38" s="19">
        <v>10</v>
      </c>
      <c r="G38" s="19">
        <v>1505</v>
      </c>
      <c r="H38" s="19">
        <v>25</v>
      </c>
      <c r="I38" s="19">
        <f t="shared" si="3"/>
        <v>1480</v>
      </c>
      <c r="J38" s="18" t="s">
        <v>160</v>
      </c>
      <c r="K38" s="18" t="s">
        <v>15</v>
      </c>
      <c r="L38" s="18" t="s">
        <v>447</v>
      </c>
      <c r="M38" s="18"/>
      <c r="N38" s="18"/>
      <c r="O38" s="18"/>
      <c r="P38" s="18"/>
      <c r="Q38" s="19">
        <v>1</v>
      </c>
    </row>
    <row r="39" spans="1:18" customFormat="1" x14ac:dyDescent="0.25">
      <c r="A39" s="18"/>
      <c r="B39" s="18" t="s">
        <v>34</v>
      </c>
      <c r="C39" s="18" t="s">
        <v>473</v>
      </c>
      <c r="D39" s="18" t="s">
        <v>474</v>
      </c>
      <c r="E39" s="18" t="s">
        <v>475</v>
      </c>
      <c r="F39" s="19">
        <v>4</v>
      </c>
      <c r="G39" s="19">
        <v>815</v>
      </c>
      <c r="H39" s="19">
        <v>25</v>
      </c>
      <c r="I39" s="19">
        <f t="shared" si="3"/>
        <v>790</v>
      </c>
      <c r="J39" s="18" t="s">
        <v>160</v>
      </c>
      <c r="K39" s="18" t="s">
        <v>15</v>
      </c>
      <c r="L39" s="18" t="s">
        <v>447</v>
      </c>
      <c r="M39" s="18"/>
      <c r="N39" s="18"/>
      <c r="O39" s="18"/>
      <c r="P39" s="18"/>
      <c r="Q39" s="19">
        <v>1</v>
      </c>
    </row>
    <row r="40" spans="1:18" customFormat="1" x14ac:dyDescent="0.25">
      <c r="A40" s="18"/>
      <c r="B40" s="18" t="s">
        <v>34</v>
      </c>
      <c r="C40" s="18" t="s">
        <v>489</v>
      </c>
      <c r="D40" s="18" t="s">
        <v>490</v>
      </c>
      <c r="E40" s="18" t="s">
        <v>491</v>
      </c>
      <c r="F40" s="19">
        <v>8</v>
      </c>
      <c r="G40" s="19">
        <v>820</v>
      </c>
      <c r="H40" s="19">
        <v>30</v>
      </c>
      <c r="I40" s="19">
        <f t="shared" si="3"/>
        <v>790</v>
      </c>
      <c r="J40" s="18" t="s">
        <v>160</v>
      </c>
      <c r="K40" s="18" t="s">
        <v>15</v>
      </c>
      <c r="L40" s="18" t="s">
        <v>447</v>
      </c>
      <c r="M40" s="18"/>
      <c r="N40" s="18"/>
      <c r="O40" s="18"/>
      <c r="P40" s="18"/>
      <c r="Q40" s="19">
        <v>1</v>
      </c>
    </row>
    <row r="41" spans="1:18" customFormat="1" x14ac:dyDescent="0.25">
      <c r="A41" s="18"/>
      <c r="B41" s="18" t="s">
        <v>34</v>
      </c>
      <c r="C41" s="18" t="s">
        <v>492</v>
      </c>
      <c r="D41" s="18" t="s">
        <v>493</v>
      </c>
      <c r="E41" s="18" t="s">
        <v>494</v>
      </c>
      <c r="F41" s="18" t="s">
        <v>18</v>
      </c>
      <c r="G41" s="19">
        <v>845</v>
      </c>
      <c r="H41" s="19">
        <v>25</v>
      </c>
      <c r="I41" s="19">
        <f t="shared" si="3"/>
        <v>820</v>
      </c>
      <c r="J41" s="18" t="s">
        <v>160</v>
      </c>
      <c r="K41" s="18" t="s">
        <v>15</v>
      </c>
      <c r="L41" s="18" t="s">
        <v>447</v>
      </c>
      <c r="M41" s="18"/>
      <c r="N41" s="18"/>
      <c r="O41" s="18"/>
      <c r="P41" s="18"/>
      <c r="Q41" s="19">
        <v>1</v>
      </c>
    </row>
    <row r="42" spans="1:18" customFormat="1" x14ac:dyDescent="0.25">
      <c r="A42" s="18"/>
      <c r="B42" s="18" t="s">
        <v>34</v>
      </c>
      <c r="C42" s="18" t="s">
        <v>501</v>
      </c>
      <c r="D42" s="18" t="s">
        <v>502</v>
      </c>
      <c r="E42" s="18" t="s">
        <v>503</v>
      </c>
      <c r="F42" s="19">
        <v>4</v>
      </c>
      <c r="G42" s="19">
        <v>735</v>
      </c>
      <c r="H42" s="19">
        <v>25</v>
      </c>
      <c r="I42" s="19">
        <f t="shared" si="3"/>
        <v>710</v>
      </c>
      <c r="J42" s="18" t="s">
        <v>160</v>
      </c>
      <c r="K42" s="18" t="s">
        <v>15</v>
      </c>
      <c r="L42" s="18" t="s">
        <v>447</v>
      </c>
      <c r="M42" s="18"/>
      <c r="N42" s="18"/>
      <c r="O42" s="18"/>
      <c r="P42" s="18"/>
      <c r="Q42" s="19">
        <v>1</v>
      </c>
    </row>
    <row r="43" spans="1:18" s="22" customFormat="1" x14ac:dyDescent="0.25">
      <c r="A43" s="20"/>
      <c r="B43" s="20" t="s">
        <v>34</v>
      </c>
      <c r="C43" s="20" t="s">
        <v>504</v>
      </c>
      <c r="D43" s="20" t="s">
        <v>505</v>
      </c>
      <c r="E43" s="20" t="s">
        <v>506</v>
      </c>
      <c r="F43" s="21">
        <v>4</v>
      </c>
      <c r="G43" s="21">
        <v>75</v>
      </c>
      <c r="H43" s="21">
        <v>25</v>
      </c>
      <c r="I43" s="21">
        <f t="shared" si="3"/>
        <v>50</v>
      </c>
      <c r="J43" s="20" t="s">
        <v>160</v>
      </c>
      <c r="K43" s="20" t="s">
        <v>15</v>
      </c>
      <c r="L43" s="20" t="s">
        <v>447</v>
      </c>
      <c r="M43" s="20" t="s">
        <v>16</v>
      </c>
      <c r="N43" s="20"/>
      <c r="O43" s="20"/>
      <c r="P43" s="20"/>
      <c r="Q43" s="21">
        <v>1</v>
      </c>
    </row>
    <row r="44" spans="1:18" customFormat="1" x14ac:dyDescent="0.25">
      <c r="A44" s="18"/>
      <c r="B44" s="18" t="s">
        <v>34</v>
      </c>
      <c r="C44" s="18" t="s">
        <v>507</v>
      </c>
      <c r="D44" s="18" t="s">
        <v>508</v>
      </c>
      <c r="E44" s="18" t="s">
        <v>509</v>
      </c>
      <c r="F44" s="19">
        <v>4</v>
      </c>
      <c r="G44" s="19">
        <v>715</v>
      </c>
      <c r="H44" s="19">
        <v>25</v>
      </c>
      <c r="I44" s="19">
        <f t="shared" si="3"/>
        <v>690</v>
      </c>
      <c r="J44" s="18" t="s">
        <v>160</v>
      </c>
      <c r="K44" s="18" t="s">
        <v>15</v>
      </c>
      <c r="L44" s="18" t="s">
        <v>447</v>
      </c>
      <c r="M44" s="18"/>
      <c r="N44" s="18"/>
      <c r="O44" s="18"/>
      <c r="P44" s="18"/>
      <c r="Q44" s="19">
        <v>1</v>
      </c>
    </row>
    <row r="45" spans="1:18" customFormat="1" x14ac:dyDescent="0.25">
      <c r="A45" s="18"/>
      <c r="B45" s="18" t="s">
        <v>34</v>
      </c>
      <c r="C45" s="18" t="s">
        <v>513</v>
      </c>
      <c r="D45" s="18" t="s">
        <v>514</v>
      </c>
      <c r="E45" s="18" t="s">
        <v>515</v>
      </c>
      <c r="F45" s="19">
        <v>5</v>
      </c>
      <c r="G45" s="19">
        <v>685</v>
      </c>
      <c r="H45" s="19">
        <v>25</v>
      </c>
      <c r="I45" s="19">
        <f t="shared" si="3"/>
        <v>660</v>
      </c>
      <c r="J45" s="18" t="s">
        <v>160</v>
      </c>
      <c r="K45" s="18" t="s">
        <v>15</v>
      </c>
      <c r="L45" s="18" t="s">
        <v>447</v>
      </c>
      <c r="M45" s="18"/>
      <c r="N45" s="18"/>
      <c r="O45" s="18"/>
      <c r="P45" s="18"/>
      <c r="Q45" s="19">
        <v>1</v>
      </c>
    </row>
    <row r="46" spans="1:18" customFormat="1" x14ac:dyDescent="0.25">
      <c r="A46" s="18"/>
      <c r="B46" s="18" t="s">
        <v>34</v>
      </c>
      <c r="C46" s="18" t="s">
        <v>519</v>
      </c>
      <c r="D46" s="18" t="s">
        <v>520</v>
      </c>
      <c r="E46" s="18" t="s">
        <v>521</v>
      </c>
      <c r="F46" s="19">
        <v>5</v>
      </c>
      <c r="G46" s="19">
        <v>1185</v>
      </c>
      <c r="H46" s="19">
        <v>25</v>
      </c>
      <c r="I46" s="19">
        <f t="shared" si="3"/>
        <v>1160</v>
      </c>
      <c r="J46" s="18" t="s">
        <v>160</v>
      </c>
      <c r="K46" s="18" t="s">
        <v>15</v>
      </c>
      <c r="L46" s="18" t="s">
        <v>447</v>
      </c>
      <c r="M46" s="18"/>
      <c r="N46" s="18"/>
      <c r="O46" s="18"/>
      <c r="P46" s="18"/>
      <c r="Q46" s="19">
        <v>1</v>
      </c>
    </row>
    <row r="47" spans="1:18" customFormat="1" x14ac:dyDescent="0.25">
      <c r="A47" s="18"/>
      <c r="B47" s="18" t="s">
        <v>34</v>
      </c>
      <c r="C47" s="18" t="s">
        <v>522</v>
      </c>
      <c r="D47" s="18" t="s">
        <v>523</v>
      </c>
      <c r="E47" s="18" t="s">
        <v>524</v>
      </c>
      <c r="F47" s="19">
        <v>1</v>
      </c>
      <c r="G47" s="19">
        <v>745</v>
      </c>
      <c r="H47" s="19">
        <v>25</v>
      </c>
      <c r="I47" s="19">
        <f t="shared" si="3"/>
        <v>720</v>
      </c>
      <c r="J47" s="18" t="s">
        <v>160</v>
      </c>
      <c r="K47" s="18" t="s">
        <v>15</v>
      </c>
      <c r="L47" s="18" t="s">
        <v>447</v>
      </c>
      <c r="M47" s="18"/>
      <c r="N47" s="18"/>
      <c r="O47" s="18"/>
      <c r="P47" s="18"/>
      <c r="Q47" s="19">
        <v>1</v>
      </c>
    </row>
    <row r="48" spans="1:18" customFormat="1" x14ac:dyDescent="0.25">
      <c r="A48" s="18"/>
      <c r="B48" s="18" t="s">
        <v>34</v>
      </c>
      <c r="C48" s="18" t="s">
        <v>525</v>
      </c>
      <c r="D48" s="18" t="s">
        <v>526</v>
      </c>
      <c r="E48" s="18" t="s">
        <v>527</v>
      </c>
      <c r="F48" s="19">
        <v>10</v>
      </c>
      <c r="G48" s="19">
        <v>1255</v>
      </c>
      <c r="H48" s="19">
        <v>25</v>
      </c>
      <c r="I48" s="19">
        <f t="shared" si="3"/>
        <v>1230</v>
      </c>
      <c r="J48" s="18" t="s">
        <v>160</v>
      </c>
      <c r="K48" s="18" t="s">
        <v>15</v>
      </c>
      <c r="L48" s="18" t="s">
        <v>447</v>
      </c>
      <c r="M48" s="18"/>
      <c r="N48" s="18"/>
      <c r="O48" s="18"/>
      <c r="P48" s="18"/>
      <c r="Q48" s="19">
        <v>1</v>
      </c>
    </row>
    <row r="49" spans="1:18" customFormat="1" x14ac:dyDescent="0.25">
      <c r="A49" s="18"/>
      <c r="B49" s="18" t="s">
        <v>34</v>
      </c>
      <c r="C49" s="18" t="s">
        <v>531</v>
      </c>
      <c r="D49" s="18" t="s">
        <v>532</v>
      </c>
      <c r="E49" s="18" t="s">
        <v>533</v>
      </c>
      <c r="F49" s="18" t="s">
        <v>17</v>
      </c>
      <c r="G49" s="19">
        <v>370</v>
      </c>
      <c r="H49" s="19">
        <v>20</v>
      </c>
      <c r="I49" s="19">
        <f t="shared" si="3"/>
        <v>350</v>
      </c>
      <c r="J49" s="18" t="s">
        <v>160</v>
      </c>
      <c r="K49" s="18" t="s">
        <v>15</v>
      </c>
      <c r="L49" s="18" t="s">
        <v>447</v>
      </c>
      <c r="M49" s="18"/>
      <c r="N49" s="18"/>
      <c r="O49" s="18"/>
      <c r="P49" s="18"/>
      <c r="Q49" s="19">
        <v>1</v>
      </c>
    </row>
    <row r="50" spans="1:18" customFormat="1" x14ac:dyDescent="0.25">
      <c r="A50" s="18"/>
      <c r="B50" s="18" t="s">
        <v>34</v>
      </c>
      <c r="C50" s="18" t="s">
        <v>534</v>
      </c>
      <c r="D50" s="18" t="s">
        <v>535</v>
      </c>
      <c r="E50" s="18" t="s">
        <v>536</v>
      </c>
      <c r="F50" s="19">
        <v>1</v>
      </c>
      <c r="G50" s="19">
        <v>915</v>
      </c>
      <c r="H50" s="19">
        <v>25</v>
      </c>
      <c r="I50" s="19">
        <f t="shared" si="3"/>
        <v>890</v>
      </c>
      <c r="J50" s="18" t="s">
        <v>160</v>
      </c>
      <c r="K50" s="18" t="s">
        <v>15</v>
      </c>
      <c r="L50" s="18" t="s">
        <v>447</v>
      </c>
      <c r="M50" s="18"/>
      <c r="N50" s="18"/>
      <c r="O50" s="18"/>
      <c r="P50" s="18"/>
      <c r="Q50" s="19">
        <v>1</v>
      </c>
    </row>
    <row r="51" spans="1:18" customFormat="1" x14ac:dyDescent="0.25">
      <c r="A51" s="18"/>
      <c r="B51" s="18" t="s">
        <v>34</v>
      </c>
      <c r="C51" s="18" t="s">
        <v>537</v>
      </c>
      <c r="D51" s="18" t="s">
        <v>538</v>
      </c>
      <c r="E51" s="18" t="s">
        <v>539</v>
      </c>
      <c r="F51" s="19">
        <v>1</v>
      </c>
      <c r="G51" s="19">
        <v>1635</v>
      </c>
      <c r="H51" s="19">
        <v>25</v>
      </c>
      <c r="I51" s="19">
        <f t="shared" si="3"/>
        <v>1610</v>
      </c>
      <c r="J51" s="18" t="s">
        <v>160</v>
      </c>
      <c r="K51" s="18" t="s">
        <v>15</v>
      </c>
      <c r="L51" s="18" t="s">
        <v>447</v>
      </c>
      <c r="M51" s="18"/>
      <c r="N51" s="18"/>
      <c r="O51" s="18"/>
      <c r="P51" s="18"/>
      <c r="Q51" s="19">
        <v>1</v>
      </c>
    </row>
    <row r="52" spans="1:18" customFormat="1" x14ac:dyDescent="0.25">
      <c r="A52" s="18"/>
      <c r="B52" s="18" t="s">
        <v>34</v>
      </c>
      <c r="C52" s="18" t="s">
        <v>546</v>
      </c>
      <c r="D52" s="18" t="s">
        <v>547</v>
      </c>
      <c r="E52" s="18" t="s">
        <v>548</v>
      </c>
      <c r="F52" s="19">
        <v>10</v>
      </c>
      <c r="G52" s="19">
        <v>465</v>
      </c>
      <c r="H52" s="19">
        <v>25</v>
      </c>
      <c r="I52" s="19">
        <f t="shared" si="3"/>
        <v>440</v>
      </c>
      <c r="J52" s="18" t="s">
        <v>160</v>
      </c>
      <c r="K52" s="18" t="s">
        <v>15</v>
      </c>
      <c r="L52" s="18" t="s">
        <v>447</v>
      </c>
      <c r="M52" s="18"/>
      <c r="N52" s="18"/>
      <c r="O52" s="18"/>
      <c r="P52" s="18"/>
      <c r="Q52" s="19">
        <v>1</v>
      </c>
    </row>
    <row r="53" spans="1:18" customFormat="1" x14ac:dyDescent="0.25">
      <c r="A53" s="18"/>
      <c r="B53" s="18" t="s">
        <v>34</v>
      </c>
      <c r="C53" s="18" t="s">
        <v>555</v>
      </c>
      <c r="D53" s="18" t="s">
        <v>556</v>
      </c>
      <c r="E53" s="18" t="s">
        <v>557</v>
      </c>
      <c r="F53" s="19">
        <v>4</v>
      </c>
      <c r="G53" s="19">
        <v>0</v>
      </c>
      <c r="H53" s="19">
        <v>25</v>
      </c>
      <c r="I53" s="19">
        <f>-H53</f>
        <v>-25</v>
      </c>
      <c r="J53" s="18" t="s">
        <v>160</v>
      </c>
      <c r="K53" s="18" t="s">
        <v>15</v>
      </c>
      <c r="L53" s="18" t="s">
        <v>447</v>
      </c>
      <c r="M53" s="18"/>
      <c r="N53" s="18"/>
      <c r="O53" s="18"/>
      <c r="P53" s="18"/>
      <c r="Q53" s="19">
        <v>1</v>
      </c>
      <c r="R53" s="17">
        <f>H53</f>
        <v>25</v>
      </c>
    </row>
    <row r="54" spans="1:18" customFormat="1" x14ac:dyDescent="0.25">
      <c r="A54" s="18" t="s">
        <v>96</v>
      </c>
      <c r="B54" s="18" t="s">
        <v>34</v>
      </c>
      <c r="C54" s="18" t="s">
        <v>579</v>
      </c>
      <c r="D54" s="18"/>
      <c r="E54" s="18" t="s">
        <v>580</v>
      </c>
      <c r="F54" s="19">
        <v>4</v>
      </c>
      <c r="G54" s="19">
        <v>30</v>
      </c>
      <c r="H54" s="19">
        <v>30</v>
      </c>
      <c r="I54" s="19">
        <f>G54-H54</f>
        <v>0</v>
      </c>
      <c r="J54" s="18" t="s">
        <v>160</v>
      </c>
      <c r="K54" s="18" t="s">
        <v>15</v>
      </c>
      <c r="L54" s="18" t="s">
        <v>447</v>
      </c>
      <c r="M54" s="18"/>
      <c r="N54" s="18"/>
      <c r="O54" s="18"/>
      <c r="P54" s="18"/>
      <c r="Q54" s="19">
        <v>1</v>
      </c>
    </row>
    <row r="56" spans="1:18" x14ac:dyDescent="0.25">
      <c r="G56" s="1">
        <f t="shared" ref="G56:R56" si="4">SUBTOTAL(9,G3:G55)</f>
        <v>34965</v>
      </c>
      <c r="H56" s="1">
        <f t="shared" si="4"/>
        <v>1455</v>
      </c>
      <c r="I56" s="1">
        <f t="shared" si="4"/>
        <v>33510</v>
      </c>
      <c r="J56" s="1">
        <f t="shared" si="4"/>
        <v>0</v>
      </c>
      <c r="K56" s="1">
        <f t="shared" si="4"/>
        <v>0</v>
      </c>
      <c r="L56" s="1">
        <f t="shared" si="4"/>
        <v>0</v>
      </c>
      <c r="M56" s="1">
        <f t="shared" si="4"/>
        <v>0</v>
      </c>
      <c r="N56" s="1">
        <f t="shared" si="4"/>
        <v>0</v>
      </c>
      <c r="O56" s="1">
        <f t="shared" si="4"/>
        <v>0</v>
      </c>
      <c r="P56" s="1">
        <f t="shared" si="4"/>
        <v>0</v>
      </c>
      <c r="Q56" s="1">
        <f t="shared" si="4"/>
        <v>52</v>
      </c>
      <c r="R56" s="1">
        <f t="shared" si="4"/>
        <v>250</v>
      </c>
    </row>
    <row r="57" spans="1:18" x14ac:dyDescent="0.25">
      <c r="I57" s="1">
        <v>-860</v>
      </c>
      <c r="J57" s="1" t="s">
        <v>588</v>
      </c>
    </row>
    <row r="60" spans="1:18" ht="20.25" customHeight="1" x14ac:dyDescent="0.3">
      <c r="H60" s="4" t="s">
        <v>441</v>
      </c>
      <c r="I60" s="5" t="s">
        <v>21</v>
      </c>
      <c r="J60" s="6" t="s">
        <v>22</v>
      </c>
    </row>
    <row r="61" spans="1:18" ht="15.75" customHeight="1" x14ac:dyDescent="0.25">
      <c r="H61" s="7" t="s">
        <v>23</v>
      </c>
      <c r="I61" s="8">
        <f>SUM(I55:I59)</f>
        <v>32650</v>
      </c>
      <c r="J61" s="8">
        <f>Q56</f>
        <v>52</v>
      </c>
    </row>
    <row r="62" spans="1:18" x14ac:dyDescent="0.25">
      <c r="H62" s="9" t="s">
        <v>24</v>
      </c>
      <c r="I62" s="10">
        <f>R56</f>
        <v>250</v>
      </c>
      <c r="J62" s="11"/>
    </row>
    <row r="63" spans="1:18" x14ac:dyDescent="0.25">
      <c r="H63" s="9" t="s">
        <v>25</v>
      </c>
      <c r="I63" s="10">
        <f>S55</f>
        <v>0</v>
      </c>
      <c r="J63" s="11"/>
    </row>
    <row r="64" spans="1:18" x14ac:dyDescent="0.25">
      <c r="H64" s="9" t="s">
        <v>26</v>
      </c>
      <c r="I64" s="10">
        <f>T55</f>
        <v>0</v>
      </c>
      <c r="J64" s="11"/>
    </row>
    <row r="65" spans="8:10" x14ac:dyDescent="0.25">
      <c r="H65" s="9" t="s">
        <v>27</v>
      </c>
      <c r="I65" s="10">
        <f>U55</f>
        <v>0</v>
      </c>
      <c r="J65" s="11"/>
    </row>
    <row r="66" spans="8:10" ht="15.75" customHeight="1" x14ac:dyDescent="0.25">
      <c r="H66" s="12" t="s">
        <v>28</v>
      </c>
      <c r="I66" s="13"/>
      <c r="J66" s="13"/>
    </row>
    <row r="67" spans="8:10" ht="15.75" customHeight="1" x14ac:dyDescent="0.25">
      <c r="H67" s="14" t="s">
        <v>29</v>
      </c>
      <c r="I67" s="13"/>
      <c r="J67" s="13"/>
    </row>
    <row r="68" spans="8:10" ht="21" customHeight="1" x14ac:dyDescent="0.35">
      <c r="H68" s="15" t="s">
        <v>30</v>
      </c>
      <c r="I68" s="16">
        <f>SUM(I61:I67)</f>
        <v>32900</v>
      </c>
      <c r="J68" s="16">
        <f>SUM(J61:J65)</f>
        <v>52</v>
      </c>
    </row>
  </sheetData>
  <autoFilter ref="A2:P54" xr:uid="{00000000-0009-0000-0000-000006000000}">
    <sortState xmlns:xlrd2="http://schemas.microsoft.com/office/spreadsheetml/2017/richdata2" ref="A3:P54">
      <sortCondition ref="J2:J54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89614-9040-44FF-A0BC-959B92F97DFE}">
  <dimension ref="A1:R48"/>
  <sheetViews>
    <sheetView topLeftCell="A19" workbookViewId="0">
      <selection activeCell="E40" sqref="E40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591</v>
      </c>
      <c r="C1" s="1" t="s">
        <v>592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594</v>
      </c>
      <c r="D3" s="18" t="s">
        <v>595</v>
      </c>
      <c r="E3" s="18" t="s">
        <v>596</v>
      </c>
      <c r="F3" s="18" t="s">
        <v>212</v>
      </c>
      <c r="G3" s="19">
        <v>1035</v>
      </c>
      <c r="H3" s="19">
        <v>25</v>
      </c>
      <c r="I3" s="19">
        <f t="shared" ref="I3:I15" si="0">G3-H3</f>
        <v>1010</v>
      </c>
      <c r="J3" s="18" t="s">
        <v>597</v>
      </c>
      <c r="K3" s="18" t="s">
        <v>15</v>
      </c>
      <c r="L3" s="18" t="s">
        <v>598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599</v>
      </c>
      <c r="D4" s="18" t="s">
        <v>600</v>
      </c>
      <c r="E4" s="18" t="s">
        <v>601</v>
      </c>
      <c r="F4" s="18" t="s">
        <v>38</v>
      </c>
      <c r="G4" s="19">
        <v>820</v>
      </c>
      <c r="H4" s="19">
        <v>30</v>
      </c>
      <c r="I4" s="19">
        <f t="shared" si="0"/>
        <v>790</v>
      </c>
      <c r="J4" s="18" t="s">
        <v>597</v>
      </c>
      <c r="K4" s="18" t="s">
        <v>15</v>
      </c>
      <c r="L4" s="18" t="s">
        <v>598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602</v>
      </c>
      <c r="D5" s="18" t="s">
        <v>603</v>
      </c>
      <c r="E5" s="18" t="s">
        <v>604</v>
      </c>
      <c r="F5" s="19">
        <v>7</v>
      </c>
      <c r="G5" s="19">
        <v>780</v>
      </c>
      <c r="H5" s="19">
        <v>30</v>
      </c>
      <c r="I5" s="19">
        <f t="shared" si="0"/>
        <v>750</v>
      </c>
      <c r="J5" s="18" t="s">
        <v>597</v>
      </c>
      <c r="K5" s="18" t="s">
        <v>15</v>
      </c>
      <c r="L5" s="18" t="s">
        <v>598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605</v>
      </c>
      <c r="D6" s="18" t="s">
        <v>606</v>
      </c>
      <c r="E6" s="18" t="s">
        <v>607</v>
      </c>
      <c r="F6" s="18" t="s">
        <v>38</v>
      </c>
      <c r="G6" s="19">
        <v>2500</v>
      </c>
      <c r="H6" s="19">
        <v>35</v>
      </c>
      <c r="I6" s="19">
        <f t="shared" si="0"/>
        <v>2465</v>
      </c>
      <c r="J6" s="18" t="s">
        <v>597</v>
      </c>
      <c r="K6" s="18" t="s">
        <v>15</v>
      </c>
      <c r="L6" s="18" t="s">
        <v>598</v>
      </c>
      <c r="M6" s="27" t="s">
        <v>377</v>
      </c>
      <c r="N6" s="18"/>
      <c r="O6" s="18"/>
      <c r="P6" s="18"/>
      <c r="Q6" s="18">
        <v>1</v>
      </c>
      <c r="R6" s="17">
        <f>H6</f>
        <v>35</v>
      </c>
    </row>
    <row r="7" spans="1:18" customFormat="1" x14ac:dyDescent="0.25">
      <c r="A7" s="18"/>
      <c r="B7" s="18" t="s">
        <v>34</v>
      </c>
      <c r="C7" s="18" t="s">
        <v>608</v>
      </c>
      <c r="D7" s="18" t="s">
        <v>609</v>
      </c>
      <c r="E7" s="18" t="s">
        <v>610</v>
      </c>
      <c r="F7" s="19">
        <v>6</v>
      </c>
      <c r="G7" s="19">
        <v>845</v>
      </c>
      <c r="H7" s="19">
        <v>25</v>
      </c>
      <c r="I7" s="19">
        <f t="shared" si="0"/>
        <v>820</v>
      </c>
      <c r="J7" s="18" t="s">
        <v>597</v>
      </c>
      <c r="K7" s="18" t="s">
        <v>15</v>
      </c>
      <c r="L7" s="18" t="s">
        <v>598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611</v>
      </c>
      <c r="D8" s="18" t="s">
        <v>612</v>
      </c>
      <c r="E8" s="18" t="s">
        <v>613</v>
      </c>
      <c r="F8" s="19">
        <v>8</v>
      </c>
      <c r="G8" s="19">
        <v>620</v>
      </c>
      <c r="H8" s="19">
        <v>30</v>
      </c>
      <c r="I8" s="19">
        <f t="shared" si="0"/>
        <v>590</v>
      </c>
      <c r="J8" s="18" t="s">
        <v>597</v>
      </c>
      <c r="K8" s="18" t="s">
        <v>15</v>
      </c>
      <c r="L8" s="18" t="s">
        <v>598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41</v>
      </c>
      <c r="D9" s="18" t="s">
        <v>614</v>
      </c>
      <c r="E9" s="18" t="s">
        <v>43</v>
      </c>
      <c r="F9" s="19">
        <v>7</v>
      </c>
      <c r="G9" s="19">
        <v>820</v>
      </c>
      <c r="H9" s="19">
        <v>30</v>
      </c>
      <c r="I9" s="19">
        <f t="shared" si="0"/>
        <v>790</v>
      </c>
      <c r="J9" s="18" t="s">
        <v>597</v>
      </c>
      <c r="K9" s="18" t="s">
        <v>15</v>
      </c>
      <c r="L9" s="18" t="s">
        <v>598</v>
      </c>
      <c r="M9" s="18"/>
      <c r="N9" s="18"/>
      <c r="O9" s="18"/>
      <c r="P9" s="18"/>
      <c r="Q9" s="18">
        <v>1</v>
      </c>
    </row>
    <row r="10" spans="1:18" customFormat="1" x14ac:dyDescent="0.25">
      <c r="A10" s="18" t="s">
        <v>96</v>
      </c>
      <c r="B10" s="18" t="s">
        <v>34</v>
      </c>
      <c r="C10" s="18" t="s">
        <v>615</v>
      </c>
      <c r="D10" s="18"/>
      <c r="E10" s="18" t="s">
        <v>616</v>
      </c>
      <c r="F10" s="19">
        <v>6</v>
      </c>
      <c r="G10" s="19">
        <v>1110</v>
      </c>
      <c r="H10" s="19">
        <v>30</v>
      </c>
      <c r="I10" s="19">
        <f t="shared" si="0"/>
        <v>1080</v>
      </c>
      <c r="J10" s="18" t="s">
        <v>597</v>
      </c>
      <c r="K10" s="18" t="s">
        <v>15</v>
      </c>
      <c r="L10" s="18" t="s">
        <v>598</v>
      </c>
      <c r="M10" s="18"/>
      <c r="N10" s="18"/>
      <c r="O10" s="18"/>
      <c r="P10" s="18"/>
      <c r="Q10" s="18">
        <v>1</v>
      </c>
    </row>
    <row r="11" spans="1:18" customFormat="1" x14ac:dyDescent="0.25">
      <c r="A11" s="18" t="s">
        <v>96</v>
      </c>
      <c r="B11" s="18" t="s">
        <v>34</v>
      </c>
      <c r="C11" s="18" t="s">
        <v>617</v>
      </c>
      <c r="D11" s="18"/>
      <c r="E11" s="18" t="s">
        <v>618</v>
      </c>
      <c r="F11" s="18" t="s">
        <v>254</v>
      </c>
      <c r="G11" s="19">
        <v>45</v>
      </c>
      <c r="H11" s="19">
        <v>45</v>
      </c>
      <c r="I11" s="19">
        <f t="shared" si="0"/>
        <v>0</v>
      </c>
      <c r="J11" s="18" t="s">
        <v>597</v>
      </c>
      <c r="K11" s="18" t="s">
        <v>15</v>
      </c>
      <c r="L11" s="18" t="s">
        <v>598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619</v>
      </c>
      <c r="D12" s="18" t="s">
        <v>620</v>
      </c>
      <c r="E12" s="18" t="s">
        <v>621</v>
      </c>
      <c r="F12" s="19">
        <v>2</v>
      </c>
      <c r="G12" s="19">
        <v>850</v>
      </c>
      <c r="H12" s="19">
        <v>30</v>
      </c>
      <c r="I12" s="19">
        <f t="shared" si="0"/>
        <v>820</v>
      </c>
      <c r="J12" s="18" t="s">
        <v>15</v>
      </c>
      <c r="K12" s="18" t="s">
        <v>15</v>
      </c>
      <c r="L12" s="18" t="s">
        <v>598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622</v>
      </c>
      <c r="D13" s="18" t="s">
        <v>623</v>
      </c>
      <c r="E13" s="18" t="s">
        <v>624</v>
      </c>
      <c r="F13" s="18" t="s">
        <v>144</v>
      </c>
      <c r="G13" s="19">
        <v>1840</v>
      </c>
      <c r="H13" s="19">
        <v>30</v>
      </c>
      <c r="I13" s="19">
        <f t="shared" si="0"/>
        <v>1810</v>
      </c>
      <c r="J13" s="18" t="s">
        <v>15</v>
      </c>
      <c r="K13" s="18" t="s">
        <v>15</v>
      </c>
      <c r="L13" s="18" t="s">
        <v>598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625</v>
      </c>
      <c r="D14" s="18" t="s">
        <v>626</v>
      </c>
      <c r="E14" s="18" t="s">
        <v>627</v>
      </c>
      <c r="F14" s="18" t="s">
        <v>19</v>
      </c>
      <c r="G14" s="19">
        <v>815</v>
      </c>
      <c r="H14" s="19">
        <v>25</v>
      </c>
      <c r="I14" s="19">
        <f t="shared" si="0"/>
        <v>790</v>
      </c>
      <c r="J14" s="18" t="s">
        <v>15</v>
      </c>
      <c r="K14" s="18" t="s">
        <v>15</v>
      </c>
      <c r="L14" s="18" t="s">
        <v>598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628</v>
      </c>
      <c r="D15" s="18" t="s">
        <v>629</v>
      </c>
      <c r="E15" s="18" t="s">
        <v>630</v>
      </c>
      <c r="F15" s="18" t="s">
        <v>20</v>
      </c>
      <c r="G15" s="19">
        <v>815</v>
      </c>
      <c r="H15" s="19">
        <v>25</v>
      </c>
      <c r="I15" s="19">
        <f t="shared" si="0"/>
        <v>790</v>
      </c>
      <c r="J15" s="18" t="s">
        <v>15</v>
      </c>
      <c r="K15" s="18" t="s">
        <v>15</v>
      </c>
      <c r="L15" s="18" t="s">
        <v>598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631</v>
      </c>
      <c r="D16" s="18" t="s">
        <v>632</v>
      </c>
      <c r="E16" s="18" t="s">
        <v>633</v>
      </c>
      <c r="F16" s="19">
        <v>12</v>
      </c>
      <c r="G16" s="19">
        <v>0</v>
      </c>
      <c r="H16" s="19">
        <v>30</v>
      </c>
      <c r="I16" s="19">
        <f>-H16</f>
        <v>-30</v>
      </c>
      <c r="J16" s="18" t="s">
        <v>15</v>
      </c>
      <c r="K16" s="18" t="s">
        <v>15</v>
      </c>
      <c r="L16" s="18" t="s">
        <v>598</v>
      </c>
      <c r="M16" s="18"/>
      <c r="N16" s="18"/>
      <c r="O16" s="18"/>
      <c r="P16" s="18"/>
      <c r="Q16" s="18">
        <v>1</v>
      </c>
      <c r="R16" s="17">
        <f>H16</f>
        <v>30</v>
      </c>
    </row>
    <row r="17" spans="1:18" customFormat="1" x14ac:dyDescent="0.25">
      <c r="A17" s="18"/>
      <c r="B17" s="18" t="s">
        <v>34</v>
      </c>
      <c r="C17" s="18" t="s">
        <v>634</v>
      </c>
      <c r="D17" s="18" t="s">
        <v>635</v>
      </c>
      <c r="E17" s="18" t="s">
        <v>636</v>
      </c>
      <c r="F17" s="18" t="s">
        <v>144</v>
      </c>
      <c r="G17" s="19">
        <v>0</v>
      </c>
      <c r="H17" s="19">
        <v>30</v>
      </c>
      <c r="I17" s="19">
        <f>-H17</f>
        <v>-30</v>
      </c>
      <c r="J17" s="18" t="s">
        <v>15</v>
      </c>
      <c r="K17" s="18" t="s">
        <v>15</v>
      </c>
      <c r="L17" s="18" t="s">
        <v>598</v>
      </c>
      <c r="M17" s="18"/>
      <c r="N17" s="18"/>
      <c r="O17" s="18"/>
      <c r="P17" s="18"/>
      <c r="Q17" s="18">
        <v>1</v>
      </c>
      <c r="R17" s="17">
        <f>H17</f>
        <v>30</v>
      </c>
    </row>
    <row r="18" spans="1:18" customFormat="1" x14ac:dyDescent="0.25">
      <c r="A18" s="18"/>
      <c r="B18" s="18" t="s">
        <v>34</v>
      </c>
      <c r="C18" s="18" t="s">
        <v>637</v>
      </c>
      <c r="D18" s="18" t="s">
        <v>638</v>
      </c>
      <c r="E18" s="18" t="s">
        <v>639</v>
      </c>
      <c r="F18" s="18" t="s">
        <v>20</v>
      </c>
      <c r="G18" s="19">
        <v>695</v>
      </c>
      <c r="H18" s="19">
        <v>25</v>
      </c>
      <c r="I18" s="19">
        <f>G18-H18</f>
        <v>670</v>
      </c>
      <c r="J18" s="18" t="s">
        <v>15</v>
      </c>
      <c r="K18" s="18" t="s">
        <v>15</v>
      </c>
      <c r="L18" s="18" t="s">
        <v>598</v>
      </c>
      <c r="M18" s="18"/>
      <c r="N18" s="18"/>
      <c r="O18" s="18"/>
      <c r="P18" s="18"/>
      <c r="Q18" s="18">
        <v>1</v>
      </c>
    </row>
    <row r="19" spans="1:18" customFormat="1" x14ac:dyDescent="0.25">
      <c r="A19" s="18" t="s">
        <v>96</v>
      </c>
      <c r="B19" s="18" t="s">
        <v>34</v>
      </c>
      <c r="C19" s="18" t="s">
        <v>640</v>
      </c>
      <c r="D19" s="18"/>
      <c r="E19" s="18" t="s">
        <v>641</v>
      </c>
      <c r="F19" s="18" t="s">
        <v>20</v>
      </c>
      <c r="G19" s="19">
        <v>4895</v>
      </c>
      <c r="H19" s="19">
        <v>35</v>
      </c>
      <c r="I19" s="19">
        <f>G19-H19</f>
        <v>4860</v>
      </c>
      <c r="J19" s="18" t="s">
        <v>15</v>
      </c>
      <c r="K19" s="18" t="s">
        <v>15</v>
      </c>
      <c r="L19" s="18" t="s">
        <v>598</v>
      </c>
      <c r="M19" s="18"/>
      <c r="N19" s="18"/>
      <c r="O19" s="18"/>
      <c r="P19" s="18"/>
      <c r="Q19" s="18">
        <v>1</v>
      </c>
    </row>
    <row r="20" spans="1:18" customFormat="1" x14ac:dyDescent="0.25">
      <c r="A20" s="18" t="s">
        <v>96</v>
      </c>
      <c r="B20" s="18" t="s">
        <v>34</v>
      </c>
      <c r="C20" s="18" t="s">
        <v>642</v>
      </c>
      <c r="D20" s="18"/>
      <c r="E20" s="18" t="s">
        <v>643</v>
      </c>
      <c r="F20" s="19">
        <v>12</v>
      </c>
      <c r="G20" s="19">
        <v>0</v>
      </c>
      <c r="H20" s="19">
        <v>35</v>
      </c>
      <c r="I20" s="19">
        <f>-H20</f>
        <v>-35</v>
      </c>
      <c r="J20" s="18" t="s">
        <v>15</v>
      </c>
      <c r="K20" s="18" t="s">
        <v>15</v>
      </c>
      <c r="L20" s="18" t="s">
        <v>598</v>
      </c>
      <c r="M20" s="18"/>
      <c r="N20" s="18"/>
      <c r="O20" s="18"/>
      <c r="P20" s="18"/>
      <c r="Q20" s="18">
        <v>1</v>
      </c>
      <c r="R20" s="17">
        <f t="shared" ref="R20:R21" si="1">H20</f>
        <v>35</v>
      </c>
    </row>
    <row r="21" spans="1:18" customFormat="1" x14ac:dyDescent="0.25">
      <c r="A21" s="18" t="s">
        <v>96</v>
      </c>
      <c r="B21" s="18" t="s">
        <v>34</v>
      </c>
      <c r="C21" s="18" t="s">
        <v>644</v>
      </c>
      <c r="D21" s="18"/>
      <c r="E21" s="18" t="s">
        <v>422</v>
      </c>
      <c r="F21" s="19">
        <v>12</v>
      </c>
      <c r="G21" s="19">
        <v>0</v>
      </c>
      <c r="H21" s="19">
        <v>35</v>
      </c>
      <c r="I21" s="19">
        <f>-H21</f>
        <v>-35</v>
      </c>
      <c r="J21" s="18" t="s">
        <v>15</v>
      </c>
      <c r="K21" s="18" t="s">
        <v>15</v>
      </c>
      <c r="L21" s="18" t="s">
        <v>598</v>
      </c>
      <c r="M21" s="18"/>
      <c r="N21" s="18"/>
      <c r="O21" s="18"/>
      <c r="P21" s="18"/>
      <c r="Q21" s="18">
        <v>1</v>
      </c>
      <c r="R21" s="17">
        <f t="shared" si="1"/>
        <v>35</v>
      </c>
    </row>
    <row r="22" spans="1:18" customFormat="1" x14ac:dyDescent="0.25">
      <c r="A22" s="18"/>
      <c r="B22" s="18" t="s">
        <v>34</v>
      </c>
      <c r="C22" s="18" t="s">
        <v>645</v>
      </c>
      <c r="D22" s="18" t="s">
        <v>646</v>
      </c>
      <c r="E22" s="18" t="s">
        <v>647</v>
      </c>
      <c r="F22" s="19">
        <v>1</v>
      </c>
      <c r="G22" s="19">
        <v>745</v>
      </c>
      <c r="H22" s="19">
        <v>25</v>
      </c>
      <c r="I22" s="19">
        <f t="shared" ref="I22:I27" si="2">G22-H22</f>
        <v>720</v>
      </c>
      <c r="J22" s="18" t="s">
        <v>160</v>
      </c>
      <c r="K22" s="18" t="s">
        <v>15</v>
      </c>
      <c r="L22" s="18" t="s">
        <v>598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648</v>
      </c>
      <c r="D23" s="18" t="s">
        <v>649</v>
      </c>
      <c r="E23" s="18" t="s">
        <v>650</v>
      </c>
      <c r="F23" s="19">
        <v>3</v>
      </c>
      <c r="G23" s="19">
        <v>1025</v>
      </c>
      <c r="H23" s="19">
        <v>25</v>
      </c>
      <c r="I23" s="19">
        <f t="shared" si="2"/>
        <v>1000</v>
      </c>
      <c r="J23" s="18" t="s">
        <v>160</v>
      </c>
      <c r="K23" s="18" t="s">
        <v>15</v>
      </c>
      <c r="L23" s="18" t="s">
        <v>598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651</v>
      </c>
      <c r="D24" s="18" t="s">
        <v>652</v>
      </c>
      <c r="E24" s="18" t="s">
        <v>653</v>
      </c>
      <c r="F24" s="18" t="s">
        <v>18</v>
      </c>
      <c r="G24" s="19">
        <v>115</v>
      </c>
      <c r="H24" s="19">
        <v>25</v>
      </c>
      <c r="I24" s="19">
        <f t="shared" si="2"/>
        <v>90</v>
      </c>
      <c r="J24" s="18" t="s">
        <v>160</v>
      </c>
      <c r="K24" s="18" t="s">
        <v>15</v>
      </c>
      <c r="L24" s="18" t="s">
        <v>598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654</v>
      </c>
      <c r="D25" s="18" t="s">
        <v>655</v>
      </c>
      <c r="E25" s="18" t="s">
        <v>656</v>
      </c>
      <c r="F25" s="18" t="s">
        <v>18</v>
      </c>
      <c r="G25" s="19">
        <v>1325</v>
      </c>
      <c r="H25" s="19">
        <v>25</v>
      </c>
      <c r="I25" s="19">
        <f t="shared" si="2"/>
        <v>1300</v>
      </c>
      <c r="J25" s="18" t="s">
        <v>160</v>
      </c>
      <c r="K25" s="18" t="s">
        <v>15</v>
      </c>
      <c r="L25" s="18" t="s">
        <v>598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657</v>
      </c>
      <c r="D26" s="18" t="s">
        <v>658</v>
      </c>
      <c r="E26" s="18" t="s">
        <v>659</v>
      </c>
      <c r="F26" s="18" t="s">
        <v>18</v>
      </c>
      <c r="G26" s="19">
        <v>765</v>
      </c>
      <c r="H26" s="19">
        <v>25</v>
      </c>
      <c r="I26" s="19">
        <f t="shared" si="2"/>
        <v>740</v>
      </c>
      <c r="J26" s="18" t="s">
        <v>160</v>
      </c>
      <c r="K26" s="18" t="s">
        <v>15</v>
      </c>
      <c r="L26" s="18" t="s">
        <v>598</v>
      </c>
      <c r="M26" s="18"/>
      <c r="N26" s="18"/>
      <c r="O26" s="18"/>
      <c r="P26" s="18"/>
      <c r="Q26" s="18">
        <v>1</v>
      </c>
    </row>
    <row r="27" spans="1:18" customFormat="1" x14ac:dyDescent="0.25">
      <c r="A27" s="18" t="s">
        <v>96</v>
      </c>
      <c r="B27" s="18" t="s">
        <v>34</v>
      </c>
      <c r="C27" s="18" t="s">
        <v>660</v>
      </c>
      <c r="D27" s="18"/>
      <c r="E27" s="18" t="s">
        <v>661</v>
      </c>
      <c r="F27" s="19">
        <v>5</v>
      </c>
      <c r="G27" s="19">
        <v>30</v>
      </c>
      <c r="H27" s="19">
        <v>30</v>
      </c>
      <c r="I27" s="19">
        <f t="shared" si="2"/>
        <v>0</v>
      </c>
      <c r="J27" s="18" t="s">
        <v>160</v>
      </c>
      <c r="K27" s="18" t="s">
        <v>15</v>
      </c>
      <c r="L27" s="18" t="s">
        <v>598</v>
      </c>
      <c r="M27" s="18"/>
      <c r="N27" s="18"/>
      <c r="O27" s="18"/>
      <c r="P27" s="18"/>
      <c r="Q27" s="18">
        <v>1</v>
      </c>
    </row>
    <row r="29" spans="1:18" x14ac:dyDescent="0.25">
      <c r="G29" s="1">
        <f t="shared" ref="G29:R29" si="3">SUBTOTAL(9,G3:G28)</f>
        <v>22490</v>
      </c>
      <c r="H29" s="1">
        <f t="shared" si="3"/>
        <v>735</v>
      </c>
      <c r="I29" s="1">
        <f t="shared" si="3"/>
        <v>21755</v>
      </c>
      <c r="J29" s="1">
        <f t="shared" si="3"/>
        <v>0</v>
      </c>
      <c r="K29" s="1">
        <f t="shared" si="3"/>
        <v>0</v>
      </c>
      <c r="L29" s="1">
        <f t="shared" si="3"/>
        <v>0</v>
      </c>
      <c r="M29" s="1">
        <f t="shared" si="3"/>
        <v>0</v>
      </c>
      <c r="N29" s="1">
        <f t="shared" si="3"/>
        <v>0</v>
      </c>
      <c r="O29" s="1">
        <f t="shared" si="3"/>
        <v>0</v>
      </c>
      <c r="P29" s="1">
        <f t="shared" si="3"/>
        <v>0</v>
      </c>
      <c r="Q29" s="1">
        <f t="shared" si="3"/>
        <v>25</v>
      </c>
      <c r="R29" s="1">
        <f t="shared" si="3"/>
        <v>165</v>
      </c>
    </row>
    <row r="30" spans="1:18" x14ac:dyDescent="0.25">
      <c r="I30" s="1">
        <v>-1715</v>
      </c>
      <c r="J30" s="1" t="s">
        <v>663</v>
      </c>
    </row>
    <row r="31" spans="1:18" x14ac:dyDescent="0.25">
      <c r="I31" s="1">
        <v>-70</v>
      </c>
      <c r="J31" s="1" t="s">
        <v>666</v>
      </c>
    </row>
    <row r="32" spans="1:18" x14ac:dyDescent="0.25">
      <c r="I32" s="1">
        <v>2390</v>
      </c>
      <c r="J32" s="1" t="s">
        <v>667</v>
      </c>
    </row>
    <row r="33" spans="1:18" ht="20.25" customHeight="1" x14ac:dyDescent="0.3">
      <c r="H33" s="4" t="s">
        <v>593</v>
      </c>
      <c r="I33" s="5" t="s">
        <v>21</v>
      </c>
      <c r="J33" s="6" t="s">
        <v>22</v>
      </c>
    </row>
    <row r="34" spans="1:18" ht="15.75" customHeight="1" x14ac:dyDescent="0.25">
      <c r="H34" s="7" t="s">
        <v>23</v>
      </c>
      <c r="I34" s="8">
        <f>SUM(I28:I32)</f>
        <v>22360</v>
      </c>
      <c r="J34" s="8">
        <f>Q29</f>
        <v>25</v>
      </c>
    </row>
    <row r="35" spans="1:18" x14ac:dyDescent="0.25">
      <c r="H35" s="9" t="s">
        <v>24</v>
      </c>
      <c r="I35" s="10">
        <f>R29</f>
        <v>165</v>
      </c>
      <c r="J35" s="11"/>
    </row>
    <row r="36" spans="1:18" x14ac:dyDescent="0.25">
      <c r="H36" s="9" t="s">
        <v>25</v>
      </c>
      <c r="I36" s="10">
        <f>S28</f>
        <v>0</v>
      </c>
      <c r="J36" s="11"/>
    </row>
    <row r="37" spans="1:18" x14ac:dyDescent="0.25">
      <c r="H37" s="9" t="s">
        <v>26</v>
      </c>
      <c r="I37" s="10">
        <f>T28</f>
        <v>0</v>
      </c>
      <c r="J37" s="11"/>
    </row>
    <row r="38" spans="1:18" x14ac:dyDescent="0.25">
      <c r="H38" s="9" t="s">
        <v>27</v>
      </c>
      <c r="I38" s="10">
        <f>U28</f>
        <v>0</v>
      </c>
      <c r="J38" s="11"/>
    </row>
    <row r="39" spans="1:18" ht="15.75" customHeight="1" x14ac:dyDescent="0.25">
      <c r="H39" s="12" t="s">
        <v>28</v>
      </c>
      <c r="I39" s="13"/>
      <c r="J39" s="13"/>
    </row>
    <row r="40" spans="1:18" ht="15.75" customHeight="1" x14ac:dyDescent="0.25">
      <c r="H40" s="14" t="s">
        <v>29</v>
      </c>
      <c r="I40" s="13"/>
      <c r="J40" s="13"/>
    </row>
    <row r="41" spans="1:18" ht="21" customHeight="1" x14ac:dyDescent="0.35">
      <c r="H41" s="15" t="s">
        <v>30</v>
      </c>
      <c r="I41" s="16">
        <f>SUM(I34:I40)</f>
        <v>22525</v>
      </c>
      <c r="J41" s="16">
        <f>SUM(J34:J38)</f>
        <v>25</v>
      </c>
    </row>
    <row r="44" spans="1:18" x14ac:dyDescent="0.25">
      <c r="A44" s="1" t="s">
        <v>663</v>
      </c>
    </row>
    <row r="45" spans="1:18" s="23" customFormat="1" x14ac:dyDescent="0.25">
      <c r="A45" s="24" t="s">
        <v>34</v>
      </c>
      <c r="B45" s="24" t="s">
        <v>566</v>
      </c>
      <c r="C45" s="24" t="s">
        <v>567</v>
      </c>
      <c r="D45" s="24" t="s">
        <v>568</v>
      </c>
      <c r="E45" s="24">
        <v>2</v>
      </c>
      <c r="F45" s="25">
        <v>1020</v>
      </c>
      <c r="G45" s="25">
        <v>0</v>
      </c>
      <c r="H45" s="25">
        <v>1020</v>
      </c>
      <c r="I45" s="24" t="s">
        <v>662</v>
      </c>
      <c r="J45" s="24" t="s">
        <v>15</v>
      </c>
      <c r="K45" s="24" t="s">
        <v>447</v>
      </c>
      <c r="L45" s="26" t="s">
        <v>665</v>
      </c>
    </row>
    <row r="46" spans="1:18" s="23" customFormat="1" x14ac:dyDescent="0.25">
      <c r="A46" s="24" t="s">
        <v>34</v>
      </c>
      <c r="B46" s="24" t="s">
        <v>228</v>
      </c>
      <c r="C46" s="24" t="s">
        <v>229</v>
      </c>
      <c r="D46" s="24" t="s">
        <v>230</v>
      </c>
      <c r="E46" s="24" t="s">
        <v>123</v>
      </c>
      <c r="F46" s="25">
        <v>695</v>
      </c>
      <c r="G46" s="25">
        <v>0</v>
      </c>
      <c r="H46" s="25">
        <v>695</v>
      </c>
      <c r="I46" s="24" t="s">
        <v>662</v>
      </c>
      <c r="J46" s="24" t="s">
        <v>15</v>
      </c>
      <c r="K46" s="24" t="s">
        <v>177</v>
      </c>
      <c r="L46" s="26" t="s">
        <v>664</v>
      </c>
    </row>
    <row r="47" spans="1:18" x14ac:dyDescent="0.25">
      <c r="A47" s="1" t="s">
        <v>667</v>
      </c>
    </row>
    <row r="48" spans="1:18" customFormat="1" x14ac:dyDescent="0.25">
      <c r="A48" s="24" t="s">
        <v>34</v>
      </c>
      <c r="B48" s="24" t="s">
        <v>444</v>
      </c>
      <c r="C48" s="24" t="s">
        <v>445</v>
      </c>
      <c r="D48" s="24" t="s">
        <v>446</v>
      </c>
      <c r="E48" s="24" t="s">
        <v>18</v>
      </c>
      <c r="F48" s="25">
        <v>2390</v>
      </c>
      <c r="G48" s="25">
        <v>0</v>
      </c>
      <c r="H48" s="25">
        <f t="shared" ref="H48" si="4">F48-G48</f>
        <v>2390</v>
      </c>
      <c r="I48" s="24" t="s">
        <v>15</v>
      </c>
      <c r="J48" s="24" t="s">
        <v>15</v>
      </c>
      <c r="K48" s="24" t="s">
        <v>447</v>
      </c>
      <c r="L48" s="34"/>
      <c r="M48" s="1"/>
      <c r="Q48" s="17"/>
      <c r="R48" s="17"/>
    </row>
  </sheetData>
  <autoFilter ref="A2:P27" xr:uid="{00000000-0009-0000-0000-000006000000}">
    <sortState xmlns:xlrd2="http://schemas.microsoft.com/office/spreadsheetml/2017/richdata2" ref="A3:P27">
      <sortCondition ref="J2:J27"/>
    </sortState>
  </autoFilter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297B9-F2E8-4DF4-9FB4-E70914D177FE}">
  <dimension ref="A1:R63"/>
  <sheetViews>
    <sheetView topLeftCell="A25" workbookViewId="0">
      <selection activeCell="E51" sqref="E51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7" x14ac:dyDescent="0.25">
      <c r="B1" s="1" t="s">
        <v>31</v>
      </c>
      <c r="C1" s="1" t="s">
        <v>792</v>
      </c>
    </row>
    <row r="2" spans="1:17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7" customFormat="1" x14ac:dyDescent="0.25">
      <c r="A3" s="18"/>
      <c r="B3" s="18" t="s">
        <v>34</v>
      </c>
      <c r="C3" s="18" t="s">
        <v>669</v>
      </c>
      <c r="D3" s="18" t="s">
        <v>670</v>
      </c>
      <c r="E3" s="18" t="s">
        <v>671</v>
      </c>
      <c r="F3" s="19">
        <v>9</v>
      </c>
      <c r="G3" s="19">
        <v>35</v>
      </c>
      <c r="H3" s="19">
        <v>35</v>
      </c>
      <c r="I3" s="19">
        <f t="shared" ref="I3:I8" si="0">G3-H3</f>
        <v>0</v>
      </c>
      <c r="J3" s="18" t="s">
        <v>56</v>
      </c>
      <c r="K3" s="18" t="s">
        <v>15</v>
      </c>
      <c r="L3" s="18" t="s">
        <v>672</v>
      </c>
      <c r="M3" s="18"/>
      <c r="N3" s="18"/>
      <c r="O3" s="18"/>
      <c r="P3" s="18"/>
      <c r="Q3" s="18">
        <v>1</v>
      </c>
    </row>
    <row r="4" spans="1:17" s="22" customFormat="1" x14ac:dyDescent="0.25">
      <c r="A4" s="20"/>
      <c r="B4" s="20" t="s">
        <v>34</v>
      </c>
      <c r="C4" s="20" t="s">
        <v>174</v>
      </c>
      <c r="D4" s="20" t="s">
        <v>673</v>
      </c>
      <c r="E4" s="20" t="s">
        <v>176</v>
      </c>
      <c r="F4" s="21">
        <v>9</v>
      </c>
      <c r="G4" s="21">
        <v>30</v>
      </c>
      <c r="H4" s="21">
        <v>30</v>
      </c>
      <c r="I4" s="21">
        <f t="shared" si="0"/>
        <v>0</v>
      </c>
      <c r="J4" s="20" t="s">
        <v>56</v>
      </c>
      <c r="K4" s="20" t="s">
        <v>15</v>
      </c>
      <c r="L4" s="20" t="s">
        <v>672</v>
      </c>
      <c r="M4" s="20" t="s">
        <v>16</v>
      </c>
      <c r="N4" s="20"/>
      <c r="O4" s="20"/>
      <c r="P4" s="20"/>
      <c r="Q4" s="20">
        <v>1</v>
      </c>
    </row>
    <row r="5" spans="1:17" customFormat="1" x14ac:dyDescent="0.25">
      <c r="A5" s="18" t="s">
        <v>96</v>
      </c>
      <c r="B5" s="18" t="s">
        <v>34</v>
      </c>
      <c r="C5" s="18" t="s">
        <v>674</v>
      </c>
      <c r="D5" s="18"/>
      <c r="E5" s="18" t="s">
        <v>675</v>
      </c>
      <c r="F5" s="18" t="s">
        <v>254</v>
      </c>
      <c r="G5" s="19">
        <v>3660</v>
      </c>
      <c r="H5" s="19">
        <v>40</v>
      </c>
      <c r="I5" s="19">
        <f t="shared" si="0"/>
        <v>3620</v>
      </c>
      <c r="J5" s="18" t="s">
        <v>676</v>
      </c>
      <c r="K5" s="18" t="s">
        <v>15</v>
      </c>
      <c r="L5" s="18" t="s">
        <v>672</v>
      </c>
      <c r="M5" s="18"/>
      <c r="N5" s="18"/>
      <c r="O5" s="18"/>
      <c r="P5" s="18"/>
      <c r="Q5" s="18">
        <v>1</v>
      </c>
    </row>
    <row r="6" spans="1:17" customFormat="1" x14ac:dyDescent="0.25">
      <c r="A6" s="18"/>
      <c r="B6" s="18" t="s">
        <v>34</v>
      </c>
      <c r="C6" s="18" t="s">
        <v>677</v>
      </c>
      <c r="D6" s="18" t="s">
        <v>678</v>
      </c>
      <c r="E6" s="18" t="s">
        <v>679</v>
      </c>
      <c r="F6" s="18" t="s">
        <v>108</v>
      </c>
      <c r="G6" s="19">
        <v>475</v>
      </c>
      <c r="H6" s="19">
        <v>35</v>
      </c>
      <c r="I6" s="19">
        <f t="shared" si="0"/>
        <v>440</v>
      </c>
      <c r="J6" s="18" t="s">
        <v>676</v>
      </c>
      <c r="K6" s="18" t="s">
        <v>15</v>
      </c>
      <c r="L6" s="18" t="s">
        <v>672</v>
      </c>
      <c r="M6" s="18"/>
      <c r="N6" s="18"/>
      <c r="O6" s="18"/>
      <c r="P6" s="18"/>
      <c r="Q6" s="18">
        <v>1</v>
      </c>
    </row>
    <row r="7" spans="1:17" customFormat="1" x14ac:dyDescent="0.25">
      <c r="A7" s="18"/>
      <c r="B7" s="18" t="s">
        <v>34</v>
      </c>
      <c r="C7" s="18" t="s">
        <v>680</v>
      </c>
      <c r="D7" s="18" t="s">
        <v>681</v>
      </c>
      <c r="E7" s="18" t="s">
        <v>682</v>
      </c>
      <c r="F7" s="19">
        <v>6</v>
      </c>
      <c r="G7" s="19">
        <v>855</v>
      </c>
      <c r="H7" s="19">
        <v>25</v>
      </c>
      <c r="I7" s="19">
        <f t="shared" si="0"/>
        <v>830</v>
      </c>
      <c r="J7" s="18" t="s">
        <v>676</v>
      </c>
      <c r="K7" s="18" t="s">
        <v>15</v>
      </c>
      <c r="L7" s="18" t="s">
        <v>672</v>
      </c>
      <c r="M7" s="18"/>
      <c r="N7" s="18"/>
      <c r="O7" s="18"/>
      <c r="P7" s="18"/>
      <c r="Q7" s="18">
        <v>1</v>
      </c>
    </row>
    <row r="8" spans="1:17" customFormat="1" x14ac:dyDescent="0.25">
      <c r="A8" s="18"/>
      <c r="B8" s="18" t="s">
        <v>34</v>
      </c>
      <c r="C8" s="18" t="s">
        <v>683</v>
      </c>
      <c r="D8" s="18" t="s">
        <v>684</v>
      </c>
      <c r="E8" s="18" t="s">
        <v>685</v>
      </c>
      <c r="F8" s="19">
        <v>7</v>
      </c>
      <c r="G8" s="19">
        <v>730</v>
      </c>
      <c r="H8" s="19">
        <v>30</v>
      </c>
      <c r="I8" s="19">
        <f t="shared" si="0"/>
        <v>700</v>
      </c>
      <c r="J8" s="18" t="s">
        <v>676</v>
      </c>
      <c r="K8" s="18" t="s">
        <v>15</v>
      </c>
      <c r="L8" s="18" t="s">
        <v>672</v>
      </c>
      <c r="M8" s="18"/>
      <c r="N8" s="18"/>
      <c r="O8" s="18"/>
      <c r="P8" s="18"/>
      <c r="Q8" s="18">
        <v>1</v>
      </c>
    </row>
    <row r="9" spans="1:17" customFormat="1" x14ac:dyDescent="0.25">
      <c r="A9" s="18"/>
      <c r="B9" s="18" t="s">
        <v>34</v>
      </c>
      <c r="C9" s="18" t="s">
        <v>191</v>
      </c>
      <c r="D9" s="18" t="s">
        <v>686</v>
      </c>
      <c r="E9" s="18" t="s">
        <v>687</v>
      </c>
      <c r="F9" s="18" t="s">
        <v>20</v>
      </c>
      <c r="G9" s="19">
        <v>0</v>
      </c>
      <c r="H9" s="19">
        <v>25</v>
      </c>
      <c r="I9" s="19">
        <f>-H9</f>
        <v>-25</v>
      </c>
      <c r="J9" s="18" t="s">
        <v>676</v>
      </c>
      <c r="K9" s="18" t="s">
        <v>15</v>
      </c>
      <c r="L9" s="18" t="s">
        <v>672</v>
      </c>
      <c r="M9" s="18"/>
      <c r="N9" s="18"/>
      <c r="O9" s="18"/>
      <c r="P9" s="18"/>
      <c r="Q9" s="18">
        <v>1</v>
      </c>
    </row>
    <row r="10" spans="1:17" customFormat="1" x14ac:dyDescent="0.25">
      <c r="A10" s="18"/>
      <c r="B10" s="18" t="s">
        <v>34</v>
      </c>
      <c r="C10" s="18" t="s">
        <v>688</v>
      </c>
      <c r="D10" s="18" t="s">
        <v>689</v>
      </c>
      <c r="E10" s="18" t="s">
        <v>690</v>
      </c>
      <c r="F10" s="19">
        <v>8</v>
      </c>
      <c r="G10" s="19">
        <v>470</v>
      </c>
      <c r="H10" s="19">
        <v>30</v>
      </c>
      <c r="I10" s="19">
        <f>G10-H10</f>
        <v>440</v>
      </c>
      <c r="J10" s="18" t="s">
        <v>676</v>
      </c>
      <c r="K10" s="18" t="s">
        <v>15</v>
      </c>
      <c r="L10" s="18" t="s">
        <v>672</v>
      </c>
      <c r="M10" s="18"/>
      <c r="N10" s="18"/>
      <c r="O10" s="18"/>
      <c r="P10" s="18"/>
      <c r="Q10" s="18">
        <v>1</v>
      </c>
    </row>
    <row r="11" spans="1:17" customFormat="1" x14ac:dyDescent="0.25">
      <c r="A11" s="18"/>
      <c r="B11" s="18" t="s">
        <v>34</v>
      </c>
      <c r="C11" s="18" t="s">
        <v>691</v>
      </c>
      <c r="D11" s="18" t="s">
        <v>692</v>
      </c>
      <c r="E11" s="18" t="s">
        <v>693</v>
      </c>
      <c r="F11" s="18" t="s">
        <v>38</v>
      </c>
      <c r="G11" s="19">
        <v>1170</v>
      </c>
      <c r="H11" s="19">
        <v>30</v>
      </c>
      <c r="I11" s="19">
        <f>G11-H11</f>
        <v>1140</v>
      </c>
      <c r="J11" s="18" t="s">
        <v>676</v>
      </c>
      <c r="K11" s="18" t="s">
        <v>15</v>
      </c>
      <c r="L11" s="18" t="s">
        <v>672</v>
      </c>
      <c r="M11" s="18"/>
      <c r="N11" s="18"/>
      <c r="O11" s="18"/>
      <c r="P11" s="18"/>
      <c r="Q11" s="18">
        <v>1</v>
      </c>
    </row>
    <row r="12" spans="1:17" customFormat="1" x14ac:dyDescent="0.25">
      <c r="A12" s="18"/>
      <c r="B12" s="18" t="s">
        <v>34</v>
      </c>
      <c r="C12" s="18" t="s">
        <v>694</v>
      </c>
      <c r="D12" s="18" t="s">
        <v>695</v>
      </c>
      <c r="E12" s="18" t="s">
        <v>696</v>
      </c>
      <c r="F12" s="19">
        <v>7</v>
      </c>
      <c r="G12" s="19">
        <v>720</v>
      </c>
      <c r="H12" s="19">
        <v>30</v>
      </c>
      <c r="I12" s="19">
        <f>G12-H12</f>
        <v>690</v>
      </c>
      <c r="J12" s="18" t="s">
        <v>676</v>
      </c>
      <c r="K12" s="18" t="s">
        <v>15</v>
      </c>
      <c r="L12" s="18" t="s">
        <v>672</v>
      </c>
      <c r="M12" s="18"/>
      <c r="N12" s="18"/>
      <c r="O12" s="18"/>
      <c r="P12" s="18"/>
      <c r="Q12" s="18">
        <v>1</v>
      </c>
    </row>
    <row r="13" spans="1:17" customFormat="1" x14ac:dyDescent="0.25">
      <c r="A13" s="18"/>
      <c r="B13" s="18" t="s">
        <v>34</v>
      </c>
      <c r="C13" s="18" t="s">
        <v>228</v>
      </c>
      <c r="D13" s="18" t="s">
        <v>697</v>
      </c>
      <c r="E13" s="18" t="s">
        <v>698</v>
      </c>
      <c r="F13" s="18" t="s">
        <v>254</v>
      </c>
      <c r="G13" s="19">
        <v>785</v>
      </c>
      <c r="H13" s="19">
        <v>35</v>
      </c>
      <c r="I13" s="19">
        <f>G13-H13</f>
        <v>750</v>
      </c>
      <c r="J13" s="18" t="s">
        <v>676</v>
      </c>
      <c r="K13" s="18" t="s">
        <v>15</v>
      </c>
      <c r="L13" s="18" t="s">
        <v>672</v>
      </c>
      <c r="M13" s="18"/>
      <c r="N13" s="18"/>
      <c r="O13" s="18"/>
      <c r="P13" s="18"/>
      <c r="Q13" s="18">
        <v>1</v>
      </c>
    </row>
    <row r="14" spans="1:17" customFormat="1" x14ac:dyDescent="0.25">
      <c r="A14" s="18"/>
      <c r="B14" s="18" t="s">
        <v>34</v>
      </c>
      <c r="C14" s="18" t="s">
        <v>699</v>
      </c>
      <c r="D14" s="18" t="s">
        <v>700</v>
      </c>
      <c r="E14" s="18" t="s">
        <v>701</v>
      </c>
      <c r="F14" s="19">
        <v>11</v>
      </c>
      <c r="G14" s="19">
        <v>0</v>
      </c>
      <c r="H14" s="19">
        <v>25</v>
      </c>
      <c r="I14" s="19">
        <f>-H14</f>
        <v>-25</v>
      </c>
      <c r="J14" s="18" t="s">
        <v>676</v>
      </c>
      <c r="K14" s="18" t="s">
        <v>15</v>
      </c>
      <c r="L14" s="18" t="s">
        <v>672</v>
      </c>
      <c r="M14" s="18"/>
      <c r="N14" s="18"/>
      <c r="O14" s="18"/>
      <c r="P14" s="18"/>
      <c r="Q14" s="18">
        <v>1</v>
      </c>
    </row>
    <row r="15" spans="1:17" customFormat="1" x14ac:dyDescent="0.25">
      <c r="A15" s="18"/>
      <c r="B15" s="18" t="s">
        <v>34</v>
      </c>
      <c r="C15" s="18" t="s">
        <v>702</v>
      </c>
      <c r="D15" s="18" t="s">
        <v>703</v>
      </c>
      <c r="E15" s="18" t="s">
        <v>704</v>
      </c>
      <c r="F15" s="19">
        <v>7</v>
      </c>
      <c r="G15" s="19">
        <v>380</v>
      </c>
      <c r="H15" s="19">
        <v>30</v>
      </c>
      <c r="I15" s="19">
        <f t="shared" ref="I15:I20" si="1">G15-H15</f>
        <v>350</v>
      </c>
      <c r="J15" s="18" t="s">
        <v>676</v>
      </c>
      <c r="K15" s="18" t="s">
        <v>15</v>
      </c>
      <c r="L15" s="18" t="s">
        <v>672</v>
      </c>
      <c r="M15" s="18"/>
      <c r="N15" s="18"/>
      <c r="O15" s="18"/>
      <c r="P15" s="18"/>
      <c r="Q15" s="18">
        <v>1</v>
      </c>
    </row>
    <row r="16" spans="1:17" customFormat="1" x14ac:dyDescent="0.25">
      <c r="A16" s="18"/>
      <c r="B16" s="18" t="s">
        <v>34</v>
      </c>
      <c r="C16" s="18" t="s">
        <v>705</v>
      </c>
      <c r="D16" s="18" t="s">
        <v>706</v>
      </c>
      <c r="E16" s="18" t="s">
        <v>707</v>
      </c>
      <c r="F16" s="18" t="s">
        <v>212</v>
      </c>
      <c r="G16" s="19">
        <v>725</v>
      </c>
      <c r="H16" s="19">
        <v>25</v>
      </c>
      <c r="I16" s="19">
        <f t="shared" si="1"/>
        <v>700</v>
      </c>
      <c r="J16" s="18" t="s">
        <v>676</v>
      </c>
      <c r="K16" s="18" t="s">
        <v>15</v>
      </c>
      <c r="L16" s="18" t="s">
        <v>672</v>
      </c>
      <c r="M16" s="18"/>
      <c r="N16" s="18"/>
      <c r="O16" s="18"/>
      <c r="P16" s="18"/>
      <c r="Q16" s="18">
        <v>1</v>
      </c>
    </row>
    <row r="17" spans="1:17" customFormat="1" x14ac:dyDescent="0.25">
      <c r="A17" s="18"/>
      <c r="B17" s="18" t="s">
        <v>34</v>
      </c>
      <c r="C17" s="18" t="s">
        <v>708</v>
      </c>
      <c r="D17" s="18" t="s">
        <v>709</v>
      </c>
      <c r="E17" s="18" t="s">
        <v>710</v>
      </c>
      <c r="F17" s="19">
        <v>7</v>
      </c>
      <c r="G17" s="19">
        <v>470</v>
      </c>
      <c r="H17" s="19">
        <v>30</v>
      </c>
      <c r="I17" s="19">
        <f t="shared" si="1"/>
        <v>440</v>
      </c>
      <c r="J17" s="18" t="s">
        <v>676</v>
      </c>
      <c r="K17" s="18" t="s">
        <v>15</v>
      </c>
      <c r="L17" s="18" t="s">
        <v>672</v>
      </c>
      <c r="M17" s="18"/>
      <c r="N17" s="18"/>
      <c r="O17" s="18"/>
      <c r="P17" s="18"/>
      <c r="Q17" s="18">
        <v>1</v>
      </c>
    </row>
    <row r="18" spans="1:17" customFormat="1" x14ac:dyDescent="0.25">
      <c r="A18" s="18"/>
      <c r="B18" s="18" t="s">
        <v>34</v>
      </c>
      <c r="C18" s="18" t="s">
        <v>711</v>
      </c>
      <c r="D18" s="18" t="s">
        <v>712</v>
      </c>
      <c r="E18" s="18" t="s">
        <v>713</v>
      </c>
      <c r="F18" s="19">
        <v>6</v>
      </c>
      <c r="G18" s="19">
        <v>375</v>
      </c>
      <c r="H18" s="19">
        <v>25</v>
      </c>
      <c r="I18" s="19">
        <f t="shared" si="1"/>
        <v>350</v>
      </c>
      <c r="J18" s="18" t="s">
        <v>676</v>
      </c>
      <c r="K18" s="18" t="s">
        <v>15</v>
      </c>
      <c r="L18" s="18" t="s">
        <v>672</v>
      </c>
      <c r="M18" s="18"/>
      <c r="N18" s="18"/>
      <c r="O18" s="18"/>
      <c r="P18" s="18"/>
      <c r="Q18" s="18">
        <v>1</v>
      </c>
    </row>
    <row r="19" spans="1:17" customFormat="1" x14ac:dyDescent="0.25">
      <c r="A19" s="18"/>
      <c r="B19" s="18" t="s">
        <v>34</v>
      </c>
      <c r="C19" s="18" t="s">
        <v>516</v>
      </c>
      <c r="D19" s="18" t="s">
        <v>714</v>
      </c>
      <c r="E19" s="18" t="s">
        <v>518</v>
      </c>
      <c r="F19" s="18" t="s">
        <v>38</v>
      </c>
      <c r="G19" s="19">
        <v>2010</v>
      </c>
      <c r="H19" s="19">
        <v>30</v>
      </c>
      <c r="I19" s="19">
        <f t="shared" si="1"/>
        <v>1980</v>
      </c>
      <c r="J19" s="18" t="s">
        <v>676</v>
      </c>
      <c r="K19" s="18" t="s">
        <v>15</v>
      </c>
      <c r="L19" s="18" t="s">
        <v>672</v>
      </c>
      <c r="M19" s="18"/>
      <c r="N19" s="18"/>
      <c r="O19" s="18"/>
      <c r="P19" s="18"/>
      <c r="Q19" s="18">
        <v>1</v>
      </c>
    </row>
    <row r="20" spans="1:17" customFormat="1" x14ac:dyDescent="0.25">
      <c r="A20" s="18"/>
      <c r="B20" s="18" t="s">
        <v>34</v>
      </c>
      <c r="C20" s="18" t="s">
        <v>715</v>
      </c>
      <c r="D20" s="18" t="s">
        <v>716</v>
      </c>
      <c r="E20" s="18" t="s">
        <v>717</v>
      </c>
      <c r="F20" s="19">
        <v>12</v>
      </c>
      <c r="G20" s="19">
        <v>380</v>
      </c>
      <c r="H20" s="19">
        <v>30</v>
      </c>
      <c r="I20" s="19">
        <f t="shared" si="1"/>
        <v>350</v>
      </c>
      <c r="J20" s="18" t="s">
        <v>676</v>
      </c>
      <c r="K20" s="18" t="s">
        <v>15</v>
      </c>
      <c r="L20" s="18" t="s">
        <v>672</v>
      </c>
      <c r="M20" s="18"/>
      <c r="N20" s="18"/>
      <c r="O20" s="18"/>
      <c r="P20" s="18"/>
      <c r="Q20" s="18">
        <v>1</v>
      </c>
    </row>
    <row r="21" spans="1:17" customFormat="1" x14ac:dyDescent="0.25">
      <c r="A21" s="18" t="s">
        <v>96</v>
      </c>
      <c r="B21" s="18" t="s">
        <v>34</v>
      </c>
      <c r="C21" s="18" t="s">
        <v>718</v>
      </c>
      <c r="D21" s="18"/>
      <c r="E21" s="18" t="s">
        <v>719</v>
      </c>
      <c r="F21" s="18" t="s">
        <v>144</v>
      </c>
      <c r="G21" s="19">
        <v>0</v>
      </c>
      <c r="H21" s="19">
        <v>35</v>
      </c>
      <c r="I21" s="19">
        <f>-H21</f>
        <v>-35</v>
      </c>
      <c r="J21" s="18" t="s">
        <v>15</v>
      </c>
      <c r="K21" s="18" t="s">
        <v>15</v>
      </c>
      <c r="L21" s="18" t="s">
        <v>672</v>
      </c>
      <c r="M21" s="18"/>
      <c r="N21" s="18"/>
      <c r="O21" s="18"/>
      <c r="P21" s="18"/>
      <c r="Q21" s="18">
        <v>1</v>
      </c>
    </row>
    <row r="22" spans="1:17" customFormat="1" x14ac:dyDescent="0.25">
      <c r="A22" s="18" t="s">
        <v>96</v>
      </c>
      <c r="B22" s="18" t="s">
        <v>34</v>
      </c>
      <c r="C22" s="18" t="s">
        <v>312</v>
      </c>
      <c r="D22" s="18"/>
      <c r="E22" s="18" t="s">
        <v>313</v>
      </c>
      <c r="F22" s="18" t="s">
        <v>20</v>
      </c>
      <c r="G22" s="19">
        <v>30</v>
      </c>
      <c r="H22" s="19">
        <v>30</v>
      </c>
      <c r="I22" s="19">
        <f>G22-H22</f>
        <v>0</v>
      </c>
      <c r="J22" s="18" t="s">
        <v>15</v>
      </c>
      <c r="K22" s="18" t="s">
        <v>15</v>
      </c>
      <c r="L22" s="18" t="s">
        <v>672</v>
      </c>
      <c r="M22" s="18"/>
      <c r="N22" s="18"/>
      <c r="O22" s="18"/>
      <c r="P22" s="18"/>
      <c r="Q22" s="18">
        <v>1</v>
      </c>
    </row>
    <row r="23" spans="1:17" customFormat="1" x14ac:dyDescent="0.25">
      <c r="A23" s="18"/>
      <c r="B23" s="18" t="s">
        <v>34</v>
      </c>
      <c r="C23" s="18" t="s">
        <v>720</v>
      </c>
      <c r="D23" s="18" t="s">
        <v>721</v>
      </c>
      <c r="E23" s="18" t="s">
        <v>722</v>
      </c>
      <c r="F23" s="19">
        <v>2</v>
      </c>
      <c r="G23" s="19">
        <v>920</v>
      </c>
      <c r="H23" s="19">
        <v>30</v>
      </c>
      <c r="I23" s="19">
        <f>G23-H23</f>
        <v>890</v>
      </c>
      <c r="J23" s="18" t="s">
        <v>15</v>
      </c>
      <c r="K23" s="18" t="s">
        <v>15</v>
      </c>
      <c r="L23" s="18" t="s">
        <v>672</v>
      </c>
      <c r="M23" s="18"/>
      <c r="N23" s="18"/>
      <c r="O23" s="18"/>
      <c r="P23" s="18"/>
      <c r="Q23" s="18">
        <v>1</v>
      </c>
    </row>
    <row r="24" spans="1:17" customFormat="1" x14ac:dyDescent="0.25">
      <c r="A24" s="18"/>
      <c r="B24" s="18" t="s">
        <v>34</v>
      </c>
      <c r="C24" s="18" t="s">
        <v>148</v>
      </c>
      <c r="D24" s="18" t="s">
        <v>723</v>
      </c>
      <c r="E24" s="18" t="s">
        <v>150</v>
      </c>
      <c r="F24" s="18" t="s">
        <v>19</v>
      </c>
      <c r="G24" s="19">
        <v>0</v>
      </c>
      <c r="H24" s="19">
        <v>20</v>
      </c>
      <c r="I24" s="19">
        <f>-H24</f>
        <v>-20</v>
      </c>
      <c r="J24" s="18" t="s">
        <v>15</v>
      </c>
      <c r="K24" s="18" t="s">
        <v>15</v>
      </c>
      <c r="L24" s="18" t="s">
        <v>672</v>
      </c>
      <c r="M24" s="18"/>
      <c r="N24" s="18"/>
      <c r="O24" s="18"/>
      <c r="P24" s="18"/>
      <c r="Q24" s="18">
        <v>1</v>
      </c>
    </row>
    <row r="25" spans="1:17" customFormat="1" x14ac:dyDescent="0.25">
      <c r="A25" s="18"/>
      <c r="B25" s="18" t="s">
        <v>34</v>
      </c>
      <c r="C25" s="18" t="s">
        <v>724</v>
      </c>
      <c r="D25" s="18" t="s">
        <v>725</v>
      </c>
      <c r="E25" s="18" t="s">
        <v>726</v>
      </c>
      <c r="F25" s="19">
        <v>2</v>
      </c>
      <c r="G25" s="19">
        <v>0</v>
      </c>
      <c r="H25" s="19">
        <v>30</v>
      </c>
      <c r="I25" s="19">
        <f>-H25</f>
        <v>-30</v>
      </c>
      <c r="J25" s="18" t="s">
        <v>15</v>
      </c>
      <c r="K25" s="18" t="s">
        <v>15</v>
      </c>
      <c r="L25" s="18" t="s">
        <v>672</v>
      </c>
      <c r="M25" s="18"/>
      <c r="N25" s="18"/>
      <c r="O25" s="18"/>
      <c r="P25" s="18"/>
      <c r="Q25" s="18">
        <v>1</v>
      </c>
    </row>
    <row r="26" spans="1:17" customFormat="1" x14ac:dyDescent="0.25">
      <c r="A26" s="18"/>
      <c r="B26" s="18" t="s">
        <v>34</v>
      </c>
      <c r="C26" s="18" t="s">
        <v>727</v>
      </c>
      <c r="D26" s="18" t="s">
        <v>728</v>
      </c>
      <c r="E26" s="18" t="s">
        <v>729</v>
      </c>
      <c r="F26" s="19">
        <v>2</v>
      </c>
      <c r="G26" s="19">
        <v>1120</v>
      </c>
      <c r="H26" s="19">
        <v>30</v>
      </c>
      <c r="I26" s="19">
        <f>G26-H26</f>
        <v>1090</v>
      </c>
      <c r="J26" s="18" t="s">
        <v>15</v>
      </c>
      <c r="K26" s="18" t="s">
        <v>15</v>
      </c>
      <c r="L26" s="18" t="s">
        <v>672</v>
      </c>
      <c r="M26" s="18"/>
      <c r="N26" s="18"/>
      <c r="O26" s="18"/>
      <c r="P26" s="18"/>
      <c r="Q26" s="18">
        <v>1</v>
      </c>
    </row>
    <row r="27" spans="1:17" customFormat="1" x14ac:dyDescent="0.25">
      <c r="A27" s="18"/>
      <c r="B27" s="18" t="s">
        <v>34</v>
      </c>
      <c r="C27" s="18" t="s">
        <v>730</v>
      </c>
      <c r="D27" s="18" t="s">
        <v>731</v>
      </c>
      <c r="E27" s="18" t="s">
        <v>732</v>
      </c>
      <c r="F27" s="18" t="s">
        <v>19</v>
      </c>
      <c r="G27" s="19">
        <v>460</v>
      </c>
      <c r="H27" s="19">
        <v>20</v>
      </c>
      <c r="I27" s="19">
        <f>G27-H27</f>
        <v>440</v>
      </c>
      <c r="J27" s="18" t="s">
        <v>15</v>
      </c>
      <c r="K27" s="18" t="s">
        <v>15</v>
      </c>
      <c r="L27" s="18" t="s">
        <v>672</v>
      </c>
      <c r="M27" s="18"/>
      <c r="N27" s="18"/>
      <c r="O27" s="18"/>
      <c r="P27" s="18"/>
      <c r="Q27" s="18">
        <v>1</v>
      </c>
    </row>
    <row r="28" spans="1:17" customFormat="1" x14ac:dyDescent="0.25">
      <c r="A28" s="18"/>
      <c r="B28" s="18" t="s">
        <v>34</v>
      </c>
      <c r="C28" s="18" t="s">
        <v>733</v>
      </c>
      <c r="D28" s="18" t="s">
        <v>734</v>
      </c>
      <c r="E28" s="18" t="s">
        <v>735</v>
      </c>
      <c r="F28" s="19">
        <v>2</v>
      </c>
      <c r="G28" s="19">
        <v>0</v>
      </c>
      <c r="H28" s="19">
        <v>30</v>
      </c>
      <c r="I28" s="19">
        <f>-H28</f>
        <v>-30</v>
      </c>
      <c r="J28" s="18" t="s">
        <v>15</v>
      </c>
      <c r="K28" s="18" t="s">
        <v>15</v>
      </c>
      <c r="L28" s="18" t="s">
        <v>672</v>
      </c>
      <c r="M28" s="18"/>
      <c r="N28" s="18"/>
      <c r="O28" s="18"/>
      <c r="P28" s="18"/>
      <c r="Q28" s="18">
        <v>1</v>
      </c>
    </row>
    <row r="29" spans="1:17" customFormat="1" x14ac:dyDescent="0.25">
      <c r="A29" s="18"/>
      <c r="B29" s="18" t="s">
        <v>34</v>
      </c>
      <c r="C29" s="18" t="s">
        <v>736</v>
      </c>
      <c r="D29" s="18" t="s">
        <v>737</v>
      </c>
      <c r="E29" s="18" t="s">
        <v>738</v>
      </c>
      <c r="F29" s="18" t="s">
        <v>20</v>
      </c>
      <c r="G29" s="19">
        <v>1115</v>
      </c>
      <c r="H29" s="19">
        <v>25</v>
      </c>
      <c r="I29" s="19">
        <f>G29-H29</f>
        <v>1090</v>
      </c>
      <c r="J29" s="18" t="s">
        <v>15</v>
      </c>
      <c r="K29" s="18" t="s">
        <v>15</v>
      </c>
      <c r="L29" s="18" t="s">
        <v>672</v>
      </c>
      <c r="M29" s="18"/>
      <c r="N29" s="18"/>
      <c r="O29" s="18"/>
      <c r="P29" s="18"/>
      <c r="Q29" s="18">
        <v>1</v>
      </c>
    </row>
    <row r="30" spans="1:17" customFormat="1" x14ac:dyDescent="0.25">
      <c r="A30" s="18"/>
      <c r="B30" s="18" t="s">
        <v>34</v>
      </c>
      <c r="C30" s="18" t="s">
        <v>739</v>
      </c>
      <c r="D30" s="18" t="s">
        <v>740</v>
      </c>
      <c r="E30" s="18" t="s">
        <v>741</v>
      </c>
      <c r="F30" s="18" t="s">
        <v>144</v>
      </c>
      <c r="G30" s="19">
        <v>0</v>
      </c>
      <c r="H30" s="19">
        <v>30</v>
      </c>
      <c r="I30" s="19">
        <f>-H30</f>
        <v>-30</v>
      </c>
      <c r="J30" s="18" t="s">
        <v>15</v>
      </c>
      <c r="K30" s="18" t="s">
        <v>15</v>
      </c>
      <c r="L30" s="18" t="s">
        <v>672</v>
      </c>
      <c r="M30" s="18"/>
      <c r="N30" s="18"/>
      <c r="O30" s="18"/>
      <c r="P30" s="18"/>
      <c r="Q30" s="18">
        <v>1</v>
      </c>
    </row>
    <row r="31" spans="1:17" customFormat="1" x14ac:dyDescent="0.25">
      <c r="A31" s="18"/>
      <c r="B31" s="18" t="s">
        <v>34</v>
      </c>
      <c r="C31" s="18" t="s">
        <v>742</v>
      </c>
      <c r="D31" s="18" t="s">
        <v>743</v>
      </c>
      <c r="E31" s="18" t="s">
        <v>744</v>
      </c>
      <c r="F31" s="18" t="s">
        <v>144</v>
      </c>
      <c r="G31" s="19">
        <v>820</v>
      </c>
      <c r="H31" s="19">
        <v>30</v>
      </c>
      <c r="I31" s="19">
        <f>G31-H31</f>
        <v>790</v>
      </c>
      <c r="J31" s="18" t="s">
        <v>15</v>
      </c>
      <c r="K31" s="18" t="s">
        <v>15</v>
      </c>
      <c r="L31" s="18" t="s">
        <v>672</v>
      </c>
      <c r="M31" s="18"/>
      <c r="N31" s="18"/>
      <c r="O31" s="18"/>
      <c r="P31" s="18"/>
      <c r="Q31" s="18">
        <v>1</v>
      </c>
    </row>
    <row r="32" spans="1:17" customFormat="1" x14ac:dyDescent="0.25">
      <c r="A32" s="18"/>
      <c r="B32" s="18" t="s">
        <v>34</v>
      </c>
      <c r="C32" s="18" t="s">
        <v>745</v>
      </c>
      <c r="D32" s="18" t="s">
        <v>746</v>
      </c>
      <c r="E32" s="18" t="s">
        <v>747</v>
      </c>
      <c r="F32" s="19">
        <v>2</v>
      </c>
      <c r="G32" s="19">
        <v>740</v>
      </c>
      <c r="H32" s="19">
        <v>30</v>
      </c>
      <c r="I32" s="19">
        <f>G32-H32</f>
        <v>710</v>
      </c>
      <c r="J32" s="18" t="s">
        <v>15</v>
      </c>
      <c r="K32" s="18" t="s">
        <v>15</v>
      </c>
      <c r="L32" s="18" t="s">
        <v>672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748</v>
      </c>
      <c r="D33" s="18" t="s">
        <v>749</v>
      </c>
      <c r="E33" s="18" t="s">
        <v>750</v>
      </c>
      <c r="F33" s="18" t="s">
        <v>17</v>
      </c>
      <c r="G33" s="19">
        <v>370</v>
      </c>
      <c r="H33" s="19">
        <v>20</v>
      </c>
      <c r="I33" s="19">
        <f>G33-H33</f>
        <v>350</v>
      </c>
      <c r="J33" s="18" t="s">
        <v>160</v>
      </c>
      <c r="K33" s="18" t="s">
        <v>15</v>
      </c>
      <c r="L33" s="18" t="s">
        <v>672</v>
      </c>
      <c r="M33" s="18"/>
      <c r="N33" s="18"/>
      <c r="O33" s="18"/>
      <c r="P33" s="18"/>
      <c r="Q33" s="18">
        <v>1</v>
      </c>
    </row>
    <row r="34" spans="1:18" s="22" customFormat="1" x14ac:dyDescent="0.25">
      <c r="A34" s="20"/>
      <c r="B34" s="20" t="s">
        <v>34</v>
      </c>
      <c r="C34" s="20" t="s">
        <v>399</v>
      </c>
      <c r="D34" s="20" t="s">
        <v>751</v>
      </c>
      <c r="E34" s="20" t="s">
        <v>401</v>
      </c>
      <c r="F34" s="21">
        <v>4</v>
      </c>
      <c r="G34" s="21">
        <v>935</v>
      </c>
      <c r="H34" s="21">
        <v>25</v>
      </c>
      <c r="I34" s="21">
        <f>G34-H34</f>
        <v>910</v>
      </c>
      <c r="J34" s="20" t="s">
        <v>160</v>
      </c>
      <c r="K34" s="20" t="s">
        <v>15</v>
      </c>
      <c r="L34" s="20" t="s">
        <v>672</v>
      </c>
      <c r="M34" s="20" t="s">
        <v>16</v>
      </c>
      <c r="N34" s="20"/>
      <c r="O34" s="20"/>
      <c r="P34" s="20"/>
      <c r="Q34" s="20">
        <v>1</v>
      </c>
    </row>
    <row r="35" spans="1:18" customFormat="1" x14ac:dyDescent="0.25">
      <c r="A35" s="18"/>
      <c r="B35" s="18" t="s">
        <v>34</v>
      </c>
      <c r="C35" s="18" t="s">
        <v>752</v>
      </c>
      <c r="D35" s="18" t="s">
        <v>753</v>
      </c>
      <c r="E35" s="18" t="s">
        <v>754</v>
      </c>
      <c r="F35" s="18" t="s">
        <v>17</v>
      </c>
      <c r="G35" s="19">
        <v>0</v>
      </c>
      <c r="H35" s="19">
        <v>20</v>
      </c>
      <c r="I35" s="19">
        <f>-H35</f>
        <v>-20</v>
      </c>
      <c r="J35" s="18" t="s">
        <v>160</v>
      </c>
      <c r="K35" s="18" t="s">
        <v>15</v>
      </c>
      <c r="L35" s="18" t="s">
        <v>672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755</v>
      </c>
      <c r="D36" s="18" t="s">
        <v>756</v>
      </c>
      <c r="E36" s="18" t="s">
        <v>757</v>
      </c>
      <c r="F36" s="19">
        <v>1</v>
      </c>
      <c r="G36" s="19">
        <v>2010</v>
      </c>
      <c r="H36" s="19">
        <v>30</v>
      </c>
      <c r="I36" s="19">
        <f t="shared" ref="I36:I45" si="2">G36-H36</f>
        <v>1980</v>
      </c>
      <c r="J36" s="18" t="s">
        <v>160</v>
      </c>
      <c r="K36" s="18" t="s">
        <v>15</v>
      </c>
      <c r="L36" s="18" t="s">
        <v>672</v>
      </c>
      <c r="M36" s="27" t="s">
        <v>377</v>
      </c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758</v>
      </c>
      <c r="D37" s="18" t="s">
        <v>759</v>
      </c>
      <c r="E37" s="18" t="s">
        <v>760</v>
      </c>
      <c r="F37" s="18" t="s">
        <v>18</v>
      </c>
      <c r="G37" s="19">
        <v>725</v>
      </c>
      <c r="H37" s="19">
        <v>25</v>
      </c>
      <c r="I37" s="19">
        <f t="shared" si="2"/>
        <v>700</v>
      </c>
      <c r="J37" s="18" t="s">
        <v>160</v>
      </c>
      <c r="K37" s="18" t="s">
        <v>15</v>
      </c>
      <c r="L37" s="18" t="s">
        <v>672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761</v>
      </c>
      <c r="D38" s="18" t="s">
        <v>762</v>
      </c>
      <c r="E38" s="18" t="s">
        <v>763</v>
      </c>
      <c r="F38" s="19">
        <v>1</v>
      </c>
      <c r="G38" s="19">
        <v>465</v>
      </c>
      <c r="H38" s="19">
        <v>25</v>
      </c>
      <c r="I38" s="19">
        <f t="shared" si="2"/>
        <v>440</v>
      </c>
      <c r="J38" s="18" t="s">
        <v>160</v>
      </c>
      <c r="K38" s="18" t="s">
        <v>15</v>
      </c>
      <c r="L38" s="18" t="s">
        <v>672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264</v>
      </c>
      <c r="D39" s="18" t="s">
        <v>764</v>
      </c>
      <c r="E39" s="18" t="s">
        <v>266</v>
      </c>
      <c r="F39" s="18" t="s">
        <v>17</v>
      </c>
      <c r="G39" s="19">
        <v>810</v>
      </c>
      <c r="H39" s="19">
        <v>20</v>
      </c>
      <c r="I39" s="19">
        <f t="shared" si="2"/>
        <v>790</v>
      </c>
      <c r="J39" s="18" t="s">
        <v>160</v>
      </c>
      <c r="K39" s="18" t="s">
        <v>15</v>
      </c>
      <c r="L39" s="18" t="s">
        <v>672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765</v>
      </c>
      <c r="D40" s="18" t="s">
        <v>766</v>
      </c>
      <c r="E40" s="18" t="s">
        <v>767</v>
      </c>
      <c r="F40" s="19">
        <v>10</v>
      </c>
      <c r="G40" s="19">
        <v>0</v>
      </c>
      <c r="H40" s="19">
        <v>25</v>
      </c>
      <c r="I40" s="19">
        <f t="shared" si="2"/>
        <v>-25</v>
      </c>
      <c r="J40" s="18" t="s">
        <v>160</v>
      </c>
      <c r="K40" s="18" t="s">
        <v>15</v>
      </c>
      <c r="L40" s="18" t="s">
        <v>672</v>
      </c>
      <c r="M40" s="27" t="s">
        <v>768</v>
      </c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769</v>
      </c>
      <c r="D41" s="18" t="s">
        <v>770</v>
      </c>
      <c r="E41" s="18" t="s">
        <v>771</v>
      </c>
      <c r="F41" s="19">
        <v>1</v>
      </c>
      <c r="G41" s="19">
        <v>815</v>
      </c>
      <c r="H41" s="19">
        <v>25</v>
      </c>
      <c r="I41" s="19">
        <f t="shared" si="2"/>
        <v>790</v>
      </c>
      <c r="J41" s="18" t="s">
        <v>160</v>
      </c>
      <c r="K41" s="18" t="s">
        <v>15</v>
      </c>
      <c r="L41" s="18" t="s">
        <v>672</v>
      </c>
      <c r="M41" s="18"/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772</v>
      </c>
      <c r="D42" s="18" t="s">
        <v>773</v>
      </c>
      <c r="E42" s="18" t="s">
        <v>774</v>
      </c>
      <c r="F42" s="19">
        <v>1</v>
      </c>
      <c r="G42" s="19">
        <v>405</v>
      </c>
      <c r="H42" s="19">
        <v>25</v>
      </c>
      <c r="I42" s="19">
        <f t="shared" si="2"/>
        <v>380</v>
      </c>
      <c r="J42" s="18" t="s">
        <v>160</v>
      </c>
      <c r="K42" s="18" t="s">
        <v>15</v>
      </c>
      <c r="L42" s="18" t="s">
        <v>672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775</v>
      </c>
      <c r="D43" s="18" t="s">
        <v>776</v>
      </c>
      <c r="E43" s="18" t="s">
        <v>777</v>
      </c>
      <c r="F43" s="18" t="s">
        <v>17</v>
      </c>
      <c r="G43" s="19">
        <v>710</v>
      </c>
      <c r="H43" s="19">
        <v>20</v>
      </c>
      <c r="I43" s="19">
        <f t="shared" si="2"/>
        <v>690</v>
      </c>
      <c r="J43" s="18" t="s">
        <v>160</v>
      </c>
      <c r="K43" s="18" t="s">
        <v>15</v>
      </c>
      <c r="L43" s="18" t="s">
        <v>672</v>
      </c>
      <c r="M43" s="18"/>
      <c r="N43" s="18"/>
      <c r="O43" s="18"/>
      <c r="P43" s="18"/>
      <c r="Q43" s="18">
        <v>1</v>
      </c>
    </row>
    <row r="44" spans="1:18" s="36" customFormat="1" x14ac:dyDescent="0.25">
      <c r="A44" s="18"/>
      <c r="B44" s="18" t="s">
        <v>34</v>
      </c>
      <c r="C44" s="18" t="s">
        <v>778</v>
      </c>
      <c r="D44" s="18" t="s">
        <v>779</v>
      </c>
      <c r="E44" s="18" t="s">
        <v>780</v>
      </c>
      <c r="F44" s="19">
        <v>1</v>
      </c>
      <c r="G44" s="19">
        <v>465</v>
      </c>
      <c r="H44" s="19">
        <v>25</v>
      </c>
      <c r="I44" s="19">
        <f t="shared" si="2"/>
        <v>440</v>
      </c>
      <c r="J44" s="18" t="s">
        <v>160</v>
      </c>
      <c r="K44" s="18" t="s">
        <v>15</v>
      </c>
      <c r="L44" s="18" t="s">
        <v>672</v>
      </c>
      <c r="M44" s="18"/>
      <c r="N44" s="18"/>
      <c r="O44" s="18"/>
      <c r="P44" s="18"/>
      <c r="Q44" s="35">
        <v>1</v>
      </c>
    </row>
    <row r="45" spans="1:18" s="41" customFormat="1" x14ac:dyDescent="0.25">
      <c r="A45" s="37"/>
      <c r="B45" s="37" t="s">
        <v>34</v>
      </c>
      <c r="C45" s="37" t="s">
        <v>781</v>
      </c>
      <c r="D45" s="37" t="s">
        <v>782</v>
      </c>
      <c r="E45" s="37" t="s">
        <v>783</v>
      </c>
      <c r="F45" s="37" t="s">
        <v>784</v>
      </c>
      <c r="G45" s="38">
        <v>360</v>
      </c>
      <c r="H45" s="38">
        <v>0</v>
      </c>
      <c r="I45" s="38">
        <f t="shared" si="2"/>
        <v>360</v>
      </c>
      <c r="J45" s="37" t="s">
        <v>662</v>
      </c>
      <c r="K45" s="37" t="s">
        <v>15</v>
      </c>
      <c r="L45" s="37" t="s">
        <v>785</v>
      </c>
      <c r="M45" s="39" t="s">
        <v>786</v>
      </c>
      <c r="N45" s="37" t="s">
        <v>787</v>
      </c>
      <c r="O45" s="37"/>
      <c r="P45" s="37" t="s">
        <v>788</v>
      </c>
      <c r="Q45" s="38">
        <v>1</v>
      </c>
      <c r="R45" s="40"/>
    </row>
    <row r="47" spans="1:18" x14ac:dyDescent="0.25">
      <c r="G47" s="1">
        <f t="shared" ref="G47:R47" si="3">SUBTOTAL(9,G3:G46)</f>
        <v>26545</v>
      </c>
      <c r="H47" s="1">
        <f t="shared" si="3"/>
        <v>1165</v>
      </c>
      <c r="I47" s="1">
        <f t="shared" si="3"/>
        <v>25380</v>
      </c>
      <c r="J47" s="1">
        <f t="shared" si="3"/>
        <v>0</v>
      </c>
      <c r="K47" s="1">
        <f t="shared" si="3"/>
        <v>0</v>
      </c>
      <c r="L47" s="1">
        <f t="shared" si="3"/>
        <v>0</v>
      </c>
      <c r="M47" s="1">
        <f t="shared" si="3"/>
        <v>0</v>
      </c>
      <c r="N47" s="1">
        <f t="shared" si="3"/>
        <v>0</v>
      </c>
      <c r="O47" s="1">
        <f t="shared" si="3"/>
        <v>0</v>
      </c>
      <c r="P47" s="1">
        <f t="shared" si="3"/>
        <v>0</v>
      </c>
      <c r="Q47" s="1">
        <f t="shared" si="3"/>
        <v>43</v>
      </c>
      <c r="R47" s="1">
        <f t="shared" si="3"/>
        <v>0</v>
      </c>
    </row>
    <row r="48" spans="1:18" x14ac:dyDescent="0.25">
      <c r="I48" s="1">
        <v>-710</v>
      </c>
      <c r="J48" s="1" t="s">
        <v>789</v>
      </c>
    </row>
    <row r="51" spans="1:12" ht="20.25" customHeight="1" x14ac:dyDescent="0.3">
      <c r="H51" s="4" t="s">
        <v>668</v>
      </c>
      <c r="I51" s="5" t="s">
        <v>21</v>
      </c>
      <c r="J51" s="6" t="s">
        <v>22</v>
      </c>
    </row>
    <row r="52" spans="1:12" ht="15.75" customHeight="1" x14ac:dyDescent="0.25">
      <c r="H52" s="7" t="s">
        <v>23</v>
      </c>
      <c r="I52" s="8">
        <f>SUM(I46:I50)</f>
        <v>24670</v>
      </c>
      <c r="J52" s="8">
        <f>Q47</f>
        <v>43</v>
      </c>
    </row>
    <row r="53" spans="1:12" x14ac:dyDescent="0.25">
      <c r="H53" s="9" t="s">
        <v>24</v>
      </c>
      <c r="I53" s="10">
        <f>R47</f>
        <v>0</v>
      </c>
      <c r="J53" s="11"/>
    </row>
    <row r="54" spans="1:12" x14ac:dyDescent="0.25">
      <c r="H54" s="9" t="s">
        <v>25</v>
      </c>
      <c r="I54" s="10">
        <f>S46</f>
        <v>0</v>
      </c>
      <c r="J54" s="11"/>
    </row>
    <row r="55" spans="1:12" x14ac:dyDescent="0.25">
      <c r="H55" s="9" t="s">
        <v>26</v>
      </c>
      <c r="I55" s="10">
        <f>T46</f>
        <v>0</v>
      </c>
      <c r="J55" s="11"/>
    </row>
    <row r="56" spans="1:12" x14ac:dyDescent="0.25">
      <c r="H56" s="9" t="s">
        <v>27</v>
      </c>
      <c r="I56" s="10">
        <f>U46</f>
        <v>0</v>
      </c>
      <c r="J56" s="11"/>
    </row>
    <row r="57" spans="1:12" ht="15.75" customHeight="1" x14ac:dyDescent="0.25">
      <c r="H57" s="12" t="s">
        <v>28</v>
      </c>
      <c r="I57" s="13"/>
      <c r="J57" s="13"/>
    </row>
    <row r="58" spans="1:12" ht="15.75" customHeight="1" x14ac:dyDescent="0.25">
      <c r="H58" s="14" t="s">
        <v>29</v>
      </c>
      <c r="I58" s="13"/>
      <c r="J58" s="13"/>
    </row>
    <row r="59" spans="1:12" ht="21" customHeight="1" x14ac:dyDescent="0.35">
      <c r="H59" s="15" t="s">
        <v>30</v>
      </c>
      <c r="I59" s="16">
        <f>SUM(I52:I58)</f>
        <v>24670</v>
      </c>
      <c r="J59" s="16">
        <f>SUM(J52:J56)</f>
        <v>43</v>
      </c>
    </row>
    <row r="62" spans="1:12" x14ac:dyDescent="0.25">
      <c r="A62" s="1" t="s">
        <v>173</v>
      </c>
    </row>
    <row r="63" spans="1:12" x14ac:dyDescent="0.25">
      <c r="A63" s="24" t="s">
        <v>34</v>
      </c>
      <c r="B63" s="24" t="s">
        <v>765</v>
      </c>
      <c r="C63" s="24" t="s">
        <v>766</v>
      </c>
      <c r="D63" s="24" t="s">
        <v>767</v>
      </c>
      <c r="E63" s="25">
        <v>10</v>
      </c>
      <c r="F63" s="25">
        <v>1935</v>
      </c>
      <c r="G63" s="25">
        <v>0</v>
      </c>
      <c r="H63" s="25">
        <f t="shared" ref="H63" si="4">F63-G63</f>
        <v>1935</v>
      </c>
      <c r="I63" s="24" t="s">
        <v>160</v>
      </c>
      <c r="J63" s="24" t="s">
        <v>15</v>
      </c>
      <c r="K63" s="24" t="s">
        <v>672</v>
      </c>
      <c r="L63" s="26" t="s">
        <v>768</v>
      </c>
    </row>
  </sheetData>
  <autoFilter ref="A2:P45" xr:uid="{00000000-0009-0000-0000-000006000000}">
    <sortState xmlns:xlrd2="http://schemas.microsoft.com/office/spreadsheetml/2017/richdata2" ref="A3:P45">
      <sortCondition ref="J2:J45"/>
    </sortState>
  </autoFilter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4D2BC-03C6-489C-8EEF-A37F190B53E9}">
  <dimension ref="A1:R53"/>
  <sheetViews>
    <sheetView topLeftCell="A10" workbookViewId="0">
      <selection activeCell="E34" sqref="E34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102</v>
      </c>
      <c r="C1" s="1" t="s">
        <v>791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 t="s">
        <v>96</v>
      </c>
      <c r="B3" s="18" t="s">
        <v>34</v>
      </c>
      <c r="C3" s="18" t="s">
        <v>260</v>
      </c>
      <c r="D3" s="18"/>
      <c r="E3" s="18" t="s">
        <v>261</v>
      </c>
      <c r="F3" s="19">
        <v>6</v>
      </c>
      <c r="G3" s="19">
        <v>30</v>
      </c>
      <c r="H3" s="19">
        <v>30</v>
      </c>
      <c r="I3" s="19">
        <f>G3-H3</f>
        <v>0</v>
      </c>
      <c r="J3" s="18" t="s">
        <v>793</v>
      </c>
      <c r="K3" s="18" t="s">
        <v>15</v>
      </c>
      <c r="L3" s="18" t="s">
        <v>794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795</v>
      </c>
      <c r="D4" s="18" t="s">
        <v>796</v>
      </c>
      <c r="E4" s="18" t="s">
        <v>797</v>
      </c>
      <c r="F4" s="19">
        <v>8</v>
      </c>
      <c r="G4" s="19">
        <v>820</v>
      </c>
      <c r="H4" s="19">
        <v>30</v>
      </c>
      <c r="I4" s="19">
        <f>G4-H4</f>
        <v>790</v>
      </c>
      <c r="J4" s="18" t="s">
        <v>793</v>
      </c>
      <c r="K4" s="18" t="s">
        <v>15</v>
      </c>
      <c r="L4" s="18" t="s">
        <v>794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798</v>
      </c>
      <c r="D5" s="18" t="s">
        <v>799</v>
      </c>
      <c r="E5" s="18" t="s">
        <v>800</v>
      </c>
      <c r="F5" s="18" t="s">
        <v>212</v>
      </c>
      <c r="G5" s="19">
        <v>0</v>
      </c>
      <c r="H5" s="19">
        <v>25</v>
      </c>
      <c r="I5" s="19">
        <f>-H5</f>
        <v>-25</v>
      </c>
      <c r="J5" s="18" t="s">
        <v>793</v>
      </c>
      <c r="K5" s="18" t="s">
        <v>15</v>
      </c>
      <c r="L5" s="18" t="s">
        <v>794</v>
      </c>
      <c r="M5" s="18"/>
      <c r="N5" s="18"/>
      <c r="O5" s="18"/>
      <c r="P5" s="18"/>
      <c r="Q5" s="18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801</v>
      </c>
      <c r="D6" s="18" t="s">
        <v>802</v>
      </c>
      <c r="E6" s="18" t="s">
        <v>610</v>
      </c>
      <c r="F6" s="19">
        <v>6</v>
      </c>
      <c r="G6" s="19">
        <v>465</v>
      </c>
      <c r="H6" s="19">
        <v>25</v>
      </c>
      <c r="I6" s="19">
        <f t="shared" ref="I6:I11" si="0">G6-H6</f>
        <v>440</v>
      </c>
      <c r="J6" s="18" t="s">
        <v>793</v>
      </c>
      <c r="K6" s="18" t="s">
        <v>15</v>
      </c>
      <c r="L6" s="18" t="s">
        <v>794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803</v>
      </c>
      <c r="D7" s="18" t="s">
        <v>804</v>
      </c>
      <c r="E7" s="18" t="s">
        <v>805</v>
      </c>
      <c r="F7" s="18" t="s">
        <v>212</v>
      </c>
      <c r="G7" s="19">
        <v>1260</v>
      </c>
      <c r="H7" s="19">
        <v>30</v>
      </c>
      <c r="I7" s="19">
        <f t="shared" si="0"/>
        <v>1230</v>
      </c>
      <c r="J7" s="18" t="s">
        <v>793</v>
      </c>
      <c r="K7" s="18" t="s">
        <v>15</v>
      </c>
      <c r="L7" s="18" t="s">
        <v>794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806</v>
      </c>
      <c r="D8" s="18" t="s">
        <v>807</v>
      </c>
      <c r="E8" s="18" t="s">
        <v>808</v>
      </c>
      <c r="F8" s="19">
        <v>6</v>
      </c>
      <c r="G8" s="19">
        <v>865</v>
      </c>
      <c r="H8" s="19">
        <v>25</v>
      </c>
      <c r="I8" s="19">
        <f t="shared" si="0"/>
        <v>840</v>
      </c>
      <c r="J8" s="18" t="s">
        <v>793</v>
      </c>
      <c r="K8" s="18" t="s">
        <v>15</v>
      </c>
      <c r="L8" s="18" t="s">
        <v>794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809</v>
      </c>
      <c r="D9" s="18" t="s">
        <v>810</v>
      </c>
      <c r="E9" s="18" t="s">
        <v>811</v>
      </c>
      <c r="F9" s="18" t="s">
        <v>38</v>
      </c>
      <c r="G9" s="19">
        <v>820</v>
      </c>
      <c r="H9" s="19">
        <v>30</v>
      </c>
      <c r="I9" s="19">
        <f t="shared" si="0"/>
        <v>790</v>
      </c>
      <c r="J9" s="18" t="s">
        <v>793</v>
      </c>
      <c r="K9" s="18" t="s">
        <v>15</v>
      </c>
      <c r="L9" s="18" t="s">
        <v>794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812</v>
      </c>
      <c r="D10" s="18" t="s">
        <v>813</v>
      </c>
      <c r="E10" s="18" t="s">
        <v>814</v>
      </c>
      <c r="F10" s="19">
        <v>7</v>
      </c>
      <c r="G10" s="19">
        <v>410</v>
      </c>
      <c r="H10" s="19">
        <v>30</v>
      </c>
      <c r="I10" s="19">
        <f t="shared" si="0"/>
        <v>380</v>
      </c>
      <c r="J10" s="18" t="s">
        <v>793</v>
      </c>
      <c r="K10" s="18" t="s">
        <v>15</v>
      </c>
      <c r="L10" s="18" t="s">
        <v>794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815</v>
      </c>
      <c r="D11" s="18" t="s">
        <v>816</v>
      </c>
      <c r="E11" s="18" t="s">
        <v>817</v>
      </c>
      <c r="F11" s="19">
        <v>12</v>
      </c>
      <c r="G11" s="19">
        <v>1640</v>
      </c>
      <c r="H11" s="19">
        <v>30</v>
      </c>
      <c r="I11" s="19">
        <f t="shared" si="0"/>
        <v>1610</v>
      </c>
      <c r="J11" s="18" t="s">
        <v>793</v>
      </c>
      <c r="K11" s="18" t="s">
        <v>15</v>
      </c>
      <c r="L11" s="18" t="s">
        <v>794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818</v>
      </c>
      <c r="D12" s="18" t="s">
        <v>819</v>
      </c>
      <c r="E12" s="18" t="s">
        <v>820</v>
      </c>
      <c r="F12" s="18" t="s">
        <v>18</v>
      </c>
      <c r="G12" s="19">
        <v>0</v>
      </c>
      <c r="H12" s="19">
        <v>25</v>
      </c>
      <c r="I12" s="19">
        <f>-H12</f>
        <v>-25</v>
      </c>
      <c r="J12" s="18" t="s">
        <v>793</v>
      </c>
      <c r="K12" s="18" t="s">
        <v>15</v>
      </c>
      <c r="L12" s="18" t="s">
        <v>794</v>
      </c>
      <c r="M12" s="18"/>
      <c r="N12" s="18"/>
      <c r="O12" s="18"/>
      <c r="P12" s="18"/>
      <c r="Q12" s="18">
        <v>1</v>
      </c>
      <c r="R12" s="17">
        <f>H12</f>
        <v>25</v>
      </c>
    </row>
    <row r="13" spans="1:18" customFormat="1" x14ac:dyDescent="0.25">
      <c r="A13" s="18"/>
      <c r="B13" s="18" t="s">
        <v>34</v>
      </c>
      <c r="C13" s="18" t="s">
        <v>821</v>
      </c>
      <c r="D13" s="18" t="s">
        <v>822</v>
      </c>
      <c r="E13" s="18" t="s">
        <v>823</v>
      </c>
      <c r="F13" s="19">
        <v>6</v>
      </c>
      <c r="G13" s="19">
        <v>1735</v>
      </c>
      <c r="H13" s="19">
        <v>25</v>
      </c>
      <c r="I13" s="19">
        <f>G13-H13</f>
        <v>1710</v>
      </c>
      <c r="J13" s="18" t="s">
        <v>793</v>
      </c>
      <c r="K13" s="18" t="s">
        <v>15</v>
      </c>
      <c r="L13" s="18" t="s">
        <v>794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824</v>
      </c>
      <c r="D14" s="18" t="s">
        <v>825</v>
      </c>
      <c r="E14" s="18" t="s">
        <v>826</v>
      </c>
      <c r="F14" s="18" t="s">
        <v>38</v>
      </c>
      <c r="G14" s="19">
        <v>470</v>
      </c>
      <c r="H14" s="19">
        <v>30</v>
      </c>
      <c r="I14" s="19">
        <f>G14-H14</f>
        <v>440</v>
      </c>
      <c r="J14" s="18" t="s">
        <v>793</v>
      </c>
      <c r="K14" s="18" t="s">
        <v>15</v>
      </c>
      <c r="L14" s="18" t="s">
        <v>794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827</v>
      </c>
      <c r="D15" s="18" t="s">
        <v>828</v>
      </c>
      <c r="E15" s="18" t="s">
        <v>829</v>
      </c>
      <c r="F15" s="18" t="s">
        <v>18</v>
      </c>
      <c r="G15" s="19">
        <v>0</v>
      </c>
      <c r="H15" s="19">
        <v>25</v>
      </c>
      <c r="I15" s="19">
        <f>-H15</f>
        <v>-25</v>
      </c>
      <c r="J15" s="18" t="s">
        <v>793</v>
      </c>
      <c r="K15" s="18" t="s">
        <v>15</v>
      </c>
      <c r="L15" s="18" t="s">
        <v>794</v>
      </c>
      <c r="M15" s="18"/>
      <c r="N15" s="18"/>
      <c r="O15" s="18"/>
      <c r="P15" s="18"/>
      <c r="Q15" s="18">
        <v>1</v>
      </c>
      <c r="R15" s="17">
        <f>H15</f>
        <v>25</v>
      </c>
    </row>
    <row r="16" spans="1:18" customFormat="1" x14ac:dyDescent="0.25">
      <c r="A16" s="18"/>
      <c r="B16" s="18" t="s">
        <v>34</v>
      </c>
      <c r="C16" s="18" t="s">
        <v>830</v>
      </c>
      <c r="D16" s="18" t="s">
        <v>831</v>
      </c>
      <c r="E16" s="18" t="s">
        <v>832</v>
      </c>
      <c r="F16" s="19">
        <v>7</v>
      </c>
      <c r="G16" s="19">
        <v>890</v>
      </c>
      <c r="H16" s="19">
        <v>30</v>
      </c>
      <c r="I16" s="19">
        <f>G16-H16</f>
        <v>860</v>
      </c>
      <c r="J16" s="18" t="s">
        <v>793</v>
      </c>
      <c r="K16" s="18" t="s">
        <v>15</v>
      </c>
      <c r="L16" s="18" t="s">
        <v>794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833</v>
      </c>
      <c r="D17" s="18" t="s">
        <v>834</v>
      </c>
      <c r="E17" s="18" t="s">
        <v>835</v>
      </c>
      <c r="F17" s="19">
        <v>7</v>
      </c>
      <c r="G17" s="19">
        <v>1120</v>
      </c>
      <c r="H17" s="19">
        <v>30</v>
      </c>
      <c r="I17" s="19">
        <f>G17-H17</f>
        <v>1090</v>
      </c>
      <c r="J17" s="18" t="s">
        <v>793</v>
      </c>
      <c r="K17" s="18" t="s">
        <v>15</v>
      </c>
      <c r="L17" s="18" t="s">
        <v>794</v>
      </c>
      <c r="M17" s="18"/>
      <c r="N17" s="18"/>
      <c r="O17" s="18"/>
      <c r="P17" s="18"/>
      <c r="Q17" s="18">
        <v>1</v>
      </c>
    </row>
    <row r="18" spans="1:18" customFormat="1" x14ac:dyDescent="0.25">
      <c r="A18" s="18" t="s">
        <v>96</v>
      </c>
      <c r="B18" s="18" t="s">
        <v>34</v>
      </c>
      <c r="C18" s="18" t="s">
        <v>586</v>
      </c>
      <c r="D18" s="18"/>
      <c r="E18" s="18" t="s">
        <v>587</v>
      </c>
      <c r="F18" s="18" t="s">
        <v>144</v>
      </c>
      <c r="G18" s="19">
        <v>2135</v>
      </c>
      <c r="H18" s="19">
        <v>35</v>
      </c>
      <c r="I18" s="19">
        <f>G18-H18</f>
        <v>2100</v>
      </c>
      <c r="J18" s="18" t="s">
        <v>15</v>
      </c>
      <c r="K18" s="18" t="s">
        <v>15</v>
      </c>
      <c r="L18" s="18" t="s">
        <v>794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836</v>
      </c>
      <c r="D19" s="18" t="s">
        <v>837</v>
      </c>
      <c r="E19" s="18" t="s">
        <v>838</v>
      </c>
      <c r="F19" s="19">
        <v>2</v>
      </c>
      <c r="G19" s="19">
        <v>0</v>
      </c>
      <c r="H19" s="19">
        <v>30</v>
      </c>
      <c r="I19" s="19">
        <f>-H19</f>
        <v>-30</v>
      </c>
      <c r="J19" s="18" t="s">
        <v>15</v>
      </c>
      <c r="K19" s="18" t="s">
        <v>15</v>
      </c>
      <c r="L19" s="18" t="s">
        <v>794</v>
      </c>
      <c r="M19" s="18"/>
      <c r="N19" s="18"/>
      <c r="O19" s="18"/>
      <c r="P19" s="18"/>
      <c r="Q19" s="18">
        <v>1</v>
      </c>
      <c r="R19" s="17">
        <f>H19</f>
        <v>30</v>
      </c>
    </row>
    <row r="20" spans="1:18" customFormat="1" x14ac:dyDescent="0.25">
      <c r="A20" s="18"/>
      <c r="B20" s="18" t="s">
        <v>34</v>
      </c>
      <c r="C20" s="18" t="s">
        <v>839</v>
      </c>
      <c r="D20" s="18" t="s">
        <v>840</v>
      </c>
      <c r="E20" s="18" t="s">
        <v>841</v>
      </c>
      <c r="F20" s="18" t="s">
        <v>20</v>
      </c>
      <c r="G20" s="19">
        <v>815</v>
      </c>
      <c r="H20" s="19">
        <v>25</v>
      </c>
      <c r="I20" s="19">
        <f>G20-H20</f>
        <v>790</v>
      </c>
      <c r="J20" s="18" t="s">
        <v>15</v>
      </c>
      <c r="K20" s="18" t="s">
        <v>15</v>
      </c>
      <c r="L20" s="18" t="s">
        <v>794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842</v>
      </c>
      <c r="D21" s="18" t="s">
        <v>843</v>
      </c>
      <c r="E21" s="18" t="s">
        <v>844</v>
      </c>
      <c r="F21" s="18" t="s">
        <v>18</v>
      </c>
      <c r="G21" s="19">
        <v>0</v>
      </c>
      <c r="H21" s="19">
        <v>25</v>
      </c>
      <c r="I21" s="19">
        <f>-H21</f>
        <v>-25</v>
      </c>
      <c r="J21" s="18" t="s">
        <v>15</v>
      </c>
      <c r="K21" s="18" t="s">
        <v>15</v>
      </c>
      <c r="L21" s="18" t="s">
        <v>794</v>
      </c>
      <c r="M21" s="18"/>
      <c r="N21" s="18"/>
      <c r="O21" s="18"/>
      <c r="P21" s="18"/>
      <c r="Q21" s="18">
        <v>1</v>
      </c>
      <c r="R21" s="17">
        <f>H21</f>
        <v>25</v>
      </c>
    </row>
    <row r="22" spans="1:18" customFormat="1" x14ac:dyDescent="0.25">
      <c r="A22" s="18"/>
      <c r="B22" s="18" t="s">
        <v>34</v>
      </c>
      <c r="C22" s="18" t="s">
        <v>845</v>
      </c>
      <c r="D22" s="18" t="s">
        <v>846</v>
      </c>
      <c r="E22" s="18" t="s">
        <v>847</v>
      </c>
      <c r="F22" s="18" t="s">
        <v>144</v>
      </c>
      <c r="G22" s="19">
        <v>730</v>
      </c>
      <c r="H22" s="19">
        <v>30</v>
      </c>
      <c r="I22" s="19">
        <f>G22-H22</f>
        <v>700</v>
      </c>
      <c r="J22" s="18" t="s">
        <v>15</v>
      </c>
      <c r="K22" s="18" t="s">
        <v>15</v>
      </c>
      <c r="L22" s="18" t="s">
        <v>794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848</v>
      </c>
      <c r="D23" s="18" t="s">
        <v>849</v>
      </c>
      <c r="E23" s="18" t="s">
        <v>850</v>
      </c>
      <c r="F23" s="18" t="s">
        <v>20</v>
      </c>
      <c r="G23" s="19">
        <v>1345</v>
      </c>
      <c r="H23" s="19">
        <v>25</v>
      </c>
      <c r="I23" s="19">
        <f>G23-H23</f>
        <v>1320</v>
      </c>
      <c r="J23" s="18" t="s">
        <v>15</v>
      </c>
      <c r="K23" s="18" t="s">
        <v>15</v>
      </c>
      <c r="L23" s="18" t="s">
        <v>794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851</v>
      </c>
      <c r="D24" s="18" t="s">
        <v>852</v>
      </c>
      <c r="E24" s="18" t="s">
        <v>853</v>
      </c>
      <c r="F24" s="18" t="s">
        <v>18</v>
      </c>
      <c r="G24" s="19">
        <v>0</v>
      </c>
      <c r="H24" s="19">
        <v>25</v>
      </c>
      <c r="I24" s="19">
        <f>-H24</f>
        <v>-25</v>
      </c>
      <c r="J24" s="18" t="s">
        <v>15</v>
      </c>
      <c r="K24" s="18" t="s">
        <v>15</v>
      </c>
      <c r="L24" s="18" t="s">
        <v>794</v>
      </c>
      <c r="M24" s="18"/>
      <c r="N24" s="18"/>
      <c r="O24" s="18"/>
      <c r="P24" s="18"/>
      <c r="Q24" s="18">
        <v>1</v>
      </c>
      <c r="R24" s="17">
        <f t="shared" ref="R24:R25" si="1">H24</f>
        <v>25</v>
      </c>
    </row>
    <row r="25" spans="1:18" customFormat="1" x14ac:dyDescent="0.25">
      <c r="A25" s="18"/>
      <c r="B25" s="18" t="s">
        <v>34</v>
      </c>
      <c r="C25" s="18" t="s">
        <v>854</v>
      </c>
      <c r="D25" s="18" t="s">
        <v>855</v>
      </c>
      <c r="E25" s="18" t="s">
        <v>856</v>
      </c>
      <c r="F25" s="18" t="s">
        <v>20</v>
      </c>
      <c r="G25" s="19">
        <v>0</v>
      </c>
      <c r="H25" s="19">
        <v>25</v>
      </c>
      <c r="I25" s="19">
        <f>-H25</f>
        <v>-25</v>
      </c>
      <c r="J25" s="18" t="s">
        <v>15</v>
      </c>
      <c r="K25" s="18" t="s">
        <v>15</v>
      </c>
      <c r="L25" s="18" t="s">
        <v>794</v>
      </c>
      <c r="M25" s="18"/>
      <c r="N25" s="18"/>
      <c r="O25" s="18"/>
      <c r="P25" s="18"/>
      <c r="Q25" s="18">
        <v>1</v>
      </c>
      <c r="R25" s="17">
        <f t="shared" si="1"/>
        <v>25</v>
      </c>
    </row>
    <row r="26" spans="1:18" customFormat="1" x14ac:dyDescent="0.25">
      <c r="A26" s="18"/>
      <c r="B26" s="18" t="s">
        <v>34</v>
      </c>
      <c r="C26" s="18" t="s">
        <v>857</v>
      </c>
      <c r="D26" s="18" t="s">
        <v>858</v>
      </c>
      <c r="E26" s="18" t="s">
        <v>859</v>
      </c>
      <c r="F26" s="19">
        <v>2</v>
      </c>
      <c r="G26" s="19">
        <v>920</v>
      </c>
      <c r="H26" s="19">
        <v>30</v>
      </c>
      <c r="I26" s="19">
        <f>G26-H26</f>
        <v>890</v>
      </c>
      <c r="J26" s="18" t="s">
        <v>15</v>
      </c>
      <c r="K26" s="18" t="s">
        <v>15</v>
      </c>
      <c r="L26" s="18" t="s">
        <v>794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860</v>
      </c>
      <c r="D27" s="18" t="s">
        <v>861</v>
      </c>
      <c r="E27" s="18" t="s">
        <v>862</v>
      </c>
      <c r="F27" s="18" t="s">
        <v>19</v>
      </c>
      <c r="G27" s="19">
        <v>1110</v>
      </c>
      <c r="H27" s="19">
        <v>20</v>
      </c>
      <c r="I27" s="19">
        <f>G27-H27</f>
        <v>1090</v>
      </c>
      <c r="J27" s="18" t="s">
        <v>15</v>
      </c>
      <c r="K27" s="18" t="s">
        <v>15</v>
      </c>
      <c r="L27" s="18" t="s">
        <v>794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444</v>
      </c>
      <c r="D28" s="18" t="s">
        <v>863</v>
      </c>
      <c r="E28" s="18" t="s">
        <v>446</v>
      </c>
      <c r="F28" s="18" t="s">
        <v>18</v>
      </c>
      <c r="G28" s="19">
        <v>815</v>
      </c>
      <c r="H28" s="19">
        <v>25</v>
      </c>
      <c r="I28" s="19">
        <f>G28-H28</f>
        <v>790</v>
      </c>
      <c r="J28" s="18" t="s">
        <v>15</v>
      </c>
      <c r="K28" s="18" t="s">
        <v>15</v>
      </c>
      <c r="L28" s="18" t="s">
        <v>794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864</v>
      </c>
      <c r="D29" s="18" t="s">
        <v>865</v>
      </c>
      <c r="E29" s="18" t="s">
        <v>866</v>
      </c>
      <c r="F29" s="19">
        <v>3</v>
      </c>
      <c r="G29" s="19">
        <v>0</v>
      </c>
      <c r="H29" s="19">
        <v>25</v>
      </c>
      <c r="I29" s="19">
        <f>-H29</f>
        <v>-25</v>
      </c>
      <c r="J29" s="18" t="s">
        <v>160</v>
      </c>
      <c r="K29" s="18" t="s">
        <v>15</v>
      </c>
      <c r="L29" s="18" t="s">
        <v>794</v>
      </c>
      <c r="M29" s="18"/>
      <c r="N29" s="18"/>
      <c r="O29" s="18"/>
      <c r="P29" s="18"/>
      <c r="Q29" s="18">
        <v>1</v>
      </c>
      <c r="R29" s="17">
        <f>H29</f>
        <v>25</v>
      </c>
    </row>
    <row r="30" spans="1:18" customFormat="1" x14ac:dyDescent="0.25">
      <c r="A30" s="18"/>
      <c r="B30" s="18" t="s">
        <v>34</v>
      </c>
      <c r="C30" s="18" t="s">
        <v>867</v>
      </c>
      <c r="D30" s="18" t="s">
        <v>868</v>
      </c>
      <c r="E30" s="18" t="s">
        <v>869</v>
      </c>
      <c r="F30" s="19">
        <v>1</v>
      </c>
      <c r="G30" s="19">
        <v>845</v>
      </c>
      <c r="H30" s="19">
        <v>25</v>
      </c>
      <c r="I30" s="19">
        <f>G30-H30</f>
        <v>820</v>
      </c>
      <c r="J30" s="18" t="s">
        <v>160</v>
      </c>
      <c r="K30" s="18" t="s">
        <v>15</v>
      </c>
      <c r="L30" s="18" t="s">
        <v>794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870</v>
      </c>
      <c r="D31" s="18" t="s">
        <v>871</v>
      </c>
      <c r="E31" s="18" t="s">
        <v>872</v>
      </c>
      <c r="F31" s="19">
        <v>4</v>
      </c>
      <c r="G31" s="19">
        <v>715</v>
      </c>
      <c r="H31" s="19">
        <v>25</v>
      </c>
      <c r="I31" s="19">
        <f>G31-H31</f>
        <v>690</v>
      </c>
      <c r="J31" s="18" t="s">
        <v>160</v>
      </c>
      <c r="K31" s="18" t="s">
        <v>15</v>
      </c>
      <c r="L31" s="18" t="s">
        <v>794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873</v>
      </c>
      <c r="D32" s="18" t="s">
        <v>874</v>
      </c>
      <c r="E32" s="18" t="s">
        <v>875</v>
      </c>
      <c r="F32" s="19">
        <v>1</v>
      </c>
      <c r="G32" s="19">
        <v>715</v>
      </c>
      <c r="H32" s="19">
        <v>25</v>
      </c>
      <c r="I32" s="19">
        <f>G32-H32</f>
        <v>690</v>
      </c>
      <c r="J32" s="18" t="s">
        <v>160</v>
      </c>
      <c r="K32" s="18" t="s">
        <v>15</v>
      </c>
      <c r="L32" s="18" t="s">
        <v>794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876</v>
      </c>
      <c r="D33" s="18" t="s">
        <v>877</v>
      </c>
      <c r="E33" s="18" t="s">
        <v>878</v>
      </c>
      <c r="F33" s="19">
        <v>10</v>
      </c>
      <c r="G33" s="19">
        <v>0</v>
      </c>
      <c r="H33" s="19">
        <v>25</v>
      </c>
      <c r="I33" s="19">
        <f>-H33</f>
        <v>-25</v>
      </c>
      <c r="J33" s="18" t="s">
        <v>160</v>
      </c>
      <c r="K33" s="18" t="s">
        <v>15</v>
      </c>
      <c r="L33" s="18" t="s">
        <v>794</v>
      </c>
      <c r="M33" s="18"/>
      <c r="N33" s="18"/>
      <c r="O33" s="18"/>
      <c r="P33" s="18"/>
      <c r="Q33" s="18">
        <v>1</v>
      </c>
      <c r="R33" s="17">
        <f>H33</f>
        <v>25</v>
      </c>
    </row>
    <row r="34" spans="1:18" customFormat="1" x14ac:dyDescent="0.25">
      <c r="A34" s="18"/>
      <c r="B34" s="18" t="s">
        <v>34</v>
      </c>
      <c r="C34" s="18" t="s">
        <v>879</v>
      </c>
      <c r="D34" s="18" t="s">
        <v>880</v>
      </c>
      <c r="E34" s="18" t="s">
        <v>881</v>
      </c>
      <c r="F34" s="19">
        <v>10</v>
      </c>
      <c r="G34" s="19">
        <v>915</v>
      </c>
      <c r="H34" s="19">
        <v>25</v>
      </c>
      <c r="I34" s="19">
        <f>G34-H34</f>
        <v>890</v>
      </c>
      <c r="J34" s="18" t="s">
        <v>160</v>
      </c>
      <c r="K34" s="18" t="s">
        <v>15</v>
      </c>
      <c r="L34" s="18" t="s">
        <v>794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882</v>
      </c>
      <c r="D35" s="18" t="s">
        <v>883</v>
      </c>
      <c r="E35" s="18" t="s">
        <v>884</v>
      </c>
      <c r="F35" s="19">
        <v>10</v>
      </c>
      <c r="G35" s="19">
        <v>1705</v>
      </c>
      <c r="H35" s="19">
        <v>25</v>
      </c>
      <c r="I35" s="19">
        <f>G35-H35</f>
        <v>1680</v>
      </c>
      <c r="J35" s="18" t="s">
        <v>160</v>
      </c>
      <c r="K35" s="18" t="s">
        <v>15</v>
      </c>
      <c r="L35" s="18" t="s">
        <v>794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885</v>
      </c>
      <c r="D36" s="18" t="s">
        <v>886</v>
      </c>
      <c r="E36" s="18" t="s">
        <v>887</v>
      </c>
      <c r="F36" s="19">
        <v>3</v>
      </c>
      <c r="G36" s="19">
        <v>775</v>
      </c>
      <c r="H36" s="19">
        <v>25</v>
      </c>
      <c r="I36" s="19">
        <f>G36-H36</f>
        <v>750</v>
      </c>
      <c r="J36" s="18" t="s">
        <v>160</v>
      </c>
      <c r="K36" s="18" t="s">
        <v>15</v>
      </c>
      <c r="L36" s="18" t="s">
        <v>794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888</v>
      </c>
      <c r="D37" s="18" t="s">
        <v>889</v>
      </c>
      <c r="E37" s="18" t="s">
        <v>890</v>
      </c>
      <c r="F37" s="19">
        <v>4</v>
      </c>
      <c r="G37" s="19">
        <v>375</v>
      </c>
      <c r="H37" s="19">
        <v>25</v>
      </c>
      <c r="I37" s="19">
        <f>G37-H37</f>
        <v>350</v>
      </c>
      <c r="J37" s="18" t="s">
        <v>160</v>
      </c>
      <c r="K37" s="18" t="s">
        <v>15</v>
      </c>
      <c r="L37" s="18" t="s">
        <v>794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891</v>
      </c>
      <c r="D38" s="18" t="s">
        <v>892</v>
      </c>
      <c r="E38" s="18" t="s">
        <v>893</v>
      </c>
      <c r="F38" s="19">
        <v>4</v>
      </c>
      <c r="G38" s="19">
        <v>0</v>
      </c>
      <c r="H38" s="19">
        <v>25</v>
      </c>
      <c r="I38" s="19">
        <f>-H38</f>
        <v>-25</v>
      </c>
      <c r="J38" s="18" t="s">
        <v>160</v>
      </c>
      <c r="K38" s="18" t="s">
        <v>15</v>
      </c>
      <c r="L38" s="18" t="s">
        <v>794</v>
      </c>
      <c r="M38" s="18"/>
      <c r="N38" s="18"/>
      <c r="O38" s="18"/>
      <c r="P38" s="18"/>
      <c r="Q38" s="18">
        <v>1</v>
      </c>
      <c r="R38" s="17">
        <f>H38</f>
        <v>25</v>
      </c>
    </row>
    <row r="39" spans="1:18" customFormat="1" x14ac:dyDescent="0.25">
      <c r="A39" s="18"/>
      <c r="B39" s="18" t="s">
        <v>34</v>
      </c>
      <c r="C39" s="18" t="s">
        <v>894</v>
      </c>
      <c r="D39" s="18" t="s">
        <v>895</v>
      </c>
      <c r="E39" s="18" t="s">
        <v>896</v>
      </c>
      <c r="F39" s="18" t="s">
        <v>17</v>
      </c>
      <c r="G39" s="19">
        <v>530</v>
      </c>
      <c r="H39" s="19">
        <v>20</v>
      </c>
      <c r="I39" s="19">
        <f>G39-H39</f>
        <v>510</v>
      </c>
      <c r="J39" s="18" t="s">
        <v>160</v>
      </c>
      <c r="K39" s="18" t="s">
        <v>15</v>
      </c>
      <c r="L39" s="18" t="s">
        <v>794</v>
      </c>
      <c r="M39" s="18"/>
      <c r="N39" s="18"/>
      <c r="O39" s="18"/>
      <c r="P39" s="18"/>
      <c r="Q39" s="18">
        <v>1</v>
      </c>
    </row>
    <row r="41" spans="1:18" x14ac:dyDescent="0.25">
      <c r="G41" s="1">
        <f t="shared" ref="G41:R41" si="2">SUBTOTAL(9,G3:G40)</f>
        <v>24970</v>
      </c>
      <c r="H41" s="1">
        <f t="shared" si="2"/>
        <v>985</v>
      </c>
      <c r="I41" s="1">
        <f t="shared" si="2"/>
        <v>23985</v>
      </c>
      <c r="J41" s="1">
        <f t="shared" si="2"/>
        <v>0</v>
      </c>
      <c r="K41" s="1">
        <f t="shared" si="2"/>
        <v>0</v>
      </c>
      <c r="L41" s="1">
        <f t="shared" si="2"/>
        <v>0</v>
      </c>
      <c r="M41" s="1">
        <f t="shared" si="2"/>
        <v>0</v>
      </c>
      <c r="N41" s="1">
        <f t="shared" si="2"/>
        <v>0</v>
      </c>
      <c r="O41" s="1">
        <f t="shared" si="2"/>
        <v>0</v>
      </c>
      <c r="P41" s="1">
        <f t="shared" si="2"/>
        <v>0</v>
      </c>
      <c r="Q41" s="1">
        <f t="shared" si="2"/>
        <v>37</v>
      </c>
      <c r="R41" s="1">
        <f t="shared" si="2"/>
        <v>255</v>
      </c>
    </row>
    <row r="45" spans="1:18" ht="20.25" customHeight="1" x14ac:dyDescent="0.3">
      <c r="H45" s="4" t="s">
        <v>790</v>
      </c>
      <c r="I45" s="5" t="s">
        <v>21</v>
      </c>
      <c r="J45" s="6" t="s">
        <v>22</v>
      </c>
    </row>
    <row r="46" spans="1:18" ht="15.75" customHeight="1" x14ac:dyDescent="0.25">
      <c r="H46" s="7" t="s">
        <v>23</v>
      </c>
      <c r="I46" s="8">
        <f>SUM(I40:I44)</f>
        <v>23985</v>
      </c>
      <c r="J46" s="8">
        <f>Q41</f>
        <v>37</v>
      </c>
    </row>
    <row r="47" spans="1:18" x14ac:dyDescent="0.25">
      <c r="H47" s="9" t="s">
        <v>24</v>
      </c>
      <c r="I47" s="10">
        <f>R41</f>
        <v>255</v>
      </c>
      <c r="J47" s="11"/>
    </row>
    <row r="48" spans="1:18" x14ac:dyDescent="0.25">
      <c r="H48" s="9" t="s">
        <v>25</v>
      </c>
      <c r="I48" s="10">
        <f>S40</f>
        <v>0</v>
      </c>
      <c r="J48" s="11"/>
    </row>
    <row r="49" spans="8:10" x14ac:dyDescent="0.25">
      <c r="H49" s="9" t="s">
        <v>26</v>
      </c>
      <c r="I49" s="10">
        <f>T40</f>
        <v>0</v>
      </c>
      <c r="J49" s="11"/>
    </row>
    <row r="50" spans="8:10" x14ac:dyDescent="0.25">
      <c r="H50" s="9" t="s">
        <v>27</v>
      </c>
      <c r="I50" s="10">
        <f>U40</f>
        <v>0</v>
      </c>
      <c r="J50" s="11"/>
    </row>
    <row r="51" spans="8:10" ht="15.75" customHeight="1" x14ac:dyDescent="0.25">
      <c r="H51" s="12" t="s">
        <v>28</v>
      </c>
      <c r="I51" s="13"/>
      <c r="J51" s="13"/>
    </row>
    <row r="52" spans="8:10" ht="15.75" customHeight="1" x14ac:dyDescent="0.25">
      <c r="H52" s="14" t="s">
        <v>29</v>
      </c>
      <c r="I52" s="13"/>
      <c r="J52" s="13"/>
    </row>
    <row r="53" spans="8:10" ht="21" customHeight="1" x14ac:dyDescent="0.35">
      <c r="H53" s="15" t="s">
        <v>30</v>
      </c>
      <c r="I53" s="16">
        <f>SUM(I46:I52)</f>
        <v>24240</v>
      </c>
      <c r="J53" s="16">
        <f>SUM(J46:J50)</f>
        <v>37</v>
      </c>
    </row>
  </sheetData>
  <autoFilter ref="A2:P39" xr:uid="{00000000-0009-0000-0000-000006000000}">
    <sortState xmlns:xlrd2="http://schemas.microsoft.com/office/spreadsheetml/2017/richdata2" ref="A3:P39">
      <sortCondition ref="J2:J39"/>
    </sortState>
  </autoFilter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AD406-DBFB-4835-94EA-D8478D651C34}">
  <dimension ref="A1:R67"/>
  <sheetViews>
    <sheetView tabSelected="1" topLeftCell="A34" workbookViewId="0">
      <selection activeCell="E53" sqref="E53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316</v>
      </c>
      <c r="C1" s="1" t="s">
        <v>898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448</v>
      </c>
      <c r="D3" s="18" t="s">
        <v>449</v>
      </c>
      <c r="E3" s="18" t="s">
        <v>450</v>
      </c>
      <c r="F3" s="19">
        <v>7</v>
      </c>
      <c r="G3" s="19">
        <v>470</v>
      </c>
      <c r="H3" s="19">
        <v>30</v>
      </c>
      <c r="I3" s="19">
        <f>G3-H3</f>
        <v>440</v>
      </c>
      <c r="J3" s="18" t="s">
        <v>451</v>
      </c>
      <c r="K3" s="18" t="s">
        <v>15</v>
      </c>
      <c r="L3" s="18" t="s">
        <v>447</v>
      </c>
      <c r="M3" s="18"/>
      <c r="N3" s="18"/>
      <c r="O3" s="18"/>
      <c r="P3" s="18"/>
      <c r="Q3" s="19">
        <v>1</v>
      </c>
    </row>
    <row r="4" spans="1:18" customFormat="1" x14ac:dyDescent="0.25">
      <c r="A4" s="18"/>
      <c r="B4" s="18" t="s">
        <v>34</v>
      </c>
      <c r="C4" s="18" t="s">
        <v>455</v>
      </c>
      <c r="D4" s="18" t="s">
        <v>456</v>
      </c>
      <c r="E4" s="18" t="s">
        <v>457</v>
      </c>
      <c r="F4" s="18" t="s">
        <v>38</v>
      </c>
      <c r="G4" s="19">
        <v>820</v>
      </c>
      <c r="H4" s="19">
        <v>30</v>
      </c>
      <c r="I4" s="19">
        <f>G4-H4</f>
        <v>790</v>
      </c>
      <c r="J4" s="18" t="s">
        <v>451</v>
      </c>
      <c r="K4" s="18" t="s">
        <v>15</v>
      </c>
      <c r="L4" s="18" t="s">
        <v>447</v>
      </c>
      <c r="M4" s="18"/>
      <c r="N4" s="18"/>
      <c r="O4" s="18"/>
      <c r="P4" s="18"/>
      <c r="Q4" s="19">
        <v>1</v>
      </c>
    </row>
    <row r="5" spans="1:18" customFormat="1" x14ac:dyDescent="0.25">
      <c r="A5" s="18"/>
      <c r="B5" s="18" t="s">
        <v>34</v>
      </c>
      <c r="C5" s="18" t="s">
        <v>458</v>
      </c>
      <c r="D5" s="18" t="s">
        <v>459</v>
      </c>
      <c r="E5" s="18" t="s">
        <v>460</v>
      </c>
      <c r="F5" s="19">
        <v>8</v>
      </c>
      <c r="G5" s="19">
        <v>0</v>
      </c>
      <c r="H5" s="19">
        <v>25</v>
      </c>
      <c r="I5" s="19">
        <f>-H5</f>
        <v>-25</v>
      </c>
      <c r="J5" s="18" t="s">
        <v>451</v>
      </c>
      <c r="K5" s="18" t="s">
        <v>15</v>
      </c>
      <c r="L5" s="18" t="s">
        <v>447</v>
      </c>
      <c r="M5" s="18"/>
      <c r="N5" s="18"/>
      <c r="O5" s="18"/>
      <c r="P5" s="18"/>
      <c r="Q5" s="19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461</v>
      </c>
      <c r="D6" s="18" t="s">
        <v>462</v>
      </c>
      <c r="E6" s="18" t="s">
        <v>463</v>
      </c>
      <c r="F6" s="19">
        <v>6</v>
      </c>
      <c r="G6" s="19">
        <v>1515</v>
      </c>
      <c r="H6" s="19">
        <v>25</v>
      </c>
      <c r="I6" s="19">
        <f t="shared" ref="I6:I11" si="0">G6-H6</f>
        <v>1490</v>
      </c>
      <c r="J6" s="18" t="s">
        <v>451</v>
      </c>
      <c r="K6" s="18" t="s">
        <v>15</v>
      </c>
      <c r="L6" s="18" t="s">
        <v>447</v>
      </c>
      <c r="M6" s="18"/>
      <c r="N6" s="18"/>
      <c r="O6" s="18"/>
      <c r="P6" s="18"/>
      <c r="Q6" s="19">
        <v>1</v>
      </c>
    </row>
    <row r="7" spans="1:18" customFormat="1" x14ac:dyDescent="0.25">
      <c r="A7" s="18"/>
      <c r="B7" s="18" t="s">
        <v>34</v>
      </c>
      <c r="C7" s="18" t="s">
        <v>464</v>
      </c>
      <c r="D7" s="18" t="s">
        <v>465</v>
      </c>
      <c r="E7" s="18" t="s">
        <v>466</v>
      </c>
      <c r="F7" s="18" t="s">
        <v>38</v>
      </c>
      <c r="G7" s="19">
        <v>890</v>
      </c>
      <c r="H7" s="19">
        <v>30</v>
      </c>
      <c r="I7" s="19">
        <f t="shared" si="0"/>
        <v>860</v>
      </c>
      <c r="J7" s="18" t="s">
        <v>451</v>
      </c>
      <c r="K7" s="18" t="s">
        <v>15</v>
      </c>
      <c r="L7" s="18" t="s">
        <v>447</v>
      </c>
      <c r="M7" s="18"/>
      <c r="N7" s="18"/>
      <c r="O7" s="18"/>
      <c r="P7" s="18"/>
      <c r="Q7" s="19">
        <v>1</v>
      </c>
    </row>
    <row r="8" spans="1:18" customFormat="1" x14ac:dyDescent="0.25">
      <c r="A8" s="18"/>
      <c r="B8" s="18" t="s">
        <v>34</v>
      </c>
      <c r="C8" s="18" t="s">
        <v>467</v>
      </c>
      <c r="D8" s="18" t="s">
        <v>468</v>
      </c>
      <c r="E8" s="18" t="s">
        <v>469</v>
      </c>
      <c r="F8" s="18" t="s">
        <v>38</v>
      </c>
      <c r="G8" s="19">
        <v>470</v>
      </c>
      <c r="H8" s="19">
        <v>30</v>
      </c>
      <c r="I8" s="19">
        <f t="shared" si="0"/>
        <v>440</v>
      </c>
      <c r="J8" s="18" t="s">
        <v>451</v>
      </c>
      <c r="K8" s="18" t="s">
        <v>15</v>
      </c>
      <c r="L8" s="18" t="s">
        <v>447</v>
      </c>
      <c r="M8" s="18"/>
      <c r="N8" s="18"/>
      <c r="O8" s="18"/>
      <c r="P8" s="18"/>
      <c r="Q8" s="19">
        <v>1</v>
      </c>
    </row>
    <row r="9" spans="1:18" customFormat="1" x14ac:dyDescent="0.25">
      <c r="A9" s="18"/>
      <c r="B9" s="18" t="s">
        <v>34</v>
      </c>
      <c r="C9" s="18" t="s">
        <v>479</v>
      </c>
      <c r="D9" s="18" t="s">
        <v>480</v>
      </c>
      <c r="E9" s="18" t="s">
        <v>481</v>
      </c>
      <c r="F9" s="18" t="s">
        <v>38</v>
      </c>
      <c r="G9" s="19">
        <v>920</v>
      </c>
      <c r="H9" s="19">
        <v>30</v>
      </c>
      <c r="I9" s="19">
        <f t="shared" si="0"/>
        <v>890</v>
      </c>
      <c r="J9" s="18" t="s">
        <v>451</v>
      </c>
      <c r="K9" s="18" t="s">
        <v>15</v>
      </c>
      <c r="L9" s="18" t="s">
        <v>447</v>
      </c>
      <c r="M9" s="18"/>
      <c r="N9" s="18"/>
      <c r="O9" s="18"/>
      <c r="P9" s="18"/>
      <c r="Q9" s="19">
        <v>1</v>
      </c>
    </row>
    <row r="10" spans="1:18" customFormat="1" x14ac:dyDescent="0.25">
      <c r="A10" s="18"/>
      <c r="B10" s="18" t="s">
        <v>34</v>
      </c>
      <c r="C10" s="18" t="s">
        <v>495</v>
      </c>
      <c r="D10" s="18" t="s">
        <v>496</v>
      </c>
      <c r="E10" s="18" t="s">
        <v>497</v>
      </c>
      <c r="F10" s="19">
        <v>6</v>
      </c>
      <c r="G10" s="19">
        <v>695</v>
      </c>
      <c r="H10" s="19">
        <v>25</v>
      </c>
      <c r="I10" s="19">
        <f t="shared" si="0"/>
        <v>670</v>
      </c>
      <c r="J10" s="18" t="s">
        <v>451</v>
      </c>
      <c r="K10" s="18" t="s">
        <v>15</v>
      </c>
      <c r="L10" s="18" t="s">
        <v>447</v>
      </c>
      <c r="M10" s="18"/>
      <c r="N10" s="18"/>
      <c r="O10" s="18"/>
      <c r="P10" s="18"/>
      <c r="Q10" s="19">
        <v>1</v>
      </c>
    </row>
    <row r="11" spans="1:18" customFormat="1" x14ac:dyDescent="0.25">
      <c r="A11" s="18"/>
      <c r="B11" s="18" t="s">
        <v>34</v>
      </c>
      <c r="C11" s="18" t="s">
        <v>498</v>
      </c>
      <c r="D11" s="18" t="s">
        <v>499</v>
      </c>
      <c r="E11" s="18" t="s">
        <v>500</v>
      </c>
      <c r="F11" s="19">
        <v>7</v>
      </c>
      <c r="G11" s="19">
        <v>700</v>
      </c>
      <c r="H11" s="19">
        <v>30</v>
      </c>
      <c r="I11" s="19">
        <f t="shared" si="0"/>
        <v>670</v>
      </c>
      <c r="J11" s="18" t="s">
        <v>451</v>
      </c>
      <c r="K11" s="18" t="s">
        <v>15</v>
      </c>
      <c r="L11" s="18" t="s">
        <v>447</v>
      </c>
      <c r="M11" s="18"/>
      <c r="N11" s="18"/>
      <c r="O11" s="18"/>
      <c r="P11" s="18"/>
      <c r="Q11" s="19">
        <v>1</v>
      </c>
    </row>
    <row r="12" spans="1:18" customFormat="1" x14ac:dyDescent="0.25">
      <c r="A12" s="18"/>
      <c r="B12" s="18" t="s">
        <v>34</v>
      </c>
      <c r="C12" s="18" t="s">
        <v>510</v>
      </c>
      <c r="D12" s="18" t="s">
        <v>511</v>
      </c>
      <c r="E12" s="18" t="s">
        <v>512</v>
      </c>
      <c r="F12" s="19">
        <v>7</v>
      </c>
      <c r="G12" s="19">
        <v>0</v>
      </c>
      <c r="H12" s="19">
        <v>30</v>
      </c>
      <c r="I12" s="19">
        <f>-H12</f>
        <v>-30</v>
      </c>
      <c r="J12" s="18" t="s">
        <v>451</v>
      </c>
      <c r="K12" s="18" t="s">
        <v>15</v>
      </c>
      <c r="L12" s="18" t="s">
        <v>447</v>
      </c>
      <c r="M12" s="18"/>
      <c r="N12" s="18"/>
      <c r="O12" s="18"/>
      <c r="P12" s="18"/>
      <c r="Q12" s="19">
        <v>1</v>
      </c>
      <c r="R12" s="17">
        <f>H12</f>
        <v>30</v>
      </c>
    </row>
    <row r="13" spans="1:18" customFormat="1" x14ac:dyDescent="0.25">
      <c r="A13" s="18"/>
      <c r="B13" s="18" t="s">
        <v>34</v>
      </c>
      <c r="C13" s="18" t="s">
        <v>516</v>
      </c>
      <c r="D13" s="18" t="s">
        <v>517</v>
      </c>
      <c r="E13" s="18" t="s">
        <v>518</v>
      </c>
      <c r="F13" s="18" t="s">
        <v>38</v>
      </c>
      <c r="G13" s="19">
        <v>1020</v>
      </c>
      <c r="H13" s="19">
        <v>30</v>
      </c>
      <c r="I13" s="19">
        <f t="shared" ref="I13:I26" si="1">G13-H13</f>
        <v>990</v>
      </c>
      <c r="J13" s="18" t="s">
        <v>451</v>
      </c>
      <c r="K13" s="18" t="s">
        <v>15</v>
      </c>
      <c r="L13" s="18" t="s">
        <v>447</v>
      </c>
      <c r="M13" s="18"/>
      <c r="N13" s="18"/>
      <c r="O13" s="18"/>
      <c r="P13" s="18"/>
      <c r="Q13" s="19">
        <v>1</v>
      </c>
    </row>
    <row r="14" spans="1:18" customFormat="1" x14ac:dyDescent="0.25">
      <c r="A14" s="18"/>
      <c r="B14" s="18" t="s">
        <v>34</v>
      </c>
      <c r="C14" s="18" t="s">
        <v>540</v>
      </c>
      <c r="D14" s="18" t="s">
        <v>541</v>
      </c>
      <c r="E14" s="18" t="s">
        <v>542</v>
      </c>
      <c r="F14" s="18" t="s">
        <v>123</v>
      </c>
      <c r="G14" s="19">
        <v>475</v>
      </c>
      <c r="H14" s="19">
        <v>35</v>
      </c>
      <c r="I14" s="19">
        <f t="shared" si="1"/>
        <v>440</v>
      </c>
      <c r="J14" s="18" t="s">
        <v>451</v>
      </c>
      <c r="K14" s="18" t="s">
        <v>15</v>
      </c>
      <c r="L14" s="18" t="s">
        <v>447</v>
      </c>
      <c r="M14" s="18"/>
      <c r="N14" s="18"/>
      <c r="O14" s="18"/>
      <c r="P14" s="18"/>
      <c r="Q14" s="19">
        <v>1</v>
      </c>
    </row>
    <row r="15" spans="1:18" customFormat="1" x14ac:dyDescent="0.25">
      <c r="A15" s="18"/>
      <c r="B15" s="18" t="s">
        <v>34</v>
      </c>
      <c r="C15" s="18" t="s">
        <v>549</v>
      </c>
      <c r="D15" s="18" t="s">
        <v>550</v>
      </c>
      <c r="E15" s="18" t="s">
        <v>551</v>
      </c>
      <c r="F15" s="19">
        <v>6</v>
      </c>
      <c r="G15" s="19">
        <v>2220</v>
      </c>
      <c r="H15" s="19">
        <v>30</v>
      </c>
      <c r="I15" s="19">
        <f t="shared" si="1"/>
        <v>2190</v>
      </c>
      <c r="J15" s="18" t="s">
        <v>451</v>
      </c>
      <c r="K15" s="18" t="s">
        <v>15</v>
      </c>
      <c r="L15" s="18" t="s">
        <v>447</v>
      </c>
      <c r="M15" s="27" t="s">
        <v>377</v>
      </c>
      <c r="N15" s="18"/>
      <c r="O15" s="18"/>
      <c r="P15" s="18"/>
      <c r="Q15" s="19">
        <v>1</v>
      </c>
      <c r="R15" s="17">
        <f>H15</f>
        <v>30</v>
      </c>
    </row>
    <row r="16" spans="1:18" customFormat="1" x14ac:dyDescent="0.25">
      <c r="A16" s="18"/>
      <c r="B16" s="18" t="s">
        <v>34</v>
      </c>
      <c r="C16" s="18" t="s">
        <v>558</v>
      </c>
      <c r="D16" s="18" t="s">
        <v>559</v>
      </c>
      <c r="E16" s="18" t="s">
        <v>407</v>
      </c>
      <c r="F16" s="18" t="s">
        <v>38</v>
      </c>
      <c r="G16" s="19">
        <v>720</v>
      </c>
      <c r="H16" s="19">
        <v>30</v>
      </c>
      <c r="I16" s="19">
        <f t="shared" si="1"/>
        <v>690</v>
      </c>
      <c r="J16" s="18" t="s">
        <v>451</v>
      </c>
      <c r="K16" s="18" t="s">
        <v>15</v>
      </c>
      <c r="L16" s="18" t="s">
        <v>447</v>
      </c>
      <c r="M16" s="18"/>
      <c r="N16" s="18"/>
      <c r="O16" s="18"/>
      <c r="P16" s="18"/>
      <c r="Q16" s="19">
        <v>1</v>
      </c>
    </row>
    <row r="17" spans="1:18" customFormat="1" x14ac:dyDescent="0.25">
      <c r="A17" s="18"/>
      <c r="B17" s="18" t="s">
        <v>34</v>
      </c>
      <c r="C17" s="18" t="s">
        <v>560</v>
      </c>
      <c r="D17" s="18" t="s">
        <v>561</v>
      </c>
      <c r="E17" s="18" t="s">
        <v>562</v>
      </c>
      <c r="F17" s="18" t="s">
        <v>38</v>
      </c>
      <c r="G17" s="19">
        <v>750</v>
      </c>
      <c r="H17" s="19">
        <v>30</v>
      </c>
      <c r="I17" s="19">
        <f t="shared" si="1"/>
        <v>720</v>
      </c>
      <c r="J17" s="18" t="s">
        <v>451</v>
      </c>
      <c r="K17" s="18" t="s">
        <v>15</v>
      </c>
      <c r="L17" s="18" t="s">
        <v>447</v>
      </c>
      <c r="M17" s="18"/>
      <c r="N17" s="18"/>
      <c r="O17" s="18"/>
      <c r="P17" s="18"/>
      <c r="Q17" s="19">
        <v>1</v>
      </c>
    </row>
    <row r="18" spans="1:18" customFormat="1" x14ac:dyDescent="0.25">
      <c r="A18" s="18"/>
      <c r="B18" s="18" t="s">
        <v>34</v>
      </c>
      <c r="C18" s="18" t="s">
        <v>563</v>
      </c>
      <c r="D18" s="18" t="s">
        <v>564</v>
      </c>
      <c r="E18" s="18" t="s">
        <v>565</v>
      </c>
      <c r="F18" s="19">
        <v>8</v>
      </c>
      <c r="G18" s="19">
        <v>390</v>
      </c>
      <c r="H18" s="19">
        <v>30</v>
      </c>
      <c r="I18" s="19">
        <f t="shared" si="1"/>
        <v>360</v>
      </c>
      <c r="J18" s="18" t="s">
        <v>451</v>
      </c>
      <c r="K18" s="18" t="s">
        <v>15</v>
      </c>
      <c r="L18" s="18" t="s">
        <v>447</v>
      </c>
      <c r="M18" s="18"/>
      <c r="N18" s="18"/>
      <c r="O18" s="18"/>
      <c r="P18" s="18"/>
      <c r="Q18" s="19">
        <v>1</v>
      </c>
    </row>
    <row r="19" spans="1:18" customFormat="1" x14ac:dyDescent="0.25">
      <c r="A19" s="18"/>
      <c r="B19" s="18" t="s">
        <v>34</v>
      </c>
      <c r="C19" s="18" t="s">
        <v>574</v>
      </c>
      <c r="D19" s="18" t="s">
        <v>575</v>
      </c>
      <c r="E19" s="18" t="s">
        <v>576</v>
      </c>
      <c r="F19" s="18" t="s">
        <v>38</v>
      </c>
      <c r="G19" s="19">
        <v>820</v>
      </c>
      <c r="H19" s="19">
        <v>30</v>
      </c>
      <c r="I19" s="19">
        <f t="shared" si="1"/>
        <v>790</v>
      </c>
      <c r="J19" s="18" t="s">
        <v>451</v>
      </c>
      <c r="K19" s="18" t="s">
        <v>15</v>
      </c>
      <c r="L19" s="18" t="s">
        <v>447</v>
      </c>
      <c r="M19" s="18"/>
      <c r="N19" s="18"/>
      <c r="O19" s="18"/>
      <c r="P19" s="18"/>
      <c r="Q19" s="19">
        <v>1</v>
      </c>
    </row>
    <row r="20" spans="1:18" customFormat="1" x14ac:dyDescent="0.25">
      <c r="A20" s="18" t="s">
        <v>96</v>
      </c>
      <c r="B20" s="18" t="s">
        <v>34</v>
      </c>
      <c r="C20" s="18" t="s">
        <v>583</v>
      </c>
      <c r="D20" s="18"/>
      <c r="E20" s="18" t="s">
        <v>584</v>
      </c>
      <c r="F20" s="18" t="s">
        <v>212</v>
      </c>
      <c r="G20" s="19">
        <v>30</v>
      </c>
      <c r="H20" s="19">
        <v>30</v>
      </c>
      <c r="I20" s="19">
        <f t="shared" si="1"/>
        <v>0</v>
      </c>
      <c r="J20" s="18" t="s">
        <v>451</v>
      </c>
      <c r="K20" s="18" t="s">
        <v>15</v>
      </c>
      <c r="L20" s="18" t="s">
        <v>447</v>
      </c>
      <c r="M20" s="18"/>
      <c r="N20" s="18"/>
      <c r="O20" s="18"/>
      <c r="P20" s="18"/>
      <c r="Q20" s="19">
        <v>1</v>
      </c>
    </row>
    <row r="21" spans="1:18" customFormat="1" x14ac:dyDescent="0.25">
      <c r="A21" s="18" t="s">
        <v>96</v>
      </c>
      <c r="B21" s="18" t="s">
        <v>34</v>
      </c>
      <c r="C21" s="18" t="s">
        <v>260</v>
      </c>
      <c r="D21" s="18"/>
      <c r="E21" s="18" t="s">
        <v>585</v>
      </c>
      <c r="F21" s="19">
        <v>6</v>
      </c>
      <c r="G21" s="19">
        <v>30</v>
      </c>
      <c r="H21" s="19">
        <v>30</v>
      </c>
      <c r="I21" s="19">
        <f t="shared" si="1"/>
        <v>0</v>
      </c>
      <c r="J21" s="18" t="s">
        <v>451</v>
      </c>
      <c r="K21" s="18" t="s">
        <v>15</v>
      </c>
      <c r="L21" s="18" t="s">
        <v>447</v>
      </c>
      <c r="M21" s="18"/>
      <c r="N21" s="18"/>
      <c r="O21" s="18"/>
      <c r="P21" s="18"/>
      <c r="Q21" s="19">
        <v>1</v>
      </c>
    </row>
    <row r="22" spans="1:18" customFormat="1" x14ac:dyDescent="0.25">
      <c r="A22" s="18"/>
      <c r="B22" s="18" t="s">
        <v>34</v>
      </c>
      <c r="C22" s="18" t="s">
        <v>444</v>
      </c>
      <c r="D22" s="18" t="s">
        <v>445</v>
      </c>
      <c r="E22" s="18" t="s">
        <v>446</v>
      </c>
      <c r="F22" s="18" t="s">
        <v>18</v>
      </c>
      <c r="G22" s="19">
        <v>0</v>
      </c>
      <c r="H22" s="19">
        <v>25</v>
      </c>
      <c r="I22" s="19">
        <f t="shared" si="1"/>
        <v>-25</v>
      </c>
      <c r="J22" s="18" t="s">
        <v>15</v>
      </c>
      <c r="K22" s="18" t="s">
        <v>15</v>
      </c>
      <c r="L22" s="18" t="s">
        <v>447</v>
      </c>
      <c r="M22" s="33" t="s">
        <v>590</v>
      </c>
      <c r="N22" s="18"/>
      <c r="O22" s="18"/>
      <c r="P22" s="18"/>
      <c r="Q22" s="19">
        <v>1</v>
      </c>
      <c r="R22" s="17">
        <f>H22</f>
        <v>25</v>
      </c>
    </row>
    <row r="23" spans="1:18" s="32" customFormat="1" x14ac:dyDescent="0.25">
      <c r="A23" s="30"/>
      <c r="B23" s="30" t="s">
        <v>34</v>
      </c>
      <c r="C23" s="30" t="s">
        <v>452</v>
      </c>
      <c r="D23" s="30" t="s">
        <v>453</v>
      </c>
      <c r="E23" s="30" t="s">
        <v>454</v>
      </c>
      <c r="F23" s="30" t="s">
        <v>144</v>
      </c>
      <c r="G23" s="31">
        <v>1710</v>
      </c>
      <c r="H23" s="31">
        <v>30</v>
      </c>
      <c r="I23" s="31">
        <f t="shared" si="1"/>
        <v>1680</v>
      </c>
      <c r="J23" s="30" t="s">
        <v>15</v>
      </c>
      <c r="K23" s="30" t="s">
        <v>15</v>
      </c>
      <c r="L23" s="30" t="s">
        <v>447</v>
      </c>
      <c r="M23" s="30"/>
      <c r="N23" s="30"/>
      <c r="O23" s="30"/>
      <c r="P23" s="30"/>
      <c r="Q23" s="31">
        <v>1</v>
      </c>
    </row>
    <row r="24" spans="1:18" customFormat="1" x14ac:dyDescent="0.25">
      <c r="A24" s="18"/>
      <c r="B24" s="18" t="s">
        <v>34</v>
      </c>
      <c r="C24" s="18" t="s">
        <v>476</v>
      </c>
      <c r="D24" s="18" t="s">
        <v>477</v>
      </c>
      <c r="E24" s="18" t="s">
        <v>478</v>
      </c>
      <c r="F24" s="19">
        <v>2</v>
      </c>
      <c r="G24" s="19">
        <v>1510</v>
      </c>
      <c r="H24" s="19">
        <v>30</v>
      </c>
      <c r="I24" s="19">
        <f t="shared" si="1"/>
        <v>1480</v>
      </c>
      <c r="J24" s="18" t="s">
        <v>15</v>
      </c>
      <c r="K24" s="18" t="s">
        <v>15</v>
      </c>
      <c r="L24" s="18" t="s">
        <v>447</v>
      </c>
      <c r="M24" s="18"/>
      <c r="N24" s="18"/>
      <c r="O24" s="18"/>
      <c r="P24" s="18"/>
      <c r="Q24" s="19">
        <v>1</v>
      </c>
    </row>
    <row r="25" spans="1:18" customFormat="1" x14ac:dyDescent="0.25">
      <c r="A25" s="18"/>
      <c r="B25" s="18" t="s">
        <v>34</v>
      </c>
      <c r="C25" s="18" t="s">
        <v>138</v>
      </c>
      <c r="D25" s="18" t="s">
        <v>482</v>
      </c>
      <c r="E25" s="18" t="s">
        <v>140</v>
      </c>
      <c r="F25" s="18" t="s">
        <v>19</v>
      </c>
      <c r="G25" s="19">
        <v>680</v>
      </c>
      <c r="H25" s="19">
        <v>20</v>
      </c>
      <c r="I25" s="19">
        <f t="shared" si="1"/>
        <v>660</v>
      </c>
      <c r="J25" s="18" t="s">
        <v>15</v>
      </c>
      <c r="K25" s="18" t="s">
        <v>15</v>
      </c>
      <c r="L25" s="18" t="s">
        <v>447</v>
      </c>
      <c r="M25" s="18"/>
      <c r="N25" s="18"/>
      <c r="O25" s="18"/>
      <c r="P25" s="18"/>
      <c r="Q25" s="19">
        <v>1</v>
      </c>
    </row>
    <row r="26" spans="1:18" customFormat="1" x14ac:dyDescent="0.25">
      <c r="A26" s="18"/>
      <c r="B26" s="18" t="s">
        <v>34</v>
      </c>
      <c r="C26" s="18" t="s">
        <v>483</v>
      </c>
      <c r="D26" s="18" t="s">
        <v>484</v>
      </c>
      <c r="E26" s="18" t="s">
        <v>485</v>
      </c>
      <c r="F26" s="18" t="s">
        <v>144</v>
      </c>
      <c r="G26" s="19">
        <v>1020</v>
      </c>
      <c r="H26" s="19">
        <v>30</v>
      </c>
      <c r="I26" s="19">
        <f t="shared" si="1"/>
        <v>990</v>
      </c>
      <c r="J26" s="18" t="s">
        <v>15</v>
      </c>
      <c r="K26" s="18" t="s">
        <v>15</v>
      </c>
      <c r="L26" s="18" t="s">
        <v>447</v>
      </c>
      <c r="M26" s="18"/>
      <c r="N26" s="18"/>
      <c r="O26" s="18"/>
      <c r="P26" s="18"/>
      <c r="Q26" s="19">
        <v>1</v>
      </c>
    </row>
    <row r="27" spans="1:18" customFormat="1" x14ac:dyDescent="0.25">
      <c r="A27" s="18"/>
      <c r="B27" s="18" t="s">
        <v>34</v>
      </c>
      <c r="C27" s="18" t="s">
        <v>486</v>
      </c>
      <c r="D27" s="18" t="s">
        <v>487</v>
      </c>
      <c r="E27" s="18" t="s">
        <v>488</v>
      </c>
      <c r="F27" s="18" t="s">
        <v>144</v>
      </c>
      <c r="G27" s="19">
        <v>0</v>
      </c>
      <c r="H27" s="19">
        <v>30</v>
      </c>
      <c r="I27" s="19">
        <f>-H27</f>
        <v>-30</v>
      </c>
      <c r="J27" s="18" t="s">
        <v>15</v>
      </c>
      <c r="K27" s="18" t="s">
        <v>15</v>
      </c>
      <c r="L27" s="18" t="s">
        <v>447</v>
      </c>
      <c r="M27" s="18"/>
      <c r="N27" s="18"/>
      <c r="O27" s="18"/>
      <c r="P27" s="18"/>
      <c r="Q27" s="19">
        <v>1</v>
      </c>
      <c r="R27" s="17">
        <f t="shared" ref="R27:R28" si="2">H27</f>
        <v>30</v>
      </c>
    </row>
    <row r="28" spans="1:18" customFormat="1" x14ac:dyDescent="0.25">
      <c r="A28" s="18"/>
      <c r="B28" s="18" t="s">
        <v>34</v>
      </c>
      <c r="C28" s="18" t="s">
        <v>528</v>
      </c>
      <c r="D28" s="18" t="s">
        <v>529</v>
      </c>
      <c r="E28" s="18" t="s">
        <v>530</v>
      </c>
      <c r="F28" s="18" t="s">
        <v>18</v>
      </c>
      <c r="G28" s="19">
        <v>0</v>
      </c>
      <c r="H28" s="19">
        <v>25</v>
      </c>
      <c r="I28" s="19">
        <f>-H28</f>
        <v>-25</v>
      </c>
      <c r="J28" s="18" t="s">
        <v>15</v>
      </c>
      <c r="K28" s="18" t="s">
        <v>15</v>
      </c>
      <c r="L28" s="18" t="s">
        <v>447</v>
      </c>
      <c r="M28" s="18"/>
      <c r="N28" s="18"/>
      <c r="O28" s="18"/>
      <c r="P28" s="18"/>
      <c r="Q28" s="19">
        <v>1</v>
      </c>
      <c r="R28" s="17">
        <f t="shared" si="2"/>
        <v>25</v>
      </c>
    </row>
    <row r="29" spans="1:18" customFormat="1" x14ac:dyDescent="0.25">
      <c r="A29" s="18"/>
      <c r="B29" s="18" t="s">
        <v>34</v>
      </c>
      <c r="C29" s="18" t="s">
        <v>543</v>
      </c>
      <c r="D29" s="18" t="s">
        <v>544</v>
      </c>
      <c r="E29" s="18" t="s">
        <v>545</v>
      </c>
      <c r="F29" s="19">
        <v>2</v>
      </c>
      <c r="G29" s="19">
        <v>820</v>
      </c>
      <c r="H29" s="19">
        <v>30</v>
      </c>
      <c r="I29" s="19">
        <f>G29-H29</f>
        <v>790</v>
      </c>
      <c r="J29" s="18" t="s">
        <v>15</v>
      </c>
      <c r="K29" s="18" t="s">
        <v>15</v>
      </c>
      <c r="L29" s="18" t="s">
        <v>447</v>
      </c>
      <c r="M29" s="18"/>
      <c r="N29" s="18"/>
      <c r="O29" s="18"/>
      <c r="P29" s="18"/>
      <c r="Q29" s="19">
        <v>1</v>
      </c>
    </row>
    <row r="30" spans="1:18" customFormat="1" x14ac:dyDescent="0.25">
      <c r="A30" s="18"/>
      <c r="B30" s="18" t="s">
        <v>34</v>
      </c>
      <c r="C30" s="18" t="s">
        <v>552</v>
      </c>
      <c r="D30" s="18" t="s">
        <v>553</v>
      </c>
      <c r="E30" s="18" t="s">
        <v>554</v>
      </c>
      <c r="F30" s="18" t="s">
        <v>18</v>
      </c>
      <c r="G30" s="19">
        <v>0</v>
      </c>
      <c r="H30" s="19">
        <v>25</v>
      </c>
      <c r="I30" s="19">
        <f>-H30</f>
        <v>-25</v>
      </c>
      <c r="J30" s="18" t="s">
        <v>15</v>
      </c>
      <c r="K30" s="18" t="s">
        <v>15</v>
      </c>
      <c r="L30" s="18" t="s">
        <v>447</v>
      </c>
      <c r="M30" s="18"/>
      <c r="N30" s="18"/>
      <c r="O30" s="18"/>
      <c r="P30" s="18"/>
      <c r="Q30" s="19">
        <v>1</v>
      </c>
      <c r="R30" s="17">
        <f>H30</f>
        <v>25</v>
      </c>
    </row>
    <row r="31" spans="1:18" customFormat="1" x14ac:dyDescent="0.25">
      <c r="A31" s="18"/>
      <c r="B31" s="18" t="s">
        <v>34</v>
      </c>
      <c r="C31" s="18" t="s">
        <v>566</v>
      </c>
      <c r="D31" s="18" t="s">
        <v>567</v>
      </c>
      <c r="E31" s="18" t="s">
        <v>568</v>
      </c>
      <c r="F31" s="19">
        <v>2</v>
      </c>
      <c r="G31" s="19">
        <v>1020</v>
      </c>
      <c r="H31" s="19">
        <v>30</v>
      </c>
      <c r="I31" s="19">
        <f>G31-H31</f>
        <v>990</v>
      </c>
      <c r="J31" s="18" t="s">
        <v>15</v>
      </c>
      <c r="K31" s="18" t="s">
        <v>15</v>
      </c>
      <c r="L31" s="18" t="s">
        <v>447</v>
      </c>
      <c r="M31" s="18"/>
      <c r="N31" s="18"/>
      <c r="O31" s="18"/>
      <c r="P31" s="18"/>
      <c r="Q31" s="19">
        <v>1</v>
      </c>
    </row>
    <row r="32" spans="1:18" customFormat="1" x14ac:dyDescent="0.25">
      <c r="A32" s="18"/>
      <c r="B32" s="18" t="s">
        <v>34</v>
      </c>
      <c r="C32" s="18" t="s">
        <v>326</v>
      </c>
      <c r="D32" s="18" t="s">
        <v>569</v>
      </c>
      <c r="E32" s="18" t="s">
        <v>570</v>
      </c>
      <c r="F32" s="19">
        <v>2</v>
      </c>
      <c r="G32" s="19">
        <v>380</v>
      </c>
      <c r="H32" s="19">
        <v>30</v>
      </c>
      <c r="I32" s="19">
        <f>G32-H32</f>
        <v>350</v>
      </c>
      <c r="J32" s="18" t="s">
        <v>15</v>
      </c>
      <c r="K32" s="18" t="s">
        <v>15</v>
      </c>
      <c r="L32" s="18" t="s">
        <v>447</v>
      </c>
      <c r="M32" s="18"/>
      <c r="N32" s="18"/>
      <c r="O32" s="18"/>
      <c r="P32" s="18"/>
      <c r="Q32" s="19">
        <v>1</v>
      </c>
    </row>
    <row r="33" spans="1:18" customFormat="1" x14ac:dyDescent="0.25">
      <c r="A33" s="18"/>
      <c r="B33" s="18" t="s">
        <v>34</v>
      </c>
      <c r="C33" s="18" t="s">
        <v>571</v>
      </c>
      <c r="D33" s="18" t="s">
        <v>572</v>
      </c>
      <c r="E33" s="18" t="s">
        <v>573</v>
      </c>
      <c r="F33" s="19">
        <v>12</v>
      </c>
      <c r="G33" s="19">
        <v>1020</v>
      </c>
      <c r="H33" s="19">
        <v>30</v>
      </c>
      <c r="I33" s="19">
        <f>G33-H33</f>
        <v>990</v>
      </c>
      <c r="J33" s="18" t="s">
        <v>15</v>
      </c>
      <c r="K33" s="18" t="s">
        <v>15</v>
      </c>
      <c r="L33" s="18" t="s">
        <v>447</v>
      </c>
      <c r="M33" s="18"/>
      <c r="N33" s="18"/>
      <c r="O33" s="18"/>
      <c r="P33" s="18"/>
      <c r="Q33" s="19">
        <v>1</v>
      </c>
    </row>
    <row r="34" spans="1:18" customFormat="1" x14ac:dyDescent="0.25">
      <c r="A34" s="18" t="s">
        <v>96</v>
      </c>
      <c r="B34" s="18" t="s">
        <v>34</v>
      </c>
      <c r="C34" s="18" t="s">
        <v>577</v>
      </c>
      <c r="D34" s="18"/>
      <c r="E34" s="18" t="s">
        <v>578</v>
      </c>
      <c r="F34" s="18" t="s">
        <v>20</v>
      </c>
      <c r="G34" s="19">
        <v>30</v>
      </c>
      <c r="H34" s="19">
        <v>30</v>
      </c>
      <c r="I34" s="19">
        <f>G34-H34</f>
        <v>0</v>
      </c>
      <c r="J34" s="18" t="s">
        <v>15</v>
      </c>
      <c r="K34" s="18" t="s">
        <v>15</v>
      </c>
      <c r="L34" s="18" t="s">
        <v>447</v>
      </c>
      <c r="M34" s="18"/>
      <c r="N34" s="18"/>
      <c r="O34" s="18"/>
      <c r="P34" s="18"/>
      <c r="Q34" s="19">
        <v>1</v>
      </c>
    </row>
    <row r="35" spans="1:18" customFormat="1" x14ac:dyDescent="0.25">
      <c r="A35" s="18" t="s">
        <v>96</v>
      </c>
      <c r="B35" s="18" t="s">
        <v>34</v>
      </c>
      <c r="C35" s="18" t="s">
        <v>581</v>
      </c>
      <c r="D35" s="18"/>
      <c r="E35" s="18" t="s">
        <v>582</v>
      </c>
      <c r="F35" s="19">
        <v>12</v>
      </c>
      <c r="G35" s="19">
        <v>0</v>
      </c>
      <c r="H35" s="19">
        <v>35</v>
      </c>
      <c r="I35" s="19">
        <f>-H35</f>
        <v>-35</v>
      </c>
      <c r="J35" s="18" t="s">
        <v>15</v>
      </c>
      <c r="K35" s="18" t="s">
        <v>15</v>
      </c>
      <c r="L35" s="18" t="s">
        <v>447</v>
      </c>
      <c r="M35" s="18"/>
      <c r="N35" s="18"/>
      <c r="O35" s="18"/>
      <c r="P35" s="18"/>
      <c r="Q35" s="19">
        <v>1</v>
      </c>
      <c r="R35" s="17">
        <f>H35</f>
        <v>35</v>
      </c>
    </row>
    <row r="36" spans="1:18" customFormat="1" x14ac:dyDescent="0.25">
      <c r="A36" s="18" t="s">
        <v>96</v>
      </c>
      <c r="B36" s="18" t="s">
        <v>34</v>
      </c>
      <c r="C36" s="18" t="s">
        <v>314</v>
      </c>
      <c r="D36" s="18"/>
      <c r="E36" s="18" t="s">
        <v>315</v>
      </c>
      <c r="F36" s="18" t="s">
        <v>20</v>
      </c>
      <c r="G36" s="19">
        <v>30</v>
      </c>
      <c r="H36" s="19">
        <v>30</v>
      </c>
      <c r="I36" s="19">
        <f t="shared" ref="I36:I52" si="3">G36-H36</f>
        <v>0</v>
      </c>
      <c r="J36" s="18" t="s">
        <v>15</v>
      </c>
      <c r="K36" s="18" t="s">
        <v>15</v>
      </c>
      <c r="L36" s="18" t="s">
        <v>447</v>
      </c>
      <c r="M36" s="18"/>
      <c r="N36" s="18"/>
      <c r="O36" s="18"/>
      <c r="P36" s="18"/>
      <c r="Q36" s="19">
        <v>1</v>
      </c>
    </row>
    <row r="37" spans="1:18" customFormat="1" x14ac:dyDescent="0.25">
      <c r="A37" s="18" t="s">
        <v>96</v>
      </c>
      <c r="B37" s="18" t="s">
        <v>34</v>
      </c>
      <c r="C37" s="18" t="s">
        <v>586</v>
      </c>
      <c r="D37" s="18"/>
      <c r="E37" s="18" t="s">
        <v>587</v>
      </c>
      <c r="F37" s="18" t="s">
        <v>144</v>
      </c>
      <c r="G37" s="19">
        <v>1015</v>
      </c>
      <c r="H37" s="19">
        <v>35</v>
      </c>
      <c r="I37" s="19">
        <f t="shared" si="3"/>
        <v>980</v>
      </c>
      <c r="J37" s="18" t="s">
        <v>15</v>
      </c>
      <c r="K37" s="18" t="s">
        <v>15</v>
      </c>
      <c r="L37" s="18" t="s">
        <v>447</v>
      </c>
      <c r="M37" s="18"/>
      <c r="N37" s="18"/>
      <c r="O37" s="18"/>
      <c r="P37" s="18"/>
      <c r="Q37" s="19">
        <v>1</v>
      </c>
    </row>
    <row r="38" spans="1:18" customFormat="1" x14ac:dyDescent="0.25">
      <c r="A38" s="18"/>
      <c r="B38" s="18" t="s">
        <v>34</v>
      </c>
      <c r="C38" s="18" t="s">
        <v>470</v>
      </c>
      <c r="D38" s="18" t="s">
        <v>471</v>
      </c>
      <c r="E38" s="18" t="s">
        <v>472</v>
      </c>
      <c r="F38" s="19">
        <v>10</v>
      </c>
      <c r="G38" s="19">
        <v>1505</v>
      </c>
      <c r="H38" s="19">
        <v>25</v>
      </c>
      <c r="I38" s="19">
        <f t="shared" si="3"/>
        <v>1480</v>
      </c>
      <c r="J38" s="18" t="s">
        <v>160</v>
      </c>
      <c r="K38" s="18" t="s">
        <v>15</v>
      </c>
      <c r="L38" s="18" t="s">
        <v>447</v>
      </c>
      <c r="M38" s="18"/>
      <c r="N38" s="18"/>
      <c r="O38" s="18"/>
      <c r="P38" s="18"/>
      <c r="Q38" s="19">
        <v>1</v>
      </c>
    </row>
    <row r="39" spans="1:18" customFormat="1" x14ac:dyDescent="0.25">
      <c r="A39" s="18"/>
      <c r="B39" s="18" t="s">
        <v>34</v>
      </c>
      <c r="C39" s="18" t="s">
        <v>473</v>
      </c>
      <c r="D39" s="18" t="s">
        <v>474</v>
      </c>
      <c r="E39" s="18" t="s">
        <v>475</v>
      </c>
      <c r="F39" s="19">
        <v>4</v>
      </c>
      <c r="G39" s="19">
        <v>815</v>
      </c>
      <c r="H39" s="19">
        <v>25</v>
      </c>
      <c r="I39" s="19">
        <f t="shared" si="3"/>
        <v>790</v>
      </c>
      <c r="J39" s="18" t="s">
        <v>160</v>
      </c>
      <c r="K39" s="18" t="s">
        <v>15</v>
      </c>
      <c r="L39" s="18" t="s">
        <v>447</v>
      </c>
      <c r="M39" s="18"/>
      <c r="N39" s="18"/>
      <c r="O39" s="18"/>
      <c r="P39" s="18"/>
      <c r="Q39" s="19">
        <v>1</v>
      </c>
    </row>
    <row r="40" spans="1:18" customFormat="1" x14ac:dyDescent="0.25">
      <c r="A40" s="18"/>
      <c r="B40" s="18" t="s">
        <v>34</v>
      </c>
      <c r="C40" s="18" t="s">
        <v>489</v>
      </c>
      <c r="D40" s="18" t="s">
        <v>490</v>
      </c>
      <c r="E40" s="18" t="s">
        <v>491</v>
      </c>
      <c r="F40" s="19">
        <v>8</v>
      </c>
      <c r="G40" s="19">
        <v>820</v>
      </c>
      <c r="H40" s="19">
        <v>30</v>
      </c>
      <c r="I40" s="19">
        <f t="shared" si="3"/>
        <v>790</v>
      </c>
      <c r="J40" s="18" t="s">
        <v>160</v>
      </c>
      <c r="K40" s="18" t="s">
        <v>15</v>
      </c>
      <c r="L40" s="18" t="s">
        <v>447</v>
      </c>
      <c r="M40" s="18"/>
      <c r="N40" s="18"/>
      <c r="O40" s="18"/>
      <c r="P40" s="18"/>
      <c r="Q40" s="19">
        <v>1</v>
      </c>
    </row>
    <row r="41" spans="1:18" customFormat="1" x14ac:dyDescent="0.25">
      <c r="A41" s="18"/>
      <c r="B41" s="18" t="s">
        <v>34</v>
      </c>
      <c r="C41" s="18" t="s">
        <v>492</v>
      </c>
      <c r="D41" s="18" t="s">
        <v>493</v>
      </c>
      <c r="E41" s="18" t="s">
        <v>494</v>
      </c>
      <c r="F41" s="18" t="s">
        <v>18</v>
      </c>
      <c r="G41" s="19">
        <v>845</v>
      </c>
      <c r="H41" s="19">
        <v>25</v>
      </c>
      <c r="I41" s="19">
        <f t="shared" si="3"/>
        <v>820</v>
      </c>
      <c r="J41" s="18" t="s">
        <v>160</v>
      </c>
      <c r="K41" s="18" t="s">
        <v>15</v>
      </c>
      <c r="L41" s="18" t="s">
        <v>447</v>
      </c>
      <c r="M41" s="18"/>
      <c r="N41" s="18"/>
      <c r="O41" s="18"/>
      <c r="P41" s="18"/>
      <c r="Q41" s="19">
        <v>1</v>
      </c>
    </row>
    <row r="42" spans="1:18" customFormat="1" x14ac:dyDescent="0.25">
      <c r="A42" s="18"/>
      <c r="B42" s="18" t="s">
        <v>34</v>
      </c>
      <c r="C42" s="18" t="s">
        <v>501</v>
      </c>
      <c r="D42" s="18" t="s">
        <v>502</v>
      </c>
      <c r="E42" s="18" t="s">
        <v>503</v>
      </c>
      <c r="F42" s="19">
        <v>4</v>
      </c>
      <c r="G42" s="19">
        <v>735</v>
      </c>
      <c r="H42" s="19">
        <v>25</v>
      </c>
      <c r="I42" s="19">
        <f t="shared" si="3"/>
        <v>710</v>
      </c>
      <c r="J42" s="18" t="s">
        <v>160</v>
      </c>
      <c r="K42" s="18" t="s">
        <v>15</v>
      </c>
      <c r="L42" s="18" t="s">
        <v>447</v>
      </c>
      <c r="M42" s="18"/>
      <c r="N42" s="18"/>
      <c r="O42" s="18"/>
      <c r="P42" s="18"/>
      <c r="Q42" s="19">
        <v>1</v>
      </c>
    </row>
    <row r="43" spans="1:18" s="22" customFormat="1" x14ac:dyDescent="0.25">
      <c r="A43" s="20"/>
      <c r="B43" s="20" t="s">
        <v>34</v>
      </c>
      <c r="C43" s="20" t="s">
        <v>504</v>
      </c>
      <c r="D43" s="20" t="s">
        <v>505</v>
      </c>
      <c r="E43" s="20" t="s">
        <v>506</v>
      </c>
      <c r="F43" s="21">
        <v>4</v>
      </c>
      <c r="G43" s="21">
        <v>75</v>
      </c>
      <c r="H43" s="21">
        <v>25</v>
      </c>
      <c r="I43" s="21">
        <f t="shared" si="3"/>
        <v>50</v>
      </c>
      <c r="J43" s="20" t="s">
        <v>160</v>
      </c>
      <c r="K43" s="20" t="s">
        <v>15</v>
      </c>
      <c r="L43" s="20" t="s">
        <v>447</v>
      </c>
      <c r="M43" s="20" t="s">
        <v>16</v>
      </c>
      <c r="N43" s="20"/>
      <c r="O43" s="20"/>
      <c r="P43" s="20"/>
      <c r="Q43" s="21">
        <v>1</v>
      </c>
    </row>
    <row r="44" spans="1:18" customFormat="1" x14ac:dyDescent="0.25">
      <c r="A44" s="18"/>
      <c r="B44" s="18" t="s">
        <v>34</v>
      </c>
      <c r="C44" s="18" t="s">
        <v>507</v>
      </c>
      <c r="D44" s="18" t="s">
        <v>508</v>
      </c>
      <c r="E44" s="18" t="s">
        <v>509</v>
      </c>
      <c r="F44" s="19">
        <v>4</v>
      </c>
      <c r="G44" s="19">
        <v>715</v>
      </c>
      <c r="H44" s="19">
        <v>25</v>
      </c>
      <c r="I44" s="19">
        <f t="shared" si="3"/>
        <v>690</v>
      </c>
      <c r="J44" s="18" t="s">
        <v>160</v>
      </c>
      <c r="K44" s="18" t="s">
        <v>15</v>
      </c>
      <c r="L44" s="18" t="s">
        <v>447</v>
      </c>
      <c r="M44" s="18"/>
      <c r="N44" s="18"/>
      <c r="O44" s="18"/>
      <c r="P44" s="18"/>
      <c r="Q44" s="19">
        <v>1</v>
      </c>
    </row>
    <row r="45" spans="1:18" customFormat="1" x14ac:dyDescent="0.25">
      <c r="A45" s="18"/>
      <c r="B45" s="18" t="s">
        <v>34</v>
      </c>
      <c r="C45" s="18" t="s">
        <v>513</v>
      </c>
      <c r="D45" s="18" t="s">
        <v>514</v>
      </c>
      <c r="E45" s="18" t="s">
        <v>515</v>
      </c>
      <c r="F45" s="19">
        <v>5</v>
      </c>
      <c r="G45" s="19">
        <v>685</v>
      </c>
      <c r="H45" s="19">
        <v>25</v>
      </c>
      <c r="I45" s="19">
        <f t="shared" si="3"/>
        <v>660</v>
      </c>
      <c r="J45" s="18" t="s">
        <v>160</v>
      </c>
      <c r="K45" s="18" t="s">
        <v>15</v>
      </c>
      <c r="L45" s="18" t="s">
        <v>447</v>
      </c>
      <c r="M45" s="18"/>
      <c r="N45" s="18"/>
      <c r="O45" s="18"/>
      <c r="P45" s="18"/>
      <c r="Q45" s="19">
        <v>1</v>
      </c>
    </row>
    <row r="46" spans="1:18" customFormat="1" x14ac:dyDescent="0.25">
      <c r="A46" s="18"/>
      <c r="B46" s="18" t="s">
        <v>34</v>
      </c>
      <c r="C46" s="18" t="s">
        <v>519</v>
      </c>
      <c r="D46" s="18" t="s">
        <v>520</v>
      </c>
      <c r="E46" s="18" t="s">
        <v>521</v>
      </c>
      <c r="F46" s="19">
        <v>5</v>
      </c>
      <c r="G46" s="19">
        <v>1185</v>
      </c>
      <c r="H46" s="19">
        <v>25</v>
      </c>
      <c r="I46" s="19">
        <f t="shared" si="3"/>
        <v>1160</v>
      </c>
      <c r="J46" s="18" t="s">
        <v>160</v>
      </c>
      <c r="K46" s="18" t="s">
        <v>15</v>
      </c>
      <c r="L46" s="18" t="s">
        <v>447</v>
      </c>
      <c r="M46" s="18"/>
      <c r="N46" s="18"/>
      <c r="O46" s="18"/>
      <c r="P46" s="18"/>
      <c r="Q46" s="19">
        <v>1</v>
      </c>
    </row>
    <row r="47" spans="1:18" customFormat="1" x14ac:dyDescent="0.25">
      <c r="A47" s="18"/>
      <c r="B47" s="18" t="s">
        <v>34</v>
      </c>
      <c r="C47" s="18" t="s">
        <v>522</v>
      </c>
      <c r="D47" s="18" t="s">
        <v>523</v>
      </c>
      <c r="E47" s="18" t="s">
        <v>524</v>
      </c>
      <c r="F47" s="19">
        <v>1</v>
      </c>
      <c r="G47" s="19">
        <v>745</v>
      </c>
      <c r="H47" s="19">
        <v>25</v>
      </c>
      <c r="I47" s="19">
        <f t="shared" si="3"/>
        <v>720</v>
      </c>
      <c r="J47" s="18" t="s">
        <v>160</v>
      </c>
      <c r="K47" s="18" t="s">
        <v>15</v>
      </c>
      <c r="L47" s="18" t="s">
        <v>447</v>
      </c>
      <c r="M47" s="18"/>
      <c r="N47" s="18"/>
      <c r="O47" s="18"/>
      <c r="P47" s="18"/>
      <c r="Q47" s="19">
        <v>1</v>
      </c>
    </row>
    <row r="48" spans="1:18" customFormat="1" x14ac:dyDescent="0.25">
      <c r="A48" s="18"/>
      <c r="B48" s="18" t="s">
        <v>34</v>
      </c>
      <c r="C48" s="18" t="s">
        <v>525</v>
      </c>
      <c r="D48" s="18" t="s">
        <v>526</v>
      </c>
      <c r="E48" s="18" t="s">
        <v>527</v>
      </c>
      <c r="F48" s="19">
        <v>10</v>
      </c>
      <c r="G48" s="19">
        <v>1255</v>
      </c>
      <c r="H48" s="19">
        <v>25</v>
      </c>
      <c r="I48" s="19">
        <f t="shared" si="3"/>
        <v>1230</v>
      </c>
      <c r="J48" s="18" t="s">
        <v>160</v>
      </c>
      <c r="K48" s="18" t="s">
        <v>15</v>
      </c>
      <c r="L48" s="18" t="s">
        <v>447</v>
      </c>
      <c r="M48" s="18"/>
      <c r="N48" s="18"/>
      <c r="O48" s="18"/>
      <c r="P48" s="18"/>
      <c r="Q48" s="19">
        <v>1</v>
      </c>
    </row>
    <row r="49" spans="1:18" customFormat="1" x14ac:dyDescent="0.25">
      <c r="A49" s="18"/>
      <c r="B49" s="18" t="s">
        <v>34</v>
      </c>
      <c r="C49" s="18" t="s">
        <v>531</v>
      </c>
      <c r="D49" s="18" t="s">
        <v>532</v>
      </c>
      <c r="E49" s="18" t="s">
        <v>533</v>
      </c>
      <c r="F49" s="18" t="s">
        <v>17</v>
      </c>
      <c r="G49" s="19">
        <v>370</v>
      </c>
      <c r="H49" s="19">
        <v>20</v>
      </c>
      <c r="I49" s="19">
        <f t="shared" si="3"/>
        <v>350</v>
      </c>
      <c r="J49" s="18" t="s">
        <v>160</v>
      </c>
      <c r="K49" s="18" t="s">
        <v>15</v>
      </c>
      <c r="L49" s="18" t="s">
        <v>447</v>
      </c>
      <c r="M49" s="18"/>
      <c r="N49" s="18"/>
      <c r="O49" s="18"/>
      <c r="P49" s="18"/>
      <c r="Q49" s="19">
        <v>1</v>
      </c>
    </row>
    <row r="50" spans="1:18" customFormat="1" x14ac:dyDescent="0.25">
      <c r="A50" s="18"/>
      <c r="B50" s="18" t="s">
        <v>34</v>
      </c>
      <c r="C50" s="18" t="s">
        <v>534</v>
      </c>
      <c r="D50" s="18" t="s">
        <v>535</v>
      </c>
      <c r="E50" s="18" t="s">
        <v>536</v>
      </c>
      <c r="F50" s="19">
        <v>1</v>
      </c>
      <c r="G50" s="19">
        <v>915</v>
      </c>
      <c r="H50" s="19">
        <v>25</v>
      </c>
      <c r="I50" s="19">
        <f t="shared" si="3"/>
        <v>890</v>
      </c>
      <c r="J50" s="18" t="s">
        <v>160</v>
      </c>
      <c r="K50" s="18" t="s">
        <v>15</v>
      </c>
      <c r="L50" s="18" t="s">
        <v>447</v>
      </c>
      <c r="M50" s="18"/>
      <c r="N50" s="18"/>
      <c r="O50" s="18"/>
      <c r="P50" s="18"/>
      <c r="Q50" s="19">
        <v>1</v>
      </c>
    </row>
    <row r="51" spans="1:18" customFormat="1" x14ac:dyDescent="0.25">
      <c r="A51" s="18"/>
      <c r="B51" s="18" t="s">
        <v>34</v>
      </c>
      <c r="C51" s="18" t="s">
        <v>537</v>
      </c>
      <c r="D51" s="18" t="s">
        <v>538</v>
      </c>
      <c r="E51" s="18" t="s">
        <v>539</v>
      </c>
      <c r="F51" s="19">
        <v>1</v>
      </c>
      <c r="G51" s="19">
        <v>1635</v>
      </c>
      <c r="H51" s="19">
        <v>25</v>
      </c>
      <c r="I51" s="19">
        <f t="shared" si="3"/>
        <v>1610</v>
      </c>
      <c r="J51" s="18" t="s">
        <v>160</v>
      </c>
      <c r="K51" s="18" t="s">
        <v>15</v>
      </c>
      <c r="L51" s="18" t="s">
        <v>447</v>
      </c>
      <c r="M51" s="18"/>
      <c r="N51" s="18"/>
      <c r="O51" s="18"/>
      <c r="P51" s="18"/>
      <c r="Q51" s="19">
        <v>1</v>
      </c>
    </row>
    <row r="52" spans="1:18" customFormat="1" x14ac:dyDescent="0.25">
      <c r="A52" s="18"/>
      <c r="B52" s="18" t="s">
        <v>34</v>
      </c>
      <c r="C52" s="18" t="s">
        <v>546</v>
      </c>
      <c r="D52" s="18" t="s">
        <v>547</v>
      </c>
      <c r="E52" s="18" t="s">
        <v>548</v>
      </c>
      <c r="F52" s="19">
        <v>10</v>
      </c>
      <c r="G52" s="19">
        <v>465</v>
      </c>
      <c r="H52" s="19">
        <v>25</v>
      </c>
      <c r="I52" s="19">
        <f t="shared" si="3"/>
        <v>440</v>
      </c>
      <c r="J52" s="18" t="s">
        <v>160</v>
      </c>
      <c r="K52" s="18" t="s">
        <v>15</v>
      </c>
      <c r="L52" s="18" t="s">
        <v>447</v>
      </c>
      <c r="M52" s="18"/>
      <c r="N52" s="18"/>
      <c r="O52" s="18"/>
      <c r="P52" s="18"/>
      <c r="Q52" s="19">
        <v>1</v>
      </c>
    </row>
    <row r="53" spans="1:18" customFormat="1" x14ac:dyDescent="0.25">
      <c r="A53" s="18"/>
      <c r="B53" s="18" t="s">
        <v>34</v>
      </c>
      <c r="C53" s="18" t="s">
        <v>555</v>
      </c>
      <c r="D53" s="18" t="s">
        <v>556</v>
      </c>
      <c r="E53" s="18" t="s">
        <v>557</v>
      </c>
      <c r="F53" s="19">
        <v>4</v>
      </c>
      <c r="G53" s="19">
        <v>0</v>
      </c>
      <c r="H53" s="19">
        <v>25</v>
      </c>
      <c r="I53" s="19">
        <f>-H53</f>
        <v>-25</v>
      </c>
      <c r="J53" s="18" t="s">
        <v>160</v>
      </c>
      <c r="K53" s="18" t="s">
        <v>15</v>
      </c>
      <c r="L53" s="18" t="s">
        <v>447</v>
      </c>
      <c r="M53" s="18"/>
      <c r="N53" s="18"/>
      <c r="O53" s="18"/>
      <c r="P53" s="18"/>
      <c r="Q53" s="19">
        <v>1</v>
      </c>
      <c r="R53" s="17">
        <f>H53</f>
        <v>25</v>
      </c>
    </row>
    <row r="55" spans="1:18" x14ac:dyDescent="0.25">
      <c r="G55" s="1">
        <f>SUBTOTAL(9,G3:G54)</f>
        <v>34935</v>
      </c>
      <c r="H55" s="1">
        <f>SUBTOTAL(9,H3:H54)</f>
        <v>1425</v>
      </c>
      <c r="I55" s="1">
        <f>SUBTOTAL(9,I3:I54)</f>
        <v>33510</v>
      </c>
      <c r="J55" s="1">
        <f>SUBTOTAL(9,J3:J54)</f>
        <v>0</v>
      </c>
      <c r="K55" s="1">
        <f>SUBTOTAL(9,K3:K54)</f>
        <v>0</v>
      </c>
      <c r="L55" s="1">
        <f>SUBTOTAL(9,L3:L54)</f>
        <v>0</v>
      </c>
      <c r="M55" s="1">
        <f>SUBTOTAL(9,M3:M54)</f>
        <v>0</v>
      </c>
      <c r="N55" s="1">
        <f>SUBTOTAL(9,N3:N54)</f>
        <v>0</v>
      </c>
      <c r="O55" s="1">
        <f>SUBTOTAL(9,O3:O54)</f>
        <v>0</v>
      </c>
      <c r="P55" s="1">
        <f>SUBTOTAL(9,P3:P54)</f>
        <v>0</v>
      </c>
      <c r="Q55" s="1">
        <f>SUBTOTAL(9,Q3:Q54)</f>
        <v>51</v>
      </c>
      <c r="R55" s="1">
        <f>SUBTOTAL(9,R3:R54)</f>
        <v>250</v>
      </c>
    </row>
    <row r="59" spans="1:18" ht="20.25" customHeight="1" x14ac:dyDescent="0.3">
      <c r="H59" s="4" t="s">
        <v>897</v>
      </c>
      <c r="I59" s="5" t="s">
        <v>21</v>
      </c>
      <c r="J59" s="6" t="s">
        <v>22</v>
      </c>
    </row>
    <row r="60" spans="1:18" ht="15.75" customHeight="1" x14ac:dyDescent="0.25">
      <c r="H60" s="7" t="s">
        <v>23</v>
      </c>
      <c r="I60" s="8">
        <f>SUM(I54:I58)</f>
        <v>33510</v>
      </c>
      <c r="J60" s="8">
        <f>Q55</f>
        <v>51</v>
      </c>
    </row>
    <row r="61" spans="1:18" x14ac:dyDescent="0.25">
      <c r="H61" s="9" t="s">
        <v>24</v>
      </c>
      <c r="I61" s="10">
        <f>R55</f>
        <v>250</v>
      </c>
      <c r="J61" s="11"/>
    </row>
    <row r="62" spans="1:18" x14ac:dyDescent="0.25">
      <c r="H62" s="9" t="s">
        <v>25</v>
      </c>
      <c r="I62" s="10">
        <f>S54</f>
        <v>0</v>
      </c>
      <c r="J62" s="11"/>
    </row>
    <row r="63" spans="1:18" x14ac:dyDescent="0.25">
      <c r="H63" s="9" t="s">
        <v>26</v>
      </c>
      <c r="I63" s="10">
        <f>T54</f>
        <v>0</v>
      </c>
      <c r="J63" s="11"/>
    </row>
    <row r="64" spans="1:18" x14ac:dyDescent="0.25">
      <c r="H64" s="9" t="s">
        <v>27</v>
      </c>
      <c r="I64" s="10">
        <f>U54</f>
        <v>0</v>
      </c>
      <c r="J64" s="11"/>
    </row>
    <row r="65" spans="8:10" ht="15.75" customHeight="1" x14ac:dyDescent="0.25">
      <c r="H65" s="12" t="s">
        <v>28</v>
      </c>
      <c r="I65" s="13"/>
      <c r="J65" s="13"/>
    </row>
    <row r="66" spans="8:10" ht="15.75" customHeight="1" x14ac:dyDescent="0.25">
      <c r="H66" s="14" t="s">
        <v>29</v>
      </c>
      <c r="I66" s="13"/>
      <c r="J66" s="13"/>
    </row>
    <row r="67" spans="8:10" ht="21" customHeight="1" x14ac:dyDescent="0.35">
      <c r="H67" s="15" t="s">
        <v>30</v>
      </c>
      <c r="I67" s="16">
        <f>SUM(I60:I66)</f>
        <v>33760</v>
      </c>
      <c r="J67" s="16">
        <f>SUM(J60:J64)</f>
        <v>51</v>
      </c>
    </row>
  </sheetData>
  <autoFilter ref="A2:P53" xr:uid="{00000000-0009-0000-0000-000006000000}">
    <sortState xmlns:xlrd2="http://schemas.microsoft.com/office/spreadsheetml/2017/richdata2" ref="A3:P53">
      <sortCondition ref="J2:J53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1-4</vt:lpstr>
      <vt:lpstr>2-4</vt:lpstr>
      <vt:lpstr>3-4</vt:lpstr>
      <vt:lpstr>4-4</vt:lpstr>
      <vt:lpstr>6-4</vt:lpstr>
      <vt:lpstr>7-4</vt:lpstr>
      <vt:lpstr>8-4</vt:lpstr>
      <vt:lpstr>9-4</vt:lpstr>
      <vt:lpstr>10-4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2026-04-10T09:45:37Z</dcterms:modified>
</cp:coreProperties>
</file>