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Apr\15-04-2026\"/>
    </mc:Choice>
  </mc:AlternateContent>
  <xr:revisionPtr revIDLastSave="0" documentId="13_ncr:1_{23470B7F-3A09-4958-8DC2-822211CE0F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5-04" sheetId="6" r:id="rId1"/>
  </sheets>
  <definedNames>
    <definedName name="_xlnm._FilterDatabase" localSheetId="0" hidden="1">'15-04'!$A$2:$P$35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8" i="6" l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D37" i="6"/>
  <c r="G37" i="6"/>
  <c r="H37" i="6"/>
  <c r="I37" i="6"/>
  <c r="J37" i="6"/>
  <c r="K37" i="6"/>
  <c r="L37" i="6"/>
  <c r="M37" i="6"/>
  <c r="N37" i="6"/>
  <c r="O37" i="6"/>
  <c r="P37" i="6"/>
  <c r="Q37" i="6"/>
  <c r="C40" i="6"/>
  <c r="E40" i="6"/>
  <c r="E43" i="6" s="1"/>
  <c r="L40" i="6"/>
  <c r="L45" i="6" s="1"/>
  <c r="P40" i="6" s="1"/>
  <c r="M40" i="6"/>
  <c r="M45" i="6" s="1"/>
  <c r="L41" i="6"/>
  <c r="M41" i="6"/>
  <c r="C42" i="6"/>
  <c r="E42" i="6"/>
  <c r="C43" i="6"/>
  <c r="C47" i="6" s="1"/>
  <c r="P43" i="6" s="1"/>
  <c r="L48" i="6"/>
  <c r="M48" i="6"/>
  <c r="M53" i="6" s="1"/>
  <c r="M49" i="6"/>
  <c r="L49" i="6" s="1"/>
  <c r="L53" i="6" s="1"/>
  <c r="P41" i="6" s="1"/>
  <c r="L56" i="6"/>
  <c r="M56" i="6"/>
  <c r="M61" i="6" s="1"/>
  <c r="M57" i="6"/>
  <c r="L57" i="6" s="1"/>
  <c r="L58" i="6" l="1"/>
  <c r="L61" i="6"/>
  <c r="P42" i="6" s="1"/>
  <c r="P44" i="6" s="1"/>
</calcChain>
</file>

<file path=xl/sharedStrings.xml><?xml version="1.0" encoding="utf-8"?>
<sst xmlns="http://schemas.openxmlformats.org/spreadsheetml/2006/main" count="315" uniqueCount="149">
  <si>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</si>
  <si>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</si>
  <si>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</si>
  <si>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</si>
  <si>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</si>
  <si>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</si>
  <si>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</si>
  <si>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</si>
  <si>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</si>
  <si>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</si>
  <si>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</si>
  <si>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</si>
  <si>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</si>
  <si>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</si>
  <si>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</si>
  <si>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</si>
  <si>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_col17</t>
  </si>
  <si>
    <t>ĐOÀN NGÂN CHÂU</t>
  </si>
  <si>
    <t>Diem Vy</t>
  </si>
  <si>
    <t>HD011509</t>
  </si>
  <si>
    <t>19 Tân Canh P.1</t>
  </si>
  <si>
    <t>tan binh</t>
  </si>
  <si>
    <t>c.hieu</t>
  </si>
  <si>
    <t>c.cuong</t>
  </si>
  <si>
    <t>15-04-2026</t>
  </si>
  <si>
    <t>MC Sanita Mao (MV01908)</t>
  </si>
  <si>
    <t>HD011579</t>
  </si>
  <si>
    <t>315/18/6 Nguyễn Thị Tú</t>
  </si>
  <si>
    <t>binh tan</t>
  </si>
  <si>
    <t>lưu trả</t>
  </si>
  <si>
    <t>Ngân Nguyễn</t>
  </si>
  <si>
    <t>HD011460</t>
  </si>
  <si>
    <t>103/23 cô giang phường cô giang</t>
  </si>
  <si>
    <t>Nguyễn Nhi</t>
  </si>
  <si>
    <t>HD011396</t>
  </si>
  <si>
    <t>Vinhomes - phường long thạnh mỹ</t>
  </si>
  <si>
    <t>a.quyen</t>
  </si>
  <si>
    <t>Nguyễn Thị Kim Thoa</t>
  </si>
  <si>
    <t>HD011457</t>
  </si>
  <si>
    <t>số 25a đường 22 bình hưng hòa a</t>
  </si>
  <si>
    <t>shop chịu ship</t>
  </si>
  <si>
    <t>linda tran ( fb Jin Jin)</t>
  </si>
  <si>
    <t>HD011491</t>
  </si>
  <si>
    <t>66 đường số 7, p10</t>
  </si>
  <si>
    <t>Dương Tường Vy.</t>
  </si>
  <si>
    <t>HD011607</t>
  </si>
  <si>
    <t>24 đặng tất phường tân định</t>
  </si>
  <si>
    <t>Cô Đông - fb Nali Liễu</t>
  </si>
  <si>
    <t>HD011348</t>
  </si>
  <si>
    <t>27/11 đường số 27 hiệp bình Chánh</t>
  </si>
  <si>
    <t>thu duc</t>
  </si>
  <si>
    <t>Moon Nguyễn</t>
  </si>
  <si>
    <t>HD011625</t>
  </si>
  <si>
    <t>16 kim ngân, khu dân cư phong phú 4, xã phong phú</t>
  </si>
  <si>
    <t>binh chanh</t>
  </si>
  <si>
    <t>BN182 miki</t>
  </si>
  <si>
    <t>HD011425</t>
  </si>
  <si>
    <t>163 Đường Trương Thị Hoa, phường Tân Thới Hiệp</t>
  </si>
  <si>
    <t>Hồng Nhung</t>
  </si>
  <si>
    <t>HD011474</t>
  </si>
  <si>
    <t>Vinhomes Central Park3</t>
  </si>
  <si>
    <t>binh thanh</t>
  </si>
  <si>
    <t>Bích Ngọc</t>
  </si>
  <si>
    <t>HD011535</t>
  </si>
  <si>
    <t>1452 phạm văn đông linh xuân thu dục</t>
  </si>
  <si>
    <t>Yu Mi</t>
  </si>
  <si>
    <t>HD011544</t>
  </si>
  <si>
    <t>175 Hoàng Hoa Thám p13</t>
  </si>
  <si>
    <t>chị linh</t>
  </si>
  <si>
    <t>HD011244</t>
  </si>
  <si>
    <t>68hùng vuong p9</t>
  </si>
  <si>
    <t>Nguyễn Hà Thanh Thủy</t>
  </si>
  <si>
    <t>HD011594</t>
  </si>
  <si>
    <t>81/5B ấp Tam đông 3 xã thới tam thôn</t>
  </si>
  <si>
    <t>hoc mon</t>
  </si>
  <si>
    <t>Cẩm tú</t>
  </si>
  <si>
    <t>HD011498</t>
  </si>
  <si>
    <t>Toà B, chung cư green river, 2225 Phạm Thế Hiển,p6</t>
  </si>
  <si>
    <t>Thanh Thư</t>
  </si>
  <si>
    <t>HD011458</t>
  </si>
  <si>
    <t>137/18 âu dương lân, p2</t>
  </si>
  <si>
    <t>Anh Thư Nguyễn</t>
  </si>
  <si>
    <t>HD011545</t>
  </si>
  <si>
    <t>12M Nguyễn Thị Minh Khai, p Đakao</t>
  </si>
  <si>
    <t>San-Sannn @qa20078E</t>
  </si>
  <si>
    <t>HD011592</t>
  </si>
  <si>
    <t>357/3 Trần Phú Phường 7</t>
  </si>
  <si>
    <t>Đào Hạnh nhận hộ An Hy</t>
  </si>
  <si>
    <t>HD008648</t>
  </si>
  <si>
    <t>24 Yên Thế, Phường 2</t>
  </si>
  <si>
    <t>Thanh CU Hoàng</t>
  </si>
  <si>
    <t>HD011388</t>
  </si>
  <si>
    <t>158/12 Trần Huy Liệu phường cầu kiệu</t>
  </si>
  <si>
    <t>phu nhuan</t>
  </si>
  <si>
    <t>Hs Út Hằng</t>
  </si>
  <si>
    <t>HD011539</t>
  </si>
  <si>
    <t>28/1 nguyễn tri phương</t>
  </si>
  <si>
    <t>Nam Diep Hung Tue</t>
  </si>
  <si>
    <t>HD011379</t>
  </si>
  <si>
    <t>Chung cư Sơn Kỳ 2 số 37 đường DC 13 p Tây Thạnh</t>
  </si>
  <si>
    <t>tan phu</t>
  </si>
  <si>
    <t>Phan Nhi</t>
  </si>
  <si>
    <t>HD011391</t>
  </si>
  <si>
    <t>107/189 quang trung, f.10</t>
  </si>
  <si>
    <t>go vap</t>
  </si>
  <si>
    <t>hàng sỉ</t>
  </si>
  <si>
    <t>Phương Thảo</t>
  </si>
  <si>
    <t>189/46a Bạch Đằng, phường Hạnh Thông</t>
  </si>
  <si>
    <t>Thanh Hằng (Vivi Kosalim)</t>
  </si>
  <si>
    <t>605 Âu Cơ, Phường Phú Trung</t>
  </si>
  <si>
    <t>linh sỉ lee</t>
  </si>
  <si>
    <t>Số nhà 97A, đường 22, phường phước long</t>
  </si>
  <si>
    <t>BOS BMB</t>
  </si>
  <si>
    <t>119 hoàng diệu 2 linh trung</t>
  </si>
  <si>
    <t>NHUNG HM</t>
  </si>
  <si>
    <t>8/1 nguyễn ảnh thủ, trung chánh</t>
  </si>
  <si>
    <t>Ngọc</t>
  </si>
  <si>
    <t>120/6 Lê Bình, phường Tân Sơn Nhất</t>
  </si>
  <si>
    <t>jenny bouti</t>
  </si>
  <si>
    <t>401 Quang trung f10</t>
  </si>
  <si>
    <t>Nguyễn Đắc Hội</t>
  </si>
  <si>
    <t>127/17 bình lợi p13</t>
  </si>
  <si>
    <t>Ms Thuyền Tố Như ari</t>
  </si>
  <si>
    <t>HD010485</t>
  </si>
  <si>
    <t>C16-17 lô C1, đường DD5, phường Tân Hưng Thuận</t>
  </si>
  <si>
    <t>luu tra</t>
  </si>
  <si>
    <t>13-04-2026</t>
  </si>
  <si>
    <t>x</t>
  </si>
  <si>
    <t>xx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</si>
  <si>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</si>
  <si>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</si>
  <si>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</si>
  <si>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</si>
  <si>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</si>
  <si>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</si>
  <si>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</si>
  <si>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Trừ Ship</t>
  </si>
  <si>
    <t>tiền ship</t>
  </si>
  <si>
    <t>Đơn trả &amp; c.khoản</t>
  </si>
  <si>
    <t>tiền lấy</t>
  </si>
  <si>
    <t>Tiền Hàng Hcm</t>
  </si>
  <si>
    <t>đơn trả</t>
  </si>
  <si>
    <t>shop</t>
  </si>
  <si>
    <t>đền đơn</t>
  </si>
  <si>
    <t>đơn cũ ck</t>
  </si>
  <si>
    <t>tổng</t>
  </si>
  <si>
    <t>nợ cũ</t>
  </si>
  <si>
    <t>THANH TOÁN</t>
  </si>
  <si>
    <t>CK Đủ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</si>
</sst>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1" fillId="3" borderId="0" xfId="0" applyFont="1" applyFill="1"/>
    <xf numFmtId="0" fontId="0" fillId="0" borderId="0" xfId="0"/>
    <xf numFmtId="0" fontId="2" fillId="0" borderId="0" xfId="0" applyFont="1"/>
    <xf numFmtId="0" fontId="0" fillId="3" borderId="0" xfId="0" applyFill="1"/>
    <xf numFmtId="0" fontId="1" fillId="0" borderId="0" xfId="0" applyFont="1"/>
    <xf numFmtId="0" fontId="1" fillId="3" borderId="0" xfId="0" applyFont="1" applyFill="1"/>
    <xf numFmtId="0" fontId="2" fillId="0" borderId="0" xfId="0" applyFont="1"/>
    <xf numFmtId="0" fontId="0" fillId="3" borderId="0" xfId="0" applyFill="1"/>
    <xf numFmtId="0" fontId="1" fillId="0" borderId="0" xfId="0" applyFont="1"/>
    <xf numFmtId="0" fontId="1" fillId="2" borderId="0" xfId="0" applyFont="1" applyFill="1"/>
    <xf numFmtId="3" fontId="0" fillId="0" borderId="0" xfId="0" applyNumberFormat="1"/>
    <xf numFmtId="0" fontId="1" fillId="4" borderId="0" xfId="0" applyFont="1" applyFill="1"/>
    <xf numFmtId="0" fontId="0" fillId="5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61"/>
  <sheetViews>
    <sheetView tabSelected="1" topLeftCell="A36" workbookViewId="0">
      <selection activeCell="M59" sqref="M59"/>
    </sheetView>
  </sheetViews>
  <sheetFormatPr defaultRowHeight="15" x14ac:dyDescent="0.25"/>
  <cols>
    <col min="1" max="1" width="12.7109375" customWidth="1"/>
    <col min="2" max="2" width="17.7109375" customWidth="1"/>
    <col min="3" max="3" width="24.85546875" customWidth="1"/>
    <col min="4" max="4" width="9.85546875" customWidth="1"/>
    <col min="5" max="5" width="48.42578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4.5703125" customWidth="1"/>
    <col min="17" max="17" width="6.42578125" customWidth="1"/>
  </cols>
  <sheetData>
    <row r="2" spans="1:17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</row>
    <row r="3" spans="1:17" x14ac:dyDescent="0.25"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11">
        <v>0</v>
      </c>
      <c r="H3" s="11">
        <v>25</v>
      </c>
      <c r="I3" s="11">
        <f>-H3</f>
        <v>-25</v>
      </c>
      <c r="J3" t="s">
        <v>22</v>
      </c>
      <c r="K3" t="s">
        <v>23</v>
      </c>
      <c r="L3" t="s">
        <v>24</v>
      </c>
      <c r="Q3">
        <v>1</v>
      </c>
    </row>
    <row r="4" spans="1:17" x14ac:dyDescent="0.25">
      <c r="B4" t="s">
        <v>17</v>
      </c>
      <c r="C4" t="s">
        <v>25</v>
      </c>
      <c r="D4" t="s">
        <v>26</v>
      </c>
      <c r="E4" t="s">
        <v>27</v>
      </c>
      <c r="F4" t="s">
        <v>28</v>
      </c>
      <c r="G4" s="11">
        <v>0</v>
      </c>
      <c r="H4" s="11">
        <v>30</v>
      </c>
      <c r="I4" s="11">
        <f>-H4</f>
        <v>-30</v>
      </c>
      <c r="J4" t="s">
        <v>29</v>
      </c>
      <c r="K4" t="s">
        <v>23</v>
      </c>
      <c r="L4" t="s">
        <v>24</v>
      </c>
      <c r="Q4">
        <v>1</v>
      </c>
    </row>
    <row r="5" spans="1:17" x14ac:dyDescent="0.25">
      <c r="B5" t="s">
        <v>17</v>
      </c>
      <c r="C5" t="s">
        <v>30</v>
      </c>
      <c r="D5" t="s">
        <v>31</v>
      </c>
      <c r="E5" t="s">
        <v>32</v>
      </c>
      <c r="F5" s="11">
        <v>1</v>
      </c>
      <c r="G5" s="11">
        <v>775</v>
      </c>
      <c r="H5" s="11">
        <v>25</v>
      </c>
      <c r="I5" s="11">
        <f>G5-H5</f>
        <v>750</v>
      </c>
      <c r="J5" t="s">
        <v>22</v>
      </c>
      <c r="K5" t="s">
        <v>23</v>
      </c>
      <c r="L5" t="s">
        <v>24</v>
      </c>
      <c r="Q5">
        <v>1</v>
      </c>
    </row>
    <row r="6" spans="1:17" x14ac:dyDescent="0.25">
      <c r="B6" t="s">
        <v>17</v>
      </c>
      <c r="C6" t="s">
        <v>33</v>
      </c>
      <c r="D6" t="s">
        <v>34</v>
      </c>
      <c r="E6" t="s">
        <v>35</v>
      </c>
      <c r="F6" s="11">
        <v>9</v>
      </c>
      <c r="G6" s="11">
        <v>820</v>
      </c>
      <c r="H6" s="11">
        <v>30</v>
      </c>
      <c r="I6" s="11">
        <f>G6-H6</f>
        <v>790</v>
      </c>
      <c r="J6" t="s">
        <v>36</v>
      </c>
      <c r="K6" t="s">
        <v>23</v>
      </c>
      <c r="L6" t="s">
        <v>24</v>
      </c>
      <c r="Q6">
        <v>1</v>
      </c>
    </row>
    <row r="7" spans="1:17" x14ac:dyDescent="0.25">
      <c r="B7" t="s">
        <v>17</v>
      </c>
      <c r="C7" t="s">
        <v>37</v>
      </c>
      <c r="D7" t="s">
        <v>38</v>
      </c>
      <c r="E7" t="s">
        <v>39</v>
      </c>
      <c r="F7" t="s">
        <v>28</v>
      </c>
      <c r="G7" s="11">
        <v>2420</v>
      </c>
      <c r="H7" s="11">
        <v>35</v>
      </c>
      <c r="I7" s="11">
        <f>G7-H7</f>
        <v>2385</v>
      </c>
      <c r="J7" t="s">
        <v>29</v>
      </c>
      <c r="K7" t="s">
        <v>23</v>
      </c>
      <c r="L7" t="s">
        <v>24</v>
      </c>
      <c r="M7" t="s">
        <v>40</v>
      </c>
      <c r="Q7">
        <v>1</v>
      </c>
    </row>
    <row r="8" spans="1:17" x14ac:dyDescent="0.25">
      <c r="B8" t="s">
        <v>17</v>
      </c>
      <c r="C8" t="s">
        <v>41</v>
      </c>
      <c r="D8" t="s">
        <v>42</v>
      </c>
      <c r="E8" t="s">
        <v>43</v>
      </c>
      <c r="F8" s="11">
        <v>6</v>
      </c>
      <c r="G8" s="11">
        <v>0</v>
      </c>
      <c r="H8" s="11">
        <v>25</v>
      </c>
      <c r="I8" s="11">
        <f>-H8</f>
        <v>-25</v>
      </c>
      <c r="J8" t="s">
        <v>29</v>
      </c>
      <c r="K8" t="s">
        <v>23</v>
      </c>
      <c r="L8" t="s">
        <v>24</v>
      </c>
      <c r="Q8">
        <v>1</v>
      </c>
    </row>
    <row r="9" spans="1:17" x14ac:dyDescent="0.25">
      <c r="B9" t="s">
        <v>17</v>
      </c>
      <c r="C9" t="s">
        <v>44</v>
      </c>
      <c r="D9" t="s">
        <v>45</v>
      </c>
      <c r="E9" t="s">
        <v>46</v>
      </c>
      <c r="F9" s="11">
        <v>1</v>
      </c>
      <c r="G9" s="11">
        <v>535</v>
      </c>
      <c r="H9" s="11">
        <v>25</v>
      </c>
      <c r="I9" s="11">
        <f>G9-H9</f>
        <v>510</v>
      </c>
      <c r="J9" t="s">
        <v>22</v>
      </c>
      <c r="K9" t="s">
        <v>23</v>
      </c>
      <c r="L9" t="s">
        <v>24</v>
      </c>
      <c r="Q9">
        <v>1</v>
      </c>
    </row>
    <row r="10" spans="1:17" x14ac:dyDescent="0.25">
      <c r="B10" t="s">
        <v>17</v>
      </c>
      <c r="C10" t="s">
        <v>47</v>
      </c>
      <c r="D10" t="s">
        <v>48</v>
      </c>
      <c r="E10" t="s">
        <v>49</v>
      </c>
      <c r="F10" t="s">
        <v>50</v>
      </c>
      <c r="G10" s="11">
        <v>0</v>
      </c>
      <c r="H10" s="11">
        <v>30</v>
      </c>
      <c r="I10" s="11">
        <f>-H10</f>
        <v>-30</v>
      </c>
      <c r="J10" t="s">
        <v>23</v>
      </c>
      <c r="K10" t="s">
        <v>23</v>
      </c>
      <c r="L10" t="s">
        <v>24</v>
      </c>
      <c r="Q10">
        <v>1</v>
      </c>
    </row>
    <row r="11" spans="1:17" x14ac:dyDescent="0.25">
      <c r="B11" t="s">
        <v>17</v>
      </c>
      <c r="C11" t="s">
        <v>51</v>
      </c>
      <c r="D11" t="s">
        <v>52</v>
      </c>
      <c r="E11" t="s">
        <v>53</v>
      </c>
      <c r="F11" t="s">
        <v>54</v>
      </c>
      <c r="G11" s="11">
        <v>1565</v>
      </c>
      <c r="H11" s="11">
        <v>35</v>
      </c>
      <c r="I11" s="11">
        <f>G11-H11</f>
        <v>1530</v>
      </c>
      <c r="J11" t="s">
        <v>29</v>
      </c>
      <c r="K11" t="s">
        <v>23</v>
      </c>
      <c r="L11" t="s">
        <v>24</v>
      </c>
      <c r="Q11">
        <v>1</v>
      </c>
    </row>
    <row r="12" spans="1:17" x14ac:dyDescent="0.25">
      <c r="B12" t="s">
        <v>17</v>
      </c>
      <c r="C12" t="s">
        <v>55</v>
      </c>
      <c r="D12" t="s">
        <v>56</v>
      </c>
      <c r="E12" t="s">
        <v>57</v>
      </c>
      <c r="F12" s="11">
        <v>12</v>
      </c>
      <c r="G12" s="11">
        <v>0</v>
      </c>
      <c r="H12" s="11">
        <v>30</v>
      </c>
      <c r="I12" s="11">
        <f>-H12</f>
        <v>-30</v>
      </c>
      <c r="J12" t="s">
        <v>29</v>
      </c>
      <c r="K12" t="s">
        <v>23</v>
      </c>
      <c r="L12" t="s">
        <v>24</v>
      </c>
      <c r="Q12">
        <v>1</v>
      </c>
    </row>
    <row r="13" spans="1:17" x14ac:dyDescent="0.25">
      <c r="B13" t="s">
        <v>17</v>
      </c>
      <c r="C13" t="s">
        <v>58</v>
      </c>
      <c r="D13" t="s">
        <v>59</v>
      </c>
      <c r="E13" t="s">
        <v>60</v>
      </c>
      <c r="F13" t="s">
        <v>61</v>
      </c>
      <c r="G13" s="11">
        <v>730</v>
      </c>
      <c r="H13" s="11">
        <v>20</v>
      </c>
      <c r="I13" s="11">
        <f t="shared" ref="I13:I21" si="0">G13-H13</f>
        <v>710</v>
      </c>
      <c r="J13" t="s">
        <v>23</v>
      </c>
      <c r="K13" t="s">
        <v>23</v>
      </c>
      <c r="L13" t="s">
        <v>24</v>
      </c>
      <c r="Q13">
        <v>1</v>
      </c>
    </row>
    <row r="14" spans="1:17" x14ac:dyDescent="0.25">
      <c r="B14" t="s">
        <v>17</v>
      </c>
      <c r="C14" t="s">
        <v>62</v>
      </c>
      <c r="D14" t="s">
        <v>63</v>
      </c>
      <c r="E14" t="s">
        <v>64</v>
      </c>
      <c r="F14" t="s">
        <v>50</v>
      </c>
      <c r="G14" s="11">
        <v>900</v>
      </c>
      <c r="H14" s="11">
        <v>30</v>
      </c>
      <c r="I14" s="11">
        <f t="shared" si="0"/>
        <v>870</v>
      </c>
      <c r="J14" t="s">
        <v>23</v>
      </c>
      <c r="K14" t="s">
        <v>23</v>
      </c>
      <c r="L14" t="s">
        <v>24</v>
      </c>
      <c r="Q14">
        <v>1</v>
      </c>
    </row>
    <row r="15" spans="1:17" x14ac:dyDescent="0.25">
      <c r="B15" t="s">
        <v>17</v>
      </c>
      <c r="C15" t="s">
        <v>65</v>
      </c>
      <c r="D15" t="s">
        <v>66</v>
      </c>
      <c r="E15" t="s">
        <v>67</v>
      </c>
      <c r="F15" t="s">
        <v>21</v>
      </c>
      <c r="G15" s="11">
        <v>1735</v>
      </c>
      <c r="H15" s="11">
        <v>25</v>
      </c>
      <c r="I15" s="11">
        <f t="shared" si="0"/>
        <v>1710</v>
      </c>
      <c r="J15" t="s">
        <v>23</v>
      </c>
      <c r="K15" t="s">
        <v>23</v>
      </c>
      <c r="L15" t="s">
        <v>24</v>
      </c>
      <c r="Q15">
        <v>1</v>
      </c>
    </row>
    <row r="16" spans="1:17" x14ac:dyDescent="0.25">
      <c r="B16" t="s">
        <v>17</v>
      </c>
      <c r="C16" t="s">
        <v>68</v>
      </c>
      <c r="D16" t="s">
        <v>69</v>
      </c>
      <c r="E16" t="s">
        <v>70</v>
      </c>
      <c r="F16" s="11">
        <v>5</v>
      </c>
      <c r="G16" s="11">
        <v>535</v>
      </c>
      <c r="H16" s="11">
        <v>25</v>
      </c>
      <c r="I16" s="11">
        <f t="shared" si="0"/>
        <v>510</v>
      </c>
      <c r="J16" t="s">
        <v>22</v>
      </c>
      <c r="K16" t="s">
        <v>23</v>
      </c>
      <c r="L16" t="s">
        <v>24</v>
      </c>
      <c r="Q16">
        <v>1</v>
      </c>
    </row>
    <row r="17" spans="1:17" x14ac:dyDescent="0.25">
      <c r="B17" t="s">
        <v>17</v>
      </c>
      <c r="C17" t="s">
        <v>71</v>
      </c>
      <c r="D17" t="s">
        <v>72</v>
      </c>
      <c r="E17" t="s">
        <v>73</v>
      </c>
      <c r="F17" t="s">
        <v>74</v>
      </c>
      <c r="G17" s="11">
        <v>35</v>
      </c>
      <c r="H17" s="11">
        <v>35</v>
      </c>
      <c r="I17" s="11">
        <f t="shared" si="0"/>
        <v>0</v>
      </c>
      <c r="J17" t="s">
        <v>29</v>
      </c>
      <c r="K17" t="s">
        <v>23</v>
      </c>
      <c r="L17" t="s">
        <v>24</v>
      </c>
      <c r="Q17">
        <v>1</v>
      </c>
    </row>
    <row r="18" spans="1:17" x14ac:dyDescent="0.25">
      <c r="B18" t="s">
        <v>17</v>
      </c>
      <c r="C18" t="s">
        <v>75</v>
      </c>
      <c r="D18" t="s">
        <v>76</v>
      </c>
      <c r="E18" t="s">
        <v>77</v>
      </c>
      <c r="F18" s="11">
        <v>8</v>
      </c>
      <c r="G18" s="11">
        <v>720</v>
      </c>
      <c r="H18" s="11">
        <v>30</v>
      </c>
      <c r="I18" s="11">
        <f t="shared" si="0"/>
        <v>690</v>
      </c>
      <c r="J18" t="s">
        <v>29</v>
      </c>
      <c r="K18" t="s">
        <v>23</v>
      </c>
      <c r="L18" t="s">
        <v>24</v>
      </c>
      <c r="Q18">
        <v>1</v>
      </c>
    </row>
    <row r="19" spans="1:17" x14ac:dyDescent="0.25">
      <c r="B19" t="s">
        <v>17</v>
      </c>
      <c r="C19" t="s">
        <v>78</v>
      </c>
      <c r="D19" t="s">
        <v>79</v>
      </c>
      <c r="E19" t="s">
        <v>80</v>
      </c>
      <c r="F19" s="11">
        <v>8</v>
      </c>
      <c r="G19" s="11">
        <v>915</v>
      </c>
      <c r="H19" s="11">
        <v>25</v>
      </c>
      <c r="I19" s="11">
        <f t="shared" si="0"/>
        <v>890</v>
      </c>
      <c r="J19" t="s">
        <v>29</v>
      </c>
      <c r="K19" t="s">
        <v>23</v>
      </c>
      <c r="L19" t="s">
        <v>24</v>
      </c>
      <c r="Q19">
        <v>1</v>
      </c>
    </row>
    <row r="20" spans="1:17" x14ac:dyDescent="0.25">
      <c r="B20" t="s">
        <v>17</v>
      </c>
      <c r="C20" t="s">
        <v>81</v>
      </c>
      <c r="D20" t="s">
        <v>82</v>
      </c>
      <c r="E20" t="s">
        <v>83</v>
      </c>
      <c r="F20" s="11">
        <v>1</v>
      </c>
      <c r="G20" s="11">
        <v>715</v>
      </c>
      <c r="H20" s="11">
        <v>25</v>
      </c>
      <c r="I20" s="11">
        <f t="shared" si="0"/>
        <v>690</v>
      </c>
      <c r="J20" t="s">
        <v>22</v>
      </c>
      <c r="K20" t="s">
        <v>23</v>
      </c>
      <c r="L20" t="s">
        <v>24</v>
      </c>
      <c r="Q20">
        <v>1</v>
      </c>
    </row>
    <row r="21" spans="1:17" x14ac:dyDescent="0.25">
      <c r="B21" t="s">
        <v>17</v>
      </c>
      <c r="C21" t="s">
        <v>84</v>
      </c>
      <c r="D21" t="s">
        <v>85</v>
      </c>
      <c r="E21" t="s">
        <v>86</v>
      </c>
      <c r="F21" s="11">
        <v>5</v>
      </c>
      <c r="G21" s="11">
        <v>1185</v>
      </c>
      <c r="H21" s="11">
        <v>25</v>
      </c>
      <c r="I21" s="11">
        <f t="shared" si="0"/>
        <v>1160</v>
      </c>
      <c r="J21" t="s">
        <v>22</v>
      </c>
      <c r="K21" t="s">
        <v>23</v>
      </c>
      <c r="L21" t="s">
        <v>24</v>
      </c>
      <c r="Q21">
        <v>1</v>
      </c>
    </row>
    <row r="22" spans="1:17" x14ac:dyDescent="0.25">
      <c r="B22" t="s">
        <v>17</v>
      </c>
      <c r="C22" t="s">
        <v>87</v>
      </c>
      <c r="D22" t="s">
        <v>88</v>
      </c>
      <c r="E22" t="s">
        <v>89</v>
      </c>
      <c r="F22" t="s">
        <v>21</v>
      </c>
      <c r="G22" s="11">
        <v>0</v>
      </c>
      <c r="H22" s="11">
        <v>25</v>
      </c>
      <c r="I22" s="11">
        <f>-H22</f>
        <v>-25</v>
      </c>
      <c r="J22" t="s">
        <v>22</v>
      </c>
      <c r="K22" t="s">
        <v>23</v>
      </c>
      <c r="L22" t="s">
        <v>24</v>
      </c>
      <c r="Q22">
        <v>1</v>
      </c>
    </row>
    <row r="23" spans="1:17" x14ac:dyDescent="0.25">
      <c r="B23" t="s">
        <v>17</v>
      </c>
      <c r="C23" t="s">
        <v>90</v>
      </c>
      <c r="D23" t="s">
        <v>91</v>
      </c>
      <c r="E23" t="s">
        <v>92</v>
      </c>
      <c r="F23" t="s">
        <v>93</v>
      </c>
      <c r="G23" s="11">
        <v>780</v>
      </c>
      <c r="H23" s="11">
        <v>20</v>
      </c>
      <c r="I23" s="11">
        <f t="shared" ref="I23:I35" si="1">G23-H23</f>
        <v>760</v>
      </c>
      <c r="J23" t="s">
        <v>22</v>
      </c>
      <c r="K23" t="s">
        <v>23</v>
      </c>
      <c r="L23" t="s">
        <v>24</v>
      </c>
      <c r="Q23">
        <v>1</v>
      </c>
    </row>
    <row r="24" spans="1:17" x14ac:dyDescent="0.25">
      <c r="B24" t="s">
        <v>17</v>
      </c>
      <c r="C24" t="s">
        <v>94</v>
      </c>
      <c r="D24" t="s">
        <v>95</v>
      </c>
      <c r="E24" t="s">
        <v>96</v>
      </c>
      <c r="F24" s="11">
        <v>10</v>
      </c>
      <c r="G24" s="11">
        <v>695</v>
      </c>
      <c r="H24" s="11">
        <v>25</v>
      </c>
      <c r="I24" s="11">
        <f t="shared" si="1"/>
        <v>670</v>
      </c>
      <c r="J24" t="s">
        <v>22</v>
      </c>
      <c r="K24" t="s">
        <v>23</v>
      </c>
      <c r="L24" t="s">
        <v>24</v>
      </c>
      <c r="Q24">
        <v>1</v>
      </c>
    </row>
    <row r="25" spans="1:17" x14ac:dyDescent="0.25">
      <c r="B25" t="s">
        <v>17</v>
      </c>
      <c r="C25" t="s">
        <v>97</v>
      </c>
      <c r="D25" t="s">
        <v>98</v>
      </c>
      <c r="E25" t="s">
        <v>99</v>
      </c>
      <c r="F25" t="s">
        <v>100</v>
      </c>
      <c r="G25" s="11">
        <v>895</v>
      </c>
      <c r="H25" s="11">
        <v>25</v>
      </c>
      <c r="I25" s="11">
        <f t="shared" si="1"/>
        <v>870</v>
      </c>
      <c r="J25" t="s">
        <v>29</v>
      </c>
      <c r="K25" t="s">
        <v>23</v>
      </c>
      <c r="L25" t="s">
        <v>24</v>
      </c>
      <c r="Q25">
        <v>1</v>
      </c>
    </row>
    <row r="26" spans="1:17" x14ac:dyDescent="0.25">
      <c r="B26" t="s">
        <v>17</v>
      </c>
      <c r="C26" t="s">
        <v>101</v>
      </c>
      <c r="D26" t="s">
        <v>102</v>
      </c>
      <c r="E26" t="s">
        <v>103</v>
      </c>
      <c r="F26" t="s">
        <v>104</v>
      </c>
      <c r="G26" s="11">
        <v>775</v>
      </c>
      <c r="H26" s="11">
        <v>25</v>
      </c>
      <c r="I26" s="11">
        <f t="shared" si="1"/>
        <v>750</v>
      </c>
      <c r="J26" t="s">
        <v>23</v>
      </c>
      <c r="K26" t="s">
        <v>23</v>
      </c>
      <c r="L26" t="s">
        <v>24</v>
      </c>
      <c r="Q26">
        <v>1</v>
      </c>
    </row>
    <row r="27" spans="1:17" x14ac:dyDescent="0.25">
      <c r="A27" t="s">
        <v>105</v>
      </c>
      <c r="B27" t="s">
        <v>17</v>
      </c>
      <c r="C27" t="s">
        <v>106</v>
      </c>
      <c r="E27" t="s">
        <v>107</v>
      </c>
      <c r="F27" t="s">
        <v>104</v>
      </c>
      <c r="G27" s="11">
        <v>1510</v>
      </c>
      <c r="H27" s="11">
        <v>30</v>
      </c>
      <c r="I27" s="11">
        <f t="shared" si="1"/>
        <v>1480</v>
      </c>
      <c r="J27" t="s">
        <v>23</v>
      </c>
      <c r="K27" t="s">
        <v>23</v>
      </c>
      <c r="L27" t="s">
        <v>24</v>
      </c>
      <c r="Q27">
        <v>1</v>
      </c>
    </row>
    <row r="28" spans="1:17" x14ac:dyDescent="0.25">
      <c r="A28" t="s">
        <v>105</v>
      </c>
      <c r="B28" t="s">
        <v>17</v>
      </c>
      <c r="C28" t="s">
        <v>108</v>
      </c>
      <c r="E28" t="s">
        <v>109</v>
      </c>
      <c r="F28" t="s">
        <v>100</v>
      </c>
      <c r="G28" s="11">
        <v>30</v>
      </c>
      <c r="H28" s="11">
        <v>30</v>
      </c>
      <c r="I28" s="11">
        <f t="shared" si="1"/>
        <v>0</v>
      </c>
      <c r="J28" t="s">
        <v>29</v>
      </c>
      <c r="K28" t="s">
        <v>23</v>
      </c>
      <c r="L28" t="s">
        <v>24</v>
      </c>
      <c r="Q28">
        <v>1</v>
      </c>
    </row>
    <row r="29" spans="1:17" x14ac:dyDescent="0.25">
      <c r="A29" t="s">
        <v>105</v>
      </c>
      <c r="B29" t="s">
        <v>17</v>
      </c>
      <c r="C29" t="s">
        <v>110</v>
      </c>
      <c r="E29" t="s">
        <v>111</v>
      </c>
      <c r="F29" s="11">
        <v>9</v>
      </c>
      <c r="G29" s="11">
        <v>35</v>
      </c>
      <c r="H29" s="11">
        <v>35</v>
      </c>
      <c r="I29" s="11">
        <f t="shared" si="1"/>
        <v>0</v>
      </c>
      <c r="J29" t="s">
        <v>36</v>
      </c>
      <c r="K29" t="s">
        <v>23</v>
      </c>
      <c r="L29" t="s">
        <v>24</v>
      </c>
      <c r="Q29">
        <v>1</v>
      </c>
    </row>
    <row r="30" spans="1:17" x14ac:dyDescent="0.25">
      <c r="A30" t="s">
        <v>105</v>
      </c>
      <c r="B30" t="s">
        <v>17</v>
      </c>
      <c r="C30" t="s">
        <v>112</v>
      </c>
      <c r="E30" t="s">
        <v>113</v>
      </c>
      <c r="F30" t="s">
        <v>50</v>
      </c>
      <c r="G30" s="11">
        <v>2375</v>
      </c>
      <c r="H30" s="11">
        <v>35</v>
      </c>
      <c r="I30" s="11">
        <f t="shared" si="1"/>
        <v>2340</v>
      </c>
      <c r="J30" t="s">
        <v>23</v>
      </c>
      <c r="K30" t="s">
        <v>23</v>
      </c>
      <c r="L30" t="s">
        <v>24</v>
      </c>
      <c r="Q30">
        <v>1</v>
      </c>
    </row>
    <row r="31" spans="1:17" x14ac:dyDescent="0.25">
      <c r="A31" t="s">
        <v>105</v>
      </c>
      <c r="B31" t="s">
        <v>17</v>
      </c>
      <c r="C31" t="s">
        <v>114</v>
      </c>
      <c r="E31" t="s">
        <v>115</v>
      </c>
      <c r="F31" t="s">
        <v>74</v>
      </c>
      <c r="G31" s="11">
        <v>1340</v>
      </c>
      <c r="H31" s="11">
        <v>40</v>
      </c>
      <c r="I31" s="11">
        <f t="shared" si="1"/>
        <v>1300</v>
      </c>
      <c r="J31" t="s">
        <v>29</v>
      </c>
      <c r="K31" t="s">
        <v>23</v>
      </c>
      <c r="L31" t="s">
        <v>24</v>
      </c>
      <c r="Q31">
        <v>1</v>
      </c>
    </row>
    <row r="32" spans="1:17" x14ac:dyDescent="0.25">
      <c r="A32" t="s">
        <v>105</v>
      </c>
      <c r="B32" t="s">
        <v>17</v>
      </c>
      <c r="C32" t="s">
        <v>116</v>
      </c>
      <c r="E32" t="s">
        <v>117</v>
      </c>
      <c r="F32" t="s">
        <v>21</v>
      </c>
      <c r="G32" s="11">
        <v>30</v>
      </c>
      <c r="H32" s="11">
        <v>30</v>
      </c>
      <c r="I32" s="11">
        <f t="shared" si="1"/>
        <v>0</v>
      </c>
      <c r="J32" t="s">
        <v>22</v>
      </c>
      <c r="K32" t="s">
        <v>23</v>
      </c>
      <c r="L32" t="s">
        <v>24</v>
      </c>
      <c r="Q32">
        <v>1</v>
      </c>
    </row>
    <row r="33" spans="1:17" x14ac:dyDescent="0.25">
      <c r="A33" t="s">
        <v>105</v>
      </c>
      <c r="B33" t="s">
        <v>17</v>
      </c>
      <c r="C33" t="s">
        <v>118</v>
      </c>
      <c r="E33" t="s">
        <v>119</v>
      </c>
      <c r="F33" t="s">
        <v>104</v>
      </c>
      <c r="G33" s="11">
        <v>1690</v>
      </c>
      <c r="H33" s="11">
        <v>30</v>
      </c>
      <c r="I33" s="11">
        <f t="shared" si="1"/>
        <v>1660</v>
      </c>
      <c r="J33" t="s">
        <v>23</v>
      </c>
      <c r="K33" t="s">
        <v>23</v>
      </c>
      <c r="L33" t="s">
        <v>24</v>
      </c>
      <c r="Q33">
        <v>1</v>
      </c>
    </row>
    <row r="34" spans="1:17" x14ac:dyDescent="0.25">
      <c r="A34" t="s">
        <v>105</v>
      </c>
      <c r="B34" t="s">
        <v>17</v>
      </c>
      <c r="C34" t="s">
        <v>120</v>
      </c>
      <c r="E34" t="s">
        <v>121</v>
      </c>
      <c r="F34" t="s">
        <v>61</v>
      </c>
      <c r="G34" s="11">
        <v>30</v>
      </c>
      <c r="H34" s="11">
        <v>30</v>
      </c>
      <c r="I34" s="11">
        <f t="shared" si="1"/>
        <v>0</v>
      </c>
      <c r="J34" t="s">
        <v>23</v>
      </c>
      <c r="K34" t="s">
        <v>23</v>
      </c>
      <c r="L34" t="s">
        <v>24</v>
      </c>
      <c r="Q34">
        <v>1</v>
      </c>
    </row>
    <row r="35" spans="1:17" x14ac:dyDescent="0.25">
      <c r="B35" t="s">
        <v>17</v>
      </c>
      <c r="C35" t="s">
        <v>122</v>
      </c>
      <c r="D35" t="s">
        <v>123</v>
      </c>
      <c r="E35" t="s">
        <v>124</v>
      </c>
      <c r="F35" s="11">
        <v>12</v>
      </c>
      <c r="G35" s="11">
        <v>870</v>
      </c>
      <c r="H35" s="11">
        <v>0</v>
      </c>
      <c r="I35" s="11">
        <f t="shared" si="1"/>
        <v>870</v>
      </c>
      <c r="J35" t="s">
        <v>125</v>
      </c>
      <c r="K35" t="s">
        <v>23</v>
      </c>
      <c r="L35" t="s">
        <v>126</v>
      </c>
      <c r="N35" t="s">
        <v>127</v>
      </c>
      <c r="O35" t="s">
        <v>127</v>
      </c>
      <c r="P35" t="s">
        <v>128</v>
      </c>
      <c r="Q35" s="11">
        <v>1</v>
      </c>
    </row>
    <row r="37" spans="1:17" x14ac:dyDescent="0.25">
      <c r="D37" s="6">
        <f>COUNTA(D3:D35)</f>
        <v>25</v>
      </c>
      <c r="G37" s="6">
        <f t="shared" ref="G37:Q37" si="2">SUBTOTAL(9,G3:G35)</f>
        <v>24640</v>
      </c>
      <c r="H37" s="6">
        <f t="shared" si="2"/>
        <v>910</v>
      </c>
      <c r="I37" s="6">
        <f t="shared" si="2"/>
        <v>23730</v>
      </c>
      <c r="J37" s="6">
        <f t="shared" si="2"/>
        <v>0</v>
      </c>
      <c r="K37" s="6">
        <f t="shared" si="2"/>
        <v>0</v>
      </c>
      <c r="L37" s="6">
        <f t="shared" si="2"/>
        <v>0</v>
      </c>
      <c r="M37" s="6">
        <f t="shared" si="2"/>
        <v>0</v>
      </c>
      <c r="N37" s="6">
        <f t="shared" si="2"/>
        <v>0</v>
      </c>
      <c r="O37" s="6">
        <f t="shared" si="2"/>
        <v>0</v>
      </c>
      <c r="P37" s="6">
        <f t="shared" si="2"/>
        <v>0</v>
      </c>
      <c r="Q37" s="6">
        <f t="shared" si="2"/>
        <v>33</v>
      </c>
    </row>
    <row r="39" spans="1:17" x14ac:dyDescent="0.25">
      <c r="A39" s="6" t="s">
        <v>17</v>
      </c>
      <c r="C39" s="5" t="s">
        <v>129</v>
      </c>
      <c r="D39" s="5"/>
      <c r="E39" s="9" t="s">
        <v>130</v>
      </c>
      <c r="K39" s="12" t="s">
        <v>22</v>
      </c>
      <c r="L39" s="12" t="s">
        <v>131</v>
      </c>
      <c r="M39" s="12" t="s">
        <v>130</v>
      </c>
      <c r="O39" s="9" t="s">
        <v>132</v>
      </c>
    </row>
    <row r="40" spans="1:17" x14ac:dyDescent="0.25">
      <c r="A40" t="s">
        <v>24</v>
      </c>
      <c r="B40" s="8" t="s">
        <v>133</v>
      </c>
      <c r="C40" s="4">
        <f>SUMIFS(I$3:I$35,B$3:B$35,A$39,L$3:L$35,A$40)</f>
        <v>22860</v>
      </c>
      <c r="D40" s="4"/>
      <c r="E40" s="8">
        <f>SUMIFS(Q$3:Q$35,B$3:B$35,A$39,L$3:L$35,A$40)</f>
        <v>32</v>
      </c>
      <c r="F40" t="s">
        <v>134</v>
      </c>
      <c r="K40" t="s">
        <v>135</v>
      </c>
      <c r="L40">
        <f>SUMIFS(G$3:G$35,J$3:J$35,K$39)</f>
        <v>5250</v>
      </c>
      <c r="M40">
        <f>SUMIFS(Q$3:Q$35,J$3:J$35,K$39)</f>
        <v>10</v>
      </c>
      <c r="O40" t="s">
        <v>22</v>
      </c>
      <c r="P40">
        <f>L45</f>
        <v>5050</v>
      </c>
    </row>
    <row r="41" spans="1:17" x14ac:dyDescent="0.25">
      <c r="B41" s="7" t="s">
        <v>136</v>
      </c>
      <c r="C41" s="3">
        <v>0</v>
      </c>
      <c r="D41" s="3"/>
      <c r="K41" t="s">
        <v>137</v>
      </c>
      <c r="L41">
        <f>-SUMIFS(H$3:H$35,J$3:J$35,K$39)+M41*5</f>
        <v>-200</v>
      </c>
      <c r="M41">
        <f>SUMIFS(Q$3:Q$35,J$3:J$35,K$39)-COUNTIFS(J$3:J$35,K$39,M$3:M$35,"*gộp*")</f>
        <v>10</v>
      </c>
      <c r="O41" t="s">
        <v>36</v>
      </c>
      <c r="P41">
        <f>L53</f>
        <v>800</v>
      </c>
    </row>
    <row r="42" spans="1:17" x14ac:dyDescent="0.25">
      <c r="B42" s="7" t="s">
        <v>138</v>
      </c>
      <c r="C42" s="3">
        <f>-SUMIFS(I$3:I$35,B$3:B$35,A$39,P$3:P$35,"xx",N$3:N$35,"x")</f>
        <v>-870</v>
      </c>
      <c r="D42" s="3"/>
      <c r="E42" s="7">
        <f>SUMIFS(Q$3:Q$35,B$3:B$35,A$39,P$3:P$35,"xx",N$3:N$35,"x")</f>
        <v>1</v>
      </c>
      <c r="K42" t="s">
        <v>139</v>
      </c>
      <c r="O42" t="s">
        <v>23</v>
      </c>
      <c r="P42">
        <f>L61</f>
        <v>9471</v>
      </c>
    </row>
    <row r="43" spans="1:17" x14ac:dyDescent="0.25">
      <c r="B43" s="9" t="s">
        <v>140</v>
      </c>
      <c r="C43" s="5">
        <f>SUBTOTAL(9,C40:C42)</f>
        <v>21990</v>
      </c>
      <c r="D43" s="5"/>
      <c r="E43">
        <f>E40</f>
        <v>32</v>
      </c>
      <c r="K43" s="7" t="s">
        <v>141</v>
      </c>
      <c r="O43" t="s">
        <v>142</v>
      </c>
      <c r="P43">
        <f>-C47</f>
        <v>-21990</v>
      </c>
    </row>
    <row r="44" spans="1:17" x14ac:dyDescent="0.25">
      <c r="B44" s="7" t="s">
        <v>143</v>
      </c>
      <c r="C44" s="2"/>
      <c r="D44" s="2"/>
      <c r="K44" s="7" t="s">
        <v>144</v>
      </c>
      <c r="O44" s="9" t="s">
        <v>145</v>
      </c>
      <c r="P44" s="9">
        <f>SUBTOTAL(9,P40:P43)</f>
        <v>-6669</v>
      </c>
    </row>
    <row r="45" spans="1:17" x14ac:dyDescent="0.25">
      <c r="B45" s="13" t="s">
        <v>146</v>
      </c>
      <c r="C45" s="2"/>
      <c r="D45" s="2"/>
      <c r="L45" s="14">
        <f>SUBTOTAL(9,L40:L44)</f>
        <v>5050</v>
      </c>
      <c r="M45" s="14">
        <f>M40</f>
        <v>10</v>
      </c>
    </row>
    <row r="47" spans="1:17" x14ac:dyDescent="0.25">
      <c r="B47" s="6" t="s">
        <v>147</v>
      </c>
      <c r="C47" s="1">
        <f>C43+C44+C45</f>
        <v>21990</v>
      </c>
      <c r="D47" s="1"/>
      <c r="E47" s="6" t="s">
        <v>148</v>
      </c>
      <c r="K47" s="12" t="s">
        <v>36</v>
      </c>
      <c r="L47" s="12" t="s">
        <v>131</v>
      </c>
      <c r="M47" s="12" t="s">
        <v>130</v>
      </c>
    </row>
    <row r="48" spans="1:17" x14ac:dyDescent="0.25">
      <c r="K48" t="s">
        <v>135</v>
      </c>
      <c r="L48">
        <f>SUMIFS(G$3:G$35,J$3:J$35,K$47)</f>
        <v>855</v>
      </c>
      <c r="M48">
        <f>SUMIFS(Q$3:Q$35,J$3:J$35,K$47)</f>
        <v>2</v>
      </c>
    </row>
    <row r="49" spans="11:13" x14ac:dyDescent="0.25">
      <c r="K49" t="s">
        <v>137</v>
      </c>
      <c r="L49">
        <f>-SUMIFS(H$3:H$35,J$3:J$35,K$47)+M49*5</f>
        <v>-55</v>
      </c>
      <c r="M49">
        <f>SUMIFS(Q$3:Q$35,J$3:J$35,K$47)-COUNTIFS(J$3:J$35,K$47,M$3:M$35,"*gộp*")</f>
        <v>2</v>
      </c>
    </row>
    <row r="50" spans="11:13" x14ac:dyDescent="0.25">
      <c r="K50" t="s">
        <v>139</v>
      </c>
    </row>
    <row r="51" spans="11:13" x14ac:dyDescent="0.25">
      <c r="K51" s="7" t="s">
        <v>141</v>
      </c>
    </row>
    <row r="52" spans="11:13" x14ac:dyDescent="0.25">
      <c r="K52" s="7" t="s">
        <v>144</v>
      </c>
    </row>
    <row r="53" spans="11:13" x14ac:dyDescent="0.25">
      <c r="L53" s="14">
        <f>SUBTOTAL(9,L48:L52)</f>
        <v>800</v>
      </c>
      <c r="M53" s="14">
        <f>M48</f>
        <v>2</v>
      </c>
    </row>
    <row r="55" spans="11:13" x14ac:dyDescent="0.25">
      <c r="K55" s="12" t="s">
        <v>23</v>
      </c>
      <c r="L55" s="12" t="s">
        <v>131</v>
      </c>
      <c r="M55" s="12" t="s">
        <v>130</v>
      </c>
    </row>
    <row r="56" spans="11:13" x14ac:dyDescent="0.25">
      <c r="K56" t="s">
        <v>135</v>
      </c>
      <c r="L56">
        <f>SUMIFS(G$3:G$35,J$3:J$35,K$55)</f>
        <v>9745</v>
      </c>
      <c r="M56">
        <f>SUMIFS(Q$3:Q$35,J$3:J$35,K$55)</f>
        <v>9</v>
      </c>
    </row>
    <row r="57" spans="11:13" x14ac:dyDescent="0.25">
      <c r="K57" t="s">
        <v>137</v>
      </c>
      <c r="L57">
        <f>-SUMIFS(H$3:H$35,J$3:J$35,K$55)+M57*5</f>
        <v>-210</v>
      </c>
      <c r="M57">
        <f>SUMIFS(Q$3:Q$35,J$3:J$35,K$55)-COUNTIFS(J$3:J$35,K$55,M$3:M$35,"*gộp*")</f>
        <v>9</v>
      </c>
    </row>
    <row r="58" spans="11:13" x14ac:dyDescent="0.25">
      <c r="K58" t="s">
        <v>139</v>
      </c>
      <c r="L58">
        <f>-M58*2</f>
        <v>-64</v>
      </c>
      <c r="M58">
        <f>E43-(COUNTIFS(M$3:M$35,"*gộp*")/2)-COUNTIFS(M$3:M$35,"*đơn trả*")/2</f>
        <v>32</v>
      </c>
    </row>
    <row r="59" spans="11:13" x14ac:dyDescent="0.25">
      <c r="K59" s="7" t="s">
        <v>141</v>
      </c>
    </row>
    <row r="60" spans="11:13" x14ac:dyDescent="0.25">
      <c r="K60" s="7" t="s">
        <v>144</v>
      </c>
    </row>
    <row r="61" spans="11:13" x14ac:dyDescent="0.25">
      <c r="L61" s="14">
        <f>SUBTOTAL(9,L56:L60)</f>
        <v>9471</v>
      </c>
      <c r="M61" s="14">
        <f>M56</f>
        <v>9</v>
      </c>
    </row>
  </sheetData>
  <autoFilter ref="A2:P35" xr:uid="{00000000-0009-0000-0000-000000000000}"/>
  <mergeCells count="8">
    <mergeCell ref="C44:D44"/>
    <mergeCell ref="C45:D45"/>
    <mergeCell ref="C47:D47"/>
    <mergeCell ref="C39:D39"/>
    <mergeCell ref="C40:D40"/>
    <mergeCell ref="C41:D41"/>
    <mergeCell ref="C42:D42"/>
    <mergeCell ref="C43:D4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 Pham</cp:lastModifiedBy>
  <dcterms:created xsi:type="dcterms:W3CDTF">2026-04-15T17:09:11Z</dcterms:created>
  <dcterms:modified xsi:type="dcterms:W3CDTF">2026-04-15T17:12:37Z</dcterms:modified>
</cp:coreProperties>
</file>