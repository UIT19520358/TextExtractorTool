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Sep\"/>
    </mc:Choice>
  </mc:AlternateContent>
  <xr:revisionPtr revIDLastSave="0" documentId="13_ncr:1_{085D7D5F-8929-4F67-8CF9-3F7C7816C780}" xr6:coauthVersionLast="47" xr6:coauthVersionMax="47" xr10:uidLastSave="{00000000-0000-0000-0000-000000000000}"/>
  <bookViews>
    <workbookView xWindow="-120" yWindow="-120" windowWidth="29040" windowHeight="15720" tabRatio="938" activeTab="1" xr2:uid="{00000000-000D-0000-FFFF-FFFF00000000}"/>
  </bookViews>
  <sheets>
    <sheet name="Sheet1" sheetId="2" r:id="rId1"/>
    <sheet name="03-09" sheetId="10" r:id="rId2"/>
    <sheet name="04-09" sheetId="11" r:id="rId3"/>
    <sheet name="05-09" sheetId="12" r:id="rId4"/>
    <sheet name="06-09" sheetId="13" r:id="rId5"/>
    <sheet name="07-09" sheetId="14" r:id="rId6"/>
    <sheet name="08-09" sheetId="15" r:id="rId7"/>
    <sheet name="09-09" sheetId="16" r:id="rId8"/>
    <sheet name="10-09" sheetId="17" r:id="rId9"/>
    <sheet name="11-09" sheetId="18" r:id="rId10"/>
    <sheet name="12-09" sheetId="19" r:id="rId11"/>
    <sheet name="14-09" sheetId="20" r:id="rId12"/>
    <sheet name="15-09" sheetId="21" r:id="rId13"/>
    <sheet name="16-09" sheetId="22" r:id="rId14"/>
    <sheet name="17-09" sheetId="23" r:id="rId15"/>
    <sheet name="18-09" sheetId="24" r:id="rId16"/>
    <sheet name="19-09" sheetId="25" r:id="rId17"/>
    <sheet name="21-09" sheetId="26" r:id="rId18"/>
    <sheet name="22-09" sheetId="27" r:id="rId19"/>
    <sheet name="23-09" sheetId="28" r:id="rId20"/>
    <sheet name="24-09" sheetId="29" r:id="rId21"/>
    <sheet name="25-09" sheetId="30" r:id="rId22"/>
    <sheet name="26-09" sheetId="31" r:id="rId23"/>
    <sheet name="28-09" sheetId="32" r:id="rId24"/>
    <sheet name="29-09" sheetId="33" r:id="rId25"/>
    <sheet name="30-09" sheetId="34" r:id="rId26"/>
  </sheets>
  <definedNames>
    <definedName name="_xlnm._FilterDatabase" localSheetId="1" hidden="1">'03-09'!$A$2:$P$17</definedName>
    <definedName name="_xlnm._FilterDatabase" localSheetId="2" hidden="1">'04-09'!$A$2:$P$86</definedName>
    <definedName name="_xlnm._FilterDatabase" localSheetId="3" hidden="1">'05-09'!$A$2:$P$82</definedName>
    <definedName name="_xlnm._FilterDatabase" localSheetId="4" hidden="1">'06-09'!$A$2:$P$107</definedName>
    <definedName name="_xlnm._FilterDatabase" localSheetId="5" hidden="1">'07-09'!$A$2:$P$56</definedName>
    <definedName name="_xlnm._FilterDatabase" localSheetId="6" hidden="1">'08-09'!$A$2:$P$42</definedName>
    <definedName name="_xlnm._FilterDatabase" localSheetId="7" hidden="1">'09-09'!$A$2:$P$58</definedName>
    <definedName name="_xlnm._FilterDatabase" localSheetId="8" hidden="1">'10-09'!$A$2:$P$39</definedName>
    <definedName name="_xlnm._FilterDatabase" localSheetId="9" hidden="1">'11-09'!$A$2:$P$54</definedName>
    <definedName name="_xlnm._FilterDatabase" localSheetId="10" hidden="1">'12-09'!$A$2:$P$42</definedName>
    <definedName name="_xlnm._FilterDatabase" localSheetId="11" hidden="1">'14-09'!$A$2:$P$78</definedName>
    <definedName name="_xlnm._FilterDatabase" localSheetId="12" hidden="1">'15-09'!$A$2:$P$34</definedName>
    <definedName name="_xlnm._FilterDatabase" localSheetId="13" hidden="1">'16-09'!$A$2:$P$42</definedName>
    <definedName name="_xlnm._FilterDatabase" localSheetId="14" hidden="1">'17-09'!$A$2:$P$38</definedName>
    <definedName name="_xlnm._FilterDatabase" localSheetId="15" hidden="1">'18-09'!$A$2:$P$31</definedName>
    <definedName name="_xlnm._FilterDatabase" localSheetId="16" hidden="1">'19-09'!$A$2:$P$47</definedName>
    <definedName name="_xlnm._FilterDatabase" localSheetId="17" hidden="1">'21-09'!$A$2:$P$97</definedName>
    <definedName name="_xlnm._FilterDatabase" localSheetId="18" hidden="1">'22-09'!$A$2:$P$62</definedName>
    <definedName name="_xlnm._FilterDatabase" localSheetId="19" hidden="1">'23-09'!$A$2:$P$38</definedName>
    <definedName name="_xlnm._FilterDatabase" localSheetId="20" hidden="1">'24-09'!$A$2:$P$54</definedName>
    <definedName name="_xlnm._FilterDatabase" localSheetId="21" hidden="1">'25-09'!$A$2:$P$54</definedName>
    <definedName name="_xlnm._FilterDatabase" localSheetId="22" hidden="1">'26-09'!$A$2:$P$37</definedName>
    <definedName name="_xlnm._FilterDatabase" localSheetId="23" hidden="1">'28-09'!$A$2:$P$70</definedName>
    <definedName name="_xlnm._FilterDatabase" localSheetId="24" hidden="1">'29-09'!$A$2:$P$47</definedName>
    <definedName name="_xlnm._FilterDatabase" localSheetId="25" hidden="1">'30-09'!$A$2:$P$55</definedName>
    <definedName name="_xlnm._FilterDatabase" localSheetId="0" hidden="1">Sheet1!$A$2:$E$27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34" l="1"/>
  <c r="I55" i="34"/>
  <c r="I54" i="34"/>
  <c r="I49" i="34"/>
  <c r="I59" i="34"/>
  <c r="I58" i="34"/>
  <c r="R19" i="34"/>
  <c r="R3" i="34"/>
  <c r="R44" i="34"/>
  <c r="R43" i="34"/>
  <c r="R40" i="34"/>
  <c r="R37" i="34"/>
  <c r="R35" i="34"/>
  <c r="R33" i="34"/>
  <c r="R30" i="34"/>
  <c r="R28" i="34"/>
  <c r="R26" i="34"/>
  <c r="R23" i="34"/>
  <c r="R21" i="34"/>
  <c r="R12" i="34"/>
  <c r="R9" i="34"/>
  <c r="M78" i="34"/>
  <c r="L78" i="34" s="1"/>
  <c r="M77" i="34"/>
  <c r="M76" i="34"/>
  <c r="M82" i="34" s="1"/>
  <c r="L76" i="34"/>
  <c r="M70" i="34"/>
  <c r="L70" i="34" s="1"/>
  <c r="M69" i="34"/>
  <c r="L69" i="34" s="1"/>
  <c r="M68" i="34"/>
  <c r="M73" i="34" s="1"/>
  <c r="L68" i="34"/>
  <c r="M62" i="34"/>
  <c r="L62" i="34" s="1"/>
  <c r="E62" i="34"/>
  <c r="M61" i="34"/>
  <c r="L61" i="34" s="1"/>
  <c r="M60" i="34"/>
  <c r="M65" i="34" s="1"/>
  <c r="L60" i="34"/>
  <c r="H60" i="34"/>
  <c r="E60" i="34"/>
  <c r="E63" i="34" s="1"/>
  <c r="H59" i="34"/>
  <c r="H58" i="34"/>
  <c r="Q57" i="34"/>
  <c r="P57" i="34"/>
  <c r="O57" i="34"/>
  <c r="N57" i="34"/>
  <c r="M57" i="34"/>
  <c r="L57" i="34"/>
  <c r="K57" i="34"/>
  <c r="J57" i="34"/>
  <c r="H57" i="34"/>
  <c r="D57" i="34"/>
  <c r="I53" i="34"/>
  <c r="I52" i="34"/>
  <c r="I51" i="34"/>
  <c r="C62" i="34" s="1"/>
  <c r="I50" i="34"/>
  <c r="I30" i="34"/>
  <c r="I29" i="34"/>
  <c r="I28" i="34"/>
  <c r="I17" i="34"/>
  <c r="I48" i="34"/>
  <c r="I16" i="34"/>
  <c r="I47" i="34"/>
  <c r="I27" i="34"/>
  <c r="I46" i="34"/>
  <c r="I26" i="34"/>
  <c r="I45" i="34"/>
  <c r="I44" i="34"/>
  <c r="I43" i="34"/>
  <c r="I15" i="34"/>
  <c r="I14" i="34"/>
  <c r="I25" i="34"/>
  <c r="I20" i="34"/>
  <c r="I42" i="34"/>
  <c r="I24" i="34"/>
  <c r="I13" i="34"/>
  <c r="I12" i="34"/>
  <c r="I41" i="34"/>
  <c r="I40" i="34"/>
  <c r="I11" i="34"/>
  <c r="I39" i="34"/>
  <c r="I10" i="34"/>
  <c r="I38" i="34"/>
  <c r="I9" i="34"/>
  <c r="I8" i="34"/>
  <c r="I37" i="34"/>
  <c r="I7" i="34"/>
  <c r="I23" i="34"/>
  <c r="I36" i="34"/>
  <c r="I22" i="34"/>
  <c r="I21" i="34"/>
  <c r="I6" i="34"/>
  <c r="I5" i="34"/>
  <c r="I4" i="34"/>
  <c r="I35" i="34"/>
  <c r="I34" i="34"/>
  <c r="I19" i="34"/>
  <c r="I3" i="34"/>
  <c r="I18" i="34"/>
  <c r="I33" i="34"/>
  <c r="I32" i="34"/>
  <c r="I31" i="34"/>
  <c r="R8" i="33"/>
  <c r="R36" i="33"/>
  <c r="R24" i="33"/>
  <c r="R17" i="33"/>
  <c r="R44" i="33"/>
  <c r="R39" i="33"/>
  <c r="R38" i="33"/>
  <c r="R33" i="33"/>
  <c r="R28" i="33"/>
  <c r="R22" i="33"/>
  <c r="R21" i="33"/>
  <c r="R20" i="33"/>
  <c r="R19" i="33"/>
  <c r="R18" i="33"/>
  <c r="R16" i="33"/>
  <c r="R15" i="33"/>
  <c r="R14" i="33"/>
  <c r="I46" i="33"/>
  <c r="M70" i="33"/>
  <c r="L70" i="33" s="1"/>
  <c r="M69" i="33"/>
  <c r="M68" i="33"/>
  <c r="M73" i="33" s="1"/>
  <c r="L68" i="33"/>
  <c r="M62" i="33"/>
  <c r="L62" i="33" s="1"/>
  <c r="M61" i="33"/>
  <c r="L61" i="33" s="1"/>
  <c r="M60" i="33"/>
  <c r="M65" i="33" s="1"/>
  <c r="L60" i="33"/>
  <c r="M54" i="33"/>
  <c r="L54" i="33" s="1"/>
  <c r="E54" i="33"/>
  <c r="M53" i="33"/>
  <c r="L53" i="33" s="1"/>
  <c r="M52" i="33"/>
  <c r="M57" i="33" s="1"/>
  <c r="L52" i="33"/>
  <c r="H52" i="33"/>
  <c r="E52" i="33"/>
  <c r="E55" i="33" s="1"/>
  <c r="H51" i="33"/>
  <c r="H50" i="33"/>
  <c r="Q49" i="33"/>
  <c r="P49" i="33"/>
  <c r="O49" i="33"/>
  <c r="N49" i="33"/>
  <c r="M49" i="33"/>
  <c r="L49" i="33"/>
  <c r="K49" i="33"/>
  <c r="J49" i="33"/>
  <c r="H49" i="33"/>
  <c r="G49" i="33"/>
  <c r="D49" i="33"/>
  <c r="I47" i="33"/>
  <c r="C54" i="33" s="1"/>
  <c r="I32" i="33"/>
  <c r="I31" i="33"/>
  <c r="I45" i="33"/>
  <c r="I17" i="33"/>
  <c r="I30" i="33"/>
  <c r="I44" i="33"/>
  <c r="I16" i="33"/>
  <c r="I15" i="33"/>
  <c r="I14" i="33"/>
  <c r="I29" i="33"/>
  <c r="I43" i="33"/>
  <c r="I13" i="33"/>
  <c r="I28" i="33"/>
  <c r="I27" i="33"/>
  <c r="I42" i="33"/>
  <c r="I41" i="33"/>
  <c r="I12" i="33"/>
  <c r="I40" i="33"/>
  <c r="I11" i="33"/>
  <c r="I26" i="33"/>
  <c r="I10" i="33"/>
  <c r="I39" i="33"/>
  <c r="I9" i="33"/>
  <c r="I38" i="33"/>
  <c r="I25" i="33"/>
  <c r="I8" i="33"/>
  <c r="I24" i="33"/>
  <c r="I23" i="33"/>
  <c r="I22" i="33"/>
  <c r="I37" i="33"/>
  <c r="I21" i="33"/>
  <c r="I7" i="33"/>
  <c r="I6" i="33"/>
  <c r="I5" i="33"/>
  <c r="I36" i="33"/>
  <c r="I35" i="33"/>
  <c r="I4" i="33"/>
  <c r="I34" i="33"/>
  <c r="I3" i="33"/>
  <c r="I20" i="33"/>
  <c r="I19" i="33"/>
  <c r="I33" i="33"/>
  <c r="I18" i="33"/>
  <c r="R64" i="32"/>
  <c r="R45" i="32"/>
  <c r="R16" i="32"/>
  <c r="R67" i="32"/>
  <c r="R63" i="32"/>
  <c r="R59" i="32"/>
  <c r="R57" i="32"/>
  <c r="R55" i="32"/>
  <c r="R54" i="32"/>
  <c r="R47" i="32"/>
  <c r="R43" i="32"/>
  <c r="R41" i="32"/>
  <c r="R38" i="32"/>
  <c r="R31" i="32"/>
  <c r="R29" i="32"/>
  <c r="R19" i="32"/>
  <c r="R12" i="32"/>
  <c r="R9" i="32"/>
  <c r="R7" i="32"/>
  <c r="R6" i="32"/>
  <c r="R4" i="32"/>
  <c r="M93" i="32"/>
  <c r="L93" i="32" s="1"/>
  <c r="M92" i="32"/>
  <c r="M91" i="32"/>
  <c r="M96" i="32" s="1"/>
  <c r="L91" i="32"/>
  <c r="M85" i="32"/>
  <c r="L85" i="32" s="1"/>
  <c r="M84" i="32"/>
  <c r="L84" i="32" s="1"/>
  <c r="M83" i="32"/>
  <c r="M88" i="32" s="1"/>
  <c r="L83" i="32"/>
  <c r="M77" i="32"/>
  <c r="L77" i="32" s="1"/>
  <c r="E77" i="32"/>
  <c r="M76" i="32"/>
  <c r="L76" i="32" s="1"/>
  <c r="M75" i="32"/>
  <c r="M80" i="32" s="1"/>
  <c r="L75" i="32"/>
  <c r="H75" i="32"/>
  <c r="E75" i="32"/>
  <c r="E78" i="32" s="1"/>
  <c r="H74" i="32"/>
  <c r="H73" i="32"/>
  <c r="L92" i="32" s="1"/>
  <c r="Q72" i="32"/>
  <c r="P72" i="32"/>
  <c r="O72" i="32"/>
  <c r="N72" i="32"/>
  <c r="M72" i="32"/>
  <c r="L72" i="32"/>
  <c r="K72" i="32"/>
  <c r="J72" i="32"/>
  <c r="H72" i="32"/>
  <c r="G72" i="32"/>
  <c r="D72" i="32"/>
  <c r="I70" i="32"/>
  <c r="C77" i="32" s="1"/>
  <c r="I69" i="32"/>
  <c r="I68" i="32"/>
  <c r="I22" i="32"/>
  <c r="I46" i="32"/>
  <c r="I45" i="32"/>
  <c r="I17" i="32"/>
  <c r="I44" i="32"/>
  <c r="I21" i="32"/>
  <c r="I43" i="32"/>
  <c r="I20" i="32"/>
  <c r="I67" i="32"/>
  <c r="I19" i="32"/>
  <c r="I66" i="32"/>
  <c r="I42" i="32"/>
  <c r="I41" i="32"/>
  <c r="I65" i="32"/>
  <c r="I40" i="32"/>
  <c r="I64" i="32"/>
  <c r="I63" i="32"/>
  <c r="I62" i="32"/>
  <c r="I18" i="32"/>
  <c r="I61" i="32"/>
  <c r="I60" i="32"/>
  <c r="I59" i="32"/>
  <c r="I39" i="32"/>
  <c r="I16" i="32"/>
  <c r="I58" i="32"/>
  <c r="I57" i="32"/>
  <c r="I56" i="32"/>
  <c r="I15" i="32"/>
  <c r="I38" i="32"/>
  <c r="I37" i="32"/>
  <c r="I55" i="32"/>
  <c r="I14" i="32"/>
  <c r="I54" i="32"/>
  <c r="I53" i="32"/>
  <c r="I52" i="32"/>
  <c r="I13" i="32"/>
  <c r="I12" i="32"/>
  <c r="I36" i="32"/>
  <c r="I35" i="32"/>
  <c r="I51" i="32"/>
  <c r="I34" i="32"/>
  <c r="I11" i="32"/>
  <c r="I33" i="32"/>
  <c r="I32" i="32"/>
  <c r="I31" i="32"/>
  <c r="I30" i="32"/>
  <c r="I10" i="32"/>
  <c r="I9" i="32"/>
  <c r="I50" i="32"/>
  <c r="I8" i="32"/>
  <c r="I29" i="32"/>
  <c r="I7" i="32"/>
  <c r="I28" i="32"/>
  <c r="I27" i="32"/>
  <c r="I6" i="32"/>
  <c r="I26" i="32"/>
  <c r="I5" i="32"/>
  <c r="I25" i="32"/>
  <c r="I24" i="32"/>
  <c r="I49" i="32"/>
  <c r="I4" i="32"/>
  <c r="I48" i="32"/>
  <c r="I3" i="32"/>
  <c r="I47" i="32"/>
  <c r="I23" i="32"/>
  <c r="I39" i="31"/>
  <c r="R5" i="31"/>
  <c r="R25" i="31"/>
  <c r="R24" i="31"/>
  <c r="R21" i="31"/>
  <c r="R20" i="31"/>
  <c r="R17" i="31"/>
  <c r="R13" i="31"/>
  <c r="R7" i="31"/>
  <c r="R4" i="31"/>
  <c r="M60" i="31"/>
  <c r="L60" i="31" s="1"/>
  <c r="M59" i="31"/>
  <c r="L59" i="31" s="1"/>
  <c r="M58" i="31"/>
  <c r="M63" i="31" s="1"/>
  <c r="L58" i="31"/>
  <c r="M52" i="31"/>
  <c r="L52" i="31" s="1"/>
  <c r="M51" i="31"/>
  <c r="M50" i="31"/>
  <c r="M55" i="31" s="1"/>
  <c r="L50" i="31"/>
  <c r="M44" i="31"/>
  <c r="L44" i="31" s="1"/>
  <c r="E44" i="31"/>
  <c r="M43" i="31"/>
  <c r="L43" i="31" s="1"/>
  <c r="M42" i="31"/>
  <c r="M47" i="31" s="1"/>
  <c r="L42" i="31"/>
  <c r="H42" i="31"/>
  <c r="E42" i="31"/>
  <c r="E45" i="31" s="1"/>
  <c r="H41" i="31"/>
  <c r="H40" i="31"/>
  <c r="L51" i="31" s="1"/>
  <c r="Q39" i="31"/>
  <c r="P39" i="31"/>
  <c r="O39" i="31"/>
  <c r="N39" i="31"/>
  <c r="M39" i="31"/>
  <c r="L39" i="31"/>
  <c r="K39" i="31"/>
  <c r="J39" i="31"/>
  <c r="H39" i="31"/>
  <c r="G39" i="31"/>
  <c r="D39" i="31"/>
  <c r="I37" i="31"/>
  <c r="C44" i="31" s="1"/>
  <c r="I29" i="31"/>
  <c r="I36" i="31"/>
  <c r="I19" i="31"/>
  <c r="I35" i="31"/>
  <c r="I18" i="31"/>
  <c r="I17" i="31"/>
  <c r="I16" i="31"/>
  <c r="I15" i="31"/>
  <c r="I34" i="31"/>
  <c r="I33" i="31"/>
  <c r="I32" i="31"/>
  <c r="I28" i="31"/>
  <c r="I14" i="31"/>
  <c r="I13" i="31"/>
  <c r="I12" i="31"/>
  <c r="I31" i="31"/>
  <c r="I11" i="31"/>
  <c r="I27" i="31"/>
  <c r="I10" i="31"/>
  <c r="I9" i="31"/>
  <c r="I8" i="31"/>
  <c r="I7" i="31"/>
  <c r="I30" i="31"/>
  <c r="I6" i="31"/>
  <c r="I5" i="31"/>
  <c r="I26" i="31"/>
  <c r="I4" i="31"/>
  <c r="I25" i="31"/>
  <c r="I3" i="31"/>
  <c r="I24" i="31"/>
  <c r="I23" i="31"/>
  <c r="I22" i="31"/>
  <c r="I21" i="31"/>
  <c r="I20" i="31"/>
  <c r="R22" i="30"/>
  <c r="R24" i="30"/>
  <c r="R48" i="30"/>
  <c r="R47" i="30"/>
  <c r="R34" i="30"/>
  <c r="R32" i="30"/>
  <c r="R30" i="30"/>
  <c r="R29" i="30"/>
  <c r="R28" i="30"/>
  <c r="R27" i="30"/>
  <c r="R26" i="30"/>
  <c r="R20" i="30"/>
  <c r="R18" i="30"/>
  <c r="R17" i="30"/>
  <c r="R16" i="30"/>
  <c r="R12" i="30"/>
  <c r="R8" i="30"/>
  <c r="M77" i="30"/>
  <c r="L77" i="30" s="1"/>
  <c r="M76" i="30"/>
  <c r="L76" i="30" s="1"/>
  <c r="M75" i="30"/>
  <c r="M80" i="30" s="1"/>
  <c r="L75" i="30"/>
  <c r="M69" i="30"/>
  <c r="L69" i="30" s="1"/>
  <c r="M68" i="30"/>
  <c r="L68" i="30" s="1"/>
  <c r="M67" i="30"/>
  <c r="M72" i="30" s="1"/>
  <c r="L67" i="30"/>
  <c r="M61" i="30"/>
  <c r="L61" i="30" s="1"/>
  <c r="E61" i="30"/>
  <c r="M60" i="30"/>
  <c r="M59" i="30"/>
  <c r="M64" i="30" s="1"/>
  <c r="L59" i="30"/>
  <c r="H59" i="30"/>
  <c r="E59" i="30"/>
  <c r="E62" i="30" s="1"/>
  <c r="H58" i="30"/>
  <c r="H57" i="30"/>
  <c r="L60" i="30" s="1"/>
  <c r="Q56" i="30"/>
  <c r="P56" i="30"/>
  <c r="O56" i="30"/>
  <c r="N56" i="30"/>
  <c r="M56" i="30"/>
  <c r="L56" i="30"/>
  <c r="K56" i="30"/>
  <c r="J56" i="30"/>
  <c r="H56" i="30"/>
  <c r="G56" i="30"/>
  <c r="D56" i="30"/>
  <c r="I54" i="30"/>
  <c r="I53" i="30"/>
  <c r="I52" i="30"/>
  <c r="I18" i="30"/>
  <c r="I35" i="30"/>
  <c r="I50" i="30"/>
  <c r="I49" i="30"/>
  <c r="I17" i="30"/>
  <c r="I48" i="30"/>
  <c r="I34" i="30"/>
  <c r="I51" i="30"/>
  <c r="C61" i="30" s="1"/>
  <c r="I33" i="30"/>
  <c r="I32" i="30"/>
  <c r="I31" i="30"/>
  <c r="I47" i="30"/>
  <c r="I30" i="30"/>
  <c r="I29" i="30"/>
  <c r="I28" i="30"/>
  <c r="I16" i="30"/>
  <c r="I27" i="30"/>
  <c r="I15" i="30"/>
  <c r="I46" i="30"/>
  <c r="I45" i="30"/>
  <c r="I14" i="30"/>
  <c r="I13" i="30"/>
  <c r="I12" i="30"/>
  <c r="I44" i="30"/>
  <c r="I26" i="30"/>
  <c r="I25" i="30"/>
  <c r="I11" i="30"/>
  <c r="I43" i="30"/>
  <c r="I10" i="30"/>
  <c r="I9" i="30"/>
  <c r="I42" i="30"/>
  <c r="I24" i="30"/>
  <c r="I41" i="30"/>
  <c r="I40" i="30"/>
  <c r="I39" i="30"/>
  <c r="I38" i="30"/>
  <c r="I23" i="30"/>
  <c r="I8" i="30"/>
  <c r="I7" i="30"/>
  <c r="I22" i="30"/>
  <c r="I6" i="30"/>
  <c r="I21" i="30"/>
  <c r="I37" i="30"/>
  <c r="I5" i="30"/>
  <c r="I4" i="30"/>
  <c r="I20" i="30"/>
  <c r="I36" i="30"/>
  <c r="I19" i="30"/>
  <c r="I3" i="30"/>
  <c r="M83" i="28"/>
  <c r="L83" i="28" s="1"/>
  <c r="I57" i="29"/>
  <c r="R22" i="29"/>
  <c r="R48" i="29"/>
  <c r="R46" i="29"/>
  <c r="R45" i="29"/>
  <c r="R40" i="29"/>
  <c r="R37" i="29"/>
  <c r="R25" i="29"/>
  <c r="R23" i="29"/>
  <c r="R9" i="29"/>
  <c r="R8" i="29"/>
  <c r="R7" i="29"/>
  <c r="R5" i="29"/>
  <c r="M77" i="29"/>
  <c r="L77" i="29" s="1"/>
  <c r="M76" i="29"/>
  <c r="L76" i="29" s="1"/>
  <c r="M75" i="29"/>
  <c r="M80" i="29" s="1"/>
  <c r="L75" i="29"/>
  <c r="M69" i="29"/>
  <c r="L69" i="29" s="1"/>
  <c r="M68" i="29"/>
  <c r="M67" i="29"/>
  <c r="M72" i="29" s="1"/>
  <c r="L67" i="29"/>
  <c r="M61" i="29"/>
  <c r="L61" i="29" s="1"/>
  <c r="E61" i="29"/>
  <c r="M60" i="29"/>
  <c r="L60" i="29" s="1"/>
  <c r="M59" i="29"/>
  <c r="M64" i="29" s="1"/>
  <c r="L59" i="29"/>
  <c r="H59" i="29"/>
  <c r="E59" i="29"/>
  <c r="E62" i="29" s="1"/>
  <c r="H58" i="29"/>
  <c r="H57" i="29"/>
  <c r="L68" i="29" s="1"/>
  <c r="Q56" i="29"/>
  <c r="P56" i="29"/>
  <c r="O56" i="29"/>
  <c r="N56" i="29"/>
  <c r="M56" i="29"/>
  <c r="L56" i="29"/>
  <c r="K56" i="29"/>
  <c r="J56" i="29"/>
  <c r="H56" i="29"/>
  <c r="G56" i="29"/>
  <c r="D56" i="29"/>
  <c r="I54" i="29"/>
  <c r="I53" i="29"/>
  <c r="C61" i="29" s="1"/>
  <c r="I40" i="29"/>
  <c r="I52" i="29"/>
  <c r="I51" i="29"/>
  <c r="I50" i="29"/>
  <c r="I39" i="29"/>
  <c r="I38" i="29"/>
  <c r="I23" i="29"/>
  <c r="I37" i="29"/>
  <c r="I22" i="29"/>
  <c r="I21" i="29"/>
  <c r="I20" i="29"/>
  <c r="I36" i="29"/>
  <c r="I19" i="29"/>
  <c r="I18" i="29"/>
  <c r="I49" i="29"/>
  <c r="I48" i="29"/>
  <c r="I17" i="29"/>
  <c r="I35" i="29"/>
  <c r="I47" i="29"/>
  <c r="I16" i="29"/>
  <c r="I34" i="29"/>
  <c r="I46" i="29"/>
  <c r="I15" i="29"/>
  <c r="I33" i="29"/>
  <c r="I14" i="29"/>
  <c r="I45" i="29"/>
  <c r="I32" i="29"/>
  <c r="I31" i="29"/>
  <c r="I13" i="29"/>
  <c r="I44" i="29"/>
  <c r="I43" i="29"/>
  <c r="I30" i="29"/>
  <c r="I42" i="29"/>
  <c r="I29" i="29"/>
  <c r="I12" i="29"/>
  <c r="I11" i="29"/>
  <c r="I10" i="29"/>
  <c r="I9" i="29"/>
  <c r="I8" i="29"/>
  <c r="I28" i="29"/>
  <c r="I7" i="29"/>
  <c r="I27" i="29"/>
  <c r="I6" i="29"/>
  <c r="I5" i="29"/>
  <c r="I26" i="29"/>
  <c r="I25" i="29"/>
  <c r="I4" i="29"/>
  <c r="I24" i="29"/>
  <c r="I3" i="29"/>
  <c r="I41" i="29"/>
  <c r="R31" i="28"/>
  <c r="I42" i="28"/>
  <c r="L82" i="34" l="1"/>
  <c r="L77" i="34"/>
  <c r="I57" i="34"/>
  <c r="L73" i="34"/>
  <c r="P61" i="34" s="1"/>
  <c r="L65" i="34"/>
  <c r="P60" i="34" s="1"/>
  <c r="C60" i="34"/>
  <c r="C52" i="33"/>
  <c r="C55" i="33" s="1"/>
  <c r="C59" i="33" s="1"/>
  <c r="P55" i="33" s="1"/>
  <c r="L69" i="33"/>
  <c r="L57" i="33"/>
  <c r="P52" i="33" s="1"/>
  <c r="I49" i="33"/>
  <c r="L65" i="33"/>
  <c r="P53" i="33" s="1"/>
  <c r="L73" i="33"/>
  <c r="P54" i="33" s="1"/>
  <c r="L80" i="32"/>
  <c r="P75" i="32" s="1"/>
  <c r="I72" i="32"/>
  <c r="C75" i="32"/>
  <c r="C78" i="32" s="1"/>
  <c r="C82" i="32" s="1"/>
  <c r="P78" i="32" s="1"/>
  <c r="L88" i="32"/>
  <c r="P76" i="32" s="1"/>
  <c r="L96" i="32"/>
  <c r="P77" i="32" s="1"/>
  <c r="L47" i="31"/>
  <c r="P42" i="31" s="1"/>
  <c r="L55" i="31"/>
  <c r="P43" i="31" s="1"/>
  <c r="L63" i="31"/>
  <c r="P44" i="31" s="1"/>
  <c r="C42" i="31"/>
  <c r="C45" i="31" s="1"/>
  <c r="C49" i="31" s="1"/>
  <c r="P45" i="31" s="1"/>
  <c r="C59" i="30"/>
  <c r="C62" i="30" s="1"/>
  <c r="C66" i="30" s="1"/>
  <c r="P62" i="30" s="1"/>
  <c r="I56" i="30"/>
  <c r="L80" i="30"/>
  <c r="P61" i="30" s="1"/>
  <c r="L64" i="30"/>
  <c r="P59" i="30" s="1"/>
  <c r="L72" i="30"/>
  <c r="P60" i="30" s="1"/>
  <c r="I56" i="29"/>
  <c r="C59" i="29"/>
  <c r="C62" i="29" s="1"/>
  <c r="C66" i="29" s="1"/>
  <c r="P62" i="29" s="1"/>
  <c r="L72" i="29"/>
  <c r="P60" i="29" s="1"/>
  <c r="L80" i="29"/>
  <c r="P61" i="29" s="1"/>
  <c r="L64" i="29"/>
  <c r="P59" i="29" s="1"/>
  <c r="L82" i="28"/>
  <c r="I76" i="28"/>
  <c r="I75" i="28"/>
  <c r="I74" i="28"/>
  <c r="I73" i="28"/>
  <c r="I72" i="28"/>
  <c r="I71" i="28"/>
  <c r="I70" i="28"/>
  <c r="I69" i="28"/>
  <c r="I68" i="28"/>
  <c r="M82" i="28"/>
  <c r="M81" i="28"/>
  <c r="M86" i="28" s="1"/>
  <c r="L81" i="28"/>
  <c r="C83" i="28"/>
  <c r="E81" i="28"/>
  <c r="E84" i="28" s="1"/>
  <c r="C81" i="28"/>
  <c r="G78" i="28"/>
  <c r="E83" i="28"/>
  <c r="H81" i="28"/>
  <c r="I80" i="28"/>
  <c r="H80" i="28"/>
  <c r="I79" i="28"/>
  <c r="H79" i="28"/>
  <c r="Q78" i="28"/>
  <c r="P78" i="28"/>
  <c r="O78" i="28"/>
  <c r="N78" i="28"/>
  <c r="M78" i="28"/>
  <c r="L78" i="28"/>
  <c r="K78" i="28"/>
  <c r="J78" i="28"/>
  <c r="H78" i="28"/>
  <c r="D78" i="28"/>
  <c r="L59" i="28"/>
  <c r="I41" i="28"/>
  <c r="M61" i="28"/>
  <c r="L61" i="28" s="1"/>
  <c r="M60" i="28"/>
  <c r="M59" i="28"/>
  <c r="M64" i="28" s="1"/>
  <c r="M53" i="28"/>
  <c r="L53" i="28" s="1"/>
  <c r="M52" i="28"/>
  <c r="L52" i="28" s="1"/>
  <c r="M51" i="28"/>
  <c r="M56" i="28" s="1"/>
  <c r="L51" i="28"/>
  <c r="M45" i="28"/>
  <c r="L45" i="28" s="1"/>
  <c r="E45" i="28"/>
  <c r="M44" i="28"/>
  <c r="L44" i="28" s="1"/>
  <c r="M43" i="28"/>
  <c r="M48" i="28" s="1"/>
  <c r="L43" i="28"/>
  <c r="H43" i="28"/>
  <c r="E43" i="28"/>
  <c r="E46" i="28" s="1"/>
  <c r="H42" i="28"/>
  <c r="H41" i="28"/>
  <c r="Q40" i="28"/>
  <c r="P40" i="28"/>
  <c r="O40" i="28"/>
  <c r="N40" i="28"/>
  <c r="M40" i="28"/>
  <c r="L40" i="28"/>
  <c r="K40" i="28"/>
  <c r="J40" i="28"/>
  <c r="H40" i="28"/>
  <c r="G40" i="28"/>
  <c r="D40" i="28"/>
  <c r="I38" i="28"/>
  <c r="I37" i="28"/>
  <c r="I36" i="28"/>
  <c r="I24" i="28"/>
  <c r="I35" i="28"/>
  <c r="I13" i="28"/>
  <c r="I33" i="28"/>
  <c r="I12" i="28"/>
  <c r="I32" i="28"/>
  <c r="I31" i="28"/>
  <c r="I23" i="28"/>
  <c r="I30" i="28"/>
  <c r="I34" i="28"/>
  <c r="I11" i="28"/>
  <c r="I10" i="28"/>
  <c r="I9" i="28"/>
  <c r="I22" i="28"/>
  <c r="I29" i="28"/>
  <c r="I28" i="28"/>
  <c r="I8" i="28"/>
  <c r="I7" i="28"/>
  <c r="I21" i="28"/>
  <c r="I6" i="28"/>
  <c r="I20" i="28"/>
  <c r="I5" i="28"/>
  <c r="I4" i="28"/>
  <c r="I3" i="28"/>
  <c r="I27" i="28"/>
  <c r="I19" i="28"/>
  <c r="I26" i="28"/>
  <c r="I18" i="28"/>
  <c r="I25" i="28"/>
  <c r="I17" i="28"/>
  <c r="I16" i="28"/>
  <c r="I15" i="28"/>
  <c r="I14" i="28"/>
  <c r="I60" i="27"/>
  <c r="P62" i="34" l="1"/>
  <c r="C63" i="34"/>
  <c r="C67" i="34" s="1"/>
  <c r="P63" i="34" s="1"/>
  <c r="P56" i="33"/>
  <c r="P79" i="32"/>
  <c r="P46" i="31"/>
  <c r="P63" i="30"/>
  <c r="P63" i="29"/>
  <c r="I78" i="28"/>
  <c r="C45" i="28"/>
  <c r="L60" i="28"/>
  <c r="C43" i="28"/>
  <c r="L48" i="28"/>
  <c r="P43" i="28" s="1"/>
  <c r="L86" i="28"/>
  <c r="L56" i="28"/>
  <c r="P44" i="28" s="1"/>
  <c r="I40" i="28"/>
  <c r="L64" i="28"/>
  <c r="P45" i="28" s="1"/>
  <c r="R3" i="27"/>
  <c r="P65" i="34" l="1"/>
  <c r="C46" i="28"/>
  <c r="C50" i="28" s="1"/>
  <c r="P46" i="28" s="1"/>
  <c r="P47" i="28" s="1"/>
  <c r="C84" i="28"/>
  <c r="R47" i="27"/>
  <c r="R43" i="27"/>
  <c r="R16" i="27"/>
  <c r="R54" i="27"/>
  <c r="R44" i="27"/>
  <c r="R38" i="27"/>
  <c r="R34" i="27"/>
  <c r="R31" i="27"/>
  <c r="R29" i="27"/>
  <c r="R26" i="27"/>
  <c r="R24" i="27"/>
  <c r="R21" i="27"/>
  <c r="R19" i="27"/>
  <c r="R17" i="27"/>
  <c r="R14" i="27"/>
  <c r="R11" i="27"/>
  <c r="R8" i="27"/>
  <c r="M85" i="27"/>
  <c r="L85" i="27" s="1"/>
  <c r="M84" i="27"/>
  <c r="M83" i="27"/>
  <c r="M88" i="27" s="1"/>
  <c r="L83" i="27"/>
  <c r="M77" i="27"/>
  <c r="L77" i="27" s="1"/>
  <c r="M76" i="27"/>
  <c r="L76" i="27" s="1"/>
  <c r="M75" i="27"/>
  <c r="M80" i="27" s="1"/>
  <c r="L75" i="27"/>
  <c r="M69" i="27"/>
  <c r="L69" i="27" s="1"/>
  <c r="E69" i="27"/>
  <c r="M68" i="27"/>
  <c r="L68" i="27" s="1"/>
  <c r="M67" i="27"/>
  <c r="M72" i="27" s="1"/>
  <c r="L67" i="27"/>
  <c r="H67" i="27"/>
  <c r="E67" i="27"/>
  <c r="E70" i="27" s="1"/>
  <c r="H66" i="27"/>
  <c r="H65" i="27"/>
  <c r="Q64" i="27"/>
  <c r="P64" i="27"/>
  <c r="O64" i="27"/>
  <c r="N64" i="27"/>
  <c r="M64" i="27"/>
  <c r="L64" i="27"/>
  <c r="K64" i="27"/>
  <c r="J64" i="27"/>
  <c r="H64" i="27"/>
  <c r="G64" i="27"/>
  <c r="D64" i="27"/>
  <c r="I62" i="27"/>
  <c r="I61" i="27"/>
  <c r="I37" i="27"/>
  <c r="I36" i="27"/>
  <c r="I35" i="27"/>
  <c r="I56" i="27"/>
  <c r="I34" i="27"/>
  <c r="I23" i="27"/>
  <c r="I55" i="27"/>
  <c r="I33" i="27"/>
  <c r="I22" i="27"/>
  <c r="I54" i="27"/>
  <c r="I32" i="27"/>
  <c r="I21" i="27"/>
  <c r="I31" i="27"/>
  <c r="I20" i="27"/>
  <c r="I44" i="27"/>
  <c r="I53" i="27"/>
  <c r="I52" i="27"/>
  <c r="I51" i="27"/>
  <c r="I50" i="27"/>
  <c r="I30" i="27"/>
  <c r="I49" i="27"/>
  <c r="I48" i="27"/>
  <c r="I19" i="27"/>
  <c r="I18" i="27"/>
  <c r="I17" i="27"/>
  <c r="I16" i="27"/>
  <c r="I47" i="27"/>
  <c r="I46" i="27"/>
  <c r="I59" i="27"/>
  <c r="I45" i="27"/>
  <c r="I58" i="27"/>
  <c r="I29" i="27"/>
  <c r="I15" i="27"/>
  <c r="I14" i="27"/>
  <c r="I28" i="27"/>
  <c r="I43" i="27"/>
  <c r="I13" i="27"/>
  <c r="I42" i="27"/>
  <c r="I12" i="27"/>
  <c r="I27" i="27"/>
  <c r="I26" i="27"/>
  <c r="I57" i="27"/>
  <c r="C69" i="27" s="1"/>
  <c r="I11" i="27"/>
  <c r="I41" i="27"/>
  <c r="I10" i="27"/>
  <c r="I9" i="27"/>
  <c r="I25" i="27"/>
  <c r="I8" i="27"/>
  <c r="I7" i="27"/>
  <c r="I40" i="27"/>
  <c r="I6" i="27"/>
  <c r="I5" i="27"/>
  <c r="I4" i="27"/>
  <c r="I39" i="27"/>
  <c r="I3" i="27"/>
  <c r="I38" i="27"/>
  <c r="I24" i="27"/>
  <c r="I96" i="26"/>
  <c r="C67" i="27" l="1"/>
  <c r="C70" i="27" s="1"/>
  <c r="C74" i="27" s="1"/>
  <c r="P70" i="27" s="1"/>
  <c r="L84" i="27"/>
  <c r="L88" i="27" s="1"/>
  <c r="P69" i="27" s="1"/>
  <c r="L72" i="27"/>
  <c r="P67" i="27" s="1"/>
  <c r="I64" i="27"/>
  <c r="L80" i="27"/>
  <c r="P68" i="27" s="1"/>
  <c r="M104" i="26"/>
  <c r="L104" i="26" s="1"/>
  <c r="M120" i="26"/>
  <c r="L120" i="26" s="1"/>
  <c r="M112" i="26"/>
  <c r="M111" i="26"/>
  <c r="M110" i="26"/>
  <c r="L110" i="26"/>
  <c r="M103" i="26"/>
  <c r="L103" i="26" s="1"/>
  <c r="M102" i="26"/>
  <c r="L102" i="26"/>
  <c r="L118" i="26"/>
  <c r="M118" i="26"/>
  <c r="E102" i="26"/>
  <c r="P71" i="27" l="1"/>
  <c r="R92" i="26"/>
  <c r="R84" i="26"/>
  <c r="R83" i="26"/>
  <c r="R77" i="26"/>
  <c r="R60" i="26"/>
  <c r="R39" i="26"/>
  <c r="R35" i="26"/>
  <c r="R14" i="26"/>
  <c r="R11" i="26"/>
  <c r="R95" i="26"/>
  <c r="R93" i="26"/>
  <c r="R88" i="26"/>
  <c r="R85" i="26"/>
  <c r="R81" i="26"/>
  <c r="R80" i="26"/>
  <c r="R76" i="26"/>
  <c r="R72" i="26"/>
  <c r="R70" i="26"/>
  <c r="R67" i="26"/>
  <c r="R65" i="26"/>
  <c r="R63" i="26"/>
  <c r="R62" i="26"/>
  <c r="R61" i="26"/>
  <c r="R56" i="26"/>
  <c r="R55" i="26"/>
  <c r="R52" i="26"/>
  <c r="R48" i="26"/>
  <c r="R45" i="26"/>
  <c r="R44" i="26"/>
  <c r="R43" i="26"/>
  <c r="R38" i="26"/>
  <c r="R22" i="26"/>
  <c r="R21" i="26"/>
  <c r="R17" i="26"/>
  <c r="R16" i="26"/>
  <c r="R8" i="26"/>
  <c r="R4" i="26"/>
  <c r="M119" i="26"/>
  <c r="L119" i="26" s="1"/>
  <c r="M123" i="26"/>
  <c r="L112" i="26"/>
  <c r="M115" i="26"/>
  <c r="E104" i="26"/>
  <c r="M107" i="26"/>
  <c r="H102" i="26"/>
  <c r="E105" i="26"/>
  <c r="H101" i="26"/>
  <c r="H100" i="26"/>
  <c r="L111" i="26" s="1"/>
  <c r="Q99" i="26"/>
  <c r="P99" i="26"/>
  <c r="O99" i="26"/>
  <c r="N99" i="26"/>
  <c r="M99" i="26"/>
  <c r="L99" i="26"/>
  <c r="K99" i="26"/>
  <c r="J99" i="26"/>
  <c r="H99" i="26"/>
  <c r="G99" i="26"/>
  <c r="D99" i="26"/>
  <c r="I97" i="26"/>
  <c r="C104" i="26" s="1"/>
  <c r="I67" i="26"/>
  <c r="I40" i="26"/>
  <c r="I39" i="26"/>
  <c r="I66" i="26"/>
  <c r="I38" i="26"/>
  <c r="I37" i="26"/>
  <c r="I65" i="26"/>
  <c r="I36" i="26"/>
  <c r="I35" i="26"/>
  <c r="I64" i="26"/>
  <c r="I63" i="26"/>
  <c r="I34" i="26"/>
  <c r="I95" i="26"/>
  <c r="I94" i="26"/>
  <c r="I62" i="26"/>
  <c r="I33" i="26"/>
  <c r="I3" i="26"/>
  <c r="I93" i="26"/>
  <c r="I61" i="26"/>
  <c r="I60" i="26"/>
  <c r="I92" i="26"/>
  <c r="I59" i="26"/>
  <c r="I91" i="26"/>
  <c r="I32" i="26"/>
  <c r="I31" i="26"/>
  <c r="I90" i="26"/>
  <c r="I58" i="26"/>
  <c r="I89" i="26"/>
  <c r="I30" i="26"/>
  <c r="I57" i="26"/>
  <c r="I29" i="26"/>
  <c r="I28" i="26"/>
  <c r="I27" i="26"/>
  <c r="I26" i="26"/>
  <c r="I56" i="26"/>
  <c r="I55" i="26"/>
  <c r="I88" i="26"/>
  <c r="I25" i="26"/>
  <c r="I87" i="26"/>
  <c r="I24" i="26"/>
  <c r="I23" i="26"/>
  <c r="I22" i="26"/>
  <c r="I86" i="26"/>
  <c r="I21" i="26"/>
  <c r="I85" i="26"/>
  <c r="I20" i="26"/>
  <c r="I84" i="26"/>
  <c r="I54" i="26"/>
  <c r="I19" i="26"/>
  <c r="I83" i="26"/>
  <c r="I53" i="26"/>
  <c r="I52" i="26"/>
  <c r="I82" i="26"/>
  <c r="I18" i="26"/>
  <c r="I17" i="26"/>
  <c r="I51" i="26"/>
  <c r="I50" i="26"/>
  <c r="I16" i="26"/>
  <c r="I49" i="26"/>
  <c r="I81" i="26"/>
  <c r="I80" i="26"/>
  <c r="I48" i="26"/>
  <c r="I15" i="26"/>
  <c r="I14" i="26"/>
  <c r="I13" i="26"/>
  <c r="I79" i="26"/>
  <c r="I78" i="26"/>
  <c r="I77" i="26"/>
  <c r="I47" i="26"/>
  <c r="I12" i="26"/>
  <c r="I46" i="26"/>
  <c r="I45" i="26"/>
  <c r="I44" i="26"/>
  <c r="I11" i="26"/>
  <c r="I43" i="26"/>
  <c r="I10" i="26"/>
  <c r="I76" i="26"/>
  <c r="I9" i="26"/>
  <c r="I8" i="26"/>
  <c r="I75" i="26"/>
  <c r="I74" i="26"/>
  <c r="I7" i="26"/>
  <c r="I73" i="26"/>
  <c r="I6" i="26"/>
  <c r="I72" i="26"/>
  <c r="I42" i="26"/>
  <c r="I71" i="26"/>
  <c r="I70" i="26"/>
  <c r="I69" i="26"/>
  <c r="I41" i="26"/>
  <c r="I5" i="26"/>
  <c r="I4" i="26"/>
  <c r="I68" i="26"/>
  <c r="R47" i="25"/>
  <c r="R46" i="25"/>
  <c r="R37" i="25"/>
  <c r="R35" i="25"/>
  <c r="R32" i="25"/>
  <c r="R31" i="25"/>
  <c r="R25" i="25"/>
  <c r="R22" i="25"/>
  <c r="R20" i="25"/>
  <c r="R16" i="25"/>
  <c r="R6" i="25"/>
  <c r="R3" i="25"/>
  <c r="M70" i="25"/>
  <c r="L70" i="25" s="1"/>
  <c r="M69" i="25"/>
  <c r="L69" i="25" s="1"/>
  <c r="M68" i="25"/>
  <c r="M73" i="25" s="1"/>
  <c r="L68" i="25"/>
  <c r="M62" i="25"/>
  <c r="L62" i="25" s="1"/>
  <c r="M61" i="25"/>
  <c r="M60" i="25"/>
  <c r="M65" i="25" s="1"/>
  <c r="L60" i="25"/>
  <c r="M54" i="25"/>
  <c r="L54" i="25" s="1"/>
  <c r="E54" i="25"/>
  <c r="C54" i="25"/>
  <c r="M53" i="25"/>
  <c r="L53" i="25" s="1"/>
  <c r="M52" i="25"/>
  <c r="M57" i="25" s="1"/>
  <c r="L52" i="25"/>
  <c r="E52" i="25"/>
  <c r="E55" i="25" s="1"/>
  <c r="H51" i="25"/>
  <c r="H50" i="25"/>
  <c r="L61" i="25" s="1"/>
  <c r="Q49" i="25"/>
  <c r="P49" i="25"/>
  <c r="O49" i="25"/>
  <c r="N49" i="25"/>
  <c r="M49" i="25"/>
  <c r="L49" i="25"/>
  <c r="K49" i="25"/>
  <c r="J49" i="25"/>
  <c r="H49" i="25"/>
  <c r="G49" i="25"/>
  <c r="D49" i="25"/>
  <c r="I31" i="25"/>
  <c r="I47" i="25"/>
  <c r="I30" i="25"/>
  <c r="I29" i="25"/>
  <c r="I46" i="25"/>
  <c r="I18" i="25"/>
  <c r="I17" i="25"/>
  <c r="I45" i="25"/>
  <c r="I16" i="25"/>
  <c r="I15" i="25"/>
  <c r="I44" i="25"/>
  <c r="I28" i="25"/>
  <c r="I27" i="25"/>
  <c r="I26" i="25"/>
  <c r="I25" i="25"/>
  <c r="I43" i="25"/>
  <c r="I42" i="25"/>
  <c r="I24" i="25"/>
  <c r="I14" i="25"/>
  <c r="I13" i="25"/>
  <c r="I41" i="25"/>
  <c r="I40" i="25"/>
  <c r="I39" i="25"/>
  <c r="I23" i="25"/>
  <c r="I12" i="25"/>
  <c r="I38" i="25"/>
  <c r="I22" i="25"/>
  <c r="I37" i="25"/>
  <c r="I11" i="25"/>
  <c r="I10" i="25"/>
  <c r="I9" i="25"/>
  <c r="I21" i="25"/>
  <c r="I36" i="25"/>
  <c r="I20" i="25"/>
  <c r="I8" i="25"/>
  <c r="I7" i="25"/>
  <c r="I6" i="25"/>
  <c r="I35" i="25"/>
  <c r="I34" i="25"/>
  <c r="I19" i="25"/>
  <c r="I33" i="25"/>
  <c r="I5" i="25"/>
  <c r="I4" i="25"/>
  <c r="I3" i="25"/>
  <c r="C52" i="25" s="1"/>
  <c r="C55" i="25" s="1"/>
  <c r="C59" i="25" s="1"/>
  <c r="P55" i="25" s="1"/>
  <c r="I32" i="25"/>
  <c r="M54" i="24"/>
  <c r="L54" i="24" s="1"/>
  <c r="M46" i="24"/>
  <c r="L46" i="24" s="1"/>
  <c r="M53" i="24"/>
  <c r="L53" i="24" s="1"/>
  <c r="M52" i="24"/>
  <c r="M57" i="24" s="1"/>
  <c r="L52" i="24"/>
  <c r="I35" i="24"/>
  <c r="I34" i="24"/>
  <c r="R20" i="24"/>
  <c r="R29" i="24"/>
  <c r="R28" i="24"/>
  <c r="R21" i="24"/>
  <c r="R16" i="24"/>
  <c r="R13" i="24"/>
  <c r="R9" i="24"/>
  <c r="R7" i="24"/>
  <c r="M45" i="24"/>
  <c r="L45" i="24" s="1"/>
  <c r="M44" i="24"/>
  <c r="M49" i="24" s="1"/>
  <c r="L44" i="24"/>
  <c r="M38" i="24"/>
  <c r="L38" i="24" s="1"/>
  <c r="E38" i="24"/>
  <c r="M37" i="24"/>
  <c r="M36" i="24"/>
  <c r="M41" i="24" s="1"/>
  <c r="L36" i="24"/>
  <c r="H36" i="24"/>
  <c r="E36" i="24"/>
  <c r="E39" i="24" s="1"/>
  <c r="H35" i="24"/>
  <c r="H34" i="24"/>
  <c r="L37" i="24" s="1"/>
  <c r="Q33" i="24"/>
  <c r="P33" i="24"/>
  <c r="O33" i="24"/>
  <c r="N33" i="24"/>
  <c r="M33" i="24"/>
  <c r="L33" i="24"/>
  <c r="K33" i="24"/>
  <c r="J33" i="24"/>
  <c r="H33" i="24"/>
  <c r="G33" i="24"/>
  <c r="D33" i="24"/>
  <c r="I15" i="24"/>
  <c r="I31" i="24"/>
  <c r="I30" i="24"/>
  <c r="I29" i="24"/>
  <c r="I28" i="24"/>
  <c r="I27" i="24"/>
  <c r="I26" i="24"/>
  <c r="I14" i="24"/>
  <c r="I13" i="24"/>
  <c r="I25" i="24"/>
  <c r="I24" i="24"/>
  <c r="I23" i="24"/>
  <c r="I12" i="24"/>
  <c r="I11" i="24"/>
  <c r="I22" i="24"/>
  <c r="I10" i="24"/>
  <c r="I21" i="24"/>
  <c r="I9" i="24"/>
  <c r="I8" i="24"/>
  <c r="I7" i="24"/>
  <c r="I6" i="24"/>
  <c r="I20" i="24"/>
  <c r="I19" i="24"/>
  <c r="I18" i="24"/>
  <c r="I17" i="24"/>
  <c r="I16" i="24"/>
  <c r="I5" i="24"/>
  <c r="I4" i="24"/>
  <c r="I3" i="24"/>
  <c r="R3" i="23"/>
  <c r="R37" i="23"/>
  <c r="R35" i="23"/>
  <c r="R33" i="23"/>
  <c r="R32" i="23"/>
  <c r="R30" i="23"/>
  <c r="R24" i="23"/>
  <c r="R20" i="23"/>
  <c r="R19" i="23"/>
  <c r="R18" i="23"/>
  <c r="R17" i="23"/>
  <c r="R16" i="23"/>
  <c r="M61" i="23"/>
  <c r="L61" i="23" s="1"/>
  <c r="M60" i="23"/>
  <c r="L60" i="23" s="1"/>
  <c r="M59" i="23"/>
  <c r="M64" i="23" s="1"/>
  <c r="L59" i="23"/>
  <c r="M53" i="23"/>
  <c r="L53" i="23" s="1"/>
  <c r="M52" i="23"/>
  <c r="L52" i="23" s="1"/>
  <c r="M51" i="23"/>
  <c r="M56" i="23" s="1"/>
  <c r="L51" i="23"/>
  <c r="M45" i="23"/>
  <c r="L45" i="23" s="1"/>
  <c r="E45" i="23"/>
  <c r="C45" i="23"/>
  <c r="M44" i="23"/>
  <c r="M43" i="23"/>
  <c r="M48" i="23" s="1"/>
  <c r="L43" i="23"/>
  <c r="H43" i="23"/>
  <c r="E43" i="23"/>
  <c r="E46" i="23" s="1"/>
  <c r="H42" i="23"/>
  <c r="L44" i="23" s="1"/>
  <c r="H41" i="23"/>
  <c r="Q40" i="23"/>
  <c r="P40" i="23"/>
  <c r="O40" i="23"/>
  <c r="N40" i="23"/>
  <c r="M40" i="23"/>
  <c r="L40" i="23"/>
  <c r="K40" i="23"/>
  <c r="J40" i="23"/>
  <c r="H40" i="23"/>
  <c r="G40" i="23"/>
  <c r="D40" i="23"/>
  <c r="I23" i="23"/>
  <c r="I22" i="23"/>
  <c r="I21" i="23"/>
  <c r="I20" i="23"/>
  <c r="I37" i="23"/>
  <c r="I19" i="23"/>
  <c r="I18" i="23"/>
  <c r="I36" i="23"/>
  <c r="I35" i="23"/>
  <c r="I34" i="23"/>
  <c r="I14" i="23"/>
  <c r="I33" i="23"/>
  <c r="I32" i="23"/>
  <c r="I13" i="23"/>
  <c r="I12" i="23"/>
  <c r="I31" i="23"/>
  <c r="I30" i="23"/>
  <c r="I17" i="23"/>
  <c r="I29" i="23"/>
  <c r="I16" i="23"/>
  <c r="I11" i="23"/>
  <c r="I28" i="23"/>
  <c r="I10" i="23"/>
  <c r="I9" i="23"/>
  <c r="I27" i="23"/>
  <c r="I8" i="23"/>
  <c r="I7" i="23"/>
  <c r="I6" i="23"/>
  <c r="I15" i="23"/>
  <c r="I5" i="23"/>
  <c r="I38" i="23"/>
  <c r="I26" i="23"/>
  <c r="I25" i="23"/>
  <c r="I24" i="23"/>
  <c r="I4" i="23"/>
  <c r="I3" i="23"/>
  <c r="R40" i="22"/>
  <c r="R38" i="22"/>
  <c r="R36" i="22"/>
  <c r="R31" i="22"/>
  <c r="R28" i="22"/>
  <c r="R25" i="22"/>
  <c r="R23" i="22"/>
  <c r="R20" i="22"/>
  <c r="R16" i="22"/>
  <c r="R12" i="22"/>
  <c r="R11" i="22"/>
  <c r="R10" i="22"/>
  <c r="R9" i="22"/>
  <c r="R3" i="22"/>
  <c r="M65" i="22"/>
  <c r="L65" i="22" s="1"/>
  <c r="M64" i="22"/>
  <c r="M63" i="22"/>
  <c r="M68" i="22" s="1"/>
  <c r="L63" i="22"/>
  <c r="M57" i="22"/>
  <c r="L57" i="22" s="1"/>
  <c r="M56" i="22"/>
  <c r="L56" i="22" s="1"/>
  <c r="M55" i="22"/>
  <c r="M60" i="22" s="1"/>
  <c r="L55" i="22"/>
  <c r="M49" i="22"/>
  <c r="L49" i="22" s="1"/>
  <c r="E49" i="22"/>
  <c r="C49" i="22"/>
  <c r="M48" i="22"/>
  <c r="L48" i="22" s="1"/>
  <c r="M47" i="22"/>
  <c r="M52" i="22" s="1"/>
  <c r="L47" i="22"/>
  <c r="H47" i="22"/>
  <c r="E47" i="22"/>
  <c r="E50" i="22" s="1"/>
  <c r="H46" i="22"/>
  <c r="H45" i="22"/>
  <c r="L64" i="22" s="1"/>
  <c r="Q44" i="22"/>
  <c r="P44" i="22"/>
  <c r="O44" i="22"/>
  <c r="N44" i="22"/>
  <c r="M44" i="22"/>
  <c r="L44" i="22"/>
  <c r="K44" i="22"/>
  <c r="J44" i="22"/>
  <c r="H44" i="22"/>
  <c r="G44" i="22"/>
  <c r="D44" i="22"/>
  <c r="I30" i="22"/>
  <c r="I42" i="22"/>
  <c r="I17" i="22"/>
  <c r="I16" i="22"/>
  <c r="I15" i="22"/>
  <c r="I29" i="22"/>
  <c r="I41" i="22"/>
  <c r="I40" i="22"/>
  <c r="I39" i="22"/>
  <c r="I14" i="22"/>
  <c r="I13" i="22"/>
  <c r="I28" i="22"/>
  <c r="I27" i="22"/>
  <c r="I12" i="22"/>
  <c r="I26" i="22"/>
  <c r="I38" i="22"/>
  <c r="I37" i="22"/>
  <c r="I25" i="22"/>
  <c r="I24" i="22"/>
  <c r="I23" i="22"/>
  <c r="I11" i="22"/>
  <c r="I10" i="22"/>
  <c r="I36" i="22"/>
  <c r="I9" i="22"/>
  <c r="I8" i="22"/>
  <c r="I7" i="22"/>
  <c r="I35" i="22"/>
  <c r="I22" i="22"/>
  <c r="I34" i="22"/>
  <c r="I6" i="22"/>
  <c r="I5" i="22"/>
  <c r="I4" i="22"/>
  <c r="I3" i="22"/>
  <c r="I33" i="22"/>
  <c r="I32" i="22"/>
  <c r="I21" i="22"/>
  <c r="I20" i="22"/>
  <c r="I31" i="22"/>
  <c r="I19" i="22"/>
  <c r="I18" i="22"/>
  <c r="I33" i="21"/>
  <c r="I32" i="21"/>
  <c r="I31" i="21"/>
  <c r="L39" i="21"/>
  <c r="R17" i="21"/>
  <c r="R30" i="21"/>
  <c r="R25" i="21"/>
  <c r="R19" i="21"/>
  <c r="R16" i="21"/>
  <c r="R14" i="21"/>
  <c r="M57" i="21"/>
  <c r="L57" i="21" s="1"/>
  <c r="M56" i="21"/>
  <c r="L56" i="21" s="1"/>
  <c r="M55" i="21"/>
  <c r="M60" i="21" s="1"/>
  <c r="L55" i="21"/>
  <c r="M49" i="21"/>
  <c r="L49" i="21" s="1"/>
  <c r="M48" i="21"/>
  <c r="L48" i="21" s="1"/>
  <c r="M47" i="21"/>
  <c r="L47" i="21"/>
  <c r="M41" i="21"/>
  <c r="L41" i="21" s="1"/>
  <c r="E41" i="21"/>
  <c r="M40" i="21"/>
  <c r="M39" i="21"/>
  <c r="M44" i="21" s="1"/>
  <c r="H39" i="21"/>
  <c r="E39" i="21"/>
  <c r="E42" i="21" s="1"/>
  <c r="H38" i="21"/>
  <c r="H37" i="21"/>
  <c r="Q36" i="21"/>
  <c r="P36" i="21"/>
  <c r="O36" i="21"/>
  <c r="N36" i="21"/>
  <c r="M36" i="21"/>
  <c r="L36" i="21"/>
  <c r="K36" i="21"/>
  <c r="J36" i="21"/>
  <c r="H36" i="21"/>
  <c r="G36" i="21"/>
  <c r="D36" i="21"/>
  <c r="I34" i="21"/>
  <c r="C41" i="21" s="1"/>
  <c r="I11" i="21"/>
  <c r="I23" i="21"/>
  <c r="I30" i="21"/>
  <c r="I10" i="21"/>
  <c r="I9" i="21"/>
  <c r="I8" i="21"/>
  <c r="I29" i="21"/>
  <c r="I22" i="21"/>
  <c r="I21" i="21"/>
  <c r="I28" i="21"/>
  <c r="I7" i="21"/>
  <c r="I20" i="21"/>
  <c r="I27" i="21"/>
  <c r="I6" i="21"/>
  <c r="I19" i="21"/>
  <c r="I26" i="21"/>
  <c r="I18" i="21"/>
  <c r="I5" i="21"/>
  <c r="I17" i="21"/>
  <c r="I4" i="21"/>
  <c r="I16" i="21"/>
  <c r="I15" i="21"/>
  <c r="I14" i="21"/>
  <c r="I13" i="21"/>
  <c r="I12" i="21"/>
  <c r="I25" i="21"/>
  <c r="I24" i="21"/>
  <c r="I3" i="21"/>
  <c r="R21" i="20"/>
  <c r="R51" i="20"/>
  <c r="C102" i="26" l="1"/>
  <c r="C105" i="26" s="1"/>
  <c r="C109" i="26" s="1"/>
  <c r="P105" i="26" s="1"/>
  <c r="L115" i="26"/>
  <c r="P103" i="26" s="1"/>
  <c r="L107" i="26"/>
  <c r="P102" i="26" s="1"/>
  <c r="I99" i="26"/>
  <c r="L123" i="26"/>
  <c r="P104" i="26" s="1"/>
  <c r="I49" i="25"/>
  <c r="L65" i="25"/>
  <c r="P53" i="25" s="1"/>
  <c r="L73" i="25"/>
  <c r="P54" i="25" s="1"/>
  <c r="L57" i="25"/>
  <c r="P52" i="25" s="1"/>
  <c r="L57" i="24"/>
  <c r="P38" i="24" s="1"/>
  <c r="C36" i="24"/>
  <c r="C38" i="24"/>
  <c r="I33" i="24"/>
  <c r="L41" i="24"/>
  <c r="P36" i="24" s="1"/>
  <c r="L49" i="24"/>
  <c r="C43" i="23"/>
  <c r="C46" i="23" s="1"/>
  <c r="C50" i="23" s="1"/>
  <c r="P46" i="23" s="1"/>
  <c r="I40" i="23"/>
  <c r="L56" i="23"/>
  <c r="P44" i="23" s="1"/>
  <c r="L48" i="23"/>
  <c r="P43" i="23" s="1"/>
  <c r="L64" i="23"/>
  <c r="P45" i="23" s="1"/>
  <c r="C47" i="22"/>
  <c r="C50" i="22" s="1"/>
  <c r="C54" i="22" s="1"/>
  <c r="P50" i="22" s="1"/>
  <c r="I44" i="22"/>
  <c r="L60" i="22"/>
  <c r="P48" i="22" s="1"/>
  <c r="L68" i="22"/>
  <c r="P49" i="22" s="1"/>
  <c r="L52" i="22"/>
  <c r="P47" i="22" s="1"/>
  <c r="L53" i="21"/>
  <c r="P40" i="21" s="1"/>
  <c r="M53" i="21"/>
  <c r="L40" i="21"/>
  <c r="L44" i="21" s="1"/>
  <c r="P39" i="21" s="1"/>
  <c r="C39" i="21"/>
  <c r="C42" i="21" s="1"/>
  <c r="C46" i="21" s="1"/>
  <c r="P42" i="21" s="1"/>
  <c r="I36" i="21"/>
  <c r="L60" i="21"/>
  <c r="P41" i="21" s="1"/>
  <c r="R57" i="20"/>
  <c r="R55" i="20"/>
  <c r="R44" i="20"/>
  <c r="R43" i="20"/>
  <c r="R74" i="20"/>
  <c r="R66" i="20"/>
  <c r="R65" i="20"/>
  <c r="R63" i="20"/>
  <c r="R52" i="20"/>
  <c r="R48" i="20"/>
  <c r="R46" i="20"/>
  <c r="R41" i="20"/>
  <c r="R37" i="20"/>
  <c r="R32" i="20"/>
  <c r="R31" i="20"/>
  <c r="R27" i="20"/>
  <c r="R25" i="20"/>
  <c r="R23" i="20"/>
  <c r="R20" i="20"/>
  <c r="R17" i="20"/>
  <c r="R6" i="20"/>
  <c r="R5" i="20"/>
  <c r="R3" i="20"/>
  <c r="M101" i="20"/>
  <c r="L101" i="20" s="1"/>
  <c r="M100" i="20"/>
  <c r="L100" i="20" s="1"/>
  <c r="M99" i="20"/>
  <c r="M104" i="20" s="1"/>
  <c r="L99" i="20"/>
  <c r="M93" i="20"/>
  <c r="L93" i="20" s="1"/>
  <c r="M92" i="20"/>
  <c r="M91" i="20"/>
  <c r="M96" i="20" s="1"/>
  <c r="L91" i="20"/>
  <c r="M85" i="20"/>
  <c r="L85" i="20" s="1"/>
  <c r="E85" i="20"/>
  <c r="C85" i="20"/>
  <c r="M84" i="20"/>
  <c r="L84" i="20" s="1"/>
  <c r="M83" i="20"/>
  <c r="M88" i="20" s="1"/>
  <c r="L83" i="20"/>
  <c r="H83" i="20"/>
  <c r="E83" i="20"/>
  <c r="E86" i="20" s="1"/>
  <c r="H82" i="20"/>
  <c r="H81" i="20"/>
  <c r="L92" i="20" s="1"/>
  <c r="Q80" i="20"/>
  <c r="P80" i="20"/>
  <c r="O80" i="20"/>
  <c r="N80" i="20"/>
  <c r="M80" i="20"/>
  <c r="L80" i="20"/>
  <c r="K80" i="20"/>
  <c r="J80" i="20"/>
  <c r="H80" i="20"/>
  <c r="G80" i="20"/>
  <c r="D80" i="20"/>
  <c r="I30" i="20"/>
  <c r="I29" i="20"/>
  <c r="I78" i="20"/>
  <c r="I77" i="20"/>
  <c r="I76" i="20"/>
  <c r="I75" i="20"/>
  <c r="I47" i="20"/>
  <c r="I46" i="20"/>
  <c r="I45" i="20"/>
  <c r="I74" i="20"/>
  <c r="I73" i="20"/>
  <c r="I72" i="20"/>
  <c r="I71" i="20"/>
  <c r="I44" i="20"/>
  <c r="I43" i="20"/>
  <c r="I70" i="20"/>
  <c r="I69" i="20"/>
  <c r="I28" i="20"/>
  <c r="I27" i="20"/>
  <c r="I26" i="20"/>
  <c r="I68" i="20"/>
  <c r="I42" i="20"/>
  <c r="I41" i="20"/>
  <c r="I25" i="20"/>
  <c r="I40" i="20"/>
  <c r="I24" i="20"/>
  <c r="I67" i="20"/>
  <c r="I66" i="20"/>
  <c r="I65" i="20"/>
  <c r="I39" i="20"/>
  <c r="I38" i="20"/>
  <c r="I64" i="20"/>
  <c r="I37" i="20"/>
  <c r="I63" i="20"/>
  <c r="I62" i="20"/>
  <c r="I23" i="20"/>
  <c r="I22" i="20"/>
  <c r="I21" i="20"/>
  <c r="I61" i="20"/>
  <c r="I60" i="20"/>
  <c r="I36" i="20"/>
  <c r="I59" i="20"/>
  <c r="I20" i="20"/>
  <c r="I58" i="20"/>
  <c r="I19" i="20"/>
  <c r="I18" i="20"/>
  <c r="I57" i="20"/>
  <c r="I35" i="20"/>
  <c r="I56" i="20"/>
  <c r="I55" i="20"/>
  <c r="I17" i="20"/>
  <c r="I16" i="20"/>
  <c r="I15" i="20"/>
  <c r="I54" i="20"/>
  <c r="I14" i="20"/>
  <c r="I13" i="20"/>
  <c r="I12" i="20"/>
  <c r="I34" i="20"/>
  <c r="I53" i="20"/>
  <c r="I52" i="20"/>
  <c r="I11" i="20"/>
  <c r="I51" i="20"/>
  <c r="I10" i="20"/>
  <c r="I50" i="20"/>
  <c r="I9" i="20"/>
  <c r="I8" i="20"/>
  <c r="I7" i="20"/>
  <c r="I49" i="20"/>
  <c r="I6" i="20"/>
  <c r="I5" i="20"/>
  <c r="I33" i="20"/>
  <c r="I48" i="20"/>
  <c r="I4" i="20"/>
  <c r="I32" i="20"/>
  <c r="I3" i="20"/>
  <c r="I31" i="20"/>
  <c r="I41" i="19"/>
  <c r="P106" i="26" l="1"/>
  <c r="P56" i="25"/>
  <c r="C39" i="24"/>
  <c r="C43" i="24" s="1"/>
  <c r="P39" i="24" s="1"/>
  <c r="P37" i="24"/>
  <c r="P47" i="23"/>
  <c r="P51" i="22"/>
  <c r="P44" i="21"/>
  <c r="C83" i="20"/>
  <c r="C86" i="20" s="1"/>
  <c r="C90" i="20" s="1"/>
  <c r="P86" i="20" s="1"/>
  <c r="L96" i="20"/>
  <c r="P84" i="20" s="1"/>
  <c r="I80" i="20"/>
  <c r="L104" i="20"/>
  <c r="P85" i="20" s="1"/>
  <c r="L88" i="20"/>
  <c r="P83" i="20" s="1"/>
  <c r="R9" i="19"/>
  <c r="R34" i="19"/>
  <c r="R32" i="19"/>
  <c r="R30" i="19"/>
  <c r="R26" i="19"/>
  <c r="R25" i="19"/>
  <c r="R23" i="19"/>
  <c r="R21" i="19"/>
  <c r="R20" i="19"/>
  <c r="R18" i="19"/>
  <c r="R16" i="19"/>
  <c r="R14" i="19"/>
  <c r="R13" i="19"/>
  <c r="R10" i="19"/>
  <c r="R4" i="19"/>
  <c r="R3" i="19"/>
  <c r="M65" i="19"/>
  <c r="L65" i="19" s="1"/>
  <c r="M64" i="19"/>
  <c r="M63" i="19"/>
  <c r="M68" i="19" s="1"/>
  <c r="L63" i="19"/>
  <c r="M57" i="19"/>
  <c r="L57" i="19" s="1"/>
  <c r="M56" i="19"/>
  <c r="L56" i="19" s="1"/>
  <c r="M55" i="19"/>
  <c r="L55" i="19"/>
  <c r="M49" i="19"/>
  <c r="L49" i="19" s="1"/>
  <c r="E49" i="19"/>
  <c r="M48" i="19"/>
  <c r="L48" i="19" s="1"/>
  <c r="M47" i="19"/>
  <c r="M52" i="19" s="1"/>
  <c r="L47" i="19"/>
  <c r="H47" i="19"/>
  <c r="E47" i="19"/>
  <c r="E50" i="19" s="1"/>
  <c r="H46" i="19"/>
  <c r="H45" i="19"/>
  <c r="Q44" i="19"/>
  <c r="P44" i="19"/>
  <c r="O44" i="19"/>
  <c r="N44" i="19"/>
  <c r="M44" i="19"/>
  <c r="L44" i="19"/>
  <c r="K44" i="19"/>
  <c r="J44" i="19"/>
  <c r="H44" i="19"/>
  <c r="G44" i="19"/>
  <c r="D44" i="19"/>
  <c r="I42" i="19"/>
  <c r="I40" i="19"/>
  <c r="I13" i="19"/>
  <c r="I39" i="19"/>
  <c r="I38" i="19"/>
  <c r="I37" i="19"/>
  <c r="I36" i="19"/>
  <c r="I21" i="19"/>
  <c r="I35" i="19"/>
  <c r="I12" i="19"/>
  <c r="I34" i="19"/>
  <c r="I11" i="19"/>
  <c r="I10" i="19"/>
  <c r="I9" i="19"/>
  <c r="I20" i="19"/>
  <c r="I19" i="19"/>
  <c r="I33" i="19"/>
  <c r="I32" i="19"/>
  <c r="I31" i="19"/>
  <c r="I30" i="19"/>
  <c r="I29" i="19"/>
  <c r="I18" i="19"/>
  <c r="I28" i="19"/>
  <c r="I27" i="19"/>
  <c r="I8" i="19"/>
  <c r="I26" i="19"/>
  <c r="I17" i="19"/>
  <c r="I7" i="19"/>
  <c r="I25" i="19"/>
  <c r="I16" i="19"/>
  <c r="I6" i="19"/>
  <c r="I24" i="19"/>
  <c r="I5" i="19"/>
  <c r="I4" i="19"/>
  <c r="I23" i="19"/>
  <c r="I3" i="19"/>
  <c r="I15" i="19"/>
  <c r="I14" i="19"/>
  <c r="I22" i="19"/>
  <c r="R44" i="18"/>
  <c r="R38" i="18"/>
  <c r="R15" i="18"/>
  <c r="R48" i="18"/>
  <c r="R47" i="18"/>
  <c r="R36" i="18"/>
  <c r="R32" i="18"/>
  <c r="R31" i="18"/>
  <c r="R30" i="18"/>
  <c r="R27" i="18"/>
  <c r="R22" i="18"/>
  <c r="R21" i="18"/>
  <c r="R7" i="18"/>
  <c r="R5" i="18"/>
  <c r="R4" i="18"/>
  <c r="M77" i="18"/>
  <c r="L77" i="18" s="1"/>
  <c r="M76" i="18"/>
  <c r="L76" i="18" s="1"/>
  <c r="M75" i="18"/>
  <c r="M80" i="18" s="1"/>
  <c r="L75" i="18"/>
  <c r="M69" i="18"/>
  <c r="L69" i="18" s="1"/>
  <c r="M68" i="18"/>
  <c r="M67" i="18"/>
  <c r="M72" i="18" s="1"/>
  <c r="L67" i="18"/>
  <c r="M61" i="18"/>
  <c r="L61" i="18" s="1"/>
  <c r="E61" i="18"/>
  <c r="M60" i="18"/>
  <c r="L60" i="18" s="1"/>
  <c r="M59" i="18"/>
  <c r="M64" i="18" s="1"/>
  <c r="L59" i="18"/>
  <c r="H59" i="18"/>
  <c r="E59" i="18"/>
  <c r="E62" i="18" s="1"/>
  <c r="H58" i="18"/>
  <c r="H57" i="18"/>
  <c r="L68" i="18" s="1"/>
  <c r="Q56" i="18"/>
  <c r="P56" i="18"/>
  <c r="O56" i="18"/>
  <c r="N56" i="18"/>
  <c r="M56" i="18"/>
  <c r="L56" i="18"/>
  <c r="K56" i="18"/>
  <c r="J56" i="18"/>
  <c r="H56" i="18"/>
  <c r="G56" i="18"/>
  <c r="D56" i="18"/>
  <c r="I54" i="18"/>
  <c r="C61" i="18" s="1"/>
  <c r="I53" i="18"/>
  <c r="I52" i="18"/>
  <c r="I20" i="18"/>
  <c r="I33" i="18"/>
  <c r="I32" i="18"/>
  <c r="I51" i="18"/>
  <c r="I19" i="18"/>
  <c r="I18" i="18"/>
  <c r="I50" i="18"/>
  <c r="I17" i="18"/>
  <c r="I49" i="18"/>
  <c r="I48" i="18"/>
  <c r="I16" i="18"/>
  <c r="I47" i="18"/>
  <c r="I15" i="18"/>
  <c r="I14" i="18"/>
  <c r="I46" i="18"/>
  <c r="I13" i="18"/>
  <c r="I31" i="18"/>
  <c r="I30" i="18"/>
  <c r="I12" i="18"/>
  <c r="I11" i="18"/>
  <c r="I45" i="18"/>
  <c r="I29" i="18"/>
  <c r="I44" i="18"/>
  <c r="I43" i="18"/>
  <c r="I42" i="18"/>
  <c r="I28" i="18"/>
  <c r="I10" i="18"/>
  <c r="I41" i="18"/>
  <c r="I27" i="18"/>
  <c r="I40" i="18"/>
  <c r="I9" i="18"/>
  <c r="I8" i="18"/>
  <c r="I7" i="18"/>
  <c r="I6" i="18"/>
  <c r="I39" i="18"/>
  <c r="I38" i="18"/>
  <c r="I37" i="18"/>
  <c r="I36" i="18"/>
  <c r="I35" i="18"/>
  <c r="I34" i="18"/>
  <c r="I26" i="18"/>
  <c r="I5" i="18"/>
  <c r="I25" i="18"/>
  <c r="I24" i="18"/>
  <c r="I23" i="18"/>
  <c r="I4" i="18"/>
  <c r="C59" i="18" s="1"/>
  <c r="C62" i="18" s="1"/>
  <c r="C66" i="18" s="1"/>
  <c r="P62" i="18" s="1"/>
  <c r="I3" i="18"/>
  <c r="I22" i="18"/>
  <c r="I21" i="18"/>
  <c r="R12" i="17"/>
  <c r="R8" i="17"/>
  <c r="R38" i="17"/>
  <c r="R18" i="17"/>
  <c r="R37" i="17"/>
  <c r="R35" i="17"/>
  <c r="R24" i="17"/>
  <c r="R23" i="17"/>
  <c r="R21" i="17"/>
  <c r="R17" i="17"/>
  <c r="R7" i="17"/>
  <c r="R5" i="17"/>
  <c r="M62" i="17"/>
  <c r="L62" i="17" s="1"/>
  <c r="M61" i="17"/>
  <c r="L61" i="17" s="1"/>
  <c r="M60" i="17"/>
  <c r="M65" i="17" s="1"/>
  <c r="L60" i="17"/>
  <c r="M54" i="17"/>
  <c r="L54" i="17" s="1"/>
  <c r="M53" i="17"/>
  <c r="M52" i="17"/>
  <c r="M57" i="17" s="1"/>
  <c r="L52" i="17"/>
  <c r="M46" i="17"/>
  <c r="L46" i="17" s="1"/>
  <c r="E46" i="17"/>
  <c r="M45" i="17"/>
  <c r="L45" i="17" s="1"/>
  <c r="M44" i="17"/>
  <c r="M49" i="17" s="1"/>
  <c r="L44" i="17"/>
  <c r="E44" i="17"/>
  <c r="E47" i="17" s="1"/>
  <c r="H43" i="17"/>
  <c r="H42" i="17"/>
  <c r="L53" i="17" s="1"/>
  <c r="Q41" i="17"/>
  <c r="P41" i="17"/>
  <c r="O41" i="17"/>
  <c r="N41" i="17"/>
  <c r="M41" i="17"/>
  <c r="L41" i="17"/>
  <c r="K41" i="17"/>
  <c r="J41" i="17"/>
  <c r="H41" i="17"/>
  <c r="G41" i="17"/>
  <c r="D41" i="17"/>
  <c r="I39" i="17"/>
  <c r="C46" i="17" s="1"/>
  <c r="I12" i="17"/>
  <c r="I38" i="17"/>
  <c r="I37" i="17"/>
  <c r="I22" i="17"/>
  <c r="I21" i="17"/>
  <c r="I11" i="17"/>
  <c r="I20" i="17"/>
  <c r="I36" i="17"/>
  <c r="I10" i="17"/>
  <c r="I9" i="17"/>
  <c r="I35" i="17"/>
  <c r="I19" i="17"/>
  <c r="I18" i="17"/>
  <c r="I34" i="17"/>
  <c r="I33" i="17"/>
  <c r="I32" i="17"/>
  <c r="I31" i="17"/>
  <c r="I30" i="17"/>
  <c r="I8" i="17"/>
  <c r="I29" i="17"/>
  <c r="I28" i="17"/>
  <c r="I27" i="17"/>
  <c r="I17" i="17"/>
  <c r="I16" i="17"/>
  <c r="I7" i="17"/>
  <c r="I26" i="17"/>
  <c r="I15" i="17"/>
  <c r="I6" i="17"/>
  <c r="I14" i="17"/>
  <c r="I13" i="17"/>
  <c r="I5" i="17"/>
  <c r="I4" i="17"/>
  <c r="I25" i="17"/>
  <c r="I24" i="17"/>
  <c r="I3" i="17"/>
  <c r="I23" i="17"/>
  <c r="L70" i="14"/>
  <c r="R45" i="16"/>
  <c r="R51" i="16"/>
  <c r="R50" i="16"/>
  <c r="R30" i="16"/>
  <c r="R26" i="16"/>
  <c r="R25" i="16"/>
  <c r="R23" i="16"/>
  <c r="R18" i="16"/>
  <c r="R17" i="16"/>
  <c r="R16" i="16"/>
  <c r="R14" i="16"/>
  <c r="M81" i="16"/>
  <c r="L81" i="16" s="1"/>
  <c r="M80" i="16"/>
  <c r="L80" i="16" s="1"/>
  <c r="M79" i="16"/>
  <c r="M84" i="16" s="1"/>
  <c r="L79" i="16"/>
  <c r="M73" i="16"/>
  <c r="L73" i="16" s="1"/>
  <c r="M72" i="16"/>
  <c r="L72" i="16" s="1"/>
  <c r="M71" i="16"/>
  <c r="M76" i="16" s="1"/>
  <c r="L71" i="16"/>
  <c r="M65" i="16"/>
  <c r="L65" i="16" s="1"/>
  <c r="E65" i="16"/>
  <c r="M64" i="16"/>
  <c r="L64" i="16"/>
  <c r="M63" i="16"/>
  <c r="M68" i="16" s="1"/>
  <c r="L63" i="16"/>
  <c r="E63" i="16"/>
  <c r="E66" i="16" s="1"/>
  <c r="H62" i="16"/>
  <c r="H61" i="16"/>
  <c r="Q60" i="16"/>
  <c r="P60" i="16"/>
  <c r="O60" i="16"/>
  <c r="N60" i="16"/>
  <c r="M60" i="16"/>
  <c r="L60" i="16"/>
  <c r="K60" i="16"/>
  <c r="J60" i="16"/>
  <c r="H60" i="16"/>
  <c r="G60" i="16"/>
  <c r="D60" i="16"/>
  <c r="I58" i="16"/>
  <c r="I57" i="16"/>
  <c r="I56" i="16"/>
  <c r="I55" i="16"/>
  <c r="I54" i="16"/>
  <c r="I30" i="16"/>
  <c r="I52" i="16"/>
  <c r="I29" i="16"/>
  <c r="I18" i="16"/>
  <c r="I17" i="16"/>
  <c r="I16" i="16"/>
  <c r="I15" i="16"/>
  <c r="I14" i="16"/>
  <c r="I28" i="16"/>
  <c r="I13" i="16"/>
  <c r="I51" i="16"/>
  <c r="I50" i="16"/>
  <c r="I49" i="16"/>
  <c r="I48" i="16"/>
  <c r="I47" i="16"/>
  <c r="I12" i="16"/>
  <c r="I11" i="16"/>
  <c r="I46" i="16"/>
  <c r="I45" i="16"/>
  <c r="I27" i="16"/>
  <c r="I44" i="16"/>
  <c r="I26" i="16"/>
  <c r="I43" i="16"/>
  <c r="I10" i="16"/>
  <c r="I25" i="16"/>
  <c r="I42" i="16"/>
  <c r="I41" i="16"/>
  <c r="I40" i="16"/>
  <c r="I9" i="16"/>
  <c r="I24" i="16"/>
  <c r="I8" i="16"/>
  <c r="I7" i="16"/>
  <c r="I39" i="16"/>
  <c r="I23" i="16"/>
  <c r="I53" i="16"/>
  <c r="C65" i="16" s="1"/>
  <c r="I6" i="16"/>
  <c r="I22" i="16"/>
  <c r="I38" i="16"/>
  <c r="I5" i="16"/>
  <c r="I37" i="16"/>
  <c r="I36" i="16"/>
  <c r="I21" i="16"/>
  <c r="I35" i="16"/>
  <c r="I34" i="16"/>
  <c r="I4" i="16"/>
  <c r="I33" i="16"/>
  <c r="I20" i="16"/>
  <c r="I19" i="16"/>
  <c r="I32" i="16"/>
  <c r="I31" i="16"/>
  <c r="I3" i="16"/>
  <c r="I41" i="15"/>
  <c r="I1" i="10"/>
  <c r="I1" i="11"/>
  <c r="I1" i="12"/>
  <c r="P40" i="24" l="1"/>
  <c r="P87" i="20"/>
  <c r="C49" i="19"/>
  <c r="L64" i="19"/>
  <c r="L61" i="19"/>
  <c r="P48" i="19" s="1"/>
  <c r="M61" i="19"/>
  <c r="L52" i="19"/>
  <c r="P47" i="19" s="1"/>
  <c r="I44" i="19"/>
  <c r="L68" i="19"/>
  <c r="P49" i="19" s="1"/>
  <c r="C47" i="19"/>
  <c r="C50" i="19" s="1"/>
  <c r="C54" i="19" s="1"/>
  <c r="P50" i="19" s="1"/>
  <c r="I56" i="18"/>
  <c r="L80" i="18"/>
  <c r="P61" i="18" s="1"/>
  <c r="L64" i="18"/>
  <c r="P59" i="18" s="1"/>
  <c r="L72" i="18"/>
  <c r="P60" i="18" s="1"/>
  <c r="L57" i="17"/>
  <c r="P45" i="17" s="1"/>
  <c r="I41" i="17"/>
  <c r="L65" i="17"/>
  <c r="P46" i="17" s="1"/>
  <c r="L49" i="17"/>
  <c r="P44" i="17" s="1"/>
  <c r="C44" i="17"/>
  <c r="C47" i="17" s="1"/>
  <c r="C51" i="17" s="1"/>
  <c r="P47" i="17" s="1"/>
  <c r="I60" i="16"/>
  <c r="C63" i="16"/>
  <c r="C66" i="16" s="1"/>
  <c r="C70" i="16" s="1"/>
  <c r="P66" i="16" s="1"/>
  <c r="L76" i="16"/>
  <c r="P64" i="16" s="1"/>
  <c r="L84" i="16"/>
  <c r="P65" i="16" s="1"/>
  <c r="L68" i="16"/>
  <c r="P63" i="16" s="1"/>
  <c r="R33" i="15"/>
  <c r="R24" i="15"/>
  <c r="R27" i="15"/>
  <c r="R12" i="15"/>
  <c r="R9" i="15"/>
  <c r="R8" i="15"/>
  <c r="R4" i="15"/>
  <c r="M65" i="15"/>
  <c r="L65" i="15" s="1"/>
  <c r="M64" i="15"/>
  <c r="L64" i="15" s="1"/>
  <c r="M63" i="15"/>
  <c r="M68" i="15" s="1"/>
  <c r="L63" i="15"/>
  <c r="M57" i="15"/>
  <c r="L57" i="15" s="1"/>
  <c r="M56" i="15"/>
  <c r="M61" i="15" s="1"/>
  <c r="M55" i="15"/>
  <c r="L55" i="15"/>
  <c r="M49" i="15"/>
  <c r="L49" i="15" s="1"/>
  <c r="E49" i="15"/>
  <c r="M48" i="15"/>
  <c r="L48" i="15" s="1"/>
  <c r="M47" i="15"/>
  <c r="M52" i="15" s="1"/>
  <c r="L47" i="15"/>
  <c r="H47" i="15"/>
  <c r="E47" i="15"/>
  <c r="E50" i="15" s="1"/>
  <c r="H46" i="15"/>
  <c r="H45" i="15"/>
  <c r="L56" i="15" s="1"/>
  <c r="Q44" i="15"/>
  <c r="P44" i="15"/>
  <c r="O44" i="15"/>
  <c r="N44" i="15"/>
  <c r="M44" i="15"/>
  <c r="L44" i="15"/>
  <c r="K44" i="15"/>
  <c r="J44" i="15"/>
  <c r="H44" i="15"/>
  <c r="G44" i="15"/>
  <c r="D44" i="15"/>
  <c r="I42" i="15"/>
  <c r="C49" i="15" s="1"/>
  <c r="I40" i="15"/>
  <c r="I39" i="15"/>
  <c r="I38" i="15"/>
  <c r="I13" i="15"/>
  <c r="I37" i="15"/>
  <c r="I36" i="15"/>
  <c r="I27" i="15"/>
  <c r="I26" i="15"/>
  <c r="I25" i="15"/>
  <c r="I12" i="15"/>
  <c r="I24" i="15"/>
  <c r="I23" i="15"/>
  <c r="I22" i="15"/>
  <c r="I21" i="15"/>
  <c r="I20" i="15"/>
  <c r="I35" i="15"/>
  <c r="I11" i="15"/>
  <c r="I34" i="15"/>
  <c r="I10" i="15"/>
  <c r="I33" i="15"/>
  <c r="I32" i="15"/>
  <c r="I9" i="15"/>
  <c r="I31" i="15"/>
  <c r="I19" i="15"/>
  <c r="I8" i="15"/>
  <c r="I7" i="15"/>
  <c r="I18" i="15"/>
  <c r="I6" i="15"/>
  <c r="I17" i="15"/>
  <c r="I30" i="15"/>
  <c r="I29" i="15"/>
  <c r="I5" i="15"/>
  <c r="I28" i="15"/>
  <c r="I4" i="15"/>
  <c r="I16" i="15"/>
  <c r="I15" i="15"/>
  <c r="I3" i="15"/>
  <c r="I14" i="15"/>
  <c r="I56" i="14"/>
  <c r="R28" i="11"/>
  <c r="P51" i="19" l="1"/>
  <c r="P63" i="18"/>
  <c r="P48" i="17"/>
  <c r="P67" i="16"/>
  <c r="L61" i="15"/>
  <c r="P48" i="15" s="1"/>
  <c r="C47" i="15"/>
  <c r="C50" i="15" s="1"/>
  <c r="C54" i="15" s="1"/>
  <c r="P50" i="15" s="1"/>
  <c r="L52" i="15"/>
  <c r="P47" i="15" s="1"/>
  <c r="I44" i="15"/>
  <c r="L68" i="15"/>
  <c r="P49" i="15" s="1"/>
  <c r="R27" i="11"/>
  <c r="R28" i="12"/>
  <c r="R15" i="14"/>
  <c r="R53" i="14"/>
  <c r="R50" i="14"/>
  <c r="R31" i="14"/>
  <c r="R30" i="14"/>
  <c r="R27" i="14"/>
  <c r="R14" i="14"/>
  <c r="R7" i="14"/>
  <c r="R3" i="14"/>
  <c r="M79" i="14"/>
  <c r="L79" i="14" s="1"/>
  <c r="M78" i="14"/>
  <c r="L78" i="14" s="1"/>
  <c r="M77" i="14"/>
  <c r="M82" i="14" s="1"/>
  <c r="L77" i="14"/>
  <c r="M71" i="14"/>
  <c r="L71" i="14" s="1"/>
  <c r="M70" i="14"/>
  <c r="M69" i="14"/>
  <c r="M74" i="14" s="1"/>
  <c r="L69" i="14"/>
  <c r="M63" i="14"/>
  <c r="L63" i="14" s="1"/>
  <c r="E63" i="14"/>
  <c r="C63" i="14"/>
  <c r="M62" i="14"/>
  <c r="L62" i="14" s="1"/>
  <c r="M61" i="14"/>
  <c r="M66" i="14" s="1"/>
  <c r="L61" i="14"/>
  <c r="H61" i="14"/>
  <c r="E61" i="14"/>
  <c r="E64" i="14" s="1"/>
  <c r="H60" i="14"/>
  <c r="H59" i="14"/>
  <c r="Q58" i="14"/>
  <c r="P58" i="14"/>
  <c r="O58" i="14"/>
  <c r="N58" i="14"/>
  <c r="M58" i="14"/>
  <c r="L58" i="14"/>
  <c r="K58" i="14"/>
  <c r="J58" i="14"/>
  <c r="H58" i="14"/>
  <c r="G58" i="14"/>
  <c r="D58" i="14"/>
  <c r="I44" i="14"/>
  <c r="I25" i="14"/>
  <c r="I55" i="14"/>
  <c r="I24" i="14"/>
  <c r="I23" i="14"/>
  <c r="I43" i="14"/>
  <c r="I22" i="14"/>
  <c r="I42" i="14"/>
  <c r="I54" i="14"/>
  <c r="I53" i="14"/>
  <c r="I21" i="14"/>
  <c r="I41" i="14"/>
  <c r="I20" i="14"/>
  <c r="I40" i="14"/>
  <c r="I52" i="14"/>
  <c r="I39" i="14"/>
  <c r="I19" i="14"/>
  <c r="I18" i="14"/>
  <c r="I17" i="14"/>
  <c r="I16" i="14"/>
  <c r="I38" i="14"/>
  <c r="I15" i="14"/>
  <c r="I14" i="14"/>
  <c r="I13" i="14"/>
  <c r="I37" i="14"/>
  <c r="I51" i="14"/>
  <c r="I36" i="14"/>
  <c r="I12" i="14"/>
  <c r="I50" i="14"/>
  <c r="I11" i="14"/>
  <c r="I35" i="14"/>
  <c r="I34" i="14"/>
  <c r="I33" i="14"/>
  <c r="I32" i="14"/>
  <c r="I31" i="14"/>
  <c r="I10" i="14"/>
  <c r="I49" i="14"/>
  <c r="I48" i="14"/>
  <c r="I30" i="14"/>
  <c r="I29" i="14"/>
  <c r="I9" i="14"/>
  <c r="I47" i="14"/>
  <c r="I8" i="14"/>
  <c r="I7" i="14"/>
  <c r="I6" i="14"/>
  <c r="I5" i="14"/>
  <c r="I28" i="14"/>
  <c r="I46" i="14"/>
  <c r="I45" i="14"/>
  <c r="I4" i="14"/>
  <c r="I3" i="14"/>
  <c r="I27" i="14"/>
  <c r="I26" i="14"/>
  <c r="R7" i="13"/>
  <c r="P52" i="15" l="1"/>
  <c r="I58" i="14"/>
  <c r="L74" i="14"/>
  <c r="P62" i="14" s="1"/>
  <c r="L66" i="14"/>
  <c r="P61" i="14" s="1"/>
  <c r="C61" i="14"/>
  <c r="C64" i="14" s="1"/>
  <c r="C68" i="14" s="1"/>
  <c r="P64" i="14" s="1"/>
  <c r="L82" i="14"/>
  <c r="P63" i="14" s="1"/>
  <c r="J111" i="13"/>
  <c r="J110" i="13"/>
  <c r="I112" i="13"/>
  <c r="I111" i="13"/>
  <c r="I110" i="13"/>
  <c r="R71" i="13"/>
  <c r="R56" i="13"/>
  <c r="R50" i="13"/>
  <c r="R49" i="13"/>
  <c r="R47" i="13"/>
  <c r="R37" i="13"/>
  <c r="R24" i="13"/>
  <c r="R21" i="13"/>
  <c r="R19" i="13"/>
  <c r="R10" i="13"/>
  <c r="R9" i="13"/>
  <c r="R3" i="13"/>
  <c r="M138" i="13"/>
  <c r="L138" i="13" s="1"/>
  <c r="M137" i="13"/>
  <c r="L137" i="13" s="1"/>
  <c r="M136" i="13"/>
  <c r="M141" i="13" s="1"/>
  <c r="L136" i="13"/>
  <c r="M130" i="13"/>
  <c r="L130" i="13" s="1"/>
  <c r="M129" i="13"/>
  <c r="L129" i="13" s="1"/>
  <c r="M128" i="13"/>
  <c r="M133" i="13" s="1"/>
  <c r="L128" i="13"/>
  <c r="M122" i="13"/>
  <c r="L122" i="13" s="1"/>
  <c r="M121" i="13"/>
  <c r="M126" i="13" s="1"/>
  <c r="M120" i="13"/>
  <c r="L120" i="13"/>
  <c r="M114" i="13"/>
  <c r="L114" i="13" s="1"/>
  <c r="E114" i="13"/>
  <c r="M113" i="13"/>
  <c r="L113" i="13" s="1"/>
  <c r="M112" i="13"/>
  <c r="M117" i="13" s="1"/>
  <c r="L112" i="13"/>
  <c r="H112" i="13"/>
  <c r="E112" i="13"/>
  <c r="E115" i="13" s="1"/>
  <c r="H111" i="13"/>
  <c r="H110" i="13"/>
  <c r="Q109" i="13"/>
  <c r="P109" i="13"/>
  <c r="O109" i="13"/>
  <c r="N109" i="13"/>
  <c r="M109" i="13"/>
  <c r="L109" i="13"/>
  <c r="K109" i="13"/>
  <c r="J109" i="13"/>
  <c r="H109" i="13"/>
  <c r="G109" i="13"/>
  <c r="D109" i="13"/>
  <c r="I75" i="13"/>
  <c r="I74" i="13"/>
  <c r="I11" i="13"/>
  <c r="I107" i="13"/>
  <c r="I106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57" i="13"/>
  <c r="I10" i="13"/>
  <c r="I56" i="13"/>
  <c r="I9" i="13"/>
  <c r="I73" i="13"/>
  <c r="I36" i="13"/>
  <c r="I35" i="13"/>
  <c r="I72" i="13"/>
  <c r="I7" i="13"/>
  <c r="I55" i="13"/>
  <c r="I54" i="13"/>
  <c r="I34" i="13"/>
  <c r="I8" i="13"/>
  <c r="I33" i="13"/>
  <c r="I71" i="13"/>
  <c r="I32" i="13"/>
  <c r="I53" i="13"/>
  <c r="I31" i="13"/>
  <c r="I52" i="13"/>
  <c r="I30" i="13"/>
  <c r="I29" i="13"/>
  <c r="I28" i="13"/>
  <c r="I27" i="13"/>
  <c r="I26" i="13"/>
  <c r="I51" i="13"/>
  <c r="I50" i="13"/>
  <c r="I49" i="13"/>
  <c r="I25" i="13"/>
  <c r="I24" i="13"/>
  <c r="I48" i="13"/>
  <c r="I70" i="13"/>
  <c r="I23" i="13"/>
  <c r="I6" i="13"/>
  <c r="I47" i="13"/>
  <c r="I46" i="13"/>
  <c r="I22" i="13"/>
  <c r="I69" i="13"/>
  <c r="I21" i="13"/>
  <c r="I68" i="13"/>
  <c r="I20" i="13"/>
  <c r="I19" i="13"/>
  <c r="I45" i="13"/>
  <c r="I67" i="13"/>
  <c r="I18" i="13"/>
  <c r="I5" i="13"/>
  <c r="I44" i="13"/>
  <c r="I43" i="13"/>
  <c r="I17" i="13"/>
  <c r="I16" i="13"/>
  <c r="I15" i="13"/>
  <c r="I66" i="13"/>
  <c r="I65" i="13"/>
  <c r="I42" i="13"/>
  <c r="I64" i="13"/>
  <c r="I41" i="13"/>
  <c r="I63" i="13"/>
  <c r="I14" i="13"/>
  <c r="I62" i="13"/>
  <c r="I13" i="13"/>
  <c r="I61" i="13"/>
  <c r="I40" i="13"/>
  <c r="I60" i="13"/>
  <c r="I59" i="13"/>
  <c r="I4" i="13"/>
  <c r="I39" i="13"/>
  <c r="I38" i="13"/>
  <c r="I3" i="13"/>
  <c r="I37" i="13"/>
  <c r="I12" i="13"/>
  <c r="I58" i="13"/>
  <c r="I1" i="13"/>
  <c r="P65" i="14" l="1"/>
  <c r="L126" i="13"/>
  <c r="P113" i="13" s="1"/>
  <c r="L121" i="13"/>
  <c r="C112" i="13"/>
  <c r="I109" i="13"/>
  <c r="L141" i="13"/>
  <c r="P115" i="13" s="1"/>
  <c r="L117" i="13"/>
  <c r="P112" i="13" s="1"/>
  <c r="L133" i="13"/>
  <c r="P114" i="13" s="1"/>
  <c r="C114" i="13"/>
  <c r="R35" i="12"/>
  <c r="R66" i="12"/>
  <c r="R58" i="12"/>
  <c r="R59" i="12"/>
  <c r="R44" i="12"/>
  <c r="R39" i="12"/>
  <c r="R33" i="12"/>
  <c r="R19" i="12"/>
  <c r="R77" i="12"/>
  <c r="R51" i="12"/>
  <c r="R43" i="12"/>
  <c r="R18" i="12"/>
  <c r="R15" i="12"/>
  <c r="R13" i="12"/>
  <c r="R64" i="12"/>
  <c r="R57" i="12"/>
  <c r="L108" i="11"/>
  <c r="H91" i="11"/>
  <c r="H90" i="11"/>
  <c r="H89" i="11"/>
  <c r="L107" i="11"/>
  <c r="M108" i="11"/>
  <c r="M107" i="11"/>
  <c r="M112" i="11" s="1"/>
  <c r="R51" i="11"/>
  <c r="R31" i="11"/>
  <c r="R12" i="11"/>
  <c r="R72" i="11"/>
  <c r="R71" i="11"/>
  <c r="R67" i="11"/>
  <c r="R63" i="11"/>
  <c r="R62" i="11"/>
  <c r="R54" i="11"/>
  <c r="R45" i="11"/>
  <c r="R43" i="11"/>
  <c r="R41" i="11"/>
  <c r="R38" i="11"/>
  <c r="R35" i="11"/>
  <c r="R30" i="11"/>
  <c r="R24" i="11"/>
  <c r="R21" i="11"/>
  <c r="R11" i="11"/>
  <c r="R3" i="11"/>
  <c r="M105" i="12"/>
  <c r="L105" i="12" s="1"/>
  <c r="M104" i="12"/>
  <c r="L104" i="12" s="1"/>
  <c r="M103" i="12"/>
  <c r="M108" i="12" s="1"/>
  <c r="L103" i="12"/>
  <c r="M97" i="12"/>
  <c r="L97" i="12" s="1"/>
  <c r="M96" i="12"/>
  <c r="M95" i="12"/>
  <c r="M100" i="12" s="1"/>
  <c r="L95" i="12"/>
  <c r="M89" i="12"/>
  <c r="L89" i="12" s="1"/>
  <c r="E89" i="12"/>
  <c r="M88" i="12"/>
  <c r="L88" i="12" s="1"/>
  <c r="M87" i="12"/>
  <c r="M92" i="12" s="1"/>
  <c r="L87" i="12"/>
  <c r="H87" i="12"/>
  <c r="E87" i="12"/>
  <c r="E90" i="12" s="1"/>
  <c r="H86" i="12"/>
  <c r="H85" i="12"/>
  <c r="Q84" i="12"/>
  <c r="P84" i="12"/>
  <c r="O84" i="12"/>
  <c r="N84" i="12"/>
  <c r="M84" i="12"/>
  <c r="L84" i="12"/>
  <c r="K84" i="12"/>
  <c r="J84" i="12"/>
  <c r="H84" i="12"/>
  <c r="G84" i="12"/>
  <c r="D84" i="12"/>
  <c r="I82" i="12"/>
  <c r="I81" i="12"/>
  <c r="I80" i="12"/>
  <c r="I34" i="12"/>
  <c r="I56" i="12"/>
  <c r="I78" i="12"/>
  <c r="I55" i="12"/>
  <c r="I33" i="12"/>
  <c r="I32" i="12"/>
  <c r="I54" i="12"/>
  <c r="I77" i="12"/>
  <c r="I31" i="12"/>
  <c r="I30" i="12"/>
  <c r="I76" i="12"/>
  <c r="I53" i="12"/>
  <c r="I75" i="12"/>
  <c r="I29" i="12"/>
  <c r="I74" i="12"/>
  <c r="I73" i="12"/>
  <c r="I28" i="12"/>
  <c r="I52" i="12"/>
  <c r="I51" i="12"/>
  <c r="I27" i="12"/>
  <c r="I26" i="12"/>
  <c r="I25" i="12"/>
  <c r="I24" i="12"/>
  <c r="I23" i="12"/>
  <c r="I72" i="12"/>
  <c r="I71" i="12"/>
  <c r="I70" i="12"/>
  <c r="I22" i="12"/>
  <c r="I69" i="12"/>
  <c r="I21" i="12"/>
  <c r="I20" i="12"/>
  <c r="I19" i="12"/>
  <c r="I18" i="12"/>
  <c r="I68" i="12"/>
  <c r="I67" i="12"/>
  <c r="I66" i="12"/>
  <c r="I50" i="12"/>
  <c r="I65" i="12"/>
  <c r="I17" i="12"/>
  <c r="I49" i="12"/>
  <c r="I48" i="12"/>
  <c r="I47" i="12"/>
  <c r="I16" i="12"/>
  <c r="I15" i="12"/>
  <c r="I46" i="12"/>
  <c r="I64" i="12"/>
  <c r="I58" i="12"/>
  <c r="I45" i="12"/>
  <c r="I14" i="12"/>
  <c r="I63" i="12"/>
  <c r="I62" i="12"/>
  <c r="I61" i="12"/>
  <c r="I13" i="12"/>
  <c r="I60" i="12"/>
  <c r="I12" i="12"/>
  <c r="I44" i="12"/>
  <c r="I11" i="12"/>
  <c r="I59" i="12"/>
  <c r="I43" i="12"/>
  <c r="I10" i="12"/>
  <c r="I9" i="12"/>
  <c r="I8" i="12"/>
  <c r="I42" i="12"/>
  <c r="I57" i="12"/>
  <c r="I41" i="12"/>
  <c r="I40" i="12"/>
  <c r="I39" i="12"/>
  <c r="I38" i="12"/>
  <c r="I7" i="12"/>
  <c r="I37" i="12"/>
  <c r="I6" i="12"/>
  <c r="I5" i="12"/>
  <c r="I79" i="12"/>
  <c r="I4" i="12"/>
  <c r="I3" i="12"/>
  <c r="I36" i="12"/>
  <c r="I35" i="12"/>
  <c r="M101" i="11"/>
  <c r="L101" i="11" s="1"/>
  <c r="M100" i="11"/>
  <c r="L100" i="11" s="1"/>
  <c r="M99" i="11"/>
  <c r="M104" i="11" s="1"/>
  <c r="L99" i="11"/>
  <c r="M93" i="11"/>
  <c r="L93" i="11" s="1"/>
  <c r="E93" i="11"/>
  <c r="M92" i="11"/>
  <c r="L92" i="11" s="1"/>
  <c r="M91" i="11"/>
  <c r="M96" i="11" s="1"/>
  <c r="L91" i="11"/>
  <c r="E91" i="11"/>
  <c r="E94" i="11" s="1"/>
  <c r="Q88" i="11"/>
  <c r="P88" i="11"/>
  <c r="O88" i="11"/>
  <c r="N88" i="11"/>
  <c r="M88" i="11"/>
  <c r="L88" i="11"/>
  <c r="K88" i="11"/>
  <c r="J88" i="11"/>
  <c r="H88" i="11"/>
  <c r="G88" i="11"/>
  <c r="D88" i="11"/>
  <c r="I86" i="11"/>
  <c r="I85" i="11"/>
  <c r="I84" i="11"/>
  <c r="I83" i="11"/>
  <c r="I82" i="11"/>
  <c r="I81" i="11"/>
  <c r="I80" i="11"/>
  <c r="I79" i="11"/>
  <c r="I78" i="11"/>
  <c r="I77" i="11"/>
  <c r="I76" i="11"/>
  <c r="C93" i="11" s="1"/>
  <c r="I75" i="11"/>
  <c r="I74" i="11"/>
  <c r="I34" i="11"/>
  <c r="I33" i="11"/>
  <c r="I32" i="11"/>
  <c r="I31" i="11"/>
  <c r="I30" i="11"/>
  <c r="I29" i="11"/>
  <c r="I52" i="11"/>
  <c r="I28" i="11"/>
  <c r="I27" i="11"/>
  <c r="I51" i="11"/>
  <c r="I50" i="11"/>
  <c r="I26" i="11"/>
  <c r="I73" i="11"/>
  <c r="I49" i="11"/>
  <c r="I72" i="11"/>
  <c r="I71" i="11"/>
  <c r="I25" i="11"/>
  <c r="I70" i="11"/>
  <c r="I48" i="11"/>
  <c r="I69" i="11"/>
  <c r="I24" i="11"/>
  <c r="I68" i="11"/>
  <c r="I23" i="11"/>
  <c r="I67" i="11"/>
  <c r="I22" i="11"/>
  <c r="I47" i="11"/>
  <c r="I46" i="11"/>
  <c r="I45" i="11"/>
  <c r="I66" i="11"/>
  <c r="I21" i="11"/>
  <c r="I65" i="11"/>
  <c r="I64" i="11"/>
  <c r="I20" i="11"/>
  <c r="I44" i="11"/>
  <c r="I19" i="11"/>
  <c r="I18" i="11"/>
  <c r="I43" i="11"/>
  <c r="I42" i="11"/>
  <c r="I17" i="11"/>
  <c r="I16" i="11"/>
  <c r="I63" i="11"/>
  <c r="I15" i="11"/>
  <c r="I14" i="11"/>
  <c r="I13" i="11"/>
  <c r="I12" i="11"/>
  <c r="I11" i="11"/>
  <c r="I62" i="11"/>
  <c r="I61" i="11"/>
  <c r="I41" i="11"/>
  <c r="I60" i="11"/>
  <c r="I40" i="11"/>
  <c r="I59" i="11"/>
  <c r="I39" i="11"/>
  <c r="I58" i="11"/>
  <c r="I10" i="11"/>
  <c r="I38" i="11"/>
  <c r="I9" i="11"/>
  <c r="I8" i="11"/>
  <c r="I7" i="11"/>
  <c r="I57" i="11"/>
  <c r="I6" i="11"/>
  <c r="I37" i="11"/>
  <c r="I5" i="11"/>
  <c r="I4" i="11"/>
  <c r="I3" i="11"/>
  <c r="I36" i="11"/>
  <c r="I56" i="11"/>
  <c r="I55" i="11"/>
  <c r="I54" i="11"/>
  <c r="I35" i="11"/>
  <c r="C91" i="11" s="1"/>
  <c r="I53" i="11"/>
  <c r="R17" i="10"/>
  <c r="R12" i="10"/>
  <c r="R9" i="10"/>
  <c r="R8" i="10"/>
  <c r="R7" i="10"/>
  <c r="R10" i="10"/>
  <c r="I13" i="10"/>
  <c r="I8" i="10"/>
  <c r="I14" i="10"/>
  <c r="I3" i="10"/>
  <c r="I15" i="10"/>
  <c r="I4" i="10"/>
  <c r="I16" i="10"/>
  <c r="I9" i="10"/>
  <c r="I5" i="10"/>
  <c r="I10" i="10"/>
  <c r="I6" i="10"/>
  <c r="I11" i="10"/>
  <c r="I17" i="10"/>
  <c r="I12" i="10"/>
  <c r="I7" i="10"/>
  <c r="D19" i="10"/>
  <c r="G19" i="10"/>
  <c r="H19" i="10"/>
  <c r="J19" i="10"/>
  <c r="K19" i="10"/>
  <c r="L19" i="10"/>
  <c r="M19" i="10"/>
  <c r="N19" i="10"/>
  <c r="O19" i="10"/>
  <c r="P19" i="10"/>
  <c r="Q19" i="10"/>
  <c r="H20" i="10"/>
  <c r="H21" i="10"/>
  <c r="E22" i="10"/>
  <c r="E25" i="10" s="1"/>
  <c r="L22" i="10"/>
  <c r="M22" i="10"/>
  <c r="M27" i="10" s="1"/>
  <c r="L23" i="10"/>
  <c r="M23" i="10"/>
  <c r="C24" i="10"/>
  <c r="E24" i="10"/>
  <c r="M24" i="10"/>
  <c r="L24" i="10" s="1"/>
  <c r="L30" i="10"/>
  <c r="M30" i="10"/>
  <c r="M35" i="10" s="1"/>
  <c r="M31" i="10"/>
  <c r="L31" i="10" s="1"/>
  <c r="M32" i="10"/>
  <c r="L32" i="10" s="1"/>
  <c r="L38" i="10"/>
  <c r="M38" i="10"/>
  <c r="M43" i="10" s="1"/>
  <c r="M39" i="10"/>
  <c r="L39" i="10" s="1"/>
  <c r="M40" i="10"/>
  <c r="L40" i="10" s="1"/>
  <c r="A3" i="2" a="1"/>
  <c r="C115" i="13" l="1"/>
  <c r="C119" i="13" s="1"/>
  <c r="P116" i="13" s="1"/>
  <c r="P118" i="13" s="1"/>
  <c r="L96" i="12"/>
  <c r="C89" i="12"/>
  <c r="C87" i="12"/>
  <c r="C90" i="12" s="1"/>
  <c r="C94" i="12" s="1"/>
  <c r="P90" i="12" s="1"/>
  <c r="I84" i="12"/>
  <c r="L100" i="12"/>
  <c r="P88" i="12" s="1"/>
  <c r="L112" i="11"/>
  <c r="P91" i="11" s="1"/>
  <c r="L96" i="11"/>
  <c r="P93" i="11" s="1"/>
  <c r="C94" i="11"/>
  <c r="C98" i="11" s="1"/>
  <c r="P94" i="11" s="1"/>
  <c r="I88" i="11"/>
  <c r="L108" i="12"/>
  <c r="P89" i="12" s="1"/>
  <c r="L92" i="12"/>
  <c r="P87" i="12" s="1"/>
  <c r="L104" i="11"/>
  <c r="P92" i="11" s="1"/>
  <c r="A3" i="2"/>
  <c r="C22" i="10"/>
  <c r="C25" i="10" s="1"/>
  <c r="C29" i="10" s="1"/>
  <c r="P25" i="10" s="1"/>
  <c r="L35" i="10"/>
  <c r="P23" i="10" s="1"/>
  <c r="L43" i="10"/>
  <c r="P24" i="10" s="1"/>
  <c r="L27" i="10"/>
  <c r="P22" i="10" s="1"/>
  <c r="I19" i="10"/>
  <c r="C20" i="2"/>
  <c r="C6" i="2"/>
  <c r="C9" i="2"/>
  <c r="C13" i="2"/>
  <c r="C4" i="2"/>
  <c r="D17" i="2" a="1"/>
  <c r="B20" i="2"/>
  <c r="B13" i="2"/>
  <c r="C12" i="2"/>
  <c r="C15" i="2"/>
  <c r="B25" i="2"/>
  <c r="D26" i="2" a="1"/>
  <c r="C3" i="2"/>
  <c r="B19" i="2"/>
  <c r="D11" i="2" a="1"/>
  <c r="C24" i="2"/>
  <c r="B27" i="2"/>
  <c r="B6" i="2"/>
  <c r="D6" i="2" a="1"/>
  <c r="D24" i="2" a="1"/>
  <c r="D14" i="2" a="1"/>
  <c r="D9" i="2" a="1"/>
  <c r="D15" i="2" a="1"/>
  <c r="C22" i="2"/>
  <c r="C14" i="2"/>
  <c r="B8" i="2"/>
  <c r="B17" i="2"/>
  <c r="B15" i="2"/>
  <c r="C25" i="2"/>
  <c r="D13" i="2" a="1"/>
  <c r="C21" i="2"/>
  <c r="C18" i="2"/>
  <c r="D18" i="2" a="1"/>
  <c r="C27" i="2"/>
  <c r="B4" i="2"/>
  <c r="D16" i="2" a="1"/>
  <c r="D25" i="2" a="1"/>
  <c r="C5" i="2"/>
  <c r="B18" i="2"/>
  <c r="C11" i="2"/>
  <c r="B7" i="2"/>
  <c r="D27" i="2" a="1"/>
  <c r="C19" i="2"/>
  <c r="B24" i="2"/>
  <c r="B12" i="2"/>
  <c r="C10" i="2"/>
  <c r="C8" i="2"/>
  <c r="B11" i="2"/>
  <c r="C17" i="2"/>
  <c r="D21" i="2" a="1"/>
  <c r="B22" i="2"/>
  <c r="D20" i="2" a="1"/>
  <c r="D19" i="2" a="1"/>
  <c r="D4" i="2" a="1"/>
  <c r="D10" i="2" a="1"/>
  <c r="D8" i="2" a="1"/>
  <c r="B21" i="2"/>
  <c r="C26" i="2"/>
  <c r="D7" i="2" a="1"/>
  <c r="B16" i="2"/>
  <c r="B10" i="2"/>
  <c r="B14" i="2"/>
  <c r="B23" i="2"/>
  <c r="C16" i="2"/>
  <c r="B5" i="2"/>
  <c r="B9" i="2"/>
  <c r="D12" i="2" a="1"/>
  <c r="D23" i="2" a="1"/>
  <c r="B26" i="2"/>
  <c r="C23" i="2"/>
  <c r="D22" i="2" a="1"/>
  <c r="D5" i="2" a="1"/>
  <c r="C7" i="2"/>
  <c r="D27" i="2" l="1"/>
  <c r="E27" i="2" s="1"/>
  <c r="D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P91" i="12"/>
  <c r="P95" i="11"/>
  <c r="P26" i="10"/>
  <c r="D3" i="2" a="1"/>
  <c r="B3" i="2"/>
  <c r="E29" i="2" a="1"/>
  <c r="E29" i="2" l="1"/>
  <c r="D3" i="2"/>
  <c r="E3" i="2"/>
  <c r="E28" i="2" l="1"/>
  <c r="E30" i="2" s="1"/>
  <c r="E3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<sst xmlns="http://schemas.openxmlformats.org/spreadsheetml/2006/main" count="12069" uniqueCount="3427">
  <si>
    <t>THÁNG 9</t>
  </si>
  <si>
    <t>NGÀY</t>
  </si>
  <si>
    <t>ĐƠN NHẬN</t>
  </si>
  <si>
    <t>ĐƠN GỘP</t>
  </si>
  <si>
    <t>ĐƠN TRẢ</t>
  </si>
  <si>
    <t>ĐƠN GIAO ĐƯỢC</t>
  </si>
  <si>
    <t>Số đơn thành công</t>
  </si>
  <si>
    <t>Doanh thu</t>
  </si>
  <si>
    <t>Lương</t>
  </si>
  <si>
    <t>Lợi nhuận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</si>
  <si>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</si>
  <si>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</si>
  <si>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</si>
  <si>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</si>
  <si>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</si>
  <si>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</si>
  <si>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</si>
  <si>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</si>
  <si>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</si>
  <si>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</si>
  <si>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</si>
  <si>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</si>
  <si>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</si>
  <si>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</si>
  <si>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</si>
  <si>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</si>
  <si>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</si>
  <si>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Nguyet</t>
  </si>
  <si>
    <t>HD054670</t>
  </si>
  <si>
    <t>Toà nhà lux 6...Vinhomes Gollen River (Bason), 2 Nguyễn Hữu Cảnh, P. Bến Nghé</t>
  </si>
  <si>
    <t>AT 03-09</t>
  </si>
  <si>
    <t>c.cuong</t>
  </si>
  <si>
    <t>03-09-2026</t>
  </si>
  <si>
    <t>Trang nguyen-sale</t>
  </si>
  <si>
    <t>HD054669</t>
  </si>
  <si>
    <t>114/95/3 Tô Ngọc Vân, P. An Hội Đông</t>
  </si>
  <si>
    <t>go vap</t>
  </si>
  <si>
    <t>đổi hàng</t>
  </si>
  <si>
    <t>Ngọc Thanh sale</t>
  </si>
  <si>
    <t>HD054686</t>
  </si>
  <si>
    <t>177/27 đường 3/2 phường vườn lài</t>
  </si>
  <si>
    <t>c.hieu</t>
  </si>
  <si>
    <t>Thuy An Dao sale</t>
  </si>
  <si>
    <t>HD054680</t>
  </si>
  <si>
    <t>Sảnh B2 chung cư Emerald phường Sơn Kỳ</t>
  </si>
  <si>
    <t>tan phu</t>
  </si>
  <si>
    <t>Thu Thảo</t>
  </si>
  <si>
    <t>HD054744</t>
  </si>
  <si>
    <t>34/14 Trần minh quyền Phường vườn lài</t>
  </si>
  <si>
    <t>Như Ý Nguyen sale</t>
  </si>
  <si>
    <t>HD054733</t>
  </si>
  <si>
    <t>4 đào trí phường Phú thuận</t>
  </si>
  <si>
    <t>Đỗ Thúy sale</t>
  </si>
  <si>
    <t>HD054719</t>
  </si>
  <si>
    <t>540 lê văn sỹ</t>
  </si>
  <si>
    <t>Phạm Dung sale</t>
  </si>
  <si>
    <t>HD054736</t>
  </si>
  <si>
    <t>208 nguyễn hữu cảnh phường 22 chung cư vinhome toà landmark 5</t>
  </si>
  <si>
    <t>binh thanh</t>
  </si>
  <si>
    <t>shop chịu ship</t>
  </si>
  <si>
    <t>Khánh Băng sale</t>
  </si>
  <si>
    <t>HD054696</t>
  </si>
  <si>
    <t>số 1 dương bá trạc p1</t>
  </si>
  <si>
    <t>Lam Van-sale</t>
  </si>
  <si>
    <t>HD054697</t>
  </si>
  <si>
    <t>3/4 nguyễn văn thương p thạnh mỹ tây</t>
  </si>
  <si>
    <t>hàng sỉ</t>
  </si>
  <si>
    <t>MIE</t>
  </si>
  <si>
    <t>275/14B1 Đặng Nguyên Cẩn, Phường Phú Lâm</t>
  </si>
  <si>
    <t>lấy đồ về</t>
  </si>
  <si>
    <t>Tòa Landmark4 208 Nguyễn Hữu Cảnh p22</t>
  </si>
  <si>
    <t>MINZZY</t>
  </si>
  <si>
    <t>XE TOÀN THẮNG VỀ CÀ PHÊ PHONG LONG THÀNH ĐỒNG NAI</t>
  </si>
  <si>
    <t>Lê Thảo</t>
  </si>
  <si>
    <t>225 Thống Nhất, An Hội Đông (Trà sữa Tam Hảo)</t>
  </si>
  <si>
    <t>Minh Hai (Zalo: Shirley Woo)</t>
  </si>
  <si>
    <t>17 Street No. 13, Binh Hung Hoa Ward</t>
  </si>
  <si>
    <t>binh tan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</si>
  <si>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</si>
  <si>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</si>
  <si>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</si>
  <si>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</si>
  <si>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</si>
  <si>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</si>
  <si>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</si>
  <si>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at 03-09</t>
  </si>
  <si>
    <t>Trừ Ship</t>
  </si>
  <si>
    <t>tiền ship</t>
  </si>
  <si>
    <t>Đơn trả &amp; c.khoản</t>
  </si>
  <si>
    <t>tiền lấy</t>
  </si>
  <si>
    <t>Tiền Hàng Hcm</t>
  </si>
  <si>
    <t>đơn trả</t>
  </si>
  <si>
    <t>shop</t>
  </si>
  <si>
    <t>đền đơn</t>
  </si>
  <si>
    <t>đơn cũ ck</t>
  </si>
  <si>
    <t>tổng</t>
  </si>
  <si>
    <t>nợ cũ</t>
  </si>
  <si>
    <t>THANH TOÁN</t>
  </si>
  <si>
    <t>CK Đủ 100%</t>
  </si>
  <si>
    <t>Mr Thế (Zalo: Minh Tuệ)</t>
  </si>
  <si>
    <t>27/5 Quách Văn Tuấn, F12</t>
  </si>
  <si>
    <t>tan binh</t>
  </si>
  <si>
    <t>04-09-2026</t>
  </si>
  <si>
    <t>kim hoàng 0</t>
  </si>
  <si>
    <t>282/56 bùi hữu nghĩa p2</t>
  </si>
  <si>
    <t>Hoà Lê</t>
  </si>
  <si>
    <t>số 42/43-45 Nguyễn Minh Hoàng, phường 12</t>
  </si>
  <si>
    <t>Bình Trần</t>
  </si>
  <si>
    <t>41/8 Mai Lão Bạng, Phường 13</t>
  </si>
  <si>
    <t>Minea</t>
  </si>
  <si>
    <t>363 Hùng Vương, Phường 9</t>
  </si>
  <si>
    <t>Hoa Nguyen sale</t>
  </si>
  <si>
    <t>HD054789</t>
  </si>
  <si>
    <t>72 đường số 11, khu dân cư cityland, phường 10</t>
  </si>
  <si>
    <t>Lê Kim Khoẻ</t>
  </si>
  <si>
    <t>HD054891</t>
  </si>
  <si>
    <t>block C . Chung cư Conic Đông Nam Á. Đường số 2. Xã Bình Hưng (Xã Phong Phú cũ)</t>
  </si>
  <si>
    <t>binh chanh</t>
  </si>
  <si>
    <t>luu tra</t>
  </si>
  <si>
    <t>Thảo Ken</t>
  </si>
  <si>
    <t>26 Lê Văn Lương, Phước Kiểng</t>
  </si>
  <si>
    <t>nha be</t>
  </si>
  <si>
    <t>Quỳnh Hương sale</t>
  </si>
  <si>
    <t>HD054692</t>
  </si>
  <si>
    <t>70/21 đình nghi xuân, p bình rị đông</t>
  </si>
  <si>
    <t>Vân Anh (SALE WEB)</t>
  </si>
  <si>
    <t>HD054740</t>
  </si>
  <si>
    <t>25 Võ Văn Ngân Phường Thủ Đức</t>
  </si>
  <si>
    <t>thu duc</t>
  </si>
  <si>
    <t>Nguyễn Thị Thanh Quyên SALE WED T8</t>
  </si>
  <si>
    <t>HD054827</t>
  </si>
  <si>
    <t>57/7 Ấp Nam Lân, Bà Điểm</t>
  </si>
  <si>
    <t>hoc mon</t>
  </si>
  <si>
    <t>Khanh Dii</t>
  </si>
  <si>
    <t>HD054603</t>
  </si>
  <si>
    <t>số 1 Đinh Lễ, phường 13</t>
  </si>
  <si>
    <t>giảm kh 99k</t>
  </si>
  <si>
    <t>Nguyên Châu Phương Uyên sale</t>
  </si>
  <si>
    <t>HD054710</t>
  </si>
  <si>
    <t>84A1 Dương Đình Hội, P.Phước Long B</t>
  </si>
  <si>
    <t>Kim Tiên sale</t>
  </si>
  <si>
    <t>HD054848</t>
  </si>
  <si>
    <t>Chung cư emerald số 2 đường n4 phường sơn kỳ</t>
  </si>
  <si>
    <t>Di Ngân sale</t>
  </si>
  <si>
    <t>HD055074</t>
  </si>
  <si>
    <t>Toà Bs7 Vinhome Gread Grand Park Phường Long Bình</t>
  </si>
  <si>
    <t>Chi MeiMei-sale</t>
  </si>
  <si>
    <t>HD054852</t>
  </si>
  <si>
    <t>124/67/21B Xô Viết Nghệ Tĩnh phường Thạnh Mỹ Tây</t>
  </si>
  <si>
    <t>Yến Yến</t>
  </si>
  <si>
    <t>HD054889</t>
  </si>
  <si>
    <t>108 dương bá trạc p2</t>
  </si>
  <si>
    <t>Pon Nis</t>
  </si>
  <si>
    <t>HD042369</t>
  </si>
  <si>
    <t>82/23 đg` Ng~ Công Hoan, P. Cầu Kiệu</t>
  </si>
  <si>
    <t>phu nhuan</t>
  </si>
  <si>
    <t>Nguyễn Thị Phương Thảo sale</t>
  </si>
  <si>
    <t>HD054892</t>
  </si>
  <si>
    <t>villa pearl, đường Đ9, saigon pearl, 92 nguyễn hữu cảnh</t>
  </si>
  <si>
    <t>Viên Trương</t>
  </si>
  <si>
    <t>HD054777</t>
  </si>
  <si>
    <t>Xi Grand Court Block C. 258 lý thường kiệt phường 14</t>
  </si>
  <si>
    <t>Nguyễn thị minh thảo fb Tram Le-sale</t>
  </si>
  <si>
    <t>HD054805</t>
  </si>
  <si>
    <t>14/2 trần quang long,p19</t>
  </si>
  <si>
    <t>Thuỳ Dung sale</t>
  </si>
  <si>
    <t>HD054708</t>
  </si>
  <si>
    <t>391/33 sư vạn hạnh, phường hoà hưng</t>
  </si>
  <si>
    <t>Võ Thùy Linh sale</t>
  </si>
  <si>
    <t>HD054695</t>
  </si>
  <si>
    <t>269/8 phan huy ích p. An Hội Tây</t>
  </si>
  <si>
    <t>Nguyệt Quế</t>
  </si>
  <si>
    <t>HD054792</t>
  </si>
  <si>
    <t>346 bến vân đồn, phường vĩnh hội</t>
  </si>
  <si>
    <t>Sakithya_Ya</t>
  </si>
  <si>
    <t>HD054748</t>
  </si>
  <si>
    <t>363 Đ. Hùng Vương, Phường 9</t>
  </si>
  <si>
    <t>Dượng 9_FB: Kathy Nguyen sale</t>
  </si>
  <si>
    <t>HD054769</t>
  </si>
  <si>
    <t>so nha 300, Nguyễn duy, phường Chánh Hưng</t>
  </si>
  <si>
    <t>Ngoc My sale</t>
  </si>
  <si>
    <t>HD054906</t>
  </si>
  <si>
    <t>296 Hoà Bình</t>
  </si>
  <si>
    <t>Lucy paypy</t>
  </si>
  <si>
    <t>HD045055</t>
  </si>
  <si>
    <t>66 Đường số 17, phường 10</t>
  </si>
  <si>
    <t>Gia Mỹ sale</t>
  </si>
  <si>
    <t>HD055081</t>
  </si>
  <si>
    <t>85/35 Nguyễn Thị Xiếu, phường Tân Thuận ( Quẹo hẻm 85/29 rồi quẹo phải sẽ thấy số nhà 85/35 )</t>
  </si>
  <si>
    <t>Phương Trâm</t>
  </si>
  <si>
    <t>78/6u4 17 Lâm Văn Bền Tân Thuận</t>
  </si>
  <si>
    <t>Mỹ Giàu sale</t>
  </si>
  <si>
    <t>HD054722</t>
  </si>
  <si>
    <t>83/30 hồ hảo hớn</t>
  </si>
  <si>
    <t>Ngoc Venus SALE</t>
  </si>
  <si>
    <t>HD054645</t>
  </si>
  <si>
    <t>69 phổ tiểu nam, p Tân Phú</t>
  </si>
  <si>
    <t>Trân sale</t>
  </si>
  <si>
    <t>HD054727</t>
  </si>
  <si>
    <t>536/43/18/23 Âu Cơ P.10</t>
  </si>
  <si>
    <t>Nguyễn Hàn Thiên Nhi sale</t>
  </si>
  <si>
    <t>HD055004</t>
  </si>
  <si>
    <t>136D Mai chí thọ, phường An Phú (Note: quẹo hẻm Tú Lam chạy thẳng gặp ngã 3 queo phải chạy qua cầu là đến)</t>
  </si>
  <si>
    <t>Jenny Nguyen sale</t>
  </si>
  <si>
    <t>HD054800</t>
  </si>
  <si>
    <t>377/43 lê quang định, phường bình lợi trung</t>
  </si>
  <si>
    <t>Nguyễn Duyên sale</t>
  </si>
  <si>
    <t>HD055071</t>
  </si>
  <si>
    <t>72 đường 339 phước long B</t>
  </si>
  <si>
    <t>Mỹ Nhiên</t>
  </si>
  <si>
    <t>HD055021</t>
  </si>
  <si>
    <t>26 đường 11 phường an lạc</t>
  </si>
  <si>
    <t>Nguyen Minh Nguyet sale</t>
  </si>
  <si>
    <t>HD054687</t>
  </si>
  <si>
    <t>2c/37 bình quới f27</t>
  </si>
  <si>
    <t>Khánh Ngọc SALE WED T8</t>
  </si>
  <si>
    <t>HD054977</t>
  </si>
  <si>
    <t>297/1 Đặng Thúc Vịnh xã Đông Thạnh</t>
  </si>
  <si>
    <t>Thúy Tờ Rần</t>
  </si>
  <si>
    <t>HD055048</t>
  </si>
  <si>
    <t>68 nguyễn lâm f6</t>
  </si>
  <si>
    <t>Tiễu Shi sale</t>
  </si>
  <si>
    <t>HD054793</t>
  </si>
  <si>
    <t>149/14 lê thị riêng</t>
  </si>
  <si>
    <t>Jolly Ngô sale</t>
  </si>
  <si>
    <t>HD054995</t>
  </si>
  <si>
    <t>214/90 hàn hải nguyên, f9</t>
  </si>
  <si>
    <t>Ken Nguyen sale</t>
  </si>
  <si>
    <t>HD054560</t>
  </si>
  <si>
    <t>120/43 trường chinh p12</t>
  </si>
  <si>
    <t>Mai Ngọc Thuỷ Tiên sale</t>
  </si>
  <si>
    <t>HD054771</t>
  </si>
  <si>
    <t>58/20b Thống Nhất</t>
  </si>
  <si>
    <t>Gia Ngọc</t>
  </si>
  <si>
    <t>HD054732</t>
  </si>
  <si>
    <t>90/13/15 đường số 4.kp6.phường Hiệp Bình</t>
  </si>
  <si>
    <t>Vũ Ngọc Huyền sale</t>
  </si>
  <si>
    <t>HD054647</t>
  </si>
  <si>
    <t>111/34 đường 16 hiệp bình chánh</t>
  </si>
  <si>
    <t>Christy Lương sale</t>
  </si>
  <si>
    <t>HD054854</t>
  </si>
  <si>
    <t>1079 tạ quang bửu phường bình đông</t>
  </si>
  <si>
    <t>Nhi Tuyết</t>
  </si>
  <si>
    <t>68 đường A4, P. Bảy Hiền</t>
  </si>
  <si>
    <t>Lyn Trần</t>
  </si>
  <si>
    <t>HD054779</t>
  </si>
  <si>
    <t>124 đường 24b. Bình Trị Đông B</t>
  </si>
  <si>
    <t>Thanh Hương sale</t>
  </si>
  <si>
    <t>HD054847</t>
  </si>
  <si>
    <t>254 Điện Biên Phủ, phường Xuân Hoà (nha khoa TRUE DENTAL)</t>
  </si>
  <si>
    <t>Trang Hồ Vĩnh Như-sale</t>
  </si>
  <si>
    <t>HD054829</t>
  </si>
  <si>
    <t>35 đặng đức thuật, chung cư RIVERPARK PREMIER Block A, p.Tân Hưng</t>
  </si>
  <si>
    <t>Đàm Hiền</t>
  </si>
  <si>
    <t>HD054916</t>
  </si>
  <si>
    <t>108/69a trần quang diệu</t>
  </si>
  <si>
    <t>Nguyen Mimi sale</t>
  </si>
  <si>
    <t>HD054962</t>
  </si>
  <si>
    <t>577/9 J, đường Quốc lộ 13, Hiệp Bình</t>
  </si>
  <si>
    <t>Do Huyen sale</t>
  </si>
  <si>
    <t>HD055087</t>
  </si>
  <si>
    <t>3 hoa lan phường cầu kiệu</t>
  </si>
  <si>
    <t>Mỹ Trâm-sale</t>
  </si>
  <si>
    <t>HD054846</t>
  </si>
  <si>
    <t>A8/18 tổ 8 ấp 1 xã tân quý tây</t>
  </si>
  <si>
    <t>Ngọc Ánh Trần sale</t>
  </si>
  <si>
    <t>HD054634</t>
  </si>
  <si>
    <t>196 hoàng diệu phường 8</t>
  </si>
  <si>
    <t>Võ Như Quỳnh SALE</t>
  </si>
  <si>
    <t>HD054919</t>
  </si>
  <si>
    <t>133C Nguyễn Đình Chính Phường 8</t>
  </si>
  <si>
    <t>Trần Thu Thuỷ sale</t>
  </si>
  <si>
    <t>HD054773</t>
  </si>
  <si>
    <t>101/3/2a. Đường số 21 phường Thông Tây</t>
  </si>
  <si>
    <t>Kelly Phan</t>
  </si>
  <si>
    <t>HD054762</t>
  </si>
  <si>
    <t>240/6A lê thánh tôn bến thành</t>
  </si>
  <si>
    <t>Chloe D fb Dương Diệu Linh</t>
  </si>
  <si>
    <t>HD055059</t>
  </si>
  <si>
    <t>Chung cư Sunshine diamond river (noble crystal riverside) - 422 Đào Trí</t>
  </si>
  <si>
    <t>Nguyễn Thị Tú SALE</t>
  </si>
  <si>
    <t>HD054655</t>
  </si>
  <si>
    <t>11 bùi đình tuý, phường bình thạnh</t>
  </si>
  <si>
    <t>Đoan Trang sale</t>
  </si>
  <si>
    <t>HD054729</t>
  </si>
  <si>
    <t>Topaz 2 Saigon Pearl 92 Ng Hữu Cảnh p22</t>
  </si>
  <si>
    <t>Mai Trinh sale</t>
  </si>
  <si>
    <t>HD054984</t>
  </si>
  <si>
    <t>432A/40/2G Dương Bá Trạc, Phường Rạch Ông</t>
  </si>
  <si>
    <t>FB An An</t>
  </si>
  <si>
    <t>17 Đường số 13, Bình Hưng Hòa</t>
  </si>
  <si>
    <t>Ngọc Thao Bui sale</t>
  </si>
  <si>
    <t>HD054796</t>
  </si>
  <si>
    <t>383 nguyễn duy trinh</t>
  </si>
  <si>
    <t>Phương Thêu Đoàn sale</t>
  </si>
  <si>
    <t>HD054785</t>
  </si>
  <si>
    <t>32/33/9 Ông ích khiêm.p14</t>
  </si>
  <si>
    <t>Yến Yến- sale</t>
  </si>
  <si>
    <t>HD055024</t>
  </si>
  <si>
    <t>104-102 đường số 28 p bình trị đông b</t>
  </si>
  <si>
    <t>Trúc Linhh sale</t>
  </si>
  <si>
    <t>HD054845</t>
  </si>
  <si>
    <t>S10.06 Origami, Vinhomes grand park, phường long bình</t>
  </si>
  <si>
    <t>Thu Huong-sale</t>
  </si>
  <si>
    <t>HD054850</t>
  </si>
  <si>
    <t>29/2A đô đốc long, phú thọ hoà</t>
  </si>
  <si>
    <t>Vân MyMy</t>
  </si>
  <si>
    <t>HD054780</t>
  </si>
  <si>
    <t>107 nguyễn văn linh chung cư eco green lock H</t>
  </si>
  <si>
    <t>Diễm Hiền sale</t>
  </si>
  <si>
    <t>HD054759</t>
  </si>
  <si>
    <t>635/8 hương lộ 2 bình trị đông</t>
  </si>
  <si>
    <t>Ngọc Ngọc Sale</t>
  </si>
  <si>
    <t>HD054095</t>
  </si>
  <si>
    <t>156/5/27 tô hiến thành</t>
  </si>
  <si>
    <t>31-08-2026</t>
  </si>
  <si>
    <t>x</t>
  </si>
  <si>
    <t>xx</t>
  </si>
  <si>
    <t>Quỳnh Anh Lưu sale</t>
  </si>
  <si>
    <t>HD053149</t>
  </si>
  <si>
    <t>tk14/27 nguyễn cảnh chân</t>
  </si>
  <si>
    <t>29-08-2026</t>
  </si>
  <si>
    <t>Ngọc Anh Can Vu sale</t>
  </si>
  <si>
    <t>HD054578</t>
  </si>
  <si>
    <t>291 doan van bo p Xom Chieu</t>
  </si>
  <si>
    <t>quỳnh anh fbCatherine Phạm -sale</t>
  </si>
  <si>
    <t>HD053138</t>
  </si>
  <si>
    <t>91/18/5 Lê Văn Duyệt, P.1</t>
  </si>
  <si>
    <t>30-08-2026</t>
  </si>
  <si>
    <t>Thu Hằng sale</t>
  </si>
  <si>
    <t>HD051847</t>
  </si>
  <si>
    <t>71 nguyễn văn lượng, P.17</t>
  </si>
  <si>
    <t>28-08-2026</t>
  </si>
  <si>
    <t>Trang Phan sale</t>
  </si>
  <si>
    <t>HD051819</t>
  </si>
  <si>
    <t>162/25, Đường Nguyễn Văn Khối, Phường 8</t>
  </si>
  <si>
    <t>Lan Thanh sale</t>
  </si>
  <si>
    <t>HD051649</t>
  </si>
  <si>
    <t>92 nguyễn hữu cảnh, p22</t>
  </si>
  <si>
    <t>Phạm Thủy-sale</t>
  </si>
  <si>
    <t>HD050988</t>
  </si>
  <si>
    <t>74/14 nguyễn thái sơn, phường hạnh thông</t>
  </si>
  <si>
    <t>27-08-2026</t>
  </si>
  <si>
    <t>Trang nguyên-sale</t>
  </si>
  <si>
    <t>HD052077</t>
  </si>
  <si>
    <t>29/1a2 đường 36 p hiệp bình chánh</t>
  </si>
  <si>
    <t>Lê Phương Chuyên sale</t>
  </si>
  <si>
    <t>HD052237</t>
  </si>
  <si>
    <t>362A Nguyễn Văn Nghi</t>
  </si>
  <si>
    <t>Thể Phụng sale</t>
  </si>
  <si>
    <t>HD054059</t>
  </si>
  <si>
    <t>Chung cư Tecco Felice home đường Lê Thị Trung Phường An Phú</t>
  </si>
  <si>
    <t>Nguyễn Kim</t>
  </si>
  <si>
    <t>HD049193</t>
  </si>
  <si>
    <t>118/43 bạch đằng p24</t>
  </si>
  <si>
    <t>fb Phan Thanh Thúy Vân sale</t>
  </si>
  <si>
    <t>HD051245</t>
  </si>
  <si>
    <t>535 điện biên phủ, phường 25</t>
  </si>
  <si>
    <t>3 đơn</t>
  </si>
  <si>
    <t>10 đơn</t>
  </si>
  <si>
    <t>Lan</t>
  </si>
  <si>
    <t>HD054541</t>
  </si>
  <si>
    <t>58 Đường 36 Phường Bình Trưng</t>
  </si>
  <si>
    <t>05-09-2026</t>
  </si>
  <si>
    <t>Thii Ha Hoan-sale</t>
  </si>
  <si>
    <t>HD054933</t>
  </si>
  <si>
    <t>33, đường số 8,kp4, phường Hiệp Bình Phước</t>
  </si>
  <si>
    <t>Nguyễn Thúy Ái sale</t>
  </si>
  <si>
    <t>HD055275</t>
  </si>
  <si>
    <t>4949 nguyễn cửu phú, tân tạo a</t>
  </si>
  <si>
    <t>AT 05-09</t>
  </si>
  <si>
    <t>Phạm Phú Tâm sale wed t8</t>
  </si>
  <si>
    <t>HD055240</t>
  </si>
  <si>
    <t>25 Nguyễn Hữu Thọ, phường Tân Hưng, Sunrise Central ( tháp w2 )</t>
  </si>
  <si>
    <t>Hoài Anh sale</t>
  </si>
  <si>
    <t>HD055137</t>
  </si>
  <si>
    <t>Tổ 4 khối tân thành phường hội an tây</t>
  </si>
  <si>
    <t>tinh</t>
  </si>
  <si>
    <t>hàng tỉnh</t>
  </si>
  <si>
    <t>Nguyễn Ngọc Anh Thi sale wed t8</t>
  </si>
  <si>
    <t>HD055215</t>
  </si>
  <si>
    <t>Chung cư Sài Gòn MIA block A, đường 9A, KDC Trung Sơn Bình Hưng</t>
  </si>
  <si>
    <t>Thien fb May Nguyen</t>
  </si>
  <si>
    <t>HD055211</t>
  </si>
  <si>
    <t>Chung cư topaz city Khu A2 . Duong cao lo . P4</t>
  </si>
  <si>
    <t>Ngọc Thuỷ sale - SALE WEB</t>
  </si>
  <si>
    <t>HD055163</t>
  </si>
  <si>
    <t>B125.01 block B The Opera, 5 Đ. D6, KP 27, p An Khánh</t>
  </si>
  <si>
    <t>Châu Đinh</t>
  </si>
  <si>
    <t>HD055168</t>
  </si>
  <si>
    <t>19/5 Nguyễn Cửu Đàm f Tân Sơn Nhì</t>
  </si>
  <si>
    <t>Lê Thái An (SALE WEB)</t>
  </si>
  <si>
    <t>HD055027</t>
  </si>
  <si>
    <t>153/7 Nguyễn Thượng Hiền, P. Bình Lợi Trung</t>
  </si>
  <si>
    <t>tên Lan giao hàng cho Chị Hân Kha sale t8</t>
  </si>
  <si>
    <t>HD055073</t>
  </si>
  <si>
    <t>189 Đ. Nguyễn Văn Công, Hạnh Thông</t>
  </si>
  <si>
    <t>kh ck shop 1455k</t>
  </si>
  <si>
    <t>Tâm Vũ</t>
  </si>
  <si>
    <t>HD055176</t>
  </si>
  <si>
    <t>80/38 đường số 4, khu phố 32, phường Tam Bình (địa chỉ mới)</t>
  </si>
  <si>
    <t>Huyền Mini sale - SALE WEB</t>
  </si>
  <si>
    <t>HD055187</t>
  </si>
  <si>
    <t>141 tam hà phường tam phú</t>
  </si>
  <si>
    <t>Tố Tâm sale</t>
  </si>
  <si>
    <t>HD055202</t>
  </si>
  <si>
    <t>331 nguyễn trãi, p. Nguyễn Cư Trinh</t>
  </si>
  <si>
    <t>Anh Thư Crystal sale - ĐƠN THƯỜNG WEBSITE</t>
  </si>
  <si>
    <t>HD055305</t>
  </si>
  <si>
    <t>48/22 Nguyễn Thị Kiểu, phường Tân Thới Hiệp</t>
  </si>
  <si>
    <t>Bình An sale</t>
  </si>
  <si>
    <t>HD055327</t>
  </si>
  <si>
    <t>269 âu dương lân phương chánh hưng</t>
  </si>
  <si>
    <t>Chị Nhi Fb lee le</t>
  </si>
  <si>
    <t>1/1A Cầu xéo Tân Sơn Nhì</t>
  </si>
  <si>
    <t>Tina Nguyễn</t>
  </si>
  <si>
    <t>HD055245</t>
  </si>
  <si>
    <t>78 đường số 7 phường Bình Hưng Hòa</t>
  </si>
  <si>
    <t>HD055368</t>
  </si>
  <si>
    <t>269/8 phan huy ích p. An hội tây</t>
  </si>
  <si>
    <t>VIP-SREYEGNEGN NOEUN (Insta dalissd) - VIP</t>
  </si>
  <si>
    <t>HD048349</t>
  </si>
  <si>
    <t>Nhà xe Khải Nam</t>
  </si>
  <si>
    <t>gộp</t>
  </si>
  <si>
    <t>Sang</t>
  </si>
  <si>
    <t>HD050977</t>
  </si>
  <si>
    <t>349/175 Lê Đại Hành, P. Phú Thọ</t>
  </si>
  <si>
    <t>W3520 - Jajaa</t>
  </si>
  <si>
    <t>HD055237</t>
  </si>
  <si>
    <t>624 Lê thị riêng thới an</t>
  </si>
  <si>
    <t>Cindy Thúy sale</t>
  </si>
  <si>
    <t>HD055149</t>
  </si>
  <si>
    <t>Chung cư Topaz Garden, số 4 Trịnh Đình Thảo, Hòa Thạnh</t>
  </si>
  <si>
    <t>Trần Hương Giang</t>
  </si>
  <si>
    <t>HD055220</t>
  </si>
  <si>
    <t>Căn hộ tresor Sành OT3, 39 bến văn đồn</t>
  </si>
  <si>
    <t>Dương Hằng sale</t>
  </si>
  <si>
    <t>HD055157</t>
  </si>
  <si>
    <t>45b đường 28,long thanh my</t>
  </si>
  <si>
    <t>Trần Thị Kim Yến sale</t>
  </si>
  <si>
    <t>HD051882</t>
  </si>
  <si>
    <t>bida ox, lý chính thắng</t>
  </si>
  <si>
    <t>Nguyễn Chi sale</t>
  </si>
  <si>
    <t>HD055013</t>
  </si>
  <si>
    <t>295 Trường Chinh, p14</t>
  </si>
  <si>
    <t>Đặng Hiếu Giang sale web</t>
  </si>
  <si>
    <t>HD055243</t>
  </si>
  <si>
    <t>84/11 Nguyễn biểu phường một</t>
  </si>
  <si>
    <t>Hồng Diễm</t>
  </si>
  <si>
    <t>HD054770</t>
  </si>
  <si>
    <t>502/61 Huỳnh tấn phát . Bình thuận</t>
  </si>
  <si>
    <t>Chloe Nguyen-sale</t>
  </si>
  <si>
    <t>HD055156</t>
  </si>
  <si>
    <t>88, Đường 29, Khu Phố 2, Linh Đông</t>
  </si>
  <si>
    <t>HD052201</t>
  </si>
  <si>
    <t>Đào Ngọc Trân</t>
  </si>
  <si>
    <t>HD054963</t>
  </si>
  <si>
    <t>221/7/2 đường đất thánh p6</t>
  </si>
  <si>
    <t>Thuỷ Tiên</t>
  </si>
  <si>
    <t>HD055146</t>
  </si>
  <si>
    <t>353/4 Đinh Bộ Lĩnh, P.26</t>
  </si>
  <si>
    <t>Như Ý</t>
  </si>
  <si>
    <t>4 Đào Trí - Phú Thuận</t>
  </si>
  <si>
    <t>nguyên Minh Vương - fb Marianna Ngo sale</t>
  </si>
  <si>
    <t>HD054774</t>
  </si>
  <si>
    <t>77/28/63 đường so 9, phường Bình Hưng Hòa</t>
  </si>
  <si>
    <t>Tran Thi Thuy Trang sale web</t>
  </si>
  <si>
    <t>HD055300</t>
  </si>
  <si>
    <t>184 nguyễn xí- cc Bắc Đinh Bộ Lĩnh - lô A82 căn cầu thang cuối cùng, Phường 26</t>
  </si>
  <si>
    <t>Quyên Huỳnh (SALE WEB)</t>
  </si>
  <si>
    <t>HD055080</t>
  </si>
  <si>
    <t>Block P3, CityLand Park Hills, Phường Gò Vấp</t>
  </si>
  <si>
    <t>Khánh Băng-sale</t>
  </si>
  <si>
    <t>HD055222</t>
  </si>
  <si>
    <t>304/10/1g, Hẻm 304 Đường Số 8, Khu Phố 6, Phường Bình Hưng Hòa</t>
  </si>
  <si>
    <t>ng huu duc zalo havy havy</t>
  </si>
  <si>
    <t>HD055145</t>
  </si>
  <si>
    <t>Hoàng Anh Thu sale</t>
  </si>
  <si>
    <t>HD055141</t>
  </si>
  <si>
    <t>33 đường 44 phường An Hội Tây</t>
  </si>
  <si>
    <t>HD055266</t>
  </si>
  <si>
    <t>tran hang my(X391)</t>
  </si>
  <si>
    <t>HD055295</t>
  </si>
  <si>
    <t>5/5 Nguyễn Văn Vĩnh, phường Tân Sơn Nhất</t>
  </si>
  <si>
    <t>Kieu Le</t>
  </si>
  <si>
    <t>HD055347</t>
  </si>
  <si>
    <t>3/1 Thành Thái, phường Diên Hồng</t>
  </si>
  <si>
    <t>HD054993</t>
  </si>
  <si>
    <t>904/19 Nguyễn Duy P12</t>
  </si>
  <si>
    <t>TrỢ LÍ ZISHAN – Ngọc A2.19.10</t>
  </si>
  <si>
    <t>HD055123</t>
  </si>
  <si>
    <t>lock A2 căn A2.19.10 Chung cư SG Riverside, Block A2- U2, 04 Đào Trí, Phú Thuận</t>
  </si>
  <si>
    <t>Lisa Ng sale - SALE WEB</t>
  </si>
  <si>
    <t>HD055352</t>
  </si>
  <si>
    <t>59 Phạm Nhữ Tăng, phường Chánh Hưng</t>
  </si>
  <si>
    <t>Trần Thị Mỹ Xuân sale web</t>
  </si>
  <si>
    <t>HD055299</t>
  </si>
  <si>
    <t>A3-21 đường 76,p16</t>
  </si>
  <si>
    <t>Kym Pu sale -SALE WEB</t>
  </si>
  <si>
    <t>HD055037</t>
  </si>
  <si>
    <t>68 cô bắc f cầu ông lãnh</t>
  </si>
  <si>
    <t>Nguyễn Ngọc sale</t>
  </si>
  <si>
    <t>HD054814</t>
  </si>
  <si>
    <t>1305/9 nguyễn duy trinh .long truong</t>
  </si>
  <si>
    <t>Tâm Tâm sale</t>
  </si>
  <si>
    <t>HD055302</t>
  </si>
  <si>
    <t>76/9 Xuân diệu f4</t>
  </si>
  <si>
    <t>Tuyet Nhung Nguyen</t>
  </si>
  <si>
    <t>HD055239</t>
  </si>
  <si>
    <t>36 Lê lai phuong bảy hiền</t>
  </si>
  <si>
    <t>Thuỷ Nguyễn sale</t>
  </si>
  <si>
    <t>HD055191</t>
  </si>
  <si>
    <t>Lô K, Cc Bàu Cát 2, P.10</t>
  </si>
  <si>
    <t>Đỗ Hoài Nhi sale wed t8</t>
  </si>
  <si>
    <t>HD055244</t>
  </si>
  <si>
    <t>165/12 TL41, phường an phú đông (phường thạnh lộc cũ)</t>
  </si>
  <si>
    <t>Yến Phương - SALE WEB</t>
  </si>
  <si>
    <t>HD055408</t>
  </si>
  <si>
    <t>78 đường số 3 phường tân hưng</t>
  </si>
  <si>
    <t>Tiểu Phụng</t>
  </si>
  <si>
    <t>HD055229</t>
  </si>
  <si>
    <t>10/4 thoại Ngọc hầu, f hoà thạnh</t>
  </si>
  <si>
    <t>Huong Corn</t>
  </si>
  <si>
    <t>HD055362</t>
  </si>
  <si>
    <t>88/73A Nguyễn Văn Quỳ, phường Phú Thuận</t>
  </si>
  <si>
    <t>Vayouly Souksaiyalath sale</t>
  </si>
  <si>
    <t>HD055363</t>
  </si>
  <si>
    <t>ký túc xá đại học tôn đức thắng cổng 7</t>
  </si>
  <si>
    <t>Phạm Thị Như Ý (SALE WEB)</t>
  </si>
  <si>
    <t>HD055169</t>
  </si>
  <si>
    <t>1264a Kha Vạn Cân Linh Xuân</t>
  </si>
  <si>
    <t>Hương Nguyên sale - SALE WEB</t>
  </si>
  <si>
    <t>HD055351</t>
  </si>
  <si>
    <t>thap S4,the sun avenue 28 mai chí thọ, phường bình trưng</t>
  </si>
  <si>
    <t>Quỳnh Châu SALE</t>
  </si>
  <si>
    <t>HD050307</t>
  </si>
  <si>
    <t>296 Thái Phiên f8</t>
  </si>
  <si>
    <t>PS My sale</t>
  </si>
  <si>
    <t>HD055196</t>
  </si>
  <si>
    <t>120/98/44 Thích Quảng Đức P5</t>
  </si>
  <si>
    <t>Hương Chuột sale</t>
  </si>
  <si>
    <t>HD055028</t>
  </si>
  <si>
    <t>84A Bà Huyện Thanh Quan, Phường 09</t>
  </si>
  <si>
    <t>Thúy Vy fb Thủy Heri</t>
  </si>
  <si>
    <t>HD055235</t>
  </si>
  <si>
    <t>93/38 đường bờ bao thắng</t>
  </si>
  <si>
    <t>Đỗ Nguyệt (SALE WEB)</t>
  </si>
  <si>
    <t>HD055177</t>
  </si>
  <si>
    <t>Diamond Plaza 34 Lê Duẩn, P. Bến Nghé</t>
  </si>
  <si>
    <t>Quách thanh fb Trinh Dang sale</t>
  </si>
  <si>
    <t>HD055103</t>
  </si>
  <si>
    <t>193/2/22 đường số 20 p 5</t>
  </si>
  <si>
    <t>băng (SALE WEB)</t>
  </si>
  <si>
    <t>HD055274</t>
  </si>
  <si>
    <t>số 1 định lễ phường xóm chiếu</t>
  </si>
  <si>
    <t>Lê Thị Kim Chi-sale</t>
  </si>
  <si>
    <t>HD054986</t>
  </si>
  <si>
    <t>20/45 đường số 1, bình Hưng hòa a</t>
  </si>
  <si>
    <t>Yến Như sale web</t>
  </si>
  <si>
    <t>HD055227</t>
  </si>
  <si>
    <t>213 Bưng Ông Thoàn, Tăng Nhơn Phú B</t>
  </si>
  <si>
    <t>Trương Nguyễn Tường Vi sale</t>
  </si>
  <si>
    <t>HD054943</t>
  </si>
  <si>
    <t>Hà đô centrosa, Iris 2, p12</t>
  </si>
  <si>
    <t>Trần Thị Thu Linh sale</t>
  </si>
  <si>
    <t>HD055101</t>
  </si>
  <si>
    <t>23, Đường 37, Phường Hiệp Bình Phước, Khu Đô Thị Vạn Phúc</t>
  </si>
  <si>
    <t>Hà Thư (fb Anh Chau) sale</t>
  </si>
  <si>
    <t>HD055336</t>
  </si>
  <si>
    <t>128/65 Huỳnh Tấn Phát, Phường Tân Thuận Tây</t>
  </si>
  <si>
    <t>Ji Young</t>
  </si>
  <si>
    <t>HD055161</t>
  </si>
  <si>
    <t>18 A Tân Thới Nhất, phường Tân Thới Nhất</t>
  </si>
  <si>
    <t>Trinh (SALE WEB) - GIAO SAU 12H TRƯA</t>
  </si>
  <si>
    <t>HD055414</t>
  </si>
  <si>
    <t>117 ung văn khiêm,p25</t>
  </si>
  <si>
    <t>Tiểu Vy</t>
  </si>
  <si>
    <t>HD054831</t>
  </si>
  <si>
    <t>Chung cư millennium- 132 bến vận đồn, p6</t>
  </si>
  <si>
    <t>Thảo (SALE WEB)</t>
  </si>
  <si>
    <t>HD055238</t>
  </si>
  <si>
    <t>1/12/19 Võ Oanh, Phường 25</t>
  </si>
  <si>
    <t>Lam Ngọc sale wed t8</t>
  </si>
  <si>
    <t>HD055216</t>
  </si>
  <si>
    <t>103/1 nam lân bà điểm thị trấn hốc môn</t>
  </si>
  <si>
    <t>Mai Nguyen sale</t>
  </si>
  <si>
    <t>HD049938</t>
  </si>
  <si>
    <t>Ship số 76 đường 52ap khu văn minh phường an phú</t>
  </si>
  <si>
    <t>at 05-09</t>
  </si>
  <si>
    <t>2 đơn</t>
  </si>
  <si>
    <t>1 đơn</t>
  </si>
  <si>
    <t>AT 04-09</t>
  </si>
  <si>
    <t>at 04-09</t>
  </si>
  <si>
    <t>kh ck shop 980k</t>
  </si>
  <si>
    <t>CHU NHAT</t>
  </si>
  <si>
    <t>NGAY 6-9</t>
  </si>
  <si>
    <t>Vy (SALE WEB)</t>
  </si>
  <si>
    <t>HD055188</t>
  </si>
  <si>
    <t>013 lô E chung cư nguyen thiện thuat, phường bàn cờ</t>
  </si>
  <si>
    <t>06-09-2026</t>
  </si>
  <si>
    <t>Huyền Trinh</t>
  </si>
  <si>
    <t>HD055392</t>
  </si>
  <si>
    <t>69 phố tiểu nam, phường tân phú</t>
  </si>
  <si>
    <t>AT 06-09</t>
  </si>
  <si>
    <t>BN1443</t>
  </si>
  <si>
    <t>HD055561</t>
  </si>
  <si>
    <t>163 Đường Trương Thị Hoa, phường Tân Thới Hiệp</t>
  </si>
  <si>
    <t>HoangMy Nguyen sale</t>
  </si>
  <si>
    <t>HD055008</t>
  </si>
  <si>
    <t>Số 10 đường S5, Tây Thạnh</t>
  </si>
  <si>
    <t>a.tri</t>
  </si>
  <si>
    <t>Hoa Ban Mai sale</t>
  </si>
  <si>
    <t>HD054768</t>
  </si>
  <si>
    <t>Số 12 đường 51 Bình Trưng Đông cũ</t>
  </si>
  <si>
    <t>Huong (SALE WEB)</t>
  </si>
  <si>
    <t>HD055181</t>
  </si>
  <si>
    <t>156 bình lợi p13</t>
  </si>
  <si>
    <t>Tiến Nam</t>
  </si>
  <si>
    <t>HD055547</t>
  </si>
  <si>
    <t>737/90/3 lạc long quân p10</t>
  </si>
  <si>
    <t>Linh Nguyễn sale wed t8</t>
  </si>
  <si>
    <t>HD055688</t>
  </si>
  <si>
    <t>20 Hoàng Minh Giám Phường Đức Nhuận</t>
  </si>
  <si>
    <t>Vân Vân sale</t>
  </si>
  <si>
    <t>HD055599</t>
  </si>
  <si>
    <t>132 bến vân đồn, khánh hội</t>
  </si>
  <si>
    <t>Anh Thư (SALE WEB)</t>
  </si>
  <si>
    <t>HD055609</t>
  </si>
  <si>
    <t>39/32 đường số 8, phường Linh Xuân</t>
  </si>
  <si>
    <t>Uyen pham ib thao nguyen</t>
  </si>
  <si>
    <t>HD055540</t>
  </si>
  <si>
    <t>117 thích quảng đức, p.4</t>
  </si>
  <si>
    <t>Nguyên Ngọc sale - SALE WEB</t>
  </si>
  <si>
    <t>HD055180</t>
  </si>
  <si>
    <t>1305/9 nguyễn duy trinh long truong</t>
  </si>
  <si>
    <t>Tina Thao</t>
  </si>
  <si>
    <t>HD055694</t>
  </si>
  <si>
    <t>số 3, Cộng Hoà, F. Tân Sơn Nhất</t>
  </si>
  <si>
    <t>Kim Quyên sale - SALE WEB</t>
  </si>
  <si>
    <t>HD055529</t>
  </si>
  <si>
    <t>336/70 nguyễn văn luông Phi ông Phú lâm</t>
  </si>
  <si>
    <t>Ngoc Le</t>
  </si>
  <si>
    <t>HD055526</t>
  </si>
  <si>
    <t>7/4 Kỳ Đồng, Phường 9</t>
  </si>
  <si>
    <t>Trúc Nguyễn</t>
  </si>
  <si>
    <t>HD055716</t>
  </si>
  <si>
    <t>496/46 Dương Quảng Hàm, P6</t>
  </si>
  <si>
    <t>Tran Nguyen Huyen My sale</t>
  </si>
  <si>
    <t>HD055715</t>
  </si>
  <si>
    <t>Chung cư Nguyễn Kim khu B, Nhật Tảo, phường Diên Hồng</t>
  </si>
  <si>
    <t>HD055478</t>
  </si>
  <si>
    <t>thap S4, the sun avenue 28 mal chí thọ, phường bình trưng</t>
  </si>
  <si>
    <t>tuyền sale wed t8 - SALE WEB</t>
  </si>
  <si>
    <t>HD055407</t>
  </si>
  <si>
    <t>1/12A calmette phường nguyễn thái bình</t>
  </si>
  <si>
    <t>Hồng Nhiên sale</t>
  </si>
  <si>
    <t>HD055144</t>
  </si>
  <si>
    <t>115/54a Trần Đình Xu, phường Cầu Ông Lãnh</t>
  </si>
  <si>
    <t>Trúc Quỳnh</t>
  </si>
  <si>
    <t>HD055524</t>
  </si>
  <si>
    <t>119/7 Nguyễn thị thập Tân Phú</t>
  </si>
  <si>
    <t>Phan Thị Thùy Dương sale</t>
  </si>
  <si>
    <t>HD055105</t>
  </si>
  <si>
    <t>160/84/45 đường số 1 p long trường</t>
  </si>
  <si>
    <t>lilgiesther Nguyễn Thị Thuỳ Trang</t>
  </si>
  <si>
    <t>HD055632</t>
  </si>
  <si>
    <t>2B59/8 ấp 2, xã Phạm Văn Hai</t>
  </si>
  <si>
    <t>Ngọc Oanh sale t8</t>
  </si>
  <si>
    <t>HD055122</t>
  </si>
  <si>
    <t>52, đường tam bình, hiệp bình chánh</t>
  </si>
  <si>
    <t>Kiều Trân SALE</t>
  </si>
  <si>
    <t>HD055536</t>
  </si>
  <si>
    <t>11 đường số 5 khu phố 7 hiệp bình chánh</t>
  </si>
  <si>
    <t>Duyen Park</t>
  </si>
  <si>
    <t>HD055676</t>
  </si>
  <si>
    <t>688/23/1C Hương Lộ 2, phường Bình Trị Đông A</t>
  </si>
  <si>
    <t>Phạm Khánh Băng</t>
  </si>
  <si>
    <t>HD055711</t>
  </si>
  <si>
    <t>85/6 bình tây, phường 1</t>
  </si>
  <si>
    <t>Hà (SALE WEB)</t>
  </si>
  <si>
    <t>HD055249</t>
  </si>
  <si>
    <t>7a/68 Thành Thái, p14, Tòa nhà Trung Nam</t>
  </si>
  <si>
    <t>Đinh Huyền Trang sale</t>
  </si>
  <si>
    <t>HD055492</t>
  </si>
  <si>
    <t>566/72/63F Nguyễn Thái Sơn, P An Nhơn</t>
  </si>
  <si>
    <t>VTS-25885MUN</t>
  </si>
  <si>
    <t>HD055375</t>
  </si>
  <si>
    <t>129 Đ. Trần Đại Nghĩa, Ấp 2, Tân Kiên</t>
  </si>
  <si>
    <t>Sang - fb Ivy Thuy Pham sale</t>
  </si>
  <si>
    <t>HD055691</t>
  </si>
  <si>
    <t>349/175 Lê Đại Hành Phường Phú Thọ</t>
  </si>
  <si>
    <t>Nguyên Lê sale cọc 200 - SALE WEB 0 CỌC</t>
  </si>
  <si>
    <t>HD055399</t>
  </si>
  <si>
    <t>Toà nhà Alpha Tower, 151-153 Nguyễn Đình Chiểu</t>
  </si>
  <si>
    <t>Ngọc Hoàng (sale web)</t>
  </si>
  <si>
    <t>HD054878</t>
  </si>
  <si>
    <t>Lô C, Green Valley, Nguyễn Đổng Chi</t>
  </si>
  <si>
    <t>HD055628</t>
  </si>
  <si>
    <t>Xi Grand Court Block C 258 lý thường kiệt phường 14</t>
  </si>
  <si>
    <t>Pé Thỏ</t>
  </si>
  <si>
    <t>HD055643</t>
  </si>
  <si>
    <t>547-549 tạ quang bửu, phường chánh hưng, Topaz Elite – Block Phoenix 1B</t>
  </si>
  <si>
    <t>Võ tiến phát (mai) SALE WEB</t>
  </si>
  <si>
    <t>HD055324</t>
  </si>
  <si>
    <t>176/10 đường số 2 an hội đông</t>
  </si>
  <si>
    <t>Mộng Cầm</t>
  </si>
  <si>
    <t>HD055597</t>
  </si>
  <si>
    <t>222 nguyễn văn đậu p bình lợi trung</t>
  </si>
  <si>
    <t>Vũ My</t>
  </si>
  <si>
    <t>HD055657</t>
  </si>
  <si>
    <t>270 TTH21</t>
  </si>
  <si>
    <t>quỳnh anh - fb Anh Nguyen</t>
  </si>
  <si>
    <t>HD055627</t>
  </si>
  <si>
    <t>110 Tân Mỹ, P. Tân Thuận</t>
  </si>
  <si>
    <t>Lê Tuyền sale</t>
  </si>
  <si>
    <t>HD055555</t>
  </si>
  <si>
    <t>412 Phan Xích Long, Cầu Kiệu</t>
  </si>
  <si>
    <t>Ngoc Nina-sale</t>
  </si>
  <si>
    <t>HD055501</t>
  </si>
  <si>
    <t>86 Tô Ngọc Vân, Linh Tây</t>
  </si>
  <si>
    <t>Hoàng Quỳnh</t>
  </si>
  <si>
    <t>HD055664</t>
  </si>
  <si>
    <t>14/9b đường 12, tăng nhơn phú B</t>
  </si>
  <si>
    <t>Maria Nguyen</t>
  </si>
  <si>
    <t>HD055507</t>
  </si>
  <si>
    <t>33D1 Khu dân cư Senturia, Vườn Lài, An Phú Đông</t>
  </si>
  <si>
    <t>W24130 Miki Chou</t>
  </si>
  <si>
    <t>HD055692</t>
  </si>
  <si>
    <t>624 Lê Thị Riêng</t>
  </si>
  <si>
    <t>BN7123</t>
  </si>
  <si>
    <t>163 Trương Thị Hoa</t>
  </si>
  <si>
    <t>HD055210</t>
  </si>
  <si>
    <t>chị hà</t>
  </si>
  <si>
    <t>HD055690</t>
  </si>
  <si>
    <t>chung cư boulevard toà B2, 600 nguyễn lương bằng phường phú mỹ</t>
  </si>
  <si>
    <t>Gia Hân</t>
  </si>
  <si>
    <t>HD055525</t>
  </si>
  <si>
    <t>Bs16 Vinhomegrandpark long bình</t>
  </si>
  <si>
    <t>Luu Quynh Trang</t>
  </si>
  <si>
    <t>HD055626</t>
  </si>
  <si>
    <t>B67 nội khu nam thông 2D, phường tân phú</t>
  </si>
  <si>
    <t>Gia Mỹ sale wed t8</t>
  </si>
  <si>
    <t>HD055290</t>
  </si>
  <si>
    <t>85/35 Nguyễn Thị Xiếu, phường Tân Thuận (Quẹo hẻm 85/29 rồi quẹo phải sẽ thấy số nhà 85/35)</t>
  </si>
  <si>
    <t>Hương Lê sale t8</t>
  </si>
  <si>
    <t>HD054911</t>
  </si>
  <si>
    <t>Hem 153 đuong nam cao p tân phú</t>
  </si>
  <si>
    <t>Dương Triệu Mẫn</t>
  </si>
  <si>
    <t>HD055705</t>
  </si>
  <si>
    <t>730/126 lê đức thọ</t>
  </si>
  <si>
    <t>Truong Nhi</t>
  </si>
  <si>
    <t>HD055592</t>
  </si>
  <si>
    <t>Toà s202,vinhomes Grand Park, phường long bình</t>
  </si>
  <si>
    <t>Pham Jenny</t>
  </si>
  <si>
    <t>HD055684</t>
  </si>
  <si>
    <t>208 nguyễn hữu cảnh p22</t>
  </si>
  <si>
    <t>Nguyễn Huyền Trang Sale</t>
  </si>
  <si>
    <t>HD055314</t>
  </si>
  <si>
    <t>67 duong 14 khu lovera khang điền phong phú 4</t>
  </si>
  <si>
    <t>Thuy Anh Ngo</t>
  </si>
  <si>
    <t>HD055348</t>
  </si>
  <si>
    <t>45, đường Sầm Sơn, phường 4</t>
  </si>
  <si>
    <t>HD055574</t>
  </si>
  <si>
    <t>Hồng Đỗ</t>
  </si>
  <si>
    <t>HD055461</t>
  </si>
  <si>
    <t>98/3 phan chu trinh, xã xuân thới sơn</t>
  </si>
  <si>
    <t>Cát Tường sale wed t8</t>
  </si>
  <si>
    <t>HD055301</t>
  </si>
  <si>
    <t>71 đường 13, phường tân thuận tây</t>
  </si>
  <si>
    <t>Phan Nhi sale - SALE WEB</t>
  </si>
  <si>
    <t>HD055292</t>
  </si>
  <si>
    <t>C note chú Cường 107/189 quang trung, f.10</t>
  </si>
  <si>
    <t>My Tú</t>
  </si>
  <si>
    <t>HD055428</t>
  </si>
  <si>
    <t>130/4 gò dưa tam bình</t>
  </si>
  <si>
    <t>HD055733</t>
  </si>
  <si>
    <t>Trân (SALE WEB)</t>
  </si>
  <si>
    <t>HD055272</t>
  </si>
  <si>
    <t>1025/1H, cách mạng tháng 8, p7</t>
  </si>
  <si>
    <t>Hoà Phúc</t>
  </si>
  <si>
    <t>HD055685</t>
  </si>
  <si>
    <t>52, đường 24, P Long Bình</t>
  </si>
  <si>
    <t>Thi Thi</t>
  </si>
  <si>
    <t>HD055405</t>
  </si>
  <si>
    <t>545 trần hưng đạo b phường 14</t>
  </si>
  <si>
    <t>Ốc Em sale - SALE WEB</t>
  </si>
  <si>
    <t>HD055424</t>
  </si>
  <si>
    <t>Chung Cư Delasol Block C, Số 1 Tôn Thất Thuyết, Phường Vĩnh Hội</t>
  </si>
  <si>
    <t>Mai Mai</t>
  </si>
  <si>
    <t>HD055564</t>
  </si>
  <si>
    <t>Chung cư 8X Plus số 163A, đường Trường Chinh, phường Tân Thới Nhất</t>
  </si>
  <si>
    <t>em na</t>
  </si>
  <si>
    <t>467/26 Lê Đức Thọ Phường 16</t>
  </si>
  <si>
    <t>Phương 3</t>
  </si>
  <si>
    <t>số 262/26/3 Lũy Bán Bích, phường Tân Phú</t>
  </si>
  <si>
    <t>jenny boubi</t>
  </si>
  <si>
    <t>401 Quang Trung f10</t>
  </si>
  <si>
    <t>Nguyen Thanh Yen Nhi-sale</t>
  </si>
  <si>
    <t>HD048895</t>
  </si>
  <si>
    <t>215 hồng bàng (bệnh viện đại học y dược tphcm)</t>
  </si>
  <si>
    <t>25-08-2026</t>
  </si>
  <si>
    <t>Kim Quyên sale</t>
  </si>
  <si>
    <t>HD050426</t>
  </si>
  <si>
    <t>336/20 nguyen van luong</t>
  </si>
  <si>
    <t>Nguyễn Bích Trâm SALE</t>
  </si>
  <si>
    <t>HD053875</t>
  </si>
  <si>
    <t>22/6 tân thuận tây phường Tân Thuận Tây</t>
  </si>
  <si>
    <t>Hanh Truong sale</t>
  </si>
  <si>
    <t>HD051904</t>
  </si>
  <si>
    <t>E26, đường Phú Thuận, Khu dân cư Nam Long, Phường Phú Thuận</t>
  </si>
  <si>
    <t>Thuỳ Nguyễn sale</t>
  </si>
  <si>
    <t>HD049839</t>
  </si>
  <si>
    <t>Cty sb Sài Gòn đường số 8, khu chế xuất tân thuận, phường tân thuận đông</t>
  </si>
  <si>
    <t>Loan (Trân) sale</t>
  </si>
  <si>
    <t>HD052835</t>
  </si>
  <si>
    <t>Chung Cư Hoàng Kim, Số 573, Đường Huỳnh Tấn Phát &gt; Phường Tân Thuận</t>
  </si>
  <si>
    <t>Loan Anla sale</t>
  </si>
  <si>
    <t>HD049671</t>
  </si>
  <si>
    <t>chung cư viva plaza 15b nguyễn lương bằng phú mỹ</t>
  </si>
  <si>
    <t>My SoNa sale</t>
  </si>
  <si>
    <t>HD053989</t>
  </si>
  <si>
    <t>345 Minh phụng p2</t>
  </si>
  <si>
    <t>Kiến Dương sale</t>
  </si>
  <si>
    <t>HD049535</t>
  </si>
  <si>
    <t>117 Trịnh Đình Trọng, Phú Trung</t>
  </si>
  <si>
    <t>Hồng Nhung</t>
  </si>
  <si>
    <t>HD051528</t>
  </si>
  <si>
    <t>17 nguyễn văn tăng, Long Bình</t>
  </si>
  <si>
    <t>Thùy Võ sale</t>
  </si>
  <si>
    <t>HD052712</t>
  </si>
  <si>
    <t>49 Lê Văn Việt, Tăng Nhơn Phú</t>
  </si>
  <si>
    <t>Cẩm Nhung sale</t>
  </si>
  <si>
    <t>HD051716</t>
  </si>
  <si>
    <t>26/24/5 thạnh lộc 26, thạnh lộc</t>
  </si>
  <si>
    <t>Phụng Nguyễn sale</t>
  </si>
  <si>
    <t>HD050044</t>
  </si>
  <si>
    <t>33/4 đường tx52 phường thới an</t>
  </si>
  <si>
    <t>Khánh Linh (SALE WEB)</t>
  </si>
  <si>
    <t>HD052018</t>
  </si>
  <si>
    <t>224/4/1 Hà Huy Giáp, Phường Thạnh Lộc (Phường An Phú Đông mới)</t>
  </si>
  <si>
    <t>Trúc Thanh Võ sale</t>
  </si>
  <si>
    <t>HD050479</t>
  </si>
  <si>
    <t>4/6/29 đường tân thới nhất 1 phường tân thới nhất</t>
  </si>
  <si>
    <t>Nhân sale wed t8</t>
  </si>
  <si>
    <t>HD050989</t>
  </si>
  <si>
    <t>Hẻm 54/64 Tân Thới Hiệp 29, p, tân thới hiệp</t>
  </si>
  <si>
    <t>Ngọc hân</t>
  </si>
  <si>
    <t>HD048361</t>
  </si>
  <si>
    <t>42d thạnh xuân 37</t>
  </si>
  <si>
    <t>Thanh Yến sale</t>
  </si>
  <si>
    <t>HD049350</t>
  </si>
  <si>
    <t>188/4 đường thới an 16 phường thới an</t>
  </si>
  <si>
    <t>26-08-2026</t>
  </si>
  <si>
    <t>Ngọc Thuý sale</t>
  </si>
  <si>
    <t>HD050153</t>
  </si>
  <si>
    <t>822/89 Hương Lộ 2</t>
  </si>
  <si>
    <t>Tú sale wed t8</t>
  </si>
  <si>
    <t>HD052588</t>
  </si>
  <si>
    <t>45/11 lê cơ An lạc</t>
  </si>
  <si>
    <t>Kim Ngọc</t>
  </si>
  <si>
    <t>64 đường số 1A bình hưng hòa a</t>
  </si>
  <si>
    <t>Thu Hang Pham</t>
  </si>
  <si>
    <t>HD050750</t>
  </si>
  <si>
    <t>160/29/19D đs 11,Bình Hưng Hoà</t>
  </si>
  <si>
    <t>Ánh Thư Trịnh Trương sale</t>
  </si>
  <si>
    <t>HD050055</t>
  </si>
  <si>
    <t>Căn TM05 block A Lavita garden số 17 đường số 3 phường Trường Thọ</t>
  </si>
  <si>
    <t>Hạ fb Kathy Nhung-sale</t>
  </si>
  <si>
    <t>HD052810</t>
  </si>
  <si>
    <t>38 Đ. Kha Vạn Cân, Hiệp Bình Chánh</t>
  </si>
  <si>
    <t>HD052006</t>
  </si>
  <si>
    <t>11 đường số 6 khu phố 7 hiệp bình chánh</t>
  </si>
  <si>
    <t>Bảo Trân sale</t>
  </si>
  <si>
    <t>HD050429</t>
  </si>
  <si>
    <t>2348 Huỳnh Tấn Phát</t>
  </si>
  <si>
    <t>Hoàng Oanh sale</t>
  </si>
  <si>
    <t>HD050484</t>
  </si>
  <si>
    <t>125/11D ấp Tân Thới 2</t>
  </si>
  <si>
    <t>Dung Vo</t>
  </si>
  <si>
    <t>HD048801</t>
  </si>
  <si>
    <t>50 đường 18 khu dân cư phong Phú 4 xã Phong Phú</t>
  </si>
  <si>
    <t>ThuHa Dang-sale</t>
  </si>
  <si>
    <t>HD052730</t>
  </si>
  <si>
    <t>Cc skyway lock G, 13B Nguyễn Văn Linh, Xã Phong Phú</t>
  </si>
  <si>
    <t>Trân Huỳnh sale WED</t>
  </si>
  <si>
    <t>H0049331</t>
  </si>
  <si>
    <t>C8/17t2 bờ xe lam tân kiên</t>
  </si>
  <si>
    <t>hương phạm - fb Tổng Dạ Uyên sale</t>
  </si>
  <si>
    <t>HD052234</t>
  </si>
  <si>
    <t>Mp7 căn 8-11 Mizuki park, Bình Hưng</t>
  </si>
  <si>
    <t>Thu Ngân sale</t>
  </si>
  <si>
    <t>HD050619</t>
  </si>
  <si>
    <t>D3/22 Nguyễn Thị Tú, Ấp 4, Xã Tân Vĩnh Lộc</t>
  </si>
  <si>
    <t>thyBi Phan sale wed</t>
  </si>
  <si>
    <t>HD051617</t>
  </si>
  <si>
    <t>205/47 Liên khu 4-5, phường Bình Tân</t>
  </si>
  <si>
    <t>đơn chuyển a.tri</t>
  </si>
  <si>
    <t>HD051413</t>
  </si>
  <si>
    <t>đơn chuyển c.hieu</t>
  </si>
  <si>
    <t>Thao Vy (SALE WEB)</t>
  </si>
  <si>
    <t>HD053743</t>
  </si>
  <si>
    <t>83 bàu cát 3 phường Bảy Hiền</t>
  </si>
  <si>
    <t>at 06-09</t>
  </si>
  <si>
    <t>book grab</t>
  </si>
  <si>
    <t>32 đơn</t>
  </si>
  <si>
    <t>đơn chuyển</t>
  </si>
  <si>
    <t>gộp, shop chịu ship</t>
  </si>
  <si>
    <t>Quỳnh Giao (SALE WEB)</t>
  </si>
  <si>
    <t>HD055581</t>
  </si>
  <si>
    <t>2783/11A Quốc lộ 1A, Đông Hưng Thuận, Cũ là phường Tân Thới Nhất</t>
  </si>
  <si>
    <t>07-09-2026</t>
  </si>
  <si>
    <t>Nguyễn Trương Phương Danh</t>
  </si>
  <si>
    <t>HD055942</t>
  </si>
  <si>
    <t>125/42/2 Bùi Đình Tuý, phường 14</t>
  </si>
  <si>
    <t>hương phạm</t>
  </si>
  <si>
    <t>HD055749</t>
  </si>
  <si>
    <t>Chung cư M-one bế văn cấm, phường tân kiểng, Block T2</t>
  </si>
  <si>
    <t>AT 07-09</t>
  </si>
  <si>
    <t>Li Ly</t>
  </si>
  <si>
    <t>HD055899</t>
  </si>
  <si>
    <t>677/9 Vĩnh viễn f7</t>
  </si>
  <si>
    <t>Huyền Linh sale</t>
  </si>
  <si>
    <t>HD055713</t>
  </si>
  <si>
    <t>38 Trương Quốc Dung</t>
  </si>
  <si>
    <t>Trần Ngọc Bích</t>
  </si>
  <si>
    <t>HD055905</t>
  </si>
  <si>
    <t>43/3 Cửu Long p2</t>
  </si>
  <si>
    <t>Endny/ HOÀNG MÈO</t>
  </si>
  <si>
    <t>HD055545</t>
  </si>
  <si>
    <t>22, ĐƯỜNG TÂN THỚI NHẤT 1B, PHƯỜNG TÂN THỚI NHẤT</t>
  </si>
  <si>
    <t>Thuy Nguyen</t>
  </si>
  <si>
    <t>HD055800</t>
  </si>
  <si>
    <t>17/57 đường số 1 khu phố 2 Bình hưng hòa</t>
  </si>
  <si>
    <t>Thuy Ngoc</t>
  </si>
  <si>
    <t>HD055717</t>
  </si>
  <si>
    <t>103/7 Ao Đôi, Bình Trị Đông A</t>
  </si>
  <si>
    <t>A Linh - fb Mak Mak Lyza (Diễm)</t>
  </si>
  <si>
    <t>HD055875</t>
  </si>
  <si>
    <t>937d/11/16 tạ quang bửu p. Bình Đông</t>
  </si>
  <si>
    <t>Chi Miu-sale</t>
  </si>
  <si>
    <t>HD055682</t>
  </si>
  <si>
    <t>cc Riviera point p. tân phú</t>
  </si>
  <si>
    <t>huyền nguyễn</t>
  </si>
  <si>
    <t>HD055678</t>
  </si>
  <si>
    <t>243/44/12 tôn đản p15</t>
  </si>
  <si>
    <t>Thanh Xuan sale wed t8</t>
  </si>
  <si>
    <t>HD055254</t>
  </si>
  <si>
    <t>Nhôm kính Toàn Phát 160 Nguyễn Ảnh Thủ, Thới Tam Thôn</t>
  </si>
  <si>
    <t>Nguyễn Thảo Vi sale</t>
  </si>
  <si>
    <t>HD054602</t>
  </si>
  <si>
    <t>Chung cư Saigon pearl số 92 nguyễn hữu cảnh</t>
  </si>
  <si>
    <t>Fb: Đỗ Thị Bích Trâm</t>
  </si>
  <si>
    <t>HD055882</t>
  </si>
  <si>
    <t>CHỊ TRANG (SALE WEB)</t>
  </si>
  <si>
    <t>HD055400</t>
  </si>
  <si>
    <t>178 D Võ Thị Sáu Phường 7</t>
  </si>
  <si>
    <t>Dinh Luong</t>
  </si>
  <si>
    <t>HD055989</t>
  </si>
  <si>
    <t>246 nguyễn duy dương f4</t>
  </si>
  <si>
    <t>Yến Yến sale</t>
  </si>
  <si>
    <t>HD056002</t>
  </si>
  <si>
    <t>Chung cư Topaz elite phoenix 1A</t>
  </si>
  <si>
    <t>Thu Viên</t>
  </si>
  <si>
    <t>278 Lê Văn Thọ, P11</t>
  </si>
  <si>
    <t>Bích Ngọc sale wed t8</t>
  </si>
  <si>
    <t>HD055223</t>
  </si>
  <si>
    <t>729/5 nguyễn kiệm phường ba</t>
  </si>
  <si>
    <t>Nguyễn Anh Thy</t>
  </si>
  <si>
    <t>HD055725</t>
  </si>
  <si>
    <t>158/48 Xô viết nghệ tĩnh, phường 21</t>
  </si>
  <si>
    <t>Nhi Hồ (SALE WEB)</t>
  </si>
  <si>
    <t>HD055790</t>
  </si>
  <si>
    <t>466/30 xô viết nghệ tĩnh</t>
  </si>
  <si>
    <t>Linh Linh</t>
  </si>
  <si>
    <t>HD055996</t>
  </si>
  <si>
    <t>Số 2 nguyễn minh hoàng, phường bảy hiền</t>
  </si>
  <si>
    <t>Hiền Nguyễn-sale wed t8</t>
  </si>
  <si>
    <t>HD055253</t>
  </si>
  <si>
    <t>30/1e tô ký xã đông thạnh</t>
  </si>
  <si>
    <t>Veriska Room 102 Saigon Europe Hotel</t>
  </si>
  <si>
    <t>HD055740</t>
  </si>
  <si>
    <t>207 Đề Thám, Phường Phạm Ngũ Lão</t>
  </si>
  <si>
    <t>My Sona sale</t>
  </si>
  <si>
    <t>345 Minh Phụng p2</t>
  </si>
  <si>
    <t>Trần Hải Nam (SALE WEB)</t>
  </si>
  <si>
    <t>HD055935</t>
  </si>
  <si>
    <t>Chung Cư Bộ Đội Biên Phòng Phường Hạnh Thông</t>
  </si>
  <si>
    <t>Van Tran sale wed t8</t>
  </si>
  <si>
    <t>HD055661</t>
  </si>
  <si>
    <t>03 Trần Nhật Duật, P. Tân Định</t>
  </si>
  <si>
    <t>Thiên Nhi</t>
  </si>
  <si>
    <t>HD055681</t>
  </si>
  <si>
    <t>41/6 Đường số 9 phường Linh Xuân</t>
  </si>
  <si>
    <t>Phạm ChucOanh sale t8</t>
  </si>
  <si>
    <t>HD055720</t>
  </si>
  <si>
    <t>số 34a, Đường 13a, Khu Phố 7, Phường Bình Hưng Hòa</t>
  </si>
  <si>
    <t>cammy.nggg</t>
  </si>
  <si>
    <t>HD055814</t>
  </si>
  <si>
    <t>256/40 pham van chi phuong 1</t>
  </si>
  <si>
    <t>Mỹ Ngọc</t>
  </si>
  <si>
    <t>HD055944</t>
  </si>
  <si>
    <t>242 nguyễn oanh, phường gò vấp</t>
  </si>
  <si>
    <t>Trần Lê Thi Thiên slae wed t8</t>
  </si>
  <si>
    <t>HD055723</t>
  </si>
  <si>
    <t>380/16/9 lê văn lương</t>
  </si>
  <si>
    <t>Harley</t>
  </si>
  <si>
    <t>HD055815</t>
  </si>
  <si>
    <t>Tòa S7.01, Khu The Origami, Phường Long Bình</t>
  </si>
  <si>
    <t>Lương Trà An sale wed t8</t>
  </si>
  <si>
    <t>HD055281</t>
  </si>
  <si>
    <t>Chung cư emerald 2 đường n4 phường Sơn Kỳ</t>
  </si>
  <si>
    <t>CherryHoang Johor</t>
  </si>
  <si>
    <t>HD055932</t>
  </si>
  <si>
    <t>66 đường số 17, p10</t>
  </si>
  <si>
    <t>Thu Phương</t>
  </si>
  <si>
    <t>HD055952</t>
  </si>
  <si>
    <t>120 Lê Quang Định P. Bình Thạnh</t>
  </si>
  <si>
    <t>Tuyết Tây</t>
  </si>
  <si>
    <t>HD055931</t>
  </si>
  <si>
    <t>323 Hùng Vương, p9</t>
  </si>
  <si>
    <t>Bao nhi (SALE WEB)</t>
  </si>
  <si>
    <t>HD055659</t>
  </si>
  <si>
    <t>63/2a, Đường Số 36, P. Linh Đông</t>
  </si>
  <si>
    <t>Phuong Quynh Nguyen sale</t>
  </si>
  <si>
    <t>HD055458</t>
  </si>
  <si>
    <t>Qua chung cư Fullhouse số 1 đường 34 p.bình trị đông b</t>
  </si>
  <si>
    <t>HD055797</t>
  </si>
  <si>
    <t>Truong Ngoc Sale - SALE WEB</t>
  </si>
  <si>
    <t>HD055666</t>
  </si>
  <si>
    <t>454b tân sơn nhì, p phú thọ hoà</t>
  </si>
  <si>
    <t>Bích Ngọc - fb Hà Trần</t>
  </si>
  <si>
    <t>HD055967</t>
  </si>
  <si>
    <t>28 rạch bùng binh, p nhiều lộc gửi lễ tân, Cactusland Boutique Hotel</t>
  </si>
  <si>
    <t>My Ngô</t>
  </si>
  <si>
    <t>HD055945</t>
  </si>
  <si>
    <t>233/17 Nguyễn Trãi, phường Nguyễn Cư Trinh</t>
  </si>
  <si>
    <t>Lisa Nguyen-sale</t>
  </si>
  <si>
    <t>HD055622</t>
  </si>
  <si>
    <t>1122/23/2F Quang Trung p.8</t>
  </si>
  <si>
    <t>Phạm T.Thảo</t>
  </si>
  <si>
    <t>HD055751</t>
  </si>
  <si>
    <t>63 dương bá trạc p.rạch ông</t>
  </si>
  <si>
    <t>Hiếu Lee</t>
  </si>
  <si>
    <t>HD055801</t>
  </si>
  <si>
    <t>Chung cu folita him lam</t>
  </si>
  <si>
    <t>Thúy Quyên</t>
  </si>
  <si>
    <t>HD055804</t>
  </si>
  <si>
    <t>137/18 âu dương lân</t>
  </si>
  <si>
    <t>Lưu Huyền</t>
  </si>
  <si>
    <t>HD055758</t>
  </si>
  <si>
    <t>285/136 cmt8 phường Hòa Hưng</t>
  </si>
  <si>
    <t>Yến Như</t>
  </si>
  <si>
    <t>HD055779</t>
  </si>
  <si>
    <t>jenny bouti</t>
  </si>
  <si>
    <t>401 Quang trung f10</t>
  </si>
  <si>
    <t>at 07-09</t>
  </si>
  <si>
    <t>đổi hàng, kh ck shop 390k</t>
  </si>
  <si>
    <t>2</t>
  </si>
  <si>
    <t>T Trần</t>
  </si>
  <si>
    <t>59/2/15R Tx22, phường Thới An</t>
  </si>
  <si>
    <t>08-09-2026</t>
  </si>
  <si>
    <t>Tuyết Nhi ZL2</t>
  </si>
  <si>
    <t>170F Tân Hoà Đông f14</t>
  </si>
  <si>
    <t>AT 08-09</t>
  </si>
  <si>
    <t>Thanh Ngọc</t>
  </si>
  <si>
    <t>HD056199</t>
  </si>
  <si>
    <t>10A đường 44 Hồ Bá Phấn Phước Long A</t>
  </si>
  <si>
    <t>Hoàng Thuy Nguyễn sale</t>
  </si>
  <si>
    <t>HD056191</t>
  </si>
  <si>
    <t>922 Trường Sa phường 12</t>
  </si>
  <si>
    <t>Hợp Vũ (SALE WEB)</t>
  </si>
  <si>
    <t>HD056102</t>
  </si>
  <si>
    <t>2A Phan Chu Trinh, P Hiệp Phú</t>
  </si>
  <si>
    <t>Mai Thi</t>
  </si>
  <si>
    <t>HD056208</t>
  </si>
  <si>
    <t>Chung cư topaz dragon 2B 102 - cao lỗ - p4</t>
  </si>
  <si>
    <t>Lan Hương (SALE WEB)</t>
  </si>
  <si>
    <t>HD056114</t>
  </si>
  <si>
    <t>206/10 Đồng đen</t>
  </si>
  <si>
    <t>Ngọc Trang</t>
  </si>
  <si>
    <t>HD056225</t>
  </si>
  <si>
    <t>FOXSHOP 28 Lê Văn Duyệt, P1</t>
  </si>
  <si>
    <t>Trần Thúy</t>
  </si>
  <si>
    <t>HD056132</t>
  </si>
  <si>
    <t>406 lê văn quới, bình trị đông</t>
  </si>
  <si>
    <t>HD055959</t>
  </si>
  <si>
    <t>Kiều Thu</t>
  </si>
  <si>
    <t>HD056024</t>
  </si>
  <si>
    <t>89 Bùi Thanh Khiết- Tân Túc</t>
  </si>
  <si>
    <t>Charisa0909</t>
  </si>
  <si>
    <t>HD056203</t>
  </si>
  <si>
    <t>275/14B1 Đặng Nguyên Cẩn, Phường Phú Lâm (phường 14 cũ)</t>
  </si>
  <si>
    <t>Nguyễn Kim Tuyến</t>
  </si>
  <si>
    <t>HD056045</t>
  </si>
  <si>
    <t>616/8 lê đức thọ, p an hội đông</t>
  </si>
  <si>
    <t>HD056220</t>
  </si>
  <si>
    <t>110 tân mỹ tân thuận tây</t>
  </si>
  <si>
    <t>Kim Dung (Malaysia)</t>
  </si>
  <si>
    <t>HD056247</t>
  </si>
  <si>
    <t>24/5F Ấp Đông Lân, Xã Bà Điểm</t>
  </si>
  <si>
    <t>An Nhiên</t>
  </si>
  <si>
    <t>HD056181</t>
  </si>
  <si>
    <t>Chung cư sunrise riverside toà H</t>
  </si>
  <si>
    <t>HD056242</t>
  </si>
  <si>
    <t>BDOS hotel, 222 Ng~ Cư Trinh, p. Cầu Ông Lãnh</t>
  </si>
  <si>
    <t>Van Pham</t>
  </si>
  <si>
    <t>HD056006</t>
  </si>
  <si>
    <t>38 đường số 4 khu dân cư 2 Thành phường Tân Tạo</t>
  </si>
  <si>
    <t>Nguyễn Thị Quỳnh Hương</t>
  </si>
  <si>
    <t>HD056240</t>
  </si>
  <si>
    <t>42 Nguyễn Đình Khơi phường 4</t>
  </si>
  <si>
    <t>HD056044</t>
  </si>
  <si>
    <t>1305/9 nguyễn duy trình long truong</t>
  </si>
  <si>
    <t>Trần Thục Quỳnh (Website)</t>
  </si>
  <si>
    <t>HD056153</t>
  </si>
  <si>
    <t>6/18 cách mạng tháng tám, phường Bến Thành</t>
  </si>
  <si>
    <t>Châu Hồng Sâm</t>
  </si>
  <si>
    <t>HD056070</t>
  </si>
  <si>
    <t>38/3 chế lan viên, phường tây thạnh</t>
  </si>
  <si>
    <t>Hồng Kim</t>
  </si>
  <si>
    <t>HD055884</t>
  </si>
  <si>
    <t>5/16 đường số 11 phường thông tây hội</t>
  </si>
  <si>
    <t>Kim Oanh Pham</t>
  </si>
  <si>
    <t>HD056040</t>
  </si>
  <si>
    <t>Mình ở 220/A14 nguyễn oanh p17</t>
  </si>
  <si>
    <t>Nhi</t>
  </si>
  <si>
    <t>HD056110</t>
  </si>
  <si>
    <t>chung cư 8x plus số 163A Trường Chinh, Đông Hưng Thuận</t>
  </si>
  <si>
    <t>Meo Meo</t>
  </si>
  <si>
    <t>HD056217</t>
  </si>
  <si>
    <t>29 đường 58-p binh trưng</t>
  </si>
  <si>
    <t>MeyMey EV28641</t>
  </si>
  <si>
    <t>HD056117</t>
  </si>
  <si>
    <t>315/18/6 Nguyễn Thị Tú Bình Hưng Hòa B</t>
  </si>
  <si>
    <t>HD056029</t>
  </si>
  <si>
    <t>Hồng Hoa</t>
  </si>
  <si>
    <t>HD056119</t>
  </si>
  <si>
    <t>Căn 98 đường A5, Palm Residence, phường Bình Trưng</t>
  </si>
  <si>
    <t>Hân CM- Mia Dinh sale</t>
  </si>
  <si>
    <t>HD056005</t>
  </si>
  <si>
    <t>4 Đường Số 05, Khu phố 4, Hiệp Bình (Cty Vau Trans Logistics, Hiệp Bình Chánh)</t>
  </si>
  <si>
    <t>Thanh Ngân-sale</t>
  </si>
  <si>
    <t>HD056166</t>
  </si>
  <si>
    <t>Tầng 2 tòa nhà M Building, số 9 đường số 8, Khu A, Đô Thị Mới Nam Thành Phố, Phường Tân Mỹ</t>
  </si>
  <si>
    <t>Nguyễn Thị Bảo Loan</t>
  </si>
  <si>
    <t>HD056245</t>
  </si>
  <si>
    <t>tòa b2 chung cư lavida plus số 1181 nguyễn văn linh tân phong</t>
  </si>
  <si>
    <t>Lý Hán Thành - Nguyen Thi Mong</t>
  </si>
  <si>
    <t>HD056099</t>
  </si>
  <si>
    <t>85/6 bình tây p1</t>
  </si>
  <si>
    <t>Phạm Trang-sale</t>
  </si>
  <si>
    <t>HD056184</t>
  </si>
  <si>
    <t>CC Delasd, Số 1 Tôn Thất Thuyết</t>
  </si>
  <si>
    <t>Trang-sale</t>
  </si>
  <si>
    <t>HD056180</t>
  </si>
  <si>
    <t>129A Nguyễn Chí Thanh Phường An Đông</t>
  </si>
  <si>
    <t>Ngo Thuy Linh</t>
  </si>
  <si>
    <t>HD051928</t>
  </si>
  <si>
    <t>37 nguyễn văn hưởng thảo điền</t>
  </si>
  <si>
    <t>at 08-09</t>
  </si>
  <si>
    <t>THU 3</t>
  </si>
  <si>
    <t>NGAY 8-9</t>
  </si>
  <si>
    <t>không có hàng đổi trả</t>
  </si>
  <si>
    <t>THU 2</t>
  </si>
  <si>
    <t>NGAY 7-9</t>
  </si>
  <si>
    <t>THU 7</t>
  </si>
  <si>
    <t>NGAY 5-9</t>
  </si>
  <si>
    <t>THU 6</t>
  </si>
  <si>
    <t>NGAY 4-9</t>
  </si>
  <si>
    <t>THU 5</t>
  </si>
  <si>
    <t>NGAY 3-9</t>
  </si>
  <si>
    <t>Minh Cao-sale</t>
  </si>
  <si>
    <t>HD056537</t>
  </si>
  <si>
    <t>Chung cư Melody 869 Âu Cơ P Tân Sơn Nhì</t>
  </si>
  <si>
    <t>AT 09-09</t>
  </si>
  <si>
    <t>09-09-2026</t>
  </si>
  <si>
    <t>Triệu Như Huyền</t>
  </si>
  <si>
    <t>HD056431</t>
  </si>
  <si>
    <t>39 bến vân đồn</t>
  </si>
  <si>
    <t>Thuy Linh sale</t>
  </si>
  <si>
    <t>HD056558</t>
  </si>
  <si>
    <t>270/25/2a phan đình Phùng, p1</t>
  </si>
  <si>
    <t>HD056286</t>
  </si>
  <si>
    <t>Trịnh Như Ý (SALE WEB)</t>
  </si>
  <si>
    <t>HD056283</t>
  </si>
  <si>
    <t>207 nguyễn xí</t>
  </si>
  <si>
    <t>Nhi Yến</t>
  </si>
  <si>
    <t>HD056430</t>
  </si>
  <si>
    <t>Khu biệt thự Phú gia phường Tân Phong Note: đi đường N vào cổng Đông khu biệt thự, vào số nhà 041</t>
  </si>
  <si>
    <t>Xuân Ngọc sale</t>
  </si>
  <si>
    <t>HD056271</t>
  </si>
  <si>
    <t>S9.01 Vinhome grand park, nguyễn xiển, phường Long Bình</t>
  </si>
  <si>
    <t>HD056392</t>
  </si>
  <si>
    <t>Chung cư millenium, 132 bến vân đồn</t>
  </si>
  <si>
    <t>Trung hiếu</t>
  </si>
  <si>
    <t>HD056198</t>
  </si>
  <si>
    <t>77a huỳnh tinh của phường xuân hòa</t>
  </si>
  <si>
    <t>HD056281</t>
  </si>
  <si>
    <t>Thanh Hà sale - SALE WEB</t>
  </si>
  <si>
    <t>HD056292</t>
  </si>
  <si>
    <t>28Bis Mạc Đĩnh Chi</t>
  </si>
  <si>
    <t>Trương Ngọc Phương Vy</t>
  </si>
  <si>
    <t>HD056416</t>
  </si>
  <si>
    <t>201B Nguyễn Chí Thanh, Phường Chợ Lớn</t>
  </si>
  <si>
    <t>Lucy Nguyễn</t>
  </si>
  <si>
    <t>HD056418</t>
  </si>
  <si>
    <t>r5 cư xá phú lâm a,p12</t>
  </si>
  <si>
    <t>Le Quynh sale - SALE WEB</t>
  </si>
  <si>
    <t>HD056563</t>
  </si>
  <si>
    <t>69/11/20 nguyễn đình chính, phường cầu kiệu</t>
  </si>
  <si>
    <t>Thảo Ng</t>
  </si>
  <si>
    <t>HD056332</t>
  </si>
  <si>
    <t>463/15/6 kha vạn cân, Linh đông</t>
  </si>
  <si>
    <t>Hana Le</t>
  </si>
  <si>
    <t>HD056397</t>
  </si>
  <si>
    <t>427/22 le van quoi, binh tri dong A</t>
  </si>
  <si>
    <t>HD056174</t>
  </si>
  <si>
    <t>đơn hoàn về</t>
  </si>
  <si>
    <t>TRANG BEE</t>
  </si>
  <si>
    <t>HD056552</t>
  </si>
  <si>
    <t>61/8 ĐƯỜNG SỐ 59 TỔ 23 KP3</t>
  </si>
  <si>
    <t>HD055339</t>
  </si>
  <si>
    <t>380/16/9 lê văn lương Phường tân hưng</t>
  </si>
  <si>
    <t>Thu Hằng</t>
  </si>
  <si>
    <t>HD056352</t>
  </si>
  <si>
    <t>38A đường 3158A phạm thể hiến p7. Đối diện cổng trường THPT nguyễn văn linh</t>
  </si>
  <si>
    <t>Đoàn Ngọc</t>
  </si>
  <si>
    <t>HD056567</t>
  </si>
  <si>
    <t>137/2 bình long, bình trị đông</t>
  </si>
  <si>
    <t>Trương Quỳnh Như</t>
  </si>
  <si>
    <t>HD056147</t>
  </si>
  <si>
    <t>29 Nguyễn Ngọc phương, phường Thạnh Mỹ Tây</t>
  </si>
  <si>
    <t>SI ip hàng cho zuly - fb Nguyễn Hiền Trang</t>
  </si>
  <si>
    <t>HD056335</t>
  </si>
  <si>
    <t>62/2 đường số 19 bình hưng hoà A Cty TNHH NT Digital Lab</t>
  </si>
  <si>
    <t>Ngoc Anh (SALE WEB)</t>
  </si>
  <si>
    <t>HD056568</t>
  </si>
  <si>
    <t>01 Đinh Lễ, p Xón Chiếu</t>
  </si>
  <si>
    <t>Sophia Ha</t>
  </si>
  <si>
    <t>HD056369</t>
  </si>
  <si>
    <t>136b yên thế p2</t>
  </si>
  <si>
    <t>Hoàng Quỳnh Nhhư</t>
  </si>
  <si>
    <t>HD056463</t>
  </si>
  <si>
    <t>CC an gia skyline 89 lê thị chợ, phú thuận</t>
  </si>
  <si>
    <t>HD056560</t>
  </si>
  <si>
    <t>kh ck shop 3020k</t>
  </si>
  <si>
    <t>Ngọc Trần</t>
  </si>
  <si>
    <t>HD056374</t>
  </si>
  <si>
    <t>980/4b lò gốm p8</t>
  </si>
  <si>
    <t>HD056365</t>
  </si>
  <si>
    <t>Bros hotel 222 Nguyễn cư trinh, p cầu ông lãnh</t>
  </si>
  <si>
    <t>A Cường - Hoàng My</t>
  </si>
  <si>
    <t>HD056561</t>
  </si>
  <si>
    <t>685/78/20 xô viết nghệ tĩnh, phường 26</t>
  </si>
  <si>
    <t>Anna Nguyen</t>
  </si>
  <si>
    <t>HD056524</t>
  </si>
  <si>
    <t>12a Nguyễn hữu thọ Phước kiểng Cc the park resident tòa b5</t>
  </si>
  <si>
    <t>Hồng Hạnh sale wed t8</t>
  </si>
  <si>
    <t>HD055261</t>
  </si>
  <si>
    <t>362/65 đường Hiệp Thành 13, KP7, phường Hiệp Thành</t>
  </si>
  <si>
    <t>trâm ly</t>
  </si>
  <si>
    <t>HD056544</t>
  </si>
  <si>
    <t>38 nguyễn thái bình, tân sơn</t>
  </si>
  <si>
    <t>Hà Thư (fb Anh Chau)</t>
  </si>
  <si>
    <t>HD056559</t>
  </si>
  <si>
    <t>Phương Hà sale</t>
  </si>
  <si>
    <t>HD055730</t>
  </si>
  <si>
    <t>số 15, đường 26/3, phường bình hưng hoà</t>
  </si>
  <si>
    <t>HD056025</t>
  </si>
  <si>
    <t>HD056359</t>
  </si>
  <si>
    <t>233/17 Nguyễn Trãi . Phường nguyễn cư trinh</t>
  </si>
  <si>
    <t>Trần lục gia huê</t>
  </si>
  <si>
    <t>HD054975</t>
  </si>
  <si>
    <t>292/4 Cách Mạng Tháng Tám, P Nhiêu Lộc</t>
  </si>
  <si>
    <t>Linh Tiêu</t>
  </si>
  <si>
    <t>HD056303</t>
  </si>
  <si>
    <t>97 Ký Con,p Nguyễn Thái Bình</t>
  </si>
  <si>
    <t>sok_sreypeouv</t>
  </si>
  <si>
    <t>HD056530</t>
  </si>
  <si>
    <t>363 Hung Vuong Ward An Dong (Khainam bus)</t>
  </si>
  <si>
    <t>Jasmine Sarith (Phnom Penh, Cambodia.)</t>
  </si>
  <si>
    <t>HD056319</t>
  </si>
  <si>
    <t>363 Hùng Vương, p9</t>
  </si>
  <si>
    <t>HD056527</t>
  </si>
  <si>
    <t>Ánh Hoàng-sale - SALE WEB</t>
  </si>
  <si>
    <t>HD056173</t>
  </si>
  <si>
    <t>Stown tham lương sảnh B đường C phường tân thới nhất</t>
  </si>
  <si>
    <t>Jasploy9989 (inst slideincloset)</t>
  </si>
  <si>
    <t>HD056546</t>
  </si>
  <si>
    <t>Kim Phương</t>
  </si>
  <si>
    <t>HD056590</t>
  </si>
  <si>
    <t>88 cách mạng, phường phú thọ hòa</t>
  </si>
  <si>
    <t>Nguyễn Khánh Hiền (SALE WEB)</t>
  </si>
  <si>
    <t>HD056511</t>
  </si>
  <si>
    <t>146/7 kênh tân hoá Phú tl46/7 kênh tân hóa</t>
  </si>
  <si>
    <t>KHONGKWAN</t>
  </si>
  <si>
    <t>Ngõ 72 đường 18B, phường Bình Hưng Hòa B</t>
  </si>
  <si>
    <t>VVI EVA</t>
  </si>
  <si>
    <t>141 Hùng Vương phường 4</t>
  </si>
  <si>
    <t>Ly Clara Selena</t>
  </si>
  <si>
    <t>403 tân sơn p12</t>
  </si>
  <si>
    <t>HD051858</t>
  </si>
  <si>
    <t>Heo Nè sale</t>
  </si>
  <si>
    <t>HD050427</t>
  </si>
  <si>
    <t>51/5 Thành Thái p. diên hồng</t>
  </si>
  <si>
    <t>at 09-09</t>
  </si>
  <si>
    <t>THU 4</t>
  </si>
  <si>
    <t>NGAY 9-9</t>
  </si>
  <si>
    <t>10-09-2026</t>
  </si>
  <si>
    <t>Mai Trần</t>
  </si>
  <si>
    <t>135 hải thượng lãn Ông P10</t>
  </si>
  <si>
    <t>AT 10-09</t>
  </si>
  <si>
    <t>Su Anh</t>
  </si>
  <si>
    <t>72/5 Giải Phóng, Tân Sơn Nhất</t>
  </si>
  <si>
    <t>Fangfang</t>
  </si>
  <si>
    <t>A75/6B/2 Bạch Đằng,Phường 2</t>
  </si>
  <si>
    <t>NGÂN HÀ</t>
  </si>
  <si>
    <t>40 đường 53 p10</t>
  </si>
  <si>
    <t>BOS BMB</t>
  </si>
  <si>
    <t>119 Hoàng Diệu 2 Linh Trung</t>
  </si>
  <si>
    <t>Nyy Ngã sale wed t8</t>
  </si>
  <si>
    <t>HD056803</t>
  </si>
  <si>
    <t>85/35 NguYỄN THỊ KIÊU, phường Tân Thuận (Quẹo hẻm 85/29 rồi quẹo phải sẽ thấy số nhà 85/35)</t>
  </si>
  <si>
    <t>Trương Hoài Ân</t>
  </si>
  <si>
    <t>HD056798</t>
  </si>
  <si>
    <t>160/129 Huỳnh thi hai tan chanh hiệp</t>
  </si>
  <si>
    <t>HD056835</t>
  </si>
  <si>
    <t>233/17 Nguyễn Trãi Phường nguyễn cư trinh</t>
  </si>
  <si>
    <t>HD056720</t>
  </si>
  <si>
    <t>Hông Ngon</t>
  </si>
  <si>
    <t>HD056750</t>
  </si>
  <si>
    <t>74/4 Trần Thái Tông, P15</t>
  </si>
  <si>
    <t>Hà Vi Nguyen Sale t8</t>
  </si>
  <si>
    <t>HD056028</t>
  </si>
  <si>
    <t>Căn hộ B12A13 Centana 36 Mai Chi Thọ, Bình Trưng</t>
  </si>
  <si>
    <t>Linh Linh Nhi</t>
  </si>
  <si>
    <t>HDO56754</t>
  </si>
  <si>
    <t>231/36 nguyễn duy dương p4</t>
  </si>
  <si>
    <t>Anh Thu Nguyen</t>
  </si>
  <si>
    <t>HD056845</t>
  </si>
  <si>
    <t>230 cao thắng, p12</t>
  </si>
  <si>
    <t>c duyên - fb Hà Túi</t>
  </si>
  <si>
    <t>HD056753</t>
  </si>
  <si>
    <t>15a duong nguyễn hữu thọ Toa t1</t>
  </si>
  <si>
    <t>Chị My (website)</t>
  </si>
  <si>
    <t>HD056820</t>
  </si>
  <si>
    <t>1287/33/58 Phạm Thế Hiển, P5</t>
  </si>
  <si>
    <t>Tiến fb Văn Lời</t>
  </si>
  <si>
    <t>HD056837</t>
  </si>
  <si>
    <t>003 Lô B chung cư Trần Quốc Thảo, P9</t>
  </si>
  <si>
    <t>Trang Angels</t>
  </si>
  <si>
    <t>HD056626</t>
  </si>
  <si>
    <t>nhà 20 đường 2B phường Tân Mỹ</t>
  </si>
  <si>
    <t>Minh Thư</t>
  </si>
  <si>
    <t>HD056844</t>
  </si>
  <si>
    <t>211/9 Hoàng Văn Thụ</t>
  </si>
  <si>
    <t>Huyen Anh SALE WED T8</t>
  </si>
  <si>
    <t>HD056805</t>
  </si>
  <si>
    <t>2/76 cô giang, phường cầu kiệu</t>
  </si>
  <si>
    <t>Ruby Nguyen (SALE WEB)</t>
  </si>
  <si>
    <t>HD056728</t>
  </si>
  <si>
    <t>39-41 Thu Khoa Huân Phuong Ben Thanh</t>
  </si>
  <si>
    <t>Daky</t>
  </si>
  <si>
    <t>HD056818</t>
  </si>
  <si>
    <t>104 đường 11 trần lựu phường an phú</t>
  </si>
  <si>
    <t>HD056829</t>
  </si>
  <si>
    <t>208 nguyễn hữu cảnh phường 22 chung cư vinhome tòa landmark 5</t>
  </si>
  <si>
    <t>mimi</t>
  </si>
  <si>
    <t>HD056816</t>
  </si>
  <si>
    <t>339/24B Đ. Lê Văn Sỹ, Phường 13</t>
  </si>
  <si>
    <t>Trân Trân</t>
  </si>
  <si>
    <t>HD056801</t>
  </si>
  <si>
    <t>Topaz Elite Phoenix 1B, Hẻm 45 Cao Lỗ, Chánh Hưng</t>
  </si>
  <si>
    <t>HD056663</t>
  </si>
  <si>
    <t>38A đường 3158A phạm thế hiển P7. Đối diện cổng trường THPT nguyễn văn linh</t>
  </si>
  <si>
    <t>Bee Út Nguyễn</t>
  </si>
  <si>
    <t>HD056852</t>
  </si>
  <si>
    <t>Block B chung cư copac 12 tôn đản phường xóm chiếu</t>
  </si>
  <si>
    <t>Gia Linh</t>
  </si>
  <si>
    <t>HD056831</t>
  </si>
  <si>
    <t>Hẻm 256/42/2a phan huy ích p12</t>
  </si>
  <si>
    <t>Thảo Anh (sihanouk)</t>
  </si>
  <si>
    <t>HD056793</t>
  </si>
  <si>
    <t>32/3/6, Kinh Dương Vương, Khu Phố 49 Phường An Lạc</t>
  </si>
  <si>
    <t>W24130 Miki (Chou)</t>
  </si>
  <si>
    <t>HD056850</t>
  </si>
  <si>
    <t>NgocThao Bui sale</t>
  </si>
  <si>
    <t>HD056815</t>
  </si>
  <si>
    <t>HD056580</t>
  </si>
  <si>
    <t>tên Xuân (nhan gium Nhi Doan)</t>
  </si>
  <si>
    <t>HD056806</t>
  </si>
  <si>
    <t>33/9 Quách Văn Tuấn phuong 12</t>
  </si>
  <si>
    <t>Huỳnh Như</t>
  </si>
  <si>
    <t>HD056790</t>
  </si>
  <si>
    <t>213/20/3 lê đình cẩn, phường tân tạo</t>
  </si>
  <si>
    <t>at 10-09</t>
  </si>
  <si>
    <t>NGAY 10-9</t>
  </si>
  <si>
    <t>11-09-2026</t>
  </si>
  <si>
    <t>W2459</t>
  </si>
  <si>
    <t>Trang Hồ - sale</t>
  </si>
  <si>
    <t>HD053466</t>
  </si>
  <si>
    <t>17 đường số 13 bình hưng hòa</t>
  </si>
  <si>
    <t>AT 11-09</t>
  </si>
  <si>
    <t>Nguyễn Thị Hà</t>
  </si>
  <si>
    <t>Ngõ 72 đường 18B, phường Bình Hưng Hòa A</t>
  </si>
  <si>
    <t>NGUYỄN MINH DUY</t>
  </si>
  <si>
    <t>90/35 Trần Văn Ơn, Phường Tân Sơn Nhì</t>
  </si>
  <si>
    <t>Liên Hoa</t>
  </si>
  <si>
    <t>HD057140</t>
  </si>
  <si>
    <t>632/5 lê văn thọ p13</t>
  </si>
  <si>
    <t>Người Nhận : ZL KIM ÁNH</t>
  </si>
  <si>
    <t>HD057037</t>
  </si>
  <si>
    <t>Số 78 Đường Số 7, P. Bình Hưng Hòa</t>
  </si>
  <si>
    <t>Hồ Thanh Phương</t>
  </si>
  <si>
    <t>HD057137</t>
  </si>
  <si>
    <t>158/56/21 Phạm Văn Chiêu, phường 8</t>
  </si>
  <si>
    <t>Vy Tépp</t>
  </si>
  <si>
    <t>HD057041</t>
  </si>
  <si>
    <t>69 phạm viết chánh cầu ông lãnh</t>
  </si>
  <si>
    <t>Thanh Hiền</t>
  </si>
  <si>
    <t>HD056510</t>
  </si>
  <si>
    <t>Block D1, Chung cư Hoàng Anh Gia Lai 3, Đường Nguyễn Hữu Thọ, xã Phước Kiển</t>
  </si>
  <si>
    <t>Veriska DEBORA Room 102</t>
  </si>
  <si>
    <t>HD057134</t>
  </si>
  <si>
    <t>Ngô Oanh</t>
  </si>
  <si>
    <t>HD056934</t>
  </si>
  <si>
    <t>151 Khánh Hội P. Vĩnh Hội</t>
  </si>
  <si>
    <t>Trần Huệ</t>
  </si>
  <si>
    <t>HD057086</t>
  </si>
  <si>
    <t>391 ngô gia tự p2</t>
  </si>
  <si>
    <t>HD057092</t>
  </si>
  <si>
    <t>Ly Na sale</t>
  </si>
  <si>
    <t>HD056990</t>
  </si>
  <si>
    <t>295/C34 Tân Kì Tân Quý, Tân Sơn Nhì</t>
  </si>
  <si>
    <t>SEAKMOY1</t>
  </si>
  <si>
    <t>HD057091</t>
  </si>
  <si>
    <t>154 tuệ tĩnh p12 VTV</t>
  </si>
  <si>
    <t>Mai Anh (SALE WEB)</t>
  </si>
  <si>
    <t>HD056979</t>
  </si>
  <si>
    <t>Số 3 đường 38, tân tạo</t>
  </si>
  <si>
    <t>HD057129</t>
  </si>
  <si>
    <t>Duyên Nhận dùm (SALE WEB)</t>
  </si>
  <si>
    <t>HD056887</t>
  </si>
  <si>
    <t>265 lý tự trong</t>
  </si>
  <si>
    <t>Kenny Astomo</t>
  </si>
  <si>
    <t>HD057085</t>
  </si>
  <si>
    <t>259 Vo Nguyen Giap, An Phu, Unit W12.10 West Tower Residence, at Lumiere Riverside Apartment</t>
  </si>
  <si>
    <t>Trần Lê Thi Thiên - SALE WEB</t>
  </si>
  <si>
    <t>HD056980</t>
  </si>
  <si>
    <t>Giáng Hương</t>
  </si>
  <si>
    <t>HD057121</t>
  </si>
  <si>
    <t>111 đường số 10 phường 13</t>
  </si>
  <si>
    <t>Tăng Lan Thương sale</t>
  </si>
  <si>
    <t>HD056912</t>
  </si>
  <si>
    <t>46 Nguyễn cơ thạch, p an Khánh</t>
  </si>
  <si>
    <t>My Nguyễn</t>
  </si>
  <si>
    <t>HD056755</t>
  </si>
  <si>
    <t>15b/62 Lê Thánh Tôn,P.Bến Nghé</t>
  </si>
  <si>
    <t>Lona Loan-sale</t>
  </si>
  <si>
    <t>HD057083</t>
  </si>
  <si>
    <t>120/15B Trần Quốc Thảo, P.Xuân Hoà (LSKIN BEAUTY &amp; SPA)</t>
  </si>
  <si>
    <t>Quynhnie</t>
  </si>
  <si>
    <t>HD056921</t>
  </si>
  <si>
    <t>Nguyễn Thị Quyên</t>
  </si>
  <si>
    <t>HD057020</t>
  </si>
  <si>
    <t>5 đường 34, phường Hiệp Bình Chánh</t>
  </si>
  <si>
    <t>Huỳnh Kim</t>
  </si>
  <si>
    <t>HD057027</t>
  </si>
  <si>
    <t>109 bến vẫn đồn, phường 9</t>
  </si>
  <si>
    <t>My Nhung Ly</t>
  </si>
  <si>
    <t>HD056910</t>
  </si>
  <si>
    <t>số 13 đường số 9, P13</t>
  </si>
  <si>
    <t>Huynh Yen</t>
  </si>
  <si>
    <t>HD056379</t>
  </si>
  <si>
    <t>N8-14 Huỳnh Tấn Phát, Khu Dân Cư Anh Tuấn Green Riverside, xã nhà bè</t>
  </si>
  <si>
    <t>Thu Ba DS</t>
  </si>
  <si>
    <t>HD057098</t>
  </si>
  <si>
    <t>395 Bùi Đình Tuý, p14</t>
  </si>
  <si>
    <t>BN10247</t>
  </si>
  <si>
    <t>HD057069</t>
  </si>
  <si>
    <t>Nguyễn Dung sale</t>
  </si>
  <si>
    <t>HD056794</t>
  </si>
  <si>
    <t>Chung cư saigon asiana 336/20 nguyễn văn luông, phú lâm</t>
  </si>
  <si>
    <t>Lê Hồng Nhung</t>
  </si>
  <si>
    <t>HD057116</t>
  </si>
  <si>
    <t>161 hoa lan p2</t>
  </si>
  <si>
    <t>Nguyễn Quỳnh</t>
  </si>
  <si>
    <t>HD057039</t>
  </si>
  <si>
    <t>454 Võ Chí Công, phường Phú Hữu (Safira Khang Điền)</t>
  </si>
  <si>
    <t>Nguyễn Thị Hà + Meow Service + [MS0419]</t>
  </si>
  <si>
    <t>HD057082</t>
  </si>
  <si>
    <t>Ngõ 72 đường 18B, phường Bình Hưng Hoà A</t>
  </si>
  <si>
    <t>HD057160</t>
  </si>
  <si>
    <t>101 bạch đằng, tân sơn hòa Tago Airport Hotel GỬI LỄ TÂN</t>
  </si>
  <si>
    <t>HD056888</t>
  </si>
  <si>
    <t>Số 3 đường 38, tàn tạo</t>
  </si>
  <si>
    <t>Sanita Mao</t>
  </si>
  <si>
    <t>HD057139</t>
  </si>
  <si>
    <t>209 Phạm Ngũ Lão, Bến Thành</t>
  </si>
  <si>
    <t>HD057033</t>
  </si>
  <si>
    <t>152 duong nguyễn hữu thọ Toa t1</t>
  </si>
  <si>
    <t>Đức Châu (SALE WEB)</t>
  </si>
  <si>
    <t>HD056889</t>
  </si>
  <si>
    <t>234/89c phạm phú thứ P1 (Phường Bình Tiên)</t>
  </si>
  <si>
    <t>HD056890</t>
  </si>
  <si>
    <t>số 1 đinh lễ phường xóm chiếu</t>
  </si>
  <si>
    <t>Hoa Luong</t>
  </si>
  <si>
    <t>HD057011</t>
  </si>
  <si>
    <t>766A/7 lạc long quân, phường tân hòa</t>
  </si>
  <si>
    <t>An Nhi</t>
  </si>
  <si>
    <t>HD057073</t>
  </si>
  <si>
    <t>007 Lô B, Đường C6, C/c Tây Thạnh, P. Tây Thạnh</t>
  </si>
  <si>
    <t>Thi Vo</t>
  </si>
  <si>
    <t>HD057012</t>
  </si>
  <si>
    <t>3, NGÔ THỊ THU MINH, F2</t>
  </si>
  <si>
    <t>Phạm Dung</t>
  </si>
  <si>
    <t>HD057126</t>
  </si>
  <si>
    <t>Oanh Pham</t>
  </si>
  <si>
    <t>HD056942</t>
  </si>
  <si>
    <t>337/2 đường TTH21 phường Tân Thới Hiệp</t>
  </si>
  <si>
    <t>Quỳnh Ny</t>
  </si>
  <si>
    <t>HD057081</t>
  </si>
  <si>
    <t>88/71A pham hung P Chánh Hưng</t>
  </si>
  <si>
    <t>Mai Linh (Zalo)</t>
  </si>
  <si>
    <t>HD057070</t>
  </si>
  <si>
    <t>1c phổ quang phường tân bình ( phòng khám da liễu royal )</t>
  </si>
  <si>
    <t>at 11-09</t>
  </si>
  <si>
    <t>NGAY 11-9</t>
  </si>
  <si>
    <t>thu truong</t>
  </si>
  <si>
    <t>159/43/5 Đường Bạch Đằng, phường Tân Sơn Hòa</t>
  </si>
  <si>
    <t>12-09-2026</t>
  </si>
  <si>
    <t>Pachara (BN6994)</t>
  </si>
  <si>
    <t>NT Hải Yến</t>
  </si>
  <si>
    <t>132 khu dân cư Tân tiến, Tân Thới Hiệp</t>
  </si>
  <si>
    <t>Nguyen Quyen Quyen</t>
  </si>
  <si>
    <t>117 Trần Thủ Độ, Phú Thạnh</t>
  </si>
  <si>
    <t>AT 12-09</t>
  </si>
  <si>
    <t>SU ANH</t>
  </si>
  <si>
    <t>Kiều Trang sale wed t8</t>
  </si>
  <si>
    <t>HD057136</t>
  </si>
  <si>
    <t>18 đường tám danh p.chánh Hưng</t>
  </si>
  <si>
    <t>Nicole Trieu</t>
  </si>
  <si>
    <t>HD056849</t>
  </si>
  <si>
    <t>M37/15 Cư Xá Phú Lâm A Phường 12 (Phường Phú Lâm)</t>
  </si>
  <si>
    <t>HD057240</t>
  </si>
  <si>
    <t>HD057213</t>
  </si>
  <si>
    <t>36/15/69 bùi tư toàn kp4 phường an lạc</t>
  </si>
  <si>
    <t>BN9663</t>
  </si>
  <si>
    <t>HD057192</t>
  </si>
  <si>
    <t>Đặng Minh Hải</t>
  </si>
  <si>
    <t>HD057093</t>
  </si>
  <si>
    <t>cc lavida plus nguyễn văn linh Phường Tân Hưng</t>
  </si>
  <si>
    <t>Hoa</t>
  </si>
  <si>
    <t>HD057315</t>
  </si>
  <si>
    <t>127/9 phạm đình hổ p6</t>
  </si>
  <si>
    <t>Jenny Pinky</t>
  </si>
  <si>
    <t>HD057210</t>
  </si>
  <si>
    <t>102/34 phan huy ích p15</t>
  </si>
  <si>
    <t>Hoài Yên - fb Truc Nguyen</t>
  </si>
  <si>
    <t>HD057194</t>
  </si>
  <si>
    <t>55/24/11 Thành Mỹ, p. Tân Hòa</t>
  </si>
  <si>
    <t>THÙY MỴ + HUY NGUYỄN</t>
  </si>
  <si>
    <t>HD057291</t>
  </si>
  <si>
    <t>Số 125/12 Lê Văn Phan, Phường Phú Thọ Hòa</t>
  </si>
  <si>
    <t>HD057186</t>
  </si>
  <si>
    <t>HD057327</t>
  </si>
  <si>
    <t>173/42 Thành Thái</t>
  </si>
  <si>
    <t>BN14276 (Important plase noted| BN14276) Satagate Srithong</t>
  </si>
  <si>
    <t>HD057169</t>
  </si>
  <si>
    <t>Hồng Kim Châu</t>
  </si>
  <si>
    <t>HD057376</t>
  </si>
  <si>
    <t>An gia skyline 89 lê Thị chợ phú thuận</t>
  </si>
  <si>
    <t>HD057279</t>
  </si>
  <si>
    <t>120/15B Trần Quốc Thảo, P. Xuân Hòa (LSKIN BEAUTY &amp; SPA)</t>
  </si>
  <si>
    <t>Thuỷ Nguyễn-sale</t>
  </si>
  <si>
    <t>HD057183</t>
  </si>
  <si>
    <t>Meng Kong</t>
  </si>
  <si>
    <t>HD057243</t>
  </si>
  <si>
    <t>Khải Nam 363 Hùng Vương p6</t>
  </si>
  <si>
    <t>Thanh Hoàng-sale</t>
  </si>
  <si>
    <t>HD057290</t>
  </si>
  <si>
    <t>lô c chung cư Tân Mỹ P. Tân Phú</t>
  </si>
  <si>
    <t>Nguyễn Hoàng Mẫn Chi saleq</t>
  </si>
  <si>
    <t>HD057355</t>
  </si>
  <si>
    <t>1892 quốc lộ 1 tân thới hiệp</t>
  </si>
  <si>
    <t>Nguyễn Huyền Sương</t>
  </si>
  <si>
    <t>HD057333</t>
  </si>
  <si>
    <t>113/49/29 Lâm Thị Hồ, Tân Chánh Hiệp</t>
  </si>
  <si>
    <t>Trúc PS702</t>
  </si>
  <si>
    <t>HD057224</t>
  </si>
  <si>
    <t>674 đường số 2 phường Phú Lâm</t>
  </si>
  <si>
    <t>Nguyễn Yến Nhi</t>
  </si>
  <si>
    <t>HD057362</t>
  </si>
  <si>
    <t>Vinhomes grand park - plong binh - tòa gh3B</t>
  </si>
  <si>
    <t>Nguyễn Huyền Trang</t>
  </si>
  <si>
    <t>HD057339</t>
  </si>
  <si>
    <t>khun leang</t>
  </si>
  <si>
    <t>HD057218</t>
  </si>
  <si>
    <t>nhà xe khải nam</t>
  </si>
  <si>
    <t>HD057346</t>
  </si>
  <si>
    <t>HD057336</t>
  </si>
  <si>
    <t>HD057313</t>
  </si>
  <si>
    <t>Trần Ngọc Thúy</t>
  </si>
  <si>
    <t>HD056821</t>
  </si>
  <si>
    <t>saigon mia block b cổng sau</t>
  </si>
  <si>
    <t>Phuong Thao</t>
  </si>
  <si>
    <t>HD057281</t>
  </si>
  <si>
    <t>137/18, âu dương lân, phường chánh hưng</t>
  </si>
  <si>
    <t>Kim Ngan Nguyen sale</t>
  </si>
  <si>
    <t>HD056911</t>
  </si>
  <si>
    <t>16 Yên Thế, Phường Tân Sơn Hòa</t>
  </si>
  <si>
    <t>Phạm Yến Nhi</t>
  </si>
  <si>
    <t>HD057383</t>
  </si>
  <si>
    <t>479/13 nguyễn kiệm, đức nhuận</t>
  </si>
  <si>
    <t>SS Cargo Shipping (SS3164 - Mr.skill)</t>
  </si>
  <si>
    <t>HD057237</t>
  </si>
  <si>
    <t>674 đường số 2, Phường 13</t>
  </si>
  <si>
    <t>MiNi Nguyễn</t>
  </si>
  <si>
    <t>HD057386</t>
  </si>
  <si>
    <t>68/27 đường 25a, phường tân quy</t>
  </si>
  <si>
    <t>at 12-09</t>
  </si>
  <si>
    <t>NGAY 12-9</t>
  </si>
  <si>
    <t>tiền cod 3.9</t>
  </si>
  <si>
    <t>14-09-2026</t>
  </si>
  <si>
    <t>Nguyễn Minh Hải ( Bow )</t>
  </si>
  <si>
    <t>17 Đường Số 13 Bình Hưng Hoà</t>
  </si>
  <si>
    <t>AT 14-09</t>
  </si>
  <si>
    <t>624 Lê Thị Riêng, thới an</t>
  </si>
  <si>
    <t>BELLA TRẦN</t>
  </si>
  <si>
    <t>66 đường 17 phường Bình Phú</t>
  </si>
  <si>
    <t>yurri</t>
  </si>
  <si>
    <t>66 Đường số 17, bình phú, 16</t>
  </si>
  <si>
    <t>Thu Quế sale</t>
  </si>
  <si>
    <t>HD057793</t>
  </si>
  <si>
    <t>149 đường số3 cư xá Lữ Gia, Phú Thọ</t>
  </si>
  <si>
    <t>Ngoc Anh</t>
  </si>
  <si>
    <t>HD057806</t>
  </si>
  <si>
    <t>185f cống quỳnh</t>
  </si>
  <si>
    <t>HD057754</t>
  </si>
  <si>
    <t>Nhy Lê - fb hà dương</t>
  </si>
  <si>
    <t>HD057787</t>
  </si>
  <si>
    <t>2e/8 đường 34 bình phú</t>
  </si>
  <si>
    <t>Phương Thảo TA</t>
  </si>
  <si>
    <t>HD057913</t>
  </si>
  <si>
    <t>Kim Ni</t>
  </si>
  <si>
    <t>HD057672</t>
  </si>
  <si>
    <t>247 hoà hảo p2</t>
  </si>
  <si>
    <t>Chị Huệ...</t>
  </si>
  <si>
    <t>HD057872</t>
  </si>
  <si>
    <t>71 kênh nước đen bình hưng hòa</t>
  </si>
  <si>
    <t>chemy</t>
  </si>
  <si>
    <t>HD057584</t>
  </si>
  <si>
    <t>Toà A2 sunshine sky city</t>
  </si>
  <si>
    <t>HD057657</t>
  </si>
  <si>
    <t>980/4b lo gom p8</t>
  </si>
  <si>
    <t>Nguyễn Đào</t>
  </si>
  <si>
    <t>HD057522</t>
  </si>
  <si>
    <t>14 trần bình trọng phường Chợ Quán khu phố 13</t>
  </si>
  <si>
    <t>HD057875</t>
  </si>
  <si>
    <t>Xíu Nguyễn</t>
  </si>
  <si>
    <t>HD057493</t>
  </si>
  <si>
    <t>1278 kha vạn cân p linh xuân</t>
  </si>
  <si>
    <t>Quế Trân</t>
  </si>
  <si>
    <t>HD057656</t>
  </si>
  <si>
    <t>179/65 tổ 43 kp4 trung mỹ tây ( Cổng sau trưởng mẫu giáo kim đồng )</t>
  </si>
  <si>
    <t>Đoàn Thảo Nguyên</t>
  </si>
  <si>
    <t>HD057940</t>
  </si>
  <si>
    <t>504 nhật tảo</t>
  </si>
  <si>
    <t>HD057942</t>
  </si>
  <si>
    <t>Mei Bebi</t>
  </si>
  <si>
    <t>HD057786</t>
  </si>
  <si>
    <t>103 đào tộng nguyên khu phố 7 (ngay quán cafe bida 79)</t>
  </si>
  <si>
    <t>HD057938</t>
  </si>
  <si>
    <t>Truc Van</t>
  </si>
  <si>
    <t>HD057796</t>
  </si>
  <si>
    <t>D20/39/1 ấp 4a võ văn Vân</t>
  </si>
  <si>
    <t>LDVKH</t>
  </si>
  <si>
    <t>HD057498</t>
  </si>
  <si>
    <t>177c,Đường Số 1,P Bình Hưng Hòa B</t>
  </si>
  <si>
    <t>Như Quỳnh saleweb</t>
  </si>
  <si>
    <t>HD057650</t>
  </si>
  <si>
    <t>66/68, Phổ Quang, Phường 2</t>
  </si>
  <si>
    <t>HD057586</t>
  </si>
  <si>
    <t>35 Duy Tân phường 8</t>
  </si>
  <si>
    <t>MQTC0175/NGUYỄN NGUYỆT PHÁT</t>
  </si>
  <si>
    <t>HD057652</t>
  </si>
  <si>
    <t>144C Trấn Thị Trọng, Phường 15 (Cống lở cũ)</t>
  </si>
  <si>
    <t>Kim Hoàng Hoa Nguyễn</t>
  </si>
  <si>
    <t>HD057768</t>
  </si>
  <si>
    <t>Villa 26 chateau 1 đường 22, phường Tân Mỹ</t>
  </si>
  <si>
    <t>gửi đồ cho Hiếu Nghi</t>
  </si>
  <si>
    <t>HD057391</t>
  </si>
  <si>
    <t>88/41 mạc vân phường phú định</t>
  </si>
  <si>
    <t>Phan Thảo</t>
  </si>
  <si>
    <t>HD057592</t>
  </si>
  <si>
    <t>S1001 vinhome grand park, phường long bình</t>
  </si>
  <si>
    <t>Vân - fb Mat Meo</t>
  </si>
  <si>
    <t>HD057616</t>
  </si>
  <si>
    <t>Panorama Building 36/31 đường B7, phước kiển</t>
  </si>
  <si>
    <t>HD057422</t>
  </si>
  <si>
    <t>ý phương lê</t>
  </si>
  <si>
    <t>HD057734</t>
  </si>
  <si>
    <t>117 nghĩa thục p5</t>
  </si>
  <si>
    <t>HD057738</t>
  </si>
  <si>
    <t>Gia Khương</t>
  </si>
  <si>
    <t>HD057847</t>
  </si>
  <si>
    <t>28 huỳnh tịnh của, phường xuân hòa</t>
  </si>
  <si>
    <t>Sokhavy</t>
  </si>
  <si>
    <t>HD057923</t>
  </si>
  <si>
    <t>A25 luxury hotel 277B Le Thanh Ton, Ben Thanh ward</t>
  </si>
  <si>
    <t>Trần N.Ý Nhi</t>
  </si>
  <si>
    <t>HD057552</t>
  </si>
  <si>
    <t>688/23/1C HƯƠNG LỘ 2 phường BÌNH TRỊ ĐÔNG A</t>
  </si>
  <si>
    <t>Nguyễn thạch thảo_FB: Aster Aster</t>
  </si>
  <si>
    <t>HD057830</t>
  </si>
  <si>
    <t>Block C5.13.10, chung cư Picity High Park, Số 9A, TX13, P Thới An</t>
  </si>
  <si>
    <t>HD057495</t>
  </si>
  <si>
    <t>275/14B1 Đặng Nguyên Cần, Phường Phú Lâm</t>
  </si>
  <si>
    <t>HD057864</t>
  </si>
  <si>
    <t>THI (KT Ng)</t>
  </si>
  <si>
    <t>HD057485</t>
  </si>
  <si>
    <t>39 Nguyen thi Tháp khu dan cu him lam phuong tan hung ( me in nail )</t>
  </si>
  <si>
    <t>Suc Vày</t>
  </si>
  <si>
    <t>HD057829</t>
  </si>
  <si>
    <t>338/24 âu cơ p10</t>
  </si>
  <si>
    <t>Nguyen Hong Hai</t>
  </si>
  <si>
    <t>HD057414</t>
  </si>
  <si>
    <t>Chung cư Midtown m8 Block D đường Tân Phú, Phú Mỹ Hưng</t>
  </si>
  <si>
    <t>A Thành nhận hộ: FB Lân Mai Lan</t>
  </si>
  <si>
    <t>HD057476</t>
  </si>
  <si>
    <t>381 lê văn khương hiệp thành</t>
  </si>
  <si>
    <t>Trâm ( zalo fb Lâm Yến Nhi )</t>
  </si>
  <si>
    <t>HD057846</t>
  </si>
  <si>
    <t>Cty Thế Long Express 27/5 Quách Văn Tuấn, f12</t>
  </si>
  <si>
    <t>Khánh Linh</t>
  </si>
  <si>
    <t>HD057407</t>
  </si>
  <si>
    <t>72/7 giải phóng phường tân bình</t>
  </si>
  <si>
    <t>Joanna Pang</t>
  </si>
  <si>
    <t>HD057908</t>
  </si>
  <si>
    <t>Block A2, 20-02, CC Xi Grand, 25B Lý Thường Kiệt, p14</t>
  </si>
  <si>
    <t>Ngan Pham</t>
  </si>
  <si>
    <t>HD057924</t>
  </si>
  <si>
    <t>Block a5 cc Đức Khải đường 15B P Tân Mỹ</t>
  </si>
  <si>
    <t>Hà Phan</t>
  </si>
  <si>
    <t>HD057842</t>
  </si>
  <si>
    <t>Khu Glen, số nhà V8-08, Cổng 1 Diamond Brillant, phường Sơn Kỳ</t>
  </si>
  <si>
    <t>Siêng Siêng</t>
  </si>
  <si>
    <t>HD057466</t>
  </si>
  <si>
    <t>12A ĐƯỜNG SỐ 5, BÌNH TRƯNG ĐÔNG</t>
  </si>
  <si>
    <t>Jessika Piraya - (Jess-9244)</t>
  </si>
  <si>
    <t>HD057735</t>
  </si>
  <si>
    <t>Phy Phy</t>
  </si>
  <si>
    <t>HD57554</t>
  </si>
  <si>
    <t>16/2 Thái Thị Nhạn, Phường Bảy Hiền</t>
  </si>
  <si>
    <t>Minh Hà Hana</t>
  </si>
  <si>
    <t>HD057785</t>
  </si>
  <si>
    <t>275 võ nguyên giáp lumier west</t>
  </si>
  <si>
    <t>Gracie Le sale</t>
  </si>
  <si>
    <t>HD057534</t>
  </si>
  <si>
    <t>165 hàm nghi phường bến thành</t>
  </si>
  <si>
    <t>HD057408</t>
  </si>
  <si>
    <t>Heng Roza (EV38382)</t>
  </si>
  <si>
    <t>HD057538</t>
  </si>
  <si>
    <t>C10/2B QL1A, X. TÂN NHỰT</t>
  </si>
  <si>
    <t>Nguyễn Ngọc tường vi</t>
  </si>
  <si>
    <t>HD057890</t>
  </si>
  <si>
    <t>Block c3 Chung cư Himlam chợ lớn, p11</t>
  </si>
  <si>
    <t>Lâm Diễm</t>
  </si>
  <si>
    <t>HD057922</t>
  </si>
  <si>
    <t>Delasd (C1905)</t>
  </si>
  <si>
    <t>Trịnh Thanh Bình sale</t>
  </si>
  <si>
    <t>HD057396</t>
  </si>
  <si>
    <t>502/63 Huỳnh Tấn Phát, Phường Tân Thuận</t>
  </si>
  <si>
    <t>HD057912</t>
  </si>
  <si>
    <t>208 nguyễn hữu cảnh phường 22 chung cư vinhome toà lanmark 5</t>
  </si>
  <si>
    <t>Bảo Trâm Tôn Nữ sale -SALE WEB</t>
  </si>
  <si>
    <t>HD057892</t>
  </si>
  <si>
    <t>198/9 nguyễn văn khối p9</t>
  </si>
  <si>
    <t>Thanh Thanh Pham</t>
  </si>
  <si>
    <t>HD057674</t>
  </si>
  <si>
    <t>200 lê lai bến thành</t>
  </si>
  <si>
    <t>Kim Anh</t>
  </si>
  <si>
    <t>HD057703</t>
  </si>
  <si>
    <t>418/3E trần phú phường 7</t>
  </si>
  <si>
    <t>Tô Phương Dung sale</t>
  </si>
  <si>
    <t>HD057427</t>
  </si>
  <si>
    <t>163 Pasteur, Phường Xuân Hòa</t>
  </si>
  <si>
    <t>Chị Nguyễn fb Kim Ngọc</t>
  </si>
  <si>
    <t>HD057928</t>
  </si>
  <si>
    <t>12bis Đinh Tiên Hoàng P dakao</t>
  </si>
  <si>
    <t>Nguyễn Duyên</t>
  </si>
  <si>
    <t>HD057717</t>
  </si>
  <si>
    <t>1396/45/14 Lê Đức Thọ, an hội tây</t>
  </si>
  <si>
    <t>HD057635</t>
  </si>
  <si>
    <t>Yen Nguyen</t>
  </si>
  <si>
    <t>HD057930</t>
  </si>
  <si>
    <t>92g nguyễn hữu cảnh, phường 22</t>
  </si>
  <si>
    <t xml:space="preserve">Hồng Ngân </t>
  </si>
  <si>
    <t>HD057718</t>
  </si>
  <si>
    <t>Block ap1 Số 35 bến vân đồn p13 tòa nhà saigon royal (sảnh nguyễn trường tộ)</t>
  </si>
  <si>
    <t>Như Mer</t>
  </si>
  <si>
    <t>HD057838</t>
  </si>
  <si>
    <t>170 Tân Mỹ, Tân Thuận Tây</t>
  </si>
  <si>
    <t>Trinh Lê</t>
  </si>
  <si>
    <t>HD057475</t>
  </si>
  <si>
    <t>the peak M8 midtown apartment block C-D tân phú KĐT phú mỹ hưng</t>
  </si>
  <si>
    <t>gặp Thủy fb Barbie Pham</t>
  </si>
  <si>
    <t>HD057907</t>
  </si>
  <si>
    <t>1806/34/4 Huỳnh Tấn Phát</t>
  </si>
  <si>
    <t>Hoài Phúc</t>
  </si>
  <si>
    <t>HD057850</t>
  </si>
  <si>
    <t>52 đường 24, P. Long Bình</t>
  </si>
  <si>
    <t>Yến Lê</t>
  </si>
  <si>
    <t>HD057491</t>
  </si>
  <si>
    <t>114 đường số 28, Bình Trị Đông B (An Lạc mới) (đối diện Aeon Mall Bình Tân)</t>
  </si>
  <si>
    <t>at 14-09</t>
  </si>
  <si>
    <t>NGAY 14-9</t>
  </si>
  <si>
    <t>kh ck shop 810k</t>
  </si>
  <si>
    <t>kh ck shop 950k</t>
  </si>
  <si>
    <t>SHOP C NA</t>
  </si>
  <si>
    <t>156 đường tân mỹ tân thuận tây</t>
  </si>
  <si>
    <t>AT 15-09</t>
  </si>
  <si>
    <t>15-09-2026</t>
  </si>
  <si>
    <t>141 hùng vương phường 4</t>
  </si>
  <si>
    <t>Thái Loan</t>
  </si>
  <si>
    <t>36/15 yên thế, Phường 02</t>
  </si>
  <si>
    <t>225 Thống Nhất, An Hội Đông</t>
  </si>
  <si>
    <t>403 Tân Sơn p12</t>
  </si>
  <si>
    <t>Nguyễn Phạm Việt Nga</t>
  </si>
  <si>
    <t>HD058006</t>
  </si>
  <si>
    <t>Căn A3A02, Chung cư Fresca Riverside - BLOCK A, Đường số 5, phường Tam Bình</t>
  </si>
  <si>
    <t>Su Wai</t>
  </si>
  <si>
    <t>HD058207</t>
  </si>
  <si>
    <t>494/1/12 Lê Quang Dinh</t>
  </si>
  <si>
    <t>bích fb NG Eric</t>
  </si>
  <si>
    <t>HD058187</t>
  </si>
  <si>
    <t>111/15/6 lê đình cẩn, tân tạo</t>
  </si>
  <si>
    <t>Nhận hộ fb Nguyễn Hà</t>
  </si>
  <si>
    <t>HD058163</t>
  </si>
  <si>
    <t>433/11/2 Lê Đức Thọ, Phường 17</t>
  </si>
  <si>
    <t>Hải Dương</t>
  </si>
  <si>
    <t>HD058073</t>
  </si>
  <si>
    <t>13 Phạm Thế Hiển p1</t>
  </si>
  <si>
    <t>HD058140</t>
  </si>
  <si>
    <t>33/58 lâm thị hố - tân chánh hiệp</t>
  </si>
  <si>
    <t>Diễm Hương</t>
  </si>
  <si>
    <t>HD058173</t>
  </si>
  <si>
    <t>8a/6c2 thái văn lung phường bến nghé</t>
  </si>
  <si>
    <t>HD058232</t>
  </si>
  <si>
    <t>624 Lê thị riêng,thới an</t>
  </si>
  <si>
    <t>Khai Nguyen Nguyen - Thảo Nguyên</t>
  </si>
  <si>
    <t>HD058177</t>
  </si>
  <si>
    <t>chung cư Garden Court 2 đ, Tôn Dật Tiên</t>
  </si>
  <si>
    <t>Quynh Yumi</t>
  </si>
  <si>
    <t>HD058191</t>
  </si>
  <si>
    <t>36/15 yên thế, p2</t>
  </si>
  <si>
    <t>Nguyễn Biết</t>
  </si>
  <si>
    <t>HD058174</t>
  </si>
  <si>
    <t>2/17a quách văn tuấn, p12</t>
  </si>
  <si>
    <t>Sana</t>
  </si>
  <si>
    <t>HD058171</t>
  </si>
  <si>
    <t>5A đường 85 tân hưng</t>
  </si>
  <si>
    <t>Ánh Thi</t>
  </si>
  <si>
    <t>HD058054</t>
  </si>
  <si>
    <t>48/36 hồ biểu chánh</t>
  </si>
  <si>
    <t>Mén HM</t>
  </si>
  <si>
    <t>HD058217</t>
  </si>
  <si>
    <t>Toà Landmark 2</t>
  </si>
  <si>
    <t>Trúc Trương</t>
  </si>
  <si>
    <t>HD058203</t>
  </si>
  <si>
    <t>tòa C2 VinHomes Tân Cảng</t>
  </si>
  <si>
    <t>Nguyen Hoang</t>
  </si>
  <si>
    <t>HD058231</t>
  </si>
  <si>
    <t>18/2a trần quang diệu phường 14</t>
  </si>
  <si>
    <t>Mone Ng</t>
  </si>
  <si>
    <t>HD057993</t>
  </si>
  <si>
    <t>Sky Garden 2 p tân phong PMH</t>
  </si>
  <si>
    <t>Trần My sale</t>
  </si>
  <si>
    <t>HD058088</t>
  </si>
  <si>
    <t>28 đường số 6 phường bình đông</t>
  </si>
  <si>
    <t>người nhận Tâm mini</t>
  </si>
  <si>
    <t>HD058025</t>
  </si>
  <si>
    <t>CTy LLD</t>
  </si>
  <si>
    <t>Kim Tien Pham</t>
  </si>
  <si>
    <t>HD058170</t>
  </si>
  <si>
    <t>1208 trường sa</t>
  </si>
  <si>
    <t>HD058098</t>
  </si>
  <si>
    <t>đơn chuyển AT 15-09</t>
  </si>
  <si>
    <t>at 15-09</t>
  </si>
  <si>
    <t>NGAY 15-9</t>
  </si>
  <si>
    <t>Quyên Phan sale</t>
  </si>
  <si>
    <t>HD049741</t>
  </si>
  <si>
    <t>269 âu dương lân phường 2</t>
  </si>
  <si>
    <t>8</t>
  </si>
  <si>
    <t>1</t>
  </si>
  <si>
    <t>Lisa</t>
  </si>
  <si>
    <t>173 phan huy ích . Phường tân sơn</t>
  </si>
  <si>
    <t>16-09-2026</t>
  </si>
  <si>
    <t>Thương 1994</t>
  </si>
  <si>
    <t>Tòa Bs10, Vinhome Grand Park, Long Bình</t>
  </si>
  <si>
    <t>Minh Nguyệt + Lin Xiao + Hàng Air - đơn sau thu 20k</t>
  </si>
  <si>
    <t>HD058456</t>
  </si>
  <si>
    <t>C16-17 lô C1, đường DD5, phường Đông Hưng Thuận (ghi chú: sau lưng chợ An Sương)</t>
  </si>
  <si>
    <t>Nguyên sale t8</t>
  </si>
  <si>
    <t>HD058535</t>
  </si>
  <si>
    <t>21/10 Đường 9, P. Long Trường</t>
  </si>
  <si>
    <t>Yen Thi Kim Le</t>
  </si>
  <si>
    <t>HD058321</t>
  </si>
  <si>
    <t>549 Điện Biên Phủ bàn cờ</t>
  </si>
  <si>
    <t>(Tiến) fb Vân Lời sale</t>
  </si>
  <si>
    <t>HD058376</t>
  </si>
  <si>
    <t>003 lô B chung cư Trần quốc Thảo P9</t>
  </si>
  <si>
    <t>TrỢ LÍ ZISHAN - Ngoc A2.19.10</t>
  </si>
  <si>
    <t>HD058422</t>
  </si>
  <si>
    <t>lock A2 căn A2.19.10 Chung cư SG Riverside, Block A2- U2, 04 đường Đào Trí, Phú Thuận</t>
  </si>
  <si>
    <t>AT 16-09</t>
  </si>
  <si>
    <t>Phạm Yến</t>
  </si>
  <si>
    <t>HD058279</t>
  </si>
  <si>
    <t>64b đường số 32 bình trị đông b</t>
  </si>
  <si>
    <t>ni si trần Nhận hộ fb Thúy vy</t>
  </si>
  <si>
    <t>HD058129</t>
  </si>
  <si>
    <t>Số 78 đường số 7 bình hưng hòa</t>
  </si>
  <si>
    <t>Hàng Của Janie (zalo)</t>
  </si>
  <si>
    <t>HD058286</t>
  </si>
  <si>
    <t>Chy Chy</t>
  </si>
  <si>
    <t>HD058253</t>
  </si>
  <si>
    <t>55/3 Trần Đình Xu phường cầu ông lãnh</t>
  </si>
  <si>
    <t>HD058488</t>
  </si>
  <si>
    <t>Nguyễn Hoàng Thư Kỳ</t>
  </si>
  <si>
    <t>HD058413</t>
  </si>
  <si>
    <t>28 tân khai</t>
  </si>
  <si>
    <t>Thảo</t>
  </si>
  <si>
    <t>HD058244</t>
  </si>
  <si>
    <t>Chung cư mỹ phú 60/68 lâm văn bền phường tân kiểng</t>
  </si>
  <si>
    <t>HD058493</t>
  </si>
  <si>
    <t>Sominea Chuon (EV34968)</t>
  </si>
  <si>
    <t>HD058310</t>
  </si>
  <si>
    <t>C10/2B Quốc Lộ 1A, Xã Tân Nhựt</t>
  </si>
  <si>
    <t>Name : Veriska Anna - Room 102</t>
  </si>
  <si>
    <t>HD058467</t>
  </si>
  <si>
    <t>Grab</t>
  </si>
  <si>
    <t>Minh Hải ( quỳnh vũ )</t>
  </si>
  <si>
    <t>HD058409</t>
  </si>
  <si>
    <t>số 17 đường số 13 phường bình hưng hòa</t>
  </si>
  <si>
    <t>MC Sanita Mao (MVO1908)</t>
  </si>
  <si>
    <t>HD058301</t>
  </si>
  <si>
    <t>(Công Ty Kiến Long) C10/2B QL1A, Xã Tân Nhựt</t>
  </si>
  <si>
    <t>Người Nhận BN1549</t>
  </si>
  <si>
    <t>HD058474</t>
  </si>
  <si>
    <t>Nguyễn Thị Thanh Hiền</t>
  </si>
  <si>
    <t>HD058480</t>
  </si>
  <si>
    <t>Landmark 3,vinhomes</t>
  </si>
  <si>
    <t>Hien Hoang</t>
  </si>
  <si>
    <t>HD058432</t>
  </si>
  <si>
    <t>208 nguyễn hữu cảnh p22 - landmark 3</t>
  </si>
  <si>
    <t>của Trinh Vũ</t>
  </si>
  <si>
    <t>HD058530</t>
  </si>
  <si>
    <t>93/15 phạm Phú thứ, phường 11</t>
  </si>
  <si>
    <t>Sokhavy Room 205</t>
  </si>
  <si>
    <t>HD058293</t>
  </si>
  <si>
    <t>Triệu Vỹ Hân</t>
  </si>
  <si>
    <t>HD058486</t>
  </si>
  <si>
    <t>Cty Tnhh Nam Tiến Express, 74/4, Trần Thái Tông, Phường Tân Sơn</t>
  </si>
  <si>
    <t>HD058404</t>
  </si>
  <si>
    <t>Hải Yến</t>
  </si>
  <si>
    <t>HD058312</t>
  </si>
  <si>
    <t>Lô A07.01 chung cư Riverside 90 Nguyễn Hữu Cảnh, Thạnh Mỹ Tây</t>
  </si>
  <si>
    <t>JM TQ</t>
  </si>
  <si>
    <t>HD058096</t>
  </si>
  <si>
    <t>Cty XLINES THUẬN PHÁT, 58/6 Đường C12, khu phố 1</t>
  </si>
  <si>
    <t>Hồng Nguyễn (zalo)</t>
  </si>
  <si>
    <t>HD058454</t>
  </si>
  <si>
    <t>Chung cư Central Premium Block A, Số 856 Tạ Quang Bửu, phường 5</t>
  </si>
  <si>
    <t>HD058400</t>
  </si>
  <si>
    <t>Daisy Le</t>
  </si>
  <si>
    <t>HD058452</t>
  </si>
  <si>
    <t>418/4 Trường Sa, p2</t>
  </si>
  <si>
    <t>HD058516</t>
  </si>
  <si>
    <t>149 đường số 3 cư xá Lữ Gia, Phú Thọ</t>
  </si>
  <si>
    <t>Quỳnh Anh</t>
  </si>
  <si>
    <t>HD058473</t>
  </si>
  <si>
    <t>369/10 Lý Thái Tổ p9</t>
  </si>
  <si>
    <t>Nguyễn Thuỷ Minh Tuyết</t>
  </si>
  <si>
    <t>HD058475</t>
  </si>
  <si>
    <t>Toà S205, Vinhomes Grand Park, khu phố 51</t>
  </si>
  <si>
    <t>Nhung Phan</t>
  </si>
  <si>
    <t>HD058523</t>
  </si>
  <si>
    <t>Lô 11A đường số 7, kcn Tân Tạo, phường Tân Tạo</t>
  </si>
  <si>
    <t>Lâm Vi Hân</t>
  </si>
  <si>
    <t>HD058381</t>
  </si>
  <si>
    <t>57b/3a hưng phú phường chánh hưng</t>
  </si>
  <si>
    <t>Cẩm Tú</t>
  </si>
  <si>
    <t>HD058525</t>
  </si>
  <si>
    <t>Chung cư west gate an gia</t>
  </si>
  <si>
    <t>Hằng Ni Huỳnh</t>
  </si>
  <si>
    <t>HD058313</t>
  </si>
  <si>
    <t>chung cư galaxy 9 số 9 nguyễn khoái</t>
  </si>
  <si>
    <t>Tường Vi Nguyễn</t>
  </si>
  <si>
    <t>HD058505</t>
  </si>
  <si>
    <t>170/73/11/3 bùi đình tuý, p12</t>
  </si>
  <si>
    <t>at 16-09</t>
  </si>
  <si>
    <t>NGAY 16-9</t>
  </si>
  <si>
    <t>FEMALE</t>
  </si>
  <si>
    <t>HD058304</t>
  </si>
  <si>
    <t>1917/34 PHAM THE HIEN PHƯƠNG 6</t>
  </si>
  <si>
    <t>AT 17-09</t>
  </si>
  <si>
    <t>17-09-2026</t>
  </si>
  <si>
    <t>sun na</t>
  </si>
  <si>
    <t>HD058614</t>
  </si>
  <si>
    <t>chung cư cardinal court tòa b</t>
  </si>
  <si>
    <t>Jasmine Samith (Phnom Penh, Cambodia.)</t>
  </si>
  <si>
    <t>HD058545</t>
  </si>
  <si>
    <t>Lê Ny</t>
  </si>
  <si>
    <t>HD058588</t>
  </si>
  <si>
    <t>31/2 Lê Văn sỹ</t>
  </si>
  <si>
    <t>Huynh Anh</t>
  </si>
  <si>
    <t>HD058763</t>
  </si>
  <si>
    <t>497/3 sư vạn hạnh phường hòa hưng</t>
  </si>
  <si>
    <t>Sapphire Tran</t>
  </si>
  <si>
    <t>HD058593</t>
  </si>
  <si>
    <t>The standard bình dương-p.tân khánh-kp khánh hội</t>
  </si>
  <si>
    <t>Thanh Thanh đã ck</t>
  </si>
  <si>
    <t>HD058485</t>
  </si>
  <si>
    <t>259 Lê văn lương phường Tân Quy</t>
  </si>
  <si>
    <t>Họ Lâm</t>
  </si>
  <si>
    <t>HD058605</t>
  </si>
  <si>
    <t>215 nguyễn gia trí phường 25</t>
  </si>
  <si>
    <t>Thanh Phan ( minh hải )</t>
  </si>
  <si>
    <t>HD058676</t>
  </si>
  <si>
    <t>17 Đường Số 13 Phường Bình Hưng Hòa</t>
  </si>
  <si>
    <t>THÚY MỴ + HUY NGUYỄN</t>
  </si>
  <si>
    <t>HD058753</t>
  </si>
  <si>
    <t>Số 125/2 Lê Văn Phan, Phường Phú Hoà</t>
  </si>
  <si>
    <t>Tran Myra</t>
  </si>
  <si>
    <t>HD058722</t>
  </si>
  <si>
    <t>13 phạm thế hiển phường chánh hưng</t>
  </si>
  <si>
    <t>HD058677</t>
  </si>
  <si>
    <t>Chung cư millennium, 132 bến vân đồn, p6</t>
  </si>
  <si>
    <t>Nguyễn Ngọc Nhi Yến</t>
  </si>
  <si>
    <t>HD058625</t>
  </si>
  <si>
    <t>Sunrise Riverside lock K Nguyễn Hữu Thọ phước kiểng</t>
  </si>
  <si>
    <t>Mia Mia</t>
  </si>
  <si>
    <t>HD058620</t>
  </si>
  <si>
    <t>350 tân hương phường Tân Quý</t>
  </si>
  <si>
    <t>Tuyết Trinh</t>
  </si>
  <si>
    <t>HD058704</t>
  </si>
  <si>
    <t>19 trần văn đang p nhiêu lộc</t>
  </si>
  <si>
    <t>Thủy Tây</t>
  </si>
  <si>
    <t>HD058747</t>
  </si>
  <si>
    <t>1002 tạ quan bữu p6</t>
  </si>
  <si>
    <t>Dung Mai</t>
  </si>
  <si>
    <t>HD058592</t>
  </si>
  <si>
    <t>Toà S8 chung cư The Sun Avenue, 28 Mai Chí Thọ, An Phú</t>
  </si>
  <si>
    <t>Khánh Như</t>
  </si>
  <si>
    <t>HD058624</t>
  </si>
  <si>
    <t>220/22 Hồ Văn Huê, đức nhuận</t>
  </si>
  <si>
    <t>HD058688</t>
  </si>
  <si>
    <t>49/23/1 đường số 51, an nội tây</t>
  </si>
  <si>
    <t>kh ck shop 675k</t>
  </si>
  <si>
    <t>Hoàng Ngọc</t>
  </si>
  <si>
    <t>HD058591</t>
  </si>
  <si>
    <t>62/73/5 lý chính thắng phường võ thị sáu</t>
  </si>
  <si>
    <t>Bảo Trâm Lê</t>
  </si>
  <si>
    <t>HD058546</t>
  </si>
  <si>
    <t>76 Trần Đình Xu - P Cô Giang</t>
  </si>
  <si>
    <t>Hoàng Oanh sale t8</t>
  </si>
  <si>
    <t>HD056520</t>
  </si>
  <si>
    <t>25/11D áp Tân thời 2</t>
  </si>
  <si>
    <t>Loan Luong sale</t>
  </si>
  <si>
    <t>HD058590</t>
  </si>
  <si>
    <t>Chung cư richstar 2, toà RS7, 239-241 Hoà Bình, Hiệp Tân</t>
  </si>
  <si>
    <t>Alin</t>
  </si>
  <si>
    <t>HD058781</t>
  </si>
  <si>
    <t>71/2/13 Nguyễn Bắc, Phường 3</t>
  </si>
  <si>
    <t>A25 luxury hotel 277B Le Thanh Ton, Ben Thanh Ward</t>
  </si>
  <si>
    <t>kh ck shop 815k</t>
  </si>
  <si>
    <t>Vo Ngọc Chau</t>
  </si>
  <si>
    <t>HD058737</t>
  </si>
  <si>
    <t>1 đường F1 KDC Bình Điền P7</t>
  </si>
  <si>
    <t>HD058788</t>
  </si>
  <si>
    <t>HD058483</t>
  </si>
  <si>
    <t>Hạnh Hạnh</t>
  </si>
  <si>
    <t>HD058768</t>
  </si>
  <si>
    <t>334 tô hiến thành p14 Chung cư kingdom101 block a</t>
  </si>
  <si>
    <t>azu 2855 / HOÀNG MÈO</t>
  </si>
  <si>
    <t>HD058627</t>
  </si>
  <si>
    <t>22, ĐƯỜNG TÂN THỚI NHẤT 18, PHƯỜNG ĐÔNG HƯNG THUẬN</t>
  </si>
  <si>
    <t>LykA</t>
  </si>
  <si>
    <t>xe Khải Nam 363 Đường Hùng Vương P.9</t>
  </si>
  <si>
    <t>Hạnh Narin</t>
  </si>
  <si>
    <t>Kimm Ngan</t>
  </si>
  <si>
    <t>HD058805</t>
  </si>
  <si>
    <t>80/33 Ba Vân</t>
  </si>
  <si>
    <t>at 17-09</t>
  </si>
  <si>
    <t>NGAY 17-9</t>
  </si>
  <si>
    <t>Trà My</t>
  </si>
  <si>
    <t>HD058821</t>
  </si>
  <si>
    <t>1028/23 Tân Kỳ Tân Quý, Bình Hưng Hoà</t>
  </si>
  <si>
    <t>AT 18-09</t>
  </si>
  <si>
    <t>18-09-2026</t>
  </si>
  <si>
    <t>HD058879</t>
  </si>
  <si>
    <t>277 au duong lan chánh hung</t>
  </si>
  <si>
    <t>Mai Huong Hebe</t>
  </si>
  <si>
    <t>HD058964</t>
  </si>
  <si>
    <t>Chung cu shunshine Sky city duong phu thuận</t>
  </si>
  <si>
    <t>An</t>
  </si>
  <si>
    <t>HD058889</t>
  </si>
  <si>
    <t>485 phạm văn chiêu, P An hội đông</t>
  </si>
  <si>
    <t>Ngô Hoàng Ánh-sale</t>
  </si>
  <si>
    <t>HD058864</t>
  </si>
  <si>
    <t>235 QL13 Cũ, HBP</t>
  </si>
  <si>
    <t>Bạch NhưÝ</t>
  </si>
  <si>
    <t>HD058969</t>
  </si>
  <si>
    <t>1458 Nguyễn thái bình p04</t>
  </si>
  <si>
    <t>HD058897</t>
  </si>
  <si>
    <t>S1001 vinhome grand park, phường long binh</t>
  </si>
  <si>
    <t>tien-fb Nguyen Hoa</t>
  </si>
  <si>
    <t>HD058995</t>
  </si>
  <si>
    <t>69/23D Đường 44 Khu phố 2 Phường tam phú</t>
  </si>
  <si>
    <t>duy di (nhận hộ trang phạm)</t>
  </si>
  <si>
    <t>HD058996</t>
  </si>
  <si>
    <t>331/68 vườn lài phường an phú đông</t>
  </si>
  <si>
    <t>Nguyên Hà Phi Yến (sale)</t>
  </si>
  <si>
    <t>HD059000</t>
  </si>
  <si>
    <t>117/20 đường đỗ ngọc thạnh p.chợ lớn(p.12 cũ)</t>
  </si>
  <si>
    <t>Châu Châu</t>
  </si>
  <si>
    <t>HD058986</t>
  </si>
  <si>
    <t>E3/8 ấp 56 xã vĩnh lộc</t>
  </si>
  <si>
    <t>VTS-36113NYL</t>
  </si>
  <si>
    <t>HD058851</t>
  </si>
  <si>
    <t>131 Trần Đại Nghĩa, Ấp 32, Xã Tân Nhựt</t>
  </si>
  <si>
    <t>Ly Ly</t>
  </si>
  <si>
    <t>HD058611</t>
  </si>
  <si>
    <t>35/9 Phan Văn Hớn P. Đông Hưng Thuận</t>
  </si>
  <si>
    <t>Christy Lương</t>
  </si>
  <si>
    <t>HD058852</t>
  </si>
  <si>
    <t>Hàng Của Janie (zalo )</t>
  </si>
  <si>
    <t>HD058967</t>
  </si>
  <si>
    <t>007 Lô B, Đường C6, C/c Tây Thanh, P. Tây Thạnh</t>
  </si>
  <si>
    <t>Nhi Nhi</t>
  </si>
  <si>
    <t>HD058966</t>
  </si>
  <si>
    <t>Sunrise riverside B</t>
  </si>
  <si>
    <t>Đặng Thị NiNa</t>
  </si>
  <si>
    <t>HD058799</t>
  </si>
  <si>
    <t>703-705 Luỹ Bán Bích, Phường Phú Thọ Hoà</t>
  </si>
  <si>
    <t>Diệu Quyên</t>
  </si>
  <si>
    <t>HD059020</t>
  </si>
  <si>
    <t>242/20 phạm văn bạch p15</t>
  </si>
  <si>
    <t>225 Thống Nhất, An Hội Đồng (Trà sữa Tam Hảo)</t>
  </si>
  <si>
    <t>hương lam</t>
  </si>
  <si>
    <t>16 hoàng kim giao phường 5</t>
  </si>
  <si>
    <t>NGÂN KIM</t>
  </si>
  <si>
    <t>T8-20 mahattan vinhomes Grand park, phường long bình</t>
  </si>
  <si>
    <t>NHUNG HM</t>
  </si>
  <si>
    <t>8/1 nguyễn ảnh thủ, trung Chánh</t>
  </si>
  <si>
    <t>đơn chuyển AT 18-09</t>
  </si>
  <si>
    <t>at 18-09</t>
  </si>
  <si>
    <t>NGAY 18-9</t>
  </si>
  <si>
    <t>Lam</t>
  </si>
  <si>
    <t>HD058836</t>
  </si>
  <si>
    <t>số 9a Ba Vì, phường 4</t>
  </si>
  <si>
    <t>19-09-2026</t>
  </si>
  <si>
    <t>HD059181</t>
  </si>
  <si>
    <t>Chung cư him làm chợ lớn đường hậu giang f11</t>
  </si>
  <si>
    <t>AT 19-09</t>
  </si>
  <si>
    <t>Chị Quyên fb An Nhiên</t>
  </si>
  <si>
    <t>HD059272</t>
  </si>
  <si>
    <t>chung cư D-Aqua 301 Bình Đông, Phú Định</t>
  </si>
  <si>
    <t>An Ngô</t>
  </si>
  <si>
    <t>HD059266</t>
  </si>
  <si>
    <t>• SunriseCity South-Toà V6-Tân Hưng- • Cổng 2 Nguyễn Thị Thập</t>
  </si>
  <si>
    <t>Kim Tuyến</t>
  </si>
  <si>
    <t>HD059310</t>
  </si>
  <si>
    <t>474/10 phan văn trị, phường an đông</t>
  </si>
  <si>
    <t>Lâm Khánh Trân</t>
  </si>
  <si>
    <t>HD059091</t>
  </si>
  <si>
    <t>84 đường 11, kp5, p Linh Xuân</t>
  </si>
  <si>
    <t>chị THANH XUÂN</t>
  </si>
  <si>
    <t>HD058727</t>
  </si>
  <si>
    <t>163/15/18 tô hiến thành, hoà hưng</t>
  </si>
  <si>
    <t>Phương Trang</t>
  </si>
  <si>
    <t>HD059177</t>
  </si>
  <si>
    <t>189b/a29 cống quỳnh</t>
  </si>
  <si>
    <t>Huyền Papy</t>
  </si>
  <si>
    <t>HD059291</t>
  </si>
  <si>
    <t>254/8/7A âu cơ p9</t>
  </si>
  <si>
    <t>Ngoc Nhi</t>
  </si>
  <si>
    <t>HD058619</t>
  </si>
  <si>
    <t>Chung cư tara 1A tạ quang bửu p6</t>
  </si>
  <si>
    <t>Phạm Chuc Oanh sale t8</t>
  </si>
  <si>
    <t>HD058854</t>
  </si>
  <si>
    <t>Trang Mi fb T Linn Le</t>
  </si>
  <si>
    <t>HD059125</t>
  </si>
  <si>
    <t>13/17 phường Trung Mỹ Tây đường tân chánh hiệp 03</t>
  </si>
  <si>
    <t>Đinh Thị Băng Tâm</t>
  </si>
  <si>
    <t>HD059109</t>
  </si>
  <si>
    <t>138/7 bùi thị xuân bến thành</t>
  </si>
  <si>
    <t>Nguyễn Huỳnh Cẩm Tú</t>
  </si>
  <si>
    <t>HD059138</t>
  </si>
  <si>
    <t>78/63 đường số 11, phương thông tây hội</t>
  </si>
  <si>
    <t>Phạm Bích Trâm</t>
  </si>
  <si>
    <t>HD059234</t>
  </si>
  <si>
    <t>32A ao đôi bình trị đông</t>
  </si>
  <si>
    <t>Thao Nguyen</t>
  </si>
  <si>
    <t>HD059190</t>
  </si>
  <si>
    <t>574/15/38 đường sinco bình trị đông b toà nhà Hưng phát 2</t>
  </si>
  <si>
    <t>Kim Quyên</t>
  </si>
  <si>
    <t>HD059154</t>
  </si>
  <si>
    <t>336/20 nguyễn văn luông Phường Phú Lâm</t>
  </si>
  <si>
    <t>(Thoa Trần) (fb Mỹ Linh)Malaysia</t>
  </si>
  <si>
    <t>HD059122</t>
  </si>
  <si>
    <t>1/18 Nguyễn Văn Vĩnh, Phường 4</t>
  </si>
  <si>
    <t>W3337</t>
  </si>
  <si>
    <t>HD059184</t>
  </si>
  <si>
    <t>Đỗ Thị Hoa</t>
  </si>
  <si>
    <t>HD059150</t>
  </si>
  <si>
    <t>355 ngô gia tự p vườn lài</t>
  </si>
  <si>
    <t>HD059274</t>
  </si>
  <si>
    <t>Hương</t>
  </si>
  <si>
    <t>HD059188</t>
  </si>
  <si>
    <t>Masteri An Phú, toà Sol, phường An Khánh</t>
  </si>
  <si>
    <t>Sen Tina Huynh</t>
  </si>
  <si>
    <t>HD059093</t>
  </si>
  <si>
    <t>37 thích minh nguyệt p2</t>
  </si>
  <si>
    <t>HD059071</t>
  </si>
  <si>
    <t>Trang Lê</t>
  </si>
  <si>
    <t>HD059254</t>
  </si>
  <si>
    <t>8A Sông Thương P2</t>
  </si>
  <si>
    <t>Elly Nguyen</t>
  </si>
  <si>
    <t>HD059311</t>
  </si>
  <si>
    <t>13 Trần Trọng Cung, Tân Thuận Đông</t>
  </si>
  <si>
    <t>Bao Tram sale</t>
  </si>
  <si>
    <t>HD059198</t>
  </si>
  <si>
    <t>Toà BE3, khu beverly vinhomes grand park</t>
  </si>
  <si>
    <t>HD059267</t>
  </si>
  <si>
    <t>Huỳnh Huyền</t>
  </si>
  <si>
    <t>HD059288</t>
  </si>
  <si>
    <t>73 hẻm 281 Lý Thường Kiệt</t>
  </si>
  <si>
    <t>Huỳnh Ngọc Huyền</t>
  </si>
  <si>
    <t>HD058835</t>
  </si>
  <si>
    <t>176 ký con,bến thành</t>
  </si>
  <si>
    <t>HD059297</t>
  </si>
  <si>
    <t>Đặng Jully fb Bếp bà 7</t>
  </si>
  <si>
    <t>HD059161</t>
  </si>
  <si>
    <t>82/4/32H2 Bình Quới, Phường Bình Quới</t>
  </si>
  <si>
    <t>Bảo Trân</t>
  </si>
  <si>
    <t>HD059106</t>
  </si>
  <si>
    <t>18A Nguyễn Gia Trí</t>
  </si>
  <si>
    <t>duy di ( nhận hộ trang phạm )</t>
  </si>
  <si>
    <t>HD059200</t>
  </si>
  <si>
    <t>Thanh Thanh Tô</t>
  </si>
  <si>
    <t>HD059164</t>
  </si>
  <si>
    <t>2/16 tân lập p8</t>
  </si>
  <si>
    <t>Loan Pham</t>
  </si>
  <si>
    <t>HD059207</t>
  </si>
  <si>
    <t>B1, chung cư Topaz City, Cao Lỗ, p4</t>
  </si>
  <si>
    <t>Tuyết Nhung fb Mai Chi</t>
  </si>
  <si>
    <t>HD059237</t>
  </si>
  <si>
    <t>66 đường số 17, f10</t>
  </si>
  <si>
    <t>Trang Nhung</t>
  </si>
  <si>
    <t>HD059313</t>
  </si>
  <si>
    <t>Phòng khám chuyên khoa thẩm mỹ VNK Medical,  65 - 67 Nguyễn Trãi - phường chợ quán</t>
  </si>
  <si>
    <t>Duyên</t>
  </si>
  <si>
    <t>HD059174</t>
  </si>
  <si>
    <t>37 nguyen ngoc nhut phu tho hoa</t>
  </si>
  <si>
    <t>Ny Dương</t>
  </si>
  <si>
    <t>HD059059</t>
  </si>
  <si>
    <t>Lock A - Chung cư D-Aqua, 301 Bình Đông phường Phú Định</t>
  </si>
  <si>
    <t>Vy c Tài</t>
  </si>
  <si>
    <t>Dodavi 48 trần quang diệu p nhiêu lộc</t>
  </si>
  <si>
    <t>Tip - Linh Nga Anna</t>
  </si>
  <si>
    <t>at 19-09</t>
  </si>
  <si>
    <t>NGAY 19-9</t>
  </si>
  <si>
    <t>Liễu ( fb Lina Nguyễn )</t>
  </si>
  <si>
    <t>HD059507</t>
  </si>
  <si>
    <t>261C Nguyễn Văn Trỗi, P10</t>
  </si>
  <si>
    <t>21-09-2026</t>
  </si>
  <si>
    <t>HD059496</t>
  </si>
  <si>
    <t>AT 21-09</t>
  </si>
  <si>
    <t>Cherry Trần</t>
  </si>
  <si>
    <t>HD059540</t>
  </si>
  <si>
    <t>124 đường 24b, p.an lạc</t>
  </si>
  <si>
    <t>Sophie Nguyen</t>
  </si>
  <si>
    <t>HD059517</t>
  </si>
  <si>
    <t>163a truong chinh, chung cu 8xplus, p dong hung thuan</t>
  </si>
  <si>
    <t>Hạnh Vy</t>
  </si>
  <si>
    <t>HD059494</t>
  </si>
  <si>
    <t>49 hoàng việt - tân sơn nhất</t>
  </si>
  <si>
    <t>CUS24521</t>
  </si>
  <si>
    <t>HD059167</t>
  </si>
  <si>
    <t>38/22/5 khu phố 11 đường lý thường kiệt phường Tân Hòa</t>
  </si>
  <si>
    <t>Ann Nguyễn</t>
  </si>
  <si>
    <t>HD059452</t>
  </si>
  <si>
    <t>320/23 nguyễn văn linh - p.tân thuận</t>
  </si>
  <si>
    <t>Như Huỳnh</t>
  </si>
  <si>
    <t>HD059531</t>
  </si>
  <si>
    <t>32a đường số 51 p an hội tây</t>
  </si>
  <si>
    <t>Hạnh Nguyễn - Kevin</t>
  </si>
  <si>
    <t>HD059639</t>
  </si>
  <si>
    <t>Logasia, Số 37, Thích Minh Nguyệt, Phường Tân Sơn Hòa</t>
  </si>
  <si>
    <t>Helen Nguyen</t>
  </si>
  <si>
    <t>HD059536</t>
  </si>
  <si>
    <t>98/68 duong cat loi</t>
  </si>
  <si>
    <t>Chang Chang</t>
  </si>
  <si>
    <t>HD059623</t>
  </si>
  <si>
    <t>112-114 võ liêm sơn p4</t>
  </si>
  <si>
    <t>Minh Hải (NaNa Nè)</t>
  </si>
  <si>
    <t>HD059386</t>
  </si>
  <si>
    <t>Số 17 Đường Số 13, Phường Bình Hưng Hoà</t>
  </si>
  <si>
    <t>HD059450</t>
  </si>
  <si>
    <t>Chung cư tara 1A tạ quang bửu pб</t>
  </si>
  <si>
    <t>HD059616</t>
  </si>
  <si>
    <t>269 âu dương lần phương chánh hưng</t>
  </si>
  <si>
    <t>HD059621</t>
  </si>
  <si>
    <t>275/14B1 Đặng Nguyên Cẩn, Phường Phú Lân</t>
  </si>
  <si>
    <t>Thu Trang</t>
  </si>
  <si>
    <t>HD059455</t>
  </si>
  <si>
    <t>Số 2 Nguyễn Văn Tưởng, phường Tân Mỹ - Chung cư Infiniti tháp T9-09-03</t>
  </si>
  <si>
    <t>Lizona Im</t>
  </si>
  <si>
    <t>HD059437</t>
  </si>
  <si>
    <t>NHÀ XE KHẢI NAM</t>
  </si>
  <si>
    <t>Nguyễn Bon Bill</t>
  </si>
  <si>
    <t>HD059447</t>
  </si>
  <si>
    <t>27 đường hoa phượng, khu dân cư hiệp thành city phường hiệp thành</t>
  </si>
  <si>
    <t>Lan Huynh - fb Dior Huỳnh</t>
  </si>
  <si>
    <t>HD059541</t>
  </si>
  <si>
    <t>288 Bùi Đình Túy Phường Bình Thạnh</t>
  </si>
  <si>
    <t>phương hồng - fb Phương Thảo Mai</t>
  </si>
  <si>
    <t>HD059644</t>
  </si>
  <si>
    <t>355/1/10 Mã Lò</t>
  </si>
  <si>
    <t>azu 8229 / HOÀNG MÈO</t>
  </si>
  <si>
    <t>HD059430</t>
  </si>
  <si>
    <t>22, ĐƯỜNG TÂN THỚI NHẤT 1B, PHƯỜNG đông hưng thuận</t>
  </si>
  <si>
    <t>HD059356</t>
  </si>
  <si>
    <t>220/A14 nguyễn oanh p17</t>
  </si>
  <si>
    <t>Thanh Phuoc</t>
  </si>
  <si>
    <t>HD059636</t>
  </si>
  <si>
    <t>Landmark 4</t>
  </si>
  <si>
    <t>HD059429</t>
  </si>
  <si>
    <t>Trúc Nguyễn sale</t>
  </si>
  <si>
    <t>HD059460</t>
  </si>
  <si>
    <t>em xíu shiiny</t>
  </si>
  <si>
    <t>HD059635</t>
  </si>
  <si>
    <t>số 217Đường bùi thị xuân phường 1</t>
  </si>
  <si>
    <t>Yin Nguyễn-sale</t>
  </si>
  <si>
    <t>HD059615</t>
  </si>
  <si>
    <t>116a đường số 16 p tân quy</t>
  </si>
  <si>
    <t>Ân Văn</t>
  </si>
  <si>
    <t>HD059173</t>
  </si>
  <si>
    <t>Chung cư Hoàng Anh Gia Lai 1 357 Lê Văn Lương, P.Tân Hung</t>
  </si>
  <si>
    <t>Tường Vy sale</t>
  </si>
  <si>
    <t>HD059389</t>
  </si>
  <si>
    <t>Căn hộ B11.10 - Block B Chung cư Phú Gia, đường 15B, xã Phú Xuân</t>
  </si>
  <si>
    <t>Thảo Đoàn</t>
  </si>
  <si>
    <t>HD058767</t>
  </si>
  <si>
    <t>1041 Hồng Bàng, P. Phú Lâm</t>
  </si>
  <si>
    <t>Tâm Như</t>
  </si>
  <si>
    <t>HD059461</t>
  </si>
  <si>
    <t>659 Âu cơ tân thành</t>
  </si>
  <si>
    <t>Di Thao</t>
  </si>
  <si>
    <t>HD060005</t>
  </si>
  <si>
    <t>28 nguyễn trung trực p5</t>
  </si>
  <si>
    <t>Ellie Quach</t>
  </si>
  <si>
    <t>8A Sông thương, Phường 2</t>
  </si>
  <si>
    <t>8/1 Nguyễn Ảnh Thủ, trung chánh</t>
  </si>
  <si>
    <t>YURI</t>
  </si>
  <si>
    <t>đường 66 số 17 phường bình phú</t>
  </si>
  <si>
    <t>W3135dd65</t>
  </si>
  <si>
    <t>HD059515</t>
  </si>
  <si>
    <t>624 Lê thị riêng, thới an</t>
  </si>
  <si>
    <t>Hữu Phúc - fb Nguyễn Thuý</t>
  </si>
  <si>
    <t>HD059929</t>
  </si>
  <si>
    <t>82/6 Chu Văn An, P.26</t>
  </si>
  <si>
    <t>Giai Kỳ</t>
  </si>
  <si>
    <t>HD060042</t>
  </si>
  <si>
    <t>Win barbershop 46 Lê Thị Riêng Đồ của Quản lí</t>
  </si>
  <si>
    <t>Ngọc Dung</t>
  </si>
  <si>
    <t>HD060056</t>
  </si>
  <si>
    <t>2581/79a huỳnh tấn phát</t>
  </si>
  <si>
    <t>Thanh Thảo</t>
  </si>
  <si>
    <t>HD059732</t>
  </si>
  <si>
    <t>47/3 lê trực phường gia định</t>
  </si>
  <si>
    <t>CHÚ DŨNG</t>
  </si>
  <si>
    <t>HD059997</t>
  </si>
  <si>
    <t>393/6 HAI BÀ TRƯNG P VÕ THỊ SÁU</t>
  </si>
  <si>
    <t>Nguyễn Ái Nhi</t>
  </si>
  <si>
    <t>HD060050</t>
  </si>
  <si>
    <t>79/55 tân thắng, P. Tân Sơn Nhì</t>
  </si>
  <si>
    <t>Phương Linh</t>
  </si>
  <si>
    <t>HD060000</t>
  </si>
  <si>
    <t>22-24 Thi Sách, Bến Nghé</t>
  </si>
  <si>
    <t>Bích Huyền</t>
  </si>
  <si>
    <t>HD060043</t>
  </si>
  <si>
    <t>Số 4 đường số 22 khu dân cư bình hưng xã bình hưng</t>
  </si>
  <si>
    <t>HD060014</t>
  </si>
  <si>
    <t>Toà nhà lux 6...Vinhomes Golden River (Bason), 2 Nguyễn Hữu Cảnh, P Bến Nghé</t>
  </si>
  <si>
    <t>HD060080</t>
  </si>
  <si>
    <t>277 au duong lan phuong chánh hung</t>
  </si>
  <si>
    <t>Chị Phương</t>
  </si>
  <si>
    <t>HD059733</t>
  </si>
  <si>
    <t>984/62 hà huy giáp</t>
  </si>
  <si>
    <t>Bùi Thị Mỹ Duyên</t>
  </si>
  <si>
    <t>HD059684</t>
  </si>
  <si>
    <t>685 Âu Cơ, Block B</t>
  </si>
  <si>
    <t>Huyền Trang Trần</t>
  </si>
  <si>
    <t>HD059695</t>
  </si>
  <si>
    <t>39/34 dạ nam</t>
  </si>
  <si>
    <t>HD060012</t>
  </si>
  <si>
    <t>Huyền Chân</t>
  </si>
  <si>
    <t>HD060008</t>
  </si>
  <si>
    <t>151–155 Bến Vân Đồn, phường Khánh Hội</t>
  </si>
  <si>
    <t>Phan Như Huyền</t>
  </si>
  <si>
    <t>HD060040</t>
  </si>
  <si>
    <t>243 Lê Quang Định p7</t>
  </si>
  <si>
    <t>Huyền My</t>
  </si>
  <si>
    <t>HD060035</t>
  </si>
  <si>
    <t>90 quốc hương an khánh (hẻm số 90)</t>
  </si>
  <si>
    <t>Jeny Lê</t>
  </si>
  <si>
    <t>HD060071</t>
  </si>
  <si>
    <t>222dx071 phường chánh hiệp</t>
  </si>
  <si>
    <t>Tram Ho</t>
  </si>
  <si>
    <t>HD059992</t>
  </si>
  <si>
    <t>50/63/21 TX 25, p Thạnh xuân</t>
  </si>
  <si>
    <t>HD060030</t>
  </si>
  <si>
    <t>HD060057</t>
  </si>
  <si>
    <t>427/22 le van quoi, binh tri dorg A</t>
  </si>
  <si>
    <t>Trần Loan</t>
  </si>
  <si>
    <t>HD059921</t>
  </si>
  <si>
    <t>448/56/12 phan huy ích, p12</t>
  </si>
  <si>
    <t>Hoàng Nguyễn</t>
  </si>
  <si>
    <t>HD059907</t>
  </si>
  <si>
    <t>83 hoàng văn thái, phường Tân mĩ</t>
  </si>
  <si>
    <t>THUỶ ANH</t>
  </si>
  <si>
    <t>HD060058</t>
  </si>
  <si>
    <t>19 Yên Thế, P. Tân Sơn Hòa</t>
  </si>
  <si>
    <t>Chu Châu</t>
  </si>
  <si>
    <t>HD059782</t>
  </si>
  <si>
    <t>160/7 bùi đình tuý p12</t>
  </si>
  <si>
    <t>Trần Huỳnh Như</t>
  </si>
  <si>
    <t>HD059904</t>
  </si>
  <si>
    <t>Ecogreen block D</t>
  </si>
  <si>
    <t>Quyen Tiger</t>
  </si>
  <si>
    <t>HD060052</t>
  </si>
  <si>
    <t>21 lê thi nho p trung mỹ tây</t>
  </si>
  <si>
    <t>Kisu Hanh</t>
  </si>
  <si>
    <t>HD059829</t>
  </si>
  <si>
    <t>Sai Gon South Residence, Nguyễn Hữu Thọ, Xã Phước Kiển</t>
  </si>
  <si>
    <t>Ivy hồ Singapore</t>
  </si>
  <si>
    <t>HD059640</t>
  </si>
  <si>
    <t>136 yên thế p2 tân bình</t>
  </si>
  <si>
    <t>Người nhận . Phạm lisa fb Cẩm Lê</t>
  </si>
  <si>
    <t>HD060064</t>
  </si>
  <si>
    <t>Huyền Vân</t>
  </si>
  <si>
    <t>HD059751</t>
  </si>
  <si>
    <t>51 Nguyễn Thị Minh Khai, p. Sài Gòn</t>
  </si>
  <si>
    <t>Karen Van</t>
  </si>
  <si>
    <t>HD059230</t>
  </si>
  <si>
    <t>799/2 Nguyễn kiệm p3</t>
  </si>
  <si>
    <t>BN182 miki</t>
  </si>
  <si>
    <t>HD060081</t>
  </si>
  <si>
    <t>163 Đường Trương Thị Hoa phường Tân Thới Hiệp</t>
  </si>
  <si>
    <t>Lý DN - N631</t>
  </si>
  <si>
    <t>HD059887</t>
  </si>
  <si>
    <t>5/5 Nguyễn Văn Vĩnh, Tân Sơn Nhất</t>
  </si>
  <si>
    <t>HD059923</t>
  </si>
  <si>
    <t>50 Phan Đình Phùng</t>
  </si>
  <si>
    <t>Nguyễn Kim Nhi</t>
  </si>
  <si>
    <t>HD059891</t>
  </si>
  <si>
    <t>13-15 đường số 2 tân mỹ</t>
  </si>
  <si>
    <t>Thyy Uyên Vũ</t>
  </si>
  <si>
    <t>HD059919</t>
  </si>
  <si>
    <t>Chung cư the manor 2</t>
  </si>
  <si>
    <t>Nguyễn Thị Nhung</t>
  </si>
  <si>
    <t>HD059894</t>
  </si>
  <si>
    <t>Chung cư ecogreen 39B Đường Nguyễn Văn Linh</t>
  </si>
  <si>
    <t>Chloe Vo</t>
  </si>
  <si>
    <t>HD059864</t>
  </si>
  <si>
    <t>363 nguyễn trọng tuyển tân sơn hòa</t>
  </si>
  <si>
    <t>HD059827</t>
  </si>
  <si>
    <t>202B, HOÀNG VĂN THỤ PHƯỜNG 9</t>
  </si>
  <si>
    <t>Người Nhận BN2732</t>
  </si>
  <si>
    <t>HD059986</t>
  </si>
  <si>
    <t>Dã Quỳ Vàng</t>
  </si>
  <si>
    <t>HD059735</t>
  </si>
  <si>
    <t>6-8 giang văn minh p anh khánh</t>
  </si>
  <si>
    <t>hoàng thanh mai</t>
  </si>
  <si>
    <t>HD059740</t>
  </si>
  <si>
    <t>74/9 bàu cát p14</t>
  </si>
  <si>
    <t>Jessie</t>
  </si>
  <si>
    <t>HD060032</t>
  </si>
  <si>
    <t>124 đường số 9/ khu dân cư ấp 5 Phong Phú/ xã Phong Phú</t>
  </si>
  <si>
    <t>BN14541</t>
  </si>
  <si>
    <t>HD060026</t>
  </si>
  <si>
    <t>Chị Bảo Châu</t>
  </si>
  <si>
    <t>HD058567</t>
  </si>
  <si>
    <t>654/6 lạc long quân p9</t>
  </si>
  <si>
    <t>Tiên - Hòa</t>
  </si>
  <si>
    <t>HD059879</t>
  </si>
  <si>
    <t>88/71a phạm hùng, phường chánh hưng</t>
  </si>
  <si>
    <t>lá</t>
  </si>
  <si>
    <t>HD060089</t>
  </si>
  <si>
    <t>722 điện biên phủ p22</t>
  </si>
  <si>
    <t>HD059739</t>
  </si>
  <si>
    <t>Minh Trinh</t>
  </si>
  <si>
    <t>HD059984</t>
  </si>
  <si>
    <t>338/160/24 chiến lược phường Bình Trị Đông A</t>
  </si>
  <si>
    <t>at 21-09</t>
  </si>
  <si>
    <t>NGAY 21-9</t>
  </si>
  <si>
    <t>Charii ( inst chari_importshop )-BN2441</t>
  </si>
  <si>
    <t>HD060197</t>
  </si>
  <si>
    <t>Shop ghi lên kiện hàng ( BN2441) 163 Trương Thị Hoa, phường Tân Thới Hiệp</t>
  </si>
  <si>
    <t>22-09-2026</t>
  </si>
  <si>
    <t>VERISKA</t>
  </si>
  <si>
    <t>HD060203</t>
  </si>
  <si>
    <t>Saigon Europe Hotel, Số 207 đường Đề Thám, phường bến Thành</t>
  </si>
  <si>
    <t>Tú Oanh - fb Không Nói Xàm</t>
  </si>
  <si>
    <t>HD060182</t>
  </si>
  <si>
    <t>69 Dương Đình Nghệ P8</t>
  </si>
  <si>
    <t>AT 22-09</t>
  </si>
  <si>
    <t>Kim Anh Phạm</t>
  </si>
  <si>
    <t>HD060345</t>
  </si>
  <si>
    <t>6 cư xá bình minh, dương Bá Trạc, phường 1</t>
  </si>
  <si>
    <t>Thảo My</t>
  </si>
  <si>
    <t>HD060444</t>
  </si>
  <si>
    <t>Block B 1302, Chung cư orchard park Phú gia. Đường 15B</t>
  </si>
  <si>
    <t>Gia Hue</t>
  </si>
  <si>
    <t>HD060119</t>
  </si>
  <si>
    <t>24 tân hoà đông p14</t>
  </si>
  <si>
    <t>Moon Nguyễn</t>
  </si>
  <si>
    <t>HD060341</t>
  </si>
  <si>
    <t>16 kim ngân, khu dân cư phong phú 4, xã phong phú</t>
  </si>
  <si>
    <t>HD059213</t>
  </si>
  <si>
    <t>320/2 Trần Bình Trọng p Chợ Quán</t>
  </si>
  <si>
    <t>Thanh Liễu-Đoàn Tâm Ân</t>
  </si>
  <si>
    <t>HDO59838</t>
  </si>
  <si>
    <t>A29/22 Quốc Lộ 50 Bình Hưng</t>
  </si>
  <si>
    <t>VTS-2588SMUN, (inst quietlyshee_)</t>
  </si>
  <si>
    <t>HD069163</t>
  </si>
  <si>
    <t>Trần Phương Liên</t>
  </si>
  <si>
    <t>HD060210</t>
  </si>
  <si>
    <t>207/9 nguyên văn khôi p8</t>
  </si>
  <si>
    <t>HD060428</t>
  </si>
  <si>
    <t>38A đường 3158A phạm thể hiến P7. Đối diện cổng trường THPT nguyễn văn linh</t>
  </si>
  <si>
    <t>HD060363</t>
  </si>
  <si>
    <t>427/22 le van quai, binh tri dong A</t>
  </si>
  <si>
    <t>Kim Ngan Nguyen Le</t>
  </si>
  <si>
    <t>HD060429</t>
  </si>
  <si>
    <t>Tháp V2, chung cư surise city south, 23 nguyễn hữu thọ, phường tân hưng</t>
  </si>
  <si>
    <t>HD059597</t>
  </si>
  <si>
    <t>A Sinh</t>
  </si>
  <si>
    <t>HD059938</t>
  </si>
  <si>
    <t>Kiot 07 phố ẩm thực Móng Cái 1 Quảng Ninh</t>
  </si>
  <si>
    <t>Như hà</t>
  </si>
  <si>
    <t>HD060148</t>
  </si>
  <si>
    <t>20/18/7 đặng thuỳ trâm Phường bình lợi chung</t>
  </si>
  <si>
    <t>Quyên</t>
  </si>
  <si>
    <t>HD059698</t>
  </si>
  <si>
    <t>19 phan đăng lưu phường gia định</t>
  </si>
  <si>
    <t>Đinh Thiên Kim</t>
  </si>
  <si>
    <t>HD060450</t>
  </si>
  <si>
    <t>35 Nguyễn trọng trí phường an lạc A</t>
  </si>
  <si>
    <t>Huỳnh Huỳnh Như</t>
  </si>
  <si>
    <t>HD060205</t>
  </si>
  <si>
    <t>Đường số 15, Phường Tân Phú The Peak Midtown M8 Phú Mỹ Hưng</t>
  </si>
  <si>
    <t>Hoàng Thư</t>
  </si>
  <si>
    <t>HD059771</t>
  </si>
  <si>
    <t>260/59D Bà Hom p13</t>
  </si>
  <si>
    <t>Xiaa Grace Chua II</t>
  </si>
  <si>
    <t>HD060419</t>
  </si>
  <si>
    <t>151 Đ. Calmette, Bến Thành, Vietnam Calmette Hotel Drop In The Lobby for room 203</t>
  </si>
  <si>
    <t>Jenny Mai</t>
  </si>
  <si>
    <t>HD060409</t>
  </si>
  <si>
    <t>641 Quang Trung, Thông Tây Hội</t>
  </si>
  <si>
    <t>Minh Hải (quỳnh vũ)</t>
  </si>
  <si>
    <t>HD060379</t>
  </si>
  <si>
    <t>Da So</t>
  </si>
  <si>
    <t>HD059781</t>
  </si>
  <si>
    <t>Saigon Riverside Complex, Block A1, Phường Phú Thuận</t>
  </si>
  <si>
    <t>Hà Thị Mỹ Linh</t>
  </si>
  <si>
    <t>HD060204</t>
  </si>
  <si>
    <t>76/43/4A Ds 59, Phường An Hội Tây</t>
  </si>
  <si>
    <t>Thanh Thủy zalo</t>
  </si>
  <si>
    <t>HD060445</t>
  </si>
  <si>
    <t>8c/21 khu phố Bình Phước B- phường An Phú</t>
  </si>
  <si>
    <t>An Nhiênn</t>
  </si>
  <si>
    <t>HD060323</t>
  </si>
  <si>
    <t>402/25 lê văn sỹ</t>
  </si>
  <si>
    <t>Nhi Nguyễn</t>
  </si>
  <si>
    <t>HD059780</t>
  </si>
  <si>
    <t>(Căn hộ midon Park The View - tran quốc toản, P. bình dương ( lưu ý ghi so phòng 2111 )</t>
  </si>
  <si>
    <t>Thanh Trúc</t>
  </si>
  <si>
    <t>HD060261</t>
  </si>
  <si>
    <t>Salon nhã Uyên 14 hưng gia 4 phường tân hưng</t>
  </si>
  <si>
    <t>Thi Kieu Oanh Phan</t>
  </si>
  <si>
    <t>HD060257</t>
  </si>
  <si>
    <t>14 đường 12 KDC Him Lam p. Tân Hưng</t>
  </si>
  <si>
    <t>Jennifer Le</t>
  </si>
  <si>
    <t>HD059842</t>
  </si>
  <si>
    <t>212/1 an dương vương p16</t>
  </si>
  <si>
    <t>sumi ( Wechat )</t>
  </si>
  <si>
    <t>HD060464</t>
  </si>
  <si>
    <t>532/3/2 Kinh Dương Vương, Phường An Lạc</t>
  </si>
  <si>
    <t>HD060375</t>
  </si>
  <si>
    <t>79/55 tân thắng, p. Tân sơn nhì</t>
  </si>
  <si>
    <t>Tuyet (JY JANE)</t>
  </si>
  <si>
    <t>HD059783</t>
  </si>
  <si>
    <t>116 Ca Văn Thỉnh, p.11</t>
  </si>
  <si>
    <t>Nguyễn Thị Tố Nga</t>
  </si>
  <si>
    <t>H0060461</t>
  </si>
  <si>
    <t>Nhà trọ Phú Quân, 50-52 đường số 85 phường Tân Hưng</t>
  </si>
  <si>
    <t>Hường võ Rose</t>
  </si>
  <si>
    <t>HD060230</t>
  </si>
  <si>
    <t>số 229A Đường bùi thị xuân phường 1</t>
  </si>
  <si>
    <t>Hoa Dang</t>
  </si>
  <si>
    <t>HD060406</t>
  </si>
  <si>
    <t>151 nam cao,tân phú</t>
  </si>
  <si>
    <t>Mỹ Hảo</t>
  </si>
  <si>
    <t>HD060209</t>
  </si>
  <si>
    <t>hẻm 62/31 đường lâm văn bền</t>
  </si>
  <si>
    <t>Hoa Phạm</t>
  </si>
  <si>
    <t>HD060347</t>
  </si>
  <si>
    <t>35/11/4b cao lỗ p4</t>
  </si>
  <si>
    <t>HD060333</t>
  </si>
  <si>
    <t>HD059821</t>
  </si>
  <si>
    <t>HD060267</t>
  </si>
  <si>
    <t>151 Đ. Calmette, Bến Thành</t>
  </si>
  <si>
    <t>Lina Tran</t>
  </si>
  <si>
    <t>HD060154</t>
  </si>
  <si>
    <t>231B Bài sậy phường bình tiên</t>
  </si>
  <si>
    <t>HD060417</t>
  </si>
  <si>
    <t>HD060168</t>
  </si>
  <si>
    <t>154 tuệ tĩnh p12 VTV (To Cambodia DP CMpp-82)</t>
  </si>
  <si>
    <t>Nhi Nguyen</t>
  </si>
  <si>
    <t>HD060321</t>
  </si>
  <si>
    <t>Lô E2,Chung Cư Mỹ Đức, 220 Xô Viết Nghệ Tĩnh P Thạnh Mỹ Tây (Dc cũ: P19)</t>
  </si>
  <si>
    <t>Snit 07 Phnom Penh</t>
  </si>
  <si>
    <t>HD060396</t>
  </si>
  <si>
    <t>301 phạm ngũ lão</t>
  </si>
  <si>
    <t>Lucy Paypy</t>
  </si>
  <si>
    <t>HD060245</t>
  </si>
  <si>
    <t>66 đường số 17 phường 10</t>
  </si>
  <si>
    <t>Nguyễn Đăng Thư</t>
  </si>
  <si>
    <t>HD060434</t>
  </si>
  <si>
    <t>Vinhome tấn cảng 208 nguyễn hữu cảnh p22</t>
  </si>
  <si>
    <t>Vân Anh</t>
  </si>
  <si>
    <t>HD060459</t>
  </si>
  <si>
    <t>359/1 lê văn sỹ - P12 ( khách sạn M village Lê Văn Sỹ )</t>
  </si>
  <si>
    <t>HD060147</t>
  </si>
  <si>
    <t>Bookzan 5198 6982</t>
  </si>
  <si>
    <t>137 Phan Huy Ích p15</t>
  </si>
  <si>
    <t>Thu Trương</t>
  </si>
  <si>
    <t>119 hoàng diệu 2 linh trung</t>
  </si>
  <si>
    <t>at 22-09</t>
  </si>
  <si>
    <t>NGAY 22-9</t>
  </si>
  <si>
    <t>gộp, kh ck shop 1475k</t>
  </si>
  <si>
    <t>kh ck shop 860k</t>
  </si>
  <si>
    <t>kh ck shop 955k</t>
  </si>
  <si>
    <t>23-09-2026</t>
  </si>
  <si>
    <t>Ivy Huyền</t>
  </si>
  <si>
    <t>Số 5 Nhất Chi Mai phường 13</t>
  </si>
  <si>
    <t>DINH HIEN</t>
  </si>
  <si>
    <t>624 lê thị riêng thới an</t>
  </si>
  <si>
    <t>DaRavin</t>
  </si>
  <si>
    <t>301 Phạm Ngũ Lão, Phường Phạm Ngũ Lão</t>
  </si>
  <si>
    <t>159/43/5 Đường Bạch Đằng, phường Tân Sơn Hoà</t>
  </si>
  <si>
    <t>Dodavi</t>
  </si>
  <si>
    <t>48 trần quang diệu p nhiêu lộc</t>
  </si>
  <si>
    <t>Trần Ngọc Quyên</t>
  </si>
  <si>
    <t>HD060543</t>
  </si>
  <si>
    <t>289 đường 9a trung sơn</t>
  </si>
  <si>
    <t>AT 23-09</t>
  </si>
  <si>
    <t>Nguyễn Ngọc Thanh Thúy</t>
  </si>
  <si>
    <t>HD060539</t>
  </si>
  <si>
    <t>675/33A trần xuân soạn p tân hưng</t>
  </si>
  <si>
    <t>Nhiên An</t>
  </si>
  <si>
    <t>HD060704</t>
  </si>
  <si>
    <t>321 an dương vương chung cư khang điền blocB</t>
  </si>
  <si>
    <t>Mẫn Chi</t>
  </si>
  <si>
    <t>HD060693</t>
  </si>
  <si>
    <t>76c HT45, p. Hiệp Thành</t>
  </si>
  <si>
    <t>HD060694</t>
  </si>
  <si>
    <t>Quỳnh Loan</t>
  </si>
  <si>
    <t>HD060707</t>
  </si>
  <si>
    <t>114/19 tô ngọc vân, thạnh xuân</t>
  </si>
  <si>
    <t>Dao Trần</t>
  </si>
  <si>
    <t>HD060701</t>
  </si>
  <si>
    <t>Block E2 Emerald Celadon, đường N4, Sơn Kỳ</t>
  </si>
  <si>
    <t>Thúy Vân</t>
  </si>
  <si>
    <t>HD059917</t>
  </si>
  <si>
    <t>1438H phạm thế hiển f5</t>
  </si>
  <si>
    <t>Võ Ngọc Trâm</t>
  </si>
  <si>
    <t>HD060541</t>
  </si>
  <si>
    <t>491 Điện Biên Phủ P3</t>
  </si>
  <si>
    <t>Nguyễn Thảo Nhi</t>
  </si>
  <si>
    <t>HD060519</t>
  </si>
  <si>
    <t>Tháp C - Chung cư de la sol 01 Tôn Thất Thuyết, P. Vĩnh Hội</t>
  </si>
  <si>
    <t>Anh Phượng</t>
  </si>
  <si>
    <t>HD060702</t>
  </si>
  <si>
    <t>248/27 p8 Nguyễn Văn Khối</t>
  </si>
  <si>
    <t>RuBy Nguyen</t>
  </si>
  <si>
    <t>HD060579</t>
  </si>
  <si>
    <t>Chung cư D - Aqua Block A 301 đường Bình Đông, phường Phú Định</t>
  </si>
  <si>
    <t>Thu Quyên</t>
  </si>
  <si>
    <t>HD060650</t>
  </si>
  <si>
    <t>33 Liên Khu 16-18 Phường Bình Trị Đông</t>
  </si>
  <si>
    <t>Mỹ Trương</t>
  </si>
  <si>
    <t>HD060643</t>
  </si>
  <si>
    <t>35/75/4 cao lỗ p chánh hưng</t>
  </si>
  <si>
    <t>MC Sanita Mao (MV01908)</t>
  </si>
  <si>
    <t>HD060484</t>
  </si>
  <si>
    <t>Như Bee</t>
  </si>
  <si>
    <t>HD060582</t>
  </si>
  <si>
    <t>55/51 Thành Mỹ p8</t>
  </si>
  <si>
    <t>HD060591</t>
  </si>
  <si>
    <t>An Nhiên Nguyễn</t>
  </si>
  <si>
    <t>HD060418</t>
  </si>
  <si>
    <t>14/27 Hoàng Dư Khương, phường Hòa Hưng</t>
  </si>
  <si>
    <t>YAATYLy MouyHeng</t>
  </si>
  <si>
    <t>HD050313</t>
  </si>
  <si>
    <t>Khai Nam Bus 363 Hùng Vương, p9</t>
  </si>
  <si>
    <t>Phạm Trang</t>
  </si>
  <si>
    <t>HD060692</t>
  </si>
  <si>
    <t>Số 2 nguyễn lương bằng, tân phú ( shop Concung đối diện bv Phương Nam )</t>
  </si>
  <si>
    <t>Ý Nhi</t>
  </si>
  <si>
    <t>HD060639</t>
  </si>
  <si>
    <t>96 đường Tam Đảo, phường Diên Hồng</t>
  </si>
  <si>
    <t>HD060696</t>
  </si>
  <si>
    <t>336/20 nguyễn văn luông Phường Phú lâm</t>
  </si>
  <si>
    <t>Thu Nhàng-sale</t>
  </si>
  <si>
    <t>HD060324</t>
  </si>
  <si>
    <t>Số 2 lê duẩn Phường phú mỹ</t>
  </si>
  <si>
    <t>chị trang</t>
  </si>
  <si>
    <t>HD060602</t>
  </si>
  <si>
    <t>672a65 pvtri p10</t>
  </si>
  <si>
    <t>at 23-09</t>
  </si>
  <si>
    <t>NGAY 23-9</t>
  </si>
  <si>
    <t>a.quyen</t>
  </si>
  <si>
    <t>kh ck shop 1845k</t>
  </si>
  <si>
    <t>HD060770</t>
  </si>
  <si>
    <t>24-09-2026</t>
  </si>
  <si>
    <t>Minh Hà</t>
  </si>
  <si>
    <t>HD061020</t>
  </si>
  <si>
    <t>151 kênh tân hoá phường tân phú</t>
  </si>
  <si>
    <t>AT 24-09</t>
  </si>
  <si>
    <t>Bùi Kim Ngân (SALE WEB)</t>
  </si>
  <si>
    <t>HD060767</t>
  </si>
  <si>
    <t>chung cư Sadora số 2 đường 13, phường An Khánh</t>
  </si>
  <si>
    <t>Minh Chau</t>
  </si>
  <si>
    <t>HD060996</t>
  </si>
  <si>
    <t>104 phan văn hớn tân thới nhất</t>
  </si>
  <si>
    <t>Write code (W24130 Labelle)</t>
  </si>
  <si>
    <t>HD061026</t>
  </si>
  <si>
    <t>Dương Thị Ngọc Bích</t>
  </si>
  <si>
    <t>HD060782</t>
  </si>
  <si>
    <t>So 3 le trực.p7</t>
  </si>
  <si>
    <t>HD060890</t>
  </si>
  <si>
    <t>688/23/1c hương lộ 2, p bình trị đông A</t>
  </si>
  <si>
    <t>Diệu Vĩ</t>
  </si>
  <si>
    <t>HD060841</t>
  </si>
  <si>
    <t>923 văn tiến dũng quốc lộ 50 bình hưng</t>
  </si>
  <si>
    <t>Chí Thuận fb Tố Oanh</t>
  </si>
  <si>
    <t>HD061030</t>
  </si>
  <si>
    <t>1/68 Nguyễn Thái Sơn, Phường Hạnh Thông</t>
  </si>
  <si>
    <t>SURY + HUY NGUYỄN</t>
  </si>
  <si>
    <t>HD060943</t>
  </si>
  <si>
    <t>Số 125/12 Lê Văn Phan, Phường Phú Thọ Hoà</t>
  </si>
  <si>
    <t>HD060802</t>
  </si>
  <si>
    <t>HD060975</t>
  </si>
  <si>
    <t>M37/15 Cư Xá Phú Lâm A Phường 12 ( Phường Phú Lâm )</t>
  </si>
  <si>
    <t>BỐI BỐI</t>
  </si>
  <si>
    <t>HD060766</t>
  </si>
  <si>
    <t>chung cư lê thành tân tạo 117/80 hồ văn long, tân tạo</t>
  </si>
  <si>
    <t>Gia Huy Vai</t>
  </si>
  <si>
    <t>HD060855</t>
  </si>
  <si>
    <t>107 lê văn phan, phú thọ hoà</t>
  </si>
  <si>
    <t>Bích Liễu</t>
  </si>
  <si>
    <t>HD060986</t>
  </si>
  <si>
    <t>số 1 đường số 17A, phường bình trị đông B, AEON bình tân, giao cổng nhân viên</t>
  </si>
  <si>
    <t>HD060792</t>
  </si>
  <si>
    <t>Tuyên Bùi sale</t>
  </si>
  <si>
    <t>HD060978</t>
  </si>
  <si>
    <t>170C Quang Trung, P.10, Gò Vấp (Techcombank)</t>
  </si>
  <si>
    <t>Phương Thao</t>
  </si>
  <si>
    <t>HD060822</t>
  </si>
  <si>
    <t>46 lê hồng phong, phường chợ quán P2</t>
  </si>
  <si>
    <t>Mr Đẩu - fb Ann Nhien</t>
  </si>
  <si>
    <t>HD060849</t>
  </si>
  <si>
    <t>Hưng Thịnh Express 229 Nguyễn Văn Công p Hạnh Thông</t>
  </si>
  <si>
    <t>Chị Mai</t>
  </si>
  <si>
    <t>HD060753</t>
  </si>
  <si>
    <t>Ship 9 Nguyễn khoái p1</t>
  </si>
  <si>
    <t>ViNhi Sara</t>
  </si>
  <si>
    <t>HD060833</t>
  </si>
  <si>
    <t>702/45/28b điện biên phủ phương 10</t>
  </si>
  <si>
    <t>HD060817</t>
  </si>
  <si>
    <t>An Hy</t>
  </si>
  <si>
    <t>HD061032</t>
  </si>
  <si>
    <t>Vinhomes Central Park – Park 6A 6B /Vinhomes Tân Cảng, Phường 22</t>
  </si>
  <si>
    <t>Trần hồng nhung</t>
  </si>
  <si>
    <t>HD060982</t>
  </si>
  <si>
    <t>A24 Chuông Vàng, phường Cát Lái</t>
  </si>
  <si>
    <t>Ngyễn Nhi</t>
  </si>
  <si>
    <t>HD060902</t>
  </si>
  <si>
    <t>ks new mimosa to hien thanh, p hòa hưng</t>
  </si>
  <si>
    <t>Thủy PT</t>
  </si>
  <si>
    <t>HD060903</t>
  </si>
  <si>
    <t>Toà nhà HDBank 159A Lê Đại Hành, phường Phú Thọ</t>
  </si>
  <si>
    <t>HD061019</t>
  </si>
  <si>
    <t>208 nguyễn hữu cảnh p22 Vinhome landmark plus</t>
  </si>
  <si>
    <t>Hứa Trang</t>
  </si>
  <si>
    <t>HD060987</t>
  </si>
  <si>
    <t>Toà C The peak M8 midtown đường tân mỹ</t>
  </si>
  <si>
    <t>Rada</t>
  </si>
  <si>
    <t>HD060935</t>
  </si>
  <si>
    <t>363 hùng vương-p9</t>
  </si>
  <si>
    <t>Trần Việt Hà</t>
  </si>
  <si>
    <t>HD060757</t>
  </si>
  <si>
    <t>P2.07.20 Chung cư City Land Park Hill, 19C Phan Văn Trị, P. Gò Vấp</t>
  </si>
  <si>
    <t>HD060928</t>
  </si>
  <si>
    <t>Quyen Nguyen</t>
  </si>
  <si>
    <t>HD060876</t>
  </si>
  <si>
    <t>480f cao thắng p12</t>
  </si>
  <si>
    <t>HD060838</t>
  </si>
  <si>
    <t>HD060827</t>
  </si>
  <si>
    <t>nhà 20 đường 2B phường Tân mỹ</t>
  </si>
  <si>
    <t>Đào Hạnh PA fb Ha Vy Bui</t>
  </si>
  <si>
    <t>HD060908</t>
  </si>
  <si>
    <t>Kho D36, Đường C2, phường Bảy Hiền</t>
  </si>
  <si>
    <t>Vũ Hải Anh</t>
  </si>
  <si>
    <t>HD060960</t>
  </si>
  <si>
    <t>670/8/9 đoàn văn bơ xóm chiếu</t>
  </si>
  <si>
    <t>Mèoo Con</t>
  </si>
  <si>
    <t>HD061017</t>
  </si>
  <si>
    <t>Chung cư Khang gia 59 hồ thành biên phường chánh hưng</t>
  </si>
  <si>
    <t>HD060847</t>
  </si>
  <si>
    <t>Lê Hồng Trà My</t>
  </si>
  <si>
    <t>HD060752</t>
  </si>
  <si>
    <t>Số 7 hoà bình</t>
  </si>
  <si>
    <t>HD060842</t>
  </si>
  <si>
    <t>6/24 tân chánh hiệp 36, p trung mỹ tây</t>
  </si>
  <si>
    <t>Phùng Minh Nhật Hà</t>
  </si>
  <si>
    <t>HD060845</t>
  </si>
  <si>
    <t>90 gò dầu, Phường Phú Thọ Hòa</t>
  </si>
  <si>
    <t>nhận hộ Anna fb Anna Vo</t>
  </si>
  <si>
    <t>HD060781</t>
  </si>
  <si>
    <t>A5-09 THE SILVER STAR, 156A NGUYỄN HỮU THỌ, PHƯỚC KIỂNG</t>
  </si>
  <si>
    <t>275/1481 Đặng Nguyên Cẩn, Phường Phú Lâm</t>
  </si>
  <si>
    <t>Tòa Bs10, Vinhome Grand Park</t>
  </si>
  <si>
    <t>số 42/43 - 45 Nguyễn Minh Hoàng, phường 12</t>
  </si>
  <si>
    <t>TOM AG</t>
  </si>
  <si>
    <t>12 HỒ VĂN HUÊ PHƯỜNG 9</t>
  </si>
  <si>
    <t>Dâu Tây</t>
  </si>
  <si>
    <t>HD060934</t>
  </si>
  <si>
    <t>319 Nguyễn Trãi, P. An Đông</t>
  </si>
  <si>
    <t>163 Trương Thị Hoa, Tân Thới Hiệp</t>
  </si>
  <si>
    <t>at 24-09</t>
  </si>
  <si>
    <t>NGAY 24-9</t>
  </si>
  <si>
    <t>Kim Phương-không hộp</t>
  </si>
  <si>
    <t>HD061097</t>
  </si>
  <si>
    <t>AT 25-09</t>
  </si>
  <si>
    <t>25-09-2026</t>
  </si>
  <si>
    <t>Hoàng Duyên</t>
  </si>
  <si>
    <t>HD061337</t>
  </si>
  <si>
    <t>918/14 quang trung p8</t>
  </si>
  <si>
    <t>mai chi</t>
  </si>
  <si>
    <t>HD061027</t>
  </si>
  <si>
    <t>50 huỳnh khương ninh phường tân định</t>
  </si>
  <si>
    <t>HD061140</t>
  </si>
  <si>
    <t>124/83/1 xô viết nghệ tĩnh phường 21</t>
  </si>
  <si>
    <t>Tô Thu Hà</t>
  </si>
  <si>
    <t>HD061303</t>
  </si>
  <si>
    <t>số 5 Bình Thới p11</t>
  </si>
  <si>
    <t>HD060993</t>
  </si>
  <si>
    <t>Thanh Huyền (Website)</t>
  </si>
  <si>
    <t>HD061127</t>
  </si>
  <si>
    <t>5/5 Nguyễn Văn Vĩnh, P4</t>
  </si>
  <si>
    <t>Ngọc Hân</t>
  </si>
  <si>
    <t>HD061143</t>
  </si>
  <si>
    <t>Chung cư Zen Tower số 34/1A, phường Thới An</t>
  </si>
  <si>
    <t>HD061297</t>
  </si>
  <si>
    <t>Otis Nguyen</t>
  </si>
  <si>
    <t>HD061300</t>
  </si>
  <si>
    <t>219 Tô Ngọc Vân . Linh Đông</t>
  </si>
  <si>
    <t>Phúc An</t>
  </si>
  <si>
    <t>HD061209</t>
  </si>
  <si>
    <t>1027/10 huỳnh tấn phát, phú thuận</t>
  </si>
  <si>
    <t>Hoang Linh - CHERYL MOANA</t>
  </si>
  <si>
    <t>HD061153</t>
  </si>
  <si>
    <t>227/3A Go Dau Street, Phu Tho Hoa Ward</t>
  </si>
  <si>
    <t>An Phạm</t>
  </si>
  <si>
    <t>HD061202</t>
  </si>
  <si>
    <t>459 Lê thị riêng phường thới an</t>
  </si>
  <si>
    <t>Thuy Nga Doan Thi</t>
  </si>
  <si>
    <t>HD061131</t>
  </si>
  <si>
    <t>475/1/1 cách mạng tháng tám phường hòa hưng</t>
  </si>
  <si>
    <t>Nguyễn Hồng Nga</t>
  </si>
  <si>
    <t>HD061340</t>
  </si>
  <si>
    <t>NGA Thinkpad | 56 Trần Quốc Thảo P.Võ Thị sáu</t>
  </si>
  <si>
    <t>HD061080</t>
  </si>
  <si>
    <t>136 yên thế p2</t>
  </si>
  <si>
    <t>HD061229</t>
  </si>
  <si>
    <t>BN182 miki chouchou Fb</t>
  </si>
  <si>
    <t>HD061187</t>
  </si>
  <si>
    <t>Khánh Vy</t>
  </si>
  <si>
    <t>HD061157</t>
  </si>
  <si>
    <t>8a sông thương p2</t>
  </si>
  <si>
    <t>Vũ Thu Hà</t>
  </si>
  <si>
    <t>HD061268</t>
  </si>
  <si>
    <t>Lô 9D, chung cư Sky Garden 3, 68 Phạm Văn Nghị, P. Tân Phong</t>
  </si>
  <si>
    <t>HD061132</t>
  </si>
  <si>
    <t>HD061342</t>
  </si>
  <si>
    <t>HD061336</t>
  </si>
  <si>
    <t>Trần Thu Hà</t>
  </si>
  <si>
    <t>HD061155</t>
  </si>
  <si>
    <t>234/5/5 nguyễn văn đậu</t>
  </si>
  <si>
    <t>HD061136</t>
  </si>
  <si>
    <t>Nhi sale</t>
  </si>
  <si>
    <t>HD060990</t>
  </si>
  <si>
    <t>652/14b cộng hoà, phường 13</t>
  </si>
  <si>
    <t>HD061228</t>
  </si>
  <si>
    <t>Elly Duyên</t>
  </si>
  <si>
    <t>HD061233</t>
  </si>
  <si>
    <t>200 đường 9A Bình Hưng</t>
  </si>
  <si>
    <t>HD061064</t>
  </si>
  <si>
    <t>Block A2, 20-02, Cc Xi Grand, 258 Lý Thường Kiệt, p14</t>
  </si>
  <si>
    <t>Kim Hằng</t>
  </si>
  <si>
    <t>HD061245</t>
  </si>
  <si>
    <t>39 bến vân đồn, xóm chiếu</t>
  </si>
  <si>
    <t>Phan Huyền</t>
  </si>
  <si>
    <t>HD061293</t>
  </si>
  <si>
    <t>toat bs 8b vinhomes</t>
  </si>
  <si>
    <t>BN16174 (Kho BNEXPRESS)</t>
  </si>
  <si>
    <t>HD061310</t>
  </si>
  <si>
    <t>Mai Anh</t>
  </si>
  <si>
    <t>HD061255</t>
  </si>
  <si>
    <t>Phòng B2005, Chung Cư Terra Mia, BlockB, Đường Số 2, Kdc 6b Intresco, Xã Bình Hưng</t>
  </si>
  <si>
    <t>HD061135</t>
  </si>
  <si>
    <t>Jade Phạm</t>
  </si>
  <si>
    <t>HD061335</t>
  </si>
  <si>
    <t>232 Xô Viết Nghệ Tĩnh, Thạnh Mỹ Tây</t>
  </si>
  <si>
    <t>HD061118</t>
  </si>
  <si>
    <t>548/23 Điện biên phủ phường 21</t>
  </si>
  <si>
    <t>HD061052</t>
  </si>
  <si>
    <t>Trúc Phương</t>
  </si>
  <si>
    <t>HD061244</t>
  </si>
  <si>
    <t>227 ngô tất tố, p22</t>
  </si>
  <si>
    <t>Alana Tran</t>
  </si>
  <si>
    <t>HD061326</t>
  </si>
  <si>
    <t>37 nguyễn văn lượng phường gò vấp</t>
  </si>
  <si>
    <t>Navi Trần</t>
  </si>
  <si>
    <t>HD061237</t>
  </si>
  <si>
    <t>626 .tô ngọc vân tam bình</t>
  </si>
  <si>
    <t>nguyệt - fb Nguyễn Thị Hoài</t>
  </si>
  <si>
    <t>HD061249</t>
  </si>
  <si>
    <t>Khu đất dịch vụ Lai Xá - Kim Chung -Hoài Đức - Hà Nội (Đối diện nhà nghỉ Hà Phương)</t>
  </si>
  <si>
    <t>Niny Atelier</t>
  </si>
  <si>
    <t>21 DHT18 Dong Hung Thuan Ward</t>
  </si>
  <si>
    <t>Cheata</t>
  </si>
  <si>
    <t>Chành xe Khainam - Cambodia</t>
  </si>
  <si>
    <t>Diễm Hương (Helen)</t>
  </si>
  <si>
    <t>29/7 Yên Thế, Phường 2</t>
  </si>
  <si>
    <t>at 25-09</t>
  </si>
  <si>
    <t>kh ck shop 1940k</t>
  </si>
  <si>
    <t>NGAY 25-9</t>
  </si>
  <si>
    <t>26-09-2026</t>
  </si>
  <si>
    <t>66 đường 17, phường Bình Phú</t>
  </si>
  <si>
    <t>AT 26-09</t>
  </si>
  <si>
    <t>Ashley Khin (inst ashley_khin)</t>
  </si>
  <si>
    <t>HD061566</t>
  </si>
  <si>
    <t>S2.01 Vinhomes grand park, Nguyễn Xiển, Long Thạnh Mỹ</t>
  </si>
  <si>
    <t>HD061570</t>
  </si>
  <si>
    <t>Phượng Nguyễn</t>
  </si>
  <si>
    <t>HD060790</t>
  </si>
  <si>
    <t>16 lê văn thọ p11</t>
  </si>
  <si>
    <t>HD061371</t>
  </si>
  <si>
    <t>HD061470</t>
  </si>
  <si>
    <t>Annie Nguyen</t>
  </si>
  <si>
    <t>HD061352</t>
  </si>
  <si>
    <t>809/23f trần hưng đạo Phường chợ lớn</t>
  </si>
  <si>
    <t>HD061589</t>
  </si>
  <si>
    <t>minh minh ( sang sang )</t>
  </si>
  <si>
    <t>HD061424</t>
  </si>
  <si>
    <t>366 tên lửa bình trị đông b</t>
  </si>
  <si>
    <t>HD061521</t>
  </si>
  <si>
    <t>HD061389</t>
  </si>
  <si>
    <t>Trương Như Quỳnh (Trang Gpe)</t>
  </si>
  <si>
    <t>HD061481</t>
  </si>
  <si>
    <t>số 12 Trần Bá Giao, Phường 5</t>
  </si>
  <si>
    <t>HD061350</t>
  </si>
  <si>
    <t>Hà Mi</t>
  </si>
  <si>
    <t>HD061397</t>
  </si>
  <si>
    <t>82 trần hưng đạo p an đông</t>
  </si>
  <si>
    <t>Trịnh Huyền</t>
  </si>
  <si>
    <t>HD061525</t>
  </si>
  <si>
    <t>Chung cư topaz elit, toà Dragon 1B, Tạ Quang Bửu</t>
  </si>
  <si>
    <t>Meow Service [MS0248]</t>
  </si>
  <si>
    <t>HD061351</t>
  </si>
  <si>
    <t>Huyền - Tuyền Nguyễn</t>
  </si>
  <si>
    <t>HD061404</t>
  </si>
  <si>
    <t>76 Kênh nước đen, Bình Hưng Hòa</t>
  </si>
  <si>
    <t>Phạm Quỳnh Như</t>
  </si>
  <si>
    <t>HD061402</t>
  </si>
  <si>
    <t>180/2/4 bùi quang là</t>
  </si>
  <si>
    <t>Hải Triều</t>
  </si>
  <si>
    <t>HD061393</t>
  </si>
  <si>
    <t>Vinhome godel river Aqua4 bến nghé</t>
  </si>
  <si>
    <t>Trần Lê Cẩm Tú</t>
  </si>
  <si>
    <t>HD061569</t>
  </si>
  <si>
    <t>58 Phố Quang, P2, Phường mới là Tân Sơn Hòa-Căn hộ A16.08</t>
  </si>
  <si>
    <t>Bảo Hân</t>
  </si>
  <si>
    <t>HD061576</t>
  </si>
  <si>
    <t>219 cư xá đường sắt, lý thái tổ</t>
  </si>
  <si>
    <t>Ngọc Hà</t>
  </si>
  <si>
    <t>HD061585</t>
  </si>
  <si>
    <t>Đường lò lu, phường chánh hiệp</t>
  </si>
  <si>
    <t>HD061515</t>
  </si>
  <si>
    <t>Heng Roza (Ev38382)</t>
  </si>
  <si>
    <t>HD061561</t>
  </si>
  <si>
    <t>Công ty kiến long BÃI XE KIẾN LONG, Chành Xe An Long, C10/2B QL1A, X. Tân Nhựt</t>
  </si>
  <si>
    <t>Diệu - fb Min Hee</t>
  </si>
  <si>
    <t>HD061475</t>
  </si>
  <si>
    <t>Chung cư Richstar 1, Tháp RS1 Tô Hiệu, phường Hiệp Tân</t>
  </si>
  <si>
    <t>Nguyen Bich</t>
  </si>
  <si>
    <t>HD061579</t>
  </si>
  <si>
    <t>246/23d hòa hưng p13</t>
  </si>
  <si>
    <t>HD061580</t>
  </si>
  <si>
    <t>19/31 Giang Cự Vọng Phường Trung Mỹ Tây</t>
  </si>
  <si>
    <t>Nguyễn Thiên Trang</t>
  </si>
  <si>
    <t>HD061476</t>
  </si>
  <si>
    <t>53/7 nguyễn khắc nhu</t>
  </si>
  <si>
    <t>HD061308</t>
  </si>
  <si>
    <t>at 26-09</t>
  </si>
  <si>
    <t>NGAY 26-9</t>
  </si>
  <si>
    <t>Jenny</t>
  </si>
  <si>
    <t>28-09-2026</t>
  </si>
  <si>
    <t>Trân bouti</t>
  </si>
  <si>
    <t>Chung cư Era Town Đức Khải, đường 15B Nguyễn Lương Bằng, Tân Mỹ</t>
  </si>
  <si>
    <t>AT 28-09</t>
  </si>
  <si>
    <t>ANH THU</t>
  </si>
  <si>
    <t>230 tôn đản phường 8</t>
  </si>
  <si>
    <t>Fang Fang</t>
  </si>
  <si>
    <t>A75/6B/2 Bạch Đằng p2</t>
  </si>
  <si>
    <t>HÀ VY</t>
  </si>
  <si>
    <t>482/10/26 Nơ Trang Long, p13</t>
  </si>
  <si>
    <t>Yến Nhi</t>
  </si>
  <si>
    <t>HD061834</t>
  </si>
  <si>
    <t>60B1 Ngô Đức Kế</t>
  </si>
  <si>
    <t>Đăng Ly</t>
  </si>
  <si>
    <t>HD061702</t>
  </si>
  <si>
    <t>15/26 Bùi Công Trừng.P Thạnh Xuân</t>
  </si>
  <si>
    <t>Ng nhận: Ngân Ngân ( Thủy Tiên )</t>
  </si>
  <si>
    <t>HD062043</t>
  </si>
  <si>
    <t>403 Tân sơn p. An Hội Tây</t>
  </si>
  <si>
    <t>Barmey Bon (EV26146)</t>
  </si>
  <si>
    <t>HD061969</t>
  </si>
  <si>
    <t>(Công ty kiến Long)C10/2B Quốc Lộ 1A, Xã Tân Nhựt</t>
  </si>
  <si>
    <t>Hồ Minh Hương</t>
  </si>
  <si>
    <t>HD061904</t>
  </si>
  <si>
    <t>127/26 nguyễn tư giản – f12</t>
  </si>
  <si>
    <t>Lâm Huyền My</t>
  </si>
  <si>
    <t>HD061649</t>
  </si>
  <si>
    <t>vinhome Grand park m1-19 khu manhattan. Phường Long Thạnh Mỹ</t>
  </si>
  <si>
    <t>HD061715</t>
  </si>
  <si>
    <t>Phan Siêu Siêu</t>
  </si>
  <si>
    <t>HD061931</t>
  </si>
  <si>
    <t>Hi-Tech Park, I8-1, P. Tăng Nhơn Phú (p. Long Thạnh Mỹ cũ)</t>
  </si>
  <si>
    <t>Lê Thị Thùy Hương</t>
  </si>
  <si>
    <t>HD061634</t>
  </si>
  <si>
    <t>15/40 ao đội, p bình trị đông A</t>
  </si>
  <si>
    <t>Quỳnh Hương</t>
  </si>
  <si>
    <t>HD061667</t>
  </si>
  <si>
    <t>Saigon Royal Residences, Nguyễn Trường Tộ, phường 13</t>
  </si>
  <si>
    <t>HD061768</t>
  </si>
  <si>
    <t>HD061930</t>
  </si>
  <si>
    <t>Phạm Phương Thảo</t>
  </si>
  <si>
    <t>HD061835</t>
  </si>
  <si>
    <t>332/42/9k phan văn tri p11</t>
  </si>
  <si>
    <t>Nguyễn Hoài Diễm Phúc</t>
  </si>
  <si>
    <t>HD061895</t>
  </si>
  <si>
    <t>B14 đường số 30, Phường An Khánh</t>
  </si>
  <si>
    <t>Lynh Nhiii</t>
  </si>
  <si>
    <t>HD062072</t>
  </si>
  <si>
    <t>230/8/28A, Đường lò ku . Khu phố ích thạnh . Phường long phước</t>
  </si>
  <si>
    <t>HD062053</t>
  </si>
  <si>
    <t>Vũ Thị Tuyết Nhung</t>
  </si>
  <si>
    <t>HD061648</t>
  </si>
  <si>
    <t>643/2/27 quốc lộ 50 bình hưng</t>
  </si>
  <si>
    <t>Maria ngọc nguyen</t>
  </si>
  <si>
    <t>HD061830</t>
  </si>
  <si>
    <t>tòa c 11.6 lumeeveboulevard dường xiển phường long bình</t>
  </si>
  <si>
    <t>HD062090</t>
  </si>
  <si>
    <t>Lê Thu</t>
  </si>
  <si>
    <t>HD061880</t>
  </si>
  <si>
    <t>180/60A Nguyễn Hữu Cảnh, P thạnh Mỹ Tây</t>
  </si>
  <si>
    <t>Nguyễn Thị Mỹ Phúc</t>
  </si>
  <si>
    <t>HD061933</t>
  </si>
  <si>
    <t>The Sun Avenue (S5) 28 Mai Chí Thọ, An Phú</t>
  </si>
  <si>
    <t>Trợ LÍ ZISHAN – Ngọc A2.19.10</t>
  </si>
  <si>
    <t>HD061772</t>
  </si>
  <si>
    <t>lock A2 căn A2.19.10 Chung cư SG Riverside, Block A2- U2. 04, đường Đào Trí, Phú Thuận</t>
  </si>
  <si>
    <t>Thanh (FB Tỉnh Nguyễn)</t>
  </si>
  <si>
    <t>HD061711</t>
  </si>
  <si>
    <t>418/16 Lê Văn Quới Phương Bình Hưng Hòa A</t>
  </si>
  <si>
    <t>Phạm Mỹ Duyên</t>
  </si>
  <si>
    <t>HD061723</t>
  </si>
  <si>
    <t>Kiều by kita 927 trần hưng đạo</t>
  </si>
  <si>
    <t>HD061716</t>
  </si>
  <si>
    <t>78-89 nam kỳ khởi nghĩa p bến thành</t>
  </si>
  <si>
    <t>Ân Nguyễn</t>
  </si>
  <si>
    <t>HD061567</t>
  </si>
  <si>
    <t>Giao về 839/7 Hoàng Sa, p9</t>
  </si>
  <si>
    <t>Như Như</t>
  </si>
  <si>
    <t>HD061953</t>
  </si>
  <si>
    <t>181/7 âu dương lân-chánh hưng</t>
  </si>
  <si>
    <t>Kai Ling (Website_Whatsapp)</t>
  </si>
  <si>
    <t>HD062089</t>
  </si>
  <si>
    <t>GRAND HOTEL dù LẠC Boutique Saigon 40-42 Phan Bội Châu, Bến Thành</t>
  </si>
  <si>
    <t>Thảo Uyên</t>
  </si>
  <si>
    <t>HD061883</t>
  </si>
  <si>
    <t>Cantavil Hoàn Cầu (600A Điện Biên Phủ, Phường Thạnh Mỹ Tây)</t>
  </si>
  <si>
    <t>Bích vân fb Dang Tram</t>
  </si>
  <si>
    <t>HD061893</t>
  </si>
  <si>
    <t>81/17/19, đường số 59, phường an tây hội</t>
  </si>
  <si>
    <t>Nguyễn Thị Thảo</t>
  </si>
  <si>
    <t>HD061682</t>
  </si>
  <si>
    <t>103nguyễn Đức cảnh phường tân phong phú mỷ hưng</t>
  </si>
  <si>
    <t>Huyền Trang</t>
  </si>
  <si>
    <t>HD061877</t>
  </si>
  <si>
    <t>Ship 406 Trần Hưng Đạo, P2</t>
  </si>
  <si>
    <t>HD061803</t>
  </si>
  <si>
    <t>Nguyen Sue</t>
  </si>
  <si>
    <t>HD062079</t>
  </si>
  <si>
    <t>445 ba hạt p8</t>
  </si>
  <si>
    <t>Minơ fb Lê Tú</t>
  </si>
  <si>
    <t>HD062086</t>
  </si>
  <si>
    <t>chung cư Sài Gòn Mia - lock A ) 200 đường số 9A- xã bình hưng</t>
  </si>
  <si>
    <t>HD061815</t>
  </si>
  <si>
    <t>Nhat Vy</t>
  </si>
  <si>
    <t>HD061695</t>
  </si>
  <si>
    <t>151 Ben Van Don</t>
  </si>
  <si>
    <t>kh ck shop 2550k</t>
  </si>
  <si>
    <t>Mai Ly</t>
  </si>
  <si>
    <t>HD061949</t>
  </si>
  <si>
    <t>37/72 Trần Đình Xu, Ông Lãnh</t>
  </si>
  <si>
    <t>HD061801</t>
  </si>
  <si>
    <t>Wendy Nguyễn ( giao cho thu Thảo)</t>
  </si>
  <si>
    <t>HD061935</t>
  </si>
  <si>
    <t>26/6c Tân Thành</t>
  </si>
  <si>
    <t>Nhi Hồ</t>
  </si>
  <si>
    <t>HD061640</t>
  </si>
  <si>
    <t>705/1 đường 3/2 phường 6</t>
  </si>
  <si>
    <t>DINA (YAYANG)</t>
  </si>
  <si>
    <t>HD061809</t>
  </si>
  <si>
    <t>Language Exchange Hostel 1 - 399/43/5 Nguyễn Đình Chiểu, Phường 5, pax Vietnam</t>
  </si>
  <si>
    <t>Trúc</t>
  </si>
  <si>
    <t>HD061970</t>
  </si>
  <si>
    <t>666/64/22 đường 3/2 phường Diên Hồng (phường 14 cũ)</t>
  </si>
  <si>
    <t>mai ngọc ánh</t>
  </si>
  <si>
    <t>HD061683</t>
  </si>
  <si>
    <t>kp 3 thạnh mỹ lợi cát lái</t>
  </si>
  <si>
    <t>ViVi Ng</t>
  </si>
  <si>
    <t>HD062022</t>
  </si>
  <si>
    <t>463B/53D/21 Cách Mạng Tháng 8, Phường 13</t>
  </si>
  <si>
    <t>Nguyễn Trương Phương Oanh</t>
  </si>
  <si>
    <t>HD061975</t>
  </si>
  <si>
    <t>Kim Nhi</t>
  </si>
  <si>
    <t>HD062002</t>
  </si>
  <si>
    <t>71/1/1 Nguyễn Văn Thương Phường Thạnh Mỹ Tây</t>
  </si>
  <si>
    <t>Phương Anh Chu</t>
  </si>
  <si>
    <t>HD061725</t>
  </si>
  <si>
    <t>132 bến vân đồn block A</t>
  </si>
  <si>
    <t>HD061810</t>
  </si>
  <si>
    <t>SREYEGNEGN NOEUN (Insta dalissd) - VIP</t>
  </si>
  <si>
    <t>HD061986</t>
  </si>
  <si>
    <t>363-365-367, 363 Đ. Hùng Vương - Khải Nam Transport</t>
  </si>
  <si>
    <t>phương</t>
  </si>
  <si>
    <t>HD062067</t>
  </si>
  <si>
    <t>chung cư panorama, 20 lê thị chợ, phú thuận</t>
  </si>
  <si>
    <t>HD061799</t>
  </si>
  <si>
    <t>Note : gửi lễ tên giao cho chị Thảo_FB: Lan Tran</t>
  </si>
  <si>
    <t>HD061983</t>
  </si>
  <si>
    <t>994A/73/6 Huynh Tan Phat St., Tan My Ward</t>
  </si>
  <si>
    <t>Linh My Pham</t>
  </si>
  <si>
    <t>HD062069</t>
  </si>
  <si>
    <t>160/61 phan huy ích p. An hội tây</t>
  </si>
  <si>
    <t>Ng nhận: Minh Tâm (fb Lindsey Ng)</t>
  </si>
  <si>
    <t>HD062047</t>
  </si>
  <si>
    <t>520/44/1 Quốc lộ 13, Hiệp Bình Phước</t>
  </si>
  <si>
    <t>Hồ Mộng Như Thường</t>
  </si>
  <si>
    <t>HD062092</t>
  </si>
  <si>
    <t>33 Võ Văn Ngân, p.Linh Chiểu</t>
  </si>
  <si>
    <t>diễm trần</t>
  </si>
  <si>
    <t>HD061684</t>
  </si>
  <si>
    <t>104/21/1 trịnh đình trọng phú trung</t>
  </si>
  <si>
    <t>Hằng Lê</t>
  </si>
  <si>
    <t>HD061944</t>
  </si>
  <si>
    <t>số 9 Nguyễn Chí Thanh P9</t>
  </si>
  <si>
    <t>at 28-09</t>
  </si>
  <si>
    <t>NGAY 28-9</t>
  </si>
  <si>
    <t>29-09-2026</t>
  </si>
  <si>
    <t>PHUONG NGUYEN</t>
  </si>
  <si>
    <t>363 Hùng Vương, P.9</t>
  </si>
  <si>
    <t>Đức Duy</t>
  </si>
  <si>
    <t>22 TÂN THỚI NHẤT 1B, ĐÔNG HƯNG THUẬN (P. TÂN THỚI NHẤT CŨ)</t>
  </si>
  <si>
    <t>Vicky Trần</t>
  </si>
  <si>
    <t>127/17 bình lợi p13</t>
  </si>
  <si>
    <t>AT 29-09</t>
  </si>
  <si>
    <t>Demy Lữ</t>
  </si>
  <si>
    <t>HD062317</t>
  </si>
  <si>
    <t>39 bến vân đồn p13 chung cư The Tresor toà ap2</t>
  </si>
  <si>
    <t>Ngọc Anh</t>
  </si>
  <si>
    <t>HD062321</t>
  </si>
  <si>
    <t>Toà MP7 - chung cư Mizuki Park - Bình Hưng</t>
  </si>
  <si>
    <t>HD062119</t>
  </si>
  <si>
    <t>200 lê lại bến thành</t>
  </si>
  <si>
    <t>HD062250</t>
  </si>
  <si>
    <t>16 nghĩa thục phường 6</t>
  </si>
  <si>
    <t>HD062131</t>
  </si>
  <si>
    <t>15/40 ao đôi, p bình trị đông A</t>
  </si>
  <si>
    <t>Phương Trần (Website)</t>
  </si>
  <si>
    <t>HD062326</t>
  </si>
  <si>
    <t>95/19A Lê Văn Lương, Phường Tân Kiểng</t>
  </si>
  <si>
    <t>Trần Thảo</t>
  </si>
  <si>
    <t>HD062074</t>
  </si>
  <si>
    <t>173 Đường số 30, Tân Hưng</t>
  </si>
  <si>
    <t>BN2705</t>
  </si>
  <si>
    <t>HD062333</t>
  </si>
  <si>
    <t>163 Trương Thị Hoa, phường Tân Thới Hiệp</t>
  </si>
  <si>
    <t>Khánh Hòa</t>
  </si>
  <si>
    <t>HD062228</t>
  </si>
  <si>
    <t>Ship đến saigon royal 9 Đ. Nguyễn Trường Tộ, Xóm Chiếu</t>
  </si>
  <si>
    <t>HD062291</t>
  </si>
  <si>
    <t>HD062311</t>
  </si>
  <si>
    <t>Phan Nhi</t>
  </si>
  <si>
    <t>HD062194</t>
  </si>
  <si>
    <t>133/55 quang trung</t>
  </si>
  <si>
    <t>Nguyễn văn trường An</t>
  </si>
  <si>
    <t>HD062176</t>
  </si>
  <si>
    <t>Chung cư Phú Hoàng Anh, 09 Nguyễn Hữu Thọ, Phước kiển</t>
  </si>
  <si>
    <t>HD062293</t>
  </si>
  <si>
    <t>230/8/28A . Đường lò ku . Khu phố ích thạnh . Phường long phước</t>
  </si>
  <si>
    <t>___det___</t>
  </si>
  <si>
    <t>HD061972</t>
  </si>
  <si>
    <t>363 Hùng Vương,p9</t>
  </si>
  <si>
    <t>diễm trân</t>
  </si>
  <si>
    <t>HD062203</t>
  </si>
  <si>
    <t>Prem _ Dương Hà</t>
  </si>
  <si>
    <t>HD062157</t>
  </si>
  <si>
    <t>Số 11 (Trung tâm thương mại Vạn Hạnh Mall) sư Vạn Hạnh, Phường 12</t>
  </si>
  <si>
    <t>Tuyến tân p</t>
  </si>
  <si>
    <t>HD062221</t>
  </si>
  <si>
    <t>676 luỹ bán bích</t>
  </si>
  <si>
    <t>Vũ Nguyễn (FB Anh Dao)</t>
  </si>
  <si>
    <t>HD062246</t>
  </si>
  <si>
    <t>14/13/81 Thân Nhân Trung, Phường 13 (Đi hẻm 406 Cộng Hòa hết đường quẹo phải sẽ thấy công ty nằm cuối đường bên tay trái)</t>
  </si>
  <si>
    <t>gặp Thủy fb Barbie Phạm</t>
  </si>
  <si>
    <t>HD062168</t>
  </si>
  <si>
    <t>1806/34/4 Đường Huỳnh Tấn Phát</t>
  </si>
  <si>
    <t>HD062298</t>
  </si>
  <si>
    <t>lê xuân hiền (NG MO)</t>
  </si>
  <si>
    <t>HD062299</t>
  </si>
  <si>
    <t>565/30B1 Đường An Dương Vương, Khu Phố 6, Phường An Lạc A</t>
  </si>
  <si>
    <t>BON DIEP</t>
  </si>
  <si>
    <t>HD062337</t>
  </si>
  <si>
    <t>thiên minh express 20/13 bùi thị xuân tân sơn hòa</t>
  </si>
  <si>
    <t>Linh chu</t>
  </si>
  <si>
    <t>HD062290</t>
  </si>
  <si>
    <t>Số 1 Trung lang, phường 7 hiền</t>
  </si>
  <si>
    <t>Trần Liên</t>
  </si>
  <si>
    <t>HD062289</t>
  </si>
  <si>
    <t>99/10/21 nguyễn thị xinh phường thới an</t>
  </si>
  <si>
    <t>HD062327</t>
  </si>
  <si>
    <t>HD062231</t>
  </si>
  <si>
    <t>chị ngân</t>
  </si>
  <si>
    <t>HD062338</t>
  </si>
  <si>
    <t>163 trần bình trọng, phường Chợ Quán ( P.2 cũ )</t>
  </si>
  <si>
    <t>HD062340</t>
  </si>
  <si>
    <t>Nabee2530</t>
  </si>
  <si>
    <t>HD062297</t>
  </si>
  <si>
    <t>275/1451, Đ. Đặng Nguyên Cẩn, Phường 14</t>
  </si>
  <si>
    <t>HD062283</t>
  </si>
  <si>
    <t>315/18/5 Nhuyễn Thị Tú, Phường Bình Hưng Hòa B</t>
  </si>
  <si>
    <t>SS3164 - Moskill SS Cargo Shipping (còn dư 715k)</t>
  </si>
  <si>
    <t>HD061920</t>
  </si>
  <si>
    <t>674 đường số 2. Phường 13</t>
  </si>
  <si>
    <t>Winnie Wn</t>
  </si>
  <si>
    <t>HD062244</t>
  </si>
  <si>
    <t>79/27 Trần Văn Đang, phường Nhiêu Lộc</t>
  </si>
  <si>
    <t>Kim nhi</t>
  </si>
  <si>
    <t>HD062187</t>
  </si>
  <si>
    <t>Số 2b, Đường Lê Văn Thịnh, Phường Bình Trưng</t>
  </si>
  <si>
    <t>Bao Tran</t>
  </si>
  <si>
    <t>HD062303</t>
  </si>
  <si>
    <t>688/23/1C Hương Lộ 2 Phường Binh Trị Đông A</t>
  </si>
  <si>
    <t>Khánh Ngọc</t>
  </si>
  <si>
    <t>HD062135</t>
  </si>
  <si>
    <t>The Gold View Apartment (Block A); 346 Bến Vân Đồn, Vĩnh Hội</t>
  </si>
  <si>
    <t>Tran Pham</t>
  </si>
  <si>
    <t>HD062227</t>
  </si>
  <si>
    <t>sảnh B d'lusso an phú</t>
  </si>
  <si>
    <t>225 Thống Nhất, an hội đông</t>
  </si>
  <si>
    <t>at 29-09</t>
  </si>
  <si>
    <t>NGAY 29-9</t>
  </si>
  <si>
    <t>7</t>
  </si>
  <si>
    <t>kh ck shop 835k</t>
  </si>
  <si>
    <t>kh ck shop 1615k</t>
  </si>
  <si>
    <t>Nguyễn Thị Hà Vy</t>
  </si>
  <si>
    <t>HD062352</t>
  </si>
  <si>
    <t>93/1 nguyễn chí thanh phường 9</t>
  </si>
  <si>
    <t>30-09-2026</t>
  </si>
  <si>
    <t>Uyên Nhi</t>
  </si>
  <si>
    <t>HD062630</t>
  </si>
  <si>
    <t>212 trường chinh p13</t>
  </si>
  <si>
    <t>Nguyễn Nhị Quỳnh</t>
  </si>
  <si>
    <t>HD062372</t>
  </si>
  <si>
    <t>28/13 Trần Thiện Chánh, phường Hòa Hưng</t>
  </si>
  <si>
    <t>Hồng Ngoan</t>
  </si>
  <si>
    <t>HD062382</t>
  </si>
  <si>
    <t>minh tâm</t>
  </si>
  <si>
    <t>HD062539</t>
  </si>
  <si>
    <t>10 Gò Cát,p Long Trường</t>
  </si>
  <si>
    <t>AT 30-09</t>
  </si>
  <si>
    <t>HD062610</t>
  </si>
  <si>
    <t>Toà landmark 2</t>
  </si>
  <si>
    <t>Ngọc Linh</t>
  </si>
  <si>
    <t>HD062349</t>
  </si>
  <si>
    <t>47/5 Phạm Ngọc Thạch, P6</t>
  </si>
  <si>
    <t>Nguyễn Nhật Đức Tài</t>
  </si>
  <si>
    <t>HD062544</t>
  </si>
  <si>
    <t>159/61 đường bạch đằng</t>
  </si>
  <si>
    <t>My Ha</t>
  </si>
  <si>
    <t>HD062479</t>
  </si>
  <si>
    <t>Nhà Glen v8-08, khu Diamond Brilliant - phường sơn kỳ</t>
  </si>
  <si>
    <t>HD062457</t>
  </si>
  <si>
    <t>Linh Vuong</t>
  </si>
  <si>
    <t>HD062518</t>
  </si>
  <si>
    <t>869 âu cơ, tân sơn nhì</t>
  </si>
  <si>
    <t>Linh Bửu</t>
  </si>
  <si>
    <t>HDO1790674086507_472559</t>
  </si>
  <si>
    <t>Landmark 4,P22</t>
  </si>
  <si>
    <t>ng nhận (Đức) của c linh</t>
  </si>
  <si>
    <t>HD062603</t>
  </si>
  <si>
    <t>403 Tân Sơn, Phường An Hội Tây</t>
  </si>
  <si>
    <t>Phương Tuệ Trân</t>
  </si>
  <si>
    <t>HD062440</t>
  </si>
  <si>
    <t>443/60 điện biên phủ phuong 3</t>
  </si>
  <si>
    <t>HD062399</t>
  </si>
  <si>
    <t>Chung cư Zen Tower số 34/1A, phường THỚI AN</t>
  </si>
  <si>
    <t>Vy Nguyễn</t>
  </si>
  <si>
    <t>HD062517</t>
  </si>
  <si>
    <t>33/10 đường 19A, phường bình hưng hoà</t>
  </si>
  <si>
    <t>Dat Thanh</t>
  </si>
  <si>
    <t>HD062378</t>
  </si>
  <si>
    <t>76B Ton Dan, Khanh Hoi Ward</t>
  </si>
  <si>
    <t>Từ Thụy Hồng Ngọc</t>
  </si>
  <si>
    <t>HD062511</t>
  </si>
  <si>
    <t>154/136/15/3 Au Duong Lan p3</t>
  </si>
  <si>
    <t>HD062448</t>
  </si>
  <si>
    <t>315/186 Nhuyễn Thị Tú, Phường Bình Hưng Hòa B</t>
  </si>
  <si>
    <t>Ngọc Như</t>
  </si>
  <si>
    <t>HD062414</t>
  </si>
  <si>
    <t>369/26 lê hồng phong p2</t>
  </si>
  <si>
    <t>Trang Đỗ</t>
  </si>
  <si>
    <t>HD062391</t>
  </si>
  <si>
    <t>Căn A2.1311 Diamond alrata đường N1 phường Cập nhật Sơn kỳ, Phường Tân Sơn Nhì</t>
  </si>
  <si>
    <t>HD062628</t>
  </si>
  <si>
    <t>Minơ - Angela Ngọc Nữ</t>
  </si>
  <si>
    <t>HD062626</t>
  </si>
  <si>
    <t>chung cư Sài Gòn Mia - lock A ) 200 đường số 9A - xã bình hưng</t>
  </si>
  <si>
    <t>MAI lệ huyền</t>
  </si>
  <si>
    <t>HD062605</t>
  </si>
  <si>
    <t>229/4e, Bùi Thị Xuân, Phường Tân Sơn Hòa</t>
  </si>
  <si>
    <t>Hồng Moon</t>
  </si>
  <si>
    <t>HD062498</t>
  </si>
  <si>
    <t>74/12 thạch thị thanh</t>
  </si>
  <si>
    <t>Sea</t>
  </si>
  <si>
    <t>HD062344</t>
  </si>
  <si>
    <t>32/16a đường số 6, P. BHHA</t>
  </si>
  <si>
    <t>FB HUỲNH NGỌC HÂN</t>
  </si>
  <si>
    <t>HD062411</t>
  </si>
  <si>
    <t>Trân Liên</t>
  </si>
  <si>
    <t>HD062421</t>
  </si>
  <si>
    <t>Huỳnh My</t>
  </si>
  <si>
    <t>HD062431</t>
  </si>
  <si>
    <t>166/20 lý thái tổ p1</t>
  </si>
  <si>
    <t>HD062617</t>
  </si>
  <si>
    <t>Jerry Lai</t>
  </si>
  <si>
    <t>HD062386</t>
  </si>
  <si>
    <t>341/18 xvnt p24</t>
  </si>
  <si>
    <t>Hương Giang</t>
  </si>
  <si>
    <t>HD062622</t>
  </si>
  <si>
    <t>Cổng 2 Chung cư Ruby Celadon Tân Phú, Phường Tân Sơn Nhì</t>
  </si>
  <si>
    <t>HD062384</t>
  </si>
  <si>
    <t>Cô Hà - fb Mêla Phương Trinh</t>
  </si>
  <si>
    <t>HD062612</t>
  </si>
  <si>
    <t>Sảnh 1 lô M, chung cư bàu cát 2,p10 (Trinh Perth)</t>
  </si>
  <si>
    <t>Bội M ( Giao giờ hành chính)</t>
  </si>
  <si>
    <t>HD062647</t>
  </si>
  <si>
    <t>Số 03 Đường Ba Tháng Hai, phường Vườn Lài (địa chỉ cũ P.11)</t>
  </si>
  <si>
    <t>tú goi do cho c hang hang</t>
  </si>
  <si>
    <t>HD062412</t>
  </si>
  <si>
    <t>87 Đường A4 Phường Bảy Hiền</t>
  </si>
  <si>
    <t>My Ny</t>
  </si>
  <si>
    <t>HD062420</t>
  </si>
  <si>
    <t>293/23 Bạch Đằng, P. Gia Định</t>
  </si>
  <si>
    <t>gia linh</t>
  </si>
  <si>
    <t>HD062322</t>
  </si>
  <si>
    <t>tk19/19 nguyen canh chan cau ong lạnh</t>
  </si>
  <si>
    <t>Chu Thanh Vân @123456789_van</t>
  </si>
  <si>
    <t>HD062619</t>
  </si>
  <si>
    <t>Toà C5 - Chung cư Picity high park Phường thới an</t>
  </si>
  <si>
    <t>HDO1790670012072_472517</t>
  </si>
  <si>
    <t>Hạnh Trần</t>
  </si>
  <si>
    <t>HD062348</t>
  </si>
  <si>
    <t>Chung cư Tecco, Block C, đường Nguyễn Cửu Phú, phường Tân Tạo</t>
  </si>
  <si>
    <t>HD062387</t>
  </si>
  <si>
    <t>Chi Linh</t>
  </si>
  <si>
    <t>HD062433</t>
  </si>
  <si>
    <t>813 Trần Xuân Soạn</t>
  </si>
  <si>
    <t>Bì Nè</t>
  </si>
  <si>
    <t>My Kanh</t>
  </si>
  <si>
    <t>362/29/7 Thống Nhất an hội đông</t>
  </si>
  <si>
    <t>at 30-09</t>
  </si>
  <si>
    <t>NGAY 30-9</t>
  </si>
  <si>
    <t>shop 1</t>
  </si>
  <si>
    <t>15k phí Chành Xe</t>
  </si>
  <si>
    <t>phí Chành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</si>
</sst>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rgb="FF00B05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Border="0"/>
  </cellStyleXfs>
  <cellXfs count="83">
    <xf numFmtId="0" fontId="0" fillId="0" borderId="0" xfId="0"/>
    <xf numFmtId="0" fontId="3" fillId="5" borderId="0" xfId="0" applyFont="1" applyFill="1"/>
    <xf numFmtId="0" fontId="4" fillId="0" borderId="0" xfId="0" applyFont="1"/>
    <xf numFmtId="0" fontId="0" fillId="5" borderId="0" xfId="0" applyFill="1"/>
    <xf numFmtId="0" fontId="3" fillId="0" borderId="0" xfId="0" applyFont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3" fontId="0" fillId="0" borderId="0" xfId="0" applyNumberFormat="1"/>
    <xf numFmtId="0" fontId="3" fillId="6" borderId="0" xfId="0" applyFont="1" applyFill="1"/>
    <xf numFmtId="0" fontId="4" fillId="0" borderId="0" xfId="0" applyFont="1" applyAlignment="1">
      <alignment horizontal="left"/>
    </xf>
    <xf numFmtId="0" fontId="0" fillId="7" borderId="0" xfId="0" applyFill="1"/>
    <xf numFmtId="0" fontId="3" fillId="8" borderId="0" xfId="0" applyFont="1" applyFill="1"/>
    <xf numFmtId="0" fontId="3" fillId="4" borderId="1" xfId="0" applyFont="1" applyFill="1" applyBorder="1"/>
    <xf numFmtId="3" fontId="0" fillId="0" borderId="1" xfId="0" applyNumberFormat="1" applyBorder="1"/>
    <xf numFmtId="0" fontId="5" fillId="2" borderId="1" xfId="0" applyFont="1" applyFill="1" applyBorder="1"/>
    <xf numFmtId="0" fontId="0" fillId="9" borderId="1" xfId="0" applyFill="1" applyBorder="1"/>
    <xf numFmtId="3" fontId="0" fillId="9" borderId="1" xfId="0" applyNumberFormat="1" applyFill="1" applyBorder="1"/>
    <xf numFmtId="3" fontId="0" fillId="9" borderId="0" xfId="0" applyNumberFormat="1" applyFill="1"/>
    <xf numFmtId="0" fontId="0" fillId="9" borderId="0" xfId="0" applyFill="1"/>
    <xf numFmtId="0" fontId="0" fillId="10" borderId="1" xfId="0" applyFill="1" applyBorder="1"/>
    <xf numFmtId="3" fontId="0" fillId="10" borderId="1" xfId="0" applyNumberFormat="1" applyFill="1" applyBorder="1"/>
    <xf numFmtId="3" fontId="0" fillId="10" borderId="0" xfId="0" applyNumberFormat="1" applyFill="1"/>
    <xf numFmtId="0" fontId="0" fillId="10" borderId="0" xfId="0" applyFill="1"/>
    <xf numFmtId="0" fontId="2" fillId="0" borderId="0" xfId="2"/>
    <xf numFmtId="3" fontId="2" fillId="0" borderId="0" xfId="2" applyNumberFormat="1"/>
    <xf numFmtId="0" fontId="6" fillId="5" borderId="0" xfId="2" applyFont="1" applyFill="1"/>
    <xf numFmtId="0" fontId="6" fillId="0" borderId="0" xfId="2" applyFont="1"/>
    <xf numFmtId="0" fontId="6" fillId="6" borderId="0" xfId="2" applyFont="1" applyFill="1"/>
    <xf numFmtId="0" fontId="2" fillId="5" borderId="0" xfId="2" applyFill="1"/>
    <xf numFmtId="0" fontId="4" fillId="0" borderId="0" xfId="2" applyFont="1"/>
    <xf numFmtId="0" fontId="4" fillId="0" borderId="0" xfId="2" applyFont="1" applyAlignment="1">
      <alignment horizontal="left"/>
    </xf>
    <xf numFmtId="0" fontId="2" fillId="7" borderId="0" xfId="2" applyFill="1"/>
    <xf numFmtId="0" fontId="6" fillId="8" borderId="0" xfId="2" applyFont="1" applyFill="1"/>
    <xf numFmtId="0" fontId="6" fillId="4" borderId="1" xfId="2" applyFont="1" applyFill="1" applyBorder="1"/>
    <xf numFmtId="0" fontId="2" fillId="0" borderId="1" xfId="2" applyBorder="1"/>
    <xf numFmtId="3" fontId="2" fillId="0" borderId="1" xfId="2" applyNumberFormat="1" applyBorder="1"/>
    <xf numFmtId="0" fontId="4" fillId="0" borderId="1" xfId="2" applyFont="1" applyBorder="1"/>
    <xf numFmtId="0" fontId="4" fillId="2" borderId="1" xfId="2" applyFont="1" applyFill="1" applyBorder="1"/>
    <xf numFmtId="0" fontId="2" fillId="9" borderId="1" xfId="2" applyFill="1" applyBorder="1"/>
    <xf numFmtId="3" fontId="2" fillId="9" borderId="1" xfId="2" applyNumberFormat="1" applyFill="1" applyBorder="1"/>
    <xf numFmtId="0" fontId="2" fillId="9" borderId="0" xfId="2" applyFill="1"/>
    <xf numFmtId="3" fontId="2" fillId="9" borderId="0" xfId="2" applyNumberFormat="1" applyFill="1"/>
    <xf numFmtId="3" fontId="4" fillId="0" borderId="1" xfId="2" applyNumberFormat="1" applyFont="1" applyBorder="1"/>
    <xf numFmtId="3" fontId="4" fillId="0" borderId="0" xfId="2" applyNumberFormat="1" applyFont="1"/>
    <xf numFmtId="0" fontId="2" fillId="10" borderId="1" xfId="2" applyFill="1" applyBorder="1"/>
    <xf numFmtId="0" fontId="2" fillId="10" borderId="0" xfId="2" applyFill="1"/>
    <xf numFmtId="3" fontId="2" fillId="10" borderId="0" xfId="2" applyNumberFormat="1" applyFill="1"/>
    <xf numFmtId="0" fontId="4" fillId="0" borderId="0" xfId="2" applyFont="1" applyAlignment="1">
      <alignment horizontal="right"/>
    </xf>
    <xf numFmtId="0" fontId="2" fillId="0" borderId="0" xfId="2" applyAlignment="1">
      <alignment horizontal="right"/>
    </xf>
    <xf numFmtId="0" fontId="7" fillId="0" borderId="0" xfId="2" applyFont="1"/>
    <xf numFmtId="0" fontId="7" fillId="0" borderId="1" xfId="2" applyFont="1" applyBorder="1"/>
    <xf numFmtId="3" fontId="7" fillId="0" borderId="1" xfId="2" applyNumberFormat="1" applyFont="1" applyBorder="1"/>
    <xf numFmtId="0" fontId="5" fillId="10" borderId="0" xfId="0" applyFont="1" applyFill="1"/>
    <xf numFmtId="0" fontId="5" fillId="10" borderId="1" xfId="0" applyFont="1" applyFill="1" applyBorder="1"/>
    <xf numFmtId="49" fontId="5" fillId="10" borderId="1" xfId="0" applyNumberFormat="1" applyFont="1" applyFill="1" applyBorder="1"/>
    <xf numFmtId="0" fontId="7" fillId="0" borderId="0" xfId="2" applyFont="1" applyAlignment="1">
      <alignment horizontal="right"/>
    </xf>
    <xf numFmtId="0" fontId="2" fillId="0" borderId="0" xfId="2" applyAlignment="1">
      <alignment wrapText="1"/>
    </xf>
    <xf numFmtId="0" fontId="5" fillId="0" borderId="1" xfId="0" applyFont="1" applyBorder="1"/>
    <xf numFmtId="0" fontId="7" fillId="0" borderId="0" xfId="2" applyFont="1" applyAlignment="1">
      <alignment horizontal="left"/>
    </xf>
    <xf numFmtId="0" fontId="2" fillId="0" borderId="0" xfId="2" applyBorder="1"/>
    <xf numFmtId="3" fontId="2" fillId="0" borderId="0" xfId="2" applyNumberFormat="1" applyBorder="1"/>
    <xf numFmtId="0" fontId="2" fillId="9" borderId="0" xfId="2" applyFill="1" applyBorder="1"/>
    <xf numFmtId="3" fontId="2" fillId="9" borderId="0" xfId="2" applyNumberFormat="1" applyFill="1" applyBorder="1"/>
    <xf numFmtId="0" fontId="4" fillId="0" borderId="0" xfId="2" applyFont="1" applyBorder="1"/>
    <xf numFmtId="49" fontId="0" fillId="0" borderId="0" xfId="0" applyNumberFormat="1"/>
    <xf numFmtId="0" fontId="5" fillId="11" borderId="0" xfId="0" applyFont="1" applyFill="1"/>
    <xf numFmtId="0" fontId="7" fillId="0" borderId="0" xfId="2" applyFont="1" applyBorder="1"/>
    <xf numFmtId="0" fontId="8" fillId="10" borderId="0" xfId="0" applyFont="1" applyFill="1"/>
    <xf numFmtId="0" fontId="9" fillId="0" borderId="0" xfId="2" applyFont="1" applyBorder="1"/>
    <xf numFmtId="0" fontId="9" fillId="0" borderId="1" xfId="2" applyFont="1" applyBorder="1"/>
    <xf numFmtId="0" fontId="10" fillId="10" borderId="1" xfId="0" applyFont="1" applyFill="1" applyBorder="1"/>
    <xf numFmtId="49" fontId="10" fillId="10" borderId="1" xfId="0" applyNumberFormat="1" applyFont="1" applyFill="1" applyBorder="1"/>
    <xf numFmtId="0" fontId="0" fillId="0" borderId="0" xfId="0"/>
    <xf numFmtId="0" fontId="3" fillId="5" borderId="0" xfId="0" applyFont="1" applyFill="1"/>
    <xf numFmtId="0" fontId="3" fillId="0" borderId="0" xfId="0" applyFont="1"/>
    <xf numFmtId="0" fontId="0" fillId="5" borderId="0" xfId="0" applyFill="1"/>
    <xf numFmtId="0" fontId="4" fillId="0" borderId="0" xfId="0" applyFont="1"/>
    <xf numFmtId="0" fontId="2" fillId="0" borderId="0" xfId="2"/>
    <xf numFmtId="0" fontId="6" fillId="5" borderId="0" xfId="2" applyFont="1" applyFill="1"/>
    <xf numFmtId="0" fontId="6" fillId="0" borderId="0" xfId="2" applyFont="1"/>
    <xf numFmtId="0" fontId="2" fillId="5" borderId="0" xfId="2" applyFill="1"/>
    <xf numFmtId="0" fontId="4" fillId="0" borderId="0" xfId="2" applyFont="1"/>
  </cellXfs>
  <cellStyles count="3">
    <cellStyle name="Normal" xfId="0" builtinId="0"/>
    <cellStyle name="Normal 2" xfId="1" xr:uid="{A9338110-9C0D-4B0A-A313-7A943952B6C7}"/>
    <cellStyle name="Normal 3" xfId="2" xr:uid="{F967E928-B008-4378-9B08-846DE39E753A}"/>
  </cellStyles>
  <dxfs count="1">
    <dxf>
      <fill>
        <patternFill patternType="solid">
          <fgColor auto="1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046EA-1F4E-4F66-AD05-60DA64F89680}">
  <sheetPr>
    <tabColor rgb="FF0070C0"/>
  </sheetPr>
  <dimension ref="A1:E31"/>
  <sheetViews>
    <sheetView workbookViewId="0">
      <selection activeCell="K25" sqref="K25"/>
    </sheetView>
  </sheetViews>
  <sheetFormatPr defaultColWidth="9.140625" defaultRowHeight="15" x14ac:dyDescent="0.25"/>
  <cols>
    <col min="1" max="1" width="14.28515625" bestFit="1" customWidth="1"/>
    <col min="2" max="2" width="10.85546875" bestFit="1" customWidth="1"/>
    <col min="3" max="3" width="9.42578125" bestFit="1" customWidth="1"/>
    <col min="4" max="4" width="17.5703125" bestFit="1" customWidth="1"/>
    <col min="5" max="5" width="15.85546875" bestFit="1" customWidth="1"/>
    <col min="6" max="6" width="9.140625" customWidth="1"/>
  </cols>
  <sheetData>
    <row r="1" spans="1:5" x14ac:dyDescent="0.25">
      <c r="A1" t="s">
        <v>0</v>
      </c>
      <c r="B1">
        <v>2026</v>
      </c>
    </row>
    <row r="2" spans="1:5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25">
      <c r="A3" s="6" t="str" cm="1">
        <f t="array" aca="1" ref="A3:A27" ca="1">_xlfn.LET(
    _xlpm.start,DATE(B1,--_xlfn.TEXTAFTER(A1," "),1),
    _xlpm.d,_xlfn.SEQUENCE(DAY(EOMONTH(_xlpm.start,0)),,_xlpm.start),
    _xlpm.x,TEXT(_xlpm.d,"dd-mm"),
    _xlpm.result,_xlfn.DROP(
        _xlfn.REDUCE("",_xlpm.x,_xlfn.LAMBDA(_xlpm.a,_xlpm.s,
            _xlfn.VSTACK(
                _xlpm.a,
                IF(ISREF(INDIRECT("'"&amp;_xlpm.s&amp;"'!A1")),_xlpm.s,""),
                IF(ISREF(INDIRECT("'"&amp;_xlpm.s&amp;"_Morning'!A1")),_xlpm.s&amp;"_Morning",""),
                IF(ISREF(INDIRECT("'"&amp;_xlpm.s&amp;"_Night'!A1")),_xlpm.s&amp;"_Night","")
            )
        )),
        1
    ),
    _xlfn._xlws.FILTER(_xlpm.result,_xlpm.result&lt;&gt;"")
)</f>
        <v>03-09</v>
      </c>
      <c r="B3" s="6">
        <f ca="1">IFERROR(COUNTIF(INDIRECT("'"&amp;A3&amp;"'!L3:L200"),LEFT(A3,FIND("_",A3&amp;"_")-1)&amp;"-"&amp;B$1),0)</f>
        <v>15</v>
      </c>
      <c r="C3" s="6">
        <f ca="1">IFERROR(COUNTIF(INDIRECT("'"&amp;A3&amp;"'!M3:M200"),"*gộp*")/2,0)</f>
        <v>0</v>
      </c>
      <c r="D3" s="6" cm="1">
        <f t="array" aca="1" ref="D3" ca="1">IFERROR(SUM(COUNTIF(INDIRECT("'"&amp;A3&amp;"'!M3:M200"),{"*đơn trả*","*hàng tỉnh*"})),0)</f>
        <v>0</v>
      </c>
      <c r="E3" s="6">
        <f t="shared" ref="E3" ca="1" si="0">B3-C3-D3</f>
        <v>15</v>
      </c>
    </row>
    <row r="4" spans="1:5" x14ac:dyDescent="0.25">
      <c r="A4" s="6" t="str">
        <f ca="1"/>
        <v>04-09</v>
      </c>
      <c r="B4" s="6">
        <f t="shared" ref="B4:B27" ca="1" si="1">IFERROR(COUNTIF(INDIRECT("'"&amp;A4&amp;"'!L3:L200"),LEFT(A4,FIND("_",A4&amp;"_")-1)&amp;"-"&amp;B$1),0)</f>
        <v>71</v>
      </c>
      <c r="C4" s="6">
        <f t="shared" ref="C4:C27" ca="1" si="2">IFERROR(COUNTIF(INDIRECT("'"&amp;A4&amp;"'!M3:M200"),"*gộp*")/2,0)</f>
        <v>0</v>
      </c>
      <c r="D4" s="6" cm="1">
        <f t="array" aca="1" ref="D4" ca="1">IFERROR(SUM(COUNTIF(INDIRECT("'"&amp;A4&amp;"'!M3:M200"),{"*đơn trả*","*hàng tỉnh*"})),0)</f>
        <v>13</v>
      </c>
      <c r="E4" s="6">
        <f t="shared" ref="E4:E27" ca="1" si="3">B4-C4-D4</f>
        <v>58</v>
      </c>
    </row>
    <row r="5" spans="1:5" x14ac:dyDescent="0.25">
      <c r="A5" s="6" t="str">
        <f ca="1"/>
        <v>05-09</v>
      </c>
      <c r="B5" s="6">
        <f t="shared" ca="1" si="1"/>
        <v>77</v>
      </c>
      <c r="C5" s="6">
        <f t="shared" ca="1" si="2"/>
        <v>1</v>
      </c>
      <c r="D5" s="6" cm="1">
        <f t="array" aca="1" ref="D5" ca="1">IFERROR(SUM(COUNTIF(INDIRECT("'"&amp;A5&amp;"'!M3:M200"),{"*đơn trả*","*hàng tỉnh*"})),0)</f>
        <v>4</v>
      </c>
      <c r="E5" s="6">
        <f t="shared" ca="1" si="3"/>
        <v>72</v>
      </c>
    </row>
    <row r="6" spans="1:5" x14ac:dyDescent="0.25">
      <c r="A6" s="6" t="str">
        <f ca="1"/>
        <v>06-09</v>
      </c>
      <c r="B6" s="6">
        <f t="shared" ca="1" si="1"/>
        <v>70</v>
      </c>
      <c r="C6" s="6">
        <f t="shared" ca="1" si="2"/>
        <v>1</v>
      </c>
      <c r="D6" s="6" cm="1">
        <f t="array" aca="1" ref="D6" ca="1">IFERROR(SUM(COUNTIF(INDIRECT("'"&amp;A6&amp;"'!M3:M200"),{"*đơn trả*","*hàng tỉnh*"})),0)</f>
        <v>32</v>
      </c>
      <c r="E6" s="6">
        <f t="shared" ca="1" si="3"/>
        <v>37</v>
      </c>
    </row>
    <row r="7" spans="1:5" x14ac:dyDescent="0.25">
      <c r="A7" s="6" t="str">
        <f ca="1"/>
        <v>07-09</v>
      </c>
      <c r="B7" s="6">
        <f t="shared" ca="1" si="1"/>
        <v>53</v>
      </c>
      <c r="C7" s="6">
        <f t="shared" ca="1" si="2"/>
        <v>0</v>
      </c>
      <c r="D7" s="6" cm="1">
        <f t="array" aca="1" ref="D7" ca="1">IFERROR(SUM(COUNTIF(INDIRECT("'"&amp;A7&amp;"'!M3:M200"),{"*đơn trả*","*hàng tỉnh*"})),0)</f>
        <v>0</v>
      </c>
      <c r="E7" s="6">
        <f t="shared" ca="1" si="3"/>
        <v>53</v>
      </c>
    </row>
    <row r="8" spans="1:5" x14ac:dyDescent="0.25">
      <c r="A8" s="6" t="str">
        <f ca="1"/>
        <v>08-09</v>
      </c>
      <c r="B8" s="6">
        <f t="shared" ca="1" si="1"/>
        <v>37</v>
      </c>
      <c r="C8" s="6">
        <f t="shared" ca="1" si="2"/>
        <v>0</v>
      </c>
      <c r="D8" s="6" cm="1">
        <f t="array" aca="1" ref="D8" ca="1">IFERROR(SUM(COUNTIF(INDIRECT("'"&amp;A8&amp;"'!M3:M200"),{"*đơn trả*","*hàng tỉnh*"})),0)</f>
        <v>1</v>
      </c>
      <c r="E8" s="6">
        <f t="shared" ca="1" si="3"/>
        <v>36</v>
      </c>
    </row>
    <row r="9" spans="1:5" x14ac:dyDescent="0.25">
      <c r="A9" s="6" t="str">
        <f ca="1"/>
        <v>09-09</v>
      </c>
      <c r="B9" s="6">
        <f t="shared" ca="1" si="1"/>
        <v>51</v>
      </c>
      <c r="C9" s="6">
        <f t="shared" ca="1" si="2"/>
        <v>0</v>
      </c>
      <c r="D9" s="6" cm="1">
        <f t="array" aca="1" ref="D9" ca="1">IFERROR(SUM(COUNTIF(INDIRECT("'"&amp;A9&amp;"'!M3:M200"),{"*đơn trả*","*hàng tỉnh*"})),0)</f>
        <v>4</v>
      </c>
      <c r="E9" s="6">
        <f t="shared" ca="1" si="3"/>
        <v>47</v>
      </c>
    </row>
    <row r="10" spans="1:5" x14ac:dyDescent="0.25">
      <c r="A10" s="6" t="str">
        <f ca="1"/>
        <v>10-09</v>
      </c>
      <c r="B10" s="6">
        <f t="shared" ca="1" si="1"/>
        <v>36</v>
      </c>
      <c r="C10" s="6">
        <f t="shared" ca="1" si="2"/>
        <v>0</v>
      </c>
      <c r="D10" s="6" cm="1">
        <f t="array" aca="1" ref="D10" ca="1">IFERROR(SUM(COUNTIF(INDIRECT("'"&amp;A10&amp;"'!M3:M200"),{"*đơn trả*","*hàng tỉnh*"})),0)</f>
        <v>1</v>
      </c>
      <c r="E10" s="6">
        <f t="shared" ca="1" si="3"/>
        <v>35</v>
      </c>
    </row>
    <row r="11" spans="1:5" x14ac:dyDescent="0.25">
      <c r="A11" s="6" t="str">
        <f ca="1"/>
        <v>11-09</v>
      </c>
      <c r="B11" s="6">
        <f t="shared" ca="1" si="1"/>
        <v>50</v>
      </c>
      <c r="C11" s="6">
        <f t="shared" ca="1" si="2"/>
        <v>0</v>
      </c>
      <c r="D11" s="6" cm="1">
        <f t="array" aca="1" ref="D11" ca="1">IFERROR(SUM(COUNTIF(INDIRECT("'"&amp;A11&amp;"'!M3:M200"),{"*đơn trả*","*hàng tỉnh*"})),0)</f>
        <v>2</v>
      </c>
      <c r="E11" s="6">
        <f t="shared" ca="1" si="3"/>
        <v>48</v>
      </c>
    </row>
    <row r="12" spans="1:5" x14ac:dyDescent="0.25">
      <c r="A12" s="6" t="str">
        <f ca="1"/>
        <v>12-09</v>
      </c>
      <c r="B12" s="6">
        <f t="shared" ca="1" si="1"/>
        <v>38</v>
      </c>
      <c r="C12" s="6">
        <f t="shared" ca="1" si="2"/>
        <v>0</v>
      </c>
      <c r="D12" s="6" cm="1">
        <f t="array" aca="1" ref="D12" ca="1">IFERROR(SUM(COUNTIF(INDIRECT("'"&amp;A12&amp;"'!M3:M200"),{"*đơn trả*","*hàng tỉnh*"})),0)</f>
        <v>1</v>
      </c>
      <c r="E12" s="6">
        <f t="shared" ca="1" si="3"/>
        <v>37</v>
      </c>
    </row>
    <row r="13" spans="1:5" x14ac:dyDescent="0.25">
      <c r="A13" s="6" t="str">
        <f ca="1"/>
        <v>14-09</v>
      </c>
      <c r="B13" s="6">
        <f t="shared" ca="1" si="1"/>
        <v>76</v>
      </c>
      <c r="C13" s="6">
        <f t="shared" ca="1" si="2"/>
        <v>0</v>
      </c>
      <c r="D13" s="6" cm="1">
        <f t="array" aca="1" ref="D13" ca="1">IFERROR(SUM(COUNTIF(INDIRECT("'"&amp;A13&amp;"'!M3:M200"),{"*đơn trả*","*hàng tỉnh*"})),0)</f>
        <v>0</v>
      </c>
      <c r="E13" s="6">
        <f t="shared" ca="1" si="3"/>
        <v>76</v>
      </c>
    </row>
    <row r="14" spans="1:5" x14ac:dyDescent="0.25">
      <c r="A14" s="6" t="str">
        <f ca="1"/>
        <v>15-09</v>
      </c>
      <c r="B14" s="6">
        <f t="shared" ca="1" si="1"/>
        <v>27</v>
      </c>
      <c r="C14" s="6">
        <f t="shared" ca="1" si="2"/>
        <v>0</v>
      </c>
      <c r="D14" s="6" cm="1">
        <f t="array" aca="1" ref="D14" ca="1">IFERROR(SUM(COUNTIF(INDIRECT("'"&amp;A14&amp;"'!M3:M200"),{"*đơn trả*","*hàng tỉnh*"})),0)</f>
        <v>3</v>
      </c>
      <c r="E14" s="6">
        <f t="shared" ca="1" si="3"/>
        <v>24</v>
      </c>
    </row>
    <row r="15" spans="1:5" x14ac:dyDescent="0.25">
      <c r="A15" s="6" t="str">
        <f ca="1"/>
        <v>16-09</v>
      </c>
      <c r="B15" s="6">
        <f t="shared" ca="1" si="1"/>
        <v>40</v>
      </c>
      <c r="C15" s="6">
        <f t="shared" ca="1" si="2"/>
        <v>0</v>
      </c>
      <c r="D15" s="6" cm="1">
        <f t="array" aca="1" ref="D15" ca="1">IFERROR(SUM(COUNTIF(INDIRECT("'"&amp;A15&amp;"'!M3:M200"),{"*đơn trả*","*hàng tỉnh*"})),0)</f>
        <v>0</v>
      </c>
      <c r="E15" s="6">
        <f t="shared" ca="1" si="3"/>
        <v>40</v>
      </c>
    </row>
    <row r="16" spans="1:5" x14ac:dyDescent="0.25">
      <c r="A16" s="6" t="str">
        <f ca="1"/>
        <v>17-09</v>
      </c>
      <c r="B16" s="6">
        <f t="shared" ca="1" si="1"/>
        <v>36</v>
      </c>
      <c r="C16" s="6">
        <f t="shared" ca="1" si="2"/>
        <v>0</v>
      </c>
      <c r="D16" s="6" cm="1">
        <f t="array" aca="1" ref="D16" ca="1">IFERROR(SUM(COUNTIF(INDIRECT("'"&amp;A16&amp;"'!M3:M200"),{"*đơn trả*","*hàng tỉnh*"})),0)</f>
        <v>1</v>
      </c>
      <c r="E16" s="6">
        <f t="shared" ca="1" si="3"/>
        <v>35</v>
      </c>
    </row>
    <row r="17" spans="1:5" x14ac:dyDescent="0.25">
      <c r="A17" s="6" t="str">
        <f ca="1"/>
        <v>18-09</v>
      </c>
      <c r="B17" s="6">
        <f t="shared" ca="1" si="1"/>
        <v>26</v>
      </c>
      <c r="C17" s="6">
        <f t="shared" ca="1" si="2"/>
        <v>0</v>
      </c>
      <c r="D17" s="6" cm="1">
        <f t="array" aca="1" ref="D17" ca="1">IFERROR(SUM(COUNTIF(INDIRECT("'"&amp;A17&amp;"'!M3:M200"),{"*đơn trả*","*hàng tỉnh*"})),0)</f>
        <v>2</v>
      </c>
      <c r="E17" s="6">
        <f t="shared" ca="1" si="3"/>
        <v>24</v>
      </c>
    </row>
    <row r="18" spans="1:5" x14ac:dyDescent="0.25">
      <c r="A18" s="6" t="str">
        <f ca="1"/>
        <v>19-09</v>
      </c>
      <c r="B18" s="6">
        <f t="shared" ca="1" si="1"/>
        <v>45</v>
      </c>
      <c r="C18" s="6">
        <f t="shared" ca="1" si="2"/>
        <v>0</v>
      </c>
      <c r="D18" s="6" cm="1">
        <f t="array" aca="1" ref="D18" ca="1">IFERROR(SUM(COUNTIF(INDIRECT("'"&amp;A18&amp;"'!M3:M200"),{"*đơn trả*","*hàng tỉnh*"})),0)</f>
        <v>0</v>
      </c>
      <c r="E18" s="6">
        <f t="shared" ca="1" si="3"/>
        <v>45</v>
      </c>
    </row>
    <row r="19" spans="1:5" x14ac:dyDescent="0.25">
      <c r="A19" s="6" t="str">
        <f ca="1"/>
        <v>21-09</v>
      </c>
      <c r="B19" s="6">
        <f t="shared" ca="1" si="1"/>
        <v>93</v>
      </c>
      <c r="C19" s="6">
        <f t="shared" ca="1" si="2"/>
        <v>1</v>
      </c>
      <c r="D19" s="6" cm="1">
        <f t="array" aca="1" ref="D19" ca="1">IFERROR(SUM(COUNTIF(INDIRECT("'"&amp;A19&amp;"'!M3:M200"),{"*đơn trả*","*hàng tỉnh*"})),0)</f>
        <v>1</v>
      </c>
      <c r="E19" s="6">
        <f t="shared" ca="1" si="3"/>
        <v>91</v>
      </c>
    </row>
    <row r="20" spans="1:5" x14ac:dyDescent="0.25">
      <c r="A20" s="6" t="str">
        <f ca="1"/>
        <v>22-09</v>
      </c>
      <c r="B20" s="6">
        <f t="shared" ca="1" si="1"/>
        <v>57</v>
      </c>
      <c r="C20" s="6">
        <f t="shared" ca="1" si="2"/>
        <v>1</v>
      </c>
      <c r="D20" s="6" cm="1">
        <f t="array" aca="1" ref="D20" ca="1">IFERROR(SUM(COUNTIF(INDIRECT("'"&amp;A20&amp;"'!M3:M200"),{"*đơn trả*","*hàng tỉnh*"})),0)</f>
        <v>5</v>
      </c>
      <c r="E20" s="6">
        <f t="shared" ca="1" si="3"/>
        <v>51</v>
      </c>
    </row>
    <row r="21" spans="1:5" x14ac:dyDescent="0.25">
      <c r="A21" s="6" t="str">
        <f ca="1"/>
        <v>23-09</v>
      </c>
      <c r="B21" s="6">
        <f t="shared" ca="1" si="1"/>
        <v>42</v>
      </c>
      <c r="C21" s="6">
        <f t="shared" ca="1" si="2"/>
        <v>0</v>
      </c>
      <c r="D21" s="6" cm="1">
        <f t="array" aca="1" ref="D21" ca="1">IFERROR(SUM(COUNTIF(INDIRECT("'"&amp;A21&amp;"'!M3:M200"),{"*đơn trả*","*hàng tỉnh*"})),0)</f>
        <v>4</v>
      </c>
      <c r="E21" s="6">
        <f t="shared" ca="1" si="3"/>
        <v>38</v>
      </c>
    </row>
    <row r="22" spans="1:5" x14ac:dyDescent="0.25">
      <c r="A22" s="6" t="str">
        <f ca="1"/>
        <v>24-09</v>
      </c>
      <c r="B22" s="6">
        <f t="shared" ca="1" si="1"/>
        <v>50</v>
      </c>
      <c r="C22" s="6">
        <f t="shared" ca="1" si="2"/>
        <v>0</v>
      </c>
      <c r="D22" s="6" cm="1">
        <f t="array" aca="1" ref="D22" ca="1">IFERROR(SUM(COUNTIF(INDIRECT("'"&amp;A22&amp;"'!M3:M200"),{"*đơn trả*","*hàng tỉnh*"})),0)</f>
        <v>2</v>
      </c>
      <c r="E22" s="6">
        <f t="shared" ca="1" si="3"/>
        <v>48</v>
      </c>
    </row>
    <row r="23" spans="1:5" x14ac:dyDescent="0.25">
      <c r="A23" s="6" t="str">
        <f ca="1"/>
        <v>25-09</v>
      </c>
      <c r="B23" s="6">
        <f t="shared" ca="1" si="1"/>
        <v>49</v>
      </c>
      <c r="C23" s="6">
        <f t="shared" ca="1" si="2"/>
        <v>0</v>
      </c>
      <c r="D23" s="6" cm="1">
        <f t="array" aca="1" ref="D23" ca="1">IFERROR(SUM(COUNTIF(INDIRECT("'"&amp;A23&amp;"'!M3:M200"),{"*đơn trả*","*hàng tỉnh*"})),0)</f>
        <v>3</v>
      </c>
      <c r="E23" s="6">
        <f t="shared" ca="1" si="3"/>
        <v>46</v>
      </c>
    </row>
    <row r="24" spans="1:5" x14ac:dyDescent="0.25">
      <c r="A24" s="6" t="str">
        <f ca="1"/>
        <v>26-09</v>
      </c>
      <c r="B24" s="6">
        <f t="shared" ca="1" si="1"/>
        <v>34</v>
      </c>
      <c r="C24" s="6">
        <f t="shared" ca="1" si="2"/>
        <v>0</v>
      </c>
      <c r="D24" s="6" cm="1">
        <f t="array" aca="1" ref="D24" ca="1">IFERROR(SUM(COUNTIF(INDIRECT("'"&amp;A24&amp;"'!M3:M200"),{"*đơn trả*","*hàng tỉnh*"})),0)</f>
        <v>1</v>
      </c>
      <c r="E24" s="6">
        <f t="shared" ca="1" si="3"/>
        <v>33</v>
      </c>
    </row>
    <row r="25" spans="1:5" x14ac:dyDescent="0.25">
      <c r="A25" s="6" t="str">
        <f ca="1"/>
        <v>28-09</v>
      </c>
      <c r="B25" s="6">
        <f t="shared" ca="1" si="1"/>
        <v>66</v>
      </c>
      <c r="C25" s="6">
        <f t="shared" ca="1" si="2"/>
        <v>1</v>
      </c>
      <c r="D25" s="6" cm="1">
        <f t="array" aca="1" ref="D25" ca="1">IFERROR(SUM(COUNTIF(INDIRECT("'"&amp;A25&amp;"'!M3:M200"),{"*đơn trả*","*hàng tỉnh*"})),0)</f>
        <v>1</v>
      </c>
      <c r="E25" s="6">
        <f t="shared" ca="1" si="3"/>
        <v>64</v>
      </c>
    </row>
    <row r="26" spans="1:5" x14ac:dyDescent="0.25">
      <c r="A26" s="6" t="str">
        <f ca="1"/>
        <v>29-09</v>
      </c>
      <c r="B26" s="6">
        <f t="shared" ca="1" si="1"/>
        <v>43</v>
      </c>
      <c r="C26" s="6">
        <f t="shared" ca="1" si="2"/>
        <v>0</v>
      </c>
      <c r="D26" s="6" cm="1">
        <f t="array" aca="1" ref="D26" ca="1">IFERROR(SUM(COUNTIF(INDIRECT("'"&amp;A26&amp;"'!M3:M200"),{"*đơn trả*","*hàng tỉnh*"})),0)</f>
        <v>0</v>
      </c>
      <c r="E26" s="6">
        <f t="shared" ca="1" si="3"/>
        <v>43</v>
      </c>
    </row>
    <row r="27" spans="1:5" x14ac:dyDescent="0.25">
      <c r="A27" s="6" t="str">
        <f ca="1"/>
        <v>30-09</v>
      </c>
      <c r="B27" s="6">
        <f t="shared" ca="1" si="1"/>
        <v>47</v>
      </c>
      <c r="C27" s="6">
        <f t="shared" ca="1" si="2"/>
        <v>1</v>
      </c>
      <c r="D27" s="6" cm="1">
        <f t="array" aca="1" ref="D27" ca="1">IFERROR(SUM(COUNTIF(INDIRECT("'"&amp;A27&amp;"'!M3:M200"),{"*đơn trả*","*hàng tỉnh*"})),0)</f>
        <v>4</v>
      </c>
      <c r="E27" s="6">
        <f t="shared" ca="1" si="3"/>
        <v>42</v>
      </c>
    </row>
    <row r="28" spans="1:5" x14ac:dyDescent="0.25">
      <c r="D28" s="7" t="s">
        <v>6</v>
      </c>
      <c r="E28" s="7">
        <f ca="1">SUBTOTAL(9,E3:E27)</f>
        <v>1138</v>
      </c>
    </row>
    <row r="29" spans="1:5" x14ac:dyDescent="0.25">
      <c r="D29" s="7" t="s">
        <v>7</v>
      </c>
      <c r="E29" s="7" cm="1">
        <f t="array" aca="1" ref="E29" ca="1">SUMPRODUCT(
    IFERROR(
        SUMIF(
            INDIRECT("'"&amp;A3:A27&amp;"'!O:O"),
            "tổng",
            INDIRECT("'"&amp;A3:A27&amp;"'!P:P")
        ),
    0)
)</f>
        <v>4349</v>
      </c>
    </row>
    <row r="30" spans="1:5" x14ac:dyDescent="0.25">
      <c r="D30" s="7" t="s">
        <v>8</v>
      </c>
      <c r="E30" s="7">
        <f ca="1">-E28*2</f>
        <v>-2276</v>
      </c>
    </row>
    <row r="31" spans="1:5" x14ac:dyDescent="0.25">
      <c r="D31" s="7" t="s">
        <v>9</v>
      </c>
      <c r="E31" s="7">
        <f ca="1">SUBTOTAL(9,E29:E30)</f>
        <v>2073</v>
      </c>
    </row>
  </sheetData>
  <autoFilter ref="A2:E27" xr:uid="{00000000-0009-0000-0000-000000000000}"/>
  <conditionalFormatting sqref="C3:D27">
    <cfRule type="expression" dxfId="0" priority="1">
      <formula>C3&lt;&gt;0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3"/>
  <sheetViews>
    <sheetView tabSelected="1" workbookViewId="0">
      <selection activeCell="F17" sqref="F17"/>
    </sheetView>
  </sheetViews>
  <sheetFormatPr defaultRowHeight="15" x14ac:dyDescent="0.25"/>
  <cols>
    <col min="1" max="1" width="12.7109375" customWidth="1"/>
    <col min="2" max="2" width="8.85546875" customWidth="1"/>
    <col min="3" max="3" width="26.28515625" customWidth="1"/>
    <col min="4" max="4" width="9.85546875" customWidth="1"/>
    <col min="5" max="5" width="73.1406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1" spans="1:18" s="24" customFormat="1" x14ac:dyDescent="0.25">
      <c r="B1" s="24" t="s">
        <v>1169</v>
      </c>
      <c r="C1" s="24" t="s">
        <v>1170</v>
      </c>
      <c r="I1" s="24">
        <f>G1-H1</f>
        <v>0</v>
      </c>
    </row>
    <row r="2" spans="1:18" x14ac:dyDescent="0.25">
      <c r="A2" s="13" t="s">
        <v>10</v>
      </c>
      <c r="B2" s="13" t="s">
        <v>11</v>
      </c>
      <c r="C2" s="13" t="s">
        <v>12</v>
      </c>
      <c r="D2" s="13" t="s">
        <v>13</v>
      </c>
      <c r="E2" s="13" t="s">
        <v>14</v>
      </c>
      <c r="F2" s="13" t="s">
        <v>15</v>
      </c>
      <c r="G2" s="13" t="s">
        <v>16</v>
      </c>
      <c r="H2" s="13" t="s">
        <v>17</v>
      </c>
      <c r="I2" s="13" t="s">
        <v>18</v>
      </c>
      <c r="J2" s="13" t="s">
        <v>19</v>
      </c>
      <c r="K2" s="13" t="s">
        <v>20</v>
      </c>
      <c r="L2" s="13" t="s">
        <v>21</v>
      </c>
      <c r="M2" s="13" t="s">
        <v>22</v>
      </c>
      <c r="N2" s="13" t="s">
        <v>23</v>
      </c>
      <c r="O2" s="13" t="s">
        <v>24</v>
      </c>
      <c r="P2" s="13" t="s">
        <v>25</v>
      </c>
      <c r="Q2" s="6"/>
    </row>
    <row r="3" spans="1:18" x14ac:dyDescent="0.25">
      <c r="A3" s="6"/>
      <c r="B3" s="6" t="s">
        <v>26</v>
      </c>
      <c r="C3" s="6" t="s">
        <v>42</v>
      </c>
      <c r="D3" s="6" t="s">
        <v>43</v>
      </c>
      <c r="E3" s="6" t="s">
        <v>44</v>
      </c>
      <c r="F3" s="6" t="s">
        <v>45</v>
      </c>
      <c r="G3" s="14">
        <v>435</v>
      </c>
      <c r="H3" s="14">
        <v>25</v>
      </c>
      <c r="I3" s="14">
        <f t="shared" ref="I3:I17" si="0">G3-H3</f>
        <v>410</v>
      </c>
      <c r="J3" s="6" t="s">
        <v>30</v>
      </c>
      <c r="K3" s="6" t="s">
        <v>31</v>
      </c>
      <c r="L3" s="6" t="s">
        <v>32</v>
      </c>
      <c r="M3" s="6"/>
      <c r="N3" s="6"/>
      <c r="O3" s="6"/>
      <c r="P3" s="6"/>
      <c r="Q3" s="6">
        <v>1</v>
      </c>
    </row>
    <row r="4" spans="1:18" x14ac:dyDescent="0.25">
      <c r="A4" s="6"/>
      <c r="B4" s="6" t="s">
        <v>26</v>
      </c>
      <c r="C4" s="6" t="s">
        <v>49</v>
      </c>
      <c r="D4" s="6" t="s">
        <v>50</v>
      </c>
      <c r="E4" s="6" t="s">
        <v>51</v>
      </c>
      <c r="F4" s="14">
        <v>7</v>
      </c>
      <c r="G4" s="14">
        <v>260</v>
      </c>
      <c r="H4" s="14">
        <v>30</v>
      </c>
      <c r="I4" s="14">
        <f t="shared" si="0"/>
        <v>230</v>
      </c>
      <c r="J4" s="6" t="s">
        <v>30</v>
      </c>
      <c r="K4" s="6" t="s">
        <v>31</v>
      </c>
      <c r="L4" s="6" t="s">
        <v>32</v>
      </c>
      <c r="M4" s="6"/>
      <c r="N4" s="6"/>
      <c r="O4" s="6"/>
      <c r="P4" s="6"/>
      <c r="Q4" s="6">
        <v>1</v>
      </c>
    </row>
    <row r="5" spans="1:18" x14ac:dyDescent="0.25">
      <c r="A5" s="6"/>
      <c r="B5" s="6" t="s">
        <v>26</v>
      </c>
      <c r="C5" s="6" t="s">
        <v>60</v>
      </c>
      <c r="D5" s="6" t="s">
        <v>61</v>
      </c>
      <c r="E5" s="6" t="s">
        <v>62</v>
      </c>
      <c r="F5" s="14">
        <v>8</v>
      </c>
      <c r="G5" s="14">
        <v>370</v>
      </c>
      <c r="H5" s="14">
        <v>30</v>
      </c>
      <c r="I5" s="14">
        <f t="shared" si="0"/>
        <v>340</v>
      </c>
      <c r="J5" s="6" t="s">
        <v>30</v>
      </c>
      <c r="K5" s="6" t="s">
        <v>31</v>
      </c>
      <c r="L5" s="6" t="s">
        <v>32</v>
      </c>
      <c r="M5" s="6"/>
      <c r="N5" s="6"/>
      <c r="O5" s="6"/>
      <c r="P5" s="6"/>
      <c r="Q5" s="6">
        <v>1</v>
      </c>
    </row>
    <row r="6" spans="1:18" x14ac:dyDescent="0.25">
      <c r="A6" s="6" t="s">
        <v>66</v>
      </c>
      <c r="B6" s="6" t="s">
        <v>26</v>
      </c>
      <c r="C6" s="6" t="s">
        <v>67</v>
      </c>
      <c r="D6" s="6"/>
      <c r="E6" s="6" t="s">
        <v>68</v>
      </c>
      <c r="F6" s="14">
        <v>6</v>
      </c>
      <c r="G6" s="14">
        <v>0</v>
      </c>
      <c r="H6" s="14">
        <v>30</v>
      </c>
      <c r="I6" s="14">
        <f t="shared" si="0"/>
        <v>-30</v>
      </c>
      <c r="J6" s="6" t="s">
        <v>30</v>
      </c>
      <c r="K6" s="6" t="s">
        <v>31</v>
      </c>
      <c r="L6" s="6" t="s">
        <v>32</v>
      </c>
      <c r="M6" s="6"/>
      <c r="N6" s="6"/>
      <c r="O6" s="6"/>
      <c r="P6" s="6"/>
      <c r="Q6" s="6">
        <v>1</v>
      </c>
    </row>
    <row r="7" spans="1:18" x14ac:dyDescent="0.25">
      <c r="A7" s="6" t="s">
        <v>66</v>
      </c>
      <c r="B7" s="6" t="s">
        <v>26</v>
      </c>
      <c r="C7" s="6" t="s">
        <v>75</v>
      </c>
      <c r="D7" s="6"/>
      <c r="E7" s="6" t="s">
        <v>76</v>
      </c>
      <c r="F7" s="6" t="s">
        <v>77</v>
      </c>
      <c r="G7" s="14">
        <v>0</v>
      </c>
      <c r="H7" s="14">
        <v>50</v>
      </c>
      <c r="I7" s="14">
        <f t="shared" si="0"/>
        <v>-50</v>
      </c>
      <c r="J7" s="6" t="s">
        <v>30</v>
      </c>
      <c r="K7" s="6" t="s">
        <v>31</v>
      </c>
      <c r="L7" s="6" t="s">
        <v>32</v>
      </c>
      <c r="M7" s="6"/>
      <c r="N7" s="6"/>
      <c r="O7" s="6"/>
      <c r="P7" s="6"/>
      <c r="Q7" s="6">
        <v>1</v>
      </c>
      <c r="R7" s="8">
        <f>H7</f>
        <v>50</v>
      </c>
    </row>
    <row r="8" spans="1:18" s="19" customFormat="1" x14ac:dyDescent="0.25">
      <c r="A8" s="16"/>
      <c r="B8" s="16" t="s">
        <v>26</v>
      </c>
      <c r="C8" s="16" t="s">
        <v>33</v>
      </c>
      <c r="D8" s="16" t="s">
        <v>34</v>
      </c>
      <c r="E8" s="16" t="s">
        <v>35</v>
      </c>
      <c r="F8" s="16" t="s">
        <v>36</v>
      </c>
      <c r="G8" s="17">
        <v>0</v>
      </c>
      <c r="H8" s="17">
        <v>25</v>
      </c>
      <c r="I8" s="17">
        <f t="shared" si="0"/>
        <v>-25</v>
      </c>
      <c r="J8" s="16" t="s">
        <v>31</v>
      </c>
      <c r="K8" s="16" t="s">
        <v>31</v>
      </c>
      <c r="L8" s="16" t="s">
        <v>32</v>
      </c>
      <c r="M8" s="16" t="s">
        <v>37</v>
      </c>
      <c r="N8" s="16"/>
      <c r="O8" s="16"/>
      <c r="P8" s="16"/>
      <c r="Q8" s="16">
        <v>1</v>
      </c>
      <c r="R8" s="18">
        <f t="shared" ref="R8:R9" si="1">H8</f>
        <v>25</v>
      </c>
    </row>
    <row r="9" spans="1:18" s="23" customFormat="1" x14ac:dyDescent="0.25">
      <c r="A9" s="20"/>
      <c r="B9" s="20" t="s">
        <v>26</v>
      </c>
      <c r="C9" s="20" t="s">
        <v>55</v>
      </c>
      <c r="D9" s="20" t="s">
        <v>56</v>
      </c>
      <c r="E9" s="20" t="s">
        <v>57</v>
      </c>
      <c r="F9" s="20" t="s">
        <v>58</v>
      </c>
      <c r="G9" s="21">
        <v>2870</v>
      </c>
      <c r="H9" s="21">
        <v>25</v>
      </c>
      <c r="I9" s="21">
        <f t="shared" si="0"/>
        <v>2845</v>
      </c>
      <c r="J9" s="20" t="s">
        <v>31</v>
      </c>
      <c r="K9" s="20" t="s">
        <v>31</v>
      </c>
      <c r="L9" s="20" t="s">
        <v>32</v>
      </c>
      <c r="M9" s="15" t="s">
        <v>59</v>
      </c>
      <c r="N9" s="20"/>
      <c r="O9" s="20"/>
      <c r="P9" s="20"/>
      <c r="Q9" s="20">
        <v>1</v>
      </c>
      <c r="R9" s="22">
        <f t="shared" si="1"/>
        <v>25</v>
      </c>
    </row>
    <row r="10" spans="1:18" x14ac:dyDescent="0.25">
      <c r="A10" s="6"/>
      <c r="B10" s="6" t="s">
        <v>26</v>
      </c>
      <c r="C10" s="6" t="s">
        <v>63</v>
      </c>
      <c r="D10" s="6" t="s">
        <v>64</v>
      </c>
      <c r="E10" s="6" t="s">
        <v>65</v>
      </c>
      <c r="F10" s="6" t="s">
        <v>58</v>
      </c>
      <c r="G10" s="14">
        <v>600</v>
      </c>
      <c r="H10" s="14">
        <v>20</v>
      </c>
      <c r="I10" s="14">
        <f t="shared" si="0"/>
        <v>580</v>
      </c>
      <c r="J10" s="6" t="s">
        <v>31</v>
      </c>
      <c r="K10" s="6" t="s">
        <v>31</v>
      </c>
      <c r="L10" s="6" t="s">
        <v>32</v>
      </c>
      <c r="M10" s="6"/>
      <c r="N10" s="6"/>
      <c r="O10" s="6"/>
      <c r="P10" s="6"/>
      <c r="Q10" s="6">
        <v>1</v>
      </c>
      <c r="R10" s="8">
        <f>H10</f>
        <v>20</v>
      </c>
    </row>
    <row r="11" spans="1:18" x14ac:dyDescent="0.25">
      <c r="A11" s="6" t="s">
        <v>66</v>
      </c>
      <c r="B11" s="6" t="s">
        <v>26</v>
      </c>
      <c r="C11" s="6" t="s">
        <v>69</v>
      </c>
      <c r="D11" s="6"/>
      <c r="E11" s="6" t="s">
        <v>70</v>
      </c>
      <c r="F11" s="6" t="s">
        <v>58</v>
      </c>
      <c r="G11" s="14">
        <v>0</v>
      </c>
      <c r="H11" s="14">
        <v>25</v>
      </c>
      <c r="I11" s="14">
        <f t="shared" si="0"/>
        <v>-25</v>
      </c>
      <c r="J11" s="6" t="s">
        <v>31</v>
      </c>
      <c r="K11" s="6" t="s">
        <v>31</v>
      </c>
      <c r="L11" s="6" t="s">
        <v>32</v>
      </c>
      <c r="M11" s="6"/>
      <c r="N11" s="6"/>
      <c r="O11" s="6"/>
      <c r="P11" s="6"/>
      <c r="Q11" s="6">
        <v>1</v>
      </c>
    </row>
    <row r="12" spans="1:18" x14ac:dyDescent="0.25">
      <c r="A12" s="6" t="s">
        <v>66</v>
      </c>
      <c r="B12" s="6" t="s">
        <v>26</v>
      </c>
      <c r="C12" s="6" t="s">
        <v>73</v>
      </c>
      <c r="D12" s="6"/>
      <c r="E12" s="6" t="s">
        <v>74</v>
      </c>
      <c r="F12" s="6" t="s">
        <v>36</v>
      </c>
      <c r="G12" s="14">
        <v>35</v>
      </c>
      <c r="H12" s="14">
        <v>35</v>
      </c>
      <c r="I12" s="14">
        <f t="shared" si="0"/>
        <v>0</v>
      </c>
      <c r="J12" s="6" t="s">
        <v>31</v>
      </c>
      <c r="K12" s="6" t="s">
        <v>31</v>
      </c>
      <c r="L12" s="6" t="s">
        <v>32</v>
      </c>
      <c r="M12" s="6"/>
      <c r="N12" s="6"/>
      <c r="O12" s="6"/>
      <c r="P12" s="6"/>
      <c r="Q12" s="6">
        <v>1</v>
      </c>
      <c r="R12" s="8">
        <f>H12</f>
        <v>35</v>
      </c>
    </row>
    <row r="13" spans="1:18" x14ac:dyDescent="0.25">
      <c r="A13" s="6"/>
      <c r="B13" s="6" t="s">
        <v>26</v>
      </c>
      <c r="C13" s="6" t="s">
        <v>27</v>
      </c>
      <c r="D13" s="6" t="s">
        <v>28</v>
      </c>
      <c r="E13" s="6" t="s">
        <v>29</v>
      </c>
      <c r="F13" s="14">
        <v>1</v>
      </c>
      <c r="G13" s="14">
        <v>1365</v>
      </c>
      <c r="H13" s="14">
        <v>25</v>
      </c>
      <c r="I13" s="14">
        <f t="shared" si="0"/>
        <v>1340</v>
      </c>
      <c r="J13" s="6" t="s">
        <v>41</v>
      </c>
      <c r="K13" s="6" t="s">
        <v>31</v>
      </c>
      <c r="L13" s="6" t="s">
        <v>32</v>
      </c>
      <c r="M13" s="6"/>
      <c r="N13" s="6"/>
      <c r="O13" s="6"/>
      <c r="P13" s="6"/>
      <c r="Q13" s="6">
        <v>1</v>
      </c>
    </row>
    <row r="14" spans="1:18" x14ac:dyDescent="0.25">
      <c r="A14" s="6"/>
      <c r="B14" s="6" t="s">
        <v>26</v>
      </c>
      <c r="C14" s="6" t="s">
        <v>38</v>
      </c>
      <c r="D14" s="6" t="s">
        <v>39</v>
      </c>
      <c r="E14" s="6" t="s">
        <v>40</v>
      </c>
      <c r="F14" s="14">
        <v>10</v>
      </c>
      <c r="G14" s="14">
        <v>715</v>
      </c>
      <c r="H14" s="14">
        <v>25</v>
      </c>
      <c r="I14" s="14">
        <f t="shared" si="0"/>
        <v>690</v>
      </c>
      <c r="J14" s="6" t="s">
        <v>41</v>
      </c>
      <c r="K14" s="6" t="s">
        <v>31</v>
      </c>
      <c r="L14" s="6" t="s">
        <v>32</v>
      </c>
      <c r="M14" s="6"/>
      <c r="N14" s="6"/>
      <c r="O14" s="6"/>
      <c r="P14" s="6"/>
      <c r="Q14" s="6">
        <v>1</v>
      </c>
    </row>
    <row r="15" spans="1:18" x14ac:dyDescent="0.25">
      <c r="A15" s="6"/>
      <c r="B15" s="6" t="s">
        <v>26</v>
      </c>
      <c r="C15" s="6" t="s">
        <v>46</v>
      </c>
      <c r="D15" s="6" t="s">
        <v>47</v>
      </c>
      <c r="E15" s="6" t="s">
        <v>48</v>
      </c>
      <c r="F15" s="14">
        <v>10</v>
      </c>
      <c r="G15" s="14">
        <v>915</v>
      </c>
      <c r="H15" s="14">
        <v>25</v>
      </c>
      <c r="I15" s="14">
        <f t="shared" si="0"/>
        <v>890</v>
      </c>
      <c r="J15" s="6" t="s">
        <v>41</v>
      </c>
      <c r="K15" s="6" t="s">
        <v>31</v>
      </c>
      <c r="L15" s="6" t="s">
        <v>32</v>
      </c>
      <c r="M15" s="6"/>
      <c r="N15" s="6"/>
      <c r="O15" s="6"/>
      <c r="P15" s="6"/>
      <c r="Q15" s="6">
        <v>1</v>
      </c>
    </row>
    <row r="16" spans="1:18" x14ac:dyDescent="0.25">
      <c r="A16" s="6"/>
      <c r="B16" s="6" t="s">
        <v>26</v>
      </c>
      <c r="C16" s="6" t="s">
        <v>52</v>
      </c>
      <c r="D16" s="6" t="s">
        <v>53</v>
      </c>
      <c r="E16" s="6" t="s">
        <v>54</v>
      </c>
      <c r="F16" s="14">
        <v>3</v>
      </c>
      <c r="G16" s="14">
        <v>465</v>
      </c>
      <c r="H16" s="14">
        <v>25</v>
      </c>
      <c r="I16" s="14">
        <f t="shared" si="0"/>
        <v>440</v>
      </c>
      <c r="J16" s="6" t="s">
        <v>41</v>
      </c>
      <c r="K16" s="6" t="s">
        <v>31</v>
      </c>
      <c r="L16" s="6" t="s">
        <v>32</v>
      </c>
      <c r="M16" s="6"/>
      <c r="N16" s="6"/>
      <c r="O16" s="6"/>
      <c r="P16" s="6"/>
      <c r="Q16" s="6">
        <v>1</v>
      </c>
    </row>
    <row r="17" spans="1:18" x14ac:dyDescent="0.25">
      <c r="A17" s="6" t="s">
        <v>66</v>
      </c>
      <c r="B17" s="6" t="s">
        <v>26</v>
      </c>
      <c r="C17" s="6" t="s">
        <v>71</v>
      </c>
      <c r="D17" s="6"/>
      <c r="E17" s="6" t="s">
        <v>72</v>
      </c>
      <c r="F17" s="6" t="s">
        <v>58</v>
      </c>
      <c r="G17" s="14">
        <v>0</v>
      </c>
      <c r="H17" s="14">
        <v>25</v>
      </c>
      <c r="I17" s="14">
        <f t="shared" si="0"/>
        <v>-25</v>
      </c>
      <c r="J17" s="6" t="s">
        <v>41</v>
      </c>
      <c r="K17" s="6" t="s">
        <v>31</v>
      </c>
      <c r="L17" s="6" t="s">
        <v>32</v>
      </c>
      <c r="M17" s="6"/>
      <c r="N17" s="6"/>
      <c r="O17" s="6"/>
      <c r="P17" s="6"/>
      <c r="Q17" s="6">
        <v>1</v>
      </c>
      <c r="R17" s="8">
        <f>H17</f>
        <v>25</v>
      </c>
    </row>
    <row r="19" spans="1:18" x14ac:dyDescent="0.25">
      <c r="D19" s="1">
        <f>COUNTA(D3:D17)</f>
        <v>10</v>
      </c>
      <c r="G19" s="1">
        <f t="shared" ref="G19:Q19" si="2">SUBTOTAL(9,G3:G17)</f>
        <v>8030</v>
      </c>
      <c r="H19" s="1">
        <f t="shared" si="2"/>
        <v>420</v>
      </c>
      <c r="I19" s="1">
        <f t="shared" si="2"/>
        <v>7610</v>
      </c>
      <c r="J19" s="1">
        <f t="shared" si="2"/>
        <v>0</v>
      </c>
      <c r="K19" s="1">
        <f t="shared" si="2"/>
        <v>0</v>
      </c>
      <c r="L19" s="1">
        <f t="shared" si="2"/>
        <v>0</v>
      </c>
      <c r="M19" s="1">
        <f t="shared" si="2"/>
        <v>0</v>
      </c>
      <c r="N19" s="1">
        <f t="shared" si="2"/>
        <v>0</v>
      </c>
      <c r="O19" s="1">
        <f t="shared" si="2"/>
        <v>0</v>
      </c>
      <c r="P19" s="1">
        <f t="shared" si="2"/>
        <v>0</v>
      </c>
      <c r="Q19" s="1">
        <f t="shared" si="2"/>
        <v>15</v>
      </c>
    </row>
    <row r="20" spans="1:18" x14ac:dyDescent="0.25">
      <c r="H20">
        <f>-5*17</f>
        <v>-85</v>
      </c>
    </row>
    <row r="21" spans="1:18" x14ac:dyDescent="0.25">
      <c r="A21" s="1" t="s">
        <v>26</v>
      </c>
      <c r="C21" s="75" t="s">
        <v>78</v>
      </c>
      <c r="D21" s="75"/>
      <c r="E21" s="4" t="s">
        <v>79</v>
      </c>
      <c r="H21">
        <f>-1*25</f>
        <v>-25</v>
      </c>
      <c r="K21" s="9" t="s">
        <v>30</v>
      </c>
      <c r="L21" s="9" t="s">
        <v>80</v>
      </c>
      <c r="M21" s="9" t="s">
        <v>79</v>
      </c>
      <c r="O21" s="4" t="s">
        <v>81</v>
      </c>
    </row>
    <row r="22" spans="1:18" x14ac:dyDescent="0.25">
      <c r="A22" t="s">
        <v>32</v>
      </c>
      <c r="B22" s="3" t="s">
        <v>82</v>
      </c>
      <c r="C22" s="76">
        <f>SUMIFS(I$3:I$17,B$3:B$17,A$21,L$3:L$17,A$22)</f>
        <v>7610</v>
      </c>
      <c r="D22" s="76"/>
      <c r="E22" s="3">
        <f>SUMIFS(Q$3:Q$17,B$3:B$17,A$21,L$3:L$17,A$22)</f>
        <v>15</v>
      </c>
      <c r="F22" t="s">
        <v>83</v>
      </c>
      <c r="K22" t="s">
        <v>84</v>
      </c>
      <c r="L22">
        <f>SUMIFS(G$3:G$17,J$3:J$17,K$21)</f>
        <v>1065</v>
      </c>
      <c r="M22">
        <f>SUMIFS(Q$3:Q$17,J$3:J$17,K$21)-INT(COUNTIFS(J$3:J$17,K$21,M$3:M$17,"*gộp*")/2)</f>
        <v>5</v>
      </c>
      <c r="O22" t="s">
        <v>85</v>
      </c>
      <c r="P22">
        <f>L27</f>
        <v>955</v>
      </c>
    </row>
    <row r="23" spans="1:18" x14ac:dyDescent="0.25">
      <c r="B23" s="2" t="s">
        <v>86</v>
      </c>
      <c r="C23" s="77">
        <v>0</v>
      </c>
      <c r="D23" s="77"/>
      <c r="K23" t="s">
        <v>87</v>
      </c>
      <c r="L23">
        <f>SUM(H20:H21)</f>
        <v>-110</v>
      </c>
      <c r="M23">
        <f>SUMIFS(Q$3:Q$17,J$3:J$17,K$21)-INT(COUNTIFS(J$3:J$17,K$21,M$3:M$17,"*gộp*")/2)</f>
        <v>5</v>
      </c>
      <c r="O23" t="s">
        <v>31</v>
      </c>
      <c r="P23">
        <f>L35</f>
        <v>3370</v>
      </c>
    </row>
    <row r="24" spans="1:18" x14ac:dyDescent="0.25">
      <c r="B24" s="2" t="s">
        <v>88</v>
      </c>
      <c r="C24" s="77">
        <f>-SUMIFS(I$3:I$17,B$3:B$17,A$21,P$3:P$17,"xx",N$3:N$17,"x")</f>
        <v>0</v>
      </c>
      <c r="D24" s="77"/>
      <c r="E24" s="2">
        <f>SUMIFS(Q$3:Q$17,B$3:B$17,A$21,P$3:P$17,"xx",N$3:N$17,"x")</f>
        <v>0</v>
      </c>
      <c r="K24" t="s">
        <v>89</v>
      </c>
      <c r="L24">
        <f>-M24*2</f>
        <v>0</v>
      </c>
      <c r="M24">
        <f>COUNTIFS(K$3:K$17,K$21,L$3:L$17,A$22)-(COUNTIFS(K$3:K$17,K$21,M$3:M$17,"*gộp*")/2)-COUNTIFS(K$3:K$17,K$21,M$3:M$17,"*đơn trả*")-COUNTIFS(K$3:K$17,K$21,M$3:M$17,"*hàng tỉnh*")</f>
        <v>0</v>
      </c>
      <c r="O24" t="s">
        <v>41</v>
      </c>
      <c r="P24">
        <f>L43</f>
        <v>3360</v>
      </c>
    </row>
    <row r="25" spans="1:18" x14ac:dyDescent="0.25">
      <c r="B25" s="4" t="s">
        <v>90</v>
      </c>
      <c r="C25" s="75">
        <f>SUBTOTAL(9,C22:C24)</f>
        <v>7610</v>
      </c>
      <c r="D25" s="75"/>
      <c r="E25">
        <f>E22</f>
        <v>15</v>
      </c>
      <c r="H25" s="8"/>
      <c r="K25" s="10" t="s">
        <v>91</v>
      </c>
      <c r="O25" t="s">
        <v>92</v>
      </c>
      <c r="P25">
        <f>-C29</f>
        <v>-7610</v>
      </c>
    </row>
    <row r="26" spans="1:18" x14ac:dyDescent="0.25">
      <c r="B26" s="2" t="s">
        <v>93</v>
      </c>
      <c r="C26" s="73"/>
      <c r="D26" s="73"/>
      <c r="K26" s="2" t="s">
        <v>94</v>
      </c>
      <c r="O26" s="4" t="s">
        <v>95</v>
      </c>
      <c r="P26" s="4">
        <f>SUBTOTAL(9,P22:P25)</f>
        <v>75</v>
      </c>
    </row>
    <row r="27" spans="1:18" x14ac:dyDescent="0.25">
      <c r="B27" s="11" t="s">
        <v>96</v>
      </c>
      <c r="C27" s="73"/>
      <c r="D27" s="73"/>
      <c r="L27" s="12">
        <f>SUBTOTAL(9,L22:L26)</f>
        <v>955</v>
      </c>
      <c r="M27" s="12">
        <f>M22</f>
        <v>5</v>
      </c>
    </row>
    <row r="29" spans="1:18" x14ac:dyDescent="0.25">
      <c r="B29" s="1" t="s">
        <v>97</v>
      </c>
      <c r="C29" s="74">
        <f>C25+C26+C27</f>
        <v>7610</v>
      </c>
      <c r="D29" s="74"/>
      <c r="E29" s="1" t="s">
        <v>98</v>
      </c>
      <c r="K29" s="9" t="s">
        <v>31</v>
      </c>
      <c r="L29" s="9" t="s">
        <v>80</v>
      </c>
      <c r="M29" s="9" t="s">
        <v>79</v>
      </c>
    </row>
    <row r="30" spans="1:18" x14ac:dyDescent="0.25">
      <c r="K30" t="s">
        <v>84</v>
      </c>
      <c r="L30">
        <f>SUMIFS(G$3:G$17,J$3:J$17,K$29)</f>
        <v>3505</v>
      </c>
      <c r="M30">
        <f>SUMIFS(Q$3:Q$17,J$3:J$17,K$29)-INT(COUNTIFS(J$3:J$17,K$29,M$3:M$17,"*gộp*")/2)</f>
        <v>5</v>
      </c>
    </row>
    <row r="31" spans="1:18" x14ac:dyDescent="0.25">
      <c r="K31" t="s">
        <v>87</v>
      </c>
      <c r="L31">
        <f>-SUMIFS(H$3:H$17,J$3:J$17,K$29)+M31*5</f>
        <v>-105</v>
      </c>
      <c r="M31">
        <f>SUMIFS(Q$3:Q$17,J$3:J$17,K$29)-INT(COUNTIFS(J$3:J$17,K$29,M$3:M$17,"*gộp*")/2)</f>
        <v>5</v>
      </c>
    </row>
    <row r="32" spans="1:18" x14ac:dyDescent="0.25">
      <c r="K32" t="s">
        <v>89</v>
      </c>
      <c r="L32">
        <f>-M32*2</f>
        <v>-30</v>
      </c>
      <c r="M32">
        <f>COUNTIFS(K$3:K$17,K$29,L$3:L$17,A$22)-(COUNTIFS(K$3:K$17,K$29,M$3:M$17,"*gộp*")/2)-COUNTIFS(K$3:K$17,K$29,M$3:M$17,"*đơn trả*")-COUNTIFS(K$3:K$17,K$29,M$3:M$17,"*hàng tỉnh*")</f>
        <v>15</v>
      </c>
    </row>
    <row r="33" spans="11:13" x14ac:dyDescent="0.25">
      <c r="K33" s="10" t="s">
        <v>91</v>
      </c>
    </row>
    <row r="34" spans="11:13" x14ac:dyDescent="0.25">
      <c r="K34" s="2" t="s">
        <v>94</v>
      </c>
    </row>
    <row r="35" spans="11:13" x14ac:dyDescent="0.25">
      <c r="L35" s="12">
        <f>SUBTOTAL(9,L30:L34)</f>
        <v>3370</v>
      </c>
      <c r="M35" s="12">
        <f>M30</f>
        <v>5</v>
      </c>
    </row>
    <row r="37" spans="11:13" x14ac:dyDescent="0.25">
      <c r="K37" s="9" t="s">
        <v>41</v>
      </c>
      <c r="L37" s="9" t="s">
        <v>80</v>
      </c>
      <c r="M37" s="9" t="s">
        <v>79</v>
      </c>
    </row>
    <row r="38" spans="11:13" x14ac:dyDescent="0.25">
      <c r="K38" t="s">
        <v>84</v>
      </c>
      <c r="L38">
        <f>SUMIFS(G$3:G$17,J$3:J$17,K$37)</f>
        <v>3460</v>
      </c>
      <c r="M38">
        <f>SUMIFS(Q$3:Q$17,J$3:J$17,K$37)-INT(COUNTIFS(J$3:J$17,K$37,M$3:M$17,"*gộp*")/2)</f>
        <v>5</v>
      </c>
    </row>
    <row r="39" spans="11:13" x14ac:dyDescent="0.25">
      <c r="K39" t="s">
        <v>87</v>
      </c>
      <c r="L39">
        <f>-SUMIFS(H$3:H$17,J$3:J$17,K$37)+M39*5</f>
        <v>-100</v>
      </c>
      <c r="M39">
        <f>SUMIFS(Q$3:Q$17,J$3:J$17,K$37)-INT(COUNTIFS(J$3:J$17,K$37,M$3:M$17,"*gộp*")/2)</f>
        <v>5</v>
      </c>
    </row>
    <row r="40" spans="11:13" x14ac:dyDescent="0.25">
      <c r="K40" t="s">
        <v>89</v>
      </c>
      <c r="L40">
        <f>-M40*2</f>
        <v>0</v>
      </c>
      <c r="M40">
        <f>COUNTIFS(K$3:K$17,K$37,L$3:L$17,A$22)-(COUNTIFS(K$3:K$17,K$37,M$3:M$17,"*gộp*")/2)-COUNTIFS(K$3:K$17,K$37,M$3:M$17,"*đơn trả*")-COUNTIFS(K$3:K$17,K$37,M$3:M$17,"*hàng tỉnh*")</f>
        <v>0</v>
      </c>
    </row>
    <row r="41" spans="11:13" x14ac:dyDescent="0.25">
      <c r="K41" s="10" t="s">
        <v>91</v>
      </c>
    </row>
    <row r="42" spans="11:13" x14ac:dyDescent="0.25">
      <c r="K42" s="2" t="s">
        <v>94</v>
      </c>
    </row>
    <row r="43" spans="11:13" x14ac:dyDescent="0.25">
      <c r="L43" s="12">
        <f>SUBTOTAL(9,L38:L42)</f>
        <v>3360</v>
      </c>
      <c r="M43" s="12">
        <f>M38</f>
        <v>5</v>
      </c>
    </row>
  </sheetData>
  <autoFilter ref="A2:P17" xr:uid="{00000000-0009-0000-0000-000001000000}">
    <sortState xmlns:xlrd2="http://schemas.microsoft.com/office/spreadsheetml/2017/richdata2" ref="A3:P17">
      <sortCondition ref="J2:J17"/>
    </sortState>
  </autoFilter>
  <mergeCells count="8">
    <mergeCell ref="C26:D26"/>
    <mergeCell ref="C27:D27"/>
    <mergeCell ref="C29:D29"/>
    <mergeCell ref="C21:D21"/>
    <mergeCell ref="C22:D22"/>
    <mergeCell ref="C23:D23"/>
    <mergeCell ref="C24:D24"/>
    <mergeCell ref="C25:D25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FFC2-BAB5-4555-A5A6-CFFDA04E7B98}">
  <dimension ref="A1:R112"/>
  <sheetViews>
    <sheetView zoomScale="90" zoomScaleNormal="90" workbookViewId="0">
      <selection sqref="A1:XFD1"/>
    </sheetView>
  </sheetViews>
  <sheetFormatPr defaultRowHeight="15" x14ac:dyDescent="0.25"/>
  <cols>
    <col min="1" max="1" width="12.7109375" style="24" customWidth="1"/>
    <col min="2" max="2" width="8.85546875" style="24" customWidth="1"/>
    <col min="3" max="3" width="35.7109375" style="24" customWidth="1"/>
    <col min="4" max="4" width="10.28515625" style="24" bestFit="1" customWidth="1"/>
    <col min="5" max="5" width="101.140625" style="24" bestFit="1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2.5703125" style="24" bestFit="1" customWidth="1"/>
    <col min="13" max="13" width="24.140625" style="24" bestFit="1" customWidth="1"/>
    <col min="14" max="14" width="9.7109375" style="24" customWidth="1"/>
    <col min="15" max="15" width="10.42578125" style="24" customWidth="1"/>
    <col min="16" max="16" width="7" style="24" bestFit="1" customWidth="1"/>
    <col min="17" max="18" width="6.42578125" style="24" customWidth="1"/>
    <col min="19" max="16384" width="9.140625" style="24"/>
  </cols>
  <sheetData>
    <row r="1" spans="1:18" x14ac:dyDescent="0.25">
      <c r="B1" s="24" t="s">
        <v>1167</v>
      </c>
      <c r="C1" s="24" t="s">
        <v>1168</v>
      </c>
      <c r="I1" s="24">
        <f>G1-H1</f>
        <v>0</v>
      </c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/>
      <c r="B3" s="35" t="s">
        <v>26</v>
      </c>
      <c r="C3" s="35" t="s">
        <v>114</v>
      </c>
      <c r="D3" s="35" t="s">
        <v>115</v>
      </c>
      <c r="E3" s="35" t="s">
        <v>116</v>
      </c>
      <c r="F3" s="35" t="s">
        <v>117</v>
      </c>
      <c r="G3" s="36">
        <v>945</v>
      </c>
      <c r="H3" s="36">
        <v>35</v>
      </c>
      <c r="I3" s="36">
        <f t="shared" ref="I3:I34" si="0">G3-H3</f>
        <v>910</v>
      </c>
      <c r="J3" s="35" t="s">
        <v>591</v>
      </c>
      <c r="K3" s="35" t="s">
        <v>31</v>
      </c>
      <c r="L3" s="35" t="s">
        <v>102</v>
      </c>
      <c r="M3" s="35"/>
      <c r="N3" s="35"/>
      <c r="O3" s="35"/>
      <c r="P3" s="35"/>
      <c r="Q3" s="35">
        <v>1</v>
      </c>
      <c r="R3" s="25">
        <f>H3</f>
        <v>35</v>
      </c>
    </row>
    <row r="4" spans="1:18" s="41" customFormat="1" x14ac:dyDescent="0.25">
      <c r="A4" s="39"/>
      <c r="B4" s="39" t="s">
        <v>26</v>
      </c>
      <c r="C4" s="39" t="s">
        <v>119</v>
      </c>
      <c r="D4" s="39"/>
      <c r="E4" s="39" t="s">
        <v>120</v>
      </c>
      <c r="F4" s="39" t="s">
        <v>121</v>
      </c>
      <c r="G4" s="40">
        <v>0</v>
      </c>
      <c r="H4" s="40">
        <v>35</v>
      </c>
      <c r="I4" s="40">
        <f t="shared" si="0"/>
        <v>-35</v>
      </c>
      <c r="J4" s="39" t="s">
        <v>591</v>
      </c>
      <c r="K4" s="39" t="s">
        <v>31</v>
      </c>
      <c r="L4" s="39" t="s">
        <v>102</v>
      </c>
      <c r="M4" s="39" t="s">
        <v>37</v>
      </c>
      <c r="N4" s="39"/>
      <c r="O4" s="39"/>
      <c r="P4" s="39"/>
      <c r="Q4" s="39">
        <v>1</v>
      </c>
    </row>
    <row r="5" spans="1:18" s="41" customFormat="1" x14ac:dyDescent="0.25">
      <c r="A5" s="39"/>
      <c r="B5" s="39" t="s">
        <v>26</v>
      </c>
      <c r="C5" s="39" t="s">
        <v>122</v>
      </c>
      <c r="D5" s="39" t="s">
        <v>123</v>
      </c>
      <c r="E5" s="39" t="s">
        <v>124</v>
      </c>
      <c r="F5" s="39" t="s">
        <v>77</v>
      </c>
      <c r="G5" s="40">
        <v>30</v>
      </c>
      <c r="H5" s="40">
        <v>30</v>
      </c>
      <c r="I5" s="40">
        <f t="shared" si="0"/>
        <v>0</v>
      </c>
      <c r="J5" s="39" t="s">
        <v>591</v>
      </c>
      <c r="K5" s="39" t="s">
        <v>31</v>
      </c>
      <c r="L5" s="39" t="s">
        <v>102</v>
      </c>
      <c r="M5" s="39" t="s">
        <v>37</v>
      </c>
      <c r="N5" s="39"/>
      <c r="O5" s="39"/>
      <c r="P5" s="39"/>
      <c r="Q5" s="39">
        <v>1</v>
      </c>
    </row>
    <row r="6" spans="1:18" s="41" customFormat="1" x14ac:dyDescent="0.25">
      <c r="A6" s="39"/>
      <c r="B6" s="39" t="s">
        <v>26</v>
      </c>
      <c r="C6" s="39" t="s">
        <v>129</v>
      </c>
      <c r="D6" s="39" t="s">
        <v>130</v>
      </c>
      <c r="E6" s="39" t="s">
        <v>131</v>
      </c>
      <c r="F6" s="39" t="s">
        <v>132</v>
      </c>
      <c r="G6" s="40">
        <v>0</v>
      </c>
      <c r="H6" s="40">
        <v>35</v>
      </c>
      <c r="I6" s="40">
        <f t="shared" si="0"/>
        <v>-35</v>
      </c>
      <c r="J6" s="39" t="s">
        <v>591</v>
      </c>
      <c r="K6" s="39" t="s">
        <v>31</v>
      </c>
      <c r="L6" s="39" t="s">
        <v>102</v>
      </c>
      <c r="M6" s="39" t="s">
        <v>37</v>
      </c>
      <c r="N6" s="39"/>
      <c r="O6" s="39"/>
      <c r="P6" s="39"/>
      <c r="Q6" s="39">
        <v>1</v>
      </c>
    </row>
    <row r="7" spans="1:18" x14ac:dyDescent="0.25">
      <c r="A7" s="35"/>
      <c r="B7" s="35" t="s">
        <v>26</v>
      </c>
      <c r="C7" s="35" t="s">
        <v>137</v>
      </c>
      <c r="D7" s="35" t="s">
        <v>138</v>
      </c>
      <c r="E7" s="35" t="s">
        <v>139</v>
      </c>
      <c r="F7" s="36">
        <v>9</v>
      </c>
      <c r="G7" s="36">
        <v>770</v>
      </c>
      <c r="H7" s="36">
        <v>30</v>
      </c>
      <c r="I7" s="36">
        <f t="shared" si="0"/>
        <v>740</v>
      </c>
      <c r="J7" s="35" t="s">
        <v>591</v>
      </c>
      <c r="K7" s="35" t="s">
        <v>31</v>
      </c>
      <c r="L7" s="35" t="s">
        <v>102</v>
      </c>
      <c r="M7" s="35"/>
      <c r="N7" s="35"/>
      <c r="O7" s="35"/>
      <c r="P7" s="35"/>
      <c r="Q7" s="35">
        <v>1</v>
      </c>
    </row>
    <row r="8" spans="1:18" x14ac:dyDescent="0.25">
      <c r="A8" s="35"/>
      <c r="B8" s="35" t="s">
        <v>26</v>
      </c>
      <c r="C8" s="35" t="s">
        <v>140</v>
      </c>
      <c r="D8" s="35" t="s">
        <v>141</v>
      </c>
      <c r="E8" s="35" t="s">
        <v>142</v>
      </c>
      <c r="F8" s="35" t="s">
        <v>45</v>
      </c>
      <c r="G8" s="36">
        <v>695</v>
      </c>
      <c r="H8" s="36">
        <v>25</v>
      </c>
      <c r="I8" s="36">
        <f t="shared" si="0"/>
        <v>670</v>
      </c>
      <c r="J8" s="35" t="s">
        <v>591</v>
      </c>
      <c r="K8" s="35" t="s">
        <v>31</v>
      </c>
      <c r="L8" s="35" t="s">
        <v>102</v>
      </c>
      <c r="M8" s="35"/>
      <c r="N8" s="35"/>
      <c r="O8" s="35"/>
      <c r="P8" s="35"/>
      <c r="Q8" s="35">
        <v>1</v>
      </c>
    </row>
    <row r="9" spans="1:18" s="46" customFormat="1" x14ac:dyDescent="0.25">
      <c r="A9" s="35"/>
      <c r="B9" s="35" t="s">
        <v>26</v>
      </c>
      <c r="C9" s="35" t="s">
        <v>143</v>
      </c>
      <c r="D9" s="35" t="s">
        <v>144</v>
      </c>
      <c r="E9" s="35" t="s">
        <v>145</v>
      </c>
      <c r="F9" s="36">
        <v>9</v>
      </c>
      <c r="G9" s="36">
        <v>270</v>
      </c>
      <c r="H9" s="36">
        <v>30</v>
      </c>
      <c r="I9" s="36">
        <f t="shared" si="0"/>
        <v>240</v>
      </c>
      <c r="J9" s="35" t="s">
        <v>591</v>
      </c>
      <c r="K9" s="35" t="s">
        <v>31</v>
      </c>
      <c r="L9" s="35" t="s">
        <v>102</v>
      </c>
      <c r="M9" s="35"/>
      <c r="N9" s="35"/>
      <c r="O9" s="35"/>
      <c r="P9" s="35"/>
      <c r="Q9" s="45">
        <v>1</v>
      </c>
    </row>
    <row r="10" spans="1:18" x14ac:dyDescent="0.25">
      <c r="A10" s="35"/>
      <c r="B10" s="35" t="s">
        <v>26</v>
      </c>
      <c r="C10" s="35" t="s">
        <v>149</v>
      </c>
      <c r="D10" s="35" t="s">
        <v>150</v>
      </c>
      <c r="E10" s="35" t="s">
        <v>151</v>
      </c>
      <c r="F10" s="36">
        <v>8</v>
      </c>
      <c r="G10" s="36">
        <v>790</v>
      </c>
      <c r="H10" s="36">
        <v>30</v>
      </c>
      <c r="I10" s="36">
        <f t="shared" si="0"/>
        <v>760</v>
      </c>
      <c r="J10" s="35" t="s">
        <v>591</v>
      </c>
      <c r="K10" s="35" t="s">
        <v>31</v>
      </c>
      <c r="L10" s="35" t="s">
        <v>102</v>
      </c>
      <c r="M10" s="35"/>
      <c r="N10" s="35"/>
      <c r="O10" s="35"/>
      <c r="P10" s="35"/>
      <c r="Q10" s="35">
        <v>1</v>
      </c>
    </row>
    <row r="11" spans="1:18" s="46" customFormat="1" x14ac:dyDescent="0.25">
      <c r="A11" s="35"/>
      <c r="B11" s="35" t="s">
        <v>26</v>
      </c>
      <c r="C11" s="35" t="s">
        <v>177</v>
      </c>
      <c r="D11" s="35" t="s">
        <v>178</v>
      </c>
      <c r="E11" s="35" t="s">
        <v>179</v>
      </c>
      <c r="F11" s="36">
        <v>8</v>
      </c>
      <c r="G11" s="36">
        <v>490</v>
      </c>
      <c r="H11" s="36">
        <v>30</v>
      </c>
      <c r="I11" s="36">
        <f t="shared" si="0"/>
        <v>460</v>
      </c>
      <c r="J11" s="35" t="s">
        <v>591</v>
      </c>
      <c r="K11" s="35" t="s">
        <v>31</v>
      </c>
      <c r="L11" s="35" t="s">
        <v>102</v>
      </c>
      <c r="M11" s="35"/>
      <c r="N11" s="35"/>
      <c r="O11" s="35"/>
      <c r="P11" s="35"/>
      <c r="Q11" s="45">
        <v>1</v>
      </c>
      <c r="R11" s="47">
        <f>H11</f>
        <v>30</v>
      </c>
    </row>
    <row r="12" spans="1:18" x14ac:dyDescent="0.25">
      <c r="A12" s="35"/>
      <c r="B12" s="35" t="s">
        <v>26</v>
      </c>
      <c r="C12" s="35" t="s">
        <v>180</v>
      </c>
      <c r="D12" s="35" t="s">
        <v>181</v>
      </c>
      <c r="E12" s="35" t="s">
        <v>182</v>
      </c>
      <c r="F12" s="35" t="s">
        <v>45</v>
      </c>
      <c r="G12" s="36">
        <v>418</v>
      </c>
      <c r="H12" s="36">
        <v>25</v>
      </c>
      <c r="I12" s="36">
        <f t="shared" si="0"/>
        <v>393</v>
      </c>
      <c r="J12" s="35" t="s">
        <v>591</v>
      </c>
      <c r="K12" s="35" t="s">
        <v>31</v>
      </c>
      <c r="L12" s="35" t="s">
        <v>102</v>
      </c>
      <c r="M12" s="38" t="s">
        <v>59</v>
      </c>
      <c r="N12" s="35"/>
      <c r="O12" s="35"/>
      <c r="P12" s="35"/>
      <c r="Q12" s="35">
        <v>1</v>
      </c>
      <c r="R12" s="25">
        <f>H12</f>
        <v>25</v>
      </c>
    </row>
    <row r="13" spans="1:18" x14ac:dyDescent="0.25">
      <c r="A13" s="35"/>
      <c r="B13" s="35" t="s">
        <v>26</v>
      </c>
      <c r="C13" s="35" t="s">
        <v>183</v>
      </c>
      <c r="D13" s="35" t="s">
        <v>184</v>
      </c>
      <c r="E13" s="35" t="s">
        <v>185</v>
      </c>
      <c r="F13" s="36">
        <v>6</v>
      </c>
      <c r="G13" s="36">
        <v>1190</v>
      </c>
      <c r="H13" s="36">
        <v>25</v>
      </c>
      <c r="I13" s="36">
        <f t="shared" si="0"/>
        <v>1165</v>
      </c>
      <c r="J13" s="35" t="s">
        <v>591</v>
      </c>
      <c r="K13" s="35" t="s">
        <v>31</v>
      </c>
      <c r="L13" s="35" t="s">
        <v>102</v>
      </c>
      <c r="M13" s="35"/>
      <c r="N13" s="35"/>
      <c r="O13" s="35"/>
      <c r="P13" s="35"/>
      <c r="Q13" s="35">
        <v>1</v>
      </c>
    </row>
    <row r="14" spans="1:18" s="41" customFormat="1" x14ac:dyDescent="0.25">
      <c r="A14" s="39"/>
      <c r="B14" s="39" t="s">
        <v>26</v>
      </c>
      <c r="C14" s="39" t="s">
        <v>186</v>
      </c>
      <c r="D14" s="39" t="s">
        <v>187</v>
      </c>
      <c r="E14" s="39" t="s">
        <v>188</v>
      </c>
      <c r="F14" s="40">
        <v>7</v>
      </c>
      <c r="G14" s="40">
        <v>2585</v>
      </c>
      <c r="H14" s="40">
        <v>35</v>
      </c>
      <c r="I14" s="40">
        <f t="shared" si="0"/>
        <v>2550</v>
      </c>
      <c r="J14" s="39" t="s">
        <v>591</v>
      </c>
      <c r="K14" s="39" t="s">
        <v>31</v>
      </c>
      <c r="L14" s="39" t="s">
        <v>102</v>
      </c>
      <c r="M14" s="39" t="s">
        <v>37</v>
      </c>
      <c r="N14" s="39"/>
      <c r="O14" s="39"/>
      <c r="P14" s="39"/>
      <c r="Q14" s="39">
        <v>1</v>
      </c>
    </row>
    <row r="15" spans="1:18" s="41" customFormat="1" x14ac:dyDescent="0.25">
      <c r="A15" s="39"/>
      <c r="B15" s="39" t="s">
        <v>26</v>
      </c>
      <c r="C15" s="39" t="s">
        <v>189</v>
      </c>
      <c r="D15" s="39"/>
      <c r="E15" s="39" t="s">
        <v>190</v>
      </c>
      <c r="F15" s="40">
        <v>7</v>
      </c>
      <c r="G15" s="40">
        <v>0</v>
      </c>
      <c r="H15" s="40">
        <v>30</v>
      </c>
      <c r="I15" s="40">
        <f t="shared" si="0"/>
        <v>-30</v>
      </c>
      <c r="J15" s="39" t="s">
        <v>591</v>
      </c>
      <c r="K15" s="39" t="s">
        <v>31</v>
      </c>
      <c r="L15" s="39" t="s">
        <v>102</v>
      </c>
      <c r="M15" s="39" t="s">
        <v>37</v>
      </c>
      <c r="N15" s="39"/>
      <c r="O15" s="39"/>
      <c r="P15" s="39"/>
      <c r="Q15" s="39">
        <v>1</v>
      </c>
    </row>
    <row r="16" spans="1:18" x14ac:dyDescent="0.25">
      <c r="A16" s="35"/>
      <c r="B16" s="35" t="s">
        <v>26</v>
      </c>
      <c r="C16" s="35" t="s">
        <v>194</v>
      </c>
      <c r="D16" s="35" t="s">
        <v>195</v>
      </c>
      <c r="E16" s="35" t="s">
        <v>196</v>
      </c>
      <c r="F16" s="36">
        <v>7</v>
      </c>
      <c r="G16" s="36">
        <v>930</v>
      </c>
      <c r="H16" s="36">
        <v>30</v>
      </c>
      <c r="I16" s="36">
        <f t="shared" si="0"/>
        <v>900</v>
      </c>
      <c r="J16" s="35" t="s">
        <v>591</v>
      </c>
      <c r="K16" s="35" t="s">
        <v>31</v>
      </c>
      <c r="L16" s="35" t="s">
        <v>102</v>
      </c>
      <c r="M16" s="35"/>
      <c r="N16" s="35"/>
      <c r="O16" s="35"/>
      <c r="P16" s="35"/>
      <c r="Q16" s="35">
        <v>1</v>
      </c>
    </row>
    <row r="17" spans="1:18" x14ac:dyDescent="0.25">
      <c r="A17" s="35"/>
      <c r="B17" s="35" t="s">
        <v>26</v>
      </c>
      <c r="C17" s="35" t="s">
        <v>197</v>
      </c>
      <c r="D17" s="35" t="s">
        <v>198</v>
      </c>
      <c r="E17" s="35" t="s">
        <v>199</v>
      </c>
      <c r="F17" s="35" t="s">
        <v>101</v>
      </c>
      <c r="G17" s="36">
        <v>775</v>
      </c>
      <c r="H17" s="36">
        <v>25</v>
      </c>
      <c r="I17" s="36">
        <f t="shared" si="0"/>
        <v>750</v>
      </c>
      <c r="J17" s="35" t="s">
        <v>591</v>
      </c>
      <c r="K17" s="35" t="s">
        <v>31</v>
      </c>
      <c r="L17" s="35" t="s">
        <v>102</v>
      </c>
      <c r="M17" s="35"/>
      <c r="N17" s="35"/>
      <c r="O17" s="35"/>
      <c r="P17" s="35"/>
      <c r="Q17" s="35">
        <v>1</v>
      </c>
    </row>
    <row r="18" spans="1:18" x14ac:dyDescent="0.25">
      <c r="A18" s="35"/>
      <c r="B18" s="35" t="s">
        <v>26</v>
      </c>
      <c r="C18" s="35" t="s">
        <v>206</v>
      </c>
      <c r="D18" s="35" t="s">
        <v>207</v>
      </c>
      <c r="E18" s="35" t="s">
        <v>208</v>
      </c>
      <c r="F18" s="36">
        <v>9</v>
      </c>
      <c r="G18" s="36">
        <v>440</v>
      </c>
      <c r="H18" s="36">
        <v>30</v>
      </c>
      <c r="I18" s="36">
        <f t="shared" si="0"/>
        <v>410</v>
      </c>
      <c r="J18" s="35" t="s">
        <v>591</v>
      </c>
      <c r="K18" s="35" t="s">
        <v>31</v>
      </c>
      <c r="L18" s="35" t="s">
        <v>102</v>
      </c>
      <c r="M18" s="35"/>
      <c r="N18" s="35"/>
      <c r="O18" s="35"/>
      <c r="P18" s="35"/>
      <c r="Q18" s="35">
        <v>1</v>
      </c>
    </row>
    <row r="19" spans="1:18" x14ac:dyDescent="0.25">
      <c r="A19" s="35"/>
      <c r="B19" s="35" t="s">
        <v>26</v>
      </c>
      <c r="C19" s="35" t="s">
        <v>209</v>
      </c>
      <c r="D19" s="35" t="s">
        <v>210</v>
      </c>
      <c r="E19" s="35" t="s">
        <v>211</v>
      </c>
      <c r="F19" s="35" t="s">
        <v>77</v>
      </c>
      <c r="G19" s="36">
        <v>440</v>
      </c>
      <c r="H19" s="36">
        <v>30</v>
      </c>
      <c r="I19" s="36">
        <f t="shared" si="0"/>
        <v>410</v>
      </c>
      <c r="J19" s="35" t="s">
        <v>591</v>
      </c>
      <c r="K19" s="35" t="s">
        <v>31</v>
      </c>
      <c r="L19" s="35" t="s">
        <v>102</v>
      </c>
      <c r="M19" s="35"/>
      <c r="N19" s="35"/>
      <c r="O19" s="35"/>
      <c r="P19" s="35"/>
      <c r="Q19" s="35">
        <v>1</v>
      </c>
    </row>
    <row r="20" spans="1:18" x14ac:dyDescent="0.25">
      <c r="A20" s="35"/>
      <c r="B20" s="35" t="s">
        <v>26</v>
      </c>
      <c r="C20" s="35" t="s">
        <v>215</v>
      </c>
      <c r="D20" s="35" t="s">
        <v>216</v>
      </c>
      <c r="E20" s="35" t="s">
        <v>217</v>
      </c>
      <c r="F20" s="35" t="s">
        <v>132</v>
      </c>
      <c r="G20" s="36">
        <v>425</v>
      </c>
      <c r="H20" s="36">
        <v>35</v>
      </c>
      <c r="I20" s="36">
        <f t="shared" si="0"/>
        <v>390</v>
      </c>
      <c r="J20" s="35" t="s">
        <v>591</v>
      </c>
      <c r="K20" s="35" t="s">
        <v>31</v>
      </c>
      <c r="L20" s="35" t="s">
        <v>102</v>
      </c>
      <c r="M20" s="35"/>
      <c r="N20" s="35"/>
      <c r="O20" s="35"/>
      <c r="P20" s="35"/>
      <c r="Q20" s="35">
        <v>1</v>
      </c>
    </row>
    <row r="21" spans="1:18" x14ac:dyDescent="0.25">
      <c r="A21" s="35"/>
      <c r="B21" s="35" t="s">
        <v>26</v>
      </c>
      <c r="C21" s="35" t="s">
        <v>224</v>
      </c>
      <c r="D21" s="35" t="s">
        <v>225</v>
      </c>
      <c r="E21" s="35" t="s">
        <v>226</v>
      </c>
      <c r="F21" s="36">
        <v>11</v>
      </c>
      <c r="G21" s="36">
        <v>375</v>
      </c>
      <c r="H21" s="36">
        <v>25</v>
      </c>
      <c r="I21" s="36">
        <f t="shared" si="0"/>
        <v>350</v>
      </c>
      <c r="J21" s="35" t="s">
        <v>591</v>
      </c>
      <c r="K21" s="35" t="s">
        <v>31</v>
      </c>
      <c r="L21" s="35" t="s">
        <v>102</v>
      </c>
      <c r="M21" s="35"/>
      <c r="N21" s="35"/>
      <c r="O21" s="35"/>
      <c r="P21" s="35"/>
      <c r="Q21" s="35">
        <v>1</v>
      </c>
      <c r="R21" s="25">
        <f>H21</f>
        <v>25</v>
      </c>
    </row>
    <row r="22" spans="1:18" x14ac:dyDescent="0.25">
      <c r="A22" s="35"/>
      <c r="B22" s="35" t="s">
        <v>26</v>
      </c>
      <c r="C22" s="35" t="s">
        <v>239</v>
      </c>
      <c r="D22" s="35" t="s">
        <v>240</v>
      </c>
      <c r="E22" s="35" t="s">
        <v>241</v>
      </c>
      <c r="F22" s="36">
        <v>8</v>
      </c>
      <c r="G22" s="36">
        <v>1480</v>
      </c>
      <c r="H22" s="36">
        <v>30</v>
      </c>
      <c r="I22" s="36">
        <f t="shared" si="0"/>
        <v>1450</v>
      </c>
      <c r="J22" s="35" t="s">
        <v>591</v>
      </c>
      <c r="K22" s="35" t="s">
        <v>31</v>
      </c>
      <c r="L22" s="35" t="s">
        <v>102</v>
      </c>
      <c r="M22" s="35"/>
      <c r="N22" s="35"/>
      <c r="O22" s="35"/>
      <c r="P22" s="35"/>
      <c r="Q22" s="35">
        <v>1</v>
      </c>
    </row>
    <row r="23" spans="1:18" x14ac:dyDescent="0.25">
      <c r="A23" s="35"/>
      <c r="B23" s="35" t="s">
        <v>26</v>
      </c>
      <c r="C23" s="35" t="s">
        <v>244</v>
      </c>
      <c r="D23" s="35" t="s">
        <v>245</v>
      </c>
      <c r="E23" s="35" t="s">
        <v>246</v>
      </c>
      <c r="F23" s="35" t="s">
        <v>77</v>
      </c>
      <c r="G23" s="36">
        <v>0</v>
      </c>
      <c r="H23" s="36">
        <v>30</v>
      </c>
      <c r="I23" s="36">
        <f t="shared" si="0"/>
        <v>-30</v>
      </c>
      <c r="J23" s="35" t="s">
        <v>591</v>
      </c>
      <c r="K23" s="35" t="s">
        <v>31</v>
      </c>
      <c r="L23" s="35" t="s">
        <v>102</v>
      </c>
      <c r="M23" s="35"/>
      <c r="N23" s="35"/>
      <c r="O23" s="35"/>
      <c r="P23" s="35"/>
      <c r="Q23" s="35">
        <v>1</v>
      </c>
    </row>
    <row r="24" spans="1:18" x14ac:dyDescent="0.25">
      <c r="A24" s="35"/>
      <c r="B24" s="35" t="s">
        <v>26</v>
      </c>
      <c r="C24" s="35" t="s">
        <v>250</v>
      </c>
      <c r="D24" s="35" t="s">
        <v>251</v>
      </c>
      <c r="E24" s="35" t="s">
        <v>252</v>
      </c>
      <c r="F24" s="36">
        <v>7</v>
      </c>
      <c r="G24" s="36">
        <v>0</v>
      </c>
      <c r="H24" s="36">
        <v>30</v>
      </c>
      <c r="I24" s="36">
        <f t="shared" si="0"/>
        <v>-30</v>
      </c>
      <c r="J24" s="35" t="s">
        <v>591</v>
      </c>
      <c r="K24" s="35" t="s">
        <v>31</v>
      </c>
      <c r="L24" s="35" t="s">
        <v>102</v>
      </c>
      <c r="M24" s="35"/>
      <c r="N24" s="35"/>
      <c r="O24" s="35"/>
      <c r="P24" s="35"/>
      <c r="Q24" s="35">
        <v>1</v>
      </c>
      <c r="R24" s="25">
        <f>H24</f>
        <v>30</v>
      </c>
    </row>
    <row r="25" spans="1:18" x14ac:dyDescent="0.25">
      <c r="A25" s="35"/>
      <c r="B25" s="35" t="s">
        <v>26</v>
      </c>
      <c r="C25" s="35" t="s">
        <v>262</v>
      </c>
      <c r="D25" s="35" t="s">
        <v>263</v>
      </c>
      <c r="E25" s="35" t="s">
        <v>264</v>
      </c>
      <c r="F25" s="35" t="s">
        <v>117</v>
      </c>
      <c r="G25" s="36">
        <v>325</v>
      </c>
      <c r="H25" s="36">
        <v>35</v>
      </c>
      <c r="I25" s="36">
        <f t="shared" si="0"/>
        <v>290</v>
      </c>
      <c r="J25" s="35" t="s">
        <v>591</v>
      </c>
      <c r="K25" s="35" t="s">
        <v>31</v>
      </c>
      <c r="L25" s="35" t="s">
        <v>102</v>
      </c>
      <c r="M25" s="35"/>
      <c r="N25" s="35"/>
      <c r="O25" s="35"/>
      <c r="P25" s="35"/>
      <c r="Q25" s="35">
        <v>1</v>
      </c>
    </row>
    <row r="26" spans="1:18" x14ac:dyDescent="0.25">
      <c r="A26" s="35"/>
      <c r="B26" s="35" t="s">
        <v>26</v>
      </c>
      <c r="C26" s="35" t="s">
        <v>277</v>
      </c>
      <c r="D26" s="35" t="s">
        <v>278</v>
      </c>
      <c r="E26" s="35" t="s">
        <v>279</v>
      </c>
      <c r="F26" s="36">
        <v>7</v>
      </c>
      <c r="G26" s="36">
        <v>860</v>
      </c>
      <c r="H26" s="36">
        <v>30</v>
      </c>
      <c r="I26" s="36">
        <f t="shared" si="0"/>
        <v>830</v>
      </c>
      <c r="J26" s="35" t="s">
        <v>591</v>
      </c>
      <c r="K26" s="35" t="s">
        <v>31</v>
      </c>
      <c r="L26" s="35" t="s">
        <v>102</v>
      </c>
      <c r="M26" s="35"/>
      <c r="N26" s="35"/>
      <c r="O26" s="35"/>
      <c r="P26" s="35"/>
      <c r="Q26" s="35">
        <v>1</v>
      </c>
    </row>
    <row r="27" spans="1:18" s="41" customFormat="1" x14ac:dyDescent="0.25">
      <c r="A27" s="39"/>
      <c r="B27" s="39" t="s">
        <v>26</v>
      </c>
      <c r="C27" s="39" t="s">
        <v>286</v>
      </c>
      <c r="D27" s="39" t="s">
        <v>287</v>
      </c>
      <c r="E27" s="39" t="s">
        <v>288</v>
      </c>
      <c r="F27" s="40">
        <v>8</v>
      </c>
      <c r="G27" s="40">
        <v>0</v>
      </c>
      <c r="H27" s="40">
        <v>30</v>
      </c>
      <c r="I27" s="40">
        <f t="shared" si="0"/>
        <v>-30</v>
      </c>
      <c r="J27" s="39" t="s">
        <v>591</v>
      </c>
      <c r="K27" s="39" t="s">
        <v>31</v>
      </c>
      <c r="L27" s="39" t="s">
        <v>102</v>
      </c>
      <c r="M27" s="38" t="s">
        <v>1056</v>
      </c>
      <c r="N27" s="39"/>
      <c r="O27" s="39"/>
      <c r="P27" s="39"/>
      <c r="Q27" s="39">
        <v>1</v>
      </c>
      <c r="R27" s="42">
        <f>H27</f>
        <v>30</v>
      </c>
    </row>
    <row r="28" spans="1:18" s="41" customFormat="1" x14ac:dyDescent="0.25">
      <c r="A28" s="39"/>
      <c r="B28" s="39" t="s">
        <v>26</v>
      </c>
      <c r="C28" s="39" t="s">
        <v>289</v>
      </c>
      <c r="D28" s="39"/>
      <c r="E28" s="39" t="s">
        <v>290</v>
      </c>
      <c r="F28" s="39" t="s">
        <v>77</v>
      </c>
      <c r="G28" s="40">
        <v>0</v>
      </c>
      <c r="H28" s="40">
        <v>30</v>
      </c>
      <c r="I28" s="40">
        <f t="shared" si="0"/>
        <v>-30</v>
      </c>
      <c r="J28" s="39" t="s">
        <v>591</v>
      </c>
      <c r="K28" s="39" t="s">
        <v>31</v>
      </c>
      <c r="L28" s="39" t="s">
        <v>102</v>
      </c>
      <c r="M28" s="39" t="s">
        <v>37</v>
      </c>
      <c r="N28" s="39"/>
      <c r="O28" s="39"/>
      <c r="P28" s="39"/>
      <c r="Q28" s="39">
        <v>1</v>
      </c>
      <c r="R28" s="42">
        <f>H28</f>
        <v>30</v>
      </c>
    </row>
    <row r="29" spans="1:18" x14ac:dyDescent="0.25">
      <c r="A29" s="35"/>
      <c r="B29" s="35" t="s">
        <v>26</v>
      </c>
      <c r="C29" s="35" t="s">
        <v>294</v>
      </c>
      <c r="D29" s="35" t="s">
        <v>295</v>
      </c>
      <c r="E29" s="35" t="s">
        <v>296</v>
      </c>
      <c r="F29" s="36">
        <v>11</v>
      </c>
      <c r="G29" s="36">
        <v>315</v>
      </c>
      <c r="H29" s="36">
        <v>25</v>
      </c>
      <c r="I29" s="36">
        <f t="shared" si="0"/>
        <v>290</v>
      </c>
      <c r="J29" s="35" t="s">
        <v>591</v>
      </c>
      <c r="K29" s="35" t="s">
        <v>31</v>
      </c>
      <c r="L29" s="35" t="s">
        <v>102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297</v>
      </c>
      <c r="D30" s="35" t="s">
        <v>298</v>
      </c>
      <c r="E30" s="35" t="s">
        <v>299</v>
      </c>
      <c r="F30" s="35" t="s">
        <v>77</v>
      </c>
      <c r="G30" s="36">
        <v>450</v>
      </c>
      <c r="H30" s="36">
        <v>30</v>
      </c>
      <c r="I30" s="36">
        <f t="shared" si="0"/>
        <v>420</v>
      </c>
      <c r="J30" s="35" t="s">
        <v>591</v>
      </c>
      <c r="K30" s="35" t="s">
        <v>31</v>
      </c>
      <c r="L30" s="35" t="s">
        <v>102</v>
      </c>
      <c r="M30" s="35"/>
      <c r="N30" s="35"/>
      <c r="O30" s="35"/>
      <c r="P30" s="35"/>
      <c r="Q30" s="35">
        <v>1</v>
      </c>
      <c r="R30" s="25">
        <f>H30</f>
        <v>30</v>
      </c>
    </row>
    <row r="31" spans="1:18" x14ac:dyDescent="0.25">
      <c r="A31" s="35"/>
      <c r="B31" s="35" t="s">
        <v>26</v>
      </c>
      <c r="C31" s="35" t="s">
        <v>300</v>
      </c>
      <c r="D31" s="35" t="s">
        <v>301</v>
      </c>
      <c r="E31" s="35" t="s">
        <v>302</v>
      </c>
      <c r="F31" s="36">
        <v>9</v>
      </c>
      <c r="G31" s="36">
        <v>610</v>
      </c>
      <c r="H31" s="36">
        <v>30</v>
      </c>
      <c r="I31" s="36">
        <f t="shared" si="0"/>
        <v>580</v>
      </c>
      <c r="J31" s="35" t="s">
        <v>591</v>
      </c>
      <c r="K31" s="35" t="s">
        <v>31</v>
      </c>
      <c r="L31" s="35" t="s">
        <v>102</v>
      </c>
      <c r="M31" s="35"/>
      <c r="N31" s="35"/>
      <c r="O31" s="35"/>
      <c r="P31" s="35"/>
      <c r="Q31" s="35">
        <v>1</v>
      </c>
      <c r="R31" s="25">
        <f>H31</f>
        <v>30</v>
      </c>
    </row>
    <row r="32" spans="1:18" x14ac:dyDescent="0.25">
      <c r="A32" s="35"/>
      <c r="B32" s="35" t="s">
        <v>26</v>
      </c>
      <c r="C32" s="35" t="s">
        <v>303</v>
      </c>
      <c r="D32" s="35" t="s">
        <v>304</v>
      </c>
      <c r="E32" s="35" t="s">
        <v>305</v>
      </c>
      <c r="F32" s="35" t="s">
        <v>45</v>
      </c>
      <c r="G32" s="36">
        <v>0</v>
      </c>
      <c r="H32" s="36">
        <v>25</v>
      </c>
      <c r="I32" s="36">
        <f t="shared" si="0"/>
        <v>-25</v>
      </c>
      <c r="J32" s="35" t="s">
        <v>591</v>
      </c>
      <c r="K32" s="35" t="s">
        <v>31</v>
      </c>
      <c r="L32" s="35" t="s">
        <v>102</v>
      </c>
      <c r="M32" s="35"/>
      <c r="N32" s="35"/>
      <c r="O32" s="35"/>
      <c r="P32" s="35"/>
      <c r="Q32" s="35">
        <v>1</v>
      </c>
    </row>
    <row r="33" spans="1:18" s="41" customFormat="1" x14ac:dyDescent="0.25">
      <c r="A33" s="39"/>
      <c r="B33" s="39" t="s">
        <v>26</v>
      </c>
      <c r="C33" s="39" t="s">
        <v>306</v>
      </c>
      <c r="D33" s="39" t="s">
        <v>307</v>
      </c>
      <c r="E33" s="39" t="s">
        <v>308</v>
      </c>
      <c r="F33" s="40">
        <v>7</v>
      </c>
      <c r="G33" s="40">
        <v>0</v>
      </c>
      <c r="H33" s="40">
        <v>30</v>
      </c>
      <c r="I33" s="40">
        <f t="shared" si="0"/>
        <v>-30</v>
      </c>
      <c r="J33" s="39" t="s">
        <v>591</v>
      </c>
      <c r="K33" s="39" t="s">
        <v>31</v>
      </c>
      <c r="L33" s="39" t="s">
        <v>102</v>
      </c>
      <c r="M33" s="39" t="s">
        <v>37</v>
      </c>
      <c r="N33" s="39"/>
      <c r="O33" s="39"/>
      <c r="P33" s="39"/>
      <c r="Q33" s="39">
        <v>1</v>
      </c>
    </row>
    <row r="34" spans="1:18" x14ac:dyDescent="0.25">
      <c r="A34" s="35"/>
      <c r="B34" s="35" t="s">
        <v>26</v>
      </c>
      <c r="C34" s="35" t="s">
        <v>309</v>
      </c>
      <c r="D34" s="35" t="s">
        <v>310</v>
      </c>
      <c r="E34" s="35" t="s">
        <v>311</v>
      </c>
      <c r="F34" s="35" t="s">
        <v>77</v>
      </c>
      <c r="G34" s="36">
        <v>440</v>
      </c>
      <c r="H34" s="36">
        <v>30</v>
      </c>
      <c r="I34" s="36">
        <f t="shared" si="0"/>
        <v>410</v>
      </c>
      <c r="J34" s="35" t="s">
        <v>591</v>
      </c>
      <c r="K34" s="35" t="s">
        <v>31</v>
      </c>
      <c r="L34" s="35" t="s">
        <v>102</v>
      </c>
      <c r="M34" s="35"/>
      <c r="N34" s="35"/>
      <c r="O34" s="35"/>
      <c r="P34" s="35"/>
      <c r="Q34" s="35">
        <v>1</v>
      </c>
    </row>
    <row r="35" spans="1:18" x14ac:dyDescent="0.25">
      <c r="A35" s="35" t="s">
        <v>66</v>
      </c>
      <c r="B35" s="35" t="s">
        <v>26</v>
      </c>
      <c r="C35" s="35" t="s">
        <v>103</v>
      </c>
      <c r="D35" s="35"/>
      <c r="E35" s="35" t="s">
        <v>104</v>
      </c>
      <c r="F35" s="35" t="s">
        <v>58</v>
      </c>
      <c r="G35" s="36">
        <v>0</v>
      </c>
      <c r="H35" s="36">
        <v>25</v>
      </c>
      <c r="I35" s="36">
        <f t="shared" ref="I35:I66" si="1">G35-H35</f>
        <v>-25</v>
      </c>
      <c r="J35" s="35" t="s">
        <v>31</v>
      </c>
      <c r="K35" s="35" t="s">
        <v>31</v>
      </c>
      <c r="L35" s="35" t="s">
        <v>102</v>
      </c>
      <c r="M35" s="35"/>
      <c r="N35" s="35"/>
      <c r="O35" s="35"/>
      <c r="P35" s="35"/>
      <c r="Q35" s="35">
        <v>1</v>
      </c>
      <c r="R35" s="25">
        <f>H35</f>
        <v>25</v>
      </c>
    </row>
    <row r="36" spans="1:18" x14ac:dyDescent="0.25">
      <c r="A36" s="35"/>
      <c r="B36" s="35" t="s">
        <v>26</v>
      </c>
      <c r="C36" s="35" t="s">
        <v>111</v>
      </c>
      <c r="D36" s="35" t="s">
        <v>112</v>
      </c>
      <c r="E36" s="35" t="s">
        <v>113</v>
      </c>
      <c r="F36" s="35" t="s">
        <v>36</v>
      </c>
      <c r="G36" s="36">
        <v>855</v>
      </c>
      <c r="H36" s="36">
        <v>25</v>
      </c>
      <c r="I36" s="36">
        <f t="shared" si="1"/>
        <v>830</v>
      </c>
      <c r="J36" s="35" t="s">
        <v>31</v>
      </c>
      <c r="K36" s="35" t="s">
        <v>31</v>
      </c>
      <c r="L36" s="35" t="s">
        <v>102</v>
      </c>
      <c r="M36" s="35"/>
      <c r="N36" s="35"/>
      <c r="O36" s="35"/>
      <c r="P36" s="35"/>
      <c r="Q36" s="35">
        <v>1</v>
      </c>
    </row>
    <row r="37" spans="1:18" x14ac:dyDescent="0.25">
      <c r="A37" s="35"/>
      <c r="B37" s="35" t="s">
        <v>26</v>
      </c>
      <c r="C37" s="35" t="s">
        <v>125</v>
      </c>
      <c r="D37" s="35" t="s">
        <v>126</v>
      </c>
      <c r="E37" s="35" t="s">
        <v>127</v>
      </c>
      <c r="F37" s="35" t="s">
        <v>128</v>
      </c>
      <c r="G37" s="36">
        <v>400</v>
      </c>
      <c r="H37" s="36">
        <v>30</v>
      </c>
      <c r="I37" s="36">
        <f t="shared" si="1"/>
        <v>370</v>
      </c>
      <c r="J37" s="35" t="s">
        <v>31</v>
      </c>
      <c r="K37" s="35" t="s">
        <v>31</v>
      </c>
      <c r="L37" s="35" t="s">
        <v>102</v>
      </c>
      <c r="M37" s="35"/>
      <c r="N37" s="35"/>
      <c r="O37" s="35"/>
      <c r="P37" s="35"/>
      <c r="Q37" s="35">
        <v>1</v>
      </c>
    </row>
    <row r="38" spans="1:18" s="46" customFormat="1" x14ac:dyDescent="0.25">
      <c r="A38" s="35"/>
      <c r="B38" s="35" t="s">
        <v>26</v>
      </c>
      <c r="C38" s="35" t="s">
        <v>146</v>
      </c>
      <c r="D38" s="35" t="s">
        <v>147</v>
      </c>
      <c r="E38" s="35" t="s">
        <v>148</v>
      </c>
      <c r="F38" s="35" t="s">
        <v>58</v>
      </c>
      <c r="G38" s="36">
        <v>1190</v>
      </c>
      <c r="H38" s="36">
        <v>20</v>
      </c>
      <c r="I38" s="36">
        <f t="shared" si="1"/>
        <v>1170</v>
      </c>
      <c r="J38" s="35" t="s">
        <v>31</v>
      </c>
      <c r="K38" s="35" t="s">
        <v>31</v>
      </c>
      <c r="L38" s="35" t="s">
        <v>102</v>
      </c>
      <c r="M38" s="35"/>
      <c r="N38" s="35"/>
      <c r="O38" s="35"/>
      <c r="P38" s="35"/>
      <c r="Q38" s="45">
        <v>1</v>
      </c>
      <c r="R38" s="47">
        <f>H38</f>
        <v>20</v>
      </c>
    </row>
    <row r="39" spans="1:18" x14ac:dyDescent="0.25">
      <c r="A39" s="35"/>
      <c r="B39" s="35" t="s">
        <v>26</v>
      </c>
      <c r="C39" s="35" t="s">
        <v>156</v>
      </c>
      <c r="D39" s="35" t="s">
        <v>157</v>
      </c>
      <c r="E39" s="35" t="s">
        <v>158</v>
      </c>
      <c r="F39" s="35" t="s">
        <v>58</v>
      </c>
      <c r="G39" s="36">
        <v>1560</v>
      </c>
      <c r="H39" s="36">
        <v>20</v>
      </c>
      <c r="I39" s="36">
        <f t="shared" si="1"/>
        <v>1540</v>
      </c>
      <c r="J39" s="35" t="s">
        <v>31</v>
      </c>
      <c r="K39" s="35" t="s">
        <v>31</v>
      </c>
      <c r="L39" s="35" t="s">
        <v>102</v>
      </c>
      <c r="M39" s="35"/>
      <c r="N39" s="35"/>
      <c r="O39" s="35"/>
      <c r="P39" s="35"/>
      <c r="Q39" s="35">
        <v>1</v>
      </c>
    </row>
    <row r="40" spans="1:18" x14ac:dyDescent="0.25">
      <c r="A40" s="35"/>
      <c r="B40" s="35" t="s">
        <v>26</v>
      </c>
      <c r="C40" s="35" t="s">
        <v>162</v>
      </c>
      <c r="D40" s="35" t="s">
        <v>163</v>
      </c>
      <c r="E40" s="35" t="s">
        <v>164</v>
      </c>
      <c r="F40" s="35" t="s">
        <v>58</v>
      </c>
      <c r="G40" s="36">
        <v>540</v>
      </c>
      <c r="H40" s="36">
        <v>20</v>
      </c>
      <c r="I40" s="36">
        <f t="shared" si="1"/>
        <v>520</v>
      </c>
      <c r="J40" s="35" t="s">
        <v>31</v>
      </c>
      <c r="K40" s="35" t="s">
        <v>31</v>
      </c>
      <c r="L40" s="35" t="s">
        <v>102</v>
      </c>
      <c r="M40" s="35"/>
      <c r="N40" s="35"/>
      <c r="O40" s="35"/>
      <c r="P40" s="35"/>
      <c r="Q40" s="35">
        <v>1</v>
      </c>
    </row>
    <row r="41" spans="1:18" s="41" customFormat="1" x14ac:dyDescent="0.25">
      <c r="A41" s="39"/>
      <c r="B41" s="39" t="s">
        <v>26</v>
      </c>
      <c r="C41" s="39" t="s">
        <v>168</v>
      </c>
      <c r="D41" s="39" t="s">
        <v>169</v>
      </c>
      <c r="E41" s="39" t="s">
        <v>170</v>
      </c>
      <c r="F41" s="39" t="s">
        <v>36</v>
      </c>
      <c r="G41" s="40">
        <v>365</v>
      </c>
      <c r="H41" s="40">
        <v>25</v>
      </c>
      <c r="I41" s="40">
        <f t="shared" si="1"/>
        <v>340</v>
      </c>
      <c r="J41" s="39" t="s">
        <v>31</v>
      </c>
      <c r="K41" s="39" t="s">
        <v>31</v>
      </c>
      <c r="L41" s="39" t="s">
        <v>102</v>
      </c>
      <c r="M41" s="39" t="s">
        <v>37</v>
      </c>
      <c r="N41" s="39"/>
      <c r="O41" s="39"/>
      <c r="P41" s="39"/>
      <c r="Q41" s="39">
        <v>1</v>
      </c>
      <c r="R41" s="42">
        <f>H41</f>
        <v>25</v>
      </c>
    </row>
    <row r="42" spans="1:18" x14ac:dyDescent="0.25">
      <c r="A42" s="35"/>
      <c r="B42" s="35" t="s">
        <v>26</v>
      </c>
      <c r="C42" s="35" t="s">
        <v>200</v>
      </c>
      <c r="D42" s="35" t="s">
        <v>201</v>
      </c>
      <c r="E42" s="35" t="s">
        <v>202</v>
      </c>
      <c r="F42" s="36">
        <v>2</v>
      </c>
      <c r="G42" s="36">
        <v>320</v>
      </c>
      <c r="H42" s="36">
        <v>30</v>
      </c>
      <c r="I42" s="36">
        <f t="shared" si="1"/>
        <v>290</v>
      </c>
      <c r="J42" s="35" t="s">
        <v>31</v>
      </c>
      <c r="K42" s="35" t="s">
        <v>31</v>
      </c>
      <c r="L42" s="35" t="s">
        <v>102</v>
      </c>
      <c r="M42" s="35"/>
      <c r="N42" s="35"/>
      <c r="O42" s="35"/>
      <c r="P42" s="35"/>
      <c r="Q42" s="35">
        <v>1</v>
      </c>
    </row>
    <row r="43" spans="1:18" s="41" customFormat="1" x14ac:dyDescent="0.25">
      <c r="A43" s="39"/>
      <c r="B43" s="39" t="s">
        <v>26</v>
      </c>
      <c r="C43" s="39" t="s">
        <v>203</v>
      </c>
      <c r="D43" s="39" t="s">
        <v>204</v>
      </c>
      <c r="E43" s="39" t="s">
        <v>205</v>
      </c>
      <c r="F43" s="39" t="s">
        <v>58</v>
      </c>
      <c r="G43" s="40">
        <v>0</v>
      </c>
      <c r="H43" s="40">
        <v>20</v>
      </c>
      <c r="I43" s="40">
        <f t="shared" si="1"/>
        <v>-20</v>
      </c>
      <c r="J43" s="39" t="s">
        <v>31</v>
      </c>
      <c r="K43" s="39" t="s">
        <v>31</v>
      </c>
      <c r="L43" s="39" t="s">
        <v>102</v>
      </c>
      <c r="M43" s="39" t="s">
        <v>37</v>
      </c>
      <c r="N43" s="39"/>
      <c r="O43" s="39"/>
      <c r="P43" s="39"/>
      <c r="Q43" s="39">
        <v>1</v>
      </c>
      <c r="R43" s="42">
        <f>H43</f>
        <v>20</v>
      </c>
    </row>
    <row r="44" spans="1:18" s="46" customFormat="1" x14ac:dyDescent="0.25">
      <c r="A44" s="35"/>
      <c r="B44" s="35" t="s">
        <v>26</v>
      </c>
      <c r="C44" s="35" t="s">
        <v>212</v>
      </c>
      <c r="D44" s="35" t="s">
        <v>213</v>
      </c>
      <c r="E44" s="35" t="s">
        <v>214</v>
      </c>
      <c r="F44" s="35" t="s">
        <v>58</v>
      </c>
      <c r="G44" s="36">
        <v>358</v>
      </c>
      <c r="H44" s="36">
        <v>20</v>
      </c>
      <c r="I44" s="36">
        <f t="shared" si="1"/>
        <v>338</v>
      </c>
      <c r="J44" s="35" t="s">
        <v>31</v>
      </c>
      <c r="K44" s="35" t="s">
        <v>31</v>
      </c>
      <c r="L44" s="35" t="s">
        <v>102</v>
      </c>
      <c r="M44" s="38" t="s">
        <v>59</v>
      </c>
      <c r="N44" s="35"/>
      <c r="O44" s="35"/>
      <c r="P44" s="35"/>
      <c r="Q44" s="45">
        <v>1</v>
      </c>
    </row>
    <row r="45" spans="1:18" s="46" customFormat="1" x14ac:dyDescent="0.25">
      <c r="A45" s="35"/>
      <c r="B45" s="35" t="s">
        <v>26</v>
      </c>
      <c r="C45" s="35" t="s">
        <v>230</v>
      </c>
      <c r="D45" s="35" t="s">
        <v>231</v>
      </c>
      <c r="E45" s="35" t="s">
        <v>232</v>
      </c>
      <c r="F45" s="35" t="s">
        <v>36</v>
      </c>
      <c r="G45" s="36">
        <v>1105</v>
      </c>
      <c r="H45" s="36">
        <v>25</v>
      </c>
      <c r="I45" s="36">
        <f t="shared" si="1"/>
        <v>1080</v>
      </c>
      <c r="J45" s="35" t="s">
        <v>31</v>
      </c>
      <c r="K45" s="35" t="s">
        <v>31</v>
      </c>
      <c r="L45" s="35" t="s">
        <v>102</v>
      </c>
      <c r="M45" s="35"/>
      <c r="N45" s="35"/>
      <c r="O45" s="35"/>
      <c r="P45" s="35"/>
      <c r="Q45" s="45">
        <v>1</v>
      </c>
      <c r="R45" s="47">
        <f>H45</f>
        <v>25</v>
      </c>
    </row>
    <row r="46" spans="1:18" x14ac:dyDescent="0.25">
      <c r="A46" s="35"/>
      <c r="B46" s="35" t="s">
        <v>26</v>
      </c>
      <c r="C46" s="35" t="s">
        <v>233</v>
      </c>
      <c r="D46" s="35" t="s">
        <v>234</v>
      </c>
      <c r="E46" s="35" t="s">
        <v>235</v>
      </c>
      <c r="F46" s="35" t="s">
        <v>128</v>
      </c>
      <c r="G46" s="36">
        <v>640</v>
      </c>
      <c r="H46" s="36">
        <v>30</v>
      </c>
      <c r="I46" s="36">
        <f t="shared" si="1"/>
        <v>610</v>
      </c>
      <c r="J46" s="35" t="s">
        <v>31</v>
      </c>
      <c r="K46" s="35" t="s">
        <v>31</v>
      </c>
      <c r="L46" s="35" t="s">
        <v>102</v>
      </c>
      <c r="M46" s="35"/>
      <c r="N46" s="35"/>
      <c r="O46" s="35"/>
      <c r="P46" s="35"/>
      <c r="Q46" s="35">
        <v>1</v>
      </c>
    </row>
    <row r="47" spans="1:18" x14ac:dyDescent="0.25">
      <c r="A47" s="35"/>
      <c r="B47" s="35" t="s">
        <v>26</v>
      </c>
      <c r="C47" s="35" t="s">
        <v>236</v>
      </c>
      <c r="D47" s="35" t="s">
        <v>237</v>
      </c>
      <c r="E47" s="35" t="s">
        <v>238</v>
      </c>
      <c r="F47" s="35" t="s">
        <v>128</v>
      </c>
      <c r="G47" s="36">
        <v>440</v>
      </c>
      <c r="H47" s="36">
        <v>30</v>
      </c>
      <c r="I47" s="36">
        <f t="shared" si="1"/>
        <v>410</v>
      </c>
      <c r="J47" s="35" t="s">
        <v>31</v>
      </c>
      <c r="K47" s="35" t="s">
        <v>31</v>
      </c>
      <c r="L47" s="35" t="s">
        <v>102</v>
      </c>
      <c r="M47" s="35"/>
      <c r="N47" s="35"/>
      <c r="O47" s="35"/>
      <c r="P47" s="35"/>
      <c r="Q47" s="35">
        <v>1</v>
      </c>
    </row>
    <row r="48" spans="1:18" x14ac:dyDescent="0.25">
      <c r="A48" s="35"/>
      <c r="B48" s="35" t="s">
        <v>26</v>
      </c>
      <c r="C48" s="35" t="s">
        <v>256</v>
      </c>
      <c r="D48" s="35" t="s">
        <v>257</v>
      </c>
      <c r="E48" s="35" t="s">
        <v>258</v>
      </c>
      <c r="F48" s="35" t="s">
        <v>128</v>
      </c>
      <c r="G48" s="36">
        <v>380</v>
      </c>
      <c r="H48" s="36">
        <v>30</v>
      </c>
      <c r="I48" s="36">
        <f t="shared" si="1"/>
        <v>350</v>
      </c>
      <c r="J48" s="35" t="s">
        <v>31</v>
      </c>
      <c r="K48" s="35" t="s">
        <v>31</v>
      </c>
      <c r="L48" s="35" t="s">
        <v>102</v>
      </c>
      <c r="M48" s="35"/>
      <c r="N48" s="35"/>
      <c r="O48" s="35"/>
      <c r="P48" s="35"/>
      <c r="Q48" s="35">
        <v>1</v>
      </c>
    </row>
    <row r="49" spans="1:18" x14ac:dyDescent="0.25">
      <c r="A49" s="35"/>
      <c r="B49" s="35" t="s">
        <v>26</v>
      </c>
      <c r="C49" s="35" t="s">
        <v>271</v>
      </c>
      <c r="D49" s="35" t="s">
        <v>272</v>
      </c>
      <c r="E49" s="35" t="s">
        <v>273</v>
      </c>
      <c r="F49" s="35" t="s">
        <v>36</v>
      </c>
      <c r="G49" s="36">
        <v>735</v>
      </c>
      <c r="H49" s="36">
        <v>25</v>
      </c>
      <c r="I49" s="36">
        <f t="shared" si="1"/>
        <v>710</v>
      </c>
      <c r="J49" s="35" t="s">
        <v>31</v>
      </c>
      <c r="K49" s="35" t="s">
        <v>31</v>
      </c>
      <c r="L49" s="35" t="s">
        <v>102</v>
      </c>
      <c r="M49" s="35"/>
      <c r="N49" s="35"/>
      <c r="O49" s="35"/>
      <c r="P49" s="35"/>
      <c r="Q49" s="35">
        <v>1</v>
      </c>
    </row>
    <row r="50" spans="1:18" x14ac:dyDescent="0.25">
      <c r="A50" s="35"/>
      <c r="B50" s="35" t="s">
        <v>26</v>
      </c>
      <c r="C50" s="35" t="s">
        <v>280</v>
      </c>
      <c r="D50" s="35" t="s">
        <v>281</v>
      </c>
      <c r="E50" s="35" t="s">
        <v>282</v>
      </c>
      <c r="F50" s="35" t="s">
        <v>58</v>
      </c>
      <c r="G50" s="36">
        <v>310</v>
      </c>
      <c r="H50" s="36">
        <v>20</v>
      </c>
      <c r="I50" s="36">
        <f t="shared" si="1"/>
        <v>290</v>
      </c>
      <c r="J50" s="35" t="s">
        <v>31</v>
      </c>
      <c r="K50" s="35" t="s">
        <v>31</v>
      </c>
      <c r="L50" s="35" t="s">
        <v>102</v>
      </c>
      <c r="M50" s="35"/>
      <c r="N50" s="35"/>
      <c r="O50" s="35"/>
      <c r="P50" s="35"/>
      <c r="Q50" s="35">
        <v>1</v>
      </c>
    </row>
    <row r="51" spans="1:18" x14ac:dyDescent="0.25">
      <c r="A51" s="35"/>
      <c r="B51" s="35" t="s">
        <v>26</v>
      </c>
      <c r="C51" s="35" t="s">
        <v>283</v>
      </c>
      <c r="D51" s="35" t="s">
        <v>284</v>
      </c>
      <c r="E51" s="35" t="s">
        <v>285</v>
      </c>
      <c r="F51" s="35" t="s">
        <v>58</v>
      </c>
      <c r="G51" s="36">
        <v>460</v>
      </c>
      <c r="H51" s="36">
        <v>20</v>
      </c>
      <c r="I51" s="36">
        <f t="shared" si="1"/>
        <v>440</v>
      </c>
      <c r="J51" s="35" t="s">
        <v>31</v>
      </c>
      <c r="K51" s="35" t="s">
        <v>31</v>
      </c>
      <c r="L51" s="35" t="s">
        <v>102</v>
      </c>
      <c r="M51" s="35"/>
      <c r="N51" s="35"/>
      <c r="O51" s="35"/>
      <c r="P51" s="35"/>
      <c r="Q51" s="35">
        <v>1</v>
      </c>
      <c r="R51" s="25">
        <f>H51</f>
        <v>20</v>
      </c>
    </row>
    <row r="52" spans="1:18" x14ac:dyDescent="0.25">
      <c r="A52" s="35"/>
      <c r="B52" s="35" t="s">
        <v>26</v>
      </c>
      <c r="C52" s="35" t="s">
        <v>291</v>
      </c>
      <c r="D52" s="35" t="s">
        <v>292</v>
      </c>
      <c r="E52" s="35" t="s">
        <v>293</v>
      </c>
      <c r="F52" s="36">
        <v>2</v>
      </c>
      <c r="G52" s="36">
        <v>1110</v>
      </c>
      <c r="H52" s="36">
        <v>30</v>
      </c>
      <c r="I52" s="36">
        <f t="shared" si="1"/>
        <v>1080</v>
      </c>
      <c r="J52" s="35" t="s">
        <v>31</v>
      </c>
      <c r="K52" s="35" t="s">
        <v>31</v>
      </c>
      <c r="L52" s="35" t="s">
        <v>102</v>
      </c>
      <c r="M52" s="35"/>
      <c r="N52" s="35"/>
      <c r="O52" s="35"/>
      <c r="P52" s="35"/>
      <c r="Q52" s="35">
        <v>1</v>
      </c>
    </row>
    <row r="53" spans="1:18" s="46" customFormat="1" x14ac:dyDescent="0.25">
      <c r="A53" s="35" t="s">
        <v>66</v>
      </c>
      <c r="B53" s="35" t="s">
        <v>26</v>
      </c>
      <c r="C53" s="35" t="s">
        <v>99</v>
      </c>
      <c r="D53" s="35"/>
      <c r="E53" s="35" t="s">
        <v>100</v>
      </c>
      <c r="F53" s="35" t="s">
        <v>101</v>
      </c>
      <c r="G53" s="36">
        <v>0</v>
      </c>
      <c r="H53" s="36">
        <v>30</v>
      </c>
      <c r="I53" s="36">
        <f t="shared" si="1"/>
        <v>-30</v>
      </c>
      <c r="J53" s="35" t="s">
        <v>41</v>
      </c>
      <c r="K53" s="35" t="s">
        <v>31</v>
      </c>
      <c r="L53" s="35" t="s">
        <v>102</v>
      </c>
      <c r="M53" s="35"/>
      <c r="N53" s="35"/>
      <c r="O53" s="35"/>
      <c r="P53" s="35"/>
      <c r="Q53" s="45">
        <v>1</v>
      </c>
    </row>
    <row r="54" spans="1:18" s="46" customFormat="1" x14ac:dyDescent="0.25">
      <c r="A54" s="35" t="s">
        <v>66</v>
      </c>
      <c r="B54" s="35" t="s">
        <v>26</v>
      </c>
      <c r="C54" s="35" t="s">
        <v>105</v>
      </c>
      <c r="D54" s="35"/>
      <c r="E54" s="35" t="s">
        <v>106</v>
      </c>
      <c r="F54" s="35" t="s">
        <v>101</v>
      </c>
      <c r="G54" s="36">
        <v>30</v>
      </c>
      <c r="H54" s="36">
        <v>30</v>
      </c>
      <c r="I54" s="36">
        <f t="shared" si="1"/>
        <v>0</v>
      </c>
      <c r="J54" s="35" t="s">
        <v>41</v>
      </c>
      <c r="K54" s="35" t="s">
        <v>31</v>
      </c>
      <c r="L54" s="35" t="s">
        <v>102</v>
      </c>
      <c r="M54" s="35"/>
      <c r="N54" s="35"/>
      <c r="O54" s="35"/>
      <c r="P54" s="35"/>
      <c r="Q54" s="45">
        <v>1</v>
      </c>
      <c r="R54" s="47">
        <f>H54</f>
        <v>30</v>
      </c>
    </row>
    <row r="55" spans="1:18" x14ac:dyDescent="0.25">
      <c r="A55" s="35" t="s">
        <v>66</v>
      </c>
      <c r="B55" s="35" t="s">
        <v>26</v>
      </c>
      <c r="C55" s="35" t="s">
        <v>107</v>
      </c>
      <c r="D55" s="35"/>
      <c r="E55" s="35" t="s">
        <v>108</v>
      </c>
      <c r="F55" s="35" t="s">
        <v>101</v>
      </c>
      <c r="G55" s="36">
        <v>2340</v>
      </c>
      <c r="H55" s="36">
        <v>30</v>
      </c>
      <c r="I55" s="36">
        <f t="shared" si="1"/>
        <v>2310</v>
      </c>
      <c r="J55" s="35" t="s">
        <v>41</v>
      </c>
      <c r="K55" s="35" t="s">
        <v>31</v>
      </c>
      <c r="L55" s="35" t="s">
        <v>102</v>
      </c>
      <c r="M55" s="35"/>
      <c r="N55" s="35"/>
      <c r="O55" s="35"/>
      <c r="P55" s="35"/>
      <c r="Q55" s="35">
        <v>1</v>
      </c>
    </row>
    <row r="56" spans="1:18" x14ac:dyDescent="0.25">
      <c r="A56" s="35" t="s">
        <v>66</v>
      </c>
      <c r="B56" s="35" t="s">
        <v>26</v>
      </c>
      <c r="C56" s="35" t="s">
        <v>109</v>
      </c>
      <c r="D56" s="35"/>
      <c r="E56" s="35" t="s">
        <v>110</v>
      </c>
      <c r="F56" s="36">
        <v>5</v>
      </c>
      <c r="G56" s="36">
        <v>0</v>
      </c>
      <c r="H56" s="36">
        <v>30</v>
      </c>
      <c r="I56" s="36">
        <f t="shared" si="1"/>
        <v>-30</v>
      </c>
      <c r="J56" s="35" t="s">
        <v>41</v>
      </c>
      <c r="K56" s="35" t="s">
        <v>31</v>
      </c>
      <c r="L56" s="35" t="s">
        <v>102</v>
      </c>
      <c r="M56" s="35"/>
      <c r="N56" s="35"/>
      <c r="O56" s="35"/>
      <c r="P56" s="35"/>
      <c r="Q56" s="35">
        <v>1</v>
      </c>
    </row>
    <row r="57" spans="1:18" x14ac:dyDescent="0.25">
      <c r="A57" s="35"/>
      <c r="B57" s="35" t="s">
        <v>26</v>
      </c>
      <c r="C57" s="35" t="s">
        <v>133</v>
      </c>
      <c r="D57" s="35" t="s">
        <v>134</v>
      </c>
      <c r="E57" s="35" t="s">
        <v>135</v>
      </c>
      <c r="F57" s="36">
        <v>4</v>
      </c>
      <c r="G57" s="36">
        <v>916</v>
      </c>
      <c r="H57" s="36">
        <v>25</v>
      </c>
      <c r="I57" s="36">
        <f t="shared" si="1"/>
        <v>891</v>
      </c>
      <c r="J57" s="35" t="s">
        <v>41</v>
      </c>
      <c r="K57" s="35" t="s">
        <v>31</v>
      </c>
      <c r="L57" s="35" t="s">
        <v>102</v>
      </c>
      <c r="M57" s="38" t="s">
        <v>136</v>
      </c>
      <c r="N57" s="35"/>
      <c r="O57" s="35"/>
      <c r="P57" s="35"/>
      <c r="Q57" s="35">
        <v>1</v>
      </c>
    </row>
    <row r="58" spans="1:18" x14ac:dyDescent="0.25">
      <c r="A58" s="35"/>
      <c r="B58" s="35" t="s">
        <v>26</v>
      </c>
      <c r="C58" s="35" t="s">
        <v>152</v>
      </c>
      <c r="D58" s="35" t="s">
        <v>153</v>
      </c>
      <c r="E58" s="35" t="s">
        <v>154</v>
      </c>
      <c r="F58" s="35" t="s">
        <v>155</v>
      </c>
      <c r="G58" s="36">
        <v>20</v>
      </c>
      <c r="H58" s="36">
        <v>20</v>
      </c>
      <c r="I58" s="36">
        <f t="shared" si="1"/>
        <v>0</v>
      </c>
      <c r="J58" s="35" t="s">
        <v>41</v>
      </c>
      <c r="K58" s="35" t="s">
        <v>31</v>
      </c>
      <c r="L58" s="35" t="s">
        <v>102</v>
      </c>
      <c r="M58" s="35"/>
      <c r="N58" s="35"/>
      <c r="O58" s="35"/>
      <c r="P58" s="35"/>
      <c r="Q58" s="35">
        <v>1</v>
      </c>
    </row>
    <row r="59" spans="1:18" x14ac:dyDescent="0.25">
      <c r="A59" s="35"/>
      <c r="B59" s="35" t="s">
        <v>26</v>
      </c>
      <c r="C59" s="35" t="s">
        <v>159</v>
      </c>
      <c r="D59" s="35" t="s">
        <v>160</v>
      </c>
      <c r="E59" s="35" t="s">
        <v>161</v>
      </c>
      <c r="F59" s="36">
        <v>10</v>
      </c>
      <c r="G59" s="36">
        <v>1435</v>
      </c>
      <c r="H59" s="36">
        <v>25</v>
      </c>
      <c r="I59" s="36">
        <f t="shared" si="1"/>
        <v>1410</v>
      </c>
      <c r="J59" s="35" t="s">
        <v>41</v>
      </c>
      <c r="K59" s="35" t="s">
        <v>31</v>
      </c>
      <c r="L59" s="35" t="s">
        <v>102</v>
      </c>
      <c r="M59" s="35"/>
      <c r="N59" s="35"/>
      <c r="O59" s="35"/>
      <c r="P59" s="35"/>
      <c r="Q59" s="35">
        <v>1</v>
      </c>
    </row>
    <row r="60" spans="1:18" x14ac:dyDescent="0.25">
      <c r="A60" s="35"/>
      <c r="B60" s="35" t="s">
        <v>26</v>
      </c>
      <c r="C60" s="35" t="s">
        <v>165</v>
      </c>
      <c r="D60" s="35" t="s">
        <v>166</v>
      </c>
      <c r="E60" s="35" t="s">
        <v>167</v>
      </c>
      <c r="F60" s="36">
        <v>10</v>
      </c>
      <c r="G60" s="36">
        <v>755</v>
      </c>
      <c r="H60" s="36">
        <v>25</v>
      </c>
      <c r="I60" s="36">
        <f t="shared" si="1"/>
        <v>730</v>
      </c>
      <c r="J60" s="35" t="s">
        <v>41</v>
      </c>
      <c r="K60" s="35" t="s">
        <v>31</v>
      </c>
      <c r="L60" s="35" t="s">
        <v>102</v>
      </c>
      <c r="M60" s="35"/>
      <c r="N60" s="35"/>
      <c r="O60" s="35"/>
      <c r="P60" s="35"/>
      <c r="Q60" s="35">
        <v>1</v>
      </c>
    </row>
    <row r="61" spans="1:18" x14ac:dyDescent="0.25">
      <c r="A61" s="35"/>
      <c r="B61" s="35" t="s">
        <v>26</v>
      </c>
      <c r="C61" s="35" t="s">
        <v>171</v>
      </c>
      <c r="D61" s="35" t="s">
        <v>172</v>
      </c>
      <c r="E61" s="35" t="s">
        <v>173</v>
      </c>
      <c r="F61" s="36">
        <v>4</v>
      </c>
      <c r="G61" s="36">
        <v>775</v>
      </c>
      <c r="H61" s="36">
        <v>25</v>
      </c>
      <c r="I61" s="36">
        <f t="shared" si="1"/>
        <v>750</v>
      </c>
      <c r="J61" s="35" t="s">
        <v>41</v>
      </c>
      <c r="K61" s="35" t="s">
        <v>31</v>
      </c>
      <c r="L61" s="35" t="s">
        <v>102</v>
      </c>
      <c r="M61" s="35"/>
      <c r="N61" s="35"/>
      <c r="O61" s="35"/>
      <c r="P61" s="35"/>
      <c r="Q61" s="35">
        <v>1</v>
      </c>
    </row>
    <row r="62" spans="1:18" x14ac:dyDescent="0.25">
      <c r="A62" s="35"/>
      <c r="B62" s="35" t="s">
        <v>26</v>
      </c>
      <c r="C62" s="35" t="s">
        <v>174</v>
      </c>
      <c r="D62" s="35" t="s">
        <v>175</v>
      </c>
      <c r="E62" s="35" t="s">
        <v>176</v>
      </c>
      <c r="F62" s="36">
        <v>5</v>
      </c>
      <c r="G62" s="36">
        <v>0</v>
      </c>
      <c r="H62" s="36">
        <v>25</v>
      </c>
      <c r="I62" s="36">
        <f t="shared" si="1"/>
        <v>-25</v>
      </c>
      <c r="J62" s="35" t="s">
        <v>41</v>
      </c>
      <c r="K62" s="35" t="s">
        <v>31</v>
      </c>
      <c r="L62" s="35" t="s">
        <v>102</v>
      </c>
      <c r="M62" s="35"/>
      <c r="N62" s="35"/>
      <c r="O62" s="35"/>
      <c r="P62" s="35"/>
      <c r="Q62" s="35">
        <v>1</v>
      </c>
      <c r="R62" s="25">
        <f t="shared" ref="R62:R63" si="2">H62</f>
        <v>25</v>
      </c>
    </row>
    <row r="63" spans="1:18" x14ac:dyDescent="0.25">
      <c r="A63" s="35"/>
      <c r="B63" s="35" t="s">
        <v>26</v>
      </c>
      <c r="C63" s="35" t="s">
        <v>191</v>
      </c>
      <c r="D63" s="35" t="s">
        <v>192</v>
      </c>
      <c r="E63" s="35" t="s">
        <v>193</v>
      </c>
      <c r="F63" s="36">
        <v>1</v>
      </c>
      <c r="G63" s="36">
        <v>508</v>
      </c>
      <c r="H63" s="36">
        <v>25</v>
      </c>
      <c r="I63" s="36">
        <f t="shared" si="1"/>
        <v>483</v>
      </c>
      <c r="J63" s="35" t="s">
        <v>41</v>
      </c>
      <c r="K63" s="35" t="s">
        <v>31</v>
      </c>
      <c r="L63" s="35" t="s">
        <v>102</v>
      </c>
      <c r="M63" s="38" t="s">
        <v>59</v>
      </c>
      <c r="N63" s="35"/>
      <c r="O63" s="35"/>
      <c r="P63" s="35"/>
      <c r="Q63" s="35">
        <v>1</v>
      </c>
      <c r="R63" s="25">
        <f t="shared" si="2"/>
        <v>25</v>
      </c>
    </row>
    <row r="64" spans="1:18" x14ac:dyDescent="0.25">
      <c r="A64" s="35"/>
      <c r="B64" s="35" t="s">
        <v>26</v>
      </c>
      <c r="C64" s="35" t="s">
        <v>218</v>
      </c>
      <c r="D64" s="35" t="s">
        <v>219</v>
      </c>
      <c r="E64" s="35" t="s">
        <v>220</v>
      </c>
      <c r="F64" s="36">
        <v>10</v>
      </c>
      <c r="G64" s="36">
        <v>915</v>
      </c>
      <c r="H64" s="36">
        <v>25</v>
      </c>
      <c r="I64" s="36">
        <f t="shared" si="1"/>
        <v>890</v>
      </c>
      <c r="J64" s="35" t="s">
        <v>41</v>
      </c>
      <c r="K64" s="35" t="s">
        <v>31</v>
      </c>
      <c r="L64" s="35" t="s">
        <v>102</v>
      </c>
      <c r="M64" s="35"/>
      <c r="N64" s="35"/>
      <c r="O64" s="35"/>
      <c r="P64" s="35"/>
      <c r="Q64" s="35">
        <v>1</v>
      </c>
    </row>
    <row r="65" spans="1:18" x14ac:dyDescent="0.25">
      <c r="A65" s="35"/>
      <c r="B65" s="35" t="s">
        <v>26</v>
      </c>
      <c r="C65" s="35" t="s">
        <v>221</v>
      </c>
      <c r="D65" s="35" t="s">
        <v>222</v>
      </c>
      <c r="E65" s="35" t="s">
        <v>223</v>
      </c>
      <c r="F65" s="36">
        <v>1</v>
      </c>
      <c r="G65" s="36">
        <v>1355</v>
      </c>
      <c r="H65" s="36">
        <v>25</v>
      </c>
      <c r="I65" s="36">
        <f t="shared" si="1"/>
        <v>1330</v>
      </c>
      <c r="J65" s="35" t="s">
        <v>41</v>
      </c>
      <c r="K65" s="35" t="s">
        <v>31</v>
      </c>
      <c r="L65" s="35" t="s">
        <v>102</v>
      </c>
      <c r="M65" s="35"/>
      <c r="N65" s="35"/>
      <c r="O65" s="35"/>
      <c r="P65" s="35"/>
      <c r="Q65" s="35">
        <v>1</v>
      </c>
    </row>
    <row r="66" spans="1:18" s="46" customFormat="1" x14ac:dyDescent="0.25">
      <c r="A66" s="35"/>
      <c r="B66" s="35" t="s">
        <v>26</v>
      </c>
      <c r="C66" s="35" t="s">
        <v>227</v>
      </c>
      <c r="D66" s="35" t="s">
        <v>228</v>
      </c>
      <c r="E66" s="35" t="s">
        <v>229</v>
      </c>
      <c r="F66" s="35" t="s">
        <v>101</v>
      </c>
      <c r="G66" s="36">
        <v>1185</v>
      </c>
      <c r="H66" s="36">
        <v>25</v>
      </c>
      <c r="I66" s="36">
        <f t="shared" si="1"/>
        <v>1160</v>
      </c>
      <c r="J66" s="35" t="s">
        <v>41</v>
      </c>
      <c r="K66" s="35" t="s">
        <v>31</v>
      </c>
      <c r="L66" s="35" t="s">
        <v>102</v>
      </c>
      <c r="M66" s="35"/>
      <c r="N66" s="35"/>
      <c r="O66" s="35"/>
      <c r="P66" s="35"/>
      <c r="Q66" s="45">
        <v>1</v>
      </c>
    </row>
    <row r="67" spans="1:18" s="46" customFormat="1" x14ac:dyDescent="0.25">
      <c r="A67" s="35"/>
      <c r="B67" s="35" t="s">
        <v>26</v>
      </c>
      <c r="C67" s="35" t="s">
        <v>242</v>
      </c>
      <c r="D67" s="35"/>
      <c r="E67" s="35" t="s">
        <v>243</v>
      </c>
      <c r="F67" s="35" t="s">
        <v>101</v>
      </c>
      <c r="G67" s="36">
        <v>0</v>
      </c>
      <c r="H67" s="36">
        <v>25</v>
      </c>
      <c r="I67" s="36">
        <f t="shared" ref="I67:I86" si="3">G67-H67</f>
        <v>-25</v>
      </c>
      <c r="J67" s="35" t="s">
        <v>41</v>
      </c>
      <c r="K67" s="35" t="s">
        <v>31</v>
      </c>
      <c r="L67" s="35" t="s">
        <v>102</v>
      </c>
      <c r="M67" s="35"/>
      <c r="N67" s="35"/>
      <c r="O67" s="35"/>
      <c r="P67" s="35"/>
      <c r="Q67" s="45">
        <v>1</v>
      </c>
      <c r="R67" s="47">
        <f>H67</f>
        <v>25</v>
      </c>
    </row>
    <row r="68" spans="1:18" x14ac:dyDescent="0.25">
      <c r="A68" s="35"/>
      <c r="B68" s="35" t="s">
        <v>26</v>
      </c>
      <c r="C68" s="35" t="s">
        <v>247</v>
      </c>
      <c r="D68" s="35" t="s">
        <v>248</v>
      </c>
      <c r="E68" s="35" t="s">
        <v>249</v>
      </c>
      <c r="F68" s="36">
        <v>3</v>
      </c>
      <c r="G68" s="36">
        <v>465</v>
      </c>
      <c r="H68" s="36">
        <v>25</v>
      </c>
      <c r="I68" s="36">
        <f t="shared" si="3"/>
        <v>440</v>
      </c>
      <c r="J68" s="35" t="s">
        <v>41</v>
      </c>
      <c r="K68" s="35" t="s">
        <v>31</v>
      </c>
      <c r="L68" s="35" t="s">
        <v>102</v>
      </c>
      <c r="M68" s="35"/>
      <c r="N68" s="35"/>
      <c r="O68" s="35"/>
      <c r="P68" s="35"/>
      <c r="Q68" s="35">
        <v>1</v>
      </c>
    </row>
    <row r="69" spans="1:18" x14ac:dyDescent="0.25">
      <c r="A69" s="35"/>
      <c r="B69" s="35" t="s">
        <v>26</v>
      </c>
      <c r="C69" s="35" t="s">
        <v>253</v>
      </c>
      <c r="D69" s="35" t="s">
        <v>254</v>
      </c>
      <c r="E69" s="35" t="s">
        <v>255</v>
      </c>
      <c r="F69" s="36">
        <v>3</v>
      </c>
      <c r="G69" s="36">
        <v>905</v>
      </c>
      <c r="H69" s="36">
        <v>25</v>
      </c>
      <c r="I69" s="36">
        <f t="shared" si="3"/>
        <v>880</v>
      </c>
      <c r="J69" s="35" t="s">
        <v>41</v>
      </c>
      <c r="K69" s="35" t="s">
        <v>31</v>
      </c>
      <c r="L69" s="35" t="s">
        <v>102</v>
      </c>
      <c r="M69" s="35"/>
      <c r="N69" s="35"/>
      <c r="O69" s="35"/>
      <c r="P69" s="35"/>
      <c r="Q69" s="35">
        <v>1</v>
      </c>
    </row>
    <row r="70" spans="1:18" s="41" customFormat="1" x14ac:dyDescent="0.25">
      <c r="A70" s="39"/>
      <c r="B70" s="39" t="s">
        <v>26</v>
      </c>
      <c r="C70" s="39" t="s">
        <v>259</v>
      </c>
      <c r="D70" s="39" t="s">
        <v>260</v>
      </c>
      <c r="E70" s="39" t="s">
        <v>261</v>
      </c>
      <c r="F70" s="39" t="s">
        <v>155</v>
      </c>
      <c r="G70" s="40">
        <v>0</v>
      </c>
      <c r="H70" s="40">
        <v>20</v>
      </c>
      <c r="I70" s="40">
        <f t="shared" si="3"/>
        <v>-20</v>
      </c>
      <c r="J70" s="39" t="s">
        <v>41</v>
      </c>
      <c r="K70" s="39" t="s">
        <v>31</v>
      </c>
      <c r="L70" s="39" t="s">
        <v>102</v>
      </c>
      <c r="M70" s="39" t="s">
        <v>37</v>
      </c>
      <c r="N70" s="39"/>
      <c r="O70" s="39"/>
      <c r="P70" s="39"/>
      <c r="Q70" s="39">
        <v>1</v>
      </c>
    </row>
    <row r="71" spans="1:18" x14ac:dyDescent="0.25">
      <c r="A71" s="35"/>
      <c r="B71" s="35" t="s">
        <v>26</v>
      </c>
      <c r="C71" s="35" t="s">
        <v>265</v>
      </c>
      <c r="D71" s="35" t="s">
        <v>266</v>
      </c>
      <c r="E71" s="35" t="s">
        <v>267</v>
      </c>
      <c r="F71" s="36">
        <v>4</v>
      </c>
      <c r="G71" s="36">
        <v>1875</v>
      </c>
      <c r="H71" s="36">
        <v>25</v>
      </c>
      <c r="I71" s="36">
        <f t="shared" si="3"/>
        <v>1850</v>
      </c>
      <c r="J71" s="35" t="s">
        <v>41</v>
      </c>
      <c r="K71" s="35" t="s">
        <v>31</v>
      </c>
      <c r="L71" s="35" t="s">
        <v>102</v>
      </c>
      <c r="M71" s="35"/>
      <c r="N71" s="35"/>
      <c r="O71" s="35"/>
      <c r="P71" s="35"/>
      <c r="Q71" s="35">
        <v>1</v>
      </c>
      <c r="R71" s="25">
        <f t="shared" ref="R71:R72" si="4">H71</f>
        <v>25</v>
      </c>
    </row>
    <row r="72" spans="1:18" s="46" customFormat="1" x14ac:dyDescent="0.25">
      <c r="A72" s="35"/>
      <c r="B72" s="35" t="s">
        <v>26</v>
      </c>
      <c r="C72" s="35" t="s">
        <v>268</v>
      </c>
      <c r="D72" s="35" t="s">
        <v>269</v>
      </c>
      <c r="E72" s="35" t="s">
        <v>270</v>
      </c>
      <c r="F72" s="35" t="s">
        <v>155</v>
      </c>
      <c r="G72" s="36">
        <v>530</v>
      </c>
      <c r="H72" s="36">
        <v>20</v>
      </c>
      <c r="I72" s="36">
        <f t="shared" si="3"/>
        <v>510</v>
      </c>
      <c r="J72" s="35" t="s">
        <v>41</v>
      </c>
      <c r="K72" s="35" t="s">
        <v>31</v>
      </c>
      <c r="L72" s="35" t="s">
        <v>102</v>
      </c>
      <c r="M72" s="35"/>
      <c r="N72" s="35"/>
      <c r="O72" s="35"/>
      <c r="P72" s="35"/>
      <c r="Q72" s="45">
        <v>1</v>
      </c>
      <c r="R72" s="47">
        <f t="shared" si="4"/>
        <v>20</v>
      </c>
    </row>
    <row r="73" spans="1:18" x14ac:dyDescent="0.25">
      <c r="A73" s="35"/>
      <c r="B73" s="35" t="s">
        <v>26</v>
      </c>
      <c r="C73" s="35" t="s">
        <v>274</v>
      </c>
      <c r="D73" s="35" t="s">
        <v>275</v>
      </c>
      <c r="E73" s="35" t="s">
        <v>276</v>
      </c>
      <c r="F73" s="36">
        <v>1</v>
      </c>
      <c r="G73" s="36">
        <v>0</v>
      </c>
      <c r="H73" s="36">
        <v>25</v>
      </c>
      <c r="I73" s="36">
        <f t="shared" si="3"/>
        <v>-25</v>
      </c>
      <c r="J73" s="35" t="s">
        <v>41</v>
      </c>
      <c r="K73" s="35" t="s">
        <v>31</v>
      </c>
      <c r="L73" s="35" t="s">
        <v>102</v>
      </c>
      <c r="M73" s="35"/>
      <c r="N73" s="35"/>
      <c r="O73" s="35"/>
      <c r="P73" s="35"/>
      <c r="Q73" s="35">
        <v>1</v>
      </c>
    </row>
    <row r="74" spans="1:18" s="30" customFormat="1" x14ac:dyDescent="0.25">
      <c r="A74" s="37"/>
      <c r="B74" s="37" t="s">
        <v>26</v>
      </c>
      <c r="C74" s="37" t="s">
        <v>312</v>
      </c>
      <c r="D74" s="37" t="s">
        <v>313</v>
      </c>
      <c r="E74" s="37" t="s">
        <v>314</v>
      </c>
      <c r="F74" s="43">
        <v>10</v>
      </c>
      <c r="G74" s="43">
        <v>0</v>
      </c>
      <c r="H74" s="43">
        <v>25</v>
      </c>
      <c r="I74" s="43">
        <f t="shared" si="3"/>
        <v>-25</v>
      </c>
      <c r="J74" s="37" t="s">
        <v>118</v>
      </c>
      <c r="K74" s="37" t="s">
        <v>31</v>
      </c>
      <c r="L74" s="37" t="s">
        <v>315</v>
      </c>
      <c r="M74" s="37" t="s">
        <v>91</v>
      </c>
      <c r="N74" s="37" t="s">
        <v>316</v>
      </c>
      <c r="O74" s="37" t="s">
        <v>316</v>
      </c>
      <c r="P74" s="37" t="s">
        <v>317</v>
      </c>
      <c r="Q74" s="43">
        <v>1</v>
      </c>
      <c r="R74" s="44"/>
    </row>
    <row r="75" spans="1:18" s="30" customFormat="1" x14ac:dyDescent="0.25">
      <c r="A75" s="37"/>
      <c r="B75" s="37" t="s">
        <v>26</v>
      </c>
      <c r="C75" s="37" t="s">
        <v>318</v>
      </c>
      <c r="D75" s="37" t="s">
        <v>319</v>
      </c>
      <c r="E75" s="37" t="s">
        <v>320</v>
      </c>
      <c r="F75" s="43">
        <v>1</v>
      </c>
      <c r="G75" s="43">
        <v>345</v>
      </c>
      <c r="H75" s="43">
        <v>25</v>
      </c>
      <c r="I75" s="43">
        <f t="shared" si="3"/>
        <v>320</v>
      </c>
      <c r="J75" s="37" t="s">
        <v>118</v>
      </c>
      <c r="K75" s="37" t="s">
        <v>31</v>
      </c>
      <c r="L75" s="37" t="s">
        <v>321</v>
      </c>
      <c r="M75" s="37" t="s">
        <v>91</v>
      </c>
      <c r="N75" s="37" t="s">
        <v>316</v>
      </c>
      <c r="O75" s="37" t="s">
        <v>316</v>
      </c>
      <c r="P75" s="37" t="s">
        <v>317</v>
      </c>
      <c r="Q75" s="43">
        <v>1</v>
      </c>
    </row>
    <row r="76" spans="1:18" s="30" customFormat="1" x14ac:dyDescent="0.25">
      <c r="A76" s="37"/>
      <c r="B76" s="37" t="s">
        <v>26</v>
      </c>
      <c r="C76" s="37" t="s">
        <v>322</v>
      </c>
      <c r="D76" s="37" t="s">
        <v>323</v>
      </c>
      <c r="E76" s="37" t="s">
        <v>324</v>
      </c>
      <c r="F76" s="43">
        <v>4</v>
      </c>
      <c r="G76" s="43">
        <v>308</v>
      </c>
      <c r="H76" s="43">
        <v>25</v>
      </c>
      <c r="I76" s="43">
        <f t="shared" si="3"/>
        <v>283</v>
      </c>
      <c r="J76" s="37" t="s">
        <v>118</v>
      </c>
      <c r="K76" s="37" t="s">
        <v>31</v>
      </c>
      <c r="L76" s="37" t="s">
        <v>315</v>
      </c>
      <c r="M76" s="37" t="s">
        <v>91</v>
      </c>
      <c r="N76" s="37" t="s">
        <v>316</v>
      </c>
      <c r="O76" s="37" t="s">
        <v>316</v>
      </c>
      <c r="P76" s="37" t="s">
        <v>317</v>
      </c>
      <c r="Q76" s="43">
        <v>1</v>
      </c>
    </row>
    <row r="77" spans="1:18" s="30" customFormat="1" x14ac:dyDescent="0.25">
      <c r="A77" s="37"/>
      <c r="B77" s="37" t="s">
        <v>26</v>
      </c>
      <c r="C77" s="37" t="s">
        <v>325</v>
      </c>
      <c r="D77" s="37" t="s">
        <v>326</v>
      </c>
      <c r="E77" s="37" t="s">
        <v>327</v>
      </c>
      <c r="F77" s="37" t="s">
        <v>58</v>
      </c>
      <c r="G77" s="43">
        <v>450</v>
      </c>
      <c r="H77" s="43">
        <v>20</v>
      </c>
      <c r="I77" s="43">
        <f t="shared" si="3"/>
        <v>430</v>
      </c>
      <c r="J77" s="37" t="s">
        <v>118</v>
      </c>
      <c r="K77" s="37" t="s">
        <v>31</v>
      </c>
      <c r="L77" s="37" t="s">
        <v>328</v>
      </c>
      <c r="M77" s="37" t="s">
        <v>91</v>
      </c>
      <c r="N77" s="37" t="s">
        <v>316</v>
      </c>
      <c r="O77" s="37" t="s">
        <v>316</v>
      </c>
      <c r="P77" s="37" t="s">
        <v>317</v>
      </c>
      <c r="Q77" s="37">
        <v>1</v>
      </c>
    </row>
    <row r="78" spans="1:18" s="30" customFormat="1" x14ac:dyDescent="0.25">
      <c r="A78" s="37"/>
      <c r="B78" s="37" t="s">
        <v>26</v>
      </c>
      <c r="C78" s="37" t="s">
        <v>329</v>
      </c>
      <c r="D78" s="37" t="s">
        <v>330</v>
      </c>
      <c r="E78" s="37" t="s">
        <v>331</v>
      </c>
      <c r="F78" s="37" t="s">
        <v>36</v>
      </c>
      <c r="G78" s="43">
        <v>785</v>
      </c>
      <c r="H78" s="43">
        <v>25</v>
      </c>
      <c r="I78" s="43">
        <f t="shared" si="3"/>
        <v>760</v>
      </c>
      <c r="J78" s="37" t="s">
        <v>118</v>
      </c>
      <c r="K78" s="37" t="s">
        <v>31</v>
      </c>
      <c r="L78" s="37" t="s">
        <v>332</v>
      </c>
      <c r="M78" s="37" t="s">
        <v>91</v>
      </c>
      <c r="N78" s="37" t="s">
        <v>316</v>
      </c>
      <c r="O78" s="37" t="s">
        <v>316</v>
      </c>
      <c r="P78" s="37" t="s">
        <v>317</v>
      </c>
      <c r="Q78" s="37">
        <v>1</v>
      </c>
    </row>
    <row r="79" spans="1:18" s="30" customFormat="1" x14ac:dyDescent="0.25">
      <c r="A79" s="37"/>
      <c r="B79" s="37" t="s">
        <v>26</v>
      </c>
      <c r="C79" s="37" t="s">
        <v>333</v>
      </c>
      <c r="D79" s="37" t="s">
        <v>334</v>
      </c>
      <c r="E79" s="37" t="s">
        <v>335</v>
      </c>
      <c r="F79" s="37" t="s">
        <v>36</v>
      </c>
      <c r="G79" s="43">
        <v>745</v>
      </c>
      <c r="H79" s="43">
        <v>25</v>
      </c>
      <c r="I79" s="43">
        <f t="shared" si="3"/>
        <v>720</v>
      </c>
      <c r="J79" s="37" t="s">
        <v>118</v>
      </c>
      <c r="K79" s="37" t="s">
        <v>31</v>
      </c>
      <c r="L79" s="37" t="s">
        <v>332</v>
      </c>
      <c r="M79" s="37" t="s">
        <v>91</v>
      </c>
      <c r="N79" s="37" t="s">
        <v>316</v>
      </c>
      <c r="O79" s="37" t="s">
        <v>316</v>
      </c>
      <c r="P79" s="37" t="s">
        <v>317</v>
      </c>
      <c r="Q79" s="37">
        <v>1</v>
      </c>
    </row>
    <row r="80" spans="1:18" s="30" customFormat="1" x14ac:dyDescent="0.25">
      <c r="A80" s="37"/>
      <c r="B80" s="37" t="s">
        <v>26</v>
      </c>
      <c r="C80" s="37" t="s">
        <v>336</v>
      </c>
      <c r="D80" s="37" t="s">
        <v>337</v>
      </c>
      <c r="E80" s="37" t="s">
        <v>338</v>
      </c>
      <c r="F80" s="37" t="s">
        <v>58</v>
      </c>
      <c r="G80" s="43">
        <v>510</v>
      </c>
      <c r="H80" s="43">
        <v>20</v>
      </c>
      <c r="I80" s="43">
        <f t="shared" si="3"/>
        <v>490</v>
      </c>
      <c r="J80" s="37" t="s">
        <v>118</v>
      </c>
      <c r="K80" s="37" t="s">
        <v>31</v>
      </c>
      <c r="L80" s="37" t="s">
        <v>332</v>
      </c>
      <c r="M80" s="37" t="s">
        <v>91</v>
      </c>
      <c r="N80" s="37" t="s">
        <v>316</v>
      </c>
      <c r="O80" s="37" t="s">
        <v>316</v>
      </c>
      <c r="P80" s="37" t="s">
        <v>317</v>
      </c>
      <c r="Q80" s="37">
        <v>1</v>
      </c>
    </row>
    <row r="81" spans="1:17" s="30" customFormat="1" x14ac:dyDescent="0.25">
      <c r="A81" s="37"/>
      <c r="B81" s="37" t="s">
        <v>26</v>
      </c>
      <c r="C81" s="37" t="s">
        <v>339</v>
      </c>
      <c r="D81" s="37" t="s">
        <v>340</v>
      </c>
      <c r="E81" s="37" t="s">
        <v>341</v>
      </c>
      <c r="F81" s="37" t="s">
        <v>36</v>
      </c>
      <c r="G81" s="43">
        <v>535</v>
      </c>
      <c r="H81" s="43">
        <v>25</v>
      </c>
      <c r="I81" s="43">
        <f t="shared" si="3"/>
        <v>510</v>
      </c>
      <c r="J81" s="37" t="s">
        <v>118</v>
      </c>
      <c r="K81" s="37" t="s">
        <v>31</v>
      </c>
      <c r="L81" s="37" t="s">
        <v>342</v>
      </c>
      <c r="M81" s="37" t="s">
        <v>91</v>
      </c>
      <c r="N81" s="37" t="s">
        <v>316</v>
      </c>
      <c r="O81" s="37" t="s">
        <v>316</v>
      </c>
      <c r="P81" s="37" t="s">
        <v>317</v>
      </c>
      <c r="Q81" s="37">
        <v>1</v>
      </c>
    </row>
    <row r="82" spans="1:17" s="30" customFormat="1" x14ac:dyDescent="0.25">
      <c r="A82" s="37"/>
      <c r="B82" s="37" t="s">
        <v>26</v>
      </c>
      <c r="C82" s="37" t="s">
        <v>343</v>
      </c>
      <c r="D82" s="37" t="s">
        <v>344</v>
      </c>
      <c r="E82" s="37" t="s">
        <v>345</v>
      </c>
      <c r="F82" s="37" t="s">
        <v>128</v>
      </c>
      <c r="G82" s="43">
        <v>490</v>
      </c>
      <c r="H82" s="43">
        <v>30</v>
      </c>
      <c r="I82" s="43">
        <f t="shared" si="3"/>
        <v>460</v>
      </c>
      <c r="J82" s="37" t="s">
        <v>118</v>
      </c>
      <c r="K82" s="37" t="s">
        <v>31</v>
      </c>
      <c r="L82" s="37" t="s">
        <v>332</v>
      </c>
      <c r="M82" s="37" t="s">
        <v>91</v>
      </c>
      <c r="N82" s="37" t="s">
        <v>316</v>
      </c>
      <c r="O82" s="37" t="s">
        <v>316</v>
      </c>
      <c r="P82" s="37" t="s">
        <v>317</v>
      </c>
      <c r="Q82" s="37">
        <v>1</v>
      </c>
    </row>
    <row r="83" spans="1:17" s="30" customFormat="1" x14ac:dyDescent="0.25">
      <c r="A83" s="37"/>
      <c r="B83" s="37" t="s">
        <v>26</v>
      </c>
      <c r="C83" s="37" t="s">
        <v>346</v>
      </c>
      <c r="D83" s="37" t="s">
        <v>347</v>
      </c>
      <c r="E83" s="37" t="s">
        <v>348</v>
      </c>
      <c r="F83" s="37" t="s">
        <v>36</v>
      </c>
      <c r="G83" s="43">
        <v>315</v>
      </c>
      <c r="H83" s="43">
        <v>25</v>
      </c>
      <c r="I83" s="43">
        <f t="shared" si="3"/>
        <v>290</v>
      </c>
      <c r="J83" s="37" t="s">
        <v>118</v>
      </c>
      <c r="K83" s="37" t="s">
        <v>31</v>
      </c>
      <c r="L83" s="37" t="s">
        <v>321</v>
      </c>
      <c r="M83" s="37" t="s">
        <v>91</v>
      </c>
      <c r="N83" s="37" t="s">
        <v>316</v>
      </c>
      <c r="O83" s="37" t="s">
        <v>316</v>
      </c>
      <c r="P83" s="37" t="s">
        <v>317</v>
      </c>
      <c r="Q83" s="37">
        <v>1</v>
      </c>
    </row>
    <row r="84" spans="1:17" s="30" customFormat="1" x14ac:dyDescent="0.25">
      <c r="A84" s="37"/>
      <c r="B84" s="37" t="s">
        <v>26</v>
      </c>
      <c r="C84" s="37" t="s">
        <v>349</v>
      </c>
      <c r="D84" s="37" t="s">
        <v>350</v>
      </c>
      <c r="E84" s="37" t="s">
        <v>351</v>
      </c>
      <c r="F84" s="43">
        <v>2</v>
      </c>
      <c r="G84" s="43">
        <v>490</v>
      </c>
      <c r="H84" s="43">
        <v>30</v>
      </c>
      <c r="I84" s="43">
        <f t="shared" si="3"/>
        <v>460</v>
      </c>
      <c r="J84" s="37" t="s">
        <v>118</v>
      </c>
      <c r="K84" s="37" t="s">
        <v>31</v>
      </c>
      <c r="L84" s="37" t="s">
        <v>315</v>
      </c>
      <c r="M84" s="37" t="s">
        <v>91</v>
      </c>
      <c r="N84" s="37" t="s">
        <v>316</v>
      </c>
      <c r="O84" s="37" t="s">
        <v>316</v>
      </c>
      <c r="P84" s="37" t="s">
        <v>317</v>
      </c>
      <c r="Q84" s="37">
        <v>1</v>
      </c>
    </row>
    <row r="85" spans="1:17" s="30" customFormat="1" x14ac:dyDescent="0.25">
      <c r="A85" s="37"/>
      <c r="B85" s="37" t="s">
        <v>26</v>
      </c>
      <c r="C85" s="37" t="s">
        <v>352</v>
      </c>
      <c r="D85" s="37" t="s">
        <v>353</v>
      </c>
      <c r="E85" s="37" t="s">
        <v>354</v>
      </c>
      <c r="F85" s="37" t="s">
        <v>58</v>
      </c>
      <c r="G85" s="43">
        <v>1258</v>
      </c>
      <c r="H85" s="43">
        <v>20</v>
      </c>
      <c r="I85" s="43">
        <f t="shared" si="3"/>
        <v>1238</v>
      </c>
      <c r="J85" s="37" t="s">
        <v>118</v>
      </c>
      <c r="K85" s="37" t="s">
        <v>31</v>
      </c>
      <c r="L85" s="37" t="s">
        <v>328</v>
      </c>
      <c r="M85" s="37" t="s">
        <v>91</v>
      </c>
      <c r="N85" s="37" t="s">
        <v>316</v>
      </c>
      <c r="O85" s="37" t="s">
        <v>316</v>
      </c>
      <c r="P85" s="37" t="s">
        <v>317</v>
      </c>
      <c r="Q85" s="37">
        <v>1</v>
      </c>
    </row>
    <row r="86" spans="1:17" s="30" customFormat="1" x14ac:dyDescent="0.25">
      <c r="A86" s="37"/>
      <c r="B86" s="37" t="s">
        <v>26</v>
      </c>
      <c r="C86" s="37" t="s">
        <v>355</v>
      </c>
      <c r="D86" s="37" t="s">
        <v>356</v>
      </c>
      <c r="E86" s="37" t="s">
        <v>357</v>
      </c>
      <c r="F86" s="37" t="s">
        <v>58</v>
      </c>
      <c r="G86" s="43">
        <v>380</v>
      </c>
      <c r="H86" s="43">
        <v>20</v>
      </c>
      <c r="I86" s="43">
        <f t="shared" si="3"/>
        <v>360</v>
      </c>
      <c r="J86" s="37" t="s">
        <v>118</v>
      </c>
      <c r="K86" s="37" t="s">
        <v>31</v>
      </c>
      <c r="L86" s="37" t="s">
        <v>342</v>
      </c>
      <c r="M86" s="37" t="s">
        <v>91</v>
      </c>
      <c r="N86" s="37" t="s">
        <v>316</v>
      </c>
      <c r="O86" s="37" t="s">
        <v>316</v>
      </c>
      <c r="P86" s="37" t="s">
        <v>317</v>
      </c>
      <c r="Q86" s="37">
        <v>1</v>
      </c>
    </row>
    <row r="88" spans="1:17" x14ac:dyDescent="0.25">
      <c r="D88" s="26">
        <f>COUNTA(D3:D86)</f>
        <v>75</v>
      </c>
      <c r="G88" s="26">
        <f t="shared" ref="G88:Q88" si="5">SUBTOTAL(9,G3:G86)</f>
        <v>47436</v>
      </c>
      <c r="H88" s="26">
        <f t="shared" si="5"/>
        <v>2245</v>
      </c>
      <c r="I88" s="26">
        <f t="shared" si="5"/>
        <v>45191</v>
      </c>
      <c r="J88" s="26">
        <f t="shared" si="5"/>
        <v>0</v>
      </c>
      <c r="K88" s="26">
        <f t="shared" si="5"/>
        <v>0</v>
      </c>
      <c r="L88" s="26">
        <f t="shared" si="5"/>
        <v>0</v>
      </c>
      <c r="M88" s="26">
        <f t="shared" si="5"/>
        <v>0</v>
      </c>
      <c r="N88" s="26">
        <f t="shared" si="5"/>
        <v>0</v>
      </c>
      <c r="O88" s="26">
        <f t="shared" si="5"/>
        <v>0</v>
      </c>
      <c r="P88" s="26">
        <f t="shared" si="5"/>
        <v>0</v>
      </c>
      <c r="Q88" s="26">
        <f t="shared" si="5"/>
        <v>84</v>
      </c>
    </row>
    <row r="89" spans="1:17" x14ac:dyDescent="0.25">
      <c r="H89" s="24">
        <f>-17*17</f>
        <v>-289</v>
      </c>
    </row>
    <row r="90" spans="1:17" x14ac:dyDescent="0.25">
      <c r="A90" s="26" t="s">
        <v>26</v>
      </c>
      <c r="C90" s="80" t="s">
        <v>78</v>
      </c>
      <c r="D90" s="80"/>
      <c r="E90" s="27" t="s">
        <v>79</v>
      </c>
      <c r="H90" s="24">
        <f>-10*25</f>
        <v>-250</v>
      </c>
      <c r="K90" s="28" t="s">
        <v>41</v>
      </c>
      <c r="L90" s="28" t="s">
        <v>80</v>
      </c>
      <c r="M90" s="28" t="s">
        <v>79</v>
      </c>
      <c r="O90" s="27" t="s">
        <v>81</v>
      </c>
    </row>
    <row r="91" spans="1:17" x14ac:dyDescent="0.25">
      <c r="A91" s="24" t="s">
        <v>102</v>
      </c>
      <c r="B91" s="29" t="s">
        <v>82</v>
      </c>
      <c r="C91" s="81">
        <f>SUMIFS(I$3:I$86,B$3:B$86,A$90,L$3:L$86,A$91)</f>
        <v>38895</v>
      </c>
      <c r="D91" s="81"/>
      <c r="E91" s="29">
        <f>SUMIFS(Q$3:Q$86,B$3:B$86,A$90,L$3:L$86,A$91)</f>
        <v>71</v>
      </c>
      <c r="F91" s="24" t="s">
        <v>83</v>
      </c>
      <c r="H91" s="24">
        <f>-30*5</f>
        <v>-150</v>
      </c>
      <c r="K91" s="24" t="s">
        <v>84</v>
      </c>
      <c r="L91" s="24">
        <f>SUMIFS(G$3:G$86,J$3:J$86,K$90)</f>
        <v>14009</v>
      </c>
      <c r="M91" s="24">
        <f>SUMIFS(Q$3:Q$86,J$3:J$86,K$90)-INT(COUNTIFS(J$3:J$86,K$90,M$3:M$86,"*gộp*")/2)</f>
        <v>21</v>
      </c>
      <c r="O91" t="s">
        <v>592</v>
      </c>
      <c r="P91">
        <f>L112</f>
        <v>15359</v>
      </c>
    </row>
    <row r="92" spans="1:17" x14ac:dyDescent="0.25">
      <c r="B92" s="30" t="s">
        <v>86</v>
      </c>
      <c r="C92" s="82">
        <v>0</v>
      </c>
      <c r="D92" s="82"/>
      <c r="K92" s="24" t="s">
        <v>87</v>
      </c>
      <c r="L92" s="24">
        <f>-SUMIFS(H$3:H$86,J$3:J$86,K$90)+M92*5</f>
        <v>-425</v>
      </c>
      <c r="M92" s="24">
        <f>SUMIFS(Q$3:Q$86,J$3:J$86,K$90)-INT(COUNTIFS(J$3:J$86,K$90,M$3:M$86,"*gộp*")/2)</f>
        <v>21</v>
      </c>
      <c r="O92" t="s">
        <v>31</v>
      </c>
      <c r="P92">
        <f>L104</f>
        <v>4529</v>
      </c>
    </row>
    <row r="93" spans="1:17" x14ac:dyDescent="0.25">
      <c r="B93" s="30" t="s">
        <v>88</v>
      </c>
      <c r="C93" s="82">
        <f>-SUMIFS(I$3:I$86,B$3:B$86,A$90,P$3:P$86,"xx",N$3:N$86,"x")</f>
        <v>-6296</v>
      </c>
      <c r="D93" s="82"/>
      <c r="E93" s="30">
        <f>SUMIFS(Q$3:Q$86,B$3:B$86,A$90,P$3:P$86,"xx",N$3:N$86,"x")</f>
        <v>13</v>
      </c>
      <c r="K93" s="24" t="s">
        <v>89</v>
      </c>
      <c r="L93" s="24">
        <f>-M93*2</f>
        <v>0</v>
      </c>
      <c r="M93" s="24">
        <f>COUNTIFS(K$3:K$86,K$90,L$3:L$86,A$91)-(COUNTIFS(K$3:K$86,K$90,M$3:M$86,"*gộp*")/2)-COUNTIFS(K$3:K$86,K$90,M$3:M$86,"*đơn trả*")-COUNTIFS(K$3:K$86,K$90,M$3:M$86,"*hàng tỉnh*")</f>
        <v>0</v>
      </c>
      <c r="O93" t="s">
        <v>41</v>
      </c>
      <c r="P93">
        <f>L96</f>
        <v>12991</v>
      </c>
    </row>
    <row r="94" spans="1:17" x14ac:dyDescent="0.25">
      <c r="B94" s="27" t="s">
        <v>90</v>
      </c>
      <c r="C94" s="80">
        <f>SUBTOTAL(9,C91:C93)</f>
        <v>32599</v>
      </c>
      <c r="D94" s="80"/>
      <c r="E94" s="24">
        <f>E91</f>
        <v>71</v>
      </c>
      <c r="K94" s="31" t="s">
        <v>91</v>
      </c>
      <c r="L94" s="48">
        <v>-593</v>
      </c>
      <c r="M94" s="48" t="s">
        <v>358</v>
      </c>
      <c r="O94" t="s">
        <v>92</v>
      </c>
      <c r="P94">
        <f>-C98</f>
        <v>-32599</v>
      </c>
    </row>
    <row r="95" spans="1:17" x14ac:dyDescent="0.25">
      <c r="B95" s="30" t="s">
        <v>93</v>
      </c>
      <c r="C95" s="78"/>
      <c r="D95" s="78"/>
      <c r="K95" s="30" t="s">
        <v>94</v>
      </c>
      <c r="O95" s="27" t="s">
        <v>95</v>
      </c>
      <c r="P95" s="27">
        <f>SUBTOTAL(9,P91:P94)</f>
        <v>280</v>
      </c>
    </row>
    <row r="96" spans="1:17" x14ac:dyDescent="0.25">
      <c r="B96" s="32" t="s">
        <v>96</v>
      </c>
      <c r="C96" s="78"/>
      <c r="D96" s="78"/>
      <c r="L96" s="33">
        <f>SUBTOTAL(9,L91:L95)</f>
        <v>12991</v>
      </c>
      <c r="M96" s="33">
        <f>M91</f>
        <v>21</v>
      </c>
    </row>
    <row r="98" spans="2:13" x14ac:dyDescent="0.25">
      <c r="B98" s="26" t="s">
        <v>97</v>
      </c>
      <c r="C98" s="79">
        <f>C94+C95+C96</f>
        <v>32599</v>
      </c>
      <c r="D98" s="79"/>
      <c r="E98" s="26" t="s">
        <v>98</v>
      </c>
      <c r="K98" s="28" t="s">
        <v>31</v>
      </c>
      <c r="L98" s="28" t="s">
        <v>80</v>
      </c>
      <c r="M98" s="28" t="s">
        <v>79</v>
      </c>
    </row>
    <row r="99" spans="2:13" x14ac:dyDescent="0.25">
      <c r="K99" s="24" t="s">
        <v>84</v>
      </c>
      <c r="L99" s="24">
        <f>SUMIFS(G$3:G$86,J$3:J$86,K$98)</f>
        <v>10768</v>
      </c>
      <c r="M99" s="24">
        <f>SUMIFS(Q$3:Q$86,J$3:J$86,K$98)-INT(COUNTIFS(J$3:J$86,K$98,M$3:M$86,"*gộp*")/2)</f>
        <v>18</v>
      </c>
    </row>
    <row r="100" spans="2:13" x14ac:dyDescent="0.25">
      <c r="K100" s="24" t="s">
        <v>87</v>
      </c>
      <c r="L100" s="24">
        <f>-SUMIFS(H$3:H$86,J$3:J$86,K$98)+M100*5</f>
        <v>-355</v>
      </c>
      <c r="M100" s="24">
        <f>SUMIFS(Q$3:Q$86,J$3:J$86,K$98)-INT(COUNTIFS(J$3:J$86,K$98,M$3:M$86,"*gộp*")/2)</f>
        <v>18</v>
      </c>
    </row>
    <row r="101" spans="2:13" x14ac:dyDescent="0.25">
      <c r="K101" s="24" t="s">
        <v>89</v>
      </c>
      <c r="L101" s="24">
        <f>-M101*2</f>
        <v>-116</v>
      </c>
      <c r="M101" s="24">
        <f>COUNTIFS(K$3:K$86,K$98,L$3:L$86,A$91)-(COUNTIFS(K$3:K$86,K$98,M$3:M$86,"*gộp*")/2)-COUNTIFS(K$3:K$86,K$98,M$3:M$86,"*đơn trả*")-COUNTIFS(K$3:K$86,K$98,M$3:M$86,"*hàng tỉnh*")</f>
        <v>58</v>
      </c>
    </row>
    <row r="102" spans="2:13" x14ac:dyDescent="0.25">
      <c r="K102" s="31" t="s">
        <v>91</v>
      </c>
      <c r="L102" s="48">
        <v>-5768</v>
      </c>
      <c r="M102" s="48" t="s">
        <v>359</v>
      </c>
    </row>
    <row r="103" spans="2:13" x14ac:dyDescent="0.25">
      <c r="K103" s="30" t="s">
        <v>94</v>
      </c>
    </row>
    <row r="104" spans="2:13" x14ac:dyDescent="0.25">
      <c r="L104" s="33">
        <f>SUBTOTAL(9,L99:L103)</f>
        <v>4529</v>
      </c>
      <c r="M104" s="33">
        <f>M99</f>
        <v>18</v>
      </c>
    </row>
    <row r="106" spans="2:13" x14ac:dyDescent="0.25">
      <c r="K106" s="28" t="s">
        <v>591</v>
      </c>
      <c r="L106" s="28" t="s">
        <v>80</v>
      </c>
      <c r="M106" s="28" t="s">
        <v>79</v>
      </c>
    </row>
    <row r="107" spans="2:13" x14ac:dyDescent="0.25">
      <c r="K107" s="24" t="s">
        <v>84</v>
      </c>
      <c r="L107" s="24">
        <f>SUMIFS(G$3:G$86,J$3:J$86,K$106)</f>
        <v>16048</v>
      </c>
      <c r="M107" s="24">
        <f>SUMIFS(Q$3:Q$86,J$3:J$86,K$106)-INT(COUNTIFS(J$3:J$86,K$106,M$3:M$86,"*gộp*")/2)</f>
        <v>32</v>
      </c>
    </row>
    <row r="108" spans="2:13" x14ac:dyDescent="0.25">
      <c r="K108" s="24" t="s">
        <v>87</v>
      </c>
      <c r="L108" s="24">
        <f>SUM(H89:H91)</f>
        <v>-689</v>
      </c>
      <c r="M108" s="24">
        <f>SUMIFS(Q$3:Q$86,J$3:J$86,K$106)-INT(COUNTIFS(J$3:J$86,K$106,M$3:M$86,"*gộp*")/2)</f>
        <v>32</v>
      </c>
    </row>
    <row r="109" spans="2:13" x14ac:dyDescent="0.25">
      <c r="K109" s="24" t="s">
        <v>89</v>
      </c>
    </row>
    <row r="110" spans="2:13" x14ac:dyDescent="0.25">
      <c r="K110" s="31" t="s">
        <v>91</v>
      </c>
      <c r="L110" s="31"/>
      <c r="M110" s="31"/>
    </row>
    <row r="111" spans="2:13" x14ac:dyDescent="0.25">
      <c r="K111" s="30" t="s">
        <v>94</v>
      </c>
    </row>
    <row r="112" spans="2:13" x14ac:dyDescent="0.25">
      <c r="L112" s="33">
        <f>SUBTOTAL(9,L107:L111)</f>
        <v>15359</v>
      </c>
      <c r="M112" s="33">
        <f>M107</f>
        <v>32</v>
      </c>
    </row>
  </sheetData>
  <autoFilter ref="A2:P86" xr:uid="{00000000-0009-0000-0000-000000000000}">
    <sortState xmlns:xlrd2="http://schemas.microsoft.com/office/spreadsheetml/2017/richdata2" ref="A3:P86">
      <sortCondition ref="J2:J86"/>
    </sortState>
  </autoFilter>
  <mergeCells count="8">
    <mergeCell ref="C96:D96"/>
    <mergeCell ref="C98:D98"/>
    <mergeCell ref="C90:D90"/>
    <mergeCell ref="C91:D91"/>
    <mergeCell ref="C92:D92"/>
    <mergeCell ref="C93:D93"/>
    <mergeCell ref="C94:D94"/>
    <mergeCell ref="C95:D95"/>
  </mergeCell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FA17-E52A-434A-A718-5E25B4AAFB33}">
  <dimension ref="A1:R108"/>
  <sheetViews>
    <sheetView workbookViewId="0">
      <selection activeCell="E19" sqref="E19"/>
    </sheetView>
  </sheetViews>
  <sheetFormatPr defaultRowHeight="15" x14ac:dyDescent="0.25"/>
  <cols>
    <col min="1" max="1" width="12.7109375" style="24" customWidth="1"/>
    <col min="2" max="2" width="8.5703125" style="24" customWidth="1"/>
    <col min="3" max="3" width="42" style="24" customWidth="1"/>
    <col min="4" max="4" width="9.85546875" style="24" customWidth="1"/>
    <col min="5" max="5" width="72.42578125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0.42578125" style="24" customWidth="1"/>
    <col min="13" max="13" width="16.140625" style="24" customWidth="1"/>
    <col min="14" max="14" width="9.7109375" style="24" customWidth="1"/>
    <col min="15" max="15" width="10.42578125" style="24" customWidth="1"/>
    <col min="16" max="16" width="7" style="24" bestFit="1" customWidth="1"/>
    <col min="17" max="16384" width="9.140625" style="24"/>
  </cols>
  <sheetData>
    <row r="1" spans="1:18" x14ac:dyDescent="0.25">
      <c r="B1" s="24" t="s">
        <v>1165</v>
      </c>
      <c r="C1" s="24" t="s">
        <v>1166</v>
      </c>
      <c r="I1" s="24">
        <f>G1-H1</f>
        <v>0</v>
      </c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/>
      <c r="B3" s="35" t="s">
        <v>26</v>
      </c>
      <c r="C3" s="35" t="s">
        <v>367</v>
      </c>
      <c r="D3" s="35" t="s">
        <v>368</v>
      </c>
      <c r="E3" s="35" t="s">
        <v>369</v>
      </c>
      <c r="F3" s="35" t="s">
        <v>77</v>
      </c>
      <c r="G3" s="36">
        <v>450</v>
      </c>
      <c r="H3" s="36">
        <v>30</v>
      </c>
      <c r="I3" s="36">
        <f t="shared" ref="I3:I34" si="0">G3-H3</f>
        <v>420</v>
      </c>
      <c r="J3" s="35" t="s">
        <v>370</v>
      </c>
      <c r="K3" s="35" t="s">
        <v>31</v>
      </c>
      <c r="L3" s="35" t="s">
        <v>363</v>
      </c>
      <c r="M3" s="35"/>
      <c r="N3" s="35"/>
      <c r="O3" s="35"/>
      <c r="P3" s="35"/>
      <c r="Q3" s="35">
        <v>1</v>
      </c>
    </row>
    <row r="4" spans="1:18" x14ac:dyDescent="0.25">
      <c r="A4" s="35"/>
      <c r="B4" s="35" t="s">
        <v>26</v>
      </c>
      <c r="C4" s="35" t="s">
        <v>371</v>
      </c>
      <c r="D4" s="35" t="s">
        <v>372</v>
      </c>
      <c r="E4" s="35" t="s">
        <v>373</v>
      </c>
      <c r="F4" s="36">
        <v>7</v>
      </c>
      <c r="G4" s="36">
        <v>2075</v>
      </c>
      <c r="H4" s="36">
        <v>35</v>
      </c>
      <c r="I4" s="36">
        <f t="shared" si="0"/>
        <v>2040</v>
      </c>
      <c r="J4" s="35" t="s">
        <v>370</v>
      </c>
      <c r="K4" s="35" t="s">
        <v>31</v>
      </c>
      <c r="L4" s="35" t="s">
        <v>363</v>
      </c>
      <c r="M4" s="35"/>
      <c r="N4" s="35"/>
      <c r="O4" s="35"/>
      <c r="P4" s="35"/>
      <c r="Q4" s="35">
        <v>1</v>
      </c>
    </row>
    <row r="5" spans="1:18" x14ac:dyDescent="0.25">
      <c r="A5" s="35"/>
      <c r="B5" s="35" t="s">
        <v>26</v>
      </c>
      <c r="C5" s="35" t="s">
        <v>379</v>
      </c>
      <c r="D5" s="35" t="s">
        <v>380</v>
      </c>
      <c r="E5" s="35" t="s">
        <v>381</v>
      </c>
      <c r="F5" s="35" t="s">
        <v>117</v>
      </c>
      <c r="G5" s="36">
        <v>2100</v>
      </c>
      <c r="H5" s="36">
        <v>40</v>
      </c>
      <c r="I5" s="36">
        <f t="shared" si="0"/>
        <v>2060</v>
      </c>
      <c r="J5" s="35" t="s">
        <v>370</v>
      </c>
      <c r="K5" s="35" t="s">
        <v>31</v>
      </c>
      <c r="L5" s="35" t="s">
        <v>363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382</v>
      </c>
      <c r="D6" s="35" t="s">
        <v>383</v>
      </c>
      <c r="E6" s="35" t="s">
        <v>384</v>
      </c>
      <c r="F6" s="36">
        <v>8</v>
      </c>
      <c r="G6" s="36">
        <v>920</v>
      </c>
      <c r="H6" s="36">
        <v>30</v>
      </c>
      <c r="I6" s="36">
        <f t="shared" si="0"/>
        <v>890</v>
      </c>
      <c r="J6" s="35" t="s">
        <v>370</v>
      </c>
      <c r="K6" s="35" t="s">
        <v>31</v>
      </c>
      <c r="L6" s="35" t="s">
        <v>363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388</v>
      </c>
      <c r="D7" s="35" t="s">
        <v>389</v>
      </c>
      <c r="E7" s="35" t="s">
        <v>390</v>
      </c>
      <c r="F7" s="35" t="s">
        <v>45</v>
      </c>
      <c r="G7" s="36">
        <v>915</v>
      </c>
      <c r="H7" s="36">
        <v>25</v>
      </c>
      <c r="I7" s="36">
        <f t="shared" si="0"/>
        <v>890</v>
      </c>
      <c r="J7" s="35" t="s">
        <v>370</v>
      </c>
      <c r="K7" s="35" t="s">
        <v>31</v>
      </c>
      <c r="L7" s="35" t="s">
        <v>363</v>
      </c>
      <c r="M7" s="35"/>
      <c r="N7" s="35"/>
      <c r="O7" s="35"/>
      <c r="P7" s="35"/>
      <c r="Q7" s="35">
        <v>1</v>
      </c>
    </row>
    <row r="8" spans="1:18" x14ac:dyDescent="0.25">
      <c r="A8" s="35"/>
      <c r="B8" s="35" t="s">
        <v>26</v>
      </c>
      <c r="C8" s="35" t="s">
        <v>410</v>
      </c>
      <c r="D8" s="35" t="s">
        <v>411</v>
      </c>
      <c r="E8" s="35" t="s">
        <v>412</v>
      </c>
      <c r="F8" s="36">
        <v>8</v>
      </c>
      <c r="G8" s="36">
        <v>440</v>
      </c>
      <c r="H8" s="36">
        <v>30</v>
      </c>
      <c r="I8" s="36">
        <f t="shared" si="0"/>
        <v>410</v>
      </c>
      <c r="J8" s="35" t="s">
        <v>370</v>
      </c>
      <c r="K8" s="35" t="s">
        <v>31</v>
      </c>
      <c r="L8" s="35" t="s">
        <v>363</v>
      </c>
      <c r="M8" s="35"/>
      <c r="N8" s="35"/>
      <c r="O8" s="35"/>
      <c r="P8" s="35"/>
      <c r="Q8" s="35">
        <v>1</v>
      </c>
    </row>
    <row r="9" spans="1:18" x14ac:dyDescent="0.25">
      <c r="A9" s="35"/>
      <c r="B9" s="35" t="s">
        <v>26</v>
      </c>
      <c r="C9" s="35" t="s">
        <v>413</v>
      </c>
      <c r="D9" s="35"/>
      <c r="E9" s="35" t="s">
        <v>414</v>
      </c>
      <c r="F9" s="35" t="s">
        <v>45</v>
      </c>
      <c r="G9" s="36">
        <v>0</v>
      </c>
      <c r="H9" s="36">
        <v>25</v>
      </c>
      <c r="I9" s="36">
        <f t="shared" si="0"/>
        <v>-25</v>
      </c>
      <c r="J9" s="35" t="s">
        <v>370</v>
      </c>
      <c r="K9" s="35" t="s">
        <v>31</v>
      </c>
      <c r="L9" s="35" t="s">
        <v>363</v>
      </c>
      <c r="M9" s="35"/>
      <c r="N9" s="35"/>
      <c r="O9" s="35"/>
      <c r="P9" s="35"/>
      <c r="Q9" s="35">
        <v>1</v>
      </c>
    </row>
    <row r="10" spans="1:18" x14ac:dyDescent="0.25">
      <c r="A10" s="35"/>
      <c r="B10" s="35" t="s">
        <v>26</v>
      </c>
      <c r="C10" s="35" t="s">
        <v>415</v>
      </c>
      <c r="D10" s="35" t="s">
        <v>416</v>
      </c>
      <c r="E10" s="35" t="s">
        <v>417</v>
      </c>
      <c r="F10" s="35" t="s">
        <v>77</v>
      </c>
      <c r="G10" s="36">
        <v>900</v>
      </c>
      <c r="H10" s="36">
        <v>30</v>
      </c>
      <c r="I10" s="36">
        <f t="shared" si="0"/>
        <v>870</v>
      </c>
      <c r="J10" s="35" t="s">
        <v>370</v>
      </c>
      <c r="K10" s="35" t="s">
        <v>31</v>
      </c>
      <c r="L10" s="35" t="s">
        <v>363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424</v>
      </c>
      <c r="D11" s="35" t="s">
        <v>425</v>
      </c>
      <c r="E11" s="35" t="s">
        <v>426</v>
      </c>
      <c r="F11" s="36">
        <v>11</v>
      </c>
      <c r="G11" s="36">
        <v>1815</v>
      </c>
      <c r="H11" s="36">
        <v>25</v>
      </c>
      <c r="I11" s="36">
        <f t="shared" si="0"/>
        <v>1790</v>
      </c>
      <c r="J11" s="35" t="s">
        <v>370</v>
      </c>
      <c r="K11" s="35" t="s">
        <v>31</v>
      </c>
      <c r="L11" s="35" t="s">
        <v>363</v>
      </c>
      <c r="M11" s="35"/>
      <c r="N11" s="35"/>
      <c r="O11" s="35"/>
      <c r="P11" s="35"/>
      <c r="Q11" s="35">
        <v>1</v>
      </c>
    </row>
    <row r="12" spans="1:18" x14ac:dyDescent="0.25">
      <c r="A12" s="35"/>
      <c r="B12" s="35" t="s">
        <v>26</v>
      </c>
      <c r="C12" s="35" t="s">
        <v>430</v>
      </c>
      <c r="D12" s="35" t="s">
        <v>431</v>
      </c>
      <c r="E12" s="35" t="s">
        <v>432</v>
      </c>
      <c r="F12" s="35" t="s">
        <v>45</v>
      </c>
      <c r="G12" s="36">
        <v>15085</v>
      </c>
      <c r="H12" s="36">
        <v>80</v>
      </c>
      <c r="I12" s="36">
        <f t="shared" si="0"/>
        <v>15005</v>
      </c>
      <c r="J12" s="35" t="s">
        <v>370</v>
      </c>
      <c r="K12" s="35" t="s">
        <v>31</v>
      </c>
      <c r="L12" s="35" t="s">
        <v>363</v>
      </c>
      <c r="M12" s="35"/>
      <c r="N12" s="35"/>
      <c r="O12" s="35"/>
      <c r="P12" s="35"/>
      <c r="Q12" s="35">
        <v>1</v>
      </c>
    </row>
    <row r="13" spans="1:18" s="41" customFormat="1" x14ac:dyDescent="0.25">
      <c r="A13" s="39"/>
      <c r="B13" s="39" t="s">
        <v>26</v>
      </c>
      <c r="C13" s="39" t="s">
        <v>436</v>
      </c>
      <c r="D13" s="39" t="s">
        <v>437</v>
      </c>
      <c r="E13" s="39" t="s">
        <v>438</v>
      </c>
      <c r="F13" s="40">
        <v>9</v>
      </c>
      <c r="G13" s="40">
        <v>0</v>
      </c>
      <c r="H13" s="40">
        <v>30</v>
      </c>
      <c r="I13" s="40">
        <f t="shared" si="0"/>
        <v>-30</v>
      </c>
      <c r="J13" s="39" t="s">
        <v>370</v>
      </c>
      <c r="K13" s="39" t="s">
        <v>31</v>
      </c>
      <c r="L13" s="39" t="s">
        <v>363</v>
      </c>
      <c r="M13" s="39" t="s">
        <v>37</v>
      </c>
      <c r="N13" s="39"/>
      <c r="O13" s="39"/>
      <c r="P13" s="39"/>
      <c r="Q13" s="39">
        <v>1</v>
      </c>
      <c r="R13" s="42">
        <f>H13</f>
        <v>30</v>
      </c>
    </row>
    <row r="14" spans="1:18" x14ac:dyDescent="0.25">
      <c r="A14" s="35"/>
      <c r="B14" s="35" t="s">
        <v>26</v>
      </c>
      <c r="C14" s="35" t="s">
        <v>448</v>
      </c>
      <c r="D14" s="35" t="s">
        <v>449</v>
      </c>
      <c r="E14" s="35" t="s">
        <v>450</v>
      </c>
      <c r="F14" s="36">
        <v>7</v>
      </c>
      <c r="G14" s="36">
        <v>2165</v>
      </c>
      <c r="H14" s="36">
        <v>35</v>
      </c>
      <c r="I14" s="36">
        <f t="shared" si="0"/>
        <v>2130</v>
      </c>
      <c r="J14" s="35" t="s">
        <v>370</v>
      </c>
      <c r="K14" s="35" t="s">
        <v>31</v>
      </c>
      <c r="L14" s="35" t="s">
        <v>363</v>
      </c>
      <c r="M14" s="35"/>
      <c r="N14" s="35"/>
      <c r="O14" s="35"/>
      <c r="P14" s="35"/>
      <c r="Q14" s="35">
        <v>1</v>
      </c>
    </row>
    <row r="15" spans="1:18" s="41" customFormat="1" x14ac:dyDescent="0.25">
      <c r="A15" s="39"/>
      <c r="B15" s="39" t="s">
        <v>26</v>
      </c>
      <c r="C15" s="39" t="s">
        <v>461</v>
      </c>
      <c r="D15" s="39"/>
      <c r="E15" s="39" t="s">
        <v>462</v>
      </c>
      <c r="F15" s="40">
        <v>7</v>
      </c>
      <c r="G15" s="40">
        <v>0</v>
      </c>
      <c r="H15" s="40">
        <v>30</v>
      </c>
      <c r="I15" s="40">
        <f t="shared" si="0"/>
        <v>-30</v>
      </c>
      <c r="J15" s="39" t="s">
        <v>370</v>
      </c>
      <c r="K15" s="39" t="s">
        <v>31</v>
      </c>
      <c r="L15" s="39" t="s">
        <v>363</v>
      </c>
      <c r="M15" s="39" t="s">
        <v>37</v>
      </c>
      <c r="N15" s="39"/>
      <c r="O15" s="39"/>
      <c r="P15" s="39"/>
      <c r="Q15" s="39">
        <v>1</v>
      </c>
      <c r="R15" s="42">
        <f>H15</f>
        <v>30</v>
      </c>
    </row>
    <row r="16" spans="1:18" x14ac:dyDescent="0.25">
      <c r="A16" s="35"/>
      <c r="B16" s="35" t="s">
        <v>26</v>
      </c>
      <c r="C16" s="35" t="s">
        <v>463</v>
      </c>
      <c r="D16" s="35" t="s">
        <v>464</v>
      </c>
      <c r="E16" s="35" t="s">
        <v>465</v>
      </c>
      <c r="F16" s="35" t="s">
        <v>77</v>
      </c>
      <c r="G16" s="36">
        <v>1180</v>
      </c>
      <c r="H16" s="36">
        <v>30</v>
      </c>
      <c r="I16" s="36">
        <f t="shared" si="0"/>
        <v>1150</v>
      </c>
      <c r="J16" s="35" t="s">
        <v>370</v>
      </c>
      <c r="K16" s="35" t="s">
        <v>31</v>
      </c>
      <c r="L16" s="35" t="s">
        <v>363</v>
      </c>
      <c r="M16" s="35"/>
      <c r="N16" s="35"/>
      <c r="O16" s="35"/>
      <c r="P16" s="35"/>
      <c r="Q16" s="35">
        <v>1</v>
      </c>
    </row>
    <row r="17" spans="1:18" x14ac:dyDescent="0.25">
      <c r="A17" s="35"/>
      <c r="B17" s="35" t="s">
        <v>26</v>
      </c>
      <c r="C17" s="35" t="s">
        <v>472</v>
      </c>
      <c r="D17" s="35" t="s">
        <v>473</v>
      </c>
      <c r="E17" s="35" t="s">
        <v>474</v>
      </c>
      <c r="F17" s="35" t="s">
        <v>77</v>
      </c>
      <c r="G17" s="36">
        <v>470</v>
      </c>
      <c r="H17" s="36">
        <v>30</v>
      </c>
      <c r="I17" s="36">
        <f t="shared" si="0"/>
        <v>440</v>
      </c>
      <c r="J17" s="35" t="s">
        <v>370</v>
      </c>
      <c r="K17" s="35" t="s">
        <v>31</v>
      </c>
      <c r="L17" s="35" t="s">
        <v>363</v>
      </c>
      <c r="M17" s="35"/>
      <c r="N17" s="35"/>
      <c r="O17" s="35"/>
      <c r="P17" s="35"/>
      <c r="Q17" s="35">
        <v>1</v>
      </c>
    </row>
    <row r="18" spans="1:18" s="41" customFormat="1" x14ac:dyDescent="0.25">
      <c r="A18" s="39"/>
      <c r="B18" s="39" t="s">
        <v>26</v>
      </c>
      <c r="C18" s="39" t="s">
        <v>111</v>
      </c>
      <c r="D18" s="39" t="s">
        <v>487</v>
      </c>
      <c r="E18" s="39" t="s">
        <v>488</v>
      </c>
      <c r="F18" s="40">
        <v>8</v>
      </c>
      <c r="G18" s="40">
        <v>0</v>
      </c>
      <c r="H18" s="40">
        <v>30</v>
      </c>
      <c r="I18" s="40">
        <f t="shared" si="0"/>
        <v>-30</v>
      </c>
      <c r="J18" s="39" t="s">
        <v>370</v>
      </c>
      <c r="K18" s="39" t="s">
        <v>31</v>
      </c>
      <c r="L18" s="39" t="s">
        <v>363</v>
      </c>
      <c r="M18" s="39" t="s">
        <v>37</v>
      </c>
      <c r="N18" s="39"/>
      <c r="O18" s="39"/>
      <c r="P18" s="39"/>
      <c r="Q18" s="39">
        <v>1</v>
      </c>
      <c r="R18" s="42">
        <f>H18</f>
        <v>30</v>
      </c>
    </row>
    <row r="19" spans="1:18" x14ac:dyDescent="0.25">
      <c r="A19" s="35"/>
      <c r="B19" s="35" t="s">
        <v>26</v>
      </c>
      <c r="C19" s="35" t="s">
        <v>489</v>
      </c>
      <c r="D19" s="35" t="s">
        <v>490</v>
      </c>
      <c r="E19" s="35" t="s">
        <v>491</v>
      </c>
      <c r="F19" s="36">
        <v>7</v>
      </c>
      <c r="G19" s="36">
        <v>0</v>
      </c>
      <c r="H19" s="36">
        <v>30</v>
      </c>
      <c r="I19" s="36">
        <f t="shared" si="0"/>
        <v>-30</v>
      </c>
      <c r="J19" s="35" t="s">
        <v>370</v>
      </c>
      <c r="K19" s="35" t="s">
        <v>31</v>
      </c>
      <c r="L19" s="35" t="s">
        <v>363</v>
      </c>
      <c r="M19" s="35"/>
      <c r="N19" s="35"/>
      <c r="O19" s="35"/>
      <c r="P19" s="35"/>
      <c r="Q19" s="35">
        <v>1</v>
      </c>
      <c r="R19" s="25">
        <f>H19</f>
        <v>30</v>
      </c>
    </row>
    <row r="20" spans="1:18" x14ac:dyDescent="0.25">
      <c r="A20" s="35"/>
      <c r="B20" s="35" t="s">
        <v>26</v>
      </c>
      <c r="C20" s="35" t="s">
        <v>492</v>
      </c>
      <c r="D20" s="35" t="s">
        <v>493</v>
      </c>
      <c r="E20" s="35" t="s">
        <v>494</v>
      </c>
      <c r="F20" s="36">
        <v>8</v>
      </c>
      <c r="G20" s="36">
        <v>1380</v>
      </c>
      <c r="H20" s="36">
        <v>30</v>
      </c>
      <c r="I20" s="36">
        <f t="shared" si="0"/>
        <v>1350</v>
      </c>
      <c r="J20" s="35" t="s">
        <v>370</v>
      </c>
      <c r="K20" s="35" t="s">
        <v>31</v>
      </c>
      <c r="L20" s="35" t="s">
        <v>363</v>
      </c>
      <c r="M20" s="35"/>
      <c r="N20" s="35"/>
      <c r="O20" s="35"/>
      <c r="P20" s="35"/>
      <c r="Q20" s="35">
        <v>1</v>
      </c>
    </row>
    <row r="21" spans="1:18" x14ac:dyDescent="0.25">
      <c r="A21" s="35"/>
      <c r="B21" s="35" t="s">
        <v>26</v>
      </c>
      <c r="C21" s="35" t="s">
        <v>495</v>
      </c>
      <c r="D21" s="35" t="s">
        <v>496</v>
      </c>
      <c r="E21" s="35" t="s">
        <v>497</v>
      </c>
      <c r="F21" s="36">
        <v>8</v>
      </c>
      <c r="G21" s="36">
        <v>820</v>
      </c>
      <c r="H21" s="36">
        <v>30</v>
      </c>
      <c r="I21" s="36">
        <f t="shared" si="0"/>
        <v>790</v>
      </c>
      <c r="J21" s="35" t="s">
        <v>370</v>
      </c>
      <c r="K21" s="35" t="s">
        <v>31</v>
      </c>
      <c r="L21" s="35" t="s">
        <v>363</v>
      </c>
      <c r="M21" s="35"/>
      <c r="N21" s="35"/>
      <c r="O21" s="35"/>
      <c r="P21" s="35"/>
      <c r="Q21" s="35">
        <v>1</v>
      </c>
    </row>
    <row r="22" spans="1:18" x14ac:dyDescent="0.25">
      <c r="A22" s="35"/>
      <c r="B22" s="35" t="s">
        <v>26</v>
      </c>
      <c r="C22" s="35" t="s">
        <v>501</v>
      </c>
      <c r="D22" s="35" t="s">
        <v>502</v>
      </c>
      <c r="E22" s="35" t="s">
        <v>503</v>
      </c>
      <c r="F22" s="36">
        <v>9</v>
      </c>
      <c r="G22" s="36">
        <v>420</v>
      </c>
      <c r="H22" s="36">
        <v>30</v>
      </c>
      <c r="I22" s="36">
        <f t="shared" si="0"/>
        <v>390</v>
      </c>
      <c r="J22" s="35" t="s">
        <v>370</v>
      </c>
      <c r="K22" s="35" t="s">
        <v>31</v>
      </c>
      <c r="L22" s="35" t="s">
        <v>363</v>
      </c>
      <c r="M22" s="35"/>
      <c r="N22" s="35"/>
      <c r="O22" s="35"/>
      <c r="P22" s="35"/>
      <c r="Q22" s="35">
        <v>1</v>
      </c>
    </row>
    <row r="23" spans="1:18" x14ac:dyDescent="0.25">
      <c r="A23" s="35"/>
      <c r="B23" s="35" t="s">
        <v>26</v>
      </c>
      <c r="C23" s="35" t="s">
        <v>513</v>
      </c>
      <c r="D23" s="35" t="s">
        <v>514</v>
      </c>
      <c r="E23" s="35" t="s">
        <v>515</v>
      </c>
      <c r="F23" s="36">
        <v>12</v>
      </c>
      <c r="G23" s="36">
        <v>580</v>
      </c>
      <c r="H23" s="36">
        <v>30</v>
      </c>
      <c r="I23" s="36">
        <f t="shared" si="0"/>
        <v>550</v>
      </c>
      <c r="J23" s="35" t="s">
        <v>370</v>
      </c>
      <c r="K23" s="35" t="s">
        <v>31</v>
      </c>
      <c r="L23" s="35" t="s">
        <v>363</v>
      </c>
      <c r="M23" s="35"/>
      <c r="N23" s="35"/>
      <c r="O23" s="35"/>
      <c r="P23" s="35"/>
      <c r="Q23" s="35">
        <v>1</v>
      </c>
    </row>
    <row r="24" spans="1:18" x14ac:dyDescent="0.25">
      <c r="A24" s="35"/>
      <c r="B24" s="35" t="s">
        <v>26</v>
      </c>
      <c r="C24" s="35" t="s">
        <v>516</v>
      </c>
      <c r="D24" s="35" t="s">
        <v>517</v>
      </c>
      <c r="E24" s="35" t="s">
        <v>518</v>
      </c>
      <c r="F24" s="36">
        <v>7</v>
      </c>
      <c r="G24" s="36">
        <v>200</v>
      </c>
      <c r="H24" s="36">
        <v>30</v>
      </c>
      <c r="I24" s="36">
        <f t="shared" si="0"/>
        <v>170</v>
      </c>
      <c r="J24" s="35" t="s">
        <v>370</v>
      </c>
      <c r="K24" s="35" t="s">
        <v>31</v>
      </c>
      <c r="L24" s="35" t="s">
        <v>363</v>
      </c>
      <c r="M24" s="35"/>
      <c r="N24" s="35"/>
      <c r="O24" s="35"/>
      <c r="P24" s="35"/>
      <c r="Q24" s="35">
        <v>1</v>
      </c>
    </row>
    <row r="25" spans="1:18" x14ac:dyDescent="0.25">
      <c r="A25" s="35"/>
      <c r="B25" s="35" t="s">
        <v>26</v>
      </c>
      <c r="C25" s="35" t="s">
        <v>519</v>
      </c>
      <c r="D25" s="35" t="s">
        <v>520</v>
      </c>
      <c r="E25" s="35" t="s">
        <v>521</v>
      </c>
      <c r="F25" s="35" t="s">
        <v>45</v>
      </c>
      <c r="G25" s="36">
        <v>845</v>
      </c>
      <c r="H25" s="36">
        <v>25</v>
      </c>
      <c r="I25" s="36">
        <f t="shared" si="0"/>
        <v>820</v>
      </c>
      <c r="J25" s="35" t="s">
        <v>370</v>
      </c>
      <c r="K25" s="35" t="s">
        <v>31</v>
      </c>
      <c r="L25" s="35" t="s">
        <v>363</v>
      </c>
      <c r="M25" s="35"/>
      <c r="N25" s="35"/>
      <c r="O25" s="35"/>
      <c r="P25" s="35"/>
      <c r="Q25" s="35">
        <v>1</v>
      </c>
    </row>
    <row r="26" spans="1:18" x14ac:dyDescent="0.25">
      <c r="A26" s="35"/>
      <c r="B26" s="35" t="s">
        <v>26</v>
      </c>
      <c r="C26" s="35" t="s">
        <v>522</v>
      </c>
      <c r="D26" s="35" t="s">
        <v>523</v>
      </c>
      <c r="E26" s="35" t="s">
        <v>524</v>
      </c>
      <c r="F26" s="36">
        <v>7</v>
      </c>
      <c r="G26" s="36">
        <v>690</v>
      </c>
      <c r="H26" s="36">
        <v>30</v>
      </c>
      <c r="I26" s="36">
        <f t="shared" si="0"/>
        <v>660</v>
      </c>
      <c r="J26" s="35" t="s">
        <v>370</v>
      </c>
      <c r="K26" s="35" t="s">
        <v>31</v>
      </c>
      <c r="L26" s="35" t="s">
        <v>363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525</v>
      </c>
      <c r="D27" s="35" t="s">
        <v>526</v>
      </c>
      <c r="E27" s="35" t="s">
        <v>527</v>
      </c>
      <c r="F27" s="36">
        <v>7</v>
      </c>
      <c r="G27" s="36">
        <v>250</v>
      </c>
      <c r="H27" s="36">
        <v>30</v>
      </c>
      <c r="I27" s="36">
        <f t="shared" si="0"/>
        <v>220</v>
      </c>
      <c r="J27" s="35" t="s">
        <v>370</v>
      </c>
      <c r="K27" s="35" t="s">
        <v>31</v>
      </c>
      <c r="L27" s="35" t="s">
        <v>363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534</v>
      </c>
      <c r="D28" s="35" t="s">
        <v>535</v>
      </c>
      <c r="E28" s="35" t="s">
        <v>536</v>
      </c>
      <c r="F28" s="36">
        <v>11</v>
      </c>
      <c r="G28" s="36">
        <v>648</v>
      </c>
      <c r="H28" s="36">
        <v>25</v>
      </c>
      <c r="I28" s="36">
        <f t="shared" si="0"/>
        <v>623</v>
      </c>
      <c r="J28" s="35" t="s">
        <v>370</v>
      </c>
      <c r="K28" s="35" t="s">
        <v>31</v>
      </c>
      <c r="L28" s="35" t="s">
        <v>363</v>
      </c>
      <c r="M28" s="38" t="s">
        <v>59</v>
      </c>
      <c r="N28" s="35"/>
      <c r="O28" s="35"/>
      <c r="P28" s="35"/>
      <c r="Q28" s="35">
        <v>1</v>
      </c>
      <c r="R28" s="25">
        <f>H28</f>
        <v>25</v>
      </c>
    </row>
    <row r="29" spans="1:18" x14ac:dyDescent="0.25">
      <c r="A29" s="35"/>
      <c r="B29" s="35" t="s">
        <v>26</v>
      </c>
      <c r="C29" s="35" t="s">
        <v>543</v>
      </c>
      <c r="D29" s="35" t="s">
        <v>544</v>
      </c>
      <c r="E29" s="35" t="s">
        <v>545</v>
      </c>
      <c r="F29" s="35" t="s">
        <v>45</v>
      </c>
      <c r="G29" s="36">
        <v>415</v>
      </c>
      <c r="H29" s="36">
        <v>25</v>
      </c>
      <c r="I29" s="36">
        <f t="shared" si="0"/>
        <v>390</v>
      </c>
      <c r="J29" s="35" t="s">
        <v>370</v>
      </c>
      <c r="K29" s="35" t="s">
        <v>31</v>
      </c>
      <c r="L29" s="35" t="s">
        <v>363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555</v>
      </c>
      <c r="D30" s="35" t="s">
        <v>556</v>
      </c>
      <c r="E30" s="35" t="s">
        <v>557</v>
      </c>
      <c r="F30" s="35" t="s">
        <v>77</v>
      </c>
      <c r="G30" s="36">
        <v>320</v>
      </c>
      <c r="H30" s="36">
        <v>30</v>
      </c>
      <c r="I30" s="36">
        <f t="shared" si="0"/>
        <v>290</v>
      </c>
      <c r="J30" s="35" t="s">
        <v>370</v>
      </c>
      <c r="K30" s="35" t="s">
        <v>31</v>
      </c>
      <c r="L30" s="35" t="s">
        <v>363</v>
      </c>
      <c r="M30" s="35"/>
      <c r="N30" s="35"/>
      <c r="O30" s="35"/>
      <c r="P30" s="35"/>
      <c r="Q30" s="35">
        <v>1</v>
      </c>
    </row>
    <row r="31" spans="1:18" x14ac:dyDescent="0.25">
      <c r="A31" s="35"/>
      <c r="B31" s="35" t="s">
        <v>26</v>
      </c>
      <c r="C31" s="35" t="s">
        <v>558</v>
      </c>
      <c r="D31" s="35" t="s">
        <v>559</v>
      </c>
      <c r="E31" s="35" t="s">
        <v>560</v>
      </c>
      <c r="F31" s="36">
        <v>9</v>
      </c>
      <c r="G31" s="36">
        <v>1060</v>
      </c>
      <c r="H31" s="36">
        <v>30</v>
      </c>
      <c r="I31" s="36">
        <f t="shared" si="0"/>
        <v>1030</v>
      </c>
      <c r="J31" s="35" t="s">
        <v>370</v>
      </c>
      <c r="K31" s="35" t="s">
        <v>31</v>
      </c>
      <c r="L31" s="35" t="s">
        <v>363</v>
      </c>
      <c r="M31" s="35"/>
      <c r="N31" s="35"/>
      <c r="O31" s="35"/>
      <c r="P31" s="35"/>
      <c r="Q31" s="35">
        <v>1</v>
      </c>
    </row>
    <row r="32" spans="1:18" x14ac:dyDescent="0.25">
      <c r="A32" s="35"/>
      <c r="B32" s="35" t="s">
        <v>26</v>
      </c>
      <c r="C32" s="35" t="s">
        <v>567</v>
      </c>
      <c r="D32" s="35" t="s">
        <v>568</v>
      </c>
      <c r="E32" s="35" t="s">
        <v>569</v>
      </c>
      <c r="F32" s="36">
        <v>7</v>
      </c>
      <c r="G32" s="36">
        <v>820</v>
      </c>
      <c r="H32" s="36">
        <v>30</v>
      </c>
      <c r="I32" s="36">
        <f t="shared" si="0"/>
        <v>790</v>
      </c>
      <c r="J32" s="35" t="s">
        <v>370</v>
      </c>
      <c r="K32" s="35" t="s">
        <v>31</v>
      </c>
      <c r="L32" s="35" t="s">
        <v>363</v>
      </c>
      <c r="M32" s="35"/>
      <c r="N32" s="35"/>
      <c r="O32" s="35"/>
      <c r="P32" s="35"/>
      <c r="Q32" s="35">
        <v>1</v>
      </c>
    </row>
    <row r="33" spans="1:18" x14ac:dyDescent="0.25">
      <c r="A33" s="35"/>
      <c r="B33" s="35" t="s">
        <v>26</v>
      </c>
      <c r="C33" s="35" t="s">
        <v>570</v>
      </c>
      <c r="D33" s="35" t="s">
        <v>571</v>
      </c>
      <c r="E33" s="35" t="s">
        <v>572</v>
      </c>
      <c r="F33" s="36">
        <v>12</v>
      </c>
      <c r="G33" s="36">
        <v>0</v>
      </c>
      <c r="H33" s="36">
        <v>30</v>
      </c>
      <c r="I33" s="36">
        <f t="shared" si="0"/>
        <v>-30</v>
      </c>
      <c r="J33" s="35" t="s">
        <v>370</v>
      </c>
      <c r="K33" s="35" t="s">
        <v>31</v>
      </c>
      <c r="L33" s="35" t="s">
        <v>363</v>
      </c>
      <c r="M33" s="35"/>
      <c r="N33" s="35"/>
      <c r="O33" s="35"/>
      <c r="P33" s="35"/>
      <c r="Q33" s="35">
        <v>1</v>
      </c>
      <c r="R33" s="25">
        <f>H33</f>
        <v>30</v>
      </c>
    </row>
    <row r="34" spans="1:18" x14ac:dyDescent="0.25">
      <c r="A34" s="35"/>
      <c r="B34" s="35" t="s">
        <v>26</v>
      </c>
      <c r="C34" s="35" t="s">
        <v>582</v>
      </c>
      <c r="D34" s="35" t="s">
        <v>583</v>
      </c>
      <c r="E34" s="35" t="s">
        <v>584</v>
      </c>
      <c r="F34" s="35" t="s">
        <v>132</v>
      </c>
      <c r="G34" s="36">
        <v>1135</v>
      </c>
      <c r="H34" s="36">
        <v>35</v>
      </c>
      <c r="I34" s="36">
        <f t="shared" si="0"/>
        <v>1100</v>
      </c>
      <c r="J34" s="35" t="s">
        <v>370</v>
      </c>
      <c r="K34" s="35" t="s">
        <v>31</v>
      </c>
      <c r="L34" s="35" t="s">
        <v>363</v>
      </c>
      <c r="M34" s="35"/>
      <c r="N34" s="35"/>
      <c r="O34" s="35"/>
      <c r="P34" s="35"/>
      <c r="Q34" s="35">
        <v>1</v>
      </c>
    </row>
    <row r="35" spans="1:18" x14ac:dyDescent="0.25">
      <c r="A35" s="35"/>
      <c r="B35" s="35" t="s">
        <v>26</v>
      </c>
      <c r="C35" s="35" t="s">
        <v>360</v>
      </c>
      <c r="D35" s="35" t="s">
        <v>361</v>
      </c>
      <c r="E35" s="35" t="s">
        <v>362</v>
      </c>
      <c r="F35" s="36">
        <v>2</v>
      </c>
      <c r="G35" s="36">
        <v>0</v>
      </c>
      <c r="H35" s="36">
        <v>30</v>
      </c>
      <c r="I35" s="36">
        <f t="shared" ref="I35:I66" si="1">G35-H35</f>
        <v>-30</v>
      </c>
      <c r="J35" s="35" t="s">
        <v>31</v>
      </c>
      <c r="K35" s="35" t="s">
        <v>31</v>
      </c>
      <c r="L35" s="35" t="s">
        <v>363</v>
      </c>
      <c r="M35" s="38" t="s">
        <v>593</v>
      </c>
      <c r="N35" s="35"/>
      <c r="O35" s="35"/>
      <c r="P35" s="35"/>
      <c r="Q35" s="35">
        <v>1</v>
      </c>
      <c r="R35" s="25">
        <f>H35</f>
        <v>30</v>
      </c>
    </row>
    <row r="36" spans="1:18" x14ac:dyDescent="0.25">
      <c r="A36" s="35"/>
      <c r="B36" s="35" t="s">
        <v>26</v>
      </c>
      <c r="C36" s="35" t="s">
        <v>364</v>
      </c>
      <c r="D36" s="35" t="s">
        <v>365</v>
      </c>
      <c r="E36" s="35" t="s">
        <v>366</v>
      </c>
      <c r="F36" s="35" t="s">
        <v>128</v>
      </c>
      <c r="G36" s="36">
        <v>760</v>
      </c>
      <c r="H36" s="36">
        <v>30</v>
      </c>
      <c r="I36" s="36">
        <f t="shared" si="1"/>
        <v>730</v>
      </c>
      <c r="J36" s="35" t="s">
        <v>31</v>
      </c>
      <c r="K36" s="35" t="s">
        <v>31</v>
      </c>
      <c r="L36" s="35" t="s">
        <v>363</v>
      </c>
      <c r="M36" s="35"/>
      <c r="N36" s="35"/>
      <c r="O36" s="35"/>
      <c r="P36" s="35"/>
      <c r="Q36" s="35">
        <v>1</v>
      </c>
    </row>
    <row r="37" spans="1:18" x14ac:dyDescent="0.25">
      <c r="A37" s="35"/>
      <c r="B37" s="35" t="s">
        <v>26</v>
      </c>
      <c r="C37" s="35" t="s">
        <v>385</v>
      </c>
      <c r="D37" s="35" t="s">
        <v>386</v>
      </c>
      <c r="E37" s="35" t="s">
        <v>387</v>
      </c>
      <c r="F37" s="36">
        <v>2</v>
      </c>
      <c r="G37" s="36">
        <v>490</v>
      </c>
      <c r="H37" s="36">
        <v>30</v>
      </c>
      <c r="I37" s="36">
        <f t="shared" si="1"/>
        <v>460</v>
      </c>
      <c r="J37" s="35" t="s">
        <v>31</v>
      </c>
      <c r="K37" s="35" t="s">
        <v>31</v>
      </c>
      <c r="L37" s="35" t="s">
        <v>363</v>
      </c>
      <c r="M37" s="35"/>
      <c r="N37" s="35"/>
      <c r="O37" s="35"/>
      <c r="P37" s="35"/>
      <c r="Q37" s="35">
        <v>1</v>
      </c>
    </row>
    <row r="38" spans="1:18" x14ac:dyDescent="0.25">
      <c r="A38" s="35"/>
      <c r="B38" s="35" t="s">
        <v>26</v>
      </c>
      <c r="C38" s="35" t="s">
        <v>391</v>
      </c>
      <c r="D38" s="35" t="s">
        <v>392</v>
      </c>
      <c r="E38" s="35" t="s">
        <v>393</v>
      </c>
      <c r="F38" s="35" t="s">
        <v>58</v>
      </c>
      <c r="G38" s="36">
        <v>1220</v>
      </c>
      <c r="H38" s="36">
        <v>20</v>
      </c>
      <c r="I38" s="36">
        <f t="shared" si="1"/>
        <v>1200</v>
      </c>
      <c r="J38" s="35" t="s">
        <v>31</v>
      </c>
      <c r="K38" s="35" t="s">
        <v>31</v>
      </c>
      <c r="L38" s="35" t="s">
        <v>363</v>
      </c>
      <c r="M38" s="35"/>
      <c r="N38" s="35"/>
      <c r="O38" s="35"/>
      <c r="P38" s="35"/>
      <c r="Q38" s="35">
        <v>1</v>
      </c>
    </row>
    <row r="39" spans="1:18" x14ac:dyDescent="0.25">
      <c r="A39" s="35"/>
      <c r="B39" s="35" t="s">
        <v>26</v>
      </c>
      <c r="C39" s="35" t="s">
        <v>394</v>
      </c>
      <c r="D39" s="35" t="s">
        <v>395</v>
      </c>
      <c r="E39" s="35" t="s">
        <v>396</v>
      </c>
      <c r="F39" s="35" t="s">
        <v>36</v>
      </c>
      <c r="G39" s="36">
        <v>0</v>
      </c>
      <c r="H39" s="36">
        <v>25</v>
      </c>
      <c r="I39" s="36">
        <f t="shared" si="1"/>
        <v>-25</v>
      </c>
      <c r="J39" s="35" t="s">
        <v>31</v>
      </c>
      <c r="K39" s="35" t="s">
        <v>31</v>
      </c>
      <c r="L39" s="35" t="s">
        <v>363</v>
      </c>
      <c r="M39" s="38" t="s">
        <v>397</v>
      </c>
      <c r="N39" s="35"/>
      <c r="O39" s="35"/>
      <c r="P39" s="35"/>
      <c r="Q39" s="35">
        <v>1</v>
      </c>
      <c r="R39" s="25">
        <f>H39</f>
        <v>25</v>
      </c>
    </row>
    <row r="40" spans="1:18" x14ac:dyDescent="0.25">
      <c r="A40" s="35"/>
      <c r="B40" s="35" t="s">
        <v>26</v>
      </c>
      <c r="C40" s="35" t="s">
        <v>398</v>
      </c>
      <c r="D40" s="35" t="s">
        <v>399</v>
      </c>
      <c r="E40" s="35" t="s">
        <v>400</v>
      </c>
      <c r="F40" s="35" t="s">
        <v>128</v>
      </c>
      <c r="G40" s="36">
        <v>1370</v>
      </c>
      <c r="H40" s="36">
        <v>30</v>
      </c>
      <c r="I40" s="36">
        <f t="shared" si="1"/>
        <v>1340</v>
      </c>
      <c r="J40" s="35" t="s">
        <v>31</v>
      </c>
      <c r="K40" s="35" t="s">
        <v>31</v>
      </c>
      <c r="L40" s="35" t="s">
        <v>363</v>
      </c>
      <c r="M40" s="35"/>
      <c r="N40" s="35"/>
      <c r="O40" s="35"/>
      <c r="P40" s="35"/>
      <c r="Q40" s="35">
        <v>1</v>
      </c>
    </row>
    <row r="41" spans="1:18" x14ac:dyDescent="0.25">
      <c r="A41" s="35"/>
      <c r="B41" s="35" t="s">
        <v>26</v>
      </c>
      <c r="C41" s="35" t="s">
        <v>401</v>
      </c>
      <c r="D41" s="35" t="s">
        <v>402</v>
      </c>
      <c r="E41" s="35" t="s">
        <v>403</v>
      </c>
      <c r="F41" s="35" t="s">
        <v>128</v>
      </c>
      <c r="G41" s="36">
        <v>980</v>
      </c>
      <c r="H41" s="36">
        <v>30</v>
      </c>
      <c r="I41" s="36">
        <f t="shared" si="1"/>
        <v>950</v>
      </c>
      <c r="J41" s="35" t="s">
        <v>31</v>
      </c>
      <c r="K41" s="35" t="s">
        <v>31</v>
      </c>
      <c r="L41" s="35" t="s">
        <v>363</v>
      </c>
      <c r="M41" s="35"/>
      <c r="N41" s="35"/>
      <c r="O41" s="35"/>
      <c r="P41" s="35"/>
      <c r="Q41" s="35">
        <v>1</v>
      </c>
    </row>
    <row r="42" spans="1:18" x14ac:dyDescent="0.25">
      <c r="A42" s="35"/>
      <c r="B42" s="35" t="s">
        <v>26</v>
      </c>
      <c r="C42" s="35" t="s">
        <v>407</v>
      </c>
      <c r="D42" s="35" t="s">
        <v>408</v>
      </c>
      <c r="E42" s="35" t="s">
        <v>409</v>
      </c>
      <c r="F42" s="36">
        <v>12</v>
      </c>
      <c r="G42" s="36">
        <v>1450</v>
      </c>
      <c r="H42" s="36">
        <v>30</v>
      </c>
      <c r="I42" s="36">
        <f t="shared" si="1"/>
        <v>1420</v>
      </c>
      <c r="J42" s="35" t="s">
        <v>31</v>
      </c>
      <c r="K42" s="35" t="s">
        <v>31</v>
      </c>
      <c r="L42" s="35" t="s">
        <v>363</v>
      </c>
      <c r="M42" s="35"/>
      <c r="N42" s="35"/>
      <c r="O42" s="35"/>
      <c r="P42" s="35"/>
      <c r="Q42" s="35">
        <v>1</v>
      </c>
    </row>
    <row r="43" spans="1:18" s="41" customFormat="1" x14ac:dyDescent="0.25">
      <c r="A43" s="39"/>
      <c r="B43" s="39" t="s">
        <v>26</v>
      </c>
      <c r="C43" s="39" t="s">
        <v>168</v>
      </c>
      <c r="D43" s="39" t="s">
        <v>418</v>
      </c>
      <c r="E43" s="39" t="s">
        <v>419</v>
      </c>
      <c r="F43" s="39" t="s">
        <v>36</v>
      </c>
      <c r="G43" s="40">
        <v>0</v>
      </c>
      <c r="H43" s="40">
        <v>25</v>
      </c>
      <c r="I43" s="40">
        <f t="shared" si="1"/>
        <v>-25</v>
      </c>
      <c r="J43" s="39" t="s">
        <v>31</v>
      </c>
      <c r="K43" s="39" t="s">
        <v>31</v>
      </c>
      <c r="L43" s="39" t="s">
        <v>363</v>
      </c>
      <c r="M43" s="39" t="s">
        <v>37</v>
      </c>
      <c r="N43" s="39"/>
      <c r="O43" s="39"/>
      <c r="P43" s="39"/>
      <c r="Q43" s="39">
        <v>1</v>
      </c>
      <c r="R43" s="42">
        <f>H43</f>
        <v>25</v>
      </c>
    </row>
    <row r="44" spans="1:18" x14ac:dyDescent="0.25">
      <c r="A44" s="35"/>
      <c r="B44" s="35" t="s">
        <v>26</v>
      </c>
      <c r="C44" s="35" t="s">
        <v>427</v>
      </c>
      <c r="D44" s="35" t="s">
        <v>428</v>
      </c>
      <c r="E44" s="35" t="s">
        <v>429</v>
      </c>
      <c r="F44" s="36">
        <v>12</v>
      </c>
      <c r="G44" s="36">
        <v>0</v>
      </c>
      <c r="H44" s="36">
        <v>30</v>
      </c>
      <c r="I44" s="36">
        <f t="shared" si="1"/>
        <v>-30</v>
      </c>
      <c r="J44" s="35" t="s">
        <v>31</v>
      </c>
      <c r="K44" s="35" t="s">
        <v>31</v>
      </c>
      <c r="L44" s="35" t="s">
        <v>363</v>
      </c>
      <c r="M44" s="35"/>
      <c r="N44" s="35"/>
      <c r="O44" s="35"/>
      <c r="P44" s="35"/>
      <c r="Q44" s="35">
        <v>1</v>
      </c>
      <c r="R44" s="25">
        <f>H44</f>
        <v>30</v>
      </c>
    </row>
    <row r="45" spans="1:18" x14ac:dyDescent="0.25">
      <c r="A45" s="35"/>
      <c r="B45" s="35" t="s">
        <v>26</v>
      </c>
      <c r="C45" s="35" t="s">
        <v>451</v>
      </c>
      <c r="D45" s="35" t="s">
        <v>452</v>
      </c>
      <c r="E45" s="35" t="s">
        <v>453</v>
      </c>
      <c r="F45" s="35" t="s">
        <v>128</v>
      </c>
      <c r="G45" s="36">
        <v>2685</v>
      </c>
      <c r="H45" s="36">
        <v>35</v>
      </c>
      <c r="I45" s="36">
        <f t="shared" si="1"/>
        <v>2650</v>
      </c>
      <c r="J45" s="35" t="s">
        <v>31</v>
      </c>
      <c r="K45" s="35" t="s">
        <v>31</v>
      </c>
      <c r="L45" s="35" t="s">
        <v>363</v>
      </c>
      <c r="M45" s="35"/>
      <c r="N45" s="35"/>
      <c r="O45" s="35"/>
      <c r="P45" s="35"/>
      <c r="Q45" s="35">
        <v>1</v>
      </c>
    </row>
    <row r="46" spans="1:18" x14ac:dyDescent="0.25">
      <c r="A46" s="35"/>
      <c r="B46" s="35" t="s">
        <v>26</v>
      </c>
      <c r="C46" s="35" t="s">
        <v>458</v>
      </c>
      <c r="D46" s="35" t="s">
        <v>459</v>
      </c>
      <c r="E46" s="35" t="s">
        <v>460</v>
      </c>
      <c r="F46" s="35" t="s">
        <v>58</v>
      </c>
      <c r="G46" s="36">
        <v>1360</v>
      </c>
      <c r="H46" s="36">
        <v>20</v>
      </c>
      <c r="I46" s="36">
        <f t="shared" si="1"/>
        <v>1340</v>
      </c>
      <c r="J46" s="35" t="s">
        <v>31</v>
      </c>
      <c r="K46" s="35" t="s">
        <v>31</v>
      </c>
      <c r="L46" s="35" t="s">
        <v>363</v>
      </c>
      <c r="M46" s="35"/>
      <c r="N46" s="35"/>
      <c r="O46" s="35"/>
      <c r="P46" s="35"/>
      <c r="Q46" s="35">
        <v>1</v>
      </c>
    </row>
    <row r="47" spans="1:18" x14ac:dyDescent="0.25">
      <c r="A47" s="35"/>
      <c r="B47" s="35" t="s">
        <v>26</v>
      </c>
      <c r="C47" s="35" t="s">
        <v>466</v>
      </c>
      <c r="D47" s="35" t="s">
        <v>467</v>
      </c>
      <c r="E47" s="35" t="s">
        <v>468</v>
      </c>
      <c r="F47" s="35" t="s">
        <v>58</v>
      </c>
      <c r="G47" s="36">
        <v>320</v>
      </c>
      <c r="H47" s="36">
        <v>20</v>
      </c>
      <c r="I47" s="36">
        <f t="shared" si="1"/>
        <v>300</v>
      </c>
      <c r="J47" s="35" t="s">
        <v>31</v>
      </c>
      <c r="K47" s="35" t="s">
        <v>31</v>
      </c>
      <c r="L47" s="35" t="s">
        <v>363</v>
      </c>
      <c r="M47" s="35"/>
      <c r="N47" s="35"/>
      <c r="O47" s="35"/>
      <c r="P47" s="35"/>
      <c r="Q47" s="35">
        <v>1</v>
      </c>
    </row>
    <row r="48" spans="1:18" x14ac:dyDescent="0.25">
      <c r="A48" s="35"/>
      <c r="B48" s="35" t="s">
        <v>26</v>
      </c>
      <c r="C48" s="35" t="s">
        <v>469</v>
      </c>
      <c r="D48" s="35" t="s">
        <v>470</v>
      </c>
      <c r="E48" s="35" t="s">
        <v>471</v>
      </c>
      <c r="F48" s="35" t="s">
        <v>36</v>
      </c>
      <c r="G48" s="36">
        <v>255</v>
      </c>
      <c r="H48" s="36">
        <v>25</v>
      </c>
      <c r="I48" s="36">
        <f t="shared" si="1"/>
        <v>230</v>
      </c>
      <c r="J48" s="35" t="s">
        <v>31</v>
      </c>
      <c r="K48" s="35" t="s">
        <v>31</v>
      </c>
      <c r="L48" s="35" t="s">
        <v>363</v>
      </c>
      <c r="M48" s="35"/>
      <c r="N48" s="35"/>
      <c r="O48" s="35"/>
      <c r="P48" s="35"/>
      <c r="Q48" s="35">
        <v>1</v>
      </c>
    </row>
    <row r="49" spans="1:18" x14ac:dyDescent="0.25">
      <c r="A49" s="35"/>
      <c r="B49" s="35" t="s">
        <v>26</v>
      </c>
      <c r="C49" s="35" t="s">
        <v>333</v>
      </c>
      <c r="D49" s="35" t="s">
        <v>334</v>
      </c>
      <c r="E49" s="35" t="s">
        <v>335</v>
      </c>
      <c r="F49" s="35" t="s">
        <v>36</v>
      </c>
      <c r="G49" s="36">
        <v>745</v>
      </c>
      <c r="H49" s="36">
        <v>25</v>
      </c>
      <c r="I49" s="36">
        <f t="shared" si="1"/>
        <v>720</v>
      </c>
      <c r="J49" s="35" t="s">
        <v>31</v>
      </c>
      <c r="K49" s="35" t="s">
        <v>31</v>
      </c>
      <c r="L49" s="35" t="s">
        <v>363</v>
      </c>
      <c r="M49" s="35"/>
      <c r="N49" s="35"/>
      <c r="O49" s="35"/>
      <c r="P49" s="35"/>
      <c r="Q49" s="35">
        <v>1</v>
      </c>
    </row>
    <row r="50" spans="1:18" x14ac:dyDescent="0.25">
      <c r="A50" s="35"/>
      <c r="B50" s="35" t="s">
        <v>26</v>
      </c>
      <c r="C50" s="35" t="s">
        <v>477</v>
      </c>
      <c r="D50" s="35" t="s">
        <v>478</v>
      </c>
      <c r="E50" s="35" t="s">
        <v>479</v>
      </c>
      <c r="F50" s="35" t="s">
        <v>36</v>
      </c>
      <c r="G50" s="36">
        <v>365</v>
      </c>
      <c r="H50" s="36">
        <v>25</v>
      </c>
      <c r="I50" s="36">
        <f t="shared" si="1"/>
        <v>340</v>
      </c>
      <c r="J50" s="35" t="s">
        <v>31</v>
      </c>
      <c r="K50" s="35" t="s">
        <v>31</v>
      </c>
      <c r="L50" s="35" t="s">
        <v>363</v>
      </c>
      <c r="M50" s="35"/>
      <c r="N50" s="35"/>
      <c r="O50" s="35"/>
      <c r="P50" s="35"/>
      <c r="Q50" s="35">
        <v>1</v>
      </c>
    </row>
    <row r="51" spans="1:18" s="41" customFormat="1" x14ac:dyDescent="0.25">
      <c r="A51" s="39"/>
      <c r="B51" s="39" t="s">
        <v>26</v>
      </c>
      <c r="C51" s="39" t="s">
        <v>528</v>
      </c>
      <c r="D51" s="39" t="s">
        <v>529</v>
      </c>
      <c r="E51" s="39" t="s">
        <v>530</v>
      </c>
      <c r="F51" s="39" t="s">
        <v>128</v>
      </c>
      <c r="G51" s="40">
        <v>0</v>
      </c>
      <c r="H51" s="40">
        <v>30</v>
      </c>
      <c r="I51" s="40">
        <f t="shared" si="1"/>
        <v>-30</v>
      </c>
      <c r="J51" s="39" t="s">
        <v>31</v>
      </c>
      <c r="K51" s="39" t="s">
        <v>31</v>
      </c>
      <c r="L51" s="39" t="s">
        <v>363</v>
      </c>
      <c r="M51" s="39" t="s">
        <v>37</v>
      </c>
      <c r="N51" s="39"/>
      <c r="O51" s="39"/>
      <c r="P51" s="39"/>
      <c r="Q51" s="39">
        <v>1</v>
      </c>
      <c r="R51" s="42">
        <f>H51</f>
        <v>30</v>
      </c>
    </row>
    <row r="52" spans="1:18" x14ac:dyDescent="0.25">
      <c r="A52" s="35"/>
      <c r="B52" s="35" t="s">
        <v>26</v>
      </c>
      <c r="C52" s="35" t="s">
        <v>531</v>
      </c>
      <c r="D52" s="35" t="s">
        <v>532</v>
      </c>
      <c r="E52" s="35" t="s">
        <v>533</v>
      </c>
      <c r="F52" s="36">
        <v>2</v>
      </c>
      <c r="G52" s="36">
        <v>870</v>
      </c>
      <c r="H52" s="36">
        <v>30</v>
      </c>
      <c r="I52" s="36">
        <f t="shared" si="1"/>
        <v>840</v>
      </c>
      <c r="J52" s="35" t="s">
        <v>31</v>
      </c>
      <c r="K52" s="35" t="s">
        <v>31</v>
      </c>
      <c r="L52" s="35" t="s">
        <v>363</v>
      </c>
      <c r="M52" s="35"/>
      <c r="N52" s="35"/>
      <c r="O52" s="35"/>
      <c r="P52" s="35"/>
      <c r="Q52" s="35">
        <v>1</v>
      </c>
    </row>
    <row r="53" spans="1:18" x14ac:dyDescent="0.25">
      <c r="A53" s="35"/>
      <c r="B53" s="35" t="s">
        <v>26</v>
      </c>
      <c r="C53" s="35" t="s">
        <v>549</v>
      </c>
      <c r="D53" s="35" t="s">
        <v>550</v>
      </c>
      <c r="E53" s="35" t="s">
        <v>551</v>
      </c>
      <c r="F53" s="35" t="s">
        <v>36</v>
      </c>
      <c r="G53" s="36">
        <v>1055</v>
      </c>
      <c r="H53" s="36">
        <v>25</v>
      </c>
      <c r="I53" s="36">
        <f t="shared" si="1"/>
        <v>1030</v>
      </c>
      <c r="J53" s="35" t="s">
        <v>31</v>
      </c>
      <c r="K53" s="35" t="s">
        <v>31</v>
      </c>
      <c r="L53" s="35" t="s">
        <v>363</v>
      </c>
      <c r="M53" s="35"/>
      <c r="N53" s="35"/>
      <c r="O53" s="35"/>
      <c r="P53" s="35"/>
      <c r="Q53" s="35">
        <v>1</v>
      </c>
    </row>
    <row r="54" spans="1:18" x14ac:dyDescent="0.25">
      <c r="A54" s="35"/>
      <c r="B54" s="35" t="s">
        <v>26</v>
      </c>
      <c r="C54" s="35" t="s">
        <v>564</v>
      </c>
      <c r="D54" s="35" t="s">
        <v>565</v>
      </c>
      <c r="E54" s="35" t="s">
        <v>566</v>
      </c>
      <c r="F54" s="35" t="s">
        <v>128</v>
      </c>
      <c r="G54" s="36">
        <v>540</v>
      </c>
      <c r="H54" s="36">
        <v>30</v>
      </c>
      <c r="I54" s="36">
        <f t="shared" si="1"/>
        <v>510</v>
      </c>
      <c r="J54" s="35" t="s">
        <v>31</v>
      </c>
      <c r="K54" s="35" t="s">
        <v>31</v>
      </c>
      <c r="L54" s="35" t="s">
        <v>363</v>
      </c>
      <c r="M54" s="35"/>
      <c r="N54" s="35"/>
      <c r="O54" s="35"/>
      <c r="P54" s="35"/>
      <c r="Q54" s="35">
        <v>1</v>
      </c>
    </row>
    <row r="55" spans="1:18" x14ac:dyDescent="0.25">
      <c r="A55" s="35"/>
      <c r="B55" s="35" t="s">
        <v>26</v>
      </c>
      <c r="C55" s="35" t="s">
        <v>573</v>
      </c>
      <c r="D55" s="35" t="s">
        <v>574</v>
      </c>
      <c r="E55" s="35" t="s">
        <v>575</v>
      </c>
      <c r="F55" s="35" t="s">
        <v>58</v>
      </c>
      <c r="G55" s="36">
        <v>420</v>
      </c>
      <c r="H55" s="36">
        <v>30</v>
      </c>
      <c r="I55" s="36">
        <f t="shared" si="1"/>
        <v>390</v>
      </c>
      <c r="J55" s="35" t="s">
        <v>31</v>
      </c>
      <c r="K55" s="35" t="s">
        <v>31</v>
      </c>
      <c r="L55" s="35" t="s">
        <v>363</v>
      </c>
      <c r="M55" s="35"/>
      <c r="N55" s="35"/>
      <c r="O55" s="35"/>
      <c r="P55" s="35"/>
      <c r="Q55" s="35">
        <v>1</v>
      </c>
    </row>
    <row r="56" spans="1:18" x14ac:dyDescent="0.25">
      <c r="A56" s="35"/>
      <c r="B56" s="35" t="s">
        <v>26</v>
      </c>
      <c r="C56" s="35" t="s">
        <v>579</v>
      </c>
      <c r="D56" s="35" t="s">
        <v>580</v>
      </c>
      <c r="E56" s="35" t="s">
        <v>581</v>
      </c>
      <c r="F56" s="35" t="s">
        <v>58</v>
      </c>
      <c r="G56" s="36">
        <v>190</v>
      </c>
      <c r="H56" s="36">
        <v>20</v>
      </c>
      <c r="I56" s="36">
        <f t="shared" si="1"/>
        <v>170</v>
      </c>
      <c r="J56" s="35" t="s">
        <v>31</v>
      </c>
      <c r="K56" s="35" t="s">
        <v>31</v>
      </c>
      <c r="L56" s="35" t="s">
        <v>363</v>
      </c>
      <c r="M56" s="35"/>
      <c r="N56" s="35"/>
      <c r="O56" s="35"/>
      <c r="P56" s="35"/>
      <c r="Q56" s="35">
        <v>1</v>
      </c>
    </row>
    <row r="57" spans="1:18" x14ac:dyDescent="0.25">
      <c r="A57" s="35"/>
      <c r="B57" s="35" t="s">
        <v>26</v>
      </c>
      <c r="C57" s="35" t="s">
        <v>404</v>
      </c>
      <c r="D57" s="35" t="s">
        <v>405</v>
      </c>
      <c r="E57" s="35" t="s">
        <v>406</v>
      </c>
      <c r="F57" s="36">
        <v>1</v>
      </c>
      <c r="G57" s="36">
        <v>218</v>
      </c>
      <c r="H57" s="36">
        <v>25</v>
      </c>
      <c r="I57" s="36">
        <f t="shared" si="1"/>
        <v>193</v>
      </c>
      <c r="J57" s="35" t="s">
        <v>41</v>
      </c>
      <c r="K57" s="35" t="s">
        <v>31</v>
      </c>
      <c r="L57" s="35" t="s">
        <v>363</v>
      </c>
      <c r="M57" s="38" t="s">
        <v>59</v>
      </c>
      <c r="N57" s="35"/>
      <c r="O57" s="35"/>
      <c r="P57" s="35"/>
      <c r="Q57" s="35">
        <v>1</v>
      </c>
      <c r="R57" s="25">
        <f>H57</f>
        <v>25</v>
      </c>
    </row>
    <row r="58" spans="1:18" x14ac:dyDescent="0.25">
      <c r="A58" s="35"/>
      <c r="B58" s="35" t="s">
        <v>26</v>
      </c>
      <c r="C58" s="35" t="s">
        <v>420</v>
      </c>
      <c r="D58" s="35" t="s">
        <v>454</v>
      </c>
      <c r="E58" s="35" t="s">
        <v>422</v>
      </c>
      <c r="F58" s="36">
        <v>5</v>
      </c>
      <c r="G58" s="36">
        <v>0</v>
      </c>
      <c r="H58" s="36">
        <v>25</v>
      </c>
      <c r="I58" s="36">
        <f t="shared" si="1"/>
        <v>-25</v>
      </c>
      <c r="J58" s="35" t="s">
        <v>41</v>
      </c>
      <c r="K58" s="35" t="s">
        <v>31</v>
      </c>
      <c r="L58" s="35" t="s">
        <v>363</v>
      </c>
      <c r="M58" s="38" t="s">
        <v>423</v>
      </c>
      <c r="N58" s="35"/>
      <c r="O58" s="35"/>
      <c r="P58" s="35"/>
      <c r="Q58" s="35">
        <v>1</v>
      </c>
      <c r="R58" s="25">
        <f>H58</f>
        <v>25</v>
      </c>
    </row>
    <row r="59" spans="1:18" x14ac:dyDescent="0.25">
      <c r="A59" s="35"/>
      <c r="B59" s="35" t="s">
        <v>26</v>
      </c>
      <c r="C59" s="35" t="s">
        <v>420</v>
      </c>
      <c r="D59" s="35" t="s">
        <v>421</v>
      </c>
      <c r="E59" s="35" t="s">
        <v>422</v>
      </c>
      <c r="F59" s="36">
        <v>5</v>
      </c>
      <c r="G59" s="36">
        <v>0</v>
      </c>
      <c r="H59" s="36">
        <v>0</v>
      </c>
      <c r="I59" s="36">
        <f t="shared" si="1"/>
        <v>0</v>
      </c>
      <c r="J59" s="35" t="s">
        <v>41</v>
      </c>
      <c r="K59" s="35" t="s">
        <v>31</v>
      </c>
      <c r="L59" s="35" t="s">
        <v>363</v>
      </c>
      <c r="M59" s="38" t="s">
        <v>423</v>
      </c>
      <c r="N59" s="35"/>
      <c r="O59" s="35"/>
      <c r="P59" s="35"/>
      <c r="Q59" s="35">
        <v>1</v>
      </c>
      <c r="R59" s="25">
        <f>H59</f>
        <v>0</v>
      </c>
    </row>
    <row r="60" spans="1:18" x14ac:dyDescent="0.25">
      <c r="A60" s="35"/>
      <c r="B60" s="35" t="s">
        <v>26</v>
      </c>
      <c r="C60" s="35" t="s">
        <v>433</v>
      </c>
      <c r="D60" s="35" t="s">
        <v>434</v>
      </c>
      <c r="E60" s="35" t="s">
        <v>435</v>
      </c>
      <c r="F60" s="36">
        <v>4</v>
      </c>
      <c r="G60" s="36">
        <v>2500</v>
      </c>
      <c r="H60" s="36">
        <v>30</v>
      </c>
      <c r="I60" s="36">
        <f t="shared" si="1"/>
        <v>2470</v>
      </c>
      <c r="J60" s="35" t="s">
        <v>41</v>
      </c>
      <c r="K60" s="35" t="s">
        <v>31</v>
      </c>
      <c r="L60" s="35" t="s">
        <v>363</v>
      </c>
      <c r="M60" s="35"/>
      <c r="N60" s="35"/>
      <c r="O60" s="35"/>
      <c r="P60" s="35"/>
      <c r="Q60" s="35">
        <v>1</v>
      </c>
    </row>
    <row r="61" spans="1:18" x14ac:dyDescent="0.25">
      <c r="A61" s="35"/>
      <c r="B61" s="35" t="s">
        <v>26</v>
      </c>
      <c r="C61" s="35" t="s">
        <v>439</v>
      </c>
      <c r="D61" s="35" t="s">
        <v>440</v>
      </c>
      <c r="E61" s="35" t="s">
        <v>441</v>
      </c>
      <c r="F61" s="36">
        <v>3</v>
      </c>
      <c r="G61" s="36">
        <v>540</v>
      </c>
      <c r="H61" s="36">
        <v>25</v>
      </c>
      <c r="I61" s="36">
        <f t="shared" si="1"/>
        <v>515</v>
      </c>
      <c r="J61" s="35" t="s">
        <v>41</v>
      </c>
      <c r="K61" s="35" t="s">
        <v>31</v>
      </c>
      <c r="L61" s="35" t="s">
        <v>363</v>
      </c>
      <c r="M61" s="35"/>
      <c r="N61" s="35"/>
      <c r="O61" s="35"/>
      <c r="P61" s="35"/>
      <c r="Q61" s="35">
        <v>1</v>
      </c>
    </row>
    <row r="62" spans="1:18" x14ac:dyDescent="0.25">
      <c r="A62" s="35"/>
      <c r="B62" s="35" t="s">
        <v>26</v>
      </c>
      <c r="C62" s="35" t="s">
        <v>442</v>
      </c>
      <c r="D62" s="35" t="s">
        <v>443</v>
      </c>
      <c r="E62" s="35" t="s">
        <v>444</v>
      </c>
      <c r="F62" s="35" t="s">
        <v>101</v>
      </c>
      <c r="G62" s="36">
        <v>315</v>
      </c>
      <c r="H62" s="36">
        <v>25</v>
      </c>
      <c r="I62" s="36">
        <f t="shared" si="1"/>
        <v>290</v>
      </c>
      <c r="J62" s="35" t="s">
        <v>41</v>
      </c>
      <c r="K62" s="35" t="s">
        <v>31</v>
      </c>
      <c r="L62" s="35" t="s">
        <v>363</v>
      </c>
      <c r="M62" s="35"/>
      <c r="N62" s="35"/>
      <c r="O62" s="35"/>
      <c r="P62" s="35"/>
      <c r="Q62" s="35">
        <v>1</v>
      </c>
    </row>
    <row r="63" spans="1:18" x14ac:dyDescent="0.25">
      <c r="A63" s="35"/>
      <c r="B63" s="35" t="s">
        <v>26</v>
      </c>
      <c r="C63" s="35" t="s">
        <v>445</v>
      </c>
      <c r="D63" s="35" t="s">
        <v>446</v>
      </c>
      <c r="E63" s="35" t="s">
        <v>447</v>
      </c>
      <c r="F63" s="36">
        <v>5</v>
      </c>
      <c r="G63" s="36">
        <v>1635</v>
      </c>
      <c r="H63" s="36">
        <v>25</v>
      </c>
      <c r="I63" s="36">
        <f t="shared" si="1"/>
        <v>1610</v>
      </c>
      <c r="J63" s="35" t="s">
        <v>41</v>
      </c>
      <c r="K63" s="35" t="s">
        <v>31</v>
      </c>
      <c r="L63" s="35" t="s">
        <v>363</v>
      </c>
      <c r="M63" s="35"/>
      <c r="N63" s="35"/>
      <c r="O63" s="35"/>
      <c r="P63" s="35"/>
      <c r="Q63" s="35">
        <v>1</v>
      </c>
    </row>
    <row r="64" spans="1:18" x14ac:dyDescent="0.25">
      <c r="A64" s="35"/>
      <c r="B64" s="35" t="s">
        <v>26</v>
      </c>
      <c r="C64" s="35" t="s">
        <v>455</v>
      </c>
      <c r="D64" s="35" t="s">
        <v>456</v>
      </c>
      <c r="E64" s="35" t="s">
        <v>457</v>
      </c>
      <c r="F64" s="35" t="s">
        <v>101</v>
      </c>
      <c r="G64" s="36">
        <v>2290</v>
      </c>
      <c r="H64" s="36">
        <v>30</v>
      </c>
      <c r="I64" s="36">
        <f t="shared" si="1"/>
        <v>2260</v>
      </c>
      <c r="J64" s="35" t="s">
        <v>41</v>
      </c>
      <c r="K64" s="35" t="s">
        <v>31</v>
      </c>
      <c r="L64" s="35" t="s">
        <v>363</v>
      </c>
      <c r="M64" s="38" t="s">
        <v>59</v>
      </c>
      <c r="N64" s="35"/>
      <c r="O64" s="35"/>
      <c r="P64" s="35"/>
      <c r="Q64" s="35">
        <v>1</v>
      </c>
      <c r="R64" s="25">
        <f>H64</f>
        <v>30</v>
      </c>
    </row>
    <row r="65" spans="1:18" x14ac:dyDescent="0.25">
      <c r="A65" s="35"/>
      <c r="B65" s="35" t="s">
        <v>26</v>
      </c>
      <c r="C65" s="35" t="s">
        <v>475</v>
      </c>
      <c r="D65" s="35" t="s">
        <v>476</v>
      </c>
      <c r="E65" s="35" t="s">
        <v>457</v>
      </c>
      <c r="F65" s="35" t="s">
        <v>101</v>
      </c>
      <c r="G65" s="36">
        <v>1535</v>
      </c>
      <c r="H65" s="36">
        <v>25</v>
      </c>
      <c r="I65" s="36">
        <f t="shared" si="1"/>
        <v>1510</v>
      </c>
      <c r="J65" s="35" t="s">
        <v>41</v>
      </c>
      <c r="K65" s="35" t="s">
        <v>31</v>
      </c>
      <c r="L65" s="35" t="s">
        <v>363</v>
      </c>
      <c r="M65" s="35"/>
      <c r="N65" s="35"/>
      <c r="O65" s="35"/>
      <c r="P65" s="35"/>
      <c r="Q65" s="35">
        <v>1</v>
      </c>
    </row>
    <row r="66" spans="1:18" x14ac:dyDescent="0.25">
      <c r="A66" s="35"/>
      <c r="B66" s="35" t="s">
        <v>26</v>
      </c>
      <c r="C66" s="35" t="s">
        <v>318</v>
      </c>
      <c r="D66" s="35" t="s">
        <v>480</v>
      </c>
      <c r="E66" s="35" t="s">
        <v>320</v>
      </c>
      <c r="F66" s="36">
        <v>1</v>
      </c>
      <c r="G66" s="36">
        <v>0</v>
      </c>
      <c r="H66" s="36">
        <v>25</v>
      </c>
      <c r="I66" s="36">
        <f t="shared" si="1"/>
        <v>-25</v>
      </c>
      <c r="J66" s="35" t="s">
        <v>41</v>
      </c>
      <c r="K66" s="35" t="s">
        <v>31</v>
      </c>
      <c r="L66" s="35" t="s">
        <v>363</v>
      </c>
      <c r="M66" s="35"/>
      <c r="N66" s="35"/>
      <c r="O66" s="35"/>
      <c r="P66" s="35"/>
      <c r="Q66" s="35">
        <v>1</v>
      </c>
      <c r="R66" s="25">
        <f>H66</f>
        <v>25</v>
      </c>
    </row>
    <row r="67" spans="1:18" x14ac:dyDescent="0.25">
      <c r="A67" s="35"/>
      <c r="B67" s="35" t="s">
        <v>26</v>
      </c>
      <c r="C67" s="35" t="s">
        <v>481</v>
      </c>
      <c r="D67" s="35" t="s">
        <v>482</v>
      </c>
      <c r="E67" s="35" t="s">
        <v>483</v>
      </c>
      <c r="F67" s="35" t="s">
        <v>101</v>
      </c>
      <c r="G67" s="36">
        <v>705</v>
      </c>
      <c r="H67" s="36">
        <v>25</v>
      </c>
      <c r="I67" s="36">
        <f t="shared" ref="I67:I82" si="2">G67-H67</f>
        <v>680</v>
      </c>
      <c r="J67" s="35" t="s">
        <v>41</v>
      </c>
      <c r="K67" s="35" t="s">
        <v>31</v>
      </c>
      <c r="L67" s="35" t="s">
        <v>363</v>
      </c>
      <c r="M67" s="35"/>
      <c r="N67" s="35"/>
      <c r="O67" s="35"/>
      <c r="P67" s="35"/>
      <c r="Q67" s="35">
        <v>1</v>
      </c>
    </row>
    <row r="68" spans="1:18" x14ac:dyDescent="0.25">
      <c r="A68" s="35"/>
      <c r="B68" s="35" t="s">
        <v>26</v>
      </c>
      <c r="C68" s="35" t="s">
        <v>484</v>
      </c>
      <c r="D68" s="35" t="s">
        <v>485</v>
      </c>
      <c r="E68" s="35" t="s">
        <v>486</v>
      </c>
      <c r="F68" s="36">
        <v>10</v>
      </c>
      <c r="G68" s="36">
        <v>705</v>
      </c>
      <c r="H68" s="36">
        <v>25</v>
      </c>
      <c r="I68" s="36">
        <f t="shared" si="2"/>
        <v>680</v>
      </c>
      <c r="J68" s="35" t="s">
        <v>41</v>
      </c>
      <c r="K68" s="35" t="s">
        <v>31</v>
      </c>
      <c r="L68" s="35" t="s">
        <v>363</v>
      </c>
      <c r="M68" s="35"/>
      <c r="N68" s="35"/>
      <c r="O68" s="35"/>
      <c r="P68" s="35"/>
      <c r="Q68" s="35">
        <v>1</v>
      </c>
    </row>
    <row r="69" spans="1:18" x14ac:dyDescent="0.25">
      <c r="A69" s="35"/>
      <c r="B69" s="35" t="s">
        <v>26</v>
      </c>
      <c r="C69" s="35" t="s">
        <v>498</v>
      </c>
      <c r="D69" s="35" t="s">
        <v>499</v>
      </c>
      <c r="E69" s="35" t="s">
        <v>500</v>
      </c>
      <c r="F69" s="36">
        <v>1</v>
      </c>
      <c r="G69" s="36">
        <v>705</v>
      </c>
      <c r="H69" s="36">
        <v>25</v>
      </c>
      <c r="I69" s="36">
        <f t="shared" si="2"/>
        <v>680</v>
      </c>
      <c r="J69" s="35" t="s">
        <v>41</v>
      </c>
      <c r="K69" s="35" t="s">
        <v>31</v>
      </c>
      <c r="L69" s="35" t="s">
        <v>363</v>
      </c>
      <c r="M69" s="35"/>
      <c r="N69" s="35"/>
      <c r="O69" s="35"/>
      <c r="P69" s="35"/>
      <c r="Q69" s="35">
        <v>1</v>
      </c>
    </row>
    <row r="70" spans="1:18" x14ac:dyDescent="0.25">
      <c r="A70" s="35"/>
      <c r="B70" s="35" t="s">
        <v>26</v>
      </c>
      <c r="C70" s="35" t="s">
        <v>504</v>
      </c>
      <c r="D70" s="35" t="s">
        <v>505</v>
      </c>
      <c r="E70" s="35" t="s">
        <v>506</v>
      </c>
      <c r="F70" s="35" t="s">
        <v>101</v>
      </c>
      <c r="G70" s="36">
        <v>715</v>
      </c>
      <c r="H70" s="36">
        <v>25</v>
      </c>
      <c r="I70" s="36">
        <f t="shared" si="2"/>
        <v>690</v>
      </c>
      <c r="J70" s="35" t="s">
        <v>41</v>
      </c>
      <c r="K70" s="35" t="s">
        <v>31</v>
      </c>
      <c r="L70" s="35" t="s">
        <v>363</v>
      </c>
      <c r="M70" s="35"/>
      <c r="N70" s="35"/>
      <c r="O70" s="35"/>
      <c r="P70" s="35"/>
      <c r="Q70" s="35">
        <v>1</v>
      </c>
    </row>
    <row r="71" spans="1:18" x14ac:dyDescent="0.25">
      <c r="A71" s="35"/>
      <c r="B71" s="35" t="s">
        <v>26</v>
      </c>
      <c r="C71" s="35" t="s">
        <v>507</v>
      </c>
      <c r="D71" s="35" t="s">
        <v>508</v>
      </c>
      <c r="E71" s="35" t="s">
        <v>509</v>
      </c>
      <c r="F71" s="35" t="s">
        <v>101</v>
      </c>
      <c r="G71" s="36">
        <v>705</v>
      </c>
      <c r="H71" s="36">
        <v>25</v>
      </c>
      <c r="I71" s="36">
        <f t="shared" si="2"/>
        <v>680</v>
      </c>
      <c r="J71" s="35" t="s">
        <v>41</v>
      </c>
      <c r="K71" s="35" t="s">
        <v>31</v>
      </c>
      <c r="L71" s="35" t="s">
        <v>363</v>
      </c>
      <c r="M71" s="35"/>
      <c r="N71" s="35"/>
      <c r="O71" s="35"/>
      <c r="P71" s="35"/>
      <c r="Q71" s="35">
        <v>1</v>
      </c>
    </row>
    <row r="72" spans="1:18" x14ac:dyDescent="0.25">
      <c r="A72" s="35"/>
      <c r="B72" s="35" t="s">
        <v>26</v>
      </c>
      <c r="C72" s="35" t="s">
        <v>510</v>
      </c>
      <c r="D72" s="35" t="s">
        <v>511</v>
      </c>
      <c r="E72" s="35" t="s">
        <v>512</v>
      </c>
      <c r="F72" s="35" t="s">
        <v>101</v>
      </c>
      <c r="G72" s="36">
        <v>435</v>
      </c>
      <c r="H72" s="36">
        <v>25</v>
      </c>
      <c r="I72" s="36">
        <f t="shared" si="2"/>
        <v>410</v>
      </c>
      <c r="J72" s="35" t="s">
        <v>41</v>
      </c>
      <c r="K72" s="35" t="s">
        <v>31</v>
      </c>
      <c r="L72" s="35" t="s">
        <v>363</v>
      </c>
      <c r="M72" s="35"/>
      <c r="N72" s="35"/>
      <c r="O72" s="35"/>
      <c r="P72" s="35"/>
      <c r="Q72" s="35">
        <v>1</v>
      </c>
    </row>
    <row r="73" spans="1:18" x14ac:dyDescent="0.25">
      <c r="A73" s="35"/>
      <c r="B73" s="35" t="s">
        <v>26</v>
      </c>
      <c r="C73" s="35" t="s">
        <v>537</v>
      </c>
      <c r="D73" s="35" t="s">
        <v>538</v>
      </c>
      <c r="E73" s="35" t="s">
        <v>539</v>
      </c>
      <c r="F73" s="35" t="s">
        <v>155</v>
      </c>
      <c r="G73" s="36">
        <v>310</v>
      </c>
      <c r="H73" s="36">
        <v>20</v>
      </c>
      <c r="I73" s="36">
        <f t="shared" si="2"/>
        <v>290</v>
      </c>
      <c r="J73" s="35" t="s">
        <v>41</v>
      </c>
      <c r="K73" s="35" t="s">
        <v>31</v>
      </c>
      <c r="L73" s="35" t="s">
        <v>363</v>
      </c>
      <c r="M73" s="35"/>
      <c r="N73" s="35"/>
      <c r="O73" s="35"/>
      <c r="P73" s="35"/>
      <c r="Q73" s="35">
        <v>1</v>
      </c>
    </row>
    <row r="74" spans="1:18" x14ac:dyDescent="0.25">
      <c r="A74" s="35"/>
      <c r="B74" s="35" t="s">
        <v>26</v>
      </c>
      <c r="C74" s="35" t="s">
        <v>540</v>
      </c>
      <c r="D74" s="35" t="s">
        <v>541</v>
      </c>
      <c r="E74" s="35" t="s">
        <v>542</v>
      </c>
      <c r="F74" s="36">
        <v>3</v>
      </c>
      <c r="G74" s="36">
        <v>575</v>
      </c>
      <c r="H74" s="36">
        <v>25</v>
      </c>
      <c r="I74" s="36">
        <f t="shared" si="2"/>
        <v>550</v>
      </c>
      <c r="J74" s="35" t="s">
        <v>41</v>
      </c>
      <c r="K74" s="35" t="s">
        <v>31</v>
      </c>
      <c r="L74" s="35" t="s">
        <v>363</v>
      </c>
      <c r="M74" s="35"/>
      <c r="N74" s="35"/>
      <c r="O74" s="35"/>
      <c r="P74" s="35"/>
      <c r="Q74" s="35">
        <v>1</v>
      </c>
    </row>
    <row r="75" spans="1:18" x14ac:dyDescent="0.25">
      <c r="A75" s="35"/>
      <c r="B75" s="35" t="s">
        <v>26</v>
      </c>
      <c r="C75" s="35" t="s">
        <v>546</v>
      </c>
      <c r="D75" s="35" t="s">
        <v>547</v>
      </c>
      <c r="E75" s="35" t="s">
        <v>548</v>
      </c>
      <c r="F75" s="36">
        <v>1</v>
      </c>
      <c r="G75" s="36">
        <v>635</v>
      </c>
      <c r="H75" s="36">
        <v>25</v>
      </c>
      <c r="I75" s="36">
        <f t="shared" si="2"/>
        <v>610</v>
      </c>
      <c r="J75" s="35" t="s">
        <v>41</v>
      </c>
      <c r="K75" s="35" t="s">
        <v>31</v>
      </c>
      <c r="L75" s="35" t="s">
        <v>363</v>
      </c>
      <c r="M75" s="35"/>
      <c r="N75" s="35"/>
      <c r="O75" s="35"/>
      <c r="P75" s="35"/>
      <c r="Q75" s="35">
        <v>1</v>
      </c>
    </row>
    <row r="76" spans="1:18" x14ac:dyDescent="0.25">
      <c r="A76" s="35"/>
      <c r="B76" s="35" t="s">
        <v>26</v>
      </c>
      <c r="C76" s="35" t="s">
        <v>552</v>
      </c>
      <c r="D76" s="35" t="s">
        <v>553</v>
      </c>
      <c r="E76" s="35" t="s">
        <v>554</v>
      </c>
      <c r="F76" s="36">
        <v>4</v>
      </c>
      <c r="G76" s="36">
        <v>415</v>
      </c>
      <c r="H76" s="36">
        <v>25</v>
      </c>
      <c r="I76" s="36">
        <f t="shared" si="2"/>
        <v>390</v>
      </c>
      <c r="J76" s="35" t="s">
        <v>41</v>
      </c>
      <c r="K76" s="35" t="s">
        <v>31</v>
      </c>
      <c r="L76" s="35" t="s">
        <v>363</v>
      </c>
      <c r="M76" s="35"/>
      <c r="N76" s="35"/>
      <c r="O76" s="35"/>
      <c r="P76" s="35"/>
      <c r="Q76" s="35">
        <v>1</v>
      </c>
    </row>
    <row r="77" spans="1:18" s="41" customFormat="1" x14ac:dyDescent="0.25">
      <c r="A77" s="39"/>
      <c r="B77" s="39" t="s">
        <v>26</v>
      </c>
      <c r="C77" s="39" t="s">
        <v>561</v>
      </c>
      <c r="D77" s="39" t="s">
        <v>562</v>
      </c>
      <c r="E77" s="39" t="s">
        <v>563</v>
      </c>
      <c r="F77" s="40">
        <v>10</v>
      </c>
      <c r="G77" s="40">
        <v>0</v>
      </c>
      <c r="H77" s="40">
        <v>25</v>
      </c>
      <c r="I77" s="40">
        <f t="shared" si="2"/>
        <v>-25</v>
      </c>
      <c r="J77" s="39" t="s">
        <v>41</v>
      </c>
      <c r="K77" s="39" t="s">
        <v>31</v>
      </c>
      <c r="L77" s="39" t="s">
        <v>363</v>
      </c>
      <c r="M77" s="39" t="s">
        <v>37</v>
      </c>
      <c r="N77" s="39"/>
      <c r="O77" s="39"/>
      <c r="P77" s="39"/>
      <c r="Q77" s="39">
        <v>1</v>
      </c>
      <c r="R77" s="42">
        <f>H77</f>
        <v>25</v>
      </c>
    </row>
    <row r="78" spans="1:18" x14ac:dyDescent="0.25">
      <c r="A78" s="35"/>
      <c r="B78" s="35" t="s">
        <v>26</v>
      </c>
      <c r="C78" s="35" t="s">
        <v>576</v>
      </c>
      <c r="D78" s="35" t="s">
        <v>577</v>
      </c>
      <c r="E78" s="35" t="s">
        <v>578</v>
      </c>
      <c r="F78" s="36">
        <v>4</v>
      </c>
      <c r="G78" s="36">
        <v>435</v>
      </c>
      <c r="H78" s="36">
        <v>25</v>
      </c>
      <c r="I78" s="36">
        <f t="shared" si="2"/>
        <v>410</v>
      </c>
      <c r="J78" s="35" t="s">
        <v>41</v>
      </c>
      <c r="K78" s="35" t="s">
        <v>31</v>
      </c>
      <c r="L78" s="35" t="s">
        <v>363</v>
      </c>
      <c r="M78" s="35"/>
      <c r="N78" s="35"/>
      <c r="O78" s="35"/>
      <c r="P78" s="35"/>
      <c r="Q78" s="35">
        <v>1</v>
      </c>
    </row>
    <row r="79" spans="1:18" s="30" customFormat="1" x14ac:dyDescent="0.25">
      <c r="A79" s="37"/>
      <c r="B79" s="37" t="s">
        <v>26</v>
      </c>
      <c r="C79" s="37" t="s">
        <v>374</v>
      </c>
      <c r="D79" s="37" t="s">
        <v>375</v>
      </c>
      <c r="E79" s="37" t="s">
        <v>376</v>
      </c>
      <c r="F79" s="37" t="s">
        <v>377</v>
      </c>
      <c r="G79" s="43">
        <v>270</v>
      </c>
      <c r="H79" s="43">
        <v>0</v>
      </c>
      <c r="I79" s="43">
        <f t="shared" si="2"/>
        <v>270</v>
      </c>
      <c r="J79" s="37" t="s">
        <v>118</v>
      </c>
      <c r="K79" s="37" t="s">
        <v>31</v>
      </c>
      <c r="L79" s="37" t="s">
        <v>363</v>
      </c>
      <c r="M79" s="37" t="s">
        <v>378</v>
      </c>
      <c r="N79" s="37" t="s">
        <v>316</v>
      </c>
      <c r="O79" s="37"/>
      <c r="P79" s="37" t="s">
        <v>317</v>
      </c>
      <c r="Q79" s="37">
        <v>1</v>
      </c>
    </row>
    <row r="80" spans="1:18" s="30" customFormat="1" x14ac:dyDescent="0.25">
      <c r="A80" s="37"/>
      <c r="B80" s="37" t="s">
        <v>26</v>
      </c>
      <c r="C80" s="37" t="s">
        <v>283</v>
      </c>
      <c r="D80" s="37" t="s">
        <v>284</v>
      </c>
      <c r="E80" s="37" t="s">
        <v>285</v>
      </c>
      <c r="F80" s="37" t="s">
        <v>58</v>
      </c>
      <c r="G80" s="43">
        <v>460</v>
      </c>
      <c r="H80" s="43">
        <v>20</v>
      </c>
      <c r="I80" s="43">
        <f t="shared" si="2"/>
        <v>440</v>
      </c>
      <c r="J80" s="37" t="s">
        <v>118</v>
      </c>
      <c r="K80" s="37" t="s">
        <v>31</v>
      </c>
      <c r="L80" s="37" t="s">
        <v>102</v>
      </c>
      <c r="M80" s="37" t="s">
        <v>91</v>
      </c>
      <c r="N80" s="37" t="s">
        <v>316</v>
      </c>
      <c r="O80" s="37" t="s">
        <v>316</v>
      </c>
      <c r="P80" s="37" t="s">
        <v>317</v>
      </c>
      <c r="Q80" s="37">
        <v>1</v>
      </c>
    </row>
    <row r="81" spans="1:17" s="30" customFormat="1" x14ac:dyDescent="0.25">
      <c r="A81" s="37"/>
      <c r="B81" s="37" t="s">
        <v>26</v>
      </c>
      <c r="C81" s="37" t="s">
        <v>585</v>
      </c>
      <c r="D81" s="37" t="s">
        <v>586</v>
      </c>
      <c r="E81" s="37" t="s">
        <v>587</v>
      </c>
      <c r="F81" s="43">
        <v>2</v>
      </c>
      <c r="G81" s="43">
        <v>640</v>
      </c>
      <c r="H81" s="43">
        <v>30</v>
      </c>
      <c r="I81" s="43">
        <f t="shared" si="2"/>
        <v>610</v>
      </c>
      <c r="J81" s="37" t="s">
        <v>118</v>
      </c>
      <c r="K81" s="37" t="s">
        <v>31</v>
      </c>
      <c r="L81" s="37" t="s">
        <v>332</v>
      </c>
      <c r="M81" s="37" t="s">
        <v>91</v>
      </c>
      <c r="N81" s="37" t="s">
        <v>316</v>
      </c>
      <c r="O81" s="37" t="s">
        <v>316</v>
      </c>
      <c r="P81" s="37" t="s">
        <v>317</v>
      </c>
      <c r="Q81" s="37">
        <v>1</v>
      </c>
    </row>
    <row r="82" spans="1:17" s="30" customFormat="1" x14ac:dyDescent="0.25">
      <c r="A82" s="37"/>
      <c r="B82" s="37" t="s">
        <v>26</v>
      </c>
      <c r="C82" s="37" t="s">
        <v>165</v>
      </c>
      <c r="D82" s="37" t="s">
        <v>166</v>
      </c>
      <c r="E82" s="37" t="s">
        <v>167</v>
      </c>
      <c r="F82" s="43">
        <v>10</v>
      </c>
      <c r="G82" s="43">
        <v>755</v>
      </c>
      <c r="H82" s="43">
        <v>25</v>
      </c>
      <c r="I82" s="43">
        <f t="shared" si="2"/>
        <v>730</v>
      </c>
      <c r="J82" s="37" t="s">
        <v>118</v>
      </c>
      <c r="K82" s="37" t="s">
        <v>31</v>
      </c>
      <c r="L82" s="37" t="s">
        <v>102</v>
      </c>
      <c r="M82" s="37" t="s">
        <v>91</v>
      </c>
      <c r="N82" s="37" t="s">
        <v>316</v>
      </c>
      <c r="O82" s="37" t="s">
        <v>316</v>
      </c>
      <c r="P82" s="37" t="s">
        <v>317</v>
      </c>
      <c r="Q82" s="37">
        <v>1</v>
      </c>
    </row>
    <row r="84" spans="1:17" x14ac:dyDescent="0.25">
      <c r="D84" s="26">
        <f>COUNTA(D3:D82)</f>
        <v>78</v>
      </c>
      <c r="G84" s="26">
        <f t="shared" ref="G84:Q84" si="3">SUBTOTAL(9,G3:G82)</f>
        <v>70671</v>
      </c>
      <c r="H84" s="26">
        <f t="shared" si="3"/>
        <v>2205</v>
      </c>
      <c r="I84" s="26">
        <f t="shared" si="3"/>
        <v>68466</v>
      </c>
      <c r="J84" s="26">
        <f t="shared" si="3"/>
        <v>0</v>
      </c>
      <c r="K84" s="26">
        <f t="shared" si="3"/>
        <v>0</v>
      </c>
      <c r="L84" s="26">
        <f t="shared" si="3"/>
        <v>0</v>
      </c>
      <c r="M84" s="26">
        <f t="shared" si="3"/>
        <v>0</v>
      </c>
      <c r="N84" s="26">
        <f t="shared" si="3"/>
        <v>0</v>
      </c>
      <c r="O84" s="26">
        <f t="shared" si="3"/>
        <v>0</v>
      </c>
      <c r="P84" s="26">
        <f t="shared" si="3"/>
        <v>0</v>
      </c>
      <c r="Q84" s="26">
        <f t="shared" si="3"/>
        <v>80</v>
      </c>
    </row>
    <row r="85" spans="1:17" x14ac:dyDescent="0.25">
      <c r="H85" s="24">
        <f>-20*17</f>
        <v>-340</v>
      </c>
    </row>
    <row r="86" spans="1:17" x14ac:dyDescent="0.25">
      <c r="A86" s="26" t="s">
        <v>26</v>
      </c>
      <c r="C86" s="80" t="s">
        <v>78</v>
      </c>
      <c r="D86" s="80"/>
      <c r="E86" s="27" t="s">
        <v>79</v>
      </c>
      <c r="H86" s="24">
        <f>-10*25</f>
        <v>-250</v>
      </c>
      <c r="K86" s="28" t="s">
        <v>31</v>
      </c>
      <c r="L86" s="28" t="s">
        <v>80</v>
      </c>
      <c r="M86" s="28" t="s">
        <v>79</v>
      </c>
      <c r="O86" s="27" t="s">
        <v>81</v>
      </c>
    </row>
    <row r="87" spans="1:17" x14ac:dyDescent="0.25">
      <c r="A87" s="24" t="s">
        <v>363</v>
      </c>
      <c r="B87" s="29" t="s">
        <v>82</v>
      </c>
      <c r="C87" s="81">
        <f>SUMIFS(I$3:I$82,B$3:B$82,A$86,L$3:L$82,A$87)</f>
        <v>66686</v>
      </c>
      <c r="D87" s="81"/>
      <c r="E87" s="29">
        <f>SUMIFS(Q$3:Q$82,B$3:B$82,A$86,L$3:L$82,A$87)</f>
        <v>77</v>
      </c>
      <c r="F87" s="24" t="s">
        <v>83</v>
      </c>
      <c r="H87" s="24">
        <f>-2*30</f>
        <v>-60</v>
      </c>
      <c r="K87" s="24" t="s">
        <v>84</v>
      </c>
      <c r="L87" s="24">
        <f>SUMIFS(G$3:G$82,J$3:J$82,K$86)</f>
        <v>15075</v>
      </c>
      <c r="M87" s="24">
        <f>SUMIFS(Q$3:Q$82,J$3:J$82,K$86)-INT(COUNTIFS(J$3:J$82,K$86,M$3:M$82,"*gộp*")/2)</f>
        <v>22</v>
      </c>
      <c r="O87" s="24" t="s">
        <v>31</v>
      </c>
      <c r="P87" s="24">
        <f>L92</f>
        <v>13386</v>
      </c>
    </row>
    <row r="88" spans="1:17" x14ac:dyDescent="0.25">
      <c r="B88" s="30" t="s">
        <v>86</v>
      </c>
      <c r="C88" s="82">
        <v>0</v>
      </c>
      <c r="D88" s="82"/>
      <c r="K88" s="24" t="s">
        <v>87</v>
      </c>
      <c r="L88" s="24">
        <f>-SUMIFS(H$3:H$82,J$3:J$82,K$86)+M88*5</f>
        <v>-485</v>
      </c>
      <c r="M88" s="24">
        <f>SUMIFS(Q$3:Q$82,J$3:J$82,K$86)-INT(COUNTIFS(J$3:J$82,K$86,M$3:M$82,"*gộp*")/2)</f>
        <v>22</v>
      </c>
      <c r="O88" s="24" t="s">
        <v>588</v>
      </c>
      <c r="P88" s="24">
        <f>L100</f>
        <v>37448</v>
      </c>
    </row>
    <row r="89" spans="1:17" x14ac:dyDescent="0.25">
      <c r="B89" s="30" t="s">
        <v>88</v>
      </c>
      <c r="C89" s="82">
        <f>-SUMIFS(I$3:I$82,B$3:B$82,A$86,P$3:P$82,"xx",N$3:N$82,"x")</f>
        <v>-2050</v>
      </c>
      <c r="D89" s="82"/>
      <c r="E89" s="30">
        <f>SUMIFS(Q$3:Q$82,B$3:B$82,A$86,P$3:P$82,"xx",N$3:N$82,"x")</f>
        <v>4</v>
      </c>
      <c r="K89" s="24" t="s">
        <v>89</v>
      </c>
      <c r="L89" s="24">
        <f>-M89*2</f>
        <v>-144</v>
      </c>
      <c r="M89" s="24">
        <f>COUNTIFS(K$3:K$82,K$86,L$3:L$82,A$87)-(COUNTIFS(K$3:K$82,K$86,M$3:M$82,"*gộp*")/2)-COUNTIFS(K$3:K$82,K$86,M$3:M$82,"*đơn trả*")-COUNTIFS(K$3:K$82,K$86,M$3:M$82,"*hàng tỉnh*")</f>
        <v>72</v>
      </c>
      <c r="O89" s="24" t="s">
        <v>41</v>
      </c>
      <c r="P89" s="24">
        <f>L108</f>
        <v>14213</v>
      </c>
    </row>
    <row r="90" spans="1:17" x14ac:dyDescent="0.25">
      <c r="B90" s="27" t="s">
        <v>90</v>
      </c>
      <c r="C90" s="80">
        <f>SUBTOTAL(9,C87:C89)</f>
        <v>64636</v>
      </c>
      <c r="D90" s="80"/>
      <c r="E90" s="24">
        <f>E87</f>
        <v>77</v>
      </c>
      <c r="K90" s="31" t="s">
        <v>91</v>
      </c>
      <c r="L90" s="48">
        <v>-1060</v>
      </c>
      <c r="M90" s="48" t="s">
        <v>589</v>
      </c>
      <c r="O90" s="24" t="s">
        <v>92</v>
      </c>
      <c r="P90" s="24">
        <f>-C94</f>
        <v>-64636</v>
      </c>
    </row>
    <row r="91" spans="1:17" x14ac:dyDescent="0.25">
      <c r="B91" s="30" t="s">
        <v>93</v>
      </c>
      <c r="C91" s="78"/>
      <c r="D91" s="78"/>
      <c r="K91" s="30" t="s">
        <v>94</v>
      </c>
      <c r="L91" s="49"/>
      <c r="M91" s="49"/>
      <c r="O91" s="27" t="s">
        <v>95</v>
      </c>
      <c r="P91" s="27">
        <f>SUBTOTAL(9,P87:P90)</f>
        <v>411</v>
      </c>
    </row>
    <row r="92" spans="1:17" x14ac:dyDescent="0.25">
      <c r="B92" s="32" t="s">
        <v>96</v>
      </c>
      <c r="C92" s="78"/>
      <c r="D92" s="78"/>
      <c r="L92" s="33">
        <f>SUBTOTAL(9,L87:L91)</f>
        <v>13386</v>
      </c>
      <c r="M92" s="33">
        <f>M87</f>
        <v>22</v>
      </c>
    </row>
    <row r="94" spans="1:17" x14ac:dyDescent="0.25">
      <c r="B94" s="26" t="s">
        <v>97</v>
      </c>
      <c r="C94" s="79">
        <f>C90+C91+C92</f>
        <v>64636</v>
      </c>
      <c r="D94" s="79"/>
      <c r="E94" s="26" t="s">
        <v>98</v>
      </c>
      <c r="K94" s="28" t="s">
        <v>370</v>
      </c>
      <c r="L94" s="28" t="s">
        <v>80</v>
      </c>
      <c r="M94" s="28" t="s">
        <v>79</v>
      </c>
    </row>
    <row r="95" spans="1:17" x14ac:dyDescent="0.25">
      <c r="K95" s="24" t="s">
        <v>84</v>
      </c>
      <c r="L95" s="24">
        <f>SUMIFS(G$3:G$82,J$3:J$82,K$94)</f>
        <v>38098</v>
      </c>
      <c r="M95" s="24">
        <f>SUMIFS(Q$3:Q$82,J$3:J$82,K$94)-INT(COUNTIFS(J$3:J$82,K$94,M$3:M$82,"*gộp*")/2)</f>
        <v>32</v>
      </c>
    </row>
    <row r="96" spans="1:17" x14ac:dyDescent="0.25">
      <c r="K96" s="24" t="s">
        <v>87</v>
      </c>
      <c r="L96" s="24">
        <f>SUM(H85:H87)</f>
        <v>-650</v>
      </c>
      <c r="M96" s="24">
        <f>SUMIFS(Q$3:Q$82,J$3:J$82,K$94)-INT(COUNTIFS(J$3:J$82,K$94,M$3:M$82,"*gộp*")/2)</f>
        <v>32</v>
      </c>
    </row>
    <row r="97" spans="11:13" x14ac:dyDescent="0.25">
      <c r="K97" s="24" t="s">
        <v>89</v>
      </c>
      <c r="L97" s="24">
        <f>-M97*2</f>
        <v>0</v>
      </c>
      <c r="M97" s="24">
        <f>COUNTIFS(K$3:K$82,K$94,L$3:L$82,A$87)-(COUNTIFS(K$3:K$82,K$94,M$3:M$82,"*gộp*")/2)-COUNTIFS(K$3:K$82,K$94,M$3:M$82,"*đơn trả*")-COUNTIFS(K$3:K$82,K$94,M$3:M$82,"*hàng tỉnh*")</f>
        <v>0</v>
      </c>
    </row>
    <row r="98" spans="11:13" x14ac:dyDescent="0.25">
      <c r="K98" s="31" t="s">
        <v>91</v>
      </c>
    </row>
    <row r="99" spans="11:13" x14ac:dyDescent="0.25">
      <c r="K99" s="30" t="s">
        <v>94</v>
      </c>
    </row>
    <row r="100" spans="11:13" x14ac:dyDescent="0.25">
      <c r="L100" s="33">
        <f>SUBTOTAL(9,L95:L99)</f>
        <v>37448</v>
      </c>
      <c r="M100" s="33">
        <f>M95</f>
        <v>32</v>
      </c>
    </row>
    <row r="102" spans="11:13" x14ac:dyDescent="0.25">
      <c r="K102" s="28" t="s">
        <v>41</v>
      </c>
      <c r="L102" s="28" t="s">
        <v>80</v>
      </c>
      <c r="M102" s="28" t="s">
        <v>79</v>
      </c>
    </row>
    <row r="103" spans="11:13" x14ac:dyDescent="0.25">
      <c r="K103" s="24" t="s">
        <v>84</v>
      </c>
      <c r="L103" s="24">
        <f>SUMIFS(G$3:G$82,J$3:J$82,K$102)</f>
        <v>15373</v>
      </c>
      <c r="M103" s="24">
        <f>SUMIFS(Q$3:Q$82,J$3:J$82,K$102)-INT(COUNTIFS(J$3:J$82,K$102,M$3:M$82,"*gộp*")/2)</f>
        <v>21</v>
      </c>
    </row>
    <row r="104" spans="11:13" x14ac:dyDescent="0.25">
      <c r="K104" s="24" t="s">
        <v>87</v>
      </c>
      <c r="L104" s="24">
        <f>-SUMIFS(H$3:H$82,J$3:J$82,K$102)+M104*5</f>
        <v>-425</v>
      </c>
      <c r="M104" s="24">
        <f>SUMIFS(Q$3:Q$82,J$3:J$82,K$102)-INT(COUNTIFS(J$3:J$82,K$102,M$3:M$82,"*gộp*")/2)</f>
        <v>21</v>
      </c>
    </row>
    <row r="105" spans="11:13" x14ac:dyDescent="0.25">
      <c r="K105" s="24" t="s">
        <v>89</v>
      </c>
      <c r="L105" s="24">
        <f>-M105*2</f>
        <v>0</v>
      </c>
      <c r="M105" s="24">
        <f>COUNTIFS(K$3:K$82,K$102,L$3:L$82,A$87)-(COUNTIFS(K$3:K$82,K$102,M$3:M$82,"*gộp*")/2)-COUNTIFS(K$3:K$82,K$102,M$3:M$82,"*đơn trả*")-COUNTIFS(K$3:K$82,K$102,M$3:M$82,"*hàng tỉnh*")</f>
        <v>0</v>
      </c>
    </row>
    <row r="106" spans="11:13" x14ac:dyDescent="0.25">
      <c r="K106" s="31" t="s">
        <v>91</v>
      </c>
      <c r="L106" s="48">
        <v>-735</v>
      </c>
      <c r="M106" s="48" t="s">
        <v>590</v>
      </c>
    </row>
    <row r="107" spans="11:13" x14ac:dyDescent="0.25">
      <c r="K107" s="30" t="s">
        <v>94</v>
      </c>
      <c r="L107" s="49"/>
      <c r="M107" s="49"/>
    </row>
    <row r="108" spans="11:13" x14ac:dyDescent="0.25">
      <c r="L108" s="33">
        <f>SUBTOTAL(9,L103:L107)</f>
        <v>14213</v>
      </c>
      <c r="M108" s="33">
        <f>M103</f>
        <v>21</v>
      </c>
    </row>
  </sheetData>
  <autoFilter ref="A2:P82" xr:uid="{00000000-0009-0000-0000-000000000000}">
    <sortState xmlns:xlrd2="http://schemas.microsoft.com/office/spreadsheetml/2017/richdata2" ref="A3:P82">
      <sortCondition ref="J2:J82"/>
    </sortState>
  </autoFilter>
  <mergeCells count="8">
    <mergeCell ref="C92:D92"/>
    <mergeCell ref="C94:D94"/>
    <mergeCell ref="C86:D86"/>
    <mergeCell ref="C87:D87"/>
    <mergeCell ref="C88:D88"/>
    <mergeCell ref="C89:D89"/>
    <mergeCell ref="C90:D90"/>
    <mergeCell ref="C91:D91"/>
  </mergeCell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148E-C744-4EA2-8030-B4172291D065}">
  <dimension ref="A1:R141"/>
  <sheetViews>
    <sheetView topLeftCell="A46" zoomScale="90" zoomScaleNormal="90" workbookViewId="0">
      <selection activeCell="D46" sqref="D46"/>
    </sheetView>
  </sheetViews>
  <sheetFormatPr defaultRowHeight="15" x14ac:dyDescent="0.25"/>
  <cols>
    <col min="1" max="1" width="12.7109375" style="24" customWidth="1"/>
    <col min="2" max="2" width="8.85546875" style="24" customWidth="1"/>
    <col min="3" max="3" width="37.7109375" style="24" customWidth="1"/>
    <col min="4" max="4" width="9.85546875" style="24" customWidth="1"/>
    <col min="5" max="5" width="87.42578125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2.5703125" style="24" bestFit="1" customWidth="1"/>
    <col min="13" max="13" width="18.28515625" style="24" bestFit="1" customWidth="1"/>
    <col min="14" max="14" width="9.7109375" style="24" customWidth="1"/>
    <col min="15" max="15" width="13.140625" style="24" bestFit="1" customWidth="1"/>
    <col min="16" max="16" width="7.28515625" style="24" bestFit="1" customWidth="1"/>
    <col min="17" max="16384" width="9.140625" style="24"/>
  </cols>
  <sheetData>
    <row r="1" spans="1:18" x14ac:dyDescent="0.25">
      <c r="B1" s="24" t="s">
        <v>594</v>
      </c>
      <c r="C1" s="24" t="s">
        <v>595</v>
      </c>
      <c r="I1" s="24">
        <f>G1-H1</f>
        <v>0</v>
      </c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s="41" customFormat="1" x14ac:dyDescent="0.25">
      <c r="A3" s="39"/>
      <c r="B3" s="39" t="s">
        <v>26</v>
      </c>
      <c r="C3" s="39" t="s">
        <v>607</v>
      </c>
      <c r="D3" s="39" t="s">
        <v>608</v>
      </c>
      <c r="E3" s="39" t="s">
        <v>609</v>
      </c>
      <c r="F3" s="39" t="s">
        <v>45</v>
      </c>
      <c r="G3" s="40">
        <v>0</v>
      </c>
      <c r="H3" s="40">
        <v>25</v>
      </c>
      <c r="I3" s="40">
        <f t="shared" ref="I3:I34" si="0">G3-H3</f>
        <v>-25</v>
      </c>
      <c r="J3" s="39" t="s">
        <v>610</v>
      </c>
      <c r="K3" s="39" t="s">
        <v>31</v>
      </c>
      <c r="L3" s="39" t="s">
        <v>599</v>
      </c>
      <c r="M3" s="39" t="s">
        <v>37</v>
      </c>
      <c r="N3" s="39"/>
      <c r="O3" s="39"/>
      <c r="P3" s="39"/>
      <c r="Q3" s="39">
        <v>1</v>
      </c>
      <c r="R3" s="42">
        <f>H3</f>
        <v>25</v>
      </c>
    </row>
    <row r="4" spans="1:18" x14ac:dyDescent="0.25">
      <c r="A4" s="35"/>
      <c r="B4" s="35" t="s">
        <v>26</v>
      </c>
      <c r="C4" s="35" t="s">
        <v>617</v>
      </c>
      <c r="D4" s="35" t="s">
        <v>618</v>
      </c>
      <c r="E4" s="35" t="s">
        <v>619</v>
      </c>
      <c r="F4" s="35" t="s">
        <v>101</v>
      </c>
      <c r="G4" s="36">
        <v>435</v>
      </c>
      <c r="H4" s="36">
        <v>25</v>
      </c>
      <c r="I4" s="36">
        <f t="shared" si="0"/>
        <v>410</v>
      </c>
      <c r="J4" s="35" t="s">
        <v>610</v>
      </c>
      <c r="K4" s="35" t="s">
        <v>31</v>
      </c>
      <c r="L4" s="35" t="s">
        <v>599</v>
      </c>
      <c r="M4" s="35"/>
      <c r="N4" s="35"/>
      <c r="O4" s="35"/>
      <c r="P4" s="35"/>
      <c r="Q4" s="35">
        <v>1</v>
      </c>
    </row>
    <row r="5" spans="1:18" x14ac:dyDescent="0.25">
      <c r="A5" s="35"/>
      <c r="B5" s="35" t="s">
        <v>26</v>
      </c>
      <c r="C5" s="35" t="s">
        <v>673</v>
      </c>
      <c r="D5" s="35" t="s">
        <v>674</v>
      </c>
      <c r="E5" s="35" t="s">
        <v>675</v>
      </c>
      <c r="F5" s="35" t="s">
        <v>77</v>
      </c>
      <c r="G5" s="36">
        <v>30</v>
      </c>
      <c r="H5" s="36">
        <v>30</v>
      </c>
      <c r="I5" s="36">
        <f t="shared" si="0"/>
        <v>0</v>
      </c>
      <c r="J5" s="35" t="s">
        <v>610</v>
      </c>
      <c r="K5" s="35" t="s">
        <v>31</v>
      </c>
      <c r="L5" s="35" t="s">
        <v>599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708</v>
      </c>
      <c r="D6" s="35" t="s">
        <v>709</v>
      </c>
      <c r="E6" s="35" t="s">
        <v>710</v>
      </c>
      <c r="F6" s="36">
        <v>12</v>
      </c>
      <c r="G6" s="36">
        <v>850</v>
      </c>
      <c r="H6" s="36">
        <v>30</v>
      </c>
      <c r="I6" s="36">
        <f t="shared" si="0"/>
        <v>820</v>
      </c>
      <c r="J6" s="35" t="s">
        <v>610</v>
      </c>
      <c r="K6" s="35" t="s">
        <v>31</v>
      </c>
      <c r="L6" s="35" t="s">
        <v>599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763</v>
      </c>
      <c r="D7" s="35" t="s">
        <v>775</v>
      </c>
      <c r="E7" s="35" t="s">
        <v>765</v>
      </c>
      <c r="F7" s="35" t="s">
        <v>132</v>
      </c>
      <c r="G7" s="36">
        <v>1610</v>
      </c>
      <c r="H7" s="36">
        <v>45</v>
      </c>
      <c r="I7" s="36">
        <f t="shared" si="0"/>
        <v>1565</v>
      </c>
      <c r="J7" s="35" t="s">
        <v>610</v>
      </c>
      <c r="K7" s="35" t="s">
        <v>31</v>
      </c>
      <c r="L7" s="35" t="s">
        <v>599</v>
      </c>
      <c r="M7" s="38" t="s">
        <v>906</v>
      </c>
      <c r="N7" s="35"/>
      <c r="O7" s="35"/>
      <c r="P7" s="35"/>
      <c r="Q7" s="35">
        <v>1</v>
      </c>
      <c r="R7" s="25">
        <f>H7</f>
        <v>45</v>
      </c>
    </row>
    <row r="8" spans="1:18" x14ac:dyDescent="0.25">
      <c r="A8" s="35"/>
      <c r="B8" s="35" t="s">
        <v>26</v>
      </c>
      <c r="C8" s="35" t="s">
        <v>763</v>
      </c>
      <c r="D8" s="35" t="s">
        <v>764</v>
      </c>
      <c r="E8" s="35" t="s">
        <v>765</v>
      </c>
      <c r="F8" s="35" t="s">
        <v>132</v>
      </c>
      <c r="G8" s="36">
        <v>1840</v>
      </c>
      <c r="H8" s="36">
        <v>0</v>
      </c>
      <c r="I8" s="36">
        <f t="shared" si="0"/>
        <v>1840</v>
      </c>
      <c r="J8" s="35" t="s">
        <v>610</v>
      </c>
      <c r="K8" s="35" t="s">
        <v>31</v>
      </c>
      <c r="L8" s="35" t="s">
        <v>599</v>
      </c>
      <c r="M8" s="38" t="s">
        <v>423</v>
      </c>
      <c r="N8" s="35"/>
      <c r="O8" s="35"/>
      <c r="P8" s="35"/>
      <c r="Q8" s="35">
        <v>1</v>
      </c>
    </row>
    <row r="9" spans="1:18" x14ac:dyDescent="0.25">
      <c r="A9" s="35"/>
      <c r="B9" s="35" t="s">
        <v>26</v>
      </c>
      <c r="C9" s="35" t="s">
        <v>788</v>
      </c>
      <c r="D9" s="35" t="s">
        <v>789</v>
      </c>
      <c r="E9" s="35" t="s">
        <v>790</v>
      </c>
      <c r="F9" s="36">
        <v>12</v>
      </c>
      <c r="G9" s="36">
        <v>0</v>
      </c>
      <c r="H9" s="36">
        <v>30</v>
      </c>
      <c r="I9" s="36">
        <f t="shared" si="0"/>
        <v>-30</v>
      </c>
      <c r="J9" s="35" t="s">
        <v>610</v>
      </c>
      <c r="K9" s="35" t="s">
        <v>31</v>
      </c>
      <c r="L9" s="35" t="s">
        <v>599</v>
      </c>
      <c r="M9" s="35"/>
      <c r="N9" s="35"/>
      <c r="O9" s="35"/>
      <c r="P9" s="35"/>
      <c r="Q9" s="35">
        <v>1</v>
      </c>
      <c r="R9" s="25">
        <f t="shared" ref="R9:R10" si="1">H9</f>
        <v>30</v>
      </c>
    </row>
    <row r="10" spans="1:18" x14ac:dyDescent="0.25">
      <c r="A10" s="35" t="s">
        <v>66</v>
      </c>
      <c r="B10" s="35" t="s">
        <v>26</v>
      </c>
      <c r="C10" s="35" t="s">
        <v>793</v>
      </c>
      <c r="D10" s="35"/>
      <c r="E10" s="35" t="s">
        <v>794</v>
      </c>
      <c r="F10" s="36">
        <v>7</v>
      </c>
      <c r="G10" s="36">
        <v>0</v>
      </c>
      <c r="H10" s="36">
        <v>35</v>
      </c>
      <c r="I10" s="36">
        <f t="shared" si="0"/>
        <v>-35</v>
      </c>
      <c r="J10" s="35" t="s">
        <v>610</v>
      </c>
      <c r="K10" s="35" t="s">
        <v>31</v>
      </c>
      <c r="L10" s="35" t="s">
        <v>599</v>
      </c>
      <c r="M10" s="35"/>
      <c r="N10" s="35"/>
      <c r="O10" s="35"/>
      <c r="P10" s="35"/>
      <c r="Q10" s="35">
        <v>1</v>
      </c>
      <c r="R10" s="25">
        <f t="shared" si="1"/>
        <v>35</v>
      </c>
    </row>
    <row r="11" spans="1:18" s="50" customFormat="1" x14ac:dyDescent="0.25">
      <c r="A11" s="51"/>
      <c r="B11" s="51" t="s">
        <v>26</v>
      </c>
      <c r="C11" s="51" t="s">
        <v>893</v>
      </c>
      <c r="D11" s="51" t="s">
        <v>894</v>
      </c>
      <c r="E11" s="51" t="s">
        <v>895</v>
      </c>
      <c r="F11" s="51" t="s">
        <v>77</v>
      </c>
      <c r="G11" s="52">
        <v>1390</v>
      </c>
      <c r="H11" s="52">
        <v>30</v>
      </c>
      <c r="I11" s="52">
        <f t="shared" si="0"/>
        <v>1360</v>
      </c>
      <c r="J11" s="51" t="s">
        <v>610</v>
      </c>
      <c r="K11" s="51" t="s">
        <v>31</v>
      </c>
      <c r="L11" s="51" t="s">
        <v>321</v>
      </c>
      <c r="M11" s="51" t="s">
        <v>896</v>
      </c>
      <c r="N11" s="51"/>
      <c r="O11" s="51"/>
      <c r="P11" s="51"/>
      <c r="Q11" s="51">
        <v>1</v>
      </c>
    </row>
    <row r="12" spans="1:18" x14ac:dyDescent="0.25">
      <c r="A12" s="35"/>
      <c r="B12" s="35" t="s">
        <v>26</v>
      </c>
      <c r="C12" s="35" t="s">
        <v>600</v>
      </c>
      <c r="D12" s="35" t="s">
        <v>601</v>
      </c>
      <c r="E12" s="35" t="s">
        <v>602</v>
      </c>
      <c r="F12" s="36">
        <v>7</v>
      </c>
      <c r="G12" s="36">
        <v>250</v>
      </c>
      <c r="H12" s="36">
        <v>30</v>
      </c>
      <c r="I12" s="36">
        <f t="shared" si="0"/>
        <v>220</v>
      </c>
      <c r="J12" s="35" t="s">
        <v>603</v>
      </c>
      <c r="K12" s="35" t="s">
        <v>31</v>
      </c>
      <c r="L12" s="35" t="s">
        <v>599</v>
      </c>
      <c r="M12" s="35"/>
      <c r="N12" s="35"/>
      <c r="O12" s="35"/>
      <c r="P12" s="35"/>
      <c r="Q12" s="35">
        <v>1</v>
      </c>
    </row>
    <row r="13" spans="1:18" x14ac:dyDescent="0.25">
      <c r="A13" s="35"/>
      <c r="B13" s="35" t="s">
        <v>26</v>
      </c>
      <c r="C13" s="35" t="s">
        <v>632</v>
      </c>
      <c r="D13" s="35" t="s">
        <v>633</v>
      </c>
      <c r="E13" s="35" t="s">
        <v>634</v>
      </c>
      <c r="F13" s="36">
        <v>9</v>
      </c>
      <c r="G13" s="36">
        <v>400</v>
      </c>
      <c r="H13" s="36">
        <v>30</v>
      </c>
      <c r="I13" s="36">
        <f t="shared" si="0"/>
        <v>370</v>
      </c>
      <c r="J13" s="35" t="s">
        <v>603</v>
      </c>
      <c r="K13" s="35" t="s">
        <v>31</v>
      </c>
      <c r="L13" s="35" t="s">
        <v>599</v>
      </c>
      <c r="M13" s="35"/>
      <c r="N13" s="35"/>
      <c r="O13" s="35"/>
      <c r="P13" s="35"/>
      <c r="Q13" s="35">
        <v>1</v>
      </c>
    </row>
    <row r="14" spans="1:18" x14ac:dyDescent="0.25">
      <c r="A14" s="35"/>
      <c r="B14" s="35" t="s">
        <v>26</v>
      </c>
      <c r="C14" s="35" t="s">
        <v>638</v>
      </c>
      <c r="D14" s="35" t="s">
        <v>639</v>
      </c>
      <c r="E14" s="35" t="s">
        <v>640</v>
      </c>
      <c r="F14" s="36">
        <v>6</v>
      </c>
      <c r="G14" s="36">
        <v>705</v>
      </c>
      <c r="H14" s="36">
        <v>25</v>
      </c>
      <c r="I14" s="36">
        <f t="shared" si="0"/>
        <v>680</v>
      </c>
      <c r="J14" s="35" t="s">
        <v>603</v>
      </c>
      <c r="K14" s="35" t="s">
        <v>31</v>
      </c>
      <c r="L14" s="35" t="s">
        <v>599</v>
      </c>
      <c r="M14" s="35"/>
      <c r="N14" s="35"/>
      <c r="O14" s="35"/>
      <c r="P14" s="35"/>
      <c r="Q14" s="35">
        <v>1</v>
      </c>
    </row>
    <row r="15" spans="1:18" x14ac:dyDescent="0.25">
      <c r="A15" s="35"/>
      <c r="B15" s="35" t="s">
        <v>26</v>
      </c>
      <c r="C15" s="35" t="s">
        <v>658</v>
      </c>
      <c r="D15" s="35" t="s">
        <v>659</v>
      </c>
      <c r="E15" s="35" t="s">
        <v>660</v>
      </c>
      <c r="F15" s="36">
        <v>7</v>
      </c>
      <c r="G15" s="36">
        <v>520</v>
      </c>
      <c r="H15" s="36">
        <v>30</v>
      </c>
      <c r="I15" s="36">
        <f t="shared" si="0"/>
        <v>490</v>
      </c>
      <c r="J15" s="35" t="s">
        <v>603</v>
      </c>
      <c r="K15" s="35" t="s">
        <v>31</v>
      </c>
      <c r="L15" s="35" t="s">
        <v>599</v>
      </c>
      <c r="M15" s="35"/>
      <c r="N15" s="35"/>
      <c r="O15" s="35"/>
      <c r="P15" s="35"/>
      <c r="Q15" s="35">
        <v>1</v>
      </c>
    </row>
    <row r="16" spans="1:18" x14ac:dyDescent="0.25">
      <c r="A16" s="35"/>
      <c r="B16" s="35" t="s">
        <v>26</v>
      </c>
      <c r="C16" s="35" t="s">
        <v>661</v>
      </c>
      <c r="D16" s="35" t="s">
        <v>662</v>
      </c>
      <c r="E16" s="35" t="s">
        <v>663</v>
      </c>
      <c r="F16" s="36">
        <v>9</v>
      </c>
      <c r="G16" s="36">
        <v>540</v>
      </c>
      <c r="H16" s="36">
        <v>30</v>
      </c>
      <c r="I16" s="36">
        <f t="shared" si="0"/>
        <v>510</v>
      </c>
      <c r="J16" s="35" t="s">
        <v>603</v>
      </c>
      <c r="K16" s="35" t="s">
        <v>31</v>
      </c>
      <c r="L16" s="35" t="s">
        <v>599</v>
      </c>
      <c r="M16" s="35"/>
      <c r="N16" s="35"/>
      <c r="O16" s="35"/>
      <c r="P16" s="35"/>
      <c r="Q16" s="35">
        <v>1</v>
      </c>
    </row>
    <row r="17" spans="1:18" x14ac:dyDescent="0.25">
      <c r="A17" s="35"/>
      <c r="B17" s="35" t="s">
        <v>26</v>
      </c>
      <c r="C17" s="35" t="s">
        <v>664</v>
      </c>
      <c r="D17" s="35" t="s">
        <v>665</v>
      </c>
      <c r="E17" s="35" t="s">
        <v>666</v>
      </c>
      <c r="F17" s="35" t="s">
        <v>117</v>
      </c>
      <c r="G17" s="36">
        <v>725</v>
      </c>
      <c r="H17" s="36">
        <v>35</v>
      </c>
      <c r="I17" s="36">
        <f t="shared" si="0"/>
        <v>690</v>
      </c>
      <c r="J17" s="35" t="s">
        <v>603</v>
      </c>
      <c r="K17" s="35" t="s">
        <v>31</v>
      </c>
      <c r="L17" s="35" t="s">
        <v>599</v>
      </c>
      <c r="M17" s="35"/>
      <c r="N17" s="35"/>
      <c r="O17" s="35"/>
      <c r="P17" s="35"/>
      <c r="Q17" s="35">
        <v>1</v>
      </c>
    </row>
    <row r="18" spans="1:18" x14ac:dyDescent="0.25">
      <c r="A18" s="35"/>
      <c r="B18" s="35" t="s">
        <v>26</v>
      </c>
      <c r="C18" s="35" t="s">
        <v>676</v>
      </c>
      <c r="D18" s="35" t="s">
        <v>677</v>
      </c>
      <c r="E18" s="35" t="s">
        <v>678</v>
      </c>
      <c r="F18" s="36">
        <v>6</v>
      </c>
      <c r="G18" s="36">
        <v>455</v>
      </c>
      <c r="H18" s="36">
        <v>25</v>
      </c>
      <c r="I18" s="36">
        <f t="shared" si="0"/>
        <v>430</v>
      </c>
      <c r="J18" s="35" t="s">
        <v>603</v>
      </c>
      <c r="K18" s="35" t="s">
        <v>31</v>
      </c>
      <c r="L18" s="35" t="s">
        <v>599</v>
      </c>
      <c r="M18" s="35"/>
      <c r="N18" s="35"/>
      <c r="O18" s="35"/>
      <c r="P18" s="35"/>
      <c r="Q18" s="35">
        <v>1</v>
      </c>
    </row>
    <row r="19" spans="1:18" x14ac:dyDescent="0.25">
      <c r="A19" s="35"/>
      <c r="B19" s="35" t="s">
        <v>26</v>
      </c>
      <c r="C19" s="35" t="s">
        <v>685</v>
      </c>
      <c r="D19" s="35" t="s">
        <v>686</v>
      </c>
      <c r="E19" s="35" t="s">
        <v>687</v>
      </c>
      <c r="F19" s="35" t="s">
        <v>117</v>
      </c>
      <c r="G19" s="36">
        <v>0</v>
      </c>
      <c r="H19" s="36">
        <v>35</v>
      </c>
      <c r="I19" s="36">
        <f t="shared" si="0"/>
        <v>-35</v>
      </c>
      <c r="J19" s="35" t="s">
        <v>603</v>
      </c>
      <c r="K19" s="35" t="s">
        <v>31</v>
      </c>
      <c r="L19" s="35" t="s">
        <v>599</v>
      </c>
      <c r="M19" s="35"/>
      <c r="N19" s="35"/>
      <c r="O19" s="35"/>
      <c r="P19" s="35"/>
      <c r="Q19" s="35">
        <v>1</v>
      </c>
      <c r="R19" s="25">
        <f>H19</f>
        <v>35</v>
      </c>
    </row>
    <row r="20" spans="1:18" x14ac:dyDescent="0.25">
      <c r="A20" s="35"/>
      <c r="B20" s="35" t="s">
        <v>26</v>
      </c>
      <c r="C20" s="35" t="s">
        <v>688</v>
      </c>
      <c r="D20" s="35" t="s">
        <v>689</v>
      </c>
      <c r="E20" s="35" t="s">
        <v>690</v>
      </c>
      <c r="F20" s="36">
        <v>11</v>
      </c>
      <c r="G20" s="36">
        <v>1255</v>
      </c>
      <c r="H20" s="36">
        <v>25</v>
      </c>
      <c r="I20" s="36">
        <f t="shared" si="0"/>
        <v>1230</v>
      </c>
      <c r="J20" s="35" t="s">
        <v>603</v>
      </c>
      <c r="K20" s="35" t="s">
        <v>31</v>
      </c>
      <c r="L20" s="35" t="s">
        <v>599</v>
      </c>
      <c r="M20" s="35"/>
      <c r="N20" s="35"/>
      <c r="O20" s="35"/>
      <c r="P20" s="35"/>
      <c r="Q20" s="35">
        <v>1</v>
      </c>
    </row>
    <row r="21" spans="1:18" s="41" customFormat="1" x14ac:dyDescent="0.25">
      <c r="A21" s="39"/>
      <c r="B21" s="39" t="s">
        <v>26</v>
      </c>
      <c r="C21" s="39" t="s">
        <v>694</v>
      </c>
      <c r="D21" s="39" t="s">
        <v>695</v>
      </c>
      <c r="E21" s="39" t="s">
        <v>696</v>
      </c>
      <c r="F21" s="40">
        <v>7</v>
      </c>
      <c r="G21" s="40">
        <v>0</v>
      </c>
      <c r="H21" s="40">
        <v>30</v>
      </c>
      <c r="I21" s="40">
        <f t="shared" si="0"/>
        <v>-30</v>
      </c>
      <c r="J21" s="39" t="s">
        <v>603</v>
      </c>
      <c r="K21" s="39" t="s">
        <v>31</v>
      </c>
      <c r="L21" s="39" t="s">
        <v>599</v>
      </c>
      <c r="M21" s="39" t="s">
        <v>37</v>
      </c>
      <c r="N21" s="39"/>
      <c r="O21" s="39"/>
      <c r="P21" s="39"/>
      <c r="Q21" s="39">
        <v>1</v>
      </c>
      <c r="R21" s="42">
        <f>H21</f>
        <v>30</v>
      </c>
    </row>
    <row r="22" spans="1:18" x14ac:dyDescent="0.25">
      <c r="A22" s="35"/>
      <c r="B22" s="35" t="s">
        <v>26</v>
      </c>
      <c r="C22" s="35" t="s">
        <v>699</v>
      </c>
      <c r="D22" s="35" t="s">
        <v>700</v>
      </c>
      <c r="E22" s="35" t="s">
        <v>701</v>
      </c>
      <c r="F22" s="36">
        <v>8</v>
      </c>
      <c r="G22" s="36">
        <v>920</v>
      </c>
      <c r="H22" s="36">
        <v>30</v>
      </c>
      <c r="I22" s="36">
        <f t="shared" si="0"/>
        <v>890</v>
      </c>
      <c r="J22" s="35" t="s">
        <v>603</v>
      </c>
      <c r="K22" s="35" t="s">
        <v>31</v>
      </c>
      <c r="L22" s="35" t="s">
        <v>599</v>
      </c>
      <c r="M22" s="35"/>
      <c r="N22" s="35"/>
      <c r="O22" s="35"/>
      <c r="P22" s="35"/>
      <c r="Q22" s="35">
        <v>1</v>
      </c>
    </row>
    <row r="23" spans="1:18" x14ac:dyDescent="0.25">
      <c r="A23" s="35"/>
      <c r="B23" s="35" t="s">
        <v>26</v>
      </c>
      <c r="C23" s="35" t="s">
        <v>711</v>
      </c>
      <c r="D23" s="35" t="s">
        <v>712</v>
      </c>
      <c r="E23" s="35" t="s">
        <v>713</v>
      </c>
      <c r="F23" s="36">
        <v>7</v>
      </c>
      <c r="G23" s="36">
        <v>920</v>
      </c>
      <c r="H23" s="36">
        <v>30</v>
      </c>
      <c r="I23" s="36">
        <f t="shared" si="0"/>
        <v>890</v>
      </c>
      <c r="J23" s="35" t="s">
        <v>603</v>
      </c>
      <c r="K23" s="35" t="s">
        <v>31</v>
      </c>
      <c r="L23" s="35" t="s">
        <v>599</v>
      </c>
      <c r="M23" s="35"/>
      <c r="N23" s="35"/>
      <c r="O23" s="35"/>
      <c r="P23" s="35"/>
      <c r="Q23" s="35">
        <v>1</v>
      </c>
    </row>
    <row r="24" spans="1:18" x14ac:dyDescent="0.25">
      <c r="A24" s="35"/>
      <c r="B24" s="35" t="s">
        <v>26</v>
      </c>
      <c r="C24" s="35" t="s">
        <v>720</v>
      </c>
      <c r="D24" s="35" t="s">
        <v>721</v>
      </c>
      <c r="E24" s="35" t="s">
        <v>722</v>
      </c>
      <c r="F24" s="36">
        <v>9</v>
      </c>
      <c r="G24" s="36">
        <v>0</v>
      </c>
      <c r="H24" s="36">
        <v>30</v>
      </c>
      <c r="I24" s="36">
        <f t="shared" si="0"/>
        <v>-30</v>
      </c>
      <c r="J24" s="35" t="s">
        <v>603</v>
      </c>
      <c r="K24" s="35" t="s">
        <v>31</v>
      </c>
      <c r="L24" s="35" t="s">
        <v>599</v>
      </c>
      <c r="M24" s="35"/>
      <c r="N24" s="35"/>
      <c r="O24" s="35"/>
      <c r="P24" s="35"/>
      <c r="Q24" s="35">
        <v>1</v>
      </c>
      <c r="R24" s="25">
        <f>H24</f>
        <v>30</v>
      </c>
    </row>
    <row r="25" spans="1:18" x14ac:dyDescent="0.25">
      <c r="A25" s="35"/>
      <c r="B25" s="35" t="s">
        <v>26</v>
      </c>
      <c r="C25" s="35" t="s">
        <v>723</v>
      </c>
      <c r="D25" s="35" t="s">
        <v>724</v>
      </c>
      <c r="E25" s="35" t="s">
        <v>725</v>
      </c>
      <c r="F25" s="36">
        <v>12</v>
      </c>
      <c r="G25" s="36">
        <v>1110</v>
      </c>
      <c r="H25" s="36">
        <v>30</v>
      </c>
      <c r="I25" s="36">
        <f t="shared" si="0"/>
        <v>1080</v>
      </c>
      <c r="J25" s="35" t="s">
        <v>603</v>
      </c>
      <c r="K25" s="35" t="s">
        <v>31</v>
      </c>
      <c r="L25" s="35" t="s">
        <v>599</v>
      </c>
      <c r="M25" s="35"/>
      <c r="N25" s="35"/>
      <c r="O25" s="35"/>
      <c r="P25" s="35"/>
      <c r="Q25" s="35">
        <v>1</v>
      </c>
    </row>
    <row r="26" spans="1:18" x14ac:dyDescent="0.25">
      <c r="A26" s="35"/>
      <c r="B26" s="35" t="s">
        <v>26</v>
      </c>
      <c r="C26" s="35" t="s">
        <v>732</v>
      </c>
      <c r="D26" s="35" t="s">
        <v>733</v>
      </c>
      <c r="E26" s="35" t="s">
        <v>734</v>
      </c>
      <c r="F26" s="36">
        <v>7</v>
      </c>
      <c r="G26" s="36">
        <v>430</v>
      </c>
      <c r="H26" s="36">
        <v>30</v>
      </c>
      <c r="I26" s="36">
        <f t="shared" si="0"/>
        <v>400</v>
      </c>
      <c r="J26" s="35" t="s">
        <v>603</v>
      </c>
      <c r="K26" s="35" t="s">
        <v>31</v>
      </c>
      <c r="L26" s="35" t="s">
        <v>599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735</v>
      </c>
      <c r="D27" s="35" t="s">
        <v>736</v>
      </c>
      <c r="E27" s="35" t="s">
        <v>737</v>
      </c>
      <c r="F27" s="36">
        <v>9</v>
      </c>
      <c r="G27" s="36">
        <v>1070</v>
      </c>
      <c r="H27" s="36">
        <v>30</v>
      </c>
      <c r="I27" s="36">
        <f t="shared" si="0"/>
        <v>1040</v>
      </c>
      <c r="J27" s="35" t="s">
        <v>603</v>
      </c>
      <c r="K27" s="35" t="s">
        <v>31</v>
      </c>
      <c r="L27" s="35" t="s">
        <v>599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738</v>
      </c>
      <c r="D28" s="35" t="s">
        <v>739</v>
      </c>
      <c r="E28" s="35" t="s">
        <v>740</v>
      </c>
      <c r="F28" s="36">
        <v>7</v>
      </c>
      <c r="G28" s="36">
        <v>550</v>
      </c>
      <c r="H28" s="36">
        <v>30</v>
      </c>
      <c r="I28" s="36">
        <f t="shared" si="0"/>
        <v>520</v>
      </c>
      <c r="J28" s="35" t="s">
        <v>603</v>
      </c>
      <c r="K28" s="35" t="s">
        <v>31</v>
      </c>
      <c r="L28" s="35" t="s">
        <v>599</v>
      </c>
      <c r="M28" s="35"/>
      <c r="N28" s="35"/>
      <c r="O28" s="35"/>
      <c r="P28" s="35"/>
      <c r="Q28" s="35">
        <v>1</v>
      </c>
    </row>
    <row r="29" spans="1:18" x14ac:dyDescent="0.25">
      <c r="A29" s="35"/>
      <c r="B29" s="35" t="s">
        <v>26</v>
      </c>
      <c r="C29" s="35" t="s">
        <v>741</v>
      </c>
      <c r="D29" s="35" t="s">
        <v>742</v>
      </c>
      <c r="E29" s="35" t="s">
        <v>743</v>
      </c>
      <c r="F29" s="36">
        <v>7</v>
      </c>
      <c r="G29" s="36">
        <v>2445</v>
      </c>
      <c r="H29" s="36">
        <v>35</v>
      </c>
      <c r="I29" s="36">
        <f t="shared" si="0"/>
        <v>2410</v>
      </c>
      <c r="J29" s="35" t="s">
        <v>603</v>
      </c>
      <c r="K29" s="35" t="s">
        <v>31</v>
      </c>
      <c r="L29" s="35" t="s">
        <v>599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744</v>
      </c>
      <c r="D30" s="35" t="s">
        <v>745</v>
      </c>
      <c r="E30" s="35" t="s">
        <v>746</v>
      </c>
      <c r="F30" s="36">
        <v>9</v>
      </c>
      <c r="G30" s="36">
        <v>420</v>
      </c>
      <c r="H30" s="36">
        <v>30</v>
      </c>
      <c r="I30" s="36">
        <f t="shared" si="0"/>
        <v>390</v>
      </c>
      <c r="J30" s="35" t="s">
        <v>603</v>
      </c>
      <c r="K30" s="35" t="s">
        <v>31</v>
      </c>
      <c r="L30" s="35" t="s">
        <v>599</v>
      </c>
      <c r="M30" s="35"/>
      <c r="N30" s="35"/>
      <c r="O30" s="35"/>
      <c r="P30" s="35"/>
      <c r="Q30" s="35">
        <v>1</v>
      </c>
    </row>
    <row r="31" spans="1:18" x14ac:dyDescent="0.25">
      <c r="A31" s="35"/>
      <c r="B31" s="35" t="s">
        <v>26</v>
      </c>
      <c r="C31" s="35" t="s">
        <v>750</v>
      </c>
      <c r="D31" s="35" t="s">
        <v>751</v>
      </c>
      <c r="E31" s="35" t="s">
        <v>752</v>
      </c>
      <c r="F31" s="36">
        <v>9</v>
      </c>
      <c r="G31" s="36">
        <v>1180</v>
      </c>
      <c r="H31" s="36">
        <v>30</v>
      </c>
      <c r="I31" s="36">
        <f t="shared" si="0"/>
        <v>1150</v>
      </c>
      <c r="J31" s="35" t="s">
        <v>603</v>
      </c>
      <c r="K31" s="35" t="s">
        <v>31</v>
      </c>
      <c r="L31" s="35" t="s">
        <v>599</v>
      </c>
      <c r="M31" s="35"/>
      <c r="N31" s="35"/>
      <c r="O31" s="35"/>
      <c r="P31" s="35"/>
      <c r="Q31" s="35">
        <v>1</v>
      </c>
    </row>
    <row r="32" spans="1:18" x14ac:dyDescent="0.25">
      <c r="A32" s="35"/>
      <c r="B32" s="35" t="s">
        <v>26</v>
      </c>
      <c r="C32" s="35" t="s">
        <v>756</v>
      </c>
      <c r="D32" s="35" t="s">
        <v>757</v>
      </c>
      <c r="E32" s="35" t="s">
        <v>758</v>
      </c>
      <c r="F32" s="35" t="s">
        <v>117</v>
      </c>
      <c r="G32" s="36">
        <v>425</v>
      </c>
      <c r="H32" s="36">
        <v>35</v>
      </c>
      <c r="I32" s="36">
        <f t="shared" si="0"/>
        <v>390</v>
      </c>
      <c r="J32" s="35" t="s">
        <v>603</v>
      </c>
      <c r="K32" s="35" t="s">
        <v>31</v>
      </c>
      <c r="L32" s="35" t="s">
        <v>599</v>
      </c>
      <c r="M32" s="35"/>
      <c r="N32" s="35"/>
      <c r="O32" s="35"/>
      <c r="P32" s="35"/>
      <c r="Q32" s="35">
        <v>1</v>
      </c>
    </row>
    <row r="33" spans="1:18" x14ac:dyDescent="0.25">
      <c r="A33" s="35"/>
      <c r="B33" s="35" t="s">
        <v>26</v>
      </c>
      <c r="C33" s="35" t="s">
        <v>177</v>
      </c>
      <c r="D33" s="35" t="s">
        <v>762</v>
      </c>
      <c r="E33" s="35" t="s">
        <v>179</v>
      </c>
      <c r="F33" s="36">
        <v>8</v>
      </c>
      <c r="G33" s="36">
        <v>440</v>
      </c>
      <c r="H33" s="36">
        <v>30</v>
      </c>
      <c r="I33" s="36">
        <f t="shared" si="0"/>
        <v>410</v>
      </c>
      <c r="J33" s="35" t="s">
        <v>603</v>
      </c>
      <c r="K33" s="35" t="s">
        <v>31</v>
      </c>
      <c r="L33" s="35" t="s">
        <v>599</v>
      </c>
      <c r="M33" s="35"/>
      <c r="N33" s="35"/>
      <c r="O33" s="35"/>
      <c r="P33" s="35"/>
      <c r="Q33" s="35">
        <v>1</v>
      </c>
    </row>
    <row r="34" spans="1:18" x14ac:dyDescent="0.25">
      <c r="A34" s="35"/>
      <c r="B34" s="35" t="s">
        <v>26</v>
      </c>
      <c r="C34" s="35" t="s">
        <v>766</v>
      </c>
      <c r="D34" s="35" t="s">
        <v>767</v>
      </c>
      <c r="E34" s="35" t="s">
        <v>768</v>
      </c>
      <c r="F34" s="36">
        <v>7</v>
      </c>
      <c r="G34" s="36">
        <v>420</v>
      </c>
      <c r="H34" s="36">
        <v>30</v>
      </c>
      <c r="I34" s="36">
        <f t="shared" si="0"/>
        <v>390</v>
      </c>
      <c r="J34" s="35" t="s">
        <v>603</v>
      </c>
      <c r="K34" s="35" t="s">
        <v>31</v>
      </c>
      <c r="L34" s="35" t="s">
        <v>599</v>
      </c>
      <c r="M34" s="35"/>
      <c r="N34" s="35"/>
      <c r="O34" s="35"/>
      <c r="P34" s="35"/>
      <c r="Q34" s="35">
        <v>1</v>
      </c>
    </row>
    <row r="35" spans="1:18" x14ac:dyDescent="0.25">
      <c r="A35" s="35"/>
      <c r="B35" s="35" t="s">
        <v>26</v>
      </c>
      <c r="C35" s="35" t="s">
        <v>779</v>
      </c>
      <c r="D35" s="35" t="s">
        <v>780</v>
      </c>
      <c r="E35" s="35" t="s">
        <v>781</v>
      </c>
      <c r="F35" s="36">
        <v>9</v>
      </c>
      <c r="G35" s="36">
        <v>750</v>
      </c>
      <c r="H35" s="36">
        <v>30</v>
      </c>
      <c r="I35" s="36">
        <f t="shared" ref="I35:I66" si="2">G35-H35</f>
        <v>720</v>
      </c>
      <c r="J35" s="35" t="s">
        <v>603</v>
      </c>
      <c r="K35" s="35" t="s">
        <v>31</v>
      </c>
      <c r="L35" s="35" t="s">
        <v>599</v>
      </c>
      <c r="M35" s="35"/>
      <c r="N35" s="35"/>
      <c r="O35" s="35"/>
      <c r="P35" s="35"/>
      <c r="Q35" s="35">
        <v>1</v>
      </c>
    </row>
    <row r="36" spans="1:18" x14ac:dyDescent="0.25">
      <c r="A36" s="35"/>
      <c r="B36" s="35" t="s">
        <v>26</v>
      </c>
      <c r="C36" s="35" t="s">
        <v>782</v>
      </c>
      <c r="D36" s="35" t="s">
        <v>783</v>
      </c>
      <c r="E36" s="35" t="s">
        <v>784</v>
      </c>
      <c r="F36" s="36">
        <v>5</v>
      </c>
      <c r="G36" s="36">
        <v>705</v>
      </c>
      <c r="H36" s="36">
        <v>25</v>
      </c>
      <c r="I36" s="36">
        <f t="shared" si="2"/>
        <v>680</v>
      </c>
      <c r="J36" s="35" t="s">
        <v>603</v>
      </c>
      <c r="K36" s="35" t="s">
        <v>31</v>
      </c>
      <c r="L36" s="35" t="s">
        <v>599</v>
      </c>
      <c r="M36" s="35"/>
      <c r="N36" s="35"/>
      <c r="O36" s="35"/>
      <c r="P36" s="35"/>
      <c r="Q36" s="35">
        <v>1</v>
      </c>
    </row>
    <row r="37" spans="1:18" x14ac:dyDescent="0.25">
      <c r="A37" s="35"/>
      <c r="B37" s="35" t="s">
        <v>26</v>
      </c>
      <c r="C37" s="35" t="s">
        <v>604</v>
      </c>
      <c r="D37" s="35" t="s">
        <v>605</v>
      </c>
      <c r="E37" s="35" t="s">
        <v>606</v>
      </c>
      <c r="F37" s="36">
        <v>12</v>
      </c>
      <c r="G37" s="36">
        <v>0</v>
      </c>
      <c r="H37" s="36">
        <v>30</v>
      </c>
      <c r="I37" s="36">
        <f t="shared" si="2"/>
        <v>-30</v>
      </c>
      <c r="J37" s="35" t="s">
        <v>31</v>
      </c>
      <c r="K37" s="35" t="s">
        <v>31</v>
      </c>
      <c r="L37" s="35" t="s">
        <v>599</v>
      </c>
      <c r="M37" s="35"/>
      <c r="N37" s="35"/>
      <c r="O37" s="35"/>
      <c r="P37" s="35"/>
      <c r="Q37" s="35">
        <v>1</v>
      </c>
      <c r="R37" s="25">
        <f>H37</f>
        <v>30</v>
      </c>
    </row>
    <row r="38" spans="1:18" x14ac:dyDescent="0.25">
      <c r="A38" s="35"/>
      <c r="B38" s="35" t="s">
        <v>26</v>
      </c>
      <c r="C38" s="35" t="s">
        <v>611</v>
      </c>
      <c r="D38" s="35" t="s">
        <v>612</v>
      </c>
      <c r="E38" s="35" t="s">
        <v>613</v>
      </c>
      <c r="F38" s="36">
        <v>2</v>
      </c>
      <c r="G38" s="36">
        <v>210</v>
      </c>
      <c r="H38" s="36">
        <v>30</v>
      </c>
      <c r="I38" s="36">
        <f t="shared" si="2"/>
        <v>180</v>
      </c>
      <c r="J38" s="35" t="s">
        <v>31</v>
      </c>
      <c r="K38" s="35" t="s">
        <v>31</v>
      </c>
      <c r="L38" s="35" t="s">
        <v>599</v>
      </c>
      <c r="M38" s="35"/>
      <c r="N38" s="35"/>
      <c r="O38" s="35"/>
      <c r="P38" s="35"/>
      <c r="Q38" s="35">
        <v>1</v>
      </c>
    </row>
    <row r="39" spans="1:18" x14ac:dyDescent="0.25">
      <c r="A39" s="35"/>
      <c r="B39" s="35" t="s">
        <v>26</v>
      </c>
      <c r="C39" s="35" t="s">
        <v>614</v>
      </c>
      <c r="D39" s="35" t="s">
        <v>615</v>
      </c>
      <c r="E39" s="35" t="s">
        <v>616</v>
      </c>
      <c r="F39" s="35" t="s">
        <v>58</v>
      </c>
      <c r="G39" s="36">
        <v>1150</v>
      </c>
      <c r="H39" s="36">
        <v>20</v>
      </c>
      <c r="I39" s="36">
        <f t="shared" si="2"/>
        <v>1130</v>
      </c>
      <c r="J39" s="35" t="s">
        <v>31</v>
      </c>
      <c r="K39" s="35" t="s">
        <v>31</v>
      </c>
      <c r="L39" s="35" t="s">
        <v>599</v>
      </c>
      <c r="M39" s="35"/>
      <c r="N39" s="35"/>
      <c r="O39" s="35"/>
      <c r="P39" s="35"/>
      <c r="Q39" s="35">
        <v>1</v>
      </c>
    </row>
    <row r="40" spans="1:18" x14ac:dyDescent="0.25">
      <c r="A40" s="35"/>
      <c r="B40" s="35" t="s">
        <v>26</v>
      </c>
      <c r="C40" s="35" t="s">
        <v>626</v>
      </c>
      <c r="D40" s="35" t="s">
        <v>627</v>
      </c>
      <c r="E40" s="35" t="s">
        <v>628</v>
      </c>
      <c r="F40" s="35" t="s">
        <v>128</v>
      </c>
      <c r="G40" s="36">
        <v>390</v>
      </c>
      <c r="H40" s="36">
        <v>30</v>
      </c>
      <c r="I40" s="36">
        <f t="shared" si="2"/>
        <v>360</v>
      </c>
      <c r="J40" s="35" t="s">
        <v>31</v>
      </c>
      <c r="K40" s="35" t="s">
        <v>31</v>
      </c>
      <c r="L40" s="35" t="s">
        <v>599</v>
      </c>
      <c r="M40" s="35"/>
      <c r="N40" s="35"/>
      <c r="O40" s="35"/>
      <c r="P40" s="35"/>
      <c r="Q40" s="35">
        <v>1</v>
      </c>
    </row>
    <row r="41" spans="1:18" x14ac:dyDescent="0.25">
      <c r="A41" s="35"/>
      <c r="B41" s="35" t="s">
        <v>26</v>
      </c>
      <c r="C41" s="35" t="s">
        <v>644</v>
      </c>
      <c r="D41" s="35" t="s">
        <v>645</v>
      </c>
      <c r="E41" s="35" t="s">
        <v>646</v>
      </c>
      <c r="F41" s="35" t="s">
        <v>36</v>
      </c>
      <c r="G41" s="36">
        <v>225</v>
      </c>
      <c r="H41" s="36">
        <v>25</v>
      </c>
      <c r="I41" s="36">
        <f t="shared" si="2"/>
        <v>200</v>
      </c>
      <c r="J41" s="35" t="s">
        <v>31</v>
      </c>
      <c r="K41" s="35" t="s">
        <v>31</v>
      </c>
      <c r="L41" s="35" t="s">
        <v>599</v>
      </c>
      <c r="M41" s="35"/>
      <c r="N41" s="35"/>
      <c r="O41" s="35"/>
      <c r="P41" s="35"/>
      <c r="Q41" s="35">
        <v>1</v>
      </c>
    </row>
    <row r="42" spans="1:18" x14ac:dyDescent="0.25">
      <c r="A42" s="35"/>
      <c r="B42" s="35" t="s">
        <v>26</v>
      </c>
      <c r="C42" s="35" t="s">
        <v>531</v>
      </c>
      <c r="D42" s="35" t="s">
        <v>650</v>
      </c>
      <c r="E42" s="35" t="s">
        <v>651</v>
      </c>
      <c r="F42" s="36">
        <v>2</v>
      </c>
      <c r="G42" s="36">
        <v>350</v>
      </c>
      <c r="H42" s="36">
        <v>30</v>
      </c>
      <c r="I42" s="36">
        <f t="shared" si="2"/>
        <v>320</v>
      </c>
      <c r="J42" s="35" t="s">
        <v>31</v>
      </c>
      <c r="K42" s="35" t="s">
        <v>31</v>
      </c>
      <c r="L42" s="35" t="s">
        <v>599</v>
      </c>
      <c r="M42" s="35"/>
      <c r="N42" s="35"/>
      <c r="O42" s="35"/>
      <c r="P42" s="35"/>
      <c r="Q42" s="35">
        <v>1</v>
      </c>
    </row>
    <row r="43" spans="1:18" x14ac:dyDescent="0.25">
      <c r="A43" s="35"/>
      <c r="B43" s="35" t="s">
        <v>26</v>
      </c>
      <c r="C43" s="35" t="s">
        <v>667</v>
      </c>
      <c r="D43" s="35" t="s">
        <v>668</v>
      </c>
      <c r="E43" s="35" t="s">
        <v>669</v>
      </c>
      <c r="F43" s="35" t="s">
        <v>128</v>
      </c>
      <c r="G43" s="36">
        <v>610</v>
      </c>
      <c r="H43" s="36">
        <v>30</v>
      </c>
      <c r="I43" s="36">
        <f t="shared" si="2"/>
        <v>580</v>
      </c>
      <c r="J43" s="35" t="s">
        <v>31</v>
      </c>
      <c r="K43" s="35" t="s">
        <v>31</v>
      </c>
      <c r="L43" s="35" t="s">
        <v>599</v>
      </c>
      <c r="M43" s="35"/>
      <c r="N43" s="35"/>
      <c r="O43" s="35"/>
      <c r="P43" s="35"/>
      <c r="Q43" s="35">
        <v>1</v>
      </c>
    </row>
    <row r="44" spans="1:18" x14ac:dyDescent="0.25">
      <c r="A44" s="35"/>
      <c r="B44" s="35" t="s">
        <v>26</v>
      </c>
      <c r="C44" s="35" t="s">
        <v>670</v>
      </c>
      <c r="D44" s="35" t="s">
        <v>671</v>
      </c>
      <c r="E44" s="35" t="s">
        <v>672</v>
      </c>
      <c r="F44" s="35" t="s">
        <v>128</v>
      </c>
      <c r="G44" s="36">
        <v>320</v>
      </c>
      <c r="H44" s="36">
        <v>30</v>
      </c>
      <c r="I44" s="36">
        <f t="shared" si="2"/>
        <v>290</v>
      </c>
      <c r="J44" s="35" t="s">
        <v>31</v>
      </c>
      <c r="K44" s="35" t="s">
        <v>31</v>
      </c>
      <c r="L44" s="35" t="s">
        <v>599</v>
      </c>
      <c r="M44" s="35"/>
      <c r="N44" s="35"/>
      <c r="O44" s="35"/>
      <c r="P44" s="35"/>
      <c r="Q44" s="35">
        <v>1</v>
      </c>
    </row>
    <row r="45" spans="1:18" x14ac:dyDescent="0.25">
      <c r="A45" s="35"/>
      <c r="B45" s="35" t="s">
        <v>26</v>
      </c>
      <c r="C45" s="35" t="s">
        <v>682</v>
      </c>
      <c r="D45" s="35" t="s">
        <v>683</v>
      </c>
      <c r="E45" s="35" t="s">
        <v>684</v>
      </c>
      <c r="F45" s="35" t="s">
        <v>36</v>
      </c>
      <c r="G45" s="36">
        <v>1345</v>
      </c>
      <c r="H45" s="36">
        <v>25</v>
      </c>
      <c r="I45" s="36">
        <f t="shared" si="2"/>
        <v>1320</v>
      </c>
      <c r="J45" s="35" t="s">
        <v>31</v>
      </c>
      <c r="K45" s="35" t="s">
        <v>31</v>
      </c>
      <c r="L45" s="35" t="s">
        <v>599</v>
      </c>
      <c r="M45" s="35"/>
      <c r="N45" s="35"/>
      <c r="O45" s="35"/>
      <c r="P45" s="35"/>
      <c r="Q45" s="35">
        <v>1</v>
      </c>
    </row>
    <row r="46" spans="1:18" x14ac:dyDescent="0.25">
      <c r="A46" s="35"/>
      <c r="B46" s="35" t="s">
        <v>26</v>
      </c>
      <c r="C46" s="35" t="s">
        <v>702</v>
      </c>
      <c r="D46" s="35" t="s">
        <v>703</v>
      </c>
      <c r="E46" s="35" t="s">
        <v>704</v>
      </c>
      <c r="F46" s="35" t="s">
        <v>36</v>
      </c>
      <c r="G46" s="36">
        <v>1185</v>
      </c>
      <c r="H46" s="36">
        <v>25</v>
      </c>
      <c r="I46" s="36">
        <f t="shared" si="2"/>
        <v>1160</v>
      </c>
      <c r="J46" s="35" t="s">
        <v>31</v>
      </c>
      <c r="K46" s="35" t="s">
        <v>31</v>
      </c>
      <c r="L46" s="35" t="s">
        <v>599</v>
      </c>
      <c r="M46" s="35"/>
      <c r="N46" s="35"/>
      <c r="O46" s="35"/>
      <c r="P46" s="35"/>
      <c r="Q46" s="35">
        <v>1</v>
      </c>
    </row>
    <row r="47" spans="1:18" x14ac:dyDescent="0.25">
      <c r="A47" s="35"/>
      <c r="B47" s="35" t="s">
        <v>26</v>
      </c>
      <c r="C47" s="35" t="s">
        <v>705</v>
      </c>
      <c r="D47" s="35" t="s">
        <v>706</v>
      </c>
      <c r="E47" s="35" t="s">
        <v>707</v>
      </c>
      <c r="F47" s="35" t="s">
        <v>58</v>
      </c>
      <c r="G47" s="36">
        <v>0</v>
      </c>
      <c r="H47" s="36">
        <v>20</v>
      </c>
      <c r="I47" s="36">
        <f t="shared" si="2"/>
        <v>-20</v>
      </c>
      <c r="J47" s="35" t="s">
        <v>31</v>
      </c>
      <c r="K47" s="35" t="s">
        <v>31</v>
      </c>
      <c r="L47" s="35" t="s">
        <v>599</v>
      </c>
      <c r="M47" s="35"/>
      <c r="N47" s="35"/>
      <c r="O47" s="35"/>
      <c r="P47" s="35"/>
      <c r="Q47" s="35">
        <v>1</v>
      </c>
      <c r="R47" s="25">
        <f>H47</f>
        <v>20</v>
      </c>
    </row>
    <row r="48" spans="1:18" x14ac:dyDescent="0.25">
      <c r="A48" s="35"/>
      <c r="B48" s="35" t="s">
        <v>26</v>
      </c>
      <c r="C48" s="35" t="s">
        <v>717</v>
      </c>
      <c r="D48" s="35" t="s">
        <v>718</v>
      </c>
      <c r="E48" s="35" t="s">
        <v>719</v>
      </c>
      <c r="F48" s="35" t="s">
        <v>128</v>
      </c>
      <c r="G48" s="36">
        <v>320</v>
      </c>
      <c r="H48" s="36">
        <v>30</v>
      </c>
      <c r="I48" s="36">
        <f t="shared" si="2"/>
        <v>290</v>
      </c>
      <c r="J48" s="35" t="s">
        <v>31</v>
      </c>
      <c r="K48" s="35" t="s">
        <v>31</v>
      </c>
      <c r="L48" s="35" t="s">
        <v>599</v>
      </c>
      <c r="M48" s="35"/>
      <c r="N48" s="35"/>
      <c r="O48" s="35"/>
      <c r="P48" s="35"/>
      <c r="Q48" s="35">
        <v>1</v>
      </c>
    </row>
    <row r="49" spans="1:18" x14ac:dyDescent="0.25">
      <c r="A49" s="35"/>
      <c r="B49" s="35" t="s">
        <v>26</v>
      </c>
      <c r="C49" s="35" t="s">
        <v>726</v>
      </c>
      <c r="D49" s="35" t="s">
        <v>727</v>
      </c>
      <c r="E49" s="35" t="s">
        <v>728</v>
      </c>
      <c r="F49" s="36">
        <v>12</v>
      </c>
      <c r="G49" s="36">
        <v>0</v>
      </c>
      <c r="H49" s="36">
        <v>30</v>
      </c>
      <c r="I49" s="36">
        <f t="shared" si="2"/>
        <v>-30</v>
      </c>
      <c r="J49" s="35" t="s">
        <v>31</v>
      </c>
      <c r="K49" s="35" t="s">
        <v>31</v>
      </c>
      <c r="L49" s="35" t="s">
        <v>599</v>
      </c>
      <c r="M49" s="35"/>
      <c r="N49" s="35"/>
      <c r="O49" s="35"/>
      <c r="P49" s="35"/>
      <c r="Q49" s="35">
        <v>1</v>
      </c>
      <c r="R49" s="25">
        <f t="shared" ref="R49:R50" si="3">H49</f>
        <v>30</v>
      </c>
    </row>
    <row r="50" spans="1:18" x14ac:dyDescent="0.25">
      <c r="A50" s="35" t="s">
        <v>66</v>
      </c>
      <c r="B50" s="35" t="s">
        <v>26</v>
      </c>
      <c r="C50" s="35" t="s">
        <v>729</v>
      </c>
      <c r="D50" s="35"/>
      <c r="E50" s="35" t="s">
        <v>730</v>
      </c>
      <c r="F50" s="36">
        <v>12</v>
      </c>
      <c r="G50" s="36">
        <v>0</v>
      </c>
      <c r="H50" s="36">
        <v>60</v>
      </c>
      <c r="I50" s="36">
        <f t="shared" si="2"/>
        <v>-60</v>
      </c>
      <c r="J50" s="35" t="s">
        <v>31</v>
      </c>
      <c r="K50" s="35" t="s">
        <v>31</v>
      </c>
      <c r="L50" s="35" t="s">
        <v>599</v>
      </c>
      <c r="M50" s="35"/>
      <c r="N50" s="35"/>
      <c r="O50" s="35"/>
      <c r="P50" s="35"/>
      <c r="Q50" s="35">
        <v>1</v>
      </c>
      <c r="R50" s="25">
        <f t="shared" si="3"/>
        <v>60</v>
      </c>
    </row>
    <row r="51" spans="1:18" x14ac:dyDescent="0.25">
      <c r="A51" s="35"/>
      <c r="B51" s="35" t="s">
        <v>26</v>
      </c>
      <c r="C51" s="35" t="s">
        <v>614</v>
      </c>
      <c r="D51" s="35" t="s">
        <v>731</v>
      </c>
      <c r="E51" s="35" t="s">
        <v>616</v>
      </c>
      <c r="F51" s="35" t="s">
        <v>58</v>
      </c>
      <c r="G51" s="36">
        <v>800</v>
      </c>
      <c r="H51" s="36">
        <v>20</v>
      </c>
      <c r="I51" s="36">
        <f t="shared" si="2"/>
        <v>780</v>
      </c>
      <c r="J51" s="35" t="s">
        <v>31</v>
      </c>
      <c r="K51" s="35" t="s">
        <v>31</v>
      </c>
      <c r="L51" s="35" t="s">
        <v>599</v>
      </c>
      <c r="M51" s="35"/>
      <c r="N51" s="35"/>
      <c r="O51" s="35"/>
      <c r="P51" s="35"/>
      <c r="Q51" s="35">
        <v>1</v>
      </c>
    </row>
    <row r="52" spans="1:18" x14ac:dyDescent="0.25">
      <c r="A52" s="35"/>
      <c r="B52" s="35" t="s">
        <v>26</v>
      </c>
      <c r="C52" s="35" t="s">
        <v>747</v>
      </c>
      <c r="D52" s="35" t="s">
        <v>748</v>
      </c>
      <c r="E52" s="35" t="s">
        <v>749</v>
      </c>
      <c r="F52" s="35" t="s">
        <v>36</v>
      </c>
      <c r="G52" s="36">
        <v>665</v>
      </c>
      <c r="H52" s="36">
        <v>25</v>
      </c>
      <c r="I52" s="36">
        <f t="shared" si="2"/>
        <v>640</v>
      </c>
      <c r="J52" s="35" t="s">
        <v>31</v>
      </c>
      <c r="K52" s="35" t="s">
        <v>31</v>
      </c>
      <c r="L52" s="35" t="s">
        <v>599</v>
      </c>
      <c r="M52" s="35"/>
      <c r="N52" s="35"/>
      <c r="O52" s="35"/>
      <c r="P52" s="35"/>
      <c r="Q52" s="35">
        <v>1</v>
      </c>
    </row>
    <row r="53" spans="1:18" x14ac:dyDescent="0.25">
      <c r="A53" s="35"/>
      <c r="B53" s="35" t="s">
        <v>26</v>
      </c>
      <c r="C53" s="35" t="s">
        <v>753</v>
      </c>
      <c r="D53" s="35" t="s">
        <v>754</v>
      </c>
      <c r="E53" s="35" t="s">
        <v>755</v>
      </c>
      <c r="F53" s="35" t="s">
        <v>58</v>
      </c>
      <c r="G53" s="36">
        <v>2310</v>
      </c>
      <c r="H53" s="36">
        <v>20</v>
      </c>
      <c r="I53" s="36">
        <f t="shared" si="2"/>
        <v>2290</v>
      </c>
      <c r="J53" s="35" t="s">
        <v>31</v>
      </c>
      <c r="K53" s="35" t="s">
        <v>31</v>
      </c>
      <c r="L53" s="35" t="s">
        <v>599</v>
      </c>
      <c r="M53" s="35"/>
      <c r="N53" s="35"/>
      <c r="O53" s="35"/>
      <c r="P53" s="35"/>
      <c r="Q53" s="35">
        <v>1</v>
      </c>
    </row>
    <row r="54" spans="1:18" x14ac:dyDescent="0.25">
      <c r="A54" s="35"/>
      <c r="B54" s="35" t="s">
        <v>26</v>
      </c>
      <c r="C54" s="35" t="s">
        <v>769</v>
      </c>
      <c r="D54" s="35" t="s">
        <v>770</v>
      </c>
      <c r="E54" s="35" t="s">
        <v>771</v>
      </c>
      <c r="F54" s="35" t="s">
        <v>36</v>
      </c>
      <c r="G54" s="36">
        <v>885</v>
      </c>
      <c r="H54" s="36">
        <v>25</v>
      </c>
      <c r="I54" s="36">
        <f t="shared" si="2"/>
        <v>860</v>
      </c>
      <c r="J54" s="35" t="s">
        <v>31</v>
      </c>
      <c r="K54" s="35" t="s">
        <v>31</v>
      </c>
      <c r="L54" s="35" t="s">
        <v>599</v>
      </c>
      <c r="M54" s="35"/>
      <c r="N54" s="35"/>
      <c r="O54" s="35"/>
      <c r="P54" s="35"/>
      <c r="Q54" s="35">
        <v>1</v>
      </c>
    </row>
    <row r="55" spans="1:18" x14ac:dyDescent="0.25">
      <c r="A55" s="35"/>
      <c r="B55" s="35" t="s">
        <v>26</v>
      </c>
      <c r="C55" s="35" t="s">
        <v>772</v>
      </c>
      <c r="D55" s="35" t="s">
        <v>773</v>
      </c>
      <c r="E55" s="35" t="s">
        <v>774</v>
      </c>
      <c r="F55" s="35" t="s">
        <v>128</v>
      </c>
      <c r="G55" s="36">
        <v>880</v>
      </c>
      <c r="H55" s="36">
        <v>30</v>
      </c>
      <c r="I55" s="36">
        <f t="shared" si="2"/>
        <v>850</v>
      </c>
      <c r="J55" s="35" t="s">
        <v>31</v>
      </c>
      <c r="K55" s="35" t="s">
        <v>31</v>
      </c>
      <c r="L55" s="35" t="s">
        <v>599</v>
      </c>
      <c r="M55" s="35"/>
      <c r="N55" s="35"/>
      <c r="O55" s="35"/>
      <c r="P55" s="35"/>
      <c r="Q55" s="35">
        <v>1</v>
      </c>
    </row>
    <row r="56" spans="1:18" x14ac:dyDescent="0.25">
      <c r="A56" s="35" t="s">
        <v>66</v>
      </c>
      <c r="B56" s="35" t="s">
        <v>26</v>
      </c>
      <c r="C56" s="35" t="s">
        <v>791</v>
      </c>
      <c r="D56" s="35"/>
      <c r="E56" s="35" t="s">
        <v>792</v>
      </c>
      <c r="F56" s="35" t="s">
        <v>36</v>
      </c>
      <c r="G56" s="36">
        <v>0</v>
      </c>
      <c r="H56" s="36">
        <v>30</v>
      </c>
      <c r="I56" s="36">
        <f t="shared" si="2"/>
        <v>-30</v>
      </c>
      <c r="J56" s="35" t="s">
        <v>31</v>
      </c>
      <c r="K56" s="35" t="s">
        <v>31</v>
      </c>
      <c r="L56" s="35" t="s">
        <v>599</v>
      </c>
      <c r="M56" s="35"/>
      <c r="N56" s="35"/>
      <c r="O56" s="35"/>
      <c r="P56" s="35"/>
      <c r="Q56" s="35">
        <v>1</v>
      </c>
      <c r="R56" s="25">
        <f>H56</f>
        <v>30</v>
      </c>
    </row>
    <row r="57" spans="1:18" x14ac:dyDescent="0.25">
      <c r="A57" s="35" t="s">
        <v>66</v>
      </c>
      <c r="B57" s="35" t="s">
        <v>26</v>
      </c>
      <c r="C57" s="35" t="s">
        <v>795</v>
      </c>
      <c r="D57" s="35"/>
      <c r="E57" s="35" t="s">
        <v>796</v>
      </c>
      <c r="F57" s="35" t="s">
        <v>36</v>
      </c>
      <c r="G57" s="36">
        <v>2510</v>
      </c>
      <c r="H57" s="36">
        <v>30</v>
      </c>
      <c r="I57" s="36">
        <f t="shared" si="2"/>
        <v>2480</v>
      </c>
      <c r="J57" s="35" t="s">
        <v>31</v>
      </c>
      <c r="K57" s="35" t="s">
        <v>31</v>
      </c>
      <c r="L57" s="35" t="s">
        <v>599</v>
      </c>
      <c r="M57" s="35"/>
      <c r="N57" s="35"/>
      <c r="O57" s="35"/>
      <c r="P57" s="35"/>
      <c r="Q57" s="35">
        <v>1</v>
      </c>
    </row>
    <row r="58" spans="1:18" x14ac:dyDescent="0.25">
      <c r="A58" s="35"/>
      <c r="B58" s="35" t="s">
        <v>26</v>
      </c>
      <c r="C58" s="35" t="s">
        <v>596</v>
      </c>
      <c r="D58" s="35" t="s">
        <v>597</v>
      </c>
      <c r="E58" s="35" t="s">
        <v>598</v>
      </c>
      <c r="F58" s="36">
        <v>3</v>
      </c>
      <c r="G58" s="36">
        <v>455</v>
      </c>
      <c r="H58" s="36">
        <v>25</v>
      </c>
      <c r="I58" s="36">
        <f t="shared" si="2"/>
        <v>430</v>
      </c>
      <c r="J58" s="35" t="s">
        <v>41</v>
      </c>
      <c r="K58" s="35" t="s">
        <v>31</v>
      </c>
      <c r="L58" s="35" t="s">
        <v>599</v>
      </c>
      <c r="M58" s="35"/>
      <c r="N58" s="35"/>
      <c r="O58" s="35"/>
      <c r="P58" s="35"/>
      <c r="Q58" s="35">
        <v>1</v>
      </c>
    </row>
    <row r="59" spans="1:18" x14ac:dyDescent="0.25">
      <c r="A59" s="35"/>
      <c r="B59" s="35" t="s">
        <v>26</v>
      </c>
      <c r="C59" s="35" t="s">
        <v>620</v>
      </c>
      <c r="D59" s="35" t="s">
        <v>621</v>
      </c>
      <c r="E59" s="35" t="s">
        <v>622</v>
      </c>
      <c r="F59" s="35" t="s">
        <v>155</v>
      </c>
      <c r="G59" s="36">
        <v>760</v>
      </c>
      <c r="H59" s="36">
        <v>20</v>
      </c>
      <c r="I59" s="36">
        <f t="shared" si="2"/>
        <v>740</v>
      </c>
      <c r="J59" s="35" t="s">
        <v>41</v>
      </c>
      <c r="K59" s="35" t="s">
        <v>31</v>
      </c>
      <c r="L59" s="35" t="s">
        <v>599</v>
      </c>
      <c r="M59" s="35"/>
      <c r="N59" s="35"/>
      <c r="O59" s="35"/>
      <c r="P59" s="35"/>
      <c r="Q59" s="35">
        <v>1</v>
      </c>
    </row>
    <row r="60" spans="1:18" x14ac:dyDescent="0.25">
      <c r="A60" s="35"/>
      <c r="B60" s="35" t="s">
        <v>26</v>
      </c>
      <c r="C60" s="35" t="s">
        <v>623</v>
      </c>
      <c r="D60" s="35" t="s">
        <v>624</v>
      </c>
      <c r="E60" s="35" t="s">
        <v>625</v>
      </c>
      <c r="F60" s="36">
        <v>4</v>
      </c>
      <c r="G60" s="36">
        <v>715</v>
      </c>
      <c r="H60" s="36">
        <v>25</v>
      </c>
      <c r="I60" s="36">
        <f t="shared" si="2"/>
        <v>690</v>
      </c>
      <c r="J60" s="35" t="s">
        <v>41</v>
      </c>
      <c r="K60" s="35" t="s">
        <v>31</v>
      </c>
      <c r="L60" s="35" t="s">
        <v>599</v>
      </c>
      <c r="M60" s="35"/>
      <c r="N60" s="35"/>
      <c r="O60" s="35"/>
      <c r="P60" s="35"/>
      <c r="Q60" s="35">
        <v>1</v>
      </c>
    </row>
    <row r="61" spans="1:18" x14ac:dyDescent="0.25">
      <c r="A61" s="35"/>
      <c r="B61" s="35" t="s">
        <v>26</v>
      </c>
      <c r="C61" s="35" t="s">
        <v>629</v>
      </c>
      <c r="D61" s="35" t="s">
        <v>630</v>
      </c>
      <c r="E61" s="35" t="s">
        <v>631</v>
      </c>
      <c r="F61" s="35" t="s">
        <v>155</v>
      </c>
      <c r="G61" s="36">
        <v>660</v>
      </c>
      <c r="H61" s="36">
        <v>20</v>
      </c>
      <c r="I61" s="36">
        <f t="shared" si="2"/>
        <v>640</v>
      </c>
      <c r="J61" s="35" t="s">
        <v>41</v>
      </c>
      <c r="K61" s="35" t="s">
        <v>31</v>
      </c>
      <c r="L61" s="35" t="s">
        <v>599</v>
      </c>
      <c r="M61" s="35"/>
      <c r="N61" s="35"/>
      <c r="O61" s="35"/>
      <c r="P61" s="35"/>
      <c r="Q61" s="35">
        <v>1</v>
      </c>
    </row>
    <row r="62" spans="1:18" x14ac:dyDescent="0.25">
      <c r="A62" s="35"/>
      <c r="B62" s="35" t="s">
        <v>26</v>
      </c>
      <c r="C62" s="35" t="s">
        <v>635</v>
      </c>
      <c r="D62" s="35" t="s">
        <v>636</v>
      </c>
      <c r="E62" s="35" t="s">
        <v>637</v>
      </c>
      <c r="F62" s="35" t="s">
        <v>101</v>
      </c>
      <c r="G62" s="36">
        <v>915</v>
      </c>
      <c r="H62" s="36">
        <v>25</v>
      </c>
      <c r="I62" s="36">
        <f t="shared" si="2"/>
        <v>890</v>
      </c>
      <c r="J62" s="35" t="s">
        <v>41</v>
      </c>
      <c r="K62" s="35" t="s">
        <v>31</v>
      </c>
      <c r="L62" s="35" t="s">
        <v>599</v>
      </c>
      <c r="M62" s="35"/>
      <c r="N62" s="35"/>
      <c r="O62" s="35"/>
      <c r="P62" s="35"/>
      <c r="Q62" s="35">
        <v>1</v>
      </c>
    </row>
    <row r="63" spans="1:18" x14ac:dyDescent="0.25">
      <c r="A63" s="35"/>
      <c r="B63" s="35" t="s">
        <v>26</v>
      </c>
      <c r="C63" s="35" t="s">
        <v>641</v>
      </c>
      <c r="D63" s="35" t="s">
        <v>642</v>
      </c>
      <c r="E63" s="35" t="s">
        <v>643</v>
      </c>
      <c r="F63" s="36">
        <v>3</v>
      </c>
      <c r="G63" s="36">
        <v>515</v>
      </c>
      <c r="H63" s="36">
        <v>25</v>
      </c>
      <c r="I63" s="36">
        <f t="shared" si="2"/>
        <v>490</v>
      </c>
      <c r="J63" s="35" t="s">
        <v>41</v>
      </c>
      <c r="K63" s="35" t="s">
        <v>31</v>
      </c>
      <c r="L63" s="35" t="s">
        <v>599</v>
      </c>
      <c r="M63" s="35"/>
      <c r="N63" s="35"/>
      <c r="O63" s="35"/>
      <c r="P63" s="35"/>
      <c r="Q63" s="35">
        <v>1</v>
      </c>
    </row>
    <row r="64" spans="1:18" x14ac:dyDescent="0.25">
      <c r="A64" s="35"/>
      <c r="B64" s="35" t="s">
        <v>26</v>
      </c>
      <c r="C64" s="35" t="s">
        <v>647</v>
      </c>
      <c r="D64" s="35" t="s">
        <v>648</v>
      </c>
      <c r="E64" s="35" t="s">
        <v>649</v>
      </c>
      <c r="F64" s="36">
        <v>10</v>
      </c>
      <c r="G64" s="36">
        <v>125</v>
      </c>
      <c r="H64" s="36">
        <v>25</v>
      </c>
      <c r="I64" s="36">
        <f t="shared" si="2"/>
        <v>100</v>
      </c>
      <c r="J64" s="35" t="s">
        <v>41</v>
      </c>
      <c r="K64" s="35" t="s">
        <v>31</v>
      </c>
      <c r="L64" s="35" t="s">
        <v>599</v>
      </c>
      <c r="M64" s="35"/>
      <c r="N64" s="35"/>
      <c r="O64" s="35"/>
      <c r="P64" s="35"/>
      <c r="Q64" s="35">
        <v>1</v>
      </c>
    </row>
    <row r="65" spans="1:18" x14ac:dyDescent="0.25">
      <c r="A65" s="35"/>
      <c r="B65" s="35" t="s">
        <v>26</v>
      </c>
      <c r="C65" s="35" t="s">
        <v>652</v>
      </c>
      <c r="D65" s="35" t="s">
        <v>653</v>
      </c>
      <c r="E65" s="35" t="s">
        <v>654</v>
      </c>
      <c r="F65" s="36">
        <v>1</v>
      </c>
      <c r="G65" s="36">
        <v>985</v>
      </c>
      <c r="H65" s="36">
        <v>25</v>
      </c>
      <c r="I65" s="36">
        <f t="shared" si="2"/>
        <v>960</v>
      </c>
      <c r="J65" s="35" t="s">
        <v>41</v>
      </c>
      <c r="K65" s="35" t="s">
        <v>31</v>
      </c>
      <c r="L65" s="35" t="s">
        <v>599</v>
      </c>
      <c r="M65" s="35"/>
      <c r="N65" s="35"/>
      <c r="O65" s="35"/>
      <c r="P65" s="35"/>
      <c r="Q65" s="35">
        <v>1</v>
      </c>
    </row>
    <row r="66" spans="1:18" x14ac:dyDescent="0.25">
      <c r="A66" s="35"/>
      <c r="B66" s="35" t="s">
        <v>26</v>
      </c>
      <c r="C66" s="35" t="s">
        <v>655</v>
      </c>
      <c r="D66" s="35" t="s">
        <v>656</v>
      </c>
      <c r="E66" s="35" t="s">
        <v>657</v>
      </c>
      <c r="F66" s="36">
        <v>1</v>
      </c>
      <c r="G66" s="36">
        <v>595</v>
      </c>
      <c r="H66" s="36">
        <v>25</v>
      </c>
      <c r="I66" s="36">
        <f t="shared" si="2"/>
        <v>570</v>
      </c>
      <c r="J66" s="35" t="s">
        <v>41</v>
      </c>
      <c r="K66" s="35" t="s">
        <v>31</v>
      </c>
      <c r="L66" s="35" t="s">
        <v>599</v>
      </c>
      <c r="M66" s="35"/>
      <c r="N66" s="35"/>
      <c r="O66" s="35"/>
      <c r="P66" s="35"/>
      <c r="Q66" s="35">
        <v>1</v>
      </c>
    </row>
    <row r="67" spans="1:18" x14ac:dyDescent="0.25">
      <c r="A67" s="35"/>
      <c r="B67" s="35" t="s">
        <v>26</v>
      </c>
      <c r="C67" s="35" t="s">
        <v>679</v>
      </c>
      <c r="D67" s="35" t="s">
        <v>680</v>
      </c>
      <c r="E67" s="35" t="s">
        <v>681</v>
      </c>
      <c r="F67" s="36">
        <v>10</v>
      </c>
      <c r="G67" s="36">
        <v>435</v>
      </c>
      <c r="H67" s="36">
        <v>25</v>
      </c>
      <c r="I67" s="36">
        <f t="shared" ref="I67:I98" si="4">G67-H67</f>
        <v>410</v>
      </c>
      <c r="J67" s="35" t="s">
        <v>41</v>
      </c>
      <c r="K67" s="35" t="s">
        <v>31</v>
      </c>
      <c r="L67" s="35" t="s">
        <v>599</v>
      </c>
      <c r="M67" s="35"/>
      <c r="N67" s="35"/>
      <c r="O67" s="35"/>
      <c r="P67" s="35"/>
      <c r="Q67" s="35">
        <v>1</v>
      </c>
    </row>
    <row r="68" spans="1:18" x14ac:dyDescent="0.25">
      <c r="A68" s="35"/>
      <c r="B68" s="35" t="s">
        <v>26</v>
      </c>
      <c r="C68" s="35" t="s">
        <v>691</v>
      </c>
      <c r="D68" s="35" t="s">
        <v>692</v>
      </c>
      <c r="E68" s="35" t="s">
        <v>693</v>
      </c>
      <c r="F68" s="36">
        <v>3</v>
      </c>
      <c r="G68" s="36">
        <v>415</v>
      </c>
      <c r="H68" s="36">
        <v>25</v>
      </c>
      <c r="I68" s="36">
        <f t="shared" si="4"/>
        <v>390</v>
      </c>
      <c r="J68" s="35" t="s">
        <v>41</v>
      </c>
      <c r="K68" s="35" t="s">
        <v>31</v>
      </c>
      <c r="L68" s="35" t="s">
        <v>599</v>
      </c>
      <c r="M68" s="35"/>
      <c r="N68" s="35"/>
      <c r="O68" s="35"/>
      <c r="P68" s="35"/>
      <c r="Q68" s="35">
        <v>1</v>
      </c>
    </row>
    <row r="69" spans="1:18" s="41" customFormat="1" x14ac:dyDescent="0.25">
      <c r="A69" s="39"/>
      <c r="B69" s="39" t="s">
        <v>26</v>
      </c>
      <c r="C69" s="39" t="s">
        <v>159</v>
      </c>
      <c r="D69" s="39" t="s">
        <v>697</v>
      </c>
      <c r="E69" s="39" t="s">
        <v>698</v>
      </c>
      <c r="F69" s="40">
        <v>10</v>
      </c>
      <c r="G69" s="40">
        <v>155</v>
      </c>
      <c r="H69" s="40">
        <v>25</v>
      </c>
      <c r="I69" s="40">
        <f t="shared" si="4"/>
        <v>130</v>
      </c>
      <c r="J69" s="39" t="s">
        <v>41</v>
      </c>
      <c r="K69" s="39" t="s">
        <v>31</v>
      </c>
      <c r="L69" s="39" t="s">
        <v>599</v>
      </c>
      <c r="M69" s="39" t="s">
        <v>37</v>
      </c>
      <c r="N69" s="39"/>
      <c r="O69" s="39"/>
      <c r="P69" s="39"/>
      <c r="Q69" s="39">
        <v>1</v>
      </c>
    </row>
    <row r="70" spans="1:18" x14ac:dyDescent="0.25">
      <c r="A70" s="35"/>
      <c r="B70" s="35" t="s">
        <v>26</v>
      </c>
      <c r="C70" s="35" t="s">
        <v>714</v>
      </c>
      <c r="D70" s="35" t="s">
        <v>715</v>
      </c>
      <c r="E70" s="35" t="s">
        <v>716</v>
      </c>
      <c r="F70" s="35" t="s">
        <v>155</v>
      </c>
      <c r="G70" s="36">
        <v>790</v>
      </c>
      <c r="H70" s="36">
        <v>20</v>
      </c>
      <c r="I70" s="36">
        <f t="shared" si="4"/>
        <v>770</v>
      </c>
      <c r="J70" s="35" t="s">
        <v>41</v>
      </c>
      <c r="K70" s="35" t="s">
        <v>31</v>
      </c>
      <c r="L70" s="35" t="s">
        <v>599</v>
      </c>
      <c r="M70" s="35"/>
      <c r="N70" s="35"/>
      <c r="O70" s="35"/>
      <c r="P70" s="35"/>
      <c r="Q70" s="35">
        <v>1</v>
      </c>
    </row>
    <row r="71" spans="1:18" x14ac:dyDescent="0.25">
      <c r="A71" s="35"/>
      <c r="B71" s="35" t="s">
        <v>26</v>
      </c>
      <c r="C71" s="35" t="s">
        <v>759</v>
      </c>
      <c r="D71" s="35" t="s">
        <v>760</v>
      </c>
      <c r="E71" s="35" t="s">
        <v>761</v>
      </c>
      <c r="F71" s="35" t="s">
        <v>101</v>
      </c>
      <c r="G71" s="36">
        <v>0</v>
      </c>
      <c r="H71" s="36">
        <v>25</v>
      </c>
      <c r="I71" s="36">
        <f t="shared" si="4"/>
        <v>-25</v>
      </c>
      <c r="J71" s="35" t="s">
        <v>41</v>
      </c>
      <c r="K71" s="35" t="s">
        <v>31</v>
      </c>
      <c r="L71" s="35" t="s">
        <v>599</v>
      </c>
      <c r="M71" s="35"/>
      <c r="N71" s="35"/>
      <c r="O71" s="35"/>
      <c r="P71" s="35"/>
      <c r="Q71" s="35">
        <v>1</v>
      </c>
      <c r="R71" s="25">
        <f>H71</f>
        <v>25</v>
      </c>
    </row>
    <row r="72" spans="1:18" x14ac:dyDescent="0.25">
      <c r="A72" s="35"/>
      <c r="B72" s="35" t="s">
        <v>26</v>
      </c>
      <c r="C72" s="35" t="s">
        <v>776</v>
      </c>
      <c r="D72" s="35" t="s">
        <v>777</v>
      </c>
      <c r="E72" s="35" t="s">
        <v>778</v>
      </c>
      <c r="F72" s="35" t="s">
        <v>101</v>
      </c>
      <c r="G72" s="36">
        <v>415</v>
      </c>
      <c r="H72" s="36">
        <v>25</v>
      </c>
      <c r="I72" s="36">
        <f t="shared" si="4"/>
        <v>390</v>
      </c>
      <c r="J72" s="35" t="s">
        <v>41</v>
      </c>
      <c r="K72" s="35" t="s">
        <v>31</v>
      </c>
      <c r="L72" s="35" t="s">
        <v>599</v>
      </c>
      <c r="M72" s="35"/>
      <c r="N72" s="35"/>
      <c r="O72" s="35"/>
      <c r="P72" s="35"/>
      <c r="Q72" s="35">
        <v>1</v>
      </c>
    </row>
    <row r="73" spans="1:18" x14ac:dyDescent="0.25">
      <c r="A73" s="35"/>
      <c r="B73" s="35" t="s">
        <v>26</v>
      </c>
      <c r="C73" s="35" t="s">
        <v>785</v>
      </c>
      <c r="D73" s="35" t="s">
        <v>786</v>
      </c>
      <c r="E73" s="35" t="s">
        <v>787</v>
      </c>
      <c r="F73" s="36">
        <v>4</v>
      </c>
      <c r="G73" s="36">
        <v>1105</v>
      </c>
      <c r="H73" s="36">
        <v>25</v>
      </c>
      <c r="I73" s="36">
        <f t="shared" si="4"/>
        <v>1080</v>
      </c>
      <c r="J73" s="35" t="s">
        <v>41</v>
      </c>
      <c r="K73" s="35" t="s">
        <v>31</v>
      </c>
      <c r="L73" s="35" t="s">
        <v>599</v>
      </c>
      <c r="M73" s="35"/>
      <c r="N73" s="35"/>
      <c r="O73" s="35"/>
      <c r="P73" s="35"/>
      <c r="Q73" s="35">
        <v>1</v>
      </c>
    </row>
    <row r="74" spans="1:18" s="50" customFormat="1" x14ac:dyDescent="0.25">
      <c r="A74" s="51"/>
      <c r="B74" s="51" t="s">
        <v>26</v>
      </c>
      <c r="C74" s="51" t="s">
        <v>861</v>
      </c>
      <c r="D74" s="51" t="s">
        <v>897</v>
      </c>
      <c r="E74" s="51" t="s">
        <v>863</v>
      </c>
      <c r="F74" s="51" t="s">
        <v>77</v>
      </c>
      <c r="G74" s="52">
        <v>0</v>
      </c>
      <c r="H74" s="52">
        <v>30</v>
      </c>
      <c r="I74" s="52">
        <f t="shared" si="4"/>
        <v>-30</v>
      </c>
      <c r="J74" s="51" t="s">
        <v>41</v>
      </c>
      <c r="K74" s="51" t="s">
        <v>31</v>
      </c>
      <c r="L74" s="51" t="s">
        <v>332</v>
      </c>
      <c r="M74" s="51" t="s">
        <v>898</v>
      </c>
      <c r="N74" s="51"/>
      <c r="O74" s="51"/>
      <c r="P74" s="51"/>
      <c r="Q74" s="51">
        <v>1</v>
      </c>
    </row>
    <row r="75" spans="1:18" s="50" customFormat="1" x14ac:dyDescent="0.25">
      <c r="A75" s="51"/>
      <c r="B75" s="51" t="s">
        <v>26</v>
      </c>
      <c r="C75" s="51" t="s">
        <v>899</v>
      </c>
      <c r="D75" s="51" t="s">
        <v>900</v>
      </c>
      <c r="E75" s="51" t="s">
        <v>901</v>
      </c>
      <c r="F75" s="51" t="s">
        <v>101</v>
      </c>
      <c r="G75" s="52">
        <v>1208</v>
      </c>
      <c r="H75" s="52">
        <v>25</v>
      </c>
      <c r="I75" s="52">
        <f t="shared" si="4"/>
        <v>1183</v>
      </c>
      <c r="J75" s="51" t="s">
        <v>41</v>
      </c>
      <c r="K75" s="51" t="s">
        <v>31</v>
      </c>
      <c r="L75" s="51" t="s">
        <v>328</v>
      </c>
      <c r="M75" s="51" t="s">
        <v>898</v>
      </c>
      <c r="N75" s="51"/>
      <c r="O75" s="51"/>
      <c r="P75" s="51"/>
      <c r="Q75" s="51">
        <v>1</v>
      </c>
    </row>
    <row r="76" spans="1:18" s="30" customFormat="1" x14ac:dyDescent="0.25">
      <c r="A76" s="37"/>
      <c r="B76" s="37" t="s">
        <v>26</v>
      </c>
      <c r="C76" s="37" t="s">
        <v>797</v>
      </c>
      <c r="D76" s="37" t="s">
        <v>798</v>
      </c>
      <c r="E76" s="37" t="s">
        <v>799</v>
      </c>
      <c r="F76" s="43">
        <v>5</v>
      </c>
      <c r="G76" s="43">
        <v>905</v>
      </c>
      <c r="H76" s="43">
        <v>25</v>
      </c>
      <c r="I76" s="43">
        <f t="shared" si="4"/>
        <v>880</v>
      </c>
      <c r="J76" s="37" t="s">
        <v>118</v>
      </c>
      <c r="K76" s="37" t="s">
        <v>31</v>
      </c>
      <c r="L76" s="37" t="s">
        <v>800</v>
      </c>
      <c r="M76" s="37" t="s">
        <v>91</v>
      </c>
      <c r="N76" s="37" t="s">
        <v>316</v>
      </c>
      <c r="O76" s="37" t="s">
        <v>316</v>
      </c>
      <c r="P76" s="37" t="s">
        <v>317</v>
      </c>
      <c r="Q76" s="37">
        <v>1</v>
      </c>
    </row>
    <row r="77" spans="1:18" s="30" customFormat="1" x14ac:dyDescent="0.25">
      <c r="A77" s="37"/>
      <c r="B77" s="37" t="s">
        <v>26</v>
      </c>
      <c r="C77" s="37" t="s">
        <v>801</v>
      </c>
      <c r="D77" s="37" t="s">
        <v>802</v>
      </c>
      <c r="E77" s="37" t="s">
        <v>803</v>
      </c>
      <c r="F77" s="43">
        <v>6</v>
      </c>
      <c r="G77" s="43">
        <v>1528</v>
      </c>
      <c r="H77" s="43">
        <v>25</v>
      </c>
      <c r="I77" s="43">
        <f t="shared" si="4"/>
        <v>1503</v>
      </c>
      <c r="J77" s="37" t="s">
        <v>118</v>
      </c>
      <c r="K77" s="37" t="s">
        <v>31</v>
      </c>
      <c r="L77" s="37" t="s">
        <v>321</v>
      </c>
      <c r="M77" s="37" t="s">
        <v>91</v>
      </c>
      <c r="N77" s="37" t="s">
        <v>316</v>
      </c>
      <c r="O77" s="37" t="s">
        <v>316</v>
      </c>
      <c r="P77" s="37" t="s">
        <v>317</v>
      </c>
      <c r="Q77" s="37">
        <v>1</v>
      </c>
    </row>
    <row r="78" spans="1:18" s="30" customFormat="1" x14ac:dyDescent="0.25">
      <c r="A78" s="37"/>
      <c r="B78" s="37" t="s">
        <v>26</v>
      </c>
      <c r="C78" s="37" t="s">
        <v>804</v>
      </c>
      <c r="D78" s="37" t="s">
        <v>805</v>
      </c>
      <c r="E78" s="37" t="s">
        <v>806</v>
      </c>
      <c r="F78" s="43">
        <v>7</v>
      </c>
      <c r="G78" s="43">
        <v>1320</v>
      </c>
      <c r="H78" s="43">
        <v>30</v>
      </c>
      <c r="I78" s="43">
        <f t="shared" si="4"/>
        <v>1290</v>
      </c>
      <c r="J78" s="37" t="s">
        <v>118</v>
      </c>
      <c r="K78" s="37" t="s">
        <v>31</v>
      </c>
      <c r="L78" s="37" t="s">
        <v>315</v>
      </c>
      <c r="M78" s="37" t="s">
        <v>91</v>
      </c>
      <c r="N78" s="37" t="s">
        <v>316</v>
      </c>
      <c r="O78" s="37" t="s">
        <v>316</v>
      </c>
      <c r="P78" s="37" t="s">
        <v>317</v>
      </c>
      <c r="Q78" s="37">
        <v>1</v>
      </c>
    </row>
    <row r="79" spans="1:18" s="30" customFormat="1" x14ac:dyDescent="0.25">
      <c r="A79" s="37"/>
      <c r="B79" s="37" t="s">
        <v>26</v>
      </c>
      <c r="C79" s="37" t="s">
        <v>807</v>
      </c>
      <c r="D79" s="37" t="s">
        <v>808</v>
      </c>
      <c r="E79" s="37" t="s">
        <v>809</v>
      </c>
      <c r="F79" s="43">
        <v>7</v>
      </c>
      <c r="G79" s="43">
        <v>540</v>
      </c>
      <c r="H79" s="43">
        <v>30</v>
      </c>
      <c r="I79" s="43">
        <f t="shared" si="4"/>
        <v>510</v>
      </c>
      <c r="J79" s="37" t="s">
        <v>118</v>
      </c>
      <c r="K79" s="37" t="s">
        <v>31</v>
      </c>
      <c r="L79" s="37" t="s">
        <v>321</v>
      </c>
      <c r="M79" s="37" t="s">
        <v>91</v>
      </c>
      <c r="N79" s="37" t="s">
        <v>316</v>
      </c>
      <c r="O79" s="37" t="s">
        <v>316</v>
      </c>
      <c r="P79" s="37" t="s">
        <v>317</v>
      </c>
      <c r="Q79" s="37">
        <v>1</v>
      </c>
    </row>
    <row r="80" spans="1:18" s="30" customFormat="1" x14ac:dyDescent="0.25">
      <c r="A80" s="37"/>
      <c r="B80" s="37" t="s">
        <v>26</v>
      </c>
      <c r="C80" s="37" t="s">
        <v>810</v>
      </c>
      <c r="D80" s="37" t="s">
        <v>811</v>
      </c>
      <c r="E80" s="37" t="s">
        <v>812</v>
      </c>
      <c r="F80" s="43">
        <v>7</v>
      </c>
      <c r="G80" s="43">
        <v>670</v>
      </c>
      <c r="H80" s="43">
        <v>30</v>
      </c>
      <c r="I80" s="43">
        <f t="shared" si="4"/>
        <v>640</v>
      </c>
      <c r="J80" s="37" t="s">
        <v>118</v>
      </c>
      <c r="K80" s="37" t="s">
        <v>31</v>
      </c>
      <c r="L80" s="37" t="s">
        <v>342</v>
      </c>
      <c r="M80" s="37" t="s">
        <v>91</v>
      </c>
      <c r="N80" s="37" t="s">
        <v>316</v>
      </c>
      <c r="O80" s="37" t="s">
        <v>316</v>
      </c>
      <c r="P80" s="37" t="s">
        <v>317</v>
      </c>
      <c r="Q80" s="37">
        <v>1</v>
      </c>
    </row>
    <row r="81" spans="1:17" s="30" customFormat="1" x14ac:dyDescent="0.25">
      <c r="A81" s="37"/>
      <c r="B81" s="37" t="s">
        <v>26</v>
      </c>
      <c r="C81" s="37" t="s">
        <v>813</v>
      </c>
      <c r="D81" s="37" t="s">
        <v>814</v>
      </c>
      <c r="E81" s="37" t="s">
        <v>815</v>
      </c>
      <c r="F81" s="43">
        <v>7</v>
      </c>
      <c r="G81" s="43">
        <v>1140</v>
      </c>
      <c r="H81" s="43">
        <v>30</v>
      </c>
      <c r="I81" s="43">
        <f t="shared" si="4"/>
        <v>1110</v>
      </c>
      <c r="J81" s="37" t="s">
        <v>118</v>
      </c>
      <c r="K81" s="37" t="s">
        <v>31</v>
      </c>
      <c r="L81" s="37" t="s">
        <v>321</v>
      </c>
      <c r="M81" s="37" t="s">
        <v>91</v>
      </c>
      <c r="N81" s="37" t="s">
        <v>316</v>
      </c>
      <c r="O81" s="37" t="s">
        <v>316</v>
      </c>
      <c r="P81" s="37" t="s">
        <v>317</v>
      </c>
      <c r="Q81" s="37">
        <v>1</v>
      </c>
    </row>
    <row r="82" spans="1:17" s="30" customFormat="1" x14ac:dyDescent="0.25">
      <c r="A82" s="37"/>
      <c r="B82" s="37" t="s">
        <v>26</v>
      </c>
      <c r="C82" s="37" t="s">
        <v>816</v>
      </c>
      <c r="D82" s="37" t="s">
        <v>817</v>
      </c>
      <c r="E82" s="37" t="s">
        <v>818</v>
      </c>
      <c r="F82" s="43">
        <v>7</v>
      </c>
      <c r="G82" s="43">
        <v>1190</v>
      </c>
      <c r="H82" s="43">
        <v>30</v>
      </c>
      <c r="I82" s="43">
        <f t="shared" si="4"/>
        <v>1160</v>
      </c>
      <c r="J82" s="37" t="s">
        <v>118</v>
      </c>
      <c r="K82" s="37" t="s">
        <v>31</v>
      </c>
      <c r="L82" s="37" t="s">
        <v>342</v>
      </c>
      <c r="M82" s="37" t="s">
        <v>91</v>
      </c>
      <c r="N82" s="37" t="s">
        <v>316</v>
      </c>
      <c r="O82" s="37" t="s">
        <v>316</v>
      </c>
      <c r="P82" s="37" t="s">
        <v>317</v>
      </c>
      <c r="Q82" s="37">
        <v>1</v>
      </c>
    </row>
    <row r="83" spans="1:17" s="30" customFormat="1" x14ac:dyDescent="0.25">
      <c r="A83" s="37"/>
      <c r="B83" s="37" t="s">
        <v>26</v>
      </c>
      <c r="C83" s="37" t="s">
        <v>819</v>
      </c>
      <c r="D83" s="37" t="s">
        <v>820</v>
      </c>
      <c r="E83" s="37" t="s">
        <v>821</v>
      </c>
      <c r="F83" s="43">
        <v>11</v>
      </c>
      <c r="G83" s="43">
        <v>655</v>
      </c>
      <c r="H83" s="43">
        <v>25</v>
      </c>
      <c r="I83" s="43">
        <f t="shared" si="4"/>
        <v>630</v>
      </c>
      <c r="J83" s="37" t="s">
        <v>118</v>
      </c>
      <c r="K83" s="37" t="s">
        <v>31</v>
      </c>
      <c r="L83" s="37" t="s">
        <v>315</v>
      </c>
      <c r="M83" s="37" t="s">
        <v>91</v>
      </c>
      <c r="N83" s="37" t="s">
        <v>316</v>
      </c>
      <c r="O83" s="37" t="s">
        <v>316</v>
      </c>
      <c r="P83" s="37" t="s">
        <v>317</v>
      </c>
      <c r="Q83" s="37">
        <v>1</v>
      </c>
    </row>
    <row r="84" spans="1:17" s="30" customFormat="1" x14ac:dyDescent="0.25">
      <c r="A84" s="37"/>
      <c r="B84" s="37" t="s">
        <v>26</v>
      </c>
      <c r="C84" s="37" t="s">
        <v>822</v>
      </c>
      <c r="D84" s="37" t="s">
        <v>823</v>
      </c>
      <c r="E84" s="37" t="s">
        <v>824</v>
      </c>
      <c r="F84" s="37" t="s">
        <v>45</v>
      </c>
      <c r="G84" s="43">
        <v>918</v>
      </c>
      <c r="H84" s="43">
        <v>25</v>
      </c>
      <c r="I84" s="43">
        <f t="shared" si="4"/>
        <v>893</v>
      </c>
      <c r="J84" s="37" t="s">
        <v>118</v>
      </c>
      <c r="K84" s="37" t="s">
        <v>31</v>
      </c>
      <c r="L84" s="37" t="s">
        <v>315</v>
      </c>
      <c r="M84" s="37" t="s">
        <v>91</v>
      </c>
      <c r="N84" s="37" t="s">
        <v>316</v>
      </c>
      <c r="O84" s="37" t="s">
        <v>316</v>
      </c>
      <c r="P84" s="37" t="s">
        <v>317</v>
      </c>
      <c r="Q84" s="37">
        <v>1</v>
      </c>
    </row>
    <row r="85" spans="1:17" s="30" customFormat="1" x14ac:dyDescent="0.25">
      <c r="A85" s="37"/>
      <c r="B85" s="37" t="s">
        <v>26</v>
      </c>
      <c r="C85" s="37" t="s">
        <v>825</v>
      </c>
      <c r="D85" s="37" t="s">
        <v>826</v>
      </c>
      <c r="E85" s="37" t="s">
        <v>827</v>
      </c>
      <c r="F85" s="43">
        <v>9</v>
      </c>
      <c r="G85" s="43">
        <v>570</v>
      </c>
      <c r="H85" s="43">
        <v>30</v>
      </c>
      <c r="I85" s="43">
        <f t="shared" si="4"/>
        <v>540</v>
      </c>
      <c r="J85" s="37" t="s">
        <v>118</v>
      </c>
      <c r="K85" s="37" t="s">
        <v>31</v>
      </c>
      <c r="L85" s="37" t="s">
        <v>332</v>
      </c>
      <c r="M85" s="37" t="s">
        <v>91</v>
      </c>
      <c r="N85" s="37" t="s">
        <v>316</v>
      </c>
      <c r="O85" s="37" t="s">
        <v>316</v>
      </c>
      <c r="P85" s="37" t="s">
        <v>317</v>
      </c>
      <c r="Q85" s="37">
        <v>1</v>
      </c>
    </row>
    <row r="86" spans="1:17" s="30" customFormat="1" x14ac:dyDescent="0.25">
      <c r="A86" s="37"/>
      <c r="B86" s="37" t="s">
        <v>26</v>
      </c>
      <c r="C86" s="37" t="s">
        <v>828</v>
      </c>
      <c r="D86" s="37" t="s">
        <v>829</v>
      </c>
      <c r="E86" s="37" t="s">
        <v>830</v>
      </c>
      <c r="F86" s="43">
        <v>9</v>
      </c>
      <c r="G86" s="43">
        <v>2310</v>
      </c>
      <c r="H86" s="43">
        <v>30</v>
      </c>
      <c r="I86" s="43">
        <f t="shared" si="4"/>
        <v>2280</v>
      </c>
      <c r="J86" s="37" t="s">
        <v>118</v>
      </c>
      <c r="K86" s="37" t="s">
        <v>31</v>
      </c>
      <c r="L86" s="37" t="s">
        <v>321</v>
      </c>
      <c r="M86" s="37" t="s">
        <v>91</v>
      </c>
      <c r="N86" s="37" t="s">
        <v>316</v>
      </c>
      <c r="O86" s="37" t="s">
        <v>316</v>
      </c>
      <c r="P86" s="37" t="s">
        <v>317</v>
      </c>
      <c r="Q86" s="37">
        <v>1</v>
      </c>
    </row>
    <row r="87" spans="1:17" s="30" customFormat="1" x14ac:dyDescent="0.25">
      <c r="A87" s="37"/>
      <c r="B87" s="37" t="s">
        <v>26</v>
      </c>
      <c r="C87" s="37" t="s">
        <v>831</v>
      </c>
      <c r="D87" s="37" t="s">
        <v>832</v>
      </c>
      <c r="E87" s="37" t="s">
        <v>833</v>
      </c>
      <c r="F87" s="43">
        <v>12</v>
      </c>
      <c r="G87" s="43">
        <v>130</v>
      </c>
      <c r="H87" s="43">
        <v>30</v>
      </c>
      <c r="I87" s="43">
        <f t="shared" si="4"/>
        <v>100</v>
      </c>
      <c r="J87" s="37" t="s">
        <v>118</v>
      </c>
      <c r="K87" s="37" t="s">
        <v>31</v>
      </c>
      <c r="L87" s="37" t="s">
        <v>332</v>
      </c>
      <c r="M87" s="37" t="s">
        <v>91</v>
      </c>
      <c r="N87" s="37" t="s">
        <v>316</v>
      </c>
      <c r="O87" s="37" t="s">
        <v>316</v>
      </c>
      <c r="P87" s="37" t="s">
        <v>317</v>
      </c>
      <c r="Q87" s="37">
        <v>1</v>
      </c>
    </row>
    <row r="88" spans="1:17" s="30" customFormat="1" x14ac:dyDescent="0.25">
      <c r="A88" s="37"/>
      <c r="B88" s="37" t="s">
        <v>26</v>
      </c>
      <c r="C88" s="37" t="s">
        <v>834</v>
      </c>
      <c r="D88" s="37" t="s">
        <v>835</v>
      </c>
      <c r="E88" s="37" t="s">
        <v>836</v>
      </c>
      <c r="F88" s="43">
        <v>12</v>
      </c>
      <c r="G88" s="43">
        <v>528</v>
      </c>
      <c r="H88" s="43">
        <v>30</v>
      </c>
      <c r="I88" s="43">
        <f t="shared" si="4"/>
        <v>498</v>
      </c>
      <c r="J88" s="37" t="s">
        <v>118</v>
      </c>
      <c r="K88" s="37" t="s">
        <v>31</v>
      </c>
      <c r="L88" s="37" t="s">
        <v>342</v>
      </c>
      <c r="M88" s="37" t="s">
        <v>91</v>
      </c>
      <c r="N88" s="37" t="s">
        <v>316</v>
      </c>
      <c r="O88" s="37" t="s">
        <v>316</v>
      </c>
      <c r="P88" s="37" t="s">
        <v>317</v>
      </c>
      <c r="Q88" s="37">
        <v>1</v>
      </c>
    </row>
    <row r="89" spans="1:17" s="30" customFormat="1" x14ac:dyDescent="0.25">
      <c r="A89" s="37"/>
      <c r="B89" s="37" t="s">
        <v>26</v>
      </c>
      <c r="C89" s="37" t="s">
        <v>837</v>
      </c>
      <c r="D89" s="37" t="s">
        <v>838</v>
      </c>
      <c r="E89" s="37" t="s">
        <v>839</v>
      </c>
      <c r="F89" s="43">
        <v>12</v>
      </c>
      <c r="G89" s="43">
        <v>398</v>
      </c>
      <c r="H89" s="43">
        <v>30</v>
      </c>
      <c r="I89" s="43">
        <f t="shared" si="4"/>
        <v>368</v>
      </c>
      <c r="J89" s="37" t="s">
        <v>118</v>
      </c>
      <c r="K89" s="37" t="s">
        <v>31</v>
      </c>
      <c r="L89" s="37" t="s">
        <v>321</v>
      </c>
      <c r="M89" s="37" t="s">
        <v>91</v>
      </c>
      <c r="N89" s="37" t="s">
        <v>316</v>
      </c>
      <c r="O89" s="37" t="s">
        <v>316</v>
      </c>
      <c r="P89" s="37" t="s">
        <v>317</v>
      </c>
      <c r="Q89" s="37">
        <v>1</v>
      </c>
    </row>
    <row r="90" spans="1:17" s="30" customFormat="1" x14ac:dyDescent="0.25">
      <c r="A90" s="37"/>
      <c r="B90" s="37" t="s">
        <v>26</v>
      </c>
      <c r="C90" s="37" t="s">
        <v>840</v>
      </c>
      <c r="D90" s="37" t="s">
        <v>841</v>
      </c>
      <c r="E90" s="37" t="s">
        <v>842</v>
      </c>
      <c r="F90" s="43">
        <v>12</v>
      </c>
      <c r="G90" s="43">
        <v>230</v>
      </c>
      <c r="H90" s="43">
        <v>30</v>
      </c>
      <c r="I90" s="43">
        <f t="shared" si="4"/>
        <v>200</v>
      </c>
      <c r="J90" s="37" t="s">
        <v>118</v>
      </c>
      <c r="K90" s="37" t="s">
        <v>31</v>
      </c>
      <c r="L90" s="37" t="s">
        <v>342</v>
      </c>
      <c r="M90" s="37" t="s">
        <v>91</v>
      </c>
      <c r="N90" s="37" t="s">
        <v>316</v>
      </c>
      <c r="O90" s="37" t="s">
        <v>316</v>
      </c>
      <c r="P90" s="37" t="s">
        <v>317</v>
      </c>
      <c r="Q90" s="37">
        <v>1</v>
      </c>
    </row>
    <row r="91" spans="1:17" s="30" customFormat="1" x14ac:dyDescent="0.25">
      <c r="A91" s="37"/>
      <c r="B91" s="37" t="s">
        <v>26</v>
      </c>
      <c r="C91" s="37" t="s">
        <v>843</v>
      </c>
      <c r="D91" s="37" t="s">
        <v>844</v>
      </c>
      <c r="E91" s="37" t="s">
        <v>845</v>
      </c>
      <c r="F91" s="43">
        <v>12</v>
      </c>
      <c r="G91" s="43">
        <v>320</v>
      </c>
      <c r="H91" s="43">
        <v>30</v>
      </c>
      <c r="I91" s="43">
        <f t="shared" si="4"/>
        <v>290</v>
      </c>
      <c r="J91" s="37" t="s">
        <v>118</v>
      </c>
      <c r="K91" s="37" t="s">
        <v>31</v>
      </c>
      <c r="L91" s="37" t="s">
        <v>342</v>
      </c>
      <c r="M91" s="37" t="s">
        <v>91</v>
      </c>
      <c r="N91" s="37" t="s">
        <v>316</v>
      </c>
      <c r="O91" s="37" t="s">
        <v>316</v>
      </c>
      <c r="P91" s="37" t="s">
        <v>317</v>
      </c>
      <c r="Q91" s="37">
        <v>1</v>
      </c>
    </row>
    <row r="92" spans="1:17" s="30" customFormat="1" x14ac:dyDescent="0.25">
      <c r="A92" s="37"/>
      <c r="B92" s="37" t="s">
        <v>26</v>
      </c>
      <c r="C92" s="37" t="s">
        <v>846</v>
      </c>
      <c r="D92" s="37" t="s">
        <v>847</v>
      </c>
      <c r="E92" s="37" t="s">
        <v>848</v>
      </c>
      <c r="F92" s="43">
        <v>12</v>
      </c>
      <c r="G92" s="43">
        <v>620</v>
      </c>
      <c r="H92" s="43">
        <v>30</v>
      </c>
      <c r="I92" s="43">
        <f t="shared" si="4"/>
        <v>590</v>
      </c>
      <c r="J92" s="37" t="s">
        <v>118</v>
      </c>
      <c r="K92" s="37" t="s">
        <v>31</v>
      </c>
      <c r="L92" s="37" t="s">
        <v>800</v>
      </c>
      <c r="M92" s="37" t="s">
        <v>91</v>
      </c>
      <c r="N92" s="37" t="s">
        <v>316</v>
      </c>
      <c r="O92" s="37" t="s">
        <v>316</v>
      </c>
      <c r="P92" s="37" t="s">
        <v>317</v>
      </c>
      <c r="Q92" s="37">
        <v>1</v>
      </c>
    </row>
    <row r="93" spans="1:17" s="30" customFormat="1" x14ac:dyDescent="0.25">
      <c r="A93" s="37"/>
      <c r="B93" s="37" t="s">
        <v>26</v>
      </c>
      <c r="C93" s="37" t="s">
        <v>849</v>
      </c>
      <c r="D93" s="37" t="s">
        <v>850</v>
      </c>
      <c r="E93" s="37" t="s">
        <v>851</v>
      </c>
      <c r="F93" s="43">
        <v>12</v>
      </c>
      <c r="G93" s="43">
        <v>850</v>
      </c>
      <c r="H93" s="43">
        <v>30</v>
      </c>
      <c r="I93" s="43">
        <f t="shared" si="4"/>
        <v>820</v>
      </c>
      <c r="J93" s="37" t="s">
        <v>118</v>
      </c>
      <c r="K93" s="37" t="s">
        <v>31</v>
      </c>
      <c r="L93" s="37" t="s">
        <v>852</v>
      </c>
      <c r="M93" s="37" t="s">
        <v>91</v>
      </c>
      <c r="N93" s="37" t="s">
        <v>316</v>
      </c>
      <c r="O93" s="37" t="s">
        <v>316</v>
      </c>
      <c r="P93" s="37" t="s">
        <v>317</v>
      </c>
      <c r="Q93" s="37">
        <v>1</v>
      </c>
    </row>
    <row r="94" spans="1:17" s="30" customFormat="1" x14ac:dyDescent="0.25">
      <c r="A94" s="37"/>
      <c r="B94" s="37" t="s">
        <v>26</v>
      </c>
      <c r="C94" s="37" t="s">
        <v>853</v>
      </c>
      <c r="D94" s="37" t="s">
        <v>854</v>
      </c>
      <c r="E94" s="37" t="s">
        <v>855</v>
      </c>
      <c r="F94" s="37" t="s">
        <v>77</v>
      </c>
      <c r="G94" s="43">
        <v>1158</v>
      </c>
      <c r="H94" s="43">
        <v>30</v>
      </c>
      <c r="I94" s="43">
        <f t="shared" si="4"/>
        <v>1128</v>
      </c>
      <c r="J94" s="37" t="s">
        <v>118</v>
      </c>
      <c r="K94" s="37" t="s">
        <v>31</v>
      </c>
      <c r="L94" s="37" t="s">
        <v>321</v>
      </c>
      <c r="M94" s="37" t="s">
        <v>91</v>
      </c>
      <c r="N94" s="37" t="s">
        <v>316</v>
      </c>
      <c r="O94" s="37" t="s">
        <v>316</v>
      </c>
      <c r="P94" s="37" t="s">
        <v>317</v>
      </c>
      <c r="Q94" s="37">
        <v>1</v>
      </c>
    </row>
    <row r="95" spans="1:17" s="30" customFormat="1" x14ac:dyDescent="0.25">
      <c r="A95" s="37"/>
      <c r="B95" s="37" t="s">
        <v>26</v>
      </c>
      <c r="C95" s="37" t="s">
        <v>856</v>
      </c>
      <c r="D95" s="37" t="s">
        <v>857</v>
      </c>
      <c r="E95" s="37" t="s">
        <v>858</v>
      </c>
      <c r="F95" s="37" t="s">
        <v>77</v>
      </c>
      <c r="G95" s="43">
        <v>830</v>
      </c>
      <c r="H95" s="43">
        <v>30</v>
      </c>
      <c r="I95" s="43">
        <f t="shared" si="4"/>
        <v>800</v>
      </c>
      <c r="J95" s="37" t="s">
        <v>118</v>
      </c>
      <c r="K95" s="37" t="s">
        <v>31</v>
      </c>
      <c r="L95" s="37" t="s">
        <v>321</v>
      </c>
      <c r="M95" s="37" t="s">
        <v>91</v>
      </c>
      <c r="N95" s="37" t="s">
        <v>316</v>
      </c>
      <c r="O95" s="37" t="s">
        <v>316</v>
      </c>
      <c r="P95" s="37" t="s">
        <v>317</v>
      </c>
      <c r="Q95" s="37">
        <v>1</v>
      </c>
    </row>
    <row r="96" spans="1:17" s="30" customFormat="1" x14ac:dyDescent="0.25">
      <c r="A96" s="37" t="s">
        <v>66</v>
      </c>
      <c r="B96" s="37" t="s">
        <v>26</v>
      </c>
      <c r="C96" s="37" t="s">
        <v>859</v>
      </c>
      <c r="D96" s="37"/>
      <c r="E96" s="37" t="s">
        <v>860</v>
      </c>
      <c r="F96" s="37" t="s">
        <v>77</v>
      </c>
      <c r="G96" s="43">
        <v>445</v>
      </c>
      <c r="H96" s="43">
        <v>35</v>
      </c>
      <c r="I96" s="43">
        <f t="shared" si="4"/>
        <v>410</v>
      </c>
      <c r="J96" s="37" t="s">
        <v>118</v>
      </c>
      <c r="K96" s="37" t="s">
        <v>31</v>
      </c>
      <c r="L96" s="37" t="s">
        <v>315</v>
      </c>
      <c r="M96" s="37" t="s">
        <v>91</v>
      </c>
      <c r="N96" s="37" t="s">
        <v>316</v>
      </c>
      <c r="O96" s="37" t="s">
        <v>316</v>
      </c>
      <c r="P96" s="37" t="s">
        <v>317</v>
      </c>
      <c r="Q96" s="37">
        <v>1</v>
      </c>
    </row>
    <row r="97" spans="1:17" s="30" customFormat="1" x14ac:dyDescent="0.25">
      <c r="A97" s="37"/>
      <c r="B97" s="37" t="s">
        <v>26</v>
      </c>
      <c r="C97" s="37" t="s">
        <v>861</v>
      </c>
      <c r="D97" s="37" t="s">
        <v>862</v>
      </c>
      <c r="E97" s="37" t="s">
        <v>863</v>
      </c>
      <c r="F97" s="37" t="s">
        <v>77</v>
      </c>
      <c r="G97" s="43">
        <v>498</v>
      </c>
      <c r="H97" s="43">
        <v>30</v>
      </c>
      <c r="I97" s="43">
        <f t="shared" si="4"/>
        <v>468</v>
      </c>
      <c r="J97" s="37" t="s">
        <v>118</v>
      </c>
      <c r="K97" s="37" t="s">
        <v>31</v>
      </c>
      <c r="L97" s="37" t="s">
        <v>321</v>
      </c>
      <c r="M97" s="37" t="s">
        <v>91</v>
      </c>
      <c r="N97" s="37" t="s">
        <v>316</v>
      </c>
      <c r="O97" s="37" t="s">
        <v>316</v>
      </c>
      <c r="P97" s="37" t="s">
        <v>317</v>
      </c>
      <c r="Q97" s="37">
        <v>1</v>
      </c>
    </row>
    <row r="98" spans="1:17" s="30" customFormat="1" x14ac:dyDescent="0.25">
      <c r="A98" s="37"/>
      <c r="B98" s="37" t="s">
        <v>26</v>
      </c>
      <c r="C98" s="37" t="s">
        <v>864</v>
      </c>
      <c r="D98" s="37" t="s">
        <v>865</v>
      </c>
      <c r="E98" s="37" t="s">
        <v>866</v>
      </c>
      <c r="F98" s="37" t="s">
        <v>128</v>
      </c>
      <c r="G98" s="43">
        <v>920</v>
      </c>
      <c r="H98" s="43">
        <v>30</v>
      </c>
      <c r="I98" s="43">
        <f t="shared" si="4"/>
        <v>890</v>
      </c>
      <c r="J98" s="37" t="s">
        <v>118</v>
      </c>
      <c r="K98" s="37" t="s">
        <v>31</v>
      </c>
      <c r="L98" s="37" t="s">
        <v>342</v>
      </c>
      <c r="M98" s="37" t="s">
        <v>91</v>
      </c>
      <c r="N98" s="37" t="s">
        <v>316</v>
      </c>
      <c r="O98" s="37" t="s">
        <v>316</v>
      </c>
      <c r="P98" s="37" t="s">
        <v>317</v>
      </c>
      <c r="Q98" s="37">
        <v>1</v>
      </c>
    </row>
    <row r="99" spans="1:17" s="30" customFormat="1" x14ac:dyDescent="0.25">
      <c r="A99" s="37"/>
      <c r="B99" s="37" t="s">
        <v>26</v>
      </c>
      <c r="C99" s="37" t="s">
        <v>867</v>
      </c>
      <c r="D99" s="37" t="s">
        <v>868</v>
      </c>
      <c r="E99" s="37" t="s">
        <v>869</v>
      </c>
      <c r="F99" s="37" t="s">
        <v>128</v>
      </c>
      <c r="G99" s="43">
        <v>2380</v>
      </c>
      <c r="H99" s="43">
        <v>30</v>
      </c>
      <c r="I99" s="43">
        <f t="shared" ref="I99:I107" si="5">G99-H99</f>
        <v>2350</v>
      </c>
      <c r="J99" s="37" t="s">
        <v>118</v>
      </c>
      <c r="K99" s="37" t="s">
        <v>31</v>
      </c>
      <c r="L99" s="37" t="s">
        <v>321</v>
      </c>
      <c r="M99" s="37" t="s">
        <v>91</v>
      </c>
      <c r="N99" s="37" t="s">
        <v>316</v>
      </c>
      <c r="O99" s="37" t="s">
        <v>316</v>
      </c>
      <c r="P99" s="37" t="s">
        <v>317</v>
      </c>
      <c r="Q99" s="37">
        <v>1</v>
      </c>
    </row>
    <row r="100" spans="1:17" s="30" customFormat="1" x14ac:dyDescent="0.25">
      <c r="A100" s="37"/>
      <c r="B100" s="37" t="s">
        <v>26</v>
      </c>
      <c r="C100" s="37" t="s">
        <v>670</v>
      </c>
      <c r="D100" s="37" t="s">
        <v>870</v>
      </c>
      <c r="E100" s="37" t="s">
        <v>871</v>
      </c>
      <c r="F100" s="37" t="s">
        <v>128</v>
      </c>
      <c r="G100" s="43">
        <v>380</v>
      </c>
      <c r="H100" s="43">
        <v>30</v>
      </c>
      <c r="I100" s="43">
        <f t="shared" si="5"/>
        <v>350</v>
      </c>
      <c r="J100" s="37" t="s">
        <v>118</v>
      </c>
      <c r="K100" s="37" t="s">
        <v>31</v>
      </c>
      <c r="L100" s="37" t="s">
        <v>321</v>
      </c>
      <c r="M100" s="37" t="s">
        <v>91</v>
      </c>
      <c r="N100" s="37" t="s">
        <v>316</v>
      </c>
      <c r="O100" s="37" t="s">
        <v>316</v>
      </c>
      <c r="P100" s="37" t="s">
        <v>317</v>
      </c>
      <c r="Q100" s="37">
        <v>1</v>
      </c>
    </row>
    <row r="101" spans="1:17" s="30" customFormat="1" x14ac:dyDescent="0.25">
      <c r="A101" s="37"/>
      <c r="B101" s="37" t="s">
        <v>26</v>
      </c>
      <c r="C101" s="37" t="s">
        <v>872</v>
      </c>
      <c r="D101" s="37" t="s">
        <v>873</v>
      </c>
      <c r="E101" s="37" t="s">
        <v>874</v>
      </c>
      <c r="F101" s="37" t="s">
        <v>121</v>
      </c>
      <c r="G101" s="43">
        <v>1235</v>
      </c>
      <c r="H101" s="43">
        <v>35</v>
      </c>
      <c r="I101" s="43">
        <f t="shared" si="5"/>
        <v>1200</v>
      </c>
      <c r="J101" s="37" t="s">
        <v>118</v>
      </c>
      <c r="K101" s="37" t="s">
        <v>31</v>
      </c>
      <c r="L101" s="37" t="s">
        <v>342</v>
      </c>
      <c r="M101" s="37" t="s">
        <v>91</v>
      </c>
      <c r="N101" s="37" t="s">
        <v>316</v>
      </c>
      <c r="O101" s="37" t="s">
        <v>316</v>
      </c>
      <c r="P101" s="37" t="s">
        <v>317</v>
      </c>
      <c r="Q101" s="37">
        <v>1</v>
      </c>
    </row>
    <row r="102" spans="1:17" s="30" customFormat="1" x14ac:dyDescent="0.25">
      <c r="A102" s="37"/>
      <c r="B102" s="37" t="s">
        <v>26</v>
      </c>
      <c r="C102" s="37" t="s">
        <v>875</v>
      </c>
      <c r="D102" s="37" t="s">
        <v>876</v>
      </c>
      <c r="E102" s="37" t="s">
        <v>877</v>
      </c>
      <c r="F102" s="37" t="s">
        <v>132</v>
      </c>
      <c r="G102" s="43">
        <v>855</v>
      </c>
      <c r="H102" s="43">
        <v>35</v>
      </c>
      <c r="I102" s="43">
        <f t="shared" si="5"/>
        <v>820</v>
      </c>
      <c r="J102" s="37" t="s">
        <v>118</v>
      </c>
      <c r="K102" s="37" t="s">
        <v>31</v>
      </c>
      <c r="L102" s="37" t="s">
        <v>342</v>
      </c>
      <c r="M102" s="37" t="s">
        <v>91</v>
      </c>
      <c r="N102" s="37" t="s">
        <v>316</v>
      </c>
      <c r="O102" s="37" t="s">
        <v>316</v>
      </c>
      <c r="P102" s="37" t="s">
        <v>317</v>
      </c>
      <c r="Q102" s="37">
        <v>1</v>
      </c>
    </row>
    <row r="103" spans="1:17" s="30" customFormat="1" x14ac:dyDescent="0.25">
      <c r="A103" s="37"/>
      <c r="B103" s="37" t="s">
        <v>26</v>
      </c>
      <c r="C103" s="37" t="s">
        <v>878</v>
      </c>
      <c r="D103" s="37" t="s">
        <v>879</v>
      </c>
      <c r="E103" s="37" t="s">
        <v>880</v>
      </c>
      <c r="F103" s="37" t="s">
        <v>117</v>
      </c>
      <c r="G103" s="43">
        <v>465</v>
      </c>
      <c r="H103" s="43">
        <v>35</v>
      </c>
      <c r="I103" s="43">
        <f t="shared" si="5"/>
        <v>430</v>
      </c>
      <c r="J103" s="37" t="s">
        <v>118</v>
      </c>
      <c r="K103" s="37" t="s">
        <v>31</v>
      </c>
      <c r="L103" s="37" t="s">
        <v>342</v>
      </c>
      <c r="M103" s="37" t="s">
        <v>91</v>
      </c>
      <c r="N103" s="37" t="s">
        <v>316</v>
      </c>
      <c r="O103" s="37" t="s">
        <v>316</v>
      </c>
      <c r="P103" s="37" t="s">
        <v>317</v>
      </c>
      <c r="Q103" s="37">
        <v>1</v>
      </c>
    </row>
    <row r="104" spans="1:17" s="30" customFormat="1" x14ac:dyDescent="0.25">
      <c r="A104" s="37"/>
      <c r="B104" s="37" t="s">
        <v>26</v>
      </c>
      <c r="C104" s="37" t="s">
        <v>881</v>
      </c>
      <c r="D104" s="37" t="s">
        <v>882</v>
      </c>
      <c r="E104" s="37" t="s">
        <v>883</v>
      </c>
      <c r="F104" s="37" t="s">
        <v>117</v>
      </c>
      <c r="G104" s="43">
        <v>1225</v>
      </c>
      <c r="H104" s="43">
        <v>35</v>
      </c>
      <c r="I104" s="43">
        <f t="shared" si="5"/>
        <v>1190</v>
      </c>
      <c r="J104" s="37" t="s">
        <v>118</v>
      </c>
      <c r="K104" s="37" t="s">
        <v>31</v>
      </c>
      <c r="L104" s="37" t="s">
        <v>321</v>
      </c>
      <c r="M104" s="37" t="s">
        <v>91</v>
      </c>
      <c r="N104" s="37" t="s">
        <v>316</v>
      </c>
      <c r="O104" s="37" t="s">
        <v>316</v>
      </c>
      <c r="P104" s="37" t="s">
        <v>317</v>
      </c>
      <c r="Q104" s="37">
        <v>1</v>
      </c>
    </row>
    <row r="105" spans="1:17" s="30" customFormat="1" x14ac:dyDescent="0.25">
      <c r="A105" s="37"/>
      <c r="B105" s="37" t="s">
        <v>26</v>
      </c>
      <c r="C105" s="37" t="s">
        <v>884</v>
      </c>
      <c r="D105" s="37" t="s">
        <v>885</v>
      </c>
      <c r="E105" s="37" t="s">
        <v>886</v>
      </c>
      <c r="F105" s="37" t="s">
        <v>117</v>
      </c>
      <c r="G105" s="43">
        <v>325</v>
      </c>
      <c r="H105" s="43">
        <v>35</v>
      </c>
      <c r="I105" s="43">
        <f t="shared" si="5"/>
        <v>290</v>
      </c>
      <c r="J105" s="37" t="s">
        <v>118</v>
      </c>
      <c r="K105" s="37" t="s">
        <v>31</v>
      </c>
      <c r="L105" s="37" t="s">
        <v>852</v>
      </c>
      <c r="M105" s="37" t="s">
        <v>91</v>
      </c>
      <c r="N105" s="37" t="s">
        <v>316</v>
      </c>
      <c r="O105" s="37" t="s">
        <v>316</v>
      </c>
      <c r="P105" s="37" t="s">
        <v>317</v>
      </c>
      <c r="Q105" s="37">
        <v>1</v>
      </c>
    </row>
    <row r="106" spans="1:17" s="30" customFormat="1" x14ac:dyDescent="0.25">
      <c r="A106" s="37"/>
      <c r="B106" s="37" t="s">
        <v>26</v>
      </c>
      <c r="C106" s="37" t="s">
        <v>887</v>
      </c>
      <c r="D106" s="37" t="s">
        <v>888</v>
      </c>
      <c r="E106" s="37" t="s">
        <v>889</v>
      </c>
      <c r="F106" s="37" t="s">
        <v>117</v>
      </c>
      <c r="G106" s="43">
        <v>5600</v>
      </c>
      <c r="H106" s="43">
        <v>50</v>
      </c>
      <c r="I106" s="43">
        <f t="shared" si="5"/>
        <v>5550</v>
      </c>
      <c r="J106" s="37" t="s">
        <v>118</v>
      </c>
      <c r="K106" s="37" t="s">
        <v>31</v>
      </c>
      <c r="L106" s="37" t="s">
        <v>321</v>
      </c>
      <c r="M106" s="37" t="s">
        <v>91</v>
      </c>
      <c r="N106" s="37" t="s">
        <v>316</v>
      </c>
      <c r="O106" s="37" t="s">
        <v>316</v>
      </c>
      <c r="P106" s="37" t="s">
        <v>317</v>
      </c>
      <c r="Q106" s="37">
        <v>1</v>
      </c>
    </row>
    <row r="107" spans="1:17" s="30" customFormat="1" x14ac:dyDescent="0.25">
      <c r="A107" s="37"/>
      <c r="B107" s="37" t="s">
        <v>26</v>
      </c>
      <c r="C107" s="37" t="s">
        <v>890</v>
      </c>
      <c r="D107" s="37" t="s">
        <v>891</v>
      </c>
      <c r="E107" s="37" t="s">
        <v>892</v>
      </c>
      <c r="F107" s="37" t="s">
        <v>117</v>
      </c>
      <c r="G107" s="43">
        <v>2045</v>
      </c>
      <c r="H107" s="43">
        <v>35</v>
      </c>
      <c r="I107" s="43">
        <f t="shared" si="5"/>
        <v>2010</v>
      </c>
      <c r="J107" s="37" t="s">
        <v>118</v>
      </c>
      <c r="K107" s="37" t="s">
        <v>31</v>
      </c>
      <c r="L107" s="37" t="s">
        <v>342</v>
      </c>
      <c r="M107" s="37" t="s">
        <v>91</v>
      </c>
      <c r="N107" s="37" t="s">
        <v>316</v>
      </c>
      <c r="O107" s="37" t="s">
        <v>316</v>
      </c>
      <c r="P107" s="37" t="s">
        <v>317</v>
      </c>
      <c r="Q107" s="37">
        <v>1</v>
      </c>
    </row>
    <row r="109" spans="1:17" x14ac:dyDescent="0.25">
      <c r="D109" s="26">
        <f>COUNTA(D1:D107)</f>
        <v>101</v>
      </c>
      <c r="G109" s="26">
        <f t="shared" ref="G109:Q109" si="6">SUBTOTAL(9,G1:G107)</f>
        <v>80376</v>
      </c>
      <c r="H109" s="26">
        <f t="shared" si="6"/>
        <v>3030</v>
      </c>
      <c r="I109" s="26">
        <f t="shared" si="6"/>
        <v>77346</v>
      </c>
      <c r="J109" s="26">
        <f t="shared" si="6"/>
        <v>0</v>
      </c>
      <c r="K109" s="26">
        <f t="shared" si="6"/>
        <v>0</v>
      </c>
      <c r="L109" s="26">
        <f t="shared" si="6"/>
        <v>0</v>
      </c>
      <c r="M109" s="26">
        <f t="shared" si="6"/>
        <v>0</v>
      </c>
      <c r="N109" s="26">
        <f t="shared" si="6"/>
        <v>0</v>
      </c>
      <c r="O109" s="26">
        <f t="shared" si="6"/>
        <v>0</v>
      </c>
      <c r="P109" s="26">
        <f t="shared" si="6"/>
        <v>0</v>
      </c>
      <c r="Q109" s="26">
        <f t="shared" si="6"/>
        <v>105</v>
      </c>
    </row>
    <row r="110" spans="1:17" x14ac:dyDescent="0.25">
      <c r="H110" s="24">
        <f>-14*17</f>
        <v>-238</v>
      </c>
      <c r="I110" s="24">
        <f>9*17</f>
        <v>153</v>
      </c>
      <c r="J110" s="24">
        <f>1*17</f>
        <v>17</v>
      </c>
    </row>
    <row r="111" spans="1:17" x14ac:dyDescent="0.25">
      <c r="A111" s="26" t="s">
        <v>26</v>
      </c>
      <c r="C111" s="80" t="s">
        <v>78</v>
      </c>
      <c r="D111" s="80"/>
      <c r="E111" s="27" t="s">
        <v>79</v>
      </c>
      <c r="H111" s="24">
        <f>-8*25</f>
        <v>-200</v>
      </c>
      <c r="I111" s="24">
        <f>16*25</f>
        <v>400</v>
      </c>
      <c r="J111" s="24">
        <f>2*25</f>
        <v>50</v>
      </c>
      <c r="K111" s="28" t="s">
        <v>41</v>
      </c>
      <c r="L111" s="28" t="s">
        <v>80</v>
      </c>
      <c r="M111" s="28" t="s">
        <v>79</v>
      </c>
      <c r="O111" s="27" t="s">
        <v>81</v>
      </c>
    </row>
    <row r="112" spans="1:17" x14ac:dyDescent="0.25">
      <c r="A112" s="24" t="s">
        <v>599</v>
      </c>
      <c r="B112" s="29" t="s">
        <v>82</v>
      </c>
      <c r="C112" s="81">
        <f>SUMIFS(I$1:I$107,B$1:B$107,A$111,L$1:L$107,A$112)</f>
        <v>42645</v>
      </c>
      <c r="D112" s="81"/>
      <c r="E112" s="29">
        <f>SUMIFS(Q$1:Q$107,B$1:B$107,A$111,L$1:L$107,A$112)</f>
        <v>70</v>
      </c>
      <c r="F112" s="24" t="s">
        <v>83</v>
      </c>
      <c r="H112" s="24">
        <f>-3*30</f>
        <v>-90</v>
      </c>
      <c r="I112" s="24">
        <f>7*30</f>
        <v>210</v>
      </c>
      <c r="J112" s="24">
        <v>1380</v>
      </c>
      <c r="K112" s="24" t="s">
        <v>84</v>
      </c>
      <c r="L112" s="24">
        <f>SUMIFS(G$1:G$107,J$1:J$107,K$111)</f>
        <v>10248</v>
      </c>
      <c r="M112" s="24">
        <f>SUMIFS(Q$1:Q$107,J$1:J$107,K$111)-INT(COUNTIFS(J$1:J$107,K$111,M$1:M$107,"*gộp*")/2)</f>
        <v>18</v>
      </c>
      <c r="O112" s="24" t="s">
        <v>41</v>
      </c>
      <c r="P112" s="24">
        <f>L117</f>
        <v>9898</v>
      </c>
    </row>
    <row r="113" spans="2:16" x14ac:dyDescent="0.25">
      <c r="B113" s="30" t="s">
        <v>86</v>
      </c>
      <c r="C113" s="82">
        <v>0</v>
      </c>
      <c r="D113" s="82"/>
      <c r="K113" s="24" t="s">
        <v>87</v>
      </c>
      <c r="L113" s="24">
        <f>-SUMIFS(H$1:H$107,J$1:J$107,K$111)+M113*5</f>
        <v>-350</v>
      </c>
      <c r="M113" s="24">
        <f>SUMIFS(Q$1:Q$107,J$1:J$107,K$111)-INT(COUNTIFS(J$1:J$107,K$111,M$1:M$107,"*gộp*")/2)</f>
        <v>18</v>
      </c>
      <c r="O113" s="24" t="s">
        <v>902</v>
      </c>
      <c r="P113" s="24">
        <f>L126</f>
        <v>-20834</v>
      </c>
    </row>
    <row r="114" spans="2:16" x14ac:dyDescent="0.25">
      <c r="B114" s="30" t="s">
        <v>88</v>
      </c>
      <c r="C114" s="82">
        <f>-SUMIFS(I$1:I$107,B$1:B$107,A$111,P$1:P$107,"xx",N$1:N$107,"x")</f>
        <v>-32188</v>
      </c>
      <c r="D114" s="82"/>
      <c r="E114" s="30">
        <f>SUMIFS(Q$1:Q$107,B$1:B$107,A$111,P$1:P$107,"xx",N$1:N$107,"x")</f>
        <v>32</v>
      </c>
      <c r="K114" s="24" t="s">
        <v>89</v>
      </c>
      <c r="L114" s="24">
        <f>-M114*2</f>
        <v>0</v>
      </c>
      <c r="M114" s="24">
        <f>COUNTIFS(K$1:K$107,K$111,L$1:L$107,A$112)-(COUNTIFS(K$1:K$107,K$111,M$1:M$107,"*gộp*")/2)-COUNTIFS(K$1:K$107,K$111,M$1:M$107,"*đơn trả*")-COUNTIFS(K$1:K$107,K$111,M$1:M$107,"*hàng tỉnh*")</f>
        <v>0</v>
      </c>
      <c r="O114" s="24" t="s">
        <v>31</v>
      </c>
      <c r="P114" s="24">
        <f>L133</f>
        <v>13591</v>
      </c>
    </row>
    <row r="115" spans="2:16" x14ac:dyDescent="0.25">
      <c r="B115" s="27" t="s">
        <v>90</v>
      </c>
      <c r="C115" s="80">
        <f>SUBTOTAL(9,C112:C114)</f>
        <v>10457</v>
      </c>
      <c r="D115" s="80"/>
      <c r="E115" s="24">
        <f>E112</f>
        <v>70</v>
      </c>
      <c r="K115" s="31" t="s">
        <v>91</v>
      </c>
      <c r="O115" s="24" t="s">
        <v>610</v>
      </c>
      <c r="P115" s="24">
        <f>L141</f>
        <v>5945</v>
      </c>
    </row>
    <row r="116" spans="2:16" x14ac:dyDescent="0.25">
      <c r="B116" s="30" t="s">
        <v>93</v>
      </c>
      <c r="C116" s="78"/>
      <c r="D116" s="78"/>
      <c r="K116" s="30" t="s">
        <v>94</v>
      </c>
      <c r="O116" s="24" t="s">
        <v>92</v>
      </c>
      <c r="P116" s="24">
        <f>-C119</f>
        <v>-10457</v>
      </c>
    </row>
    <row r="117" spans="2:16" x14ac:dyDescent="0.25">
      <c r="B117" s="32" t="s">
        <v>96</v>
      </c>
      <c r="C117" s="78"/>
      <c r="D117" s="78"/>
      <c r="L117" s="33">
        <f>SUBTOTAL(9,L112:L116)</f>
        <v>9898</v>
      </c>
      <c r="M117" s="33">
        <f>M112</f>
        <v>18</v>
      </c>
      <c r="O117" s="24" t="s">
        <v>905</v>
      </c>
      <c r="P117" s="24">
        <v>2543</v>
      </c>
    </row>
    <row r="118" spans="2:16" x14ac:dyDescent="0.25">
      <c r="O118" s="27" t="s">
        <v>95</v>
      </c>
      <c r="P118" s="27">
        <f>SUBTOTAL(9,P112:P117)</f>
        <v>686</v>
      </c>
    </row>
    <row r="119" spans="2:16" x14ac:dyDescent="0.25">
      <c r="B119" s="26" t="s">
        <v>97</v>
      </c>
      <c r="C119" s="79">
        <f>C115+C116+C117</f>
        <v>10457</v>
      </c>
      <c r="D119" s="79"/>
      <c r="E119" s="26" t="s">
        <v>98</v>
      </c>
      <c r="K119" s="28" t="s">
        <v>603</v>
      </c>
      <c r="L119" s="28" t="s">
        <v>80</v>
      </c>
      <c r="M119" s="28" t="s">
        <v>79</v>
      </c>
    </row>
    <row r="120" spans="2:16" x14ac:dyDescent="0.25">
      <c r="K120" s="24" t="s">
        <v>84</v>
      </c>
      <c r="L120" s="24">
        <f>SUMIFS(G$1:G$107,J$1:J$107,K$119)</f>
        <v>16635</v>
      </c>
      <c r="M120" s="24">
        <f>SUMIFS(Q$1:Q$107,J$1:J$107,K$119)-INT(COUNTIFS(J$1:J$107,K$119,M$1:M$107,"*gộp*")/2)</f>
        <v>25</v>
      </c>
    </row>
    <row r="121" spans="2:16" x14ac:dyDescent="0.25">
      <c r="K121" s="24" t="s">
        <v>87</v>
      </c>
      <c r="L121" s="24">
        <f>SUM(H110:H112)</f>
        <v>-528</v>
      </c>
      <c r="M121" s="24">
        <f>SUMIFS(Q$1:Q$107,J$1:J$107,K$119)-INT(COUNTIFS(J$1:J$107,K$119,M$1:M$107,"*gộp*")/2)</f>
        <v>25</v>
      </c>
    </row>
    <row r="122" spans="2:16" x14ac:dyDescent="0.25">
      <c r="K122" s="24" t="s">
        <v>89</v>
      </c>
      <c r="L122" s="24">
        <f>-M122*2</f>
        <v>0</v>
      </c>
      <c r="M122" s="24">
        <f>COUNTIFS(K$1:K$107,K$119,L$1:L$107,A$112)-(COUNTIFS(K$1:K$107,K$119,M$1:M$107,"*gộp*")/2)-COUNTIFS(K$1:K$107,K$119,M$1:M$107,"*đơn trả*")-COUNTIFS(K$1:K$107,K$119,M$1:M$107,"*hàng tỉnh*")</f>
        <v>0</v>
      </c>
    </row>
    <row r="123" spans="2:16" x14ac:dyDescent="0.25">
      <c r="K123" s="31" t="s">
        <v>91</v>
      </c>
      <c r="L123" s="48">
        <v>-32951</v>
      </c>
      <c r="M123" s="48" t="s">
        <v>904</v>
      </c>
    </row>
    <row r="124" spans="2:16" x14ac:dyDescent="0.25">
      <c r="K124" s="30" t="s">
        <v>94</v>
      </c>
    </row>
    <row r="125" spans="2:16" x14ac:dyDescent="0.25">
      <c r="K125" s="30" t="s">
        <v>903</v>
      </c>
      <c r="L125" s="48">
        <v>-3990</v>
      </c>
      <c r="M125" s="48" t="s">
        <v>358</v>
      </c>
    </row>
    <row r="126" spans="2:16" x14ac:dyDescent="0.25">
      <c r="L126" s="33">
        <f>SUBTOTAL(9,L120:L125)</f>
        <v>-20834</v>
      </c>
      <c r="M126" s="33">
        <f>M121</f>
        <v>25</v>
      </c>
    </row>
    <row r="127" spans="2:16" x14ac:dyDescent="0.25">
      <c r="K127" s="28" t="s">
        <v>31</v>
      </c>
      <c r="L127" s="28" t="s">
        <v>80</v>
      </c>
      <c r="M127" s="28" t="s">
        <v>79</v>
      </c>
    </row>
    <row r="128" spans="2:16" x14ac:dyDescent="0.25">
      <c r="K128" s="24" t="s">
        <v>84</v>
      </c>
      <c r="L128" s="24">
        <f>SUMIFS(G$1:G$107,J$1:J$107,K$127)</f>
        <v>14155</v>
      </c>
      <c r="M128" s="24">
        <f>SUMIFS(Q$1:Q$107,J$1:J$107,K$127)-INT(COUNTIFS(J$1:J$107,K$127,M$1:M$107,"*gộp*")/2)</f>
        <v>21</v>
      </c>
    </row>
    <row r="129" spans="11:13" x14ac:dyDescent="0.25">
      <c r="K129" s="24" t="s">
        <v>87</v>
      </c>
      <c r="L129" s="24">
        <f>-SUMIFS(H$1:H$107,J$1:J$107,K$127)+M129*5</f>
        <v>-490</v>
      </c>
      <c r="M129" s="24">
        <f>SUMIFS(Q$1:Q$107,J$1:J$107,K$127)-INT(COUNTIFS(J$1:J$107,K$127,M$1:M$107,"*gộp*")/2)</f>
        <v>21</v>
      </c>
    </row>
    <row r="130" spans="11:13" x14ac:dyDescent="0.25">
      <c r="K130" s="24" t="s">
        <v>89</v>
      </c>
      <c r="L130" s="24">
        <f>-M130*2</f>
        <v>-74</v>
      </c>
      <c r="M130" s="24">
        <f>COUNTIFS(K$1:K$107,K$127,L$1:L$107,A$112)-(COUNTIFS(K$1:K$107,K$127,M$1:M$107,"*gộp*")/2)-COUNTIFS(K$1:K$107,K$127,M$1:M$107,"*đơn trả*")-COUNTIFS(K$1:K$107,K$127,M$1:M$107,"*hàng tỉnh*")</f>
        <v>37</v>
      </c>
    </row>
    <row r="131" spans="11:13" x14ac:dyDescent="0.25">
      <c r="K131" s="31" t="s">
        <v>91</v>
      </c>
    </row>
    <row r="132" spans="11:13" x14ac:dyDescent="0.25">
      <c r="K132" s="30" t="s">
        <v>94</v>
      </c>
    </row>
    <row r="133" spans="11:13" x14ac:dyDescent="0.25">
      <c r="L133" s="33">
        <f>SUBTOTAL(9,L128:L132)</f>
        <v>13591</v>
      </c>
      <c r="M133" s="33">
        <f>M128</f>
        <v>21</v>
      </c>
    </row>
    <row r="135" spans="11:13" x14ac:dyDescent="0.25">
      <c r="K135" s="28" t="s">
        <v>610</v>
      </c>
      <c r="L135" s="28" t="s">
        <v>80</v>
      </c>
      <c r="M135" s="28" t="s">
        <v>79</v>
      </c>
    </row>
    <row r="136" spans="11:13" x14ac:dyDescent="0.25">
      <c r="K136" s="24" t="s">
        <v>84</v>
      </c>
      <c r="L136" s="24">
        <f>SUMIFS(G$1:G$107,J$1:J$107,K$135)</f>
        <v>6155</v>
      </c>
      <c r="M136" s="24">
        <f>SUMIFS(Q$1:Q$107,J$1:J$107,K$135)-INT(COUNTIFS(J$1:J$107,K$135,M$1:M$107,"*gộp*")/2)</f>
        <v>8</v>
      </c>
    </row>
    <row r="137" spans="11:13" x14ac:dyDescent="0.25">
      <c r="K137" s="24" t="s">
        <v>87</v>
      </c>
      <c r="L137" s="24">
        <f>-SUMIFS(H$1:H$107,J$1:J$107,K$135)+M137*5</f>
        <v>-210</v>
      </c>
      <c r="M137" s="24">
        <f>SUMIFS(Q$1:Q$107,J$1:J$107,K$135)-INT(COUNTIFS(J$1:J$107,K$135,M$1:M$107,"*gộp*")/2)</f>
        <v>8</v>
      </c>
    </row>
    <row r="138" spans="11:13" x14ac:dyDescent="0.25">
      <c r="K138" s="24" t="s">
        <v>89</v>
      </c>
      <c r="L138" s="24">
        <f>-M138*2</f>
        <v>0</v>
      </c>
      <c r="M138" s="24">
        <f>COUNTIFS(K$1:K$107,K$135,L$1:L$107,A$112)-(COUNTIFS(K$1:K$107,K$135,M$1:M$107,"*gộp*")/2)-COUNTIFS(K$1:K$107,K$135,M$1:M$107,"*đơn trả*")-COUNTIFS(K$1:K$107,K$135,M$1:M$107,"*hàng tỉnh*")</f>
        <v>0</v>
      </c>
    </row>
    <row r="139" spans="11:13" x14ac:dyDescent="0.25">
      <c r="K139" s="31" t="s">
        <v>91</v>
      </c>
    </row>
    <row r="140" spans="11:13" x14ac:dyDescent="0.25">
      <c r="K140" s="30" t="s">
        <v>94</v>
      </c>
    </row>
    <row r="141" spans="11:13" x14ac:dyDescent="0.25">
      <c r="L141" s="33">
        <f>SUBTOTAL(9,L136:L140)</f>
        <v>5945</v>
      </c>
      <c r="M141" s="33">
        <f>M136</f>
        <v>8</v>
      </c>
    </row>
  </sheetData>
  <autoFilter ref="A2:P107" xr:uid="{00000000-0009-0000-0000-000000000000}">
    <sortState xmlns:xlrd2="http://schemas.microsoft.com/office/spreadsheetml/2017/richdata2" ref="A3:P107">
      <sortCondition ref="J2:J107"/>
    </sortState>
  </autoFilter>
  <mergeCells count="8">
    <mergeCell ref="C117:D117"/>
    <mergeCell ref="C119:D119"/>
    <mergeCell ref="C111:D111"/>
    <mergeCell ref="C112:D112"/>
    <mergeCell ref="C113:D113"/>
    <mergeCell ref="C114:D114"/>
    <mergeCell ref="C115:D115"/>
    <mergeCell ref="C116:D116"/>
  </mergeCell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FE97-1178-4514-A7E0-14C10BC541A7}">
  <dimension ref="A1:R82"/>
  <sheetViews>
    <sheetView topLeftCell="A33" workbookViewId="0">
      <selection activeCell="G58" sqref="G58"/>
    </sheetView>
  </sheetViews>
  <sheetFormatPr defaultRowHeight="15" x14ac:dyDescent="0.25"/>
  <cols>
    <col min="1" max="1" width="12.7109375" style="24" customWidth="1"/>
    <col min="2" max="2" width="9.42578125" style="24" customWidth="1"/>
    <col min="3" max="3" width="35.5703125" style="24" customWidth="1"/>
    <col min="4" max="4" width="9.85546875" style="24" customWidth="1"/>
    <col min="5" max="5" width="63.28515625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0.42578125" style="24" customWidth="1"/>
    <col min="13" max="13" width="13.85546875" style="24" customWidth="1"/>
    <col min="14" max="14" width="9.7109375" style="24" customWidth="1"/>
    <col min="15" max="15" width="10.42578125" style="24" customWidth="1"/>
    <col min="16" max="16" width="7" style="24" bestFit="1" customWidth="1"/>
    <col min="17" max="16384" width="9.140625" style="24"/>
  </cols>
  <sheetData>
    <row r="1" spans="1:18" x14ac:dyDescent="0.25">
      <c r="B1" s="24" t="s">
        <v>1163</v>
      </c>
      <c r="C1" s="24" t="s">
        <v>1164</v>
      </c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/>
      <c r="B3" s="35" t="s">
        <v>26</v>
      </c>
      <c r="C3" s="35" t="s">
        <v>914</v>
      </c>
      <c r="D3" s="35" t="s">
        <v>915</v>
      </c>
      <c r="E3" s="35" t="s">
        <v>916</v>
      </c>
      <c r="F3" s="36">
        <v>7</v>
      </c>
      <c r="G3" s="36">
        <v>0</v>
      </c>
      <c r="H3" s="36">
        <v>30</v>
      </c>
      <c r="I3" s="36">
        <f t="shared" ref="I3:I34" si="0">G3-H3</f>
        <v>-30</v>
      </c>
      <c r="J3" s="35" t="s">
        <v>917</v>
      </c>
      <c r="K3" s="35" t="s">
        <v>31</v>
      </c>
      <c r="L3" s="35" t="s">
        <v>910</v>
      </c>
      <c r="M3" s="35"/>
      <c r="N3" s="35"/>
      <c r="O3" s="35"/>
      <c r="P3" s="35"/>
      <c r="Q3" s="35">
        <v>1</v>
      </c>
      <c r="R3" s="25">
        <f>H3</f>
        <v>30</v>
      </c>
    </row>
    <row r="4" spans="1:18" x14ac:dyDescent="0.25">
      <c r="A4" s="35"/>
      <c r="B4" s="35" t="s">
        <v>26</v>
      </c>
      <c r="C4" s="35" t="s">
        <v>918</v>
      </c>
      <c r="D4" s="35" t="s">
        <v>919</v>
      </c>
      <c r="E4" s="35" t="s">
        <v>920</v>
      </c>
      <c r="F4" s="36">
        <v>11</v>
      </c>
      <c r="G4" s="36">
        <v>665</v>
      </c>
      <c r="H4" s="36">
        <v>25</v>
      </c>
      <c r="I4" s="36">
        <f t="shared" si="0"/>
        <v>640</v>
      </c>
      <c r="J4" s="35" t="s">
        <v>917</v>
      </c>
      <c r="K4" s="35" t="s">
        <v>31</v>
      </c>
      <c r="L4" s="35" t="s">
        <v>910</v>
      </c>
      <c r="M4" s="35"/>
      <c r="N4" s="35"/>
      <c r="O4" s="35"/>
      <c r="P4" s="35"/>
      <c r="Q4" s="35">
        <v>1</v>
      </c>
    </row>
    <row r="5" spans="1:18" x14ac:dyDescent="0.25">
      <c r="A5" s="35"/>
      <c r="B5" s="35" t="s">
        <v>26</v>
      </c>
      <c r="C5" s="35" t="s">
        <v>930</v>
      </c>
      <c r="D5" s="35" t="s">
        <v>931</v>
      </c>
      <c r="E5" s="35" t="s">
        <v>932</v>
      </c>
      <c r="F5" s="35" t="s">
        <v>77</v>
      </c>
      <c r="G5" s="36">
        <v>940</v>
      </c>
      <c r="H5" s="36">
        <v>30</v>
      </c>
      <c r="I5" s="36">
        <f t="shared" si="0"/>
        <v>910</v>
      </c>
      <c r="J5" s="35" t="s">
        <v>917</v>
      </c>
      <c r="K5" s="35" t="s">
        <v>31</v>
      </c>
      <c r="L5" s="35" t="s">
        <v>910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933</v>
      </c>
      <c r="D6" s="35" t="s">
        <v>934</v>
      </c>
      <c r="E6" s="35" t="s">
        <v>935</v>
      </c>
      <c r="F6" s="35" t="s">
        <v>77</v>
      </c>
      <c r="G6" s="36">
        <v>6405</v>
      </c>
      <c r="H6" s="36">
        <v>50</v>
      </c>
      <c r="I6" s="36">
        <f t="shared" si="0"/>
        <v>6355</v>
      </c>
      <c r="J6" s="35" t="s">
        <v>917</v>
      </c>
      <c r="K6" s="35" t="s">
        <v>31</v>
      </c>
      <c r="L6" s="35" t="s">
        <v>910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936</v>
      </c>
      <c r="D7" s="35" t="s">
        <v>937</v>
      </c>
      <c r="E7" s="35" t="s">
        <v>938</v>
      </c>
      <c r="F7" s="36">
        <v>8</v>
      </c>
      <c r="G7" s="36">
        <v>0</v>
      </c>
      <c r="H7" s="36">
        <v>30</v>
      </c>
      <c r="I7" s="36">
        <f t="shared" si="0"/>
        <v>-30</v>
      </c>
      <c r="J7" s="35" t="s">
        <v>917</v>
      </c>
      <c r="K7" s="35" t="s">
        <v>31</v>
      </c>
      <c r="L7" s="35" t="s">
        <v>910</v>
      </c>
      <c r="M7" s="35"/>
      <c r="N7" s="35"/>
      <c r="O7" s="35"/>
      <c r="P7" s="35"/>
      <c r="Q7" s="35">
        <v>1</v>
      </c>
      <c r="R7" s="25">
        <f>H7</f>
        <v>30</v>
      </c>
    </row>
    <row r="8" spans="1:18" x14ac:dyDescent="0.25">
      <c r="A8" s="35"/>
      <c r="B8" s="35" t="s">
        <v>26</v>
      </c>
      <c r="C8" s="35" t="s">
        <v>939</v>
      </c>
      <c r="D8" s="35" t="s">
        <v>940</v>
      </c>
      <c r="E8" s="35" t="s">
        <v>941</v>
      </c>
      <c r="F8" s="36">
        <v>7</v>
      </c>
      <c r="G8" s="36">
        <v>260</v>
      </c>
      <c r="H8" s="36">
        <v>30</v>
      </c>
      <c r="I8" s="36">
        <f t="shared" si="0"/>
        <v>230</v>
      </c>
      <c r="J8" s="35" t="s">
        <v>917</v>
      </c>
      <c r="K8" s="35" t="s">
        <v>31</v>
      </c>
      <c r="L8" s="35" t="s">
        <v>910</v>
      </c>
      <c r="M8" s="35"/>
      <c r="N8" s="35"/>
      <c r="O8" s="35"/>
      <c r="P8" s="35"/>
      <c r="Q8" s="35">
        <v>1</v>
      </c>
    </row>
    <row r="9" spans="1:18" x14ac:dyDescent="0.25">
      <c r="A9" s="35"/>
      <c r="B9" s="35" t="s">
        <v>26</v>
      </c>
      <c r="C9" s="35" t="s">
        <v>945</v>
      </c>
      <c r="D9" s="35" t="s">
        <v>946</v>
      </c>
      <c r="E9" s="35" t="s">
        <v>947</v>
      </c>
      <c r="F9" s="35" t="s">
        <v>132</v>
      </c>
      <c r="G9" s="36">
        <v>385</v>
      </c>
      <c r="H9" s="36">
        <v>35</v>
      </c>
      <c r="I9" s="36">
        <f t="shared" si="0"/>
        <v>350</v>
      </c>
      <c r="J9" s="35" t="s">
        <v>917</v>
      </c>
      <c r="K9" s="35" t="s">
        <v>31</v>
      </c>
      <c r="L9" s="35" t="s">
        <v>910</v>
      </c>
      <c r="M9" s="35"/>
      <c r="N9" s="35"/>
      <c r="O9" s="35"/>
      <c r="P9" s="35"/>
      <c r="Q9" s="35">
        <v>1</v>
      </c>
    </row>
    <row r="10" spans="1:18" x14ac:dyDescent="0.25">
      <c r="A10" s="35"/>
      <c r="B10" s="35" t="s">
        <v>26</v>
      </c>
      <c r="C10" s="35" t="s">
        <v>959</v>
      </c>
      <c r="D10" s="35" t="s">
        <v>960</v>
      </c>
      <c r="E10" s="35" t="s">
        <v>961</v>
      </c>
      <c r="F10" s="36">
        <v>8</v>
      </c>
      <c r="G10" s="36">
        <v>520</v>
      </c>
      <c r="H10" s="36">
        <v>30</v>
      </c>
      <c r="I10" s="36">
        <f t="shared" si="0"/>
        <v>490</v>
      </c>
      <c r="J10" s="35" t="s">
        <v>917</v>
      </c>
      <c r="K10" s="35" t="s">
        <v>31</v>
      </c>
      <c r="L10" s="35" t="s">
        <v>910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976</v>
      </c>
      <c r="D11" s="35" t="s">
        <v>977</v>
      </c>
      <c r="E11" s="35" t="s">
        <v>978</v>
      </c>
      <c r="F11" s="35" t="s">
        <v>132</v>
      </c>
      <c r="G11" s="36">
        <v>865</v>
      </c>
      <c r="H11" s="36">
        <v>35</v>
      </c>
      <c r="I11" s="36">
        <f t="shared" si="0"/>
        <v>830</v>
      </c>
      <c r="J11" s="35" t="s">
        <v>917</v>
      </c>
      <c r="K11" s="35" t="s">
        <v>31</v>
      </c>
      <c r="L11" s="35" t="s">
        <v>910</v>
      </c>
      <c r="M11" s="35"/>
      <c r="N11" s="35"/>
      <c r="O11" s="35"/>
      <c r="P11" s="35"/>
      <c r="Q11" s="35">
        <v>1</v>
      </c>
    </row>
    <row r="12" spans="1:18" x14ac:dyDescent="0.25">
      <c r="A12" s="35"/>
      <c r="B12" s="35" t="s">
        <v>26</v>
      </c>
      <c r="C12" s="35" t="s">
        <v>982</v>
      </c>
      <c r="D12" s="35" t="s">
        <v>820</v>
      </c>
      <c r="E12" s="35" t="s">
        <v>983</v>
      </c>
      <c r="F12" s="36">
        <v>11</v>
      </c>
      <c r="G12" s="36">
        <v>655</v>
      </c>
      <c r="H12" s="36">
        <v>25</v>
      </c>
      <c r="I12" s="36">
        <f t="shared" si="0"/>
        <v>630</v>
      </c>
      <c r="J12" s="35" t="s">
        <v>917</v>
      </c>
      <c r="K12" s="35" t="s">
        <v>31</v>
      </c>
      <c r="L12" s="35" t="s">
        <v>910</v>
      </c>
      <c r="M12" s="35"/>
      <c r="N12" s="35"/>
      <c r="O12" s="35"/>
      <c r="P12" s="35"/>
      <c r="Q12" s="35">
        <v>1</v>
      </c>
    </row>
    <row r="13" spans="1:18" x14ac:dyDescent="0.25">
      <c r="A13" s="35"/>
      <c r="B13" s="35" t="s">
        <v>26</v>
      </c>
      <c r="C13" s="35" t="s">
        <v>993</v>
      </c>
      <c r="D13" s="35" t="s">
        <v>994</v>
      </c>
      <c r="E13" s="35" t="s">
        <v>995</v>
      </c>
      <c r="F13" s="35" t="s">
        <v>77</v>
      </c>
      <c r="G13" s="36">
        <v>710</v>
      </c>
      <c r="H13" s="36">
        <v>30</v>
      </c>
      <c r="I13" s="36">
        <f t="shared" si="0"/>
        <v>680</v>
      </c>
      <c r="J13" s="35" t="s">
        <v>917</v>
      </c>
      <c r="K13" s="35" t="s">
        <v>31</v>
      </c>
      <c r="L13" s="35" t="s">
        <v>910</v>
      </c>
      <c r="M13" s="35"/>
      <c r="N13" s="35"/>
      <c r="O13" s="35"/>
      <c r="P13" s="35"/>
      <c r="Q13" s="35">
        <v>1</v>
      </c>
    </row>
    <row r="14" spans="1:18" x14ac:dyDescent="0.25">
      <c r="A14" s="35"/>
      <c r="B14" s="35" t="s">
        <v>26</v>
      </c>
      <c r="C14" s="35" t="s">
        <v>890</v>
      </c>
      <c r="D14" s="35" t="s">
        <v>891</v>
      </c>
      <c r="E14" s="35" t="s">
        <v>892</v>
      </c>
      <c r="F14" s="35" t="s">
        <v>117</v>
      </c>
      <c r="G14" s="36">
        <v>0</v>
      </c>
      <c r="H14" s="36">
        <v>35</v>
      </c>
      <c r="I14" s="36">
        <f t="shared" si="0"/>
        <v>-35</v>
      </c>
      <c r="J14" s="35" t="s">
        <v>917</v>
      </c>
      <c r="K14" s="35" t="s">
        <v>31</v>
      </c>
      <c r="L14" s="35" t="s">
        <v>910</v>
      </c>
      <c r="M14" s="35"/>
      <c r="N14" s="35"/>
      <c r="O14" s="35"/>
      <c r="P14" s="35"/>
      <c r="Q14" s="35">
        <v>1</v>
      </c>
      <c r="R14" s="25">
        <f>H14</f>
        <v>35</v>
      </c>
    </row>
    <row r="15" spans="1:18" x14ac:dyDescent="0.25">
      <c r="A15" s="35"/>
      <c r="B15" s="35" t="s">
        <v>26</v>
      </c>
      <c r="C15" s="35" t="s">
        <v>996</v>
      </c>
      <c r="D15" s="35" t="s">
        <v>997</v>
      </c>
      <c r="E15" s="35" t="s">
        <v>998</v>
      </c>
      <c r="F15" s="36">
        <v>6</v>
      </c>
      <c r="G15" s="36">
        <v>2230</v>
      </c>
      <c r="H15" s="36">
        <v>30</v>
      </c>
      <c r="I15" s="36">
        <f t="shared" si="0"/>
        <v>2200</v>
      </c>
      <c r="J15" s="35" t="s">
        <v>917</v>
      </c>
      <c r="K15" s="35" t="s">
        <v>31</v>
      </c>
      <c r="L15" s="35" t="s">
        <v>910</v>
      </c>
      <c r="M15" s="38" t="s">
        <v>59</v>
      </c>
      <c r="N15" s="35"/>
      <c r="O15" s="35"/>
      <c r="P15" s="35"/>
      <c r="Q15" s="35">
        <v>1</v>
      </c>
      <c r="R15" s="25">
        <f>H15</f>
        <v>30</v>
      </c>
    </row>
    <row r="16" spans="1:18" x14ac:dyDescent="0.25">
      <c r="A16" s="35"/>
      <c r="B16" s="35" t="s">
        <v>26</v>
      </c>
      <c r="C16" s="35" t="s">
        <v>1002</v>
      </c>
      <c r="D16" s="35" t="s">
        <v>1003</v>
      </c>
      <c r="E16" s="35" t="s">
        <v>1004</v>
      </c>
      <c r="F16" s="36">
        <v>7</v>
      </c>
      <c r="G16" s="36">
        <v>730</v>
      </c>
      <c r="H16" s="36">
        <v>30</v>
      </c>
      <c r="I16" s="36">
        <f t="shared" si="0"/>
        <v>700</v>
      </c>
      <c r="J16" s="35" t="s">
        <v>917</v>
      </c>
      <c r="K16" s="35" t="s">
        <v>31</v>
      </c>
      <c r="L16" s="35" t="s">
        <v>910</v>
      </c>
      <c r="M16" s="35"/>
      <c r="N16" s="35"/>
      <c r="O16" s="35"/>
      <c r="P16" s="35"/>
      <c r="Q16" s="35">
        <v>1</v>
      </c>
    </row>
    <row r="17" spans="1:18" x14ac:dyDescent="0.25">
      <c r="A17" s="35"/>
      <c r="B17" s="35" t="s">
        <v>26</v>
      </c>
      <c r="C17" s="35" t="s">
        <v>1005</v>
      </c>
      <c r="D17" s="35" t="s">
        <v>1006</v>
      </c>
      <c r="E17" s="35" t="s">
        <v>1007</v>
      </c>
      <c r="F17" s="36">
        <v>9</v>
      </c>
      <c r="G17" s="36">
        <v>1700</v>
      </c>
      <c r="H17" s="36">
        <v>30</v>
      </c>
      <c r="I17" s="36">
        <f t="shared" si="0"/>
        <v>1670</v>
      </c>
      <c r="J17" s="35" t="s">
        <v>917</v>
      </c>
      <c r="K17" s="35" t="s">
        <v>31</v>
      </c>
      <c r="L17" s="35" t="s">
        <v>910</v>
      </c>
      <c r="M17" s="35"/>
      <c r="N17" s="35"/>
      <c r="O17" s="35"/>
      <c r="P17" s="35"/>
      <c r="Q17" s="35">
        <v>1</v>
      </c>
    </row>
    <row r="18" spans="1:18" x14ac:dyDescent="0.25">
      <c r="A18" s="35"/>
      <c r="B18" s="35" t="s">
        <v>26</v>
      </c>
      <c r="C18" s="35" t="s">
        <v>1008</v>
      </c>
      <c r="D18" s="35" t="s">
        <v>1009</v>
      </c>
      <c r="E18" s="35" t="s">
        <v>1010</v>
      </c>
      <c r="F18" s="35" t="s">
        <v>45</v>
      </c>
      <c r="G18" s="36">
        <v>415</v>
      </c>
      <c r="H18" s="36">
        <v>25</v>
      </c>
      <c r="I18" s="36">
        <f t="shared" si="0"/>
        <v>390</v>
      </c>
      <c r="J18" s="35" t="s">
        <v>917</v>
      </c>
      <c r="K18" s="35" t="s">
        <v>31</v>
      </c>
      <c r="L18" s="35" t="s">
        <v>910</v>
      </c>
      <c r="M18" s="35"/>
      <c r="N18" s="35"/>
      <c r="O18" s="35"/>
      <c r="P18" s="35"/>
      <c r="Q18" s="35">
        <v>1</v>
      </c>
    </row>
    <row r="19" spans="1:18" x14ac:dyDescent="0.25">
      <c r="A19" s="35"/>
      <c r="B19" s="35" t="s">
        <v>26</v>
      </c>
      <c r="C19" s="35" t="s">
        <v>1011</v>
      </c>
      <c r="D19" s="35" t="s">
        <v>1012</v>
      </c>
      <c r="E19" s="35" t="s">
        <v>1013</v>
      </c>
      <c r="F19" s="36">
        <v>6</v>
      </c>
      <c r="G19" s="36">
        <v>375</v>
      </c>
      <c r="H19" s="36">
        <v>25</v>
      </c>
      <c r="I19" s="36">
        <f t="shared" si="0"/>
        <v>350</v>
      </c>
      <c r="J19" s="35" t="s">
        <v>917</v>
      </c>
      <c r="K19" s="35" t="s">
        <v>31</v>
      </c>
      <c r="L19" s="35" t="s">
        <v>910</v>
      </c>
      <c r="M19" s="35"/>
      <c r="N19" s="35"/>
      <c r="O19" s="35"/>
      <c r="P19" s="35"/>
      <c r="Q19" s="35">
        <v>1</v>
      </c>
    </row>
    <row r="20" spans="1:18" x14ac:dyDescent="0.25">
      <c r="A20" s="35"/>
      <c r="B20" s="35" t="s">
        <v>26</v>
      </c>
      <c r="C20" s="35" t="s">
        <v>1023</v>
      </c>
      <c r="D20" s="35" t="s">
        <v>1024</v>
      </c>
      <c r="E20" s="35" t="s">
        <v>1025</v>
      </c>
      <c r="F20" s="35" t="s">
        <v>77</v>
      </c>
      <c r="G20" s="36">
        <v>830</v>
      </c>
      <c r="H20" s="36">
        <v>30</v>
      </c>
      <c r="I20" s="36">
        <f t="shared" si="0"/>
        <v>800</v>
      </c>
      <c r="J20" s="35" t="s">
        <v>917</v>
      </c>
      <c r="K20" s="35" t="s">
        <v>31</v>
      </c>
      <c r="L20" s="35" t="s">
        <v>910</v>
      </c>
      <c r="M20" s="35"/>
      <c r="N20" s="35"/>
      <c r="O20" s="35"/>
      <c r="P20" s="35"/>
      <c r="Q20" s="35">
        <v>1</v>
      </c>
    </row>
    <row r="21" spans="1:18" x14ac:dyDescent="0.25">
      <c r="A21" s="35"/>
      <c r="B21" s="35" t="s">
        <v>26</v>
      </c>
      <c r="C21" s="35" t="s">
        <v>1027</v>
      </c>
      <c r="D21" s="35" t="s">
        <v>1028</v>
      </c>
      <c r="E21" s="35" t="s">
        <v>1029</v>
      </c>
      <c r="F21" s="35" t="s">
        <v>45</v>
      </c>
      <c r="G21" s="36">
        <v>365</v>
      </c>
      <c r="H21" s="36">
        <v>25</v>
      </c>
      <c r="I21" s="36">
        <f t="shared" si="0"/>
        <v>340</v>
      </c>
      <c r="J21" s="35" t="s">
        <v>917</v>
      </c>
      <c r="K21" s="35" t="s">
        <v>31</v>
      </c>
      <c r="L21" s="35" t="s">
        <v>910</v>
      </c>
      <c r="M21" s="35"/>
      <c r="N21" s="35"/>
      <c r="O21" s="35"/>
      <c r="P21" s="35"/>
      <c r="Q21" s="35">
        <v>1</v>
      </c>
    </row>
    <row r="22" spans="1:18" x14ac:dyDescent="0.25">
      <c r="A22" s="35"/>
      <c r="B22" s="35" t="s">
        <v>26</v>
      </c>
      <c r="C22" s="35" t="s">
        <v>1039</v>
      </c>
      <c r="D22" s="35" t="s">
        <v>1040</v>
      </c>
      <c r="E22" s="35" t="s">
        <v>1041</v>
      </c>
      <c r="F22" s="36">
        <v>8</v>
      </c>
      <c r="G22" s="36">
        <v>520</v>
      </c>
      <c r="H22" s="36">
        <v>30</v>
      </c>
      <c r="I22" s="36">
        <f t="shared" si="0"/>
        <v>490</v>
      </c>
      <c r="J22" s="35" t="s">
        <v>917</v>
      </c>
      <c r="K22" s="35" t="s">
        <v>31</v>
      </c>
      <c r="L22" s="35" t="s">
        <v>910</v>
      </c>
      <c r="M22" s="35"/>
      <c r="N22" s="35"/>
      <c r="O22" s="35"/>
      <c r="P22" s="35"/>
      <c r="Q22" s="35">
        <v>1</v>
      </c>
    </row>
    <row r="23" spans="1:18" x14ac:dyDescent="0.25">
      <c r="A23" s="35"/>
      <c r="B23" s="35" t="s">
        <v>26</v>
      </c>
      <c r="C23" s="35" t="s">
        <v>1042</v>
      </c>
      <c r="D23" s="35" t="s">
        <v>1043</v>
      </c>
      <c r="E23" s="35" t="s">
        <v>1044</v>
      </c>
      <c r="F23" s="36">
        <v>7</v>
      </c>
      <c r="G23" s="36">
        <v>1110</v>
      </c>
      <c r="H23" s="36">
        <v>30</v>
      </c>
      <c r="I23" s="36">
        <f t="shared" si="0"/>
        <v>1080</v>
      </c>
      <c r="J23" s="35" t="s">
        <v>917</v>
      </c>
      <c r="K23" s="35" t="s">
        <v>31</v>
      </c>
      <c r="L23" s="35" t="s">
        <v>910</v>
      </c>
      <c r="M23" s="35"/>
      <c r="N23" s="35"/>
      <c r="O23" s="35"/>
      <c r="P23" s="35"/>
      <c r="Q23" s="35">
        <v>1</v>
      </c>
    </row>
    <row r="24" spans="1:18" x14ac:dyDescent="0.25">
      <c r="A24" s="35"/>
      <c r="B24" s="35" t="s">
        <v>26</v>
      </c>
      <c r="C24" s="35" t="s">
        <v>1045</v>
      </c>
      <c r="D24" s="35" t="s">
        <v>1046</v>
      </c>
      <c r="E24" s="35" t="s">
        <v>1047</v>
      </c>
      <c r="F24" s="36">
        <v>8</v>
      </c>
      <c r="G24" s="36">
        <v>830</v>
      </c>
      <c r="H24" s="36">
        <v>30</v>
      </c>
      <c r="I24" s="36">
        <f t="shared" si="0"/>
        <v>800</v>
      </c>
      <c r="J24" s="35" t="s">
        <v>917</v>
      </c>
      <c r="K24" s="35" t="s">
        <v>31</v>
      </c>
      <c r="L24" s="35" t="s">
        <v>910</v>
      </c>
      <c r="M24" s="35"/>
      <c r="N24" s="35"/>
      <c r="O24" s="35"/>
      <c r="P24" s="35"/>
      <c r="Q24" s="35">
        <v>1</v>
      </c>
    </row>
    <row r="25" spans="1:18" x14ac:dyDescent="0.25">
      <c r="A25" s="35"/>
      <c r="B25" s="35" t="s">
        <v>26</v>
      </c>
      <c r="C25" s="35" t="s">
        <v>1051</v>
      </c>
      <c r="D25" s="35" t="s">
        <v>1052</v>
      </c>
      <c r="E25" s="35" t="s">
        <v>560</v>
      </c>
      <c r="F25" s="36">
        <v>9</v>
      </c>
      <c r="G25" s="36">
        <v>1560</v>
      </c>
      <c r="H25" s="36">
        <v>30</v>
      </c>
      <c r="I25" s="36">
        <f t="shared" si="0"/>
        <v>1530</v>
      </c>
      <c r="J25" s="35" t="s">
        <v>917</v>
      </c>
      <c r="K25" s="35" t="s">
        <v>31</v>
      </c>
      <c r="L25" s="35" t="s">
        <v>910</v>
      </c>
      <c r="M25" s="35"/>
      <c r="N25" s="35"/>
      <c r="O25" s="35"/>
      <c r="P25" s="35"/>
      <c r="Q25" s="35">
        <v>1</v>
      </c>
    </row>
    <row r="26" spans="1:18" x14ac:dyDescent="0.25">
      <c r="A26" s="35"/>
      <c r="B26" s="35" t="s">
        <v>26</v>
      </c>
      <c r="C26" s="35" t="s">
        <v>907</v>
      </c>
      <c r="D26" s="35" t="s">
        <v>908</v>
      </c>
      <c r="E26" s="35" t="s">
        <v>909</v>
      </c>
      <c r="F26" s="36">
        <v>12</v>
      </c>
      <c r="G26" s="36">
        <v>2505</v>
      </c>
      <c r="H26" s="36">
        <v>35</v>
      </c>
      <c r="I26" s="36">
        <f t="shared" si="0"/>
        <v>2470</v>
      </c>
      <c r="J26" s="35" t="s">
        <v>31</v>
      </c>
      <c r="K26" s="35" t="s">
        <v>31</v>
      </c>
      <c r="L26" s="35" t="s">
        <v>910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911</v>
      </c>
      <c r="D27" s="35" t="s">
        <v>912</v>
      </c>
      <c r="E27" s="35" t="s">
        <v>913</v>
      </c>
      <c r="F27" s="35" t="s">
        <v>58</v>
      </c>
      <c r="G27" s="36">
        <v>0</v>
      </c>
      <c r="H27" s="36">
        <v>20</v>
      </c>
      <c r="I27" s="36">
        <f t="shared" si="0"/>
        <v>-20</v>
      </c>
      <c r="J27" s="35" t="s">
        <v>31</v>
      </c>
      <c r="K27" s="35" t="s">
        <v>31</v>
      </c>
      <c r="L27" s="35" t="s">
        <v>910</v>
      </c>
      <c r="M27" s="35"/>
      <c r="N27" s="35"/>
      <c r="O27" s="35"/>
      <c r="P27" s="35"/>
      <c r="Q27" s="35">
        <v>1</v>
      </c>
      <c r="R27" s="25">
        <f>H27</f>
        <v>20</v>
      </c>
    </row>
    <row r="28" spans="1:18" x14ac:dyDescent="0.25">
      <c r="A28" s="35"/>
      <c r="B28" s="35" t="s">
        <v>26</v>
      </c>
      <c r="C28" s="35" t="s">
        <v>927</v>
      </c>
      <c r="D28" s="35" t="s">
        <v>928</v>
      </c>
      <c r="E28" s="35" t="s">
        <v>929</v>
      </c>
      <c r="F28" s="36">
        <v>12</v>
      </c>
      <c r="G28" s="36">
        <v>30</v>
      </c>
      <c r="H28" s="36">
        <v>30</v>
      </c>
      <c r="I28" s="36">
        <f t="shared" si="0"/>
        <v>0</v>
      </c>
      <c r="J28" s="35" t="s">
        <v>31</v>
      </c>
      <c r="K28" s="35" t="s">
        <v>31</v>
      </c>
      <c r="L28" s="35" t="s">
        <v>910</v>
      </c>
      <c r="M28" s="35"/>
      <c r="N28" s="35"/>
      <c r="O28" s="35"/>
      <c r="P28" s="35"/>
      <c r="Q28" s="35">
        <v>1</v>
      </c>
    </row>
    <row r="29" spans="1:18" x14ac:dyDescent="0.25">
      <c r="A29" s="35"/>
      <c r="B29" s="35" t="s">
        <v>26</v>
      </c>
      <c r="C29" s="35" t="s">
        <v>948</v>
      </c>
      <c r="D29" s="35" t="s">
        <v>949</v>
      </c>
      <c r="E29" s="35" t="s">
        <v>950</v>
      </c>
      <c r="F29" s="35" t="s">
        <v>58</v>
      </c>
      <c r="G29" s="36">
        <v>950</v>
      </c>
      <c r="H29" s="36">
        <v>20</v>
      </c>
      <c r="I29" s="36">
        <f t="shared" si="0"/>
        <v>930</v>
      </c>
      <c r="J29" s="35" t="s">
        <v>31</v>
      </c>
      <c r="K29" s="35" t="s">
        <v>31</v>
      </c>
      <c r="L29" s="35" t="s">
        <v>910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951</v>
      </c>
      <c r="D30" s="35" t="s">
        <v>952</v>
      </c>
      <c r="E30" s="35" t="s">
        <v>100</v>
      </c>
      <c r="F30" s="35" t="s">
        <v>101</v>
      </c>
      <c r="G30" s="36">
        <v>0</v>
      </c>
      <c r="H30" s="36">
        <v>25</v>
      </c>
      <c r="I30" s="36">
        <f t="shared" si="0"/>
        <v>-25</v>
      </c>
      <c r="J30" s="35" t="s">
        <v>31</v>
      </c>
      <c r="K30" s="35" t="s">
        <v>31</v>
      </c>
      <c r="L30" s="35" t="s">
        <v>910</v>
      </c>
      <c r="M30" s="35"/>
      <c r="N30" s="35"/>
      <c r="O30" s="35"/>
      <c r="P30" s="35"/>
      <c r="Q30" s="35">
        <v>1</v>
      </c>
      <c r="R30" s="25">
        <f t="shared" ref="R30:R31" si="1">H30</f>
        <v>25</v>
      </c>
    </row>
    <row r="31" spans="1:18" x14ac:dyDescent="0.25">
      <c r="A31" s="35"/>
      <c r="B31" s="35" t="s">
        <v>26</v>
      </c>
      <c r="C31" s="35" t="s">
        <v>962</v>
      </c>
      <c r="D31" s="35"/>
      <c r="E31" s="35" t="s">
        <v>963</v>
      </c>
      <c r="F31" s="35" t="s">
        <v>36</v>
      </c>
      <c r="G31" s="36">
        <v>0</v>
      </c>
      <c r="H31" s="36">
        <v>25</v>
      </c>
      <c r="I31" s="36">
        <f t="shared" si="0"/>
        <v>-25</v>
      </c>
      <c r="J31" s="35" t="s">
        <v>31</v>
      </c>
      <c r="K31" s="35" t="s">
        <v>31</v>
      </c>
      <c r="L31" s="35" t="s">
        <v>910</v>
      </c>
      <c r="M31" s="35"/>
      <c r="N31" s="35"/>
      <c r="O31" s="35"/>
      <c r="P31" s="35"/>
      <c r="Q31" s="35">
        <v>1</v>
      </c>
      <c r="R31" s="25">
        <f t="shared" si="1"/>
        <v>25</v>
      </c>
    </row>
    <row r="32" spans="1:18" x14ac:dyDescent="0.25">
      <c r="A32" s="35"/>
      <c r="B32" s="35" t="s">
        <v>26</v>
      </c>
      <c r="C32" s="35" t="s">
        <v>964</v>
      </c>
      <c r="D32" s="35" t="s">
        <v>965</v>
      </c>
      <c r="E32" s="35" t="s">
        <v>966</v>
      </c>
      <c r="F32" s="35" t="s">
        <v>36</v>
      </c>
      <c r="G32" s="36">
        <v>1075</v>
      </c>
      <c r="H32" s="36">
        <v>25</v>
      </c>
      <c r="I32" s="36">
        <f t="shared" si="0"/>
        <v>1050</v>
      </c>
      <c r="J32" s="35" t="s">
        <v>31</v>
      </c>
      <c r="K32" s="35" t="s">
        <v>31</v>
      </c>
      <c r="L32" s="35" t="s">
        <v>910</v>
      </c>
      <c r="M32" s="35"/>
      <c r="N32" s="35"/>
      <c r="O32" s="35"/>
      <c r="P32" s="35"/>
      <c r="Q32" s="35">
        <v>1</v>
      </c>
    </row>
    <row r="33" spans="1:17" x14ac:dyDescent="0.25">
      <c r="A33" s="35"/>
      <c r="B33" s="35" t="s">
        <v>26</v>
      </c>
      <c r="C33" s="35" t="s">
        <v>967</v>
      </c>
      <c r="D33" s="35" t="s">
        <v>968</v>
      </c>
      <c r="E33" s="35" t="s">
        <v>969</v>
      </c>
      <c r="F33" s="35" t="s">
        <v>58</v>
      </c>
      <c r="G33" s="36">
        <v>410</v>
      </c>
      <c r="H33" s="36">
        <v>20</v>
      </c>
      <c r="I33" s="36">
        <f t="shared" si="0"/>
        <v>390</v>
      </c>
      <c r="J33" s="35" t="s">
        <v>31</v>
      </c>
      <c r="K33" s="35" t="s">
        <v>31</v>
      </c>
      <c r="L33" s="35" t="s">
        <v>910</v>
      </c>
      <c r="M33" s="35"/>
      <c r="N33" s="35"/>
      <c r="O33" s="35"/>
      <c r="P33" s="35"/>
      <c r="Q33" s="35">
        <v>1</v>
      </c>
    </row>
    <row r="34" spans="1:17" x14ac:dyDescent="0.25">
      <c r="A34" s="35"/>
      <c r="B34" s="35" t="s">
        <v>26</v>
      </c>
      <c r="C34" s="35" t="s">
        <v>970</v>
      </c>
      <c r="D34" s="35" t="s">
        <v>971</v>
      </c>
      <c r="E34" s="35" t="s">
        <v>972</v>
      </c>
      <c r="F34" s="35" t="s">
        <v>58</v>
      </c>
      <c r="G34" s="36">
        <v>370</v>
      </c>
      <c r="H34" s="36">
        <v>20</v>
      </c>
      <c r="I34" s="36">
        <f t="shared" si="0"/>
        <v>350</v>
      </c>
      <c r="J34" s="35" t="s">
        <v>31</v>
      </c>
      <c r="K34" s="35" t="s">
        <v>31</v>
      </c>
      <c r="L34" s="35" t="s">
        <v>910</v>
      </c>
      <c r="M34" s="35"/>
      <c r="N34" s="35"/>
      <c r="O34" s="35"/>
      <c r="P34" s="35"/>
      <c r="Q34" s="35">
        <v>1</v>
      </c>
    </row>
    <row r="35" spans="1:17" x14ac:dyDescent="0.25">
      <c r="A35" s="35"/>
      <c r="B35" s="35" t="s">
        <v>26</v>
      </c>
      <c r="C35" s="35" t="s">
        <v>973</v>
      </c>
      <c r="D35" s="35" t="s">
        <v>974</v>
      </c>
      <c r="E35" s="35" t="s">
        <v>975</v>
      </c>
      <c r="F35" s="35" t="s">
        <v>101</v>
      </c>
      <c r="G35" s="36">
        <v>385</v>
      </c>
      <c r="H35" s="36">
        <v>25</v>
      </c>
      <c r="I35" s="36">
        <f t="shared" ref="I35:I56" si="2">G35-H35</f>
        <v>360</v>
      </c>
      <c r="J35" s="35" t="s">
        <v>31</v>
      </c>
      <c r="K35" s="35" t="s">
        <v>31</v>
      </c>
      <c r="L35" s="35" t="s">
        <v>910</v>
      </c>
      <c r="M35" s="35"/>
      <c r="N35" s="35"/>
      <c r="O35" s="35"/>
      <c r="P35" s="35"/>
      <c r="Q35" s="35">
        <v>1</v>
      </c>
    </row>
    <row r="36" spans="1:17" x14ac:dyDescent="0.25">
      <c r="A36" s="35"/>
      <c r="B36" s="35" t="s">
        <v>26</v>
      </c>
      <c r="C36" s="35" t="s">
        <v>984</v>
      </c>
      <c r="D36" s="35" t="s">
        <v>985</v>
      </c>
      <c r="E36" s="35" t="s">
        <v>986</v>
      </c>
      <c r="F36" s="35" t="s">
        <v>36</v>
      </c>
      <c r="G36" s="36">
        <v>545</v>
      </c>
      <c r="H36" s="36">
        <v>25</v>
      </c>
      <c r="I36" s="36">
        <f t="shared" si="2"/>
        <v>520</v>
      </c>
      <c r="J36" s="35" t="s">
        <v>31</v>
      </c>
      <c r="K36" s="35" t="s">
        <v>31</v>
      </c>
      <c r="L36" s="35" t="s">
        <v>910</v>
      </c>
      <c r="M36" s="35"/>
      <c r="N36" s="35"/>
      <c r="O36" s="35"/>
      <c r="P36" s="35"/>
      <c r="Q36" s="35">
        <v>1</v>
      </c>
    </row>
    <row r="37" spans="1:17" x14ac:dyDescent="0.25">
      <c r="A37" s="35"/>
      <c r="B37" s="35" t="s">
        <v>26</v>
      </c>
      <c r="C37" s="35" t="s">
        <v>990</v>
      </c>
      <c r="D37" s="35" t="s">
        <v>991</v>
      </c>
      <c r="E37" s="35" t="s">
        <v>992</v>
      </c>
      <c r="F37" s="35" t="s">
        <v>128</v>
      </c>
      <c r="G37" s="36">
        <v>290</v>
      </c>
      <c r="H37" s="36">
        <v>30</v>
      </c>
      <c r="I37" s="36">
        <f t="shared" si="2"/>
        <v>260</v>
      </c>
      <c r="J37" s="35" t="s">
        <v>31</v>
      </c>
      <c r="K37" s="35" t="s">
        <v>31</v>
      </c>
      <c r="L37" s="35" t="s">
        <v>910</v>
      </c>
      <c r="M37" s="35"/>
      <c r="N37" s="35"/>
      <c r="O37" s="35"/>
      <c r="P37" s="35"/>
      <c r="Q37" s="35">
        <v>1</v>
      </c>
    </row>
    <row r="38" spans="1:17" x14ac:dyDescent="0.25">
      <c r="A38" s="35"/>
      <c r="B38" s="35" t="s">
        <v>26</v>
      </c>
      <c r="C38" s="35" t="s">
        <v>999</v>
      </c>
      <c r="D38" s="35" t="s">
        <v>1000</v>
      </c>
      <c r="E38" s="35" t="s">
        <v>1001</v>
      </c>
      <c r="F38" s="35" t="s">
        <v>36</v>
      </c>
      <c r="G38" s="36">
        <v>885</v>
      </c>
      <c r="H38" s="36">
        <v>25</v>
      </c>
      <c r="I38" s="36">
        <f t="shared" si="2"/>
        <v>860</v>
      </c>
      <c r="J38" s="35" t="s">
        <v>31</v>
      </c>
      <c r="K38" s="35" t="s">
        <v>31</v>
      </c>
      <c r="L38" s="35" t="s">
        <v>910</v>
      </c>
      <c r="M38" s="35"/>
      <c r="N38" s="35"/>
      <c r="O38" s="35"/>
      <c r="P38" s="35"/>
      <c r="Q38" s="35">
        <v>1</v>
      </c>
    </row>
    <row r="39" spans="1:17" x14ac:dyDescent="0.25">
      <c r="A39" s="35"/>
      <c r="B39" s="35" t="s">
        <v>26</v>
      </c>
      <c r="C39" s="35" t="s">
        <v>1014</v>
      </c>
      <c r="D39" s="35" t="s">
        <v>1015</v>
      </c>
      <c r="E39" s="35" t="s">
        <v>1016</v>
      </c>
      <c r="F39" s="35" t="s">
        <v>58</v>
      </c>
      <c r="G39" s="36">
        <v>1200</v>
      </c>
      <c r="H39" s="36">
        <v>20</v>
      </c>
      <c r="I39" s="36">
        <f t="shared" si="2"/>
        <v>1180</v>
      </c>
      <c r="J39" s="35" t="s">
        <v>31</v>
      </c>
      <c r="K39" s="35" t="s">
        <v>31</v>
      </c>
      <c r="L39" s="35" t="s">
        <v>910</v>
      </c>
      <c r="M39" s="35"/>
      <c r="N39" s="35"/>
      <c r="O39" s="35"/>
      <c r="P39" s="35"/>
      <c r="Q39" s="35">
        <v>1</v>
      </c>
    </row>
    <row r="40" spans="1:17" x14ac:dyDescent="0.25">
      <c r="A40" s="35"/>
      <c r="B40" s="35" t="s">
        <v>26</v>
      </c>
      <c r="C40" s="35" t="s">
        <v>1020</v>
      </c>
      <c r="D40" s="35" t="s">
        <v>1021</v>
      </c>
      <c r="E40" s="35" t="s">
        <v>1022</v>
      </c>
      <c r="F40" s="35" t="s">
        <v>128</v>
      </c>
      <c r="G40" s="36">
        <v>1240</v>
      </c>
      <c r="H40" s="36">
        <v>30</v>
      </c>
      <c r="I40" s="36">
        <f t="shared" si="2"/>
        <v>1210</v>
      </c>
      <c r="J40" s="35" t="s">
        <v>31</v>
      </c>
      <c r="K40" s="35" t="s">
        <v>31</v>
      </c>
      <c r="L40" s="35" t="s">
        <v>910</v>
      </c>
      <c r="M40" s="35"/>
      <c r="N40" s="35"/>
      <c r="O40" s="35"/>
      <c r="P40" s="35"/>
      <c r="Q40" s="35">
        <v>1</v>
      </c>
    </row>
    <row r="41" spans="1:17" x14ac:dyDescent="0.25">
      <c r="A41" s="35"/>
      <c r="B41" s="35" t="s">
        <v>26</v>
      </c>
      <c r="C41" s="35" t="s">
        <v>401</v>
      </c>
      <c r="D41" s="35" t="s">
        <v>1026</v>
      </c>
      <c r="E41" s="35" t="s">
        <v>403</v>
      </c>
      <c r="F41" s="35" t="s">
        <v>128</v>
      </c>
      <c r="G41" s="36">
        <v>450</v>
      </c>
      <c r="H41" s="36">
        <v>30</v>
      </c>
      <c r="I41" s="36">
        <f t="shared" si="2"/>
        <v>420</v>
      </c>
      <c r="J41" s="35" t="s">
        <v>31</v>
      </c>
      <c r="K41" s="35" t="s">
        <v>31</v>
      </c>
      <c r="L41" s="35" t="s">
        <v>910</v>
      </c>
      <c r="M41" s="35"/>
      <c r="N41" s="35"/>
      <c r="O41" s="35"/>
      <c r="P41" s="35"/>
      <c r="Q41" s="35">
        <v>1</v>
      </c>
    </row>
    <row r="42" spans="1:17" x14ac:dyDescent="0.25">
      <c r="A42" s="35"/>
      <c r="B42" s="35" t="s">
        <v>26</v>
      </c>
      <c r="C42" s="35" t="s">
        <v>1036</v>
      </c>
      <c r="D42" s="35" t="s">
        <v>1037</v>
      </c>
      <c r="E42" s="35" t="s">
        <v>1038</v>
      </c>
      <c r="F42" s="35" t="s">
        <v>36</v>
      </c>
      <c r="G42" s="36">
        <v>315</v>
      </c>
      <c r="H42" s="36">
        <v>25</v>
      </c>
      <c r="I42" s="36">
        <f t="shared" si="2"/>
        <v>290</v>
      </c>
      <c r="J42" s="35" t="s">
        <v>31</v>
      </c>
      <c r="K42" s="35" t="s">
        <v>31</v>
      </c>
      <c r="L42" s="35" t="s">
        <v>910</v>
      </c>
      <c r="M42" s="35"/>
      <c r="N42" s="35"/>
      <c r="O42" s="35"/>
      <c r="P42" s="35"/>
      <c r="Q42" s="35">
        <v>1</v>
      </c>
    </row>
    <row r="43" spans="1:17" x14ac:dyDescent="0.25">
      <c r="A43" s="35"/>
      <c r="B43" s="35" t="s">
        <v>26</v>
      </c>
      <c r="C43" s="35" t="s">
        <v>670</v>
      </c>
      <c r="D43" s="35" t="s">
        <v>870</v>
      </c>
      <c r="E43" s="35" t="s">
        <v>871</v>
      </c>
      <c r="F43" s="35" t="s">
        <v>128</v>
      </c>
      <c r="G43" s="36">
        <v>380</v>
      </c>
      <c r="H43" s="36">
        <v>30</v>
      </c>
      <c r="I43" s="36">
        <f t="shared" si="2"/>
        <v>350</v>
      </c>
      <c r="J43" s="35" t="s">
        <v>31</v>
      </c>
      <c r="K43" s="35" t="s">
        <v>31</v>
      </c>
      <c r="L43" s="35" t="s">
        <v>910</v>
      </c>
      <c r="M43" s="35"/>
      <c r="N43" s="35"/>
      <c r="O43" s="35"/>
      <c r="P43" s="35"/>
      <c r="Q43" s="35">
        <v>1</v>
      </c>
    </row>
    <row r="44" spans="1:17" x14ac:dyDescent="0.25">
      <c r="A44" s="35" t="s">
        <v>66</v>
      </c>
      <c r="B44" s="35" t="s">
        <v>26</v>
      </c>
      <c r="C44" s="35" t="s">
        <v>1053</v>
      </c>
      <c r="D44" s="35"/>
      <c r="E44" s="35" t="s">
        <v>1054</v>
      </c>
      <c r="F44" s="35" t="s">
        <v>36</v>
      </c>
      <c r="G44" s="36">
        <v>4680</v>
      </c>
      <c r="H44" s="36">
        <v>40</v>
      </c>
      <c r="I44" s="36">
        <f t="shared" si="2"/>
        <v>4640</v>
      </c>
      <c r="J44" s="35" t="s">
        <v>31</v>
      </c>
      <c r="K44" s="35" t="s">
        <v>31</v>
      </c>
      <c r="L44" s="35" t="s">
        <v>910</v>
      </c>
      <c r="M44" s="35"/>
      <c r="N44" s="35"/>
      <c r="O44" s="35"/>
      <c r="P44" s="35"/>
      <c r="Q44" s="35">
        <v>1</v>
      </c>
    </row>
    <row r="45" spans="1:17" x14ac:dyDescent="0.25">
      <c r="A45" s="35"/>
      <c r="B45" s="35" t="s">
        <v>26</v>
      </c>
      <c r="C45" s="35" t="s">
        <v>921</v>
      </c>
      <c r="D45" s="35" t="s">
        <v>922</v>
      </c>
      <c r="E45" s="35" t="s">
        <v>923</v>
      </c>
      <c r="F45" s="35" t="s">
        <v>155</v>
      </c>
      <c r="G45" s="36">
        <v>560</v>
      </c>
      <c r="H45" s="36">
        <v>20</v>
      </c>
      <c r="I45" s="36">
        <f t="shared" si="2"/>
        <v>540</v>
      </c>
      <c r="J45" s="35" t="s">
        <v>41</v>
      </c>
      <c r="K45" s="35" t="s">
        <v>31</v>
      </c>
      <c r="L45" s="35" t="s">
        <v>910</v>
      </c>
      <c r="M45" s="35"/>
      <c r="N45" s="35"/>
      <c r="O45" s="35"/>
      <c r="P45" s="35"/>
      <c r="Q45" s="35">
        <v>1</v>
      </c>
    </row>
    <row r="46" spans="1:17" x14ac:dyDescent="0.25">
      <c r="A46" s="35"/>
      <c r="B46" s="35" t="s">
        <v>26</v>
      </c>
      <c r="C46" s="35" t="s">
        <v>924</v>
      </c>
      <c r="D46" s="35" t="s">
        <v>925</v>
      </c>
      <c r="E46" s="35" t="s">
        <v>926</v>
      </c>
      <c r="F46" s="35" t="s">
        <v>101</v>
      </c>
      <c r="G46" s="36">
        <v>915</v>
      </c>
      <c r="H46" s="36">
        <v>25</v>
      </c>
      <c r="I46" s="36">
        <f t="shared" si="2"/>
        <v>890</v>
      </c>
      <c r="J46" s="35" t="s">
        <v>41</v>
      </c>
      <c r="K46" s="35" t="s">
        <v>31</v>
      </c>
      <c r="L46" s="35" t="s">
        <v>910</v>
      </c>
      <c r="M46" s="35"/>
      <c r="N46" s="35"/>
      <c r="O46" s="35"/>
      <c r="P46" s="35"/>
      <c r="Q46" s="35">
        <v>1</v>
      </c>
    </row>
    <row r="47" spans="1:17" x14ac:dyDescent="0.25">
      <c r="A47" s="35"/>
      <c r="B47" s="35" t="s">
        <v>26</v>
      </c>
      <c r="C47" s="35" t="s">
        <v>942</v>
      </c>
      <c r="D47" s="35" t="s">
        <v>943</v>
      </c>
      <c r="E47" s="35" t="s">
        <v>944</v>
      </c>
      <c r="F47" s="36">
        <v>4</v>
      </c>
      <c r="G47" s="36">
        <v>905</v>
      </c>
      <c r="H47" s="36">
        <v>25</v>
      </c>
      <c r="I47" s="36">
        <f t="shared" si="2"/>
        <v>880</v>
      </c>
      <c r="J47" s="35" t="s">
        <v>41</v>
      </c>
      <c r="K47" s="35" t="s">
        <v>31</v>
      </c>
      <c r="L47" s="35" t="s">
        <v>910</v>
      </c>
      <c r="M47" s="35"/>
      <c r="N47" s="35"/>
      <c r="O47" s="35"/>
      <c r="P47" s="35"/>
      <c r="Q47" s="35">
        <v>1</v>
      </c>
    </row>
    <row r="48" spans="1:17" x14ac:dyDescent="0.25">
      <c r="A48" s="35"/>
      <c r="B48" s="35" t="s">
        <v>26</v>
      </c>
      <c r="C48" s="35" t="s">
        <v>953</v>
      </c>
      <c r="D48" s="35" t="s">
        <v>954</v>
      </c>
      <c r="E48" s="35" t="s">
        <v>955</v>
      </c>
      <c r="F48" s="36">
        <v>3</v>
      </c>
      <c r="G48" s="36">
        <v>445</v>
      </c>
      <c r="H48" s="36">
        <v>25</v>
      </c>
      <c r="I48" s="36">
        <f t="shared" si="2"/>
        <v>420</v>
      </c>
      <c r="J48" s="35" t="s">
        <v>41</v>
      </c>
      <c r="K48" s="35" t="s">
        <v>31</v>
      </c>
      <c r="L48" s="35" t="s">
        <v>910</v>
      </c>
      <c r="M48" s="35"/>
      <c r="N48" s="35"/>
      <c r="O48" s="35"/>
      <c r="P48" s="35"/>
      <c r="Q48" s="35">
        <v>1</v>
      </c>
    </row>
    <row r="49" spans="1:18" x14ac:dyDescent="0.25">
      <c r="A49" s="35"/>
      <c r="B49" s="35" t="s">
        <v>26</v>
      </c>
      <c r="C49" s="35" t="s">
        <v>956</v>
      </c>
      <c r="D49" s="35" t="s">
        <v>957</v>
      </c>
      <c r="E49" s="35" t="s">
        <v>958</v>
      </c>
      <c r="F49" s="36">
        <v>10</v>
      </c>
      <c r="G49" s="36">
        <v>25</v>
      </c>
      <c r="H49" s="36">
        <v>25</v>
      </c>
      <c r="I49" s="36">
        <f t="shared" si="2"/>
        <v>0</v>
      </c>
      <c r="J49" s="35" t="s">
        <v>41</v>
      </c>
      <c r="K49" s="35" t="s">
        <v>31</v>
      </c>
      <c r="L49" s="35" t="s">
        <v>910</v>
      </c>
      <c r="M49" s="35"/>
      <c r="N49" s="35"/>
      <c r="O49" s="35"/>
      <c r="P49" s="35"/>
      <c r="Q49" s="35">
        <v>1</v>
      </c>
    </row>
    <row r="50" spans="1:18" x14ac:dyDescent="0.25">
      <c r="A50" s="35"/>
      <c r="B50" s="35" t="s">
        <v>26</v>
      </c>
      <c r="C50" s="35" t="s">
        <v>979</v>
      </c>
      <c r="D50" s="35" t="s">
        <v>980</v>
      </c>
      <c r="E50" s="35" t="s">
        <v>981</v>
      </c>
      <c r="F50" s="36">
        <v>1</v>
      </c>
      <c r="G50" s="36">
        <v>0</v>
      </c>
      <c r="H50" s="36">
        <v>25</v>
      </c>
      <c r="I50" s="36">
        <f t="shared" si="2"/>
        <v>-25</v>
      </c>
      <c r="J50" s="35" t="s">
        <v>41</v>
      </c>
      <c r="K50" s="35" t="s">
        <v>31</v>
      </c>
      <c r="L50" s="35" t="s">
        <v>910</v>
      </c>
      <c r="M50" s="35"/>
      <c r="N50" s="35"/>
      <c r="O50" s="35"/>
      <c r="P50" s="35"/>
      <c r="Q50" s="35">
        <v>1</v>
      </c>
      <c r="R50" s="25">
        <f>H50</f>
        <v>25</v>
      </c>
    </row>
    <row r="51" spans="1:18" s="41" customFormat="1" x14ac:dyDescent="0.25">
      <c r="A51" s="39"/>
      <c r="B51" s="39" t="s">
        <v>26</v>
      </c>
      <c r="C51" s="39" t="s">
        <v>987</v>
      </c>
      <c r="D51" s="39" t="s">
        <v>988</v>
      </c>
      <c r="E51" s="39" t="s">
        <v>989</v>
      </c>
      <c r="F51" s="40">
        <v>1</v>
      </c>
      <c r="G51" s="40">
        <v>25</v>
      </c>
      <c r="H51" s="40">
        <v>25</v>
      </c>
      <c r="I51" s="40">
        <f t="shared" si="2"/>
        <v>0</v>
      </c>
      <c r="J51" s="39" t="s">
        <v>41</v>
      </c>
      <c r="K51" s="39" t="s">
        <v>31</v>
      </c>
      <c r="L51" s="39" t="s">
        <v>910</v>
      </c>
      <c r="M51" s="39" t="s">
        <v>37</v>
      </c>
      <c r="N51" s="39"/>
      <c r="O51" s="39"/>
      <c r="P51" s="39"/>
      <c r="Q51" s="39">
        <v>1</v>
      </c>
    </row>
    <row r="52" spans="1:18" x14ac:dyDescent="0.25">
      <c r="A52" s="35"/>
      <c r="B52" s="35" t="s">
        <v>26</v>
      </c>
      <c r="C52" s="35" t="s">
        <v>1017</v>
      </c>
      <c r="D52" s="35" t="s">
        <v>1018</v>
      </c>
      <c r="E52" s="35" t="s">
        <v>1019</v>
      </c>
      <c r="F52" s="36">
        <v>5</v>
      </c>
      <c r="G52" s="36">
        <v>915</v>
      </c>
      <c r="H52" s="36">
        <v>25</v>
      </c>
      <c r="I52" s="36">
        <f t="shared" si="2"/>
        <v>890</v>
      </c>
      <c r="J52" s="35" t="s">
        <v>41</v>
      </c>
      <c r="K52" s="35" t="s">
        <v>31</v>
      </c>
      <c r="L52" s="35" t="s">
        <v>910</v>
      </c>
      <c r="M52" s="35"/>
      <c r="N52" s="35"/>
      <c r="O52" s="35"/>
      <c r="P52" s="35"/>
      <c r="Q52" s="35">
        <v>1</v>
      </c>
    </row>
    <row r="53" spans="1:18" x14ac:dyDescent="0.25">
      <c r="A53" s="35"/>
      <c r="B53" s="35" t="s">
        <v>26</v>
      </c>
      <c r="C53" s="35" t="s">
        <v>1030</v>
      </c>
      <c r="D53" s="35" t="s">
        <v>1031</v>
      </c>
      <c r="E53" s="35" t="s">
        <v>1032</v>
      </c>
      <c r="F53" s="36">
        <v>3</v>
      </c>
      <c r="G53" s="36">
        <v>0</v>
      </c>
      <c r="H53" s="36">
        <v>25</v>
      </c>
      <c r="I53" s="36">
        <f t="shared" si="2"/>
        <v>-25</v>
      </c>
      <c r="J53" s="35" t="s">
        <v>41</v>
      </c>
      <c r="K53" s="35" t="s">
        <v>31</v>
      </c>
      <c r="L53" s="35" t="s">
        <v>910</v>
      </c>
      <c r="M53" s="35"/>
      <c r="N53" s="35"/>
      <c r="O53" s="35"/>
      <c r="P53" s="35"/>
      <c r="Q53" s="35">
        <v>1</v>
      </c>
      <c r="R53" s="25">
        <f>H53</f>
        <v>25</v>
      </c>
    </row>
    <row r="54" spans="1:18" x14ac:dyDescent="0.25">
      <c r="A54" s="35"/>
      <c r="B54" s="35" t="s">
        <v>26</v>
      </c>
      <c r="C54" s="35" t="s">
        <v>1033</v>
      </c>
      <c r="D54" s="35" t="s">
        <v>1034</v>
      </c>
      <c r="E54" s="35" t="s">
        <v>1035</v>
      </c>
      <c r="F54" s="36">
        <v>1</v>
      </c>
      <c r="G54" s="36">
        <v>515</v>
      </c>
      <c r="H54" s="36">
        <v>25</v>
      </c>
      <c r="I54" s="36">
        <f t="shared" si="2"/>
        <v>490</v>
      </c>
      <c r="J54" s="35" t="s">
        <v>41</v>
      </c>
      <c r="K54" s="35" t="s">
        <v>31</v>
      </c>
      <c r="L54" s="35" t="s">
        <v>910</v>
      </c>
      <c r="M54" s="35"/>
      <c r="N54" s="35"/>
      <c r="O54" s="35"/>
      <c r="P54" s="35"/>
      <c r="Q54" s="35">
        <v>1</v>
      </c>
    </row>
    <row r="55" spans="1:18" x14ac:dyDescent="0.25">
      <c r="A55" s="35"/>
      <c r="B55" s="35" t="s">
        <v>26</v>
      </c>
      <c r="C55" s="35" t="s">
        <v>1048</v>
      </c>
      <c r="D55" s="35" t="s">
        <v>1049</v>
      </c>
      <c r="E55" s="35" t="s">
        <v>1050</v>
      </c>
      <c r="F55" s="36">
        <v>10</v>
      </c>
      <c r="G55" s="36">
        <v>1155</v>
      </c>
      <c r="H55" s="36">
        <v>25</v>
      </c>
      <c r="I55" s="36">
        <f>G55-H55</f>
        <v>1130</v>
      </c>
      <c r="J55" s="35" t="s">
        <v>41</v>
      </c>
      <c r="K55" s="35" t="s">
        <v>31</v>
      </c>
      <c r="L55" s="35" t="s">
        <v>910</v>
      </c>
      <c r="M55" s="35"/>
      <c r="N55" s="35"/>
      <c r="O55" s="35"/>
      <c r="P55" s="35"/>
      <c r="Q55" s="35">
        <v>1</v>
      </c>
    </row>
    <row r="56" spans="1:18" s="53" customFormat="1" x14ac:dyDescent="0.25">
      <c r="A56" s="54"/>
      <c r="B56" s="54" t="s">
        <v>26</v>
      </c>
      <c r="C56" s="54" t="s">
        <v>611</v>
      </c>
      <c r="D56" s="54" t="s">
        <v>612</v>
      </c>
      <c r="E56" s="54" t="s">
        <v>613</v>
      </c>
      <c r="F56" s="55" t="s">
        <v>1057</v>
      </c>
      <c r="G56" s="54">
        <v>210</v>
      </c>
      <c r="H56" s="54">
        <v>0</v>
      </c>
      <c r="I56" s="54">
        <f t="shared" si="2"/>
        <v>210</v>
      </c>
      <c r="J56" s="54" t="s">
        <v>118</v>
      </c>
      <c r="K56" s="54" t="s">
        <v>31</v>
      </c>
      <c r="L56" s="54" t="s">
        <v>599</v>
      </c>
      <c r="M56" s="54" t="s">
        <v>94</v>
      </c>
      <c r="N56" s="54" t="s">
        <v>316</v>
      </c>
      <c r="O56" s="54" t="s">
        <v>316</v>
      </c>
      <c r="P56" s="54" t="s">
        <v>317</v>
      </c>
      <c r="Q56" s="54">
        <v>1</v>
      </c>
    </row>
    <row r="58" spans="1:18" x14ac:dyDescent="0.25">
      <c r="D58" s="26">
        <f>COUNTA(D3:D56)</f>
        <v>52</v>
      </c>
      <c r="G58" s="26">
        <f t="shared" ref="G58:Q58" si="3">SUBTOTAL(9,G3:G56)</f>
        <v>43450</v>
      </c>
      <c r="H58" s="26">
        <f t="shared" si="3"/>
        <v>1470</v>
      </c>
      <c r="I58" s="26">
        <f t="shared" si="3"/>
        <v>41980</v>
      </c>
      <c r="J58" s="26">
        <f t="shared" si="3"/>
        <v>0</v>
      </c>
      <c r="K58" s="26">
        <f t="shared" si="3"/>
        <v>0</v>
      </c>
      <c r="L58" s="26">
        <f t="shared" si="3"/>
        <v>0</v>
      </c>
      <c r="M58" s="26">
        <f t="shared" si="3"/>
        <v>0</v>
      </c>
      <c r="N58" s="26">
        <f t="shared" si="3"/>
        <v>0</v>
      </c>
      <c r="O58" s="26">
        <f t="shared" si="3"/>
        <v>0</v>
      </c>
      <c r="P58" s="26">
        <f t="shared" si="3"/>
        <v>0</v>
      </c>
      <c r="Q58" s="26">
        <f t="shared" si="3"/>
        <v>54</v>
      </c>
    </row>
    <row r="59" spans="1:18" x14ac:dyDescent="0.25">
      <c r="H59" s="24">
        <f>-14*17</f>
        <v>-238</v>
      </c>
    </row>
    <row r="60" spans="1:18" x14ac:dyDescent="0.25">
      <c r="A60" s="26" t="s">
        <v>26</v>
      </c>
      <c r="C60" s="80" t="s">
        <v>78</v>
      </c>
      <c r="D60" s="80"/>
      <c r="E60" s="27" t="s">
        <v>79</v>
      </c>
      <c r="H60" s="24">
        <f>-6*25</f>
        <v>-150</v>
      </c>
      <c r="K60" s="28" t="s">
        <v>31</v>
      </c>
      <c r="L60" s="28" t="s">
        <v>80</v>
      </c>
      <c r="M60" s="28" t="s">
        <v>79</v>
      </c>
      <c r="O60" s="27" t="s">
        <v>81</v>
      </c>
    </row>
    <row r="61" spans="1:18" x14ac:dyDescent="0.25">
      <c r="A61" s="24" t="s">
        <v>910</v>
      </c>
      <c r="B61" s="29" t="s">
        <v>82</v>
      </c>
      <c r="C61" s="81">
        <f>SUMIFS(I$3:I$56,B$3:B$56,A$60,L$3:L$56,A$61)</f>
        <v>41770</v>
      </c>
      <c r="D61" s="81"/>
      <c r="E61" s="29">
        <f>SUMIFS(Q$3:Q$56,B$3:B$56,A$60,L$3:L$56,A$61)</f>
        <v>53</v>
      </c>
      <c r="F61" s="24" t="s">
        <v>83</v>
      </c>
      <c r="H61" s="24">
        <f>-3*30</f>
        <v>-90</v>
      </c>
      <c r="K61" s="24" t="s">
        <v>84</v>
      </c>
      <c r="L61" s="24">
        <f>SUMIFS(G$3:G$56,J$3:J$56,K$60)</f>
        <v>15710</v>
      </c>
      <c r="M61" s="24">
        <f>SUMIFS(Q$3:Q$56,J$3:J$56,K$60)-INT(COUNTIFS(J$3:J$56,K$60,M$3:M$56,"*gộp*")/2)</f>
        <v>19</v>
      </c>
      <c r="O61" s="24" t="s">
        <v>31</v>
      </c>
      <c r="P61" s="24">
        <f>L66</f>
        <v>14989</v>
      </c>
    </row>
    <row r="62" spans="1:18" x14ac:dyDescent="0.25">
      <c r="B62" s="30" t="s">
        <v>86</v>
      </c>
      <c r="C62" s="82">
        <v>0</v>
      </c>
      <c r="D62" s="82"/>
      <c r="K62" s="24" t="s">
        <v>87</v>
      </c>
      <c r="L62" s="24">
        <f>-SUMIFS(H$3:H$56,J$3:J$56,K$60)+M62*5</f>
        <v>-405</v>
      </c>
      <c r="M62" s="24">
        <f>SUMIFS(Q$3:Q$56,J$3:J$56,K$60)-INT(COUNTIFS(J$3:J$56,K$60,M$3:M$56,"*gộp*")/2)</f>
        <v>19</v>
      </c>
      <c r="O62" s="24" t="s">
        <v>1055</v>
      </c>
      <c r="P62" s="24">
        <f>L74</f>
        <v>21592</v>
      </c>
    </row>
    <row r="63" spans="1:18" x14ac:dyDescent="0.25">
      <c r="B63" s="30" t="s">
        <v>88</v>
      </c>
      <c r="C63" s="82">
        <f>-SUMIFS(I$3:I$56,B$3:B$56,A$60,P$3:P$56,"xx",N$3:N$56,"x")</f>
        <v>-210</v>
      </c>
      <c r="D63" s="82"/>
      <c r="E63" s="30">
        <f>SUMIFS(Q$3:Q$56,B$3:B$56,A$60,P$3:P$56,"xx",N$3:N$56,"x")</f>
        <v>1</v>
      </c>
      <c r="K63" s="24" t="s">
        <v>89</v>
      </c>
      <c r="L63" s="24">
        <f>-M63*2</f>
        <v>-106</v>
      </c>
      <c r="M63" s="24">
        <f>COUNTIFS(K$3:K$56,K$60,L$3:L$56,A$61)-(COUNTIFS(K$3:K$56,K$60,M$3:M$56,"*gộp*")/2)-COUNTIFS(K$3:K$56,K$60,M$3:M$56,"*đơn trả*")-COUNTIFS(K$3:K$56,K$60,M$3:M$56,"*hàng tỉnh*")</f>
        <v>53</v>
      </c>
      <c r="O63" s="24" t="s">
        <v>41</v>
      </c>
      <c r="P63" s="24">
        <f>L82</f>
        <v>5245</v>
      </c>
    </row>
    <row r="64" spans="1:18" x14ac:dyDescent="0.25">
      <c r="B64" s="27" t="s">
        <v>90</v>
      </c>
      <c r="C64" s="80">
        <f>SUBTOTAL(9,C61:C63)</f>
        <v>41560</v>
      </c>
      <c r="D64" s="80"/>
      <c r="E64" s="24">
        <f>E61</f>
        <v>53</v>
      </c>
      <c r="K64" s="31" t="s">
        <v>91</v>
      </c>
      <c r="O64" s="24" t="s">
        <v>92</v>
      </c>
      <c r="P64" s="24">
        <f>-C68</f>
        <v>-41560</v>
      </c>
    </row>
    <row r="65" spans="2:16" x14ac:dyDescent="0.25">
      <c r="B65" s="30" t="s">
        <v>93</v>
      </c>
      <c r="C65" s="78"/>
      <c r="D65" s="78"/>
      <c r="K65" s="30" t="s">
        <v>94</v>
      </c>
      <c r="L65" s="48">
        <v>-210</v>
      </c>
      <c r="M65" s="48" t="s">
        <v>590</v>
      </c>
      <c r="O65" s="27" t="s">
        <v>95</v>
      </c>
      <c r="P65" s="27">
        <f>SUBTOTAL(9,P61:P64)</f>
        <v>266</v>
      </c>
    </row>
    <row r="66" spans="2:16" x14ac:dyDescent="0.25">
      <c r="B66" s="32" t="s">
        <v>96</v>
      </c>
      <c r="C66" s="78"/>
      <c r="D66" s="78"/>
      <c r="L66" s="33">
        <f>SUBTOTAL(9,L61:L65)</f>
        <v>14989</v>
      </c>
      <c r="M66" s="33">
        <f>M61</f>
        <v>19</v>
      </c>
    </row>
    <row r="68" spans="2:16" x14ac:dyDescent="0.25">
      <c r="B68" s="26" t="s">
        <v>97</v>
      </c>
      <c r="C68" s="79">
        <f>C64+C65+C66</f>
        <v>41560</v>
      </c>
      <c r="D68" s="79"/>
      <c r="E68" s="26" t="s">
        <v>98</v>
      </c>
      <c r="K68" s="28" t="s">
        <v>917</v>
      </c>
      <c r="L68" s="28" t="s">
        <v>80</v>
      </c>
      <c r="M68" s="28" t="s">
        <v>79</v>
      </c>
    </row>
    <row r="69" spans="2:16" x14ac:dyDescent="0.25">
      <c r="K69" s="24" t="s">
        <v>84</v>
      </c>
      <c r="L69" s="24">
        <f>SUMIFS(G$3:G$56,J$3:J$56,K$68)</f>
        <v>22070</v>
      </c>
      <c r="M69" s="24">
        <f>SUMIFS(Q$3:Q$56,J$3:J$56,K$68)-INT(COUNTIFS(J$3:J$56,K$68,M$3:M$56,"*gộp*")/2)</f>
        <v>23</v>
      </c>
    </row>
    <row r="70" spans="2:16" x14ac:dyDescent="0.25">
      <c r="K70" s="24" t="s">
        <v>87</v>
      </c>
      <c r="L70" s="24">
        <f>SUM(H59:H61)</f>
        <v>-478</v>
      </c>
      <c r="M70" s="24">
        <f>SUMIFS(Q$3:Q$56,J$3:J$56,K$68)-INT(COUNTIFS(J$3:J$56,K$68,M$3:M$56,"*gộp*")/2)</f>
        <v>23</v>
      </c>
    </row>
    <row r="71" spans="2:16" x14ac:dyDescent="0.25">
      <c r="K71" s="24" t="s">
        <v>89</v>
      </c>
      <c r="L71" s="24">
        <f>-M71*2</f>
        <v>0</v>
      </c>
      <c r="M71" s="24">
        <f>COUNTIFS(K$3:K$56,K$68,L$3:L$56,A$61)-(COUNTIFS(K$3:K$56,K$68,M$3:M$56,"*gộp*")/2)-COUNTIFS(K$3:K$56,K$68,M$3:M$56,"*đơn trả*")-COUNTIFS(K$3:K$56,K$68,M$3:M$56,"*hàng tỉnh*")</f>
        <v>0</v>
      </c>
    </row>
    <row r="72" spans="2:16" x14ac:dyDescent="0.25">
      <c r="K72" s="31" t="s">
        <v>91</v>
      </c>
    </row>
    <row r="73" spans="2:16" x14ac:dyDescent="0.25">
      <c r="K73" s="30" t="s">
        <v>94</v>
      </c>
    </row>
    <row r="74" spans="2:16" x14ac:dyDescent="0.25">
      <c r="L74" s="33">
        <f>SUBTOTAL(9,L69:L73)</f>
        <v>21592</v>
      </c>
      <c r="M74" s="33">
        <f>M69</f>
        <v>23</v>
      </c>
    </row>
    <row r="76" spans="2:16" x14ac:dyDescent="0.25">
      <c r="K76" s="28" t="s">
        <v>41</v>
      </c>
      <c r="L76" s="28" t="s">
        <v>80</v>
      </c>
      <c r="M76" s="28" t="s">
        <v>79</v>
      </c>
    </row>
    <row r="77" spans="2:16" x14ac:dyDescent="0.25">
      <c r="K77" s="24" t="s">
        <v>84</v>
      </c>
      <c r="L77" s="24">
        <f>SUMIFS(G$3:G$56,J$3:J$56,K$76)</f>
        <v>5460</v>
      </c>
      <c r="M77" s="24">
        <f>SUMIFS(Q$3:Q$56,J$3:J$56,K$76)-INT(COUNTIFS(J$3:J$56,K$76,M$3:M$56,"*gộp*")/2)</f>
        <v>11</v>
      </c>
    </row>
    <row r="78" spans="2:16" x14ac:dyDescent="0.25">
      <c r="K78" s="24" t="s">
        <v>87</v>
      </c>
      <c r="L78" s="24">
        <f>-SUMIFS(H$3:H$56,J$3:J$56,K$76)+M78*5</f>
        <v>-215</v>
      </c>
      <c r="M78" s="24">
        <f>SUMIFS(Q$3:Q$56,J$3:J$56,K$76)-INT(COUNTIFS(J$3:J$56,K$76,M$3:M$56,"*gộp*")/2)</f>
        <v>11</v>
      </c>
    </row>
    <row r="79" spans="2:16" x14ac:dyDescent="0.25">
      <c r="K79" s="24" t="s">
        <v>89</v>
      </c>
      <c r="L79" s="24">
        <f>-M79*2</f>
        <v>0</v>
      </c>
      <c r="M79" s="24">
        <f>COUNTIFS(K$3:K$56,K$76,L$3:L$56,A$61)-(COUNTIFS(K$3:K$56,K$76,M$3:M$56,"*gộp*")/2)-COUNTIFS(K$3:K$56,K$76,M$3:M$56,"*đơn trả*")-COUNTIFS(K$3:K$56,K$76,M$3:M$56,"*hàng tỉnh*")</f>
        <v>0</v>
      </c>
    </row>
    <row r="80" spans="2:16" x14ac:dyDescent="0.25">
      <c r="K80" s="31" t="s">
        <v>91</v>
      </c>
    </row>
    <row r="81" spans="11:13" x14ac:dyDescent="0.25">
      <c r="K81" s="30" t="s">
        <v>94</v>
      </c>
    </row>
    <row r="82" spans="11:13" x14ac:dyDescent="0.25">
      <c r="L82" s="33">
        <f>SUBTOTAL(9,L77:L81)</f>
        <v>5245</v>
      </c>
      <c r="M82" s="33">
        <f>M77</f>
        <v>11</v>
      </c>
    </row>
  </sheetData>
  <autoFilter ref="A2:P56" xr:uid="{00000000-0009-0000-0000-000000000000}">
    <sortState xmlns:xlrd2="http://schemas.microsoft.com/office/spreadsheetml/2017/richdata2" ref="A3:P56">
      <sortCondition ref="J2:J56"/>
    </sortState>
  </autoFilter>
  <mergeCells count="8">
    <mergeCell ref="C65:D65"/>
    <mergeCell ref="C66:D66"/>
    <mergeCell ref="C68:D68"/>
    <mergeCell ref="C60:D60"/>
    <mergeCell ref="C61:D61"/>
    <mergeCell ref="C62:D62"/>
    <mergeCell ref="C63:D63"/>
    <mergeCell ref="C64:D64"/>
  </mergeCell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EFC4-FDD4-43C2-82BE-9E0E4C66A6C3}">
  <dimension ref="A1:R68"/>
  <sheetViews>
    <sheetView workbookViewId="0">
      <selection sqref="A1:XFD1"/>
    </sheetView>
  </sheetViews>
  <sheetFormatPr defaultRowHeight="15" x14ac:dyDescent="0.25"/>
  <cols>
    <col min="1" max="1" width="12.7109375" style="24" customWidth="1"/>
    <col min="2" max="2" width="9.140625" style="24" customWidth="1"/>
    <col min="3" max="3" width="30.5703125" style="24" customWidth="1"/>
    <col min="4" max="4" width="9.85546875" style="24" customWidth="1"/>
    <col min="5" max="5" width="86.28515625" style="24" bestFit="1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20" style="24" bestFit="1" customWidth="1"/>
    <col min="12" max="12" width="10.42578125" style="24" customWidth="1"/>
    <col min="13" max="13" width="13.85546875" style="24" customWidth="1"/>
    <col min="14" max="14" width="9.7109375" style="24" customWidth="1"/>
    <col min="15" max="15" width="20" style="24" bestFit="1" customWidth="1"/>
    <col min="16" max="16" width="7" style="24" bestFit="1" customWidth="1"/>
    <col min="17" max="17" width="6.42578125" style="24" customWidth="1"/>
    <col min="18" max="16384" width="9.140625" style="24"/>
  </cols>
  <sheetData>
    <row r="1" spans="1:18" x14ac:dyDescent="0.25">
      <c r="B1" s="24" t="s">
        <v>1160</v>
      </c>
      <c r="C1" s="24" t="s">
        <v>1161</v>
      </c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 t="s">
        <v>66</v>
      </c>
      <c r="B3" s="35" t="s">
        <v>26</v>
      </c>
      <c r="C3" s="35" t="s">
        <v>1061</v>
      </c>
      <c r="D3" s="35"/>
      <c r="E3" s="35" t="s">
        <v>1062</v>
      </c>
      <c r="F3" s="36">
        <v>6</v>
      </c>
      <c r="G3" s="36">
        <v>1190</v>
      </c>
      <c r="H3" s="36">
        <v>30</v>
      </c>
      <c r="I3" s="36">
        <f t="shared" ref="I3:I42" si="0">G3-H3</f>
        <v>1160</v>
      </c>
      <c r="J3" s="35" t="s">
        <v>1063</v>
      </c>
      <c r="K3" s="35" t="s">
        <v>31</v>
      </c>
      <c r="L3" s="35" t="s">
        <v>1060</v>
      </c>
      <c r="M3" s="35"/>
      <c r="N3" s="35"/>
      <c r="O3" s="35"/>
      <c r="P3" s="35"/>
      <c r="Q3" s="35">
        <v>1</v>
      </c>
    </row>
    <row r="4" spans="1:18" x14ac:dyDescent="0.25">
      <c r="A4" s="35"/>
      <c r="B4" s="35" t="s">
        <v>26</v>
      </c>
      <c r="C4" s="35" t="s">
        <v>1064</v>
      </c>
      <c r="D4" s="35" t="s">
        <v>1065</v>
      </c>
      <c r="E4" s="35" t="s">
        <v>1066</v>
      </c>
      <c r="F4" s="36">
        <v>9</v>
      </c>
      <c r="G4" s="36">
        <v>0</v>
      </c>
      <c r="H4" s="36">
        <v>30</v>
      </c>
      <c r="I4" s="36">
        <f t="shared" si="0"/>
        <v>-30</v>
      </c>
      <c r="J4" s="35" t="s">
        <v>1063</v>
      </c>
      <c r="K4" s="35" t="s">
        <v>31</v>
      </c>
      <c r="L4" s="35" t="s">
        <v>1060</v>
      </c>
      <c r="M4" s="35"/>
      <c r="N4" s="35"/>
      <c r="O4" s="35"/>
      <c r="P4" s="35"/>
      <c r="Q4" s="35">
        <v>1</v>
      </c>
      <c r="R4" s="25">
        <f>H4</f>
        <v>30</v>
      </c>
    </row>
    <row r="5" spans="1:18" x14ac:dyDescent="0.25">
      <c r="A5" s="35"/>
      <c r="B5" s="35" t="s">
        <v>26</v>
      </c>
      <c r="C5" s="35" t="s">
        <v>1070</v>
      </c>
      <c r="D5" s="35" t="s">
        <v>1071</v>
      </c>
      <c r="E5" s="35" t="s">
        <v>1072</v>
      </c>
      <c r="F5" s="36">
        <v>9</v>
      </c>
      <c r="G5" s="36">
        <v>320</v>
      </c>
      <c r="H5" s="36">
        <v>30</v>
      </c>
      <c r="I5" s="36">
        <f t="shared" si="0"/>
        <v>290</v>
      </c>
      <c r="J5" s="35" t="s">
        <v>1063</v>
      </c>
      <c r="K5" s="35" t="s">
        <v>31</v>
      </c>
      <c r="L5" s="35" t="s">
        <v>1060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1082</v>
      </c>
      <c r="D6" s="35" t="s">
        <v>1083</v>
      </c>
      <c r="E6" s="35" t="s">
        <v>1084</v>
      </c>
      <c r="F6" s="35" t="s">
        <v>77</v>
      </c>
      <c r="G6" s="36">
        <v>820</v>
      </c>
      <c r="H6" s="36">
        <v>30</v>
      </c>
      <c r="I6" s="36">
        <f t="shared" si="0"/>
        <v>790</v>
      </c>
      <c r="J6" s="35" t="s">
        <v>1063</v>
      </c>
      <c r="K6" s="35" t="s">
        <v>31</v>
      </c>
      <c r="L6" s="35" t="s">
        <v>1060</v>
      </c>
      <c r="M6" s="35"/>
      <c r="N6" s="35"/>
      <c r="O6" s="35"/>
      <c r="P6" s="35"/>
      <c r="Q6" s="35">
        <v>1</v>
      </c>
    </row>
    <row r="7" spans="1:18" s="41" customFormat="1" x14ac:dyDescent="0.25">
      <c r="A7" s="39"/>
      <c r="B7" s="39" t="s">
        <v>26</v>
      </c>
      <c r="C7" s="39" t="s">
        <v>1086</v>
      </c>
      <c r="D7" s="39" t="s">
        <v>1087</v>
      </c>
      <c r="E7" s="39" t="s">
        <v>1088</v>
      </c>
      <c r="F7" s="39" t="s">
        <v>117</v>
      </c>
      <c r="G7" s="40">
        <v>35</v>
      </c>
      <c r="H7" s="40">
        <v>35</v>
      </c>
      <c r="I7" s="40">
        <f t="shared" si="0"/>
        <v>0</v>
      </c>
      <c r="J7" s="39" t="s">
        <v>1063</v>
      </c>
      <c r="K7" s="39" t="s">
        <v>31</v>
      </c>
      <c r="L7" s="39" t="s">
        <v>1060</v>
      </c>
      <c r="M7" s="39" t="s">
        <v>37</v>
      </c>
      <c r="N7" s="39"/>
      <c r="O7" s="39"/>
      <c r="P7" s="39"/>
      <c r="Q7" s="39">
        <v>1</v>
      </c>
    </row>
    <row r="8" spans="1:18" x14ac:dyDescent="0.25">
      <c r="A8" s="35"/>
      <c r="B8" s="35" t="s">
        <v>26</v>
      </c>
      <c r="C8" s="35" t="s">
        <v>1089</v>
      </c>
      <c r="D8" s="35" t="s">
        <v>1090</v>
      </c>
      <c r="E8" s="35" t="s">
        <v>1091</v>
      </c>
      <c r="F8" s="36">
        <v>6</v>
      </c>
      <c r="G8" s="36">
        <v>0</v>
      </c>
      <c r="H8" s="36">
        <v>25</v>
      </c>
      <c r="I8" s="36">
        <f t="shared" si="0"/>
        <v>-25</v>
      </c>
      <c r="J8" s="35" t="s">
        <v>1063</v>
      </c>
      <c r="K8" s="35" t="s">
        <v>31</v>
      </c>
      <c r="L8" s="35" t="s">
        <v>1060</v>
      </c>
      <c r="M8" s="35"/>
      <c r="N8" s="35"/>
      <c r="O8" s="35"/>
      <c r="P8" s="35"/>
      <c r="Q8" s="35">
        <v>1</v>
      </c>
      <c r="R8" s="25">
        <f t="shared" ref="R8:R9" si="1">H8</f>
        <v>25</v>
      </c>
    </row>
    <row r="9" spans="1:18" x14ac:dyDescent="0.25">
      <c r="A9" s="35"/>
      <c r="B9" s="35" t="s">
        <v>26</v>
      </c>
      <c r="C9" s="35" t="s">
        <v>1097</v>
      </c>
      <c r="D9" s="35" t="s">
        <v>1098</v>
      </c>
      <c r="E9" s="35" t="s">
        <v>1099</v>
      </c>
      <c r="F9" s="35" t="s">
        <v>132</v>
      </c>
      <c r="G9" s="36">
        <v>0</v>
      </c>
      <c r="H9" s="36">
        <v>35</v>
      </c>
      <c r="I9" s="36">
        <f t="shared" si="0"/>
        <v>-35</v>
      </c>
      <c r="J9" s="35" t="s">
        <v>1063</v>
      </c>
      <c r="K9" s="35" t="s">
        <v>31</v>
      </c>
      <c r="L9" s="35" t="s">
        <v>1060</v>
      </c>
      <c r="M9" s="35"/>
      <c r="N9" s="35"/>
      <c r="O9" s="35"/>
      <c r="P9" s="35"/>
      <c r="Q9" s="35">
        <v>1</v>
      </c>
      <c r="R9" s="25">
        <f t="shared" si="1"/>
        <v>35</v>
      </c>
    </row>
    <row r="10" spans="1:18" x14ac:dyDescent="0.25">
      <c r="A10" s="35"/>
      <c r="B10" s="35" t="s">
        <v>26</v>
      </c>
      <c r="C10" s="35" t="s">
        <v>1105</v>
      </c>
      <c r="D10" s="35" t="s">
        <v>1106</v>
      </c>
      <c r="E10" s="35" t="s">
        <v>1107</v>
      </c>
      <c r="F10" s="35" t="s">
        <v>77</v>
      </c>
      <c r="G10" s="36">
        <v>1070</v>
      </c>
      <c r="H10" s="36">
        <v>30</v>
      </c>
      <c r="I10" s="36">
        <f t="shared" si="0"/>
        <v>1040</v>
      </c>
      <c r="J10" s="35" t="s">
        <v>1063</v>
      </c>
      <c r="K10" s="35" t="s">
        <v>31</v>
      </c>
      <c r="L10" s="35" t="s">
        <v>1060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632</v>
      </c>
      <c r="D11" s="35" t="s">
        <v>1111</v>
      </c>
      <c r="E11" s="35" t="s">
        <v>1112</v>
      </c>
      <c r="F11" s="36">
        <v>9</v>
      </c>
      <c r="G11" s="36">
        <v>550</v>
      </c>
      <c r="H11" s="36">
        <v>30</v>
      </c>
      <c r="I11" s="36">
        <f t="shared" si="0"/>
        <v>520</v>
      </c>
      <c r="J11" s="35" t="s">
        <v>1063</v>
      </c>
      <c r="K11" s="35" t="s">
        <v>31</v>
      </c>
      <c r="L11" s="35" t="s">
        <v>1060</v>
      </c>
      <c r="M11" s="35"/>
      <c r="N11" s="35"/>
      <c r="O11" s="35"/>
      <c r="P11" s="35"/>
      <c r="Q11" s="35">
        <v>1</v>
      </c>
    </row>
    <row r="12" spans="1:18" x14ac:dyDescent="0.25">
      <c r="A12" s="35"/>
      <c r="B12" s="35" t="s">
        <v>26</v>
      </c>
      <c r="C12" s="35" t="s">
        <v>1131</v>
      </c>
      <c r="D12" s="35" t="s">
        <v>1132</v>
      </c>
      <c r="E12" s="35" t="s">
        <v>1133</v>
      </c>
      <c r="F12" s="35" t="s">
        <v>77</v>
      </c>
      <c r="G12" s="36">
        <v>0</v>
      </c>
      <c r="H12" s="36">
        <v>30</v>
      </c>
      <c r="I12" s="36">
        <f t="shared" si="0"/>
        <v>-30</v>
      </c>
      <c r="J12" s="35" t="s">
        <v>1063</v>
      </c>
      <c r="K12" s="35" t="s">
        <v>31</v>
      </c>
      <c r="L12" s="35" t="s">
        <v>1060</v>
      </c>
      <c r="M12" s="35"/>
      <c r="N12" s="35"/>
      <c r="O12" s="35"/>
      <c r="P12" s="35"/>
      <c r="Q12" s="35">
        <v>1</v>
      </c>
      <c r="R12" s="25">
        <f>H12</f>
        <v>30</v>
      </c>
    </row>
    <row r="13" spans="1:18" x14ac:dyDescent="0.25">
      <c r="A13" s="35"/>
      <c r="B13" s="35" t="s">
        <v>26</v>
      </c>
      <c r="C13" s="35" t="s">
        <v>1147</v>
      </c>
      <c r="D13" s="35" t="s">
        <v>1148</v>
      </c>
      <c r="E13" s="35" t="s">
        <v>1149</v>
      </c>
      <c r="F13" s="36">
        <v>6</v>
      </c>
      <c r="G13" s="36">
        <v>435</v>
      </c>
      <c r="H13" s="36">
        <v>25</v>
      </c>
      <c r="I13" s="36">
        <f t="shared" si="0"/>
        <v>410</v>
      </c>
      <c r="J13" s="35" t="s">
        <v>1063</v>
      </c>
      <c r="K13" s="35" t="s">
        <v>31</v>
      </c>
      <c r="L13" s="35" t="s">
        <v>1060</v>
      </c>
      <c r="M13" s="35"/>
      <c r="N13" s="35"/>
      <c r="O13" s="35"/>
      <c r="P13" s="35"/>
      <c r="Q13" s="35">
        <v>1</v>
      </c>
    </row>
    <row r="14" spans="1:18" x14ac:dyDescent="0.25">
      <c r="A14" s="35" t="s">
        <v>66</v>
      </c>
      <c r="B14" s="35" t="s">
        <v>26</v>
      </c>
      <c r="C14" s="35" t="s">
        <v>1058</v>
      </c>
      <c r="D14" s="35"/>
      <c r="E14" s="35" t="s">
        <v>1059</v>
      </c>
      <c r="F14" s="36">
        <v>12</v>
      </c>
      <c r="G14" s="36">
        <v>35</v>
      </c>
      <c r="H14" s="36">
        <v>35</v>
      </c>
      <c r="I14" s="36">
        <f t="shared" si="0"/>
        <v>0</v>
      </c>
      <c r="J14" s="35" t="s">
        <v>31</v>
      </c>
      <c r="K14" s="35" t="s">
        <v>31</v>
      </c>
      <c r="L14" s="35" t="s">
        <v>1060</v>
      </c>
      <c r="M14" s="35"/>
      <c r="N14" s="35"/>
      <c r="O14" s="35"/>
      <c r="P14" s="35"/>
      <c r="Q14" s="35">
        <v>1</v>
      </c>
    </row>
    <row r="15" spans="1:18" x14ac:dyDescent="0.25">
      <c r="A15" s="35" t="s">
        <v>66</v>
      </c>
      <c r="B15" s="35" t="s">
        <v>26</v>
      </c>
      <c r="C15" s="35" t="s">
        <v>1053</v>
      </c>
      <c r="D15" s="35"/>
      <c r="E15" s="35" t="s">
        <v>1054</v>
      </c>
      <c r="F15" s="35" t="s">
        <v>36</v>
      </c>
      <c r="G15" s="36">
        <v>4590</v>
      </c>
      <c r="H15" s="36">
        <v>30</v>
      </c>
      <c r="I15" s="36">
        <f t="shared" si="0"/>
        <v>4560</v>
      </c>
      <c r="J15" s="35" t="s">
        <v>31</v>
      </c>
      <c r="K15" s="35" t="s">
        <v>31</v>
      </c>
      <c r="L15" s="35" t="s">
        <v>1060</v>
      </c>
      <c r="M15" s="35"/>
      <c r="N15" s="35"/>
      <c r="O15" s="35"/>
      <c r="P15" s="35"/>
      <c r="Q15" s="35">
        <v>1</v>
      </c>
    </row>
    <row r="16" spans="1:18" x14ac:dyDescent="0.25">
      <c r="A16" s="35" t="s">
        <v>66</v>
      </c>
      <c r="B16" s="35" t="s">
        <v>26</v>
      </c>
      <c r="C16" s="35" t="s">
        <v>73</v>
      </c>
      <c r="D16" s="35"/>
      <c r="E16" s="35" t="s">
        <v>74</v>
      </c>
      <c r="F16" s="35" t="s">
        <v>36</v>
      </c>
      <c r="G16" s="36">
        <v>30</v>
      </c>
      <c r="H16" s="36">
        <v>30</v>
      </c>
      <c r="I16" s="36">
        <f t="shared" si="0"/>
        <v>0</v>
      </c>
      <c r="J16" s="35" t="s">
        <v>31</v>
      </c>
      <c r="K16" s="35" t="s">
        <v>31</v>
      </c>
      <c r="L16" s="35" t="s">
        <v>1060</v>
      </c>
      <c r="M16" s="35"/>
      <c r="N16" s="35"/>
      <c r="O16" s="35"/>
      <c r="P16" s="35"/>
      <c r="Q16" s="35">
        <v>1</v>
      </c>
    </row>
    <row r="17" spans="1:18" x14ac:dyDescent="0.25">
      <c r="A17" s="35"/>
      <c r="B17" s="35" t="s">
        <v>26</v>
      </c>
      <c r="C17" s="35" t="s">
        <v>1079</v>
      </c>
      <c r="D17" s="35" t="s">
        <v>1080</v>
      </c>
      <c r="E17" s="35" t="s">
        <v>1081</v>
      </c>
      <c r="F17" s="35" t="s">
        <v>58</v>
      </c>
      <c r="G17" s="36">
        <v>510</v>
      </c>
      <c r="H17" s="36">
        <v>20</v>
      </c>
      <c r="I17" s="36">
        <f t="shared" si="0"/>
        <v>490</v>
      </c>
      <c r="J17" s="35" t="s">
        <v>31</v>
      </c>
      <c r="K17" s="35" t="s">
        <v>31</v>
      </c>
      <c r="L17" s="35" t="s">
        <v>1060</v>
      </c>
      <c r="M17" s="35"/>
      <c r="N17" s="35"/>
      <c r="O17" s="35"/>
      <c r="P17" s="35"/>
      <c r="Q17" s="35">
        <v>1</v>
      </c>
    </row>
    <row r="18" spans="1:18" x14ac:dyDescent="0.25">
      <c r="A18" s="35"/>
      <c r="B18" s="35" t="s">
        <v>26</v>
      </c>
      <c r="C18" s="35" t="s">
        <v>146</v>
      </c>
      <c r="D18" s="35" t="s">
        <v>1085</v>
      </c>
      <c r="E18" s="35" t="s">
        <v>148</v>
      </c>
      <c r="F18" s="35" t="s">
        <v>58</v>
      </c>
      <c r="G18" s="36">
        <v>1190</v>
      </c>
      <c r="H18" s="36">
        <v>20</v>
      </c>
      <c r="I18" s="36">
        <f t="shared" si="0"/>
        <v>1170</v>
      </c>
      <c r="J18" s="35" t="s">
        <v>31</v>
      </c>
      <c r="K18" s="35" t="s">
        <v>31</v>
      </c>
      <c r="L18" s="35" t="s">
        <v>1060</v>
      </c>
      <c r="M18" s="35"/>
      <c r="N18" s="35"/>
      <c r="O18" s="35"/>
      <c r="P18" s="35"/>
      <c r="Q18" s="35">
        <v>1</v>
      </c>
    </row>
    <row r="19" spans="1:18" x14ac:dyDescent="0.25">
      <c r="A19" s="35"/>
      <c r="B19" s="35" t="s">
        <v>26</v>
      </c>
      <c r="C19" s="35" t="s">
        <v>1092</v>
      </c>
      <c r="D19" s="35" t="s">
        <v>1093</v>
      </c>
      <c r="E19" s="35" t="s">
        <v>1094</v>
      </c>
      <c r="F19" s="35" t="s">
        <v>36</v>
      </c>
      <c r="G19" s="36">
        <v>915</v>
      </c>
      <c r="H19" s="36">
        <v>25</v>
      </c>
      <c r="I19" s="36">
        <f t="shared" si="0"/>
        <v>890</v>
      </c>
      <c r="J19" s="35" t="s">
        <v>31</v>
      </c>
      <c r="K19" s="35" t="s">
        <v>31</v>
      </c>
      <c r="L19" s="35" t="s">
        <v>1060</v>
      </c>
      <c r="M19" s="35"/>
      <c r="N19" s="35"/>
      <c r="O19" s="35"/>
      <c r="P19" s="35"/>
      <c r="Q19" s="35">
        <v>1</v>
      </c>
    </row>
    <row r="20" spans="1:18" x14ac:dyDescent="0.25">
      <c r="A20" s="35"/>
      <c r="B20" s="35" t="s">
        <v>26</v>
      </c>
      <c r="C20" s="35" t="s">
        <v>1116</v>
      </c>
      <c r="D20" s="35" t="s">
        <v>1117</v>
      </c>
      <c r="E20" s="35" t="s">
        <v>1118</v>
      </c>
      <c r="F20" s="35" t="s">
        <v>45</v>
      </c>
      <c r="G20" s="36">
        <v>515</v>
      </c>
      <c r="H20" s="36">
        <v>25</v>
      </c>
      <c r="I20" s="36">
        <f t="shared" si="0"/>
        <v>490</v>
      </c>
      <c r="J20" s="35" t="s">
        <v>31</v>
      </c>
      <c r="K20" s="35" t="s">
        <v>31</v>
      </c>
      <c r="L20" s="35" t="s">
        <v>1060</v>
      </c>
      <c r="M20" s="35"/>
      <c r="N20" s="35"/>
      <c r="O20" s="35"/>
      <c r="P20" s="35"/>
      <c r="Q20" s="35">
        <v>1</v>
      </c>
    </row>
    <row r="21" spans="1:18" x14ac:dyDescent="0.25">
      <c r="A21" s="35"/>
      <c r="B21" s="35" t="s">
        <v>26</v>
      </c>
      <c r="C21" s="35" t="s">
        <v>1119</v>
      </c>
      <c r="D21" s="35" t="s">
        <v>1120</v>
      </c>
      <c r="E21" s="35" t="s">
        <v>1121</v>
      </c>
      <c r="F21" s="35" t="s">
        <v>36</v>
      </c>
      <c r="G21" s="36">
        <v>845</v>
      </c>
      <c r="H21" s="36">
        <v>25</v>
      </c>
      <c r="I21" s="36">
        <f t="shared" si="0"/>
        <v>820</v>
      </c>
      <c r="J21" s="35" t="s">
        <v>31</v>
      </c>
      <c r="K21" s="35" t="s">
        <v>31</v>
      </c>
      <c r="L21" s="35" t="s">
        <v>1060</v>
      </c>
      <c r="M21" s="35"/>
      <c r="N21" s="35"/>
      <c r="O21" s="35"/>
      <c r="P21" s="35"/>
      <c r="Q21" s="35">
        <v>1</v>
      </c>
    </row>
    <row r="22" spans="1:18" x14ac:dyDescent="0.25">
      <c r="A22" s="35"/>
      <c r="B22" s="35" t="s">
        <v>26</v>
      </c>
      <c r="C22" s="35" t="s">
        <v>1122</v>
      </c>
      <c r="D22" s="35" t="s">
        <v>1123</v>
      </c>
      <c r="E22" s="35" t="s">
        <v>1124</v>
      </c>
      <c r="F22" s="35" t="s">
        <v>36</v>
      </c>
      <c r="G22" s="36">
        <v>1105</v>
      </c>
      <c r="H22" s="36">
        <v>25</v>
      </c>
      <c r="I22" s="36">
        <f t="shared" si="0"/>
        <v>1080</v>
      </c>
      <c r="J22" s="35" t="s">
        <v>31</v>
      </c>
      <c r="K22" s="35" t="s">
        <v>31</v>
      </c>
      <c r="L22" s="35" t="s">
        <v>1060</v>
      </c>
      <c r="M22" s="35"/>
      <c r="N22" s="35"/>
      <c r="O22" s="35"/>
      <c r="P22" s="35"/>
      <c r="Q22" s="35">
        <v>1</v>
      </c>
    </row>
    <row r="23" spans="1:18" x14ac:dyDescent="0.25">
      <c r="A23" s="35"/>
      <c r="B23" s="35" t="s">
        <v>26</v>
      </c>
      <c r="C23" s="35" t="s">
        <v>1125</v>
      </c>
      <c r="D23" s="35" t="s">
        <v>1126</v>
      </c>
      <c r="E23" s="35" t="s">
        <v>1127</v>
      </c>
      <c r="F23" s="36">
        <v>12</v>
      </c>
      <c r="G23" s="36">
        <v>920</v>
      </c>
      <c r="H23" s="36">
        <v>30</v>
      </c>
      <c r="I23" s="36">
        <f t="shared" si="0"/>
        <v>890</v>
      </c>
      <c r="J23" s="35" t="s">
        <v>31</v>
      </c>
      <c r="K23" s="35" t="s">
        <v>31</v>
      </c>
      <c r="L23" s="35" t="s">
        <v>1060</v>
      </c>
      <c r="M23" s="35"/>
      <c r="N23" s="35"/>
      <c r="O23" s="35"/>
      <c r="P23" s="35"/>
      <c r="Q23" s="35">
        <v>1</v>
      </c>
    </row>
    <row r="24" spans="1:18" x14ac:dyDescent="0.25">
      <c r="A24" s="35"/>
      <c r="B24" s="35" t="s">
        <v>26</v>
      </c>
      <c r="C24" s="35" t="s">
        <v>1128</v>
      </c>
      <c r="D24" s="35" t="s">
        <v>1129</v>
      </c>
      <c r="E24" s="35" t="s">
        <v>1130</v>
      </c>
      <c r="F24" s="36">
        <v>2</v>
      </c>
      <c r="G24" s="36">
        <v>2940</v>
      </c>
      <c r="H24" s="36">
        <v>35</v>
      </c>
      <c r="I24" s="36">
        <f t="shared" si="0"/>
        <v>2905</v>
      </c>
      <c r="J24" s="35" t="s">
        <v>31</v>
      </c>
      <c r="K24" s="35" t="s">
        <v>31</v>
      </c>
      <c r="L24" s="35" t="s">
        <v>1060</v>
      </c>
      <c r="M24" s="38" t="s">
        <v>59</v>
      </c>
      <c r="N24" s="35"/>
      <c r="O24" s="35"/>
      <c r="P24" s="35"/>
      <c r="Q24" s="35">
        <v>1</v>
      </c>
      <c r="R24" s="25">
        <f>H24</f>
        <v>35</v>
      </c>
    </row>
    <row r="25" spans="1:18" x14ac:dyDescent="0.25">
      <c r="A25" s="35"/>
      <c r="B25" s="35" t="s">
        <v>26</v>
      </c>
      <c r="C25" s="35" t="s">
        <v>990</v>
      </c>
      <c r="D25" s="35" t="s">
        <v>1134</v>
      </c>
      <c r="E25" s="35" t="s">
        <v>992</v>
      </c>
      <c r="F25" s="35" t="s">
        <v>128</v>
      </c>
      <c r="G25" s="36">
        <v>290</v>
      </c>
      <c r="H25" s="36">
        <v>30</v>
      </c>
      <c r="I25" s="36">
        <f t="shared" si="0"/>
        <v>260</v>
      </c>
      <c r="J25" s="35" t="s">
        <v>31</v>
      </c>
      <c r="K25" s="35" t="s">
        <v>31</v>
      </c>
      <c r="L25" s="35" t="s">
        <v>1060</v>
      </c>
      <c r="M25" s="35"/>
      <c r="N25" s="35"/>
      <c r="O25" s="35"/>
      <c r="P25" s="35"/>
      <c r="Q25" s="35">
        <v>1</v>
      </c>
    </row>
    <row r="26" spans="1:18" x14ac:dyDescent="0.25">
      <c r="A26" s="35"/>
      <c r="B26" s="35" t="s">
        <v>26</v>
      </c>
      <c r="C26" s="35" t="s">
        <v>1135</v>
      </c>
      <c r="D26" s="35" t="s">
        <v>1136</v>
      </c>
      <c r="E26" s="35" t="s">
        <v>1137</v>
      </c>
      <c r="F26" s="36">
        <v>2</v>
      </c>
      <c r="G26" s="36">
        <v>920</v>
      </c>
      <c r="H26" s="36">
        <v>30</v>
      </c>
      <c r="I26" s="36">
        <f t="shared" si="0"/>
        <v>890</v>
      </c>
      <c r="J26" s="35" t="s">
        <v>31</v>
      </c>
      <c r="K26" s="35" t="s">
        <v>31</v>
      </c>
      <c r="L26" s="35" t="s">
        <v>1060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1138</v>
      </c>
      <c r="D27" s="35" t="s">
        <v>1139</v>
      </c>
      <c r="E27" s="35" t="s">
        <v>1140</v>
      </c>
      <c r="F27" s="35" t="s">
        <v>128</v>
      </c>
      <c r="G27" s="36">
        <v>0</v>
      </c>
      <c r="H27" s="36">
        <v>30</v>
      </c>
      <c r="I27" s="36">
        <f t="shared" si="0"/>
        <v>-30</v>
      </c>
      <c r="J27" s="35" t="s">
        <v>31</v>
      </c>
      <c r="K27" s="35" t="s">
        <v>31</v>
      </c>
      <c r="L27" s="35" t="s">
        <v>1060</v>
      </c>
      <c r="M27" s="35"/>
      <c r="N27" s="35"/>
      <c r="O27" s="35"/>
      <c r="P27" s="35"/>
      <c r="Q27" s="35">
        <v>1</v>
      </c>
      <c r="R27" s="25">
        <f>H27</f>
        <v>30</v>
      </c>
    </row>
    <row r="28" spans="1:18" x14ac:dyDescent="0.25">
      <c r="A28" s="35"/>
      <c r="B28" s="35" t="s">
        <v>26</v>
      </c>
      <c r="C28" s="35" t="s">
        <v>1067</v>
      </c>
      <c r="D28" s="35" t="s">
        <v>1068</v>
      </c>
      <c r="E28" s="35" t="s">
        <v>1069</v>
      </c>
      <c r="F28" s="36">
        <v>3</v>
      </c>
      <c r="G28" s="36">
        <v>315</v>
      </c>
      <c r="H28" s="36">
        <v>25</v>
      </c>
      <c r="I28" s="36">
        <f t="shared" si="0"/>
        <v>290</v>
      </c>
      <c r="J28" s="35" t="s">
        <v>41</v>
      </c>
      <c r="K28" s="35" t="s">
        <v>31</v>
      </c>
      <c r="L28" s="35" t="s">
        <v>1060</v>
      </c>
      <c r="M28" s="35"/>
      <c r="N28" s="35"/>
      <c r="O28" s="35"/>
      <c r="P28" s="35"/>
      <c r="Q28" s="35">
        <v>1</v>
      </c>
    </row>
    <row r="29" spans="1:18" x14ac:dyDescent="0.25">
      <c r="A29" s="35"/>
      <c r="B29" s="35" t="s">
        <v>26</v>
      </c>
      <c r="C29" s="35" t="s">
        <v>1073</v>
      </c>
      <c r="D29" s="35" t="s">
        <v>1074</v>
      </c>
      <c r="E29" s="35" t="s">
        <v>1075</v>
      </c>
      <c r="F29" s="36">
        <v>8</v>
      </c>
      <c r="G29" s="36">
        <v>1600</v>
      </c>
      <c r="H29" s="36">
        <v>30</v>
      </c>
      <c r="I29" s="36">
        <f t="shared" si="0"/>
        <v>1570</v>
      </c>
      <c r="J29" s="35" t="s">
        <v>41</v>
      </c>
      <c r="K29" s="35" t="s">
        <v>31</v>
      </c>
      <c r="L29" s="35" t="s">
        <v>1060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1076</v>
      </c>
      <c r="D30" s="35" t="s">
        <v>1077</v>
      </c>
      <c r="E30" s="35" t="s">
        <v>1078</v>
      </c>
      <c r="F30" s="35" t="s">
        <v>101</v>
      </c>
      <c r="G30" s="36">
        <v>315</v>
      </c>
      <c r="H30" s="36">
        <v>25</v>
      </c>
      <c r="I30" s="36">
        <f t="shared" si="0"/>
        <v>290</v>
      </c>
      <c r="J30" s="35" t="s">
        <v>41</v>
      </c>
      <c r="K30" s="35" t="s">
        <v>31</v>
      </c>
      <c r="L30" s="35" t="s">
        <v>1060</v>
      </c>
      <c r="M30" s="35"/>
      <c r="N30" s="35"/>
      <c r="O30" s="35"/>
      <c r="P30" s="35"/>
      <c r="Q30" s="35">
        <v>1</v>
      </c>
    </row>
    <row r="31" spans="1:18" x14ac:dyDescent="0.25">
      <c r="A31" s="35"/>
      <c r="B31" s="35" t="s">
        <v>26</v>
      </c>
      <c r="C31" s="35" t="s">
        <v>711</v>
      </c>
      <c r="D31" s="35" t="s">
        <v>1095</v>
      </c>
      <c r="E31" s="35" t="s">
        <v>1096</v>
      </c>
      <c r="F31" s="36">
        <v>7</v>
      </c>
      <c r="G31" s="36">
        <v>920</v>
      </c>
      <c r="H31" s="36">
        <v>30</v>
      </c>
      <c r="I31" s="36">
        <f t="shared" si="0"/>
        <v>890</v>
      </c>
      <c r="J31" s="35" t="s">
        <v>41</v>
      </c>
      <c r="K31" s="35" t="s">
        <v>31</v>
      </c>
      <c r="L31" s="35" t="s">
        <v>1060</v>
      </c>
      <c r="M31" s="35"/>
      <c r="N31" s="35"/>
      <c r="O31" s="35"/>
      <c r="P31" s="35"/>
      <c r="Q31" s="35">
        <v>1</v>
      </c>
    </row>
    <row r="32" spans="1:18" x14ac:dyDescent="0.25">
      <c r="A32" s="35"/>
      <c r="B32" s="35" t="s">
        <v>26</v>
      </c>
      <c r="C32" s="35" t="s">
        <v>1100</v>
      </c>
      <c r="D32" s="35" t="s">
        <v>1101</v>
      </c>
      <c r="E32" s="35" t="s">
        <v>1102</v>
      </c>
      <c r="F32" s="35" t="s">
        <v>121</v>
      </c>
      <c r="G32" s="36">
        <v>1315</v>
      </c>
      <c r="H32" s="36">
        <v>35</v>
      </c>
      <c r="I32" s="36">
        <f t="shared" si="0"/>
        <v>1280</v>
      </c>
      <c r="J32" s="35" t="s">
        <v>41</v>
      </c>
      <c r="K32" s="35" t="s">
        <v>31</v>
      </c>
      <c r="L32" s="35" t="s">
        <v>1060</v>
      </c>
      <c r="M32" s="35"/>
      <c r="N32" s="35"/>
      <c r="O32" s="35"/>
      <c r="P32" s="35"/>
      <c r="Q32" s="35">
        <v>1</v>
      </c>
    </row>
    <row r="33" spans="1:18" x14ac:dyDescent="0.25">
      <c r="A33" s="35"/>
      <c r="B33" s="35" t="s">
        <v>26</v>
      </c>
      <c r="C33" s="35" t="s">
        <v>433</v>
      </c>
      <c r="D33" s="35" t="s">
        <v>1103</v>
      </c>
      <c r="E33" s="35" t="s">
        <v>1104</v>
      </c>
      <c r="F33" s="36">
        <v>1</v>
      </c>
      <c r="G33" s="36">
        <v>890</v>
      </c>
      <c r="H33" s="36">
        <v>25</v>
      </c>
      <c r="I33" s="36">
        <f t="shared" si="0"/>
        <v>865</v>
      </c>
      <c r="J33" s="35" t="s">
        <v>41</v>
      </c>
      <c r="K33" s="35" t="s">
        <v>31</v>
      </c>
      <c r="L33" s="35" t="s">
        <v>1060</v>
      </c>
      <c r="M33" s="38" t="s">
        <v>59</v>
      </c>
      <c r="N33" s="35"/>
      <c r="O33" s="35"/>
      <c r="P33" s="35"/>
      <c r="Q33" s="35">
        <v>1</v>
      </c>
      <c r="R33" s="25">
        <f>H33</f>
        <v>25</v>
      </c>
    </row>
    <row r="34" spans="1:18" x14ac:dyDescent="0.25">
      <c r="A34" s="35"/>
      <c r="B34" s="35" t="s">
        <v>26</v>
      </c>
      <c r="C34" s="35" t="s">
        <v>1108</v>
      </c>
      <c r="D34" s="35" t="s">
        <v>1109</v>
      </c>
      <c r="E34" s="35" t="s">
        <v>1110</v>
      </c>
      <c r="F34" s="35" t="s">
        <v>101</v>
      </c>
      <c r="G34" s="36">
        <v>885</v>
      </c>
      <c r="H34" s="36">
        <v>25</v>
      </c>
      <c r="I34" s="36">
        <f t="shared" si="0"/>
        <v>860</v>
      </c>
      <c r="J34" s="35" t="s">
        <v>41</v>
      </c>
      <c r="K34" s="35" t="s">
        <v>31</v>
      </c>
      <c r="L34" s="35" t="s">
        <v>1060</v>
      </c>
      <c r="M34" s="35"/>
      <c r="N34" s="35"/>
      <c r="O34" s="35"/>
      <c r="P34" s="35"/>
      <c r="Q34" s="35">
        <v>1</v>
      </c>
    </row>
    <row r="35" spans="1:18" x14ac:dyDescent="0.25">
      <c r="A35" s="35"/>
      <c r="B35" s="35" t="s">
        <v>26</v>
      </c>
      <c r="C35" s="35" t="s">
        <v>1113</v>
      </c>
      <c r="D35" s="35" t="s">
        <v>1114</v>
      </c>
      <c r="E35" s="35" t="s">
        <v>1115</v>
      </c>
      <c r="F35" s="36">
        <v>1</v>
      </c>
      <c r="G35" s="36">
        <v>935</v>
      </c>
      <c r="H35" s="36">
        <v>25</v>
      </c>
      <c r="I35" s="36">
        <f t="shared" si="0"/>
        <v>910</v>
      </c>
      <c r="J35" s="35" t="s">
        <v>41</v>
      </c>
      <c r="K35" s="35" t="s">
        <v>31</v>
      </c>
      <c r="L35" s="35" t="s">
        <v>1060</v>
      </c>
      <c r="M35" s="35"/>
      <c r="N35" s="35"/>
      <c r="O35" s="35"/>
      <c r="P35" s="35"/>
      <c r="Q35" s="35">
        <v>1</v>
      </c>
    </row>
    <row r="36" spans="1:18" x14ac:dyDescent="0.25">
      <c r="A36" s="35"/>
      <c r="B36" s="35" t="s">
        <v>26</v>
      </c>
      <c r="C36" s="35" t="s">
        <v>1141</v>
      </c>
      <c r="D36" s="35" t="s">
        <v>1142</v>
      </c>
      <c r="E36" s="35" t="s">
        <v>1143</v>
      </c>
      <c r="F36" s="36">
        <v>7</v>
      </c>
      <c r="G36" s="36">
        <v>470</v>
      </c>
      <c r="H36" s="36">
        <v>30</v>
      </c>
      <c r="I36" s="36">
        <f t="shared" si="0"/>
        <v>440</v>
      </c>
      <c r="J36" s="35" t="s">
        <v>41</v>
      </c>
      <c r="K36" s="35" t="s">
        <v>31</v>
      </c>
      <c r="L36" s="35" t="s">
        <v>1060</v>
      </c>
      <c r="M36" s="35"/>
      <c r="N36" s="35"/>
      <c r="O36" s="35"/>
      <c r="P36" s="35"/>
      <c r="Q36" s="35">
        <v>1</v>
      </c>
    </row>
    <row r="37" spans="1:18" x14ac:dyDescent="0.25">
      <c r="A37" s="35"/>
      <c r="B37" s="35" t="s">
        <v>26</v>
      </c>
      <c r="C37" s="35" t="s">
        <v>1144</v>
      </c>
      <c r="D37" s="35" t="s">
        <v>1145</v>
      </c>
      <c r="E37" s="35" t="s">
        <v>1146</v>
      </c>
      <c r="F37" s="36">
        <v>7</v>
      </c>
      <c r="G37" s="36">
        <v>840</v>
      </c>
      <c r="H37" s="36">
        <v>30</v>
      </c>
      <c r="I37" s="36">
        <f t="shared" si="0"/>
        <v>810</v>
      </c>
      <c r="J37" s="35" t="s">
        <v>41</v>
      </c>
      <c r="K37" s="35" t="s">
        <v>31</v>
      </c>
      <c r="L37" s="35" t="s">
        <v>1060</v>
      </c>
      <c r="M37" s="35"/>
      <c r="N37" s="35"/>
      <c r="O37" s="35"/>
      <c r="P37" s="35"/>
      <c r="Q37" s="35">
        <v>1</v>
      </c>
    </row>
    <row r="38" spans="1:18" x14ac:dyDescent="0.25">
      <c r="A38" s="35"/>
      <c r="B38" s="35" t="s">
        <v>26</v>
      </c>
      <c r="C38" s="35" t="s">
        <v>1150</v>
      </c>
      <c r="D38" s="35" t="s">
        <v>1151</v>
      </c>
      <c r="E38" s="35" t="s">
        <v>1152</v>
      </c>
      <c r="F38" s="36">
        <v>4</v>
      </c>
      <c r="G38" s="36">
        <v>575</v>
      </c>
      <c r="H38" s="36">
        <v>25</v>
      </c>
      <c r="I38" s="36">
        <f t="shared" si="0"/>
        <v>550</v>
      </c>
      <c r="J38" s="35" t="s">
        <v>41</v>
      </c>
      <c r="K38" s="35" t="s">
        <v>31</v>
      </c>
      <c r="L38" s="35" t="s">
        <v>1060</v>
      </c>
      <c r="M38" s="35"/>
      <c r="N38" s="35"/>
      <c r="O38" s="35"/>
      <c r="P38" s="35"/>
      <c r="Q38" s="35">
        <v>1</v>
      </c>
    </row>
    <row r="39" spans="1:18" x14ac:dyDescent="0.25">
      <c r="A39" s="35"/>
      <c r="B39" s="35" t="s">
        <v>26</v>
      </c>
      <c r="C39" s="35" t="s">
        <v>1153</v>
      </c>
      <c r="D39" s="35" t="s">
        <v>1154</v>
      </c>
      <c r="E39" s="35" t="s">
        <v>1155</v>
      </c>
      <c r="F39" s="36">
        <v>5</v>
      </c>
      <c r="G39" s="36">
        <v>345</v>
      </c>
      <c r="H39" s="36">
        <v>25</v>
      </c>
      <c r="I39" s="36">
        <f t="shared" si="0"/>
        <v>320</v>
      </c>
      <c r="J39" s="35" t="s">
        <v>41</v>
      </c>
      <c r="K39" s="35" t="s">
        <v>31</v>
      </c>
      <c r="L39" s="35" t="s">
        <v>1060</v>
      </c>
      <c r="M39" s="35"/>
      <c r="N39" s="35"/>
      <c r="O39" s="35"/>
      <c r="P39" s="35"/>
      <c r="Q39" s="35">
        <v>1</v>
      </c>
    </row>
    <row r="40" spans="1:18" s="30" customFormat="1" x14ac:dyDescent="0.25">
      <c r="A40" s="37"/>
      <c r="B40" s="37" t="s">
        <v>26</v>
      </c>
      <c r="C40" s="37" t="s">
        <v>1156</v>
      </c>
      <c r="D40" s="37" t="s">
        <v>1157</v>
      </c>
      <c r="E40" s="37" t="s">
        <v>1158</v>
      </c>
      <c r="F40" s="43">
        <v>2</v>
      </c>
      <c r="G40" s="43">
        <v>800</v>
      </c>
      <c r="H40" s="43">
        <v>30</v>
      </c>
      <c r="I40" s="43">
        <f t="shared" si="0"/>
        <v>770</v>
      </c>
      <c r="J40" s="37" t="s">
        <v>118</v>
      </c>
      <c r="K40" s="37" t="s">
        <v>31</v>
      </c>
      <c r="L40" s="37" t="s">
        <v>321</v>
      </c>
      <c r="M40" s="37" t="s">
        <v>91</v>
      </c>
      <c r="N40" s="37" t="s">
        <v>316</v>
      </c>
      <c r="O40" s="37" t="s">
        <v>316</v>
      </c>
      <c r="P40" s="37" t="s">
        <v>317</v>
      </c>
      <c r="Q40" s="43">
        <v>1</v>
      </c>
    </row>
    <row r="41" spans="1:18" s="53" customFormat="1" x14ac:dyDescent="0.25">
      <c r="A41" s="54"/>
      <c r="B41" s="54" t="s">
        <v>26</v>
      </c>
      <c r="C41" s="54" t="s">
        <v>933</v>
      </c>
      <c r="D41" s="54" t="s">
        <v>934</v>
      </c>
      <c r="E41" s="54" t="s">
        <v>935</v>
      </c>
      <c r="F41" s="55" t="s">
        <v>77</v>
      </c>
      <c r="G41" s="54">
        <v>6390</v>
      </c>
      <c r="H41" s="54">
        <v>0</v>
      </c>
      <c r="I41" s="54">
        <f t="shared" si="0"/>
        <v>6390</v>
      </c>
      <c r="J41" s="54" t="s">
        <v>118</v>
      </c>
      <c r="K41" s="54" t="s">
        <v>31</v>
      </c>
      <c r="L41" s="54" t="s">
        <v>910</v>
      </c>
      <c r="M41" s="58" t="s">
        <v>94</v>
      </c>
      <c r="N41" s="58" t="s">
        <v>316</v>
      </c>
      <c r="O41" s="58" t="s">
        <v>316</v>
      </c>
      <c r="P41" s="58" t="s">
        <v>317</v>
      </c>
      <c r="Q41" s="54">
        <v>1</v>
      </c>
    </row>
    <row r="42" spans="1:18" s="30" customFormat="1" x14ac:dyDescent="0.25">
      <c r="A42" s="37"/>
      <c r="B42" s="37" t="s">
        <v>26</v>
      </c>
      <c r="C42" s="37" t="s">
        <v>987</v>
      </c>
      <c r="D42" s="37" t="s">
        <v>988</v>
      </c>
      <c r="E42" s="37" t="s">
        <v>989</v>
      </c>
      <c r="F42" s="43">
        <v>1</v>
      </c>
      <c r="G42" s="43">
        <v>25</v>
      </c>
      <c r="H42" s="43">
        <v>0</v>
      </c>
      <c r="I42" s="43">
        <f t="shared" si="0"/>
        <v>25</v>
      </c>
      <c r="J42" s="37" t="s">
        <v>118</v>
      </c>
      <c r="K42" s="37" t="s">
        <v>31</v>
      </c>
      <c r="L42" s="37" t="s">
        <v>910</v>
      </c>
      <c r="M42" s="37" t="s">
        <v>94</v>
      </c>
      <c r="N42" s="37" t="s">
        <v>316</v>
      </c>
      <c r="O42" s="37" t="s">
        <v>316</v>
      </c>
      <c r="P42" s="37" t="s">
        <v>317</v>
      </c>
      <c r="Q42" s="37">
        <v>1</v>
      </c>
    </row>
    <row r="44" spans="1:18" x14ac:dyDescent="0.25">
      <c r="D44" s="26">
        <f>COUNTA(D3:D42)</f>
        <v>36</v>
      </c>
      <c r="G44" s="26">
        <f t="shared" ref="G44:Q44" si="2">SUBTOTAL(9,G3:G42)</f>
        <v>35845</v>
      </c>
      <c r="H44" s="26">
        <f t="shared" si="2"/>
        <v>1080</v>
      </c>
      <c r="I44" s="26">
        <f t="shared" si="2"/>
        <v>34765</v>
      </c>
      <c r="J44" s="26">
        <f t="shared" si="2"/>
        <v>0</v>
      </c>
      <c r="K44" s="26">
        <f t="shared" si="2"/>
        <v>0</v>
      </c>
      <c r="L44" s="26">
        <f t="shared" si="2"/>
        <v>0</v>
      </c>
      <c r="M44" s="26">
        <f t="shared" si="2"/>
        <v>0</v>
      </c>
      <c r="N44" s="26">
        <f t="shared" si="2"/>
        <v>0</v>
      </c>
      <c r="O44" s="26">
        <f t="shared" si="2"/>
        <v>0</v>
      </c>
      <c r="P44" s="26">
        <f t="shared" si="2"/>
        <v>0</v>
      </c>
      <c r="Q44" s="26">
        <f t="shared" si="2"/>
        <v>40</v>
      </c>
    </row>
    <row r="45" spans="1:18" x14ac:dyDescent="0.25">
      <c r="H45" s="24">
        <f>-3*17</f>
        <v>-51</v>
      </c>
    </row>
    <row r="46" spans="1:18" x14ac:dyDescent="0.25">
      <c r="A46" s="26" t="s">
        <v>26</v>
      </c>
      <c r="C46" s="80" t="s">
        <v>78</v>
      </c>
      <c r="D46" s="80"/>
      <c r="E46" s="27" t="s">
        <v>79</v>
      </c>
      <c r="H46" s="24">
        <f>-6*25</f>
        <v>-150</v>
      </c>
      <c r="K46" s="28" t="s">
        <v>31</v>
      </c>
      <c r="L46" s="28" t="s">
        <v>80</v>
      </c>
      <c r="M46" s="28" t="s">
        <v>79</v>
      </c>
      <c r="O46" s="27" t="s">
        <v>81</v>
      </c>
    </row>
    <row r="47" spans="1:18" x14ac:dyDescent="0.25">
      <c r="A47" s="24" t="s">
        <v>1060</v>
      </c>
      <c r="B47" s="29" t="s">
        <v>82</v>
      </c>
      <c r="C47" s="81">
        <f>SUMIFS(I$3:I$42,B$3:B$42,A$46,L$3:L$42,A$47)</f>
        <v>27580</v>
      </c>
      <c r="D47" s="81"/>
      <c r="E47" s="29">
        <f>SUMIFS(Q$3:Q$42,B$3:B$42,A$46,L$3:L$42,A$47)</f>
        <v>37</v>
      </c>
      <c r="F47" s="24" t="s">
        <v>83</v>
      </c>
      <c r="H47" s="24">
        <f>-2*30</f>
        <v>-60</v>
      </c>
      <c r="K47" s="24" t="s">
        <v>84</v>
      </c>
      <c r="L47" s="24">
        <f>SUMIFS(G$3:G$42,J$3:J$42,K$46)</f>
        <v>14805</v>
      </c>
      <c r="M47" s="24">
        <f>SUMIFS(Q$3:Q$42,J$3:J$42,K$46)-INT(COUNTIFS(J$3:J$42,K$46,M$3:M$42,"*gộp*")/2)</f>
        <v>14</v>
      </c>
      <c r="O47" s="24" t="s">
        <v>31</v>
      </c>
      <c r="P47" s="24">
        <f>L52</f>
        <v>13638</v>
      </c>
    </row>
    <row r="48" spans="1:18" x14ac:dyDescent="0.25">
      <c r="B48" s="30" t="s">
        <v>86</v>
      </c>
      <c r="C48" s="82">
        <v>0</v>
      </c>
      <c r="D48" s="82"/>
      <c r="K48" s="24" t="s">
        <v>87</v>
      </c>
      <c r="L48" s="24">
        <f>-SUMIFS(H$3:H$42,J$3:J$42,K$46)+M48*5</f>
        <v>-320</v>
      </c>
      <c r="M48" s="24">
        <f>SUMIFS(Q$3:Q$42,J$3:J$42,K$46)-INT(COUNTIFS(J$3:J$42,K$46,M$3:M$42,"*gộp*")/2)</f>
        <v>14</v>
      </c>
      <c r="O48" s="24" t="s">
        <v>1159</v>
      </c>
      <c r="P48" s="24">
        <f>L61</f>
        <v>-1126</v>
      </c>
    </row>
    <row r="49" spans="2:16" x14ac:dyDescent="0.25">
      <c r="B49" s="30" t="s">
        <v>88</v>
      </c>
      <c r="C49" s="82">
        <f>-SUMIFS(I$3:I$42,B$3:B$42,A$46,P$3:P$42,"xx",N$3:N$42,"x")</f>
        <v>-7185</v>
      </c>
      <c r="D49" s="82"/>
      <c r="E49" s="30">
        <f>SUMIFS(Q$3:Q$42,B$3:B$42,A$46,P$3:P$42,"xx",N$3:N$42,"x")</f>
        <v>3</v>
      </c>
      <c r="K49" s="24" t="s">
        <v>89</v>
      </c>
      <c r="L49" s="24">
        <f>-M49*2</f>
        <v>-72</v>
      </c>
      <c r="M49" s="24">
        <f>COUNTIFS(K$3:K$42,K$46,L$3:L$42,A$47)-(COUNTIFS(K$3:K$42,K$46,M$3:M$42,"*gộp*")/2)-COUNTIFS(K$3:K$42,K$46,M$3:M$42,"*đơn trả*")-COUNTIFS(K$3:K$42,K$46,M$3:M$42,"*hàng tỉnh*")</f>
        <v>36</v>
      </c>
      <c r="O49" s="24" t="s">
        <v>41</v>
      </c>
      <c r="P49" s="24">
        <f>L68</f>
        <v>9110</v>
      </c>
    </row>
    <row r="50" spans="2:16" x14ac:dyDescent="0.25">
      <c r="B50" s="27" t="s">
        <v>90</v>
      </c>
      <c r="C50" s="80">
        <f>SUBTOTAL(9,C47:C49)</f>
        <v>20395</v>
      </c>
      <c r="D50" s="80"/>
      <c r="E50" s="24">
        <f>E47</f>
        <v>37</v>
      </c>
      <c r="K50" s="31" t="s">
        <v>91</v>
      </c>
      <c r="L50" s="48">
        <v>-775</v>
      </c>
      <c r="M50" s="48" t="s">
        <v>590</v>
      </c>
      <c r="O50" s="24" t="s">
        <v>92</v>
      </c>
      <c r="P50" s="24">
        <f>-C54</f>
        <v>-21515</v>
      </c>
    </row>
    <row r="51" spans="2:16" x14ac:dyDescent="0.25">
      <c r="B51" s="30" t="s">
        <v>93</v>
      </c>
      <c r="C51" s="78">
        <v>1120</v>
      </c>
      <c r="D51" s="78"/>
      <c r="K51" s="30" t="s">
        <v>94</v>
      </c>
      <c r="O51" s="57" t="s">
        <v>1162</v>
      </c>
      <c r="P51" s="24">
        <v>-1120</v>
      </c>
    </row>
    <row r="52" spans="2:16" x14ac:dyDescent="0.25">
      <c r="B52" s="32" t="s">
        <v>96</v>
      </c>
      <c r="C52" s="78"/>
      <c r="D52" s="78"/>
      <c r="L52" s="33">
        <f>SUBTOTAL(9,L47:L51)</f>
        <v>13638</v>
      </c>
      <c r="M52" s="33">
        <f>M47</f>
        <v>14</v>
      </c>
      <c r="O52" s="27" t="s">
        <v>95</v>
      </c>
      <c r="P52" s="27">
        <f>SUBTOTAL(9,P47:P51)</f>
        <v>-1013</v>
      </c>
    </row>
    <row r="54" spans="2:16" x14ac:dyDescent="0.25">
      <c r="B54" s="26" t="s">
        <v>97</v>
      </c>
      <c r="C54" s="79">
        <f>C50+C51+C52</f>
        <v>21515</v>
      </c>
      <c r="D54" s="79"/>
      <c r="E54" s="26" t="s">
        <v>98</v>
      </c>
      <c r="K54" s="28" t="s">
        <v>1063</v>
      </c>
      <c r="L54" s="28" t="s">
        <v>80</v>
      </c>
      <c r="M54" s="28" t="s">
        <v>79</v>
      </c>
    </row>
    <row r="55" spans="2:16" x14ac:dyDescent="0.25">
      <c r="K55" s="24" t="s">
        <v>84</v>
      </c>
      <c r="L55" s="24">
        <f>SUMIFS(G$3:G$42,J$3:J$42,K$54)</f>
        <v>4420</v>
      </c>
      <c r="M55" s="24">
        <f>SUMIFS(Q$3:Q$42,J$3:J$42,K$54)-INT(COUNTIFS(J$3:J$42,K$54,M$3:M$42,"*gộp*")/2)</f>
        <v>11</v>
      </c>
    </row>
    <row r="56" spans="2:16" x14ac:dyDescent="0.25">
      <c r="K56" s="24" t="s">
        <v>87</v>
      </c>
      <c r="L56" s="24">
        <f>SUM(H45:H47)</f>
        <v>-261</v>
      </c>
      <c r="M56" s="24">
        <f>SUMIFS(Q$3:Q$42,J$3:J$42,K$54)-INT(COUNTIFS(J$3:J$42,K$54,M$3:M$42,"*gộp*")/2)</f>
        <v>11</v>
      </c>
    </row>
    <row r="57" spans="2:16" x14ac:dyDescent="0.25">
      <c r="K57" s="24" t="s">
        <v>89</v>
      </c>
      <c r="L57" s="24">
        <f>-M57*2</f>
        <v>0</v>
      </c>
      <c r="M57" s="24">
        <f>COUNTIFS(K$3:K$42,K$54,L$3:L$42,A$47)-(COUNTIFS(K$3:K$42,K$54,M$3:M$42,"*gộp*")/2)-COUNTIFS(K$3:K$42,K$54,M$3:M$42,"*đơn trả*")-COUNTIFS(K$3:K$42,K$54,M$3:M$42,"*hàng tỉnh*")</f>
        <v>0</v>
      </c>
    </row>
    <row r="58" spans="2:16" x14ac:dyDescent="0.25">
      <c r="K58" s="31" t="s">
        <v>91</v>
      </c>
    </row>
    <row r="59" spans="2:16" x14ac:dyDescent="0.25">
      <c r="K59" s="30" t="s">
        <v>94</v>
      </c>
      <c r="L59" s="48">
        <v>-6405</v>
      </c>
      <c r="M59" s="48" t="s">
        <v>590</v>
      </c>
    </row>
    <row r="60" spans="2:16" x14ac:dyDescent="0.25">
      <c r="K60" s="50" t="s">
        <v>1162</v>
      </c>
      <c r="L60" s="56">
        <v>1120</v>
      </c>
      <c r="M60" s="56" t="s">
        <v>590</v>
      </c>
    </row>
    <row r="61" spans="2:16" x14ac:dyDescent="0.25">
      <c r="L61" s="33">
        <f>SUBTOTAL(9,L55:L60)</f>
        <v>-1126</v>
      </c>
      <c r="M61" s="33">
        <f>M56</f>
        <v>11</v>
      </c>
    </row>
    <row r="62" spans="2:16" x14ac:dyDescent="0.25">
      <c r="K62" s="28" t="s">
        <v>41</v>
      </c>
      <c r="L62" s="28" t="s">
        <v>80</v>
      </c>
      <c r="M62" s="28" t="s">
        <v>79</v>
      </c>
    </row>
    <row r="63" spans="2:16" x14ac:dyDescent="0.25">
      <c r="K63" s="24" t="s">
        <v>84</v>
      </c>
      <c r="L63" s="24">
        <f>SUMIFS(G$3:G$42,J$3:J$42,K$62)</f>
        <v>9405</v>
      </c>
      <c r="M63" s="24">
        <f>SUMIFS(Q$3:Q$42,J$3:J$42,K$62)-INT(COUNTIFS(J$3:J$42,K$62,M$3:M$42,"*gộp*")/2)</f>
        <v>12</v>
      </c>
    </row>
    <row r="64" spans="2:16" x14ac:dyDescent="0.25">
      <c r="K64" s="24" t="s">
        <v>87</v>
      </c>
      <c r="L64" s="24">
        <f>-SUMIFS(H$3:H$42,J$3:J$42,K$62)+M64*5</f>
        <v>-270</v>
      </c>
      <c r="M64" s="24">
        <f>SUMIFS(Q$3:Q$42,J$3:J$42,K$62)-INT(COUNTIFS(J$3:J$42,K$62,M$3:M$42,"*gộp*")/2)</f>
        <v>12</v>
      </c>
    </row>
    <row r="65" spans="11:13" x14ac:dyDescent="0.25">
      <c r="K65" s="24" t="s">
        <v>89</v>
      </c>
      <c r="L65" s="24">
        <f>-M65*2</f>
        <v>0</v>
      </c>
      <c r="M65" s="24">
        <f>COUNTIFS(K$3:K$42,K$62,L$3:L$42,A$47)-(COUNTIFS(K$3:K$42,K$62,M$3:M$42,"*gộp*")/2)-COUNTIFS(K$3:K$42,K$62,M$3:M$42,"*đơn trả*")-COUNTIFS(K$3:K$42,K$62,M$3:M$42,"*hàng tỉnh*")</f>
        <v>0</v>
      </c>
    </row>
    <row r="66" spans="11:13" x14ac:dyDescent="0.25">
      <c r="K66" s="31" t="s">
        <v>91</v>
      </c>
      <c r="L66" s="31"/>
      <c r="M66" s="31"/>
    </row>
    <row r="67" spans="11:13" x14ac:dyDescent="0.25">
      <c r="K67" s="30" t="s">
        <v>94</v>
      </c>
      <c r="L67" s="48">
        <v>-25</v>
      </c>
      <c r="M67" s="48" t="s">
        <v>590</v>
      </c>
    </row>
    <row r="68" spans="11:13" x14ac:dyDescent="0.25">
      <c r="L68" s="33">
        <f>SUBTOTAL(9,L63:L67)</f>
        <v>9110</v>
      </c>
      <c r="M68" s="33">
        <f>M63</f>
        <v>12</v>
      </c>
    </row>
  </sheetData>
  <autoFilter ref="A2:P42" xr:uid="{00000000-0009-0000-0000-000000000000}">
    <sortState xmlns:xlrd2="http://schemas.microsoft.com/office/spreadsheetml/2017/richdata2" ref="A3:P42">
      <sortCondition ref="J2:J42"/>
    </sortState>
  </autoFilter>
  <mergeCells count="8">
    <mergeCell ref="C52:D52"/>
    <mergeCell ref="C54:D54"/>
    <mergeCell ref="C46:D46"/>
    <mergeCell ref="C47:D47"/>
    <mergeCell ref="C48:D48"/>
    <mergeCell ref="C49:D49"/>
    <mergeCell ref="C50:D50"/>
    <mergeCell ref="C51:D51"/>
  </mergeCells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4811-40FF-42DB-85BC-7499687904EB}">
  <dimension ref="A1:R84"/>
  <sheetViews>
    <sheetView zoomScale="90" zoomScaleNormal="90" workbookViewId="0">
      <selection sqref="A1:XFD1"/>
    </sheetView>
  </sheetViews>
  <sheetFormatPr defaultRowHeight="15" x14ac:dyDescent="0.25"/>
  <cols>
    <col min="1" max="1" width="12.7109375" style="24" customWidth="1"/>
    <col min="2" max="2" width="9" style="24" customWidth="1"/>
    <col min="3" max="3" width="38.42578125" style="24" customWidth="1"/>
    <col min="4" max="4" width="9.85546875" style="24" customWidth="1"/>
    <col min="5" max="5" width="93.28515625" style="24" customWidth="1"/>
    <col min="6" max="6" width="10.71093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2.5703125" style="24" bestFit="1" customWidth="1"/>
    <col min="13" max="13" width="16.28515625" style="24" bestFit="1" customWidth="1"/>
    <col min="14" max="14" width="9.7109375" style="24" customWidth="1"/>
    <col min="15" max="15" width="10.42578125" style="24" customWidth="1"/>
    <col min="16" max="16" width="7.28515625" style="24" bestFit="1" customWidth="1"/>
    <col min="17" max="16384" width="9.140625" style="24"/>
  </cols>
  <sheetData>
    <row r="1" spans="1:18" x14ac:dyDescent="0.25">
      <c r="B1" s="24" t="s">
        <v>1306</v>
      </c>
      <c r="C1" s="24" t="s">
        <v>1307</v>
      </c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/>
      <c r="B3" s="35" t="s">
        <v>26</v>
      </c>
      <c r="C3" s="35" t="s">
        <v>1171</v>
      </c>
      <c r="D3" s="35" t="s">
        <v>1172</v>
      </c>
      <c r="E3" s="35" t="s">
        <v>1173</v>
      </c>
      <c r="F3" s="35" t="s">
        <v>45</v>
      </c>
      <c r="G3" s="36">
        <v>1365</v>
      </c>
      <c r="H3" s="36">
        <v>25</v>
      </c>
      <c r="I3" s="36">
        <f t="shared" ref="I3:I34" si="0">G3-H3</f>
        <v>1340</v>
      </c>
      <c r="J3" s="35" t="s">
        <v>1174</v>
      </c>
      <c r="K3" s="35" t="s">
        <v>31</v>
      </c>
      <c r="L3" s="35" t="s">
        <v>1175</v>
      </c>
      <c r="M3" s="35"/>
      <c r="N3" s="35"/>
      <c r="O3" s="35"/>
      <c r="P3" s="35"/>
      <c r="Q3" s="35">
        <v>1</v>
      </c>
    </row>
    <row r="4" spans="1:18" x14ac:dyDescent="0.25">
      <c r="A4" s="35"/>
      <c r="B4" s="35" t="s">
        <v>26</v>
      </c>
      <c r="C4" s="35" t="s">
        <v>1189</v>
      </c>
      <c r="D4" s="35" t="s">
        <v>1190</v>
      </c>
      <c r="E4" s="35" t="s">
        <v>1191</v>
      </c>
      <c r="F4" s="36">
        <v>9</v>
      </c>
      <c r="G4" s="36">
        <v>770</v>
      </c>
      <c r="H4" s="36">
        <v>30</v>
      </c>
      <c r="I4" s="36">
        <f t="shared" si="0"/>
        <v>740</v>
      </c>
      <c r="J4" s="35" t="s">
        <v>1174</v>
      </c>
      <c r="K4" s="35" t="s">
        <v>31</v>
      </c>
      <c r="L4" s="35" t="s">
        <v>1175</v>
      </c>
      <c r="M4" s="35"/>
      <c r="N4" s="35"/>
      <c r="O4" s="35"/>
      <c r="P4" s="35"/>
      <c r="Q4" s="35">
        <v>1</v>
      </c>
    </row>
    <row r="5" spans="1:18" x14ac:dyDescent="0.25">
      <c r="A5" s="35"/>
      <c r="B5" s="35" t="s">
        <v>26</v>
      </c>
      <c r="C5" s="35" t="s">
        <v>1204</v>
      </c>
      <c r="D5" s="35" t="s">
        <v>1205</v>
      </c>
      <c r="E5" s="35" t="s">
        <v>1206</v>
      </c>
      <c r="F5" s="36">
        <v>6</v>
      </c>
      <c r="G5" s="36">
        <v>865</v>
      </c>
      <c r="H5" s="36">
        <v>25</v>
      </c>
      <c r="I5" s="36">
        <f t="shared" si="0"/>
        <v>840</v>
      </c>
      <c r="J5" s="35" t="s">
        <v>1174</v>
      </c>
      <c r="K5" s="35" t="s">
        <v>31</v>
      </c>
      <c r="L5" s="35" t="s">
        <v>1175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1213</v>
      </c>
      <c r="D6" s="35" t="s">
        <v>1214</v>
      </c>
      <c r="E6" s="35" t="s">
        <v>1215</v>
      </c>
      <c r="F6" s="35" t="s">
        <v>77</v>
      </c>
      <c r="G6" s="36">
        <v>1100</v>
      </c>
      <c r="H6" s="36">
        <v>30</v>
      </c>
      <c r="I6" s="36">
        <f t="shared" si="0"/>
        <v>1070</v>
      </c>
      <c r="J6" s="35" t="s">
        <v>1174</v>
      </c>
      <c r="K6" s="35" t="s">
        <v>31</v>
      </c>
      <c r="L6" s="35" t="s">
        <v>1175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1223</v>
      </c>
      <c r="D7" s="35" t="s">
        <v>1224</v>
      </c>
      <c r="E7" s="35" t="s">
        <v>1225</v>
      </c>
      <c r="F7" s="36">
        <v>8</v>
      </c>
      <c r="G7" s="36">
        <v>1440</v>
      </c>
      <c r="H7" s="36">
        <v>30</v>
      </c>
      <c r="I7" s="36">
        <f t="shared" si="0"/>
        <v>1410</v>
      </c>
      <c r="J7" s="35" t="s">
        <v>1174</v>
      </c>
      <c r="K7" s="35" t="s">
        <v>31</v>
      </c>
      <c r="L7" s="35" t="s">
        <v>1175</v>
      </c>
      <c r="M7" s="35"/>
      <c r="N7" s="35"/>
      <c r="O7" s="35"/>
      <c r="P7" s="35"/>
      <c r="Q7" s="35">
        <v>1</v>
      </c>
    </row>
    <row r="8" spans="1:18" x14ac:dyDescent="0.25">
      <c r="A8" s="35"/>
      <c r="B8" s="35" t="s">
        <v>26</v>
      </c>
      <c r="C8" s="35" t="s">
        <v>1226</v>
      </c>
      <c r="D8" s="35" t="s">
        <v>1227</v>
      </c>
      <c r="E8" s="35" t="s">
        <v>1228</v>
      </c>
      <c r="F8" s="35" t="s">
        <v>77</v>
      </c>
      <c r="G8" s="36">
        <v>820</v>
      </c>
      <c r="H8" s="36">
        <v>30</v>
      </c>
      <c r="I8" s="36">
        <f t="shared" si="0"/>
        <v>790</v>
      </c>
      <c r="J8" s="35" t="s">
        <v>1174</v>
      </c>
      <c r="K8" s="35" t="s">
        <v>31</v>
      </c>
      <c r="L8" s="35" t="s">
        <v>1175</v>
      </c>
      <c r="M8" s="35"/>
      <c r="N8" s="35"/>
      <c r="O8" s="35"/>
      <c r="P8" s="35"/>
      <c r="Q8" s="35">
        <v>1</v>
      </c>
    </row>
    <row r="9" spans="1:18" x14ac:dyDescent="0.25">
      <c r="A9" s="35"/>
      <c r="B9" s="35" t="s">
        <v>26</v>
      </c>
      <c r="C9" s="35" t="s">
        <v>1232</v>
      </c>
      <c r="D9" s="35" t="s">
        <v>1233</v>
      </c>
      <c r="E9" s="35" t="s">
        <v>1234</v>
      </c>
      <c r="F9" s="35" t="s">
        <v>77</v>
      </c>
      <c r="G9" s="36">
        <v>1100</v>
      </c>
      <c r="H9" s="36">
        <v>30</v>
      </c>
      <c r="I9" s="36">
        <f t="shared" si="0"/>
        <v>1070</v>
      </c>
      <c r="J9" s="35" t="s">
        <v>1174</v>
      </c>
      <c r="K9" s="35" t="s">
        <v>31</v>
      </c>
      <c r="L9" s="35" t="s">
        <v>1175</v>
      </c>
      <c r="M9" s="35"/>
      <c r="N9" s="35"/>
      <c r="O9" s="35"/>
      <c r="P9" s="35"/>
      <c r="Q9" s="35">
        <v>1</v>
      </c>
    </row>
    <row r="10" spans="1:18" x14ac:dyDescent="0.25">
      <c r="A10" s="35"/>
      <c r="B10" s="35" t="s">
        <v>26</v>
      </c>
      <c r="C10" s="35" t="s">
        <v>1246</v>
      </c>
      <c r="D10" s="35" t="s">
        <v>1247</v>
      </c>
      <c r="E10" s="35" t="s">
        <v>1248</v>
      </c>
      <c r="F10" s="36">
        <v>6</v>
      </c>
      <c r="G10" s="36">
        <v>865</v>
      </c>
      <c r="H10" s="36">
        <v>25</v>
      </c>
      <c r="I10" s="36">
        <f t="shared" si="0"/>
        <v>840</v>
      </c>
      <c r="J10" s="35" t="s">
        <v>1174</v>
      </c>
      <c r="K10" s="35" t="s">
        <v>31</v>
      </c>
      <c r="L10" s="35" t="s">
        <v>1175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1265</v>
      </c>
      <c r="D11" s="35" t="s">
        <v>1266</v>
      </c>
      <c r="E11" s="35" t="s">
        <v>1267</v>
      </c>
      <c r="F11" s="35" t="s">
        <v>77</v>
      </c>
      <c r="G11" s="36">
        <v>1100</v>
      </c>
      <c r="H11" s="36">
        <v>30</v>
      </c>
      <c r="I11" s="36">
        <f t="shared" si="0"/>
        <v>1070</v>
      </c>
      <c r="J11" s="35" t="s">
        <v>1174</v>
      </c>
      <c r="K11" s="35" t="s">
        <v>31</v>
      </c>
      <c r="L11" s="35" t="s">
        <v>1175</v>
      </c>
      <c r="M11" s="35"/>
      <c r="N11" s="35"/>
      <c r="O11" s="35"/>
      <c r="P11" s="35"/>
      <c r="Q11" s="35">
        <v>1</v>
      </c>
    </row>
    <row r="12" spans="1:18" x14ac:dyDescent="0.25">
      <c r="A12" s="35"/>
      <c r="B12" s="35" t="s">
        <v>26</v>
      </c>
      <c r="C12" s="35" t="s">
        <v>828</v>
      </c>
      <c r="D12" s="35" t="s">
        <v>1268</v>
      </c>
      <c r="E12" s="35" t="s">
        <v>830</v>
      </c>
      <c r="F12" s="36">
        <v>9</v>
      </c>
      <c r="G12" s="36">
        <v>320</v>
      </c>
      <c r="H12" s="36">
        <v>30</v>
      </c>
      <c r="I12" s="36">
        <f t="shared" si="0"/>
        <v>290</v>
      </c>
      <c r="J12" s="35" t="s">
        <v>1174</v>
      </c>
      <c r="K12" s="35" t="s">
        <v>31</v>
      </c>
      <c r="L12" s="35" t="s">
        <v>1175</v>
      </c>
      <c r="M12" s="35"/>
      <c r="N12" s="35"/>
      <c r="O12" s="35"/>
      <c r="P12" s="35"/>
      <c r="Q12" s="35">
        <v>1</v>
      </c>
    </row>
    <row r="13" spans="1:18" x14ac:dyDescent="0.25">
      <c r="A13" s="35"/>
      <c r="B13" s="35" t="s">
        <v>26</v>
      </c>
      <c r="C13" s="35" t="s">
        <v>822</v>
      </c>
      <c r="D13" s="35" t="s">
        <v>1283</v>
      </c>
      <c r="E13" s="35" t="s">
        <v>824</v>
      </c>
      <c r="F13" s="35" t="s">
        <v>45</v>
      </c>
      <c r="G13" s="36">
        <v>25</v>
      </c>
      <c r="H13" s="36">
        <v>25</v>
      </c>
      <c r="I13" s="36">
        <f t="shared" si="0"/>
        <v>0</v>
      </c>
      <c r="J13" s="35" t="s">
        <v>1174</v>
      </c>
      <c r="K13" s="35" t="s">
        <v>31</v>
      </c>
      <c r="L13" s="35" t="s">
        <v>1175</v>
      </c>
      <c r="M13" s="35"/>
      <c r="N13" s="35"/>
      <c r="O13" s="35"/>
      <c r="P13" s="35"/>
      <c r="Q13" s="35">
        <v>1</v>
      </c>
    </row>
    <row r="14" spans="1:18" x14ac:dyDescent="0.25">
      <c r="A14" s="35"/>
      <c r="B14" s="35" t="s">
        <v>26</v>
      </c>
      <c r="C14" s="35" t="s">
        <v>1287</v>
      </c>
      <c r="D14" s="35" t="s">
        <v>1288</v>
      </c>
      <c r="E14" s="35" t="s">
        <v>68</v>
      </c>
      <c r="F14" s="36">
        <v>6</v>
      </c>
      <c r="G14" s="36">
        <v>0</v>
      </c>
      <c r="H14" s="36">
        <v>25</v>
      </c>
      <c r="I14" s="36">
        <f t="shared" si="0"/>
        <v>-25</v>
      </c>
      <c r="J14" s="35" t="s">
        <v>1174</v>
      </c>
      <c r="K14" s="35" t="s">
        <v>31</v>
      </c>
      <c r="L14" s="35" t="s">
        <v>1175</v>
      </c>
      <c r="M14" s="35"/>
      <c r="N14" s="35"/>
      <c r="O14" s="35"/>
      <c r="P14" s="35"/>
      <c r="Q14" s="35">
        <v>1</v>
      </c>
      <c r="R14" s="25">
        <f>H14</f>
        <v>25</v>
      </c>
    </row>
    <row r="15" spans="1:18" x14ac:dyDescent="0.25">
      <c r="A15" s="35"/>
      <c r="B15" s="35" t="s">
        <v>26</v>
      </c>
      <c r="C15" s="35" t="s">
        <v>1289</v>
      </c>
      <c r="D15" s="35" t="s">
        <v>1290</v>
      </c>
      <c r="E15" s="35" t="s">
        <v>1291</v>
      </c>
      <c r="F15" s="35" t="s">
        <v>45</v>
      </c>
      <c r="G15" s="36">
        <v>795</v>
      </c>
      <c r="H15" s="36">
        <v>25</v>
      </c>
      <c r="I15" s="36">
        <f t="shared" si="0"/>
        <v>770</v>
      </c>
      <c r="J15" s="35" t="s">
        <v>1174</v>
      </c>
      <c r="K15" s="35" t="s">
        <v>31</v>
      </c>
      <c r="L15" s="35" t="s">
        <v>1175</v>
      </c>
      <c r="M15" s="35"/>
      <c r="N15" s="35"/>
      <c r="O15" s="35"/>
      <c r="P15" s="35"/>
      <c r="Q15" s="35">
        <v>1</v>
      </c>
    </row>
    <row r="16" spans="1:18" s="41" customFormat="1" x14ac:dyDescent="0.25">
      <c r="A16" s="39"/>
      <c r="B16" s="39" t="s">
        <v>26</v>
      </c>
      <c r="C16" s="39" t="s">
        <v>1292</v>
      </c>
      <c r="D16" s="39" t="s">
        <v>1293</v>
      </c>
      <c r="E16" s="39" t="s">
        <v>1294</v>
      </c>
      <c r="F16" s="39" t="s">
        <v>45</v>
      </c>
      <c r="G16" s="40">
        <v>0</v>
      </c>
      <c r="H16" s="40">
        <v>25</v>
      </c>
      <c r="I16" s="40">
        <f t="shared" si="0"/>
        <v>-25</v>
      </c>
      <c r="J16" s="39" t="s">
        <v>1174</v>
      </c>
      <c r="K16" s="39" t="s">
        <v>31</v>
      </c>
      <c r="L16" s="39" t="s">
        <v>1175</v>
      </c>
      <c r="M16" s="39" t="s">
        <v>37</v>
      </c>
      <c r="N16" s="39"/>
      <c r="O16" s="39"/>
      <c r="P16" s="39"/>
      <c r="Q16" s="39">
        <v>1</v>
      </c>
      <c r="R16" s="42">
        <f t="shared" ref="R16:R18" si="1">H16</f>
        <v>25</v>
      </c>
    </row>
    <row r="17" spans="1:18" x14ac:dyDescent="0.25">
      <c r="A17" s="35" t="s">
        <v>66</v>
      </c>
      <c r="B17" s="35" t="s">
        <v>26</v>
      </c>
      <c r="C17" s="35" t="s">
        <v>75</v>
      </c>
      <c r="D17" s="35"/>
      <c r="E17" s="35" t="s">
        <v>76</v>
      </c>
      <c r="F17" s="35" t="s">
        <v>77</v>
      </c>
      <c r="G17" s="36">
        <v>0</v>
      </c>
      <c r="H17" s="36">
        <v>35</v>
      </c>
      <c r="I17" s="36">
        <f t="shared" si="0"/>
        <v>-35</v>
      </c>
      <c r="J17" s="35" t="s">
        <v>1174</v>
      </c>
      <c r="K17" s="35" t="s">
        <v>31</v>
      </c>
      <c r="L17" s="35" t="s">
        <v>1175</v>
      </c>
      <c r="M17" s="35"/>
      <c r="N17" s="35"/>
      <c r="O17" s="35"/>
      <c r="P17" s="35"/>
      <c r="Q17" s="35">
        <v>1</v>
      </c>
      <c r="R17" s="25">
        <f t="shared" si="1"/>
        <v>35</v>
      </c>
    </row>
    <row r="18" spans="1:18" x14ac:dyDescent="0.25">
      <c r="A18" s="35" t="s">
        <v>66</v>
      </c>
      <c r="B18" s="35" t="s">
        <v>26</v>
      </c>
      <c r="C18" s="35" t="s">
        <v>1295</v>
      </c>
      <c r="D18" s="35"/>
      <c r="E18" s="35" t="s">
        <v>1296</v>
      </c>
      <c r="F18" s="35" t="s">
        <v>77</v>
      </c>
      <c r="G18" s="36">
        <v>0</v>
      </c>
      <c r="H18" s="36">
        <v>35</v>
      </c>
      <c r="I18" s="36">
        <f t="shared" si="0"/>
        <v>-35</v>
      </c>
      <c r="J18" s="35" t="s">
        <v>1174</v>
      </c>
      <c r="K18" s="35" t="s">
        <v>31</v>
      </c>
      <c r="L18" s="35" t="s">
        <v>1175</v>
      </c>
      <c r="M18" s="35"/>
      <c r="N18" s="35"/>
      <c r="O18" s="35"/>
      <c r="P18" s="35"/>
      <c r="Q18" s="35">
        <v>1</v>
      </c>
      <c r="R18" s="25">
        <f t="shared" si="1"/>
        <v>35</v>
      </c>
    </row>
    <row r="19" spans="1:18" x14ac:dyDescent="0.25">
      <c r="A19" s="35"/>
      <c r="B19" s="35" t="s">
        <v>26</v>
      </c>
      <c r="C19" s="35" t="s">
        <v>614</v>
      </c>
      <c r="D19" s="35" t="s">
        <v>1182</v>
      </c>
      <c r="E19" s="35" t="s">
        <v>616</v>
      </c>
      <c r="F19" s="35" t="s">
        <v>58</v>
      </c>
      <c r="G19" s="36">
        <v>360</v>
      </c>
      <c r="H19" s="36">
        <v>20</v>
      </c>
      <c r="I19" s="36">
        <f t="shared" si="0"/>
        <v>340</v>
      </c>
      <c r="J19" s="35" t="s">
        <v>31</v>
      </c>
      <c r="K19" s="35" t="s">
        <v>31</v>
      </c>
      <c r="L19" s="35" t="s">
        <v>1175</v>
      </c>
      <c r="M19" s="35"/>
      <c r="N19" s="35"/>
      <c r="O19" s="35"/>
      <c r="P19" s="35"/>
      <c r="Q19" s="35">
        <v>1</v>
      </c>
    </row>
    <row r="20" spans="1:18" x14ac:dyDescent="0.25">
      <c r="A20" s="35"/>
      <c r="B20" s="35" t="s">
        <v>26</v>
      </c>
      <c r="C20" s="35" t="s">
        <v>1183</v>
      </c>
      <c r="D20" s="35" t="s">
        <v>1184</v>
      </c>
      <c r="E20" s="35" t="s">
        <v>1185</v>
      </c>
      <c r="F20" s="35" t="s">
        <v>58</v>
      </c>
      <c r="G20" s="36">
        <v>800</v>
      </c>
      <c r="H20" s="36">
        <v>20</v>
      </c>
      <c r="I20" s="36">
        <f t="shared" si="0"/>
        <v>780</v>
      </c>
      <c r="J20" s="35" t="s">
        <v>31</v>
      </c>
      <c r="K20" s="35" t="s">
        <v>31</v>
      </c>
      <c r="L20" s="35" t="s">
        <v>1175</v>
      </c>
      <c r="M20" s="35"/>
      <c r="N20" s="35"/>
      <c r="O20" s="35"/>
      <c r="P20" s="35"/>
      <c r="Q20" s="35">
        <v>1</v>
      </c>
    </row>
    <row r="21" spans="1:18" x14ac:dyDescent="0.25">
      <c r="A21" s="35"/>
      <c r="B21" s="35" t="s">
        <v>26</v>
      </c>
      <c r="C21" s="35" t="s">
        <v>614</v>
      </c>
      <c r="D21" s="35" t="s">
        <v>1197</v>
      </c>
      <c r="E21" s="35" t="s">
        <v>616</v>
      </c>
      <c r="F21" s="35" t="s">
        <v>58</v>
      </c>
      <c r="G21" s="36">
        <v>720</v>
      </c>
      <c r="H21" s="36">
        <v>20</v>
      </c>
      <c r="I21" s="36">
        <f t="shared" si="0"/>
        <v>700</v>
      </c>
      <c r="J21" s="35" t="s">
        <v>31</v>
      </c>
      <c r="K21" s="35" t="s">
        <v>31</v>
      </c>
      <c r="L21" s="35" t="s">
        <v>1175</v>
      </c>
      <c r="M21" s="35"/>
      <c r="N21" s="35"/>
      <c r="O21" s="35"/>
      <c r="P21" s="35"/>
      <c r="Q21" s="35">
        <v>1</v>
      </c>
    </row>
    <row r="22" spans="1:18" x14ac:dyDescent="0.25">
      <c r="A22" s="35"/>
      <c r="B22" s="35" t="s">
        <v>26</v>
      </c>
      <c r="C22" s="35" t="s">
        <v>1210</v>
      </c>
      <c r="D22" s="35" t="s">
        <v>1211</v>
      </c>
      <c r="E22" s="35" t="s">
        <v>1212</v>
      </c>
      <c r="F22" s="35" t="s">
        <v>128</v>
      </c>
      <c r="G22" s="36">
        <v>1070</v>
      </c>
      <c r="H22" s="36">
        <v>30</v>
      </c>
      <c r="I22" s="36">
        <f t="shared" si="0"/>
        <v>1040</v>
      </c>
      <c r="J22" s="35" t="s">
        <v>31</v>
      </c>
      <c r="K22" s="35" t="s">
        <v>31</v>
      </c>
      <c r="L22" s="35" t="s">
        <v>1175</v>
      </c>
      <c r="M22" s="35"/>
      <c r="N22" s="35"/>
      <c r="O22" s="35"/>
      <c r="P22" s="35"/>
      <c r="Q22" s="35">
        <v>1</v>
      </c>
    </row>
    <row r="23" spans="1:18" x14ac:dyDescent="0.25">
      <c r="A23" s="35"/>
      <c r="B23" s="35" t="s">
        <v>26</v>
      </c>
      <c r="C23" s="35" t="s">
        <v>1218</v>
      </c>
      <c r="D23" s="35" t="s">
        <v>1219</v>
      </c>
      <c r="E23" s="35" t="s">
        <v>1220</v>
      </c>
      <c r="F23" s="35" t="s">
        <v>36</v>
      </c>
      <c r="G23" s="36">
        <v>0</v>
      </c>
      <c r="H23" s="36">
        <v>45</v>
      </c>
      <c r="I23" s="36">
        <f t="shared" si="0"/>
        <v>-45</v>
      </c>
      <c r="J23" s="35" t="s">
        <v>31</v>
      </c>
      <c r="K23" s="35" t="s">
        <v>31</v>
      </c>
      <c r="L23" s="35" t="s">
        <v>1175</v>
      </c>
      <c r="M23" s="35"/>
      <c r="N23" s="35"/>
      <c r="O23" s="35"/>
      <c r="P23" s="35"/>
      <c r="Q23" s="35">
        <v>1</v>
      </c>
      <c r="R23" s="25">
        <f>H23</f>
        <v>45</v>
      </c>
    </row>
    <row r="24" spans="1:18" x14ac:dyDescent="0.25">
      <c r="A24" s="35"/>
      <c r="B24" s="35" t="s">
        <v>26</v>
      </c>
      <c r="C24" s="35" t="s">
        <v>1229</v>
      </c>
      <c r="D24" s="35" t="s">
        <v>1230</v>
      </c>
      <c r="E24" s="35" t="s">
        <v>1231</v>
      </c>
      <c r="F24" s="35" t="s">
        <v>58</v>
      </c>
      <c r="G24" s="36">
        <v>450</v>
      </c>
      <c r="H24" s="36">
        <v>20</v>
      </c>
      <c r="I24" s="36">
        <f t="shared" si="0"/>
        <v>430</v>
      </c>
      <c r="J24" s="35" t="s">
        <v>31</v>
      </c>
      <c r="K24" s="35" t="s">
        <v>31</v>
      </c>
      <c r="L24" s="35" t="s">
        <v>1175</v>
      </c>
      <c r="M24" s="35"/>
      <c r="N24" s="35"/>
      <c r="O24" s="35"/>
      <c r="P24" s="35"/>
      <c r="Q24" s="35">
        <v>1</v>
      </c>
    </row>
    <row r="25" spans="1:18" x14ac:dyDescent="0.25">
      <c r="A25" s="35"/>
      <c r="B25" s="35" t="s">
        <v>26</v>
      </c>
      <c r="C25" s="35" t="s">
        <v>951</v>
      </c>
      <c r="D25" s="35" t="s">
        <v>1244</v>
      </c>
      <c r="E25" s="35" t="s">
        <v>100</v>
      </c>
      <c r="F25" s="35" t="s">
        <v>101</v>
      </c>
      <c r="G25" s="36">
        <v>0</v>
      </c>
      <c r="H25" s="36">
        <v>25</v>
      </c>
      <c r="I25" s="36">
        <f t="shared" si="0"/>
        <v>-25</v>
      </c>
      <c r="J25" s="35" t="s">
        <v>31</v>
      </c>
      <c r="K25" s="35" t="s">
        <v>31</v>
      </c>
      <c r="L25" s="35" t="s">
        <v>1175</v>
      </c>
      <c r="M25" s="38" t="s">
        <v>1245</v>
      </c>
      <c r="N25" s="35"/>
      <c r="O25" s="35"/>
      <c r="P25" s="35"/>
      <c r="Q25" s="35">
        <v>1</v>
      </c>
      <c r="R25" s="25">
        <f t="shared" ref="R25:R26" si="2">H25</f>
        <v>25</v>
      </c>
    </row>
    <row r="26" spans="1:18" x14ac:dyDescent="0.25">
      <c r="A26" s="35"/>
      <c r="B26" s="35" t="s">
        <v>26</v>
      </c>
      <c r="C26" s="35" t="s">
        <v>1251</v>
      </c>
      <c r="D26" s="35" t="s">
        <v>1252</v>
      </c>
      <c r="E26" s="35" t="s">
        <v>1253</v>
      </c>
      <c r="F26" s="35" t="s">
        <v>58</v>
      </c>
      <c r="G26" s="36">
        <v>0</v>
      </c>
      <c r="H26" s="36">
        <v>20</v>
      </c>
      <c r="I26" s="36">
        <f t="shared" si="0"/>
        <v>-20</v>
      </c>
      <c r="J26" s="35" t="s">
        <v>31</v>
      </c>
      <c r="K26" s="35" t="s">
        <v>31</v>
      </c>
      <c r="L26" s="35" t="s">
        <v>1175</v>
      </c>
      <c r="M26" s="35"/>
      <c r="N26" s="35"/>
      <c r="O26" s="35"/>
      <c r="P26" s="35"/>
      <c r="Q26" s="35">
        <v>1</v>
      </c>
      <c r="R26" s="25">
        <f t="shared" si="2"/>
        <v>20</v>
      </c>
    </row>
    <row r="27" spans="1:18" x14ac:dyDescent="0.25">
      <c r="A27" s="35"/>
      <c r="B27" s="35" t="s">
        <v>26</v>
      </c>
      <c r="C27" s="35" t="s">
        <v>1257</v>
      </c>
      <c r="D27" s="35" t="s">
        <v>1258</v>
      </c>
      <c r="E27" s="35" t="s">
        <v>1259</v>
      </c>
      <c r="F27" s="36">
        <v>12</v>
      </c>
      <c r="G27" s="36">
        <v>2360</v>
      </c>
      <c r="H27" s="36">
        <v>30</v>
      </c>
      <c r="I27" s="36">
        <f t="shared" si="0"/>
        <v>2330</v>
      </c>
      <c r="J27" s="35" t="s">
        <v>31</v>
      </c>
      <c r="K27" s="35" t="s">
        <v>31</v>
      </c>
      <c r="L27" s="35" t="s">
        <v>1175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1284</v>
      </c>
      <c r="D28" s="35" t="s">
        <v>1285</v>
      </c>
      <c r="E28" s="35" t="s">
        <v>1286</v>
      </c>
      <c r="F28" s="36">
        <v>12</v>
      </c>
      <c r="G28" s="36">
        <v>760</v>
      </c>
      <c r="H28" s="36">
        <v>30</v>
      </c>
      <c r="I28" s="36">
        <f t="shared" si="0"/>
        <v>730</v>
      </c>
      <c r="J28" s="35" t="s">
        <v>31</v>
      </c>
      <c r="K28" s="35" t="s">
        <v>31</v>
      </c>
      <c r="L28" s="35" t="s">
        <v>1175</v>
      </c>
      <c r="M28" s="35"/>
      <c r="N28" s="35"/>
      <c r="O28" s="35"/>
      <c r="P28" s="35"/>
      <c r="Q28" s="35">
        <v>1</v>
      </c>
    </row>
    <row r="29" spans="1:18" x14ac:dyDescent="0.25">
      <c r="A29" s="35" t="s">
        <v>66</v>
      </c>
      <c r="B29" s="35" t="s">
        <v>26</v>
      </c>
      <c r="C29" s="35" t="s">
        <v>1053</v>
      </c>
      <c r="D29" s="35"/>
      <c r="E29" s="35" t="s">
        <v>1054</v>
      </c>
      <c r="F29" s="35" t="s">
        <v>36</v>
      </c>
      <c r="G29" s="36">
        <v>11890</v>
      </c>
      <c r="H29" s="36">
        <v>30</v>
      </c>
      <c r="I29" s="36">
        <f t="shared" si="0"/>
        <v>11860</v>
      </c>
      <c r="J29" s="35" t="s">
        <v>31</v>
      </c>
      <c r="K29" s="35" t="s">
        <v>31</v>
      </c>
      <c r="L29" s="35" t="s">
        <v>1175</v>
      </c>
      <c r="M29" s="35"/>
      <c r="N29" s="35"/>
      <c r="O29" s="35"/>
      <c r="P29" s="35"/>
      <c r="Q29" s="35">
        <v>1</v>
      </c>
    </row>
    <row r="30" spans="1:18" x14ac:dyDescent="0.25">
      <c r="A30" s="35" t="s">
        <v>66</v>
      </c>
      <c r="B30" s="35" t="s">
        <v>26</v>
      </c>
      <c r="C30" s="35" t="s">
        <v>1299</v>
      </c>
      <c r="D30" s="35"/>
      <c r="E30" s="35" t="s">
        <v>1300</v>
      </c>
      <c r="F30" s="35" t="s">
        <v>36</v>
      </c>
      <c r="G30" s="36">
        <v>0</v>
      </c>
      <c r="H30" s="36">
        <v>30</v>
      </c>
      <c r="I30" s="36">
        <f t="shared" si="0"/>
        <v>-30</v>
      </c>
      <c r="J30" s="35" t="s">
        <v>31</v>
      </c>
      <c r="K30" s="35" t="s">
        <v>31</v>
      </c>
      <c r="L30" s="35" t="s">
        <v>1175</v>
      </c>
      <c r="M30" s="35"/>
      <c r="N30" s="35"/>
      <c r="O30" s="35"/>
      <c r="P30" s="35"/>
      <c r="Q30" s="35">
        <v>1</v>
      </c>
      <c r="R30" s="25">
        <f>H30</f>
        <v>30</v>
      </c>
    </row>
    <row r="31" spans="1:18" x14ac:dyDescent="0.25">
      <c r="A31" s="35"/>
      <c r="B31" s="35" t="s">
        <v>26</v>
      </c>
      <c r="C31" s="35" t="s">
        <v>1176</v>
      </c>
      <c r="D31" s="35" t="s">
        <v>1177</v>
      </c>
      <c r="E31" s="35" t="s">
        <v>1178</v>
      </c>
      <c r="F31" s="36">
        <v>1</v>
      </c>
      <c r="G31" s="36">
        <v>515</v>
      </c>
      <c r="H31" s="36">
        <v>25</v>
      </c>
      <c r="I31" s="36">
        <f t="shared" si="0"/>
        <v>490</v>
      </c>
      <c r="J31" s="35" t="s">
        <v>41</v>
      </c>
      <c r="K31" s="35" t="s">
        <v>31</v>
      </c>
      <c r="L31" s="35" t="s">
        <v>1175</v>
      </c>
      <c r="M31" s="35"/>
      <c r="N31" s="35"/>
      <c r="O31" s="35"/>
      <c r="P31" s="35"/>
      <c r="Q31" s="35">
        <v>1</v>
      </c>
    </row>
    <row r="32" spans="1:18" x14ac:dyDescent="0.25">
      <c r="A32" s="35"/>
      <c r="B32" s="35" t="s">
        <v>26</v>
      </c>
      <c r="C32" s="35" t="s">
        <v>1179</v>
      </c>
      <c r="D32" s="35" t="s">
        <v>1180</v>
      </c>
      <c r="E32" s="35" t="s">
        <v>1181</v>
      </c>
      <c r="F32" s="35" t="s">
        <v>155</v>
      </c>
      <c r="G32" s="36">
        <v>200</v>
      </c>
      <c r="H32" s="36">
        <v>20</v>
      </c>
      <c r="I32" s="36">
        <f t="shared" si="0"/>
        <v>180</v>
      </c>
      <c r="J32" s="35" t="s">
        <v>41</v>
      </c>
      <c r="K32" s="35" t="s">
        <v>31</v>
      </c>
      <c r="L32" s="35" t="s">
        <v>1175</v>
      </c>
      <c r="M32" s="35"/>
      <c r="N32" s="35"/>
      <c r="O32" s="35"/>
      <c r="P32" s="35"/>
      <c r="Q32" s="35">
        <v>1</v>
      </c>
    </row>
    <row r="33" spans="1:18" x14ac:dyDescent="0.25">
      <c r="A33" s="35"/>
      <c r="B33" s="35" t="s">
        <v>26</v>
      </c>
      <c r="C33" s="35" t="s">
        <v>1186</v>
      </c>
      <c r="D33" s="35" t="s">
        <v>1187</v>
      </c>
      <c r="E33" s="35" t="s">
        <v>1188</v>
      </c>
      <c r="F33" s="36">
        <v>7</v>
      </c>
      <c r="G33" s="36">
        <v>810</v>
      </c>
      <c r="H33" s="36">
        <v>30</v>
      </c>
      <c r="I33" s="36">
        <f t="shared" si="0"/>
        <v>780</v>
      </c>
      <c r="J33" s="35" t="s">
        <v>41</v>
      </c>
      <c r="K33" s="35" t="s">
        <v>31</v>
      </c>
      <c r="L33" s="35" t="s">
        <v>1175</v>
      </c>
      <c r="M33" s="35"/>
      <c r="N33" s="35"/>
      <c r="O33" s="35"/>
      <c r="P33" s="35"/>
      <c r="Q33" s="35">
        <v>1</v>
      </c>
    </row>
    <row r="34" spans="1:18" x14ac:dyDescent="0.25">
      <c r="A34" s="35"/>
      <c r="B34" s="35" t="s">
        <v>26</v>
      </c>
      <c r="C34" s="35" t="s">
        <v>859</v>
      </c>
      <c r="D34" s="35" t="s">
        <v>1192</v>
      </c>
      <c r="E34" s="35" t="s">
        <v>1193</v>
      </c>
      <c r="F34" s="36">
        <v>4</v>
      </c>
      <c r="G34" s="36">
        <v>1155</v>
      </c>
      <c r="H34" s="36">
        <v>25</v>
      </c>
      <c r="I34" s="36">
        <f t="shared" si="0"/>
        <v>1130</v>
      </c>
      <c r="J34" s="35" t="s">
        <v>41</v>
      </c>
      <c r="K34" s="35" t="s">
        <v>31</v>
      </c>
      <c r="L34" s="35" t="s">
        <v>1175</v>
      </c>
      <c r="M34" s="35"/>
      <c r="N34" s="35"/>
      <c r="O34" s="35"/>
      <c r="P34" s="35"/>
      <c r="Q34" s="35">
        <v>1</v>
      </c>
    </row>
    <row r="35" spans="1:18" x14ac:dyDescent="0.25">
      <c r="A35" s="35"/>
      <c r="B35" s="35" t="s">
        <v>26</v>
      </c>
      <c r="C35" s="35" t="s">
        <v>1194</v>
      </c>
      <c r="D35" s="35" t="s">
        <v>1195</v>
      </c>
      <c r="E35" s="35" t="s">
        <v>1196</v>
      </c>
      <c r="F35" s="36">
        <v>3</v>
      </c>
      <c r="G35" s="36">
        <v>905</v>
      </c>
      <c r="H35" s="36">
        <v>25</v>
      </c>
      <c r="I35" s="36">
        <f t="shared" ref="I35:I58" si="3">G35-H35</f>
        <v>880</v>
      </c>
      <c r="J35" s="35" t="s">
        <v>41</v>
      </c>
      <c r="K35" s="35" t="s">
        <v>31</v>
      </c>
      <c r="L35" s="35" t="s">
        <v>1175</v>
      </c>
      <c r="M35" s="35"/>
      <c r="N35" s="35"/>
      <c r="O35" s="35"/>
      <c r="P35" s="35"/>
      <c r="Q35" s="35">
        <v>1</v>
      </c>
    </row>
    <row r="36" spans="1:18" x14ac:dyDescent="0.25">
      <c r="A36" s="35"/>
      <c r="B36" s="35" t="s">
        <v>26</v>
      </c>
      <c r="C36" s="35" t="s">
        <v>1198</v>
      </c>
      <c r="D36" s="35" t="s">
        <v>1199</v>
      </c>
      <c r="E36" s="35" t="s">
        <v>1200</v>
      </c>
      <c r="F36" s="36">
        <v>1</v>
      </c>
      <c r="G36" s="36">
        <v>415</v>
      </c>
      <c r="H36" s="36">
        <v>25</v>
      </c>
      <c r="I36" s="36">
        <f t="shared" si="3"/>
        <v>390</v>
      </c>
      <c r="J36" s="35" t="s">
        <v>41</v>
      </c>
      <c r="K36" s="35" t="s">
        <v>31</v>
      </c>
      <c r="L36" s="35" t="s">
        <v>1175</v>
      </c>
      <c r="M36" s="35"/>
      <c r="N36" s="35"/>
      <c r="O36" s="35"/>
      <c r="P36" s="35"/>
      <c r="Q36" s="35">
        <v>1</v>
      </c>
    </row>
    <row r="37" spans="1:18" x14ac:dyDescent="0.25">
      <c r="A37" s="35"/>
      <c r="B37" s="35" t="s">
        <v>26</v>
      </c>
      <c r="C37" s="35" t="s">
        <v>1201</v>
      </c>
      <c r="D37" s="35" t="s">
        <v>1202</v>
      </c>
      <c r="E37" s="35" t="s">
        <v>1203</v>
      </c>
      <c r="F37" s="36">
        <v>5</v>
      </c>
      <c r="G37" s="36">
        <v>815</v>
      </c>
      <c r="H37" s="36">
        <v>25</v>
      </c>
      <c r="I37" s="36">
        <f t="shared" si="3"/>
        <v>790</v>
      </c>
      <c r="J37" s="35" t="s">
        <v>41</v>
      </c>
      <c r="K37" s="35" t="s">
        <v>31</v>
      </c>
      <c r="L37" s="35" t="s">
        <v>1175</v>
      </c>
      <c r="M37" s="35"/>
      <c r="N37" s="35"/>
      <c r="O37" s="35"/>
      <c r="P37" s="35"/>
      <c r="Q37" s="35">
        <v>1</v>
      </c>
    </row>
    <row r="38" spans="1:18" x14ac:dyDescent="0.25">
      <c r="A38" s="35"/>
      <c r="B38" s="35" t="s">
        <v>26</v>
      </c>
      <c r="C38" s="35" t="s">
        <v>1207</v>
      </c>
      <c r="D38" s="35" t="s">
        <v>1208</v>
      </c>
      <c r="E38" s="35" t="s">
        <v>1209</v>
      </c>
      <c r="F38" s="35" t="s">
        <v>155</v>
      </c>
      <c r="G38" s="36">
        <v>320</v>
      </c>
      <c r="H38" s="36">
        <v>20</v>
      </c>
      <c r="I38" s="36">
        <f t="shared" si="3"/>
        <v>300</v>
      </c>
      <c r="J38" s="35" t="s">
        <v>41</v>
      </c>
      <c r="K38" s="35" t="s">
        <v>31</v>
      </c>
      <c r="L38" s="35" t="s">
        <v>1175</v>
      </c>
      <c r="M38" s="35"/>
      <c r="N38" s="35"/>
      <c r="O38" s="35"/>
      <c r="P38" s="35"/>
      <c r="Q38" s="35">
        <v>1</v>
      </c>
    </row>
    <row r="39" spans="1:18" x14ac:dyDescent="0.25">
      <c r="A39" s="35"/>
      <c r="B39" s="35" t="s">
        <v>26</v>
      </c>
      <c r="C39" s="35" t="s">
        <v>1002</v>
      </c>
      <c r="D39" s="35" t="s">
        <v>1221</v>
      </c>
      <c r="E39" s="35" t="s">
        <v>1222</v>
      </c>
      <c r="F39" s="36">
        <v>7</v>
      </c>
      <c r="G39" s="36">
        <v>1230</v>
      </c>
      <c r="H39" s="36">
        <v>30</v>
      </c>
      <c r="I39" s="36">
        <f t="shared" si="3"/>
        <v>1200</v>
      </c>
      <c r="J39" s="35" t="s">
        <v>41</v>
      </c>
      <c r="K39" s="35" t="s">
        <v>31</v>
      </c>
      <c r="L39" s="35" t="s">
        <v>1175</v>
      </c>
      <c r="M39" s="35"/>
      <c r="N39" s="35"/>
      <c r="O39" s="35"/>
      <c r="P39" s="35"/>
      <c r="Q39" s="35">
        <v>1</v>
      </c>
    </row>
    <row r="40" spans="1:18" x14ac:dyDescent="0.25">
      <c r="A40" s="35"/>
      <c r="B40" s="35" t="s">
        <v>26</v>
      </c>
      <c r="C40" s="35" t="s">
        <v>1235</v>
      </c>
      <c r="D40" s="35" t="s">
        <v>1236</v>
      </c>
      <c r="E40" s="35" t="s">
        <v>1237</v>
      </c>
      <c r="F40" s="36">
        <v>4</v>
      </c>
      <c r="G40" s="36">
        <v>275</v>
      </c>
      <c r="H40" s="36">
        <v>25</v>
      </c>
      <c r="I40" s="36">
        <f t="shared" si="3"/>
        <v>250</v>
      </c>
      <c r="J40" s="35" t="s">
        <v>41</v>
      </c>
      <c r="K40" s="35" t="s">
        <v>31</v>
      </c>
      <c r="L40" s="35" t="s">
        <v>1175</v>
      </c>
      <c r="M40" s="35"/>
      <c r="N40" s="35"/>
      <c r="O40" s="35"/>
      <c r="P40" s="35"/>
      <c r="Q40" s="35">
        <v>1</v>
      </c>
    </row>
    <row r="41" spans="1:18" x14ac:dyDescent="0.25">
      <c r="A41" s="35"/>
      <c r="B41" s="35" t="s">
        <v>26</v>
      </c>
      <c r="C41" s="35" t="s">
        <v>1238</v>
      </c>
      <c r="D41" s="35" t="s">
        <v>1239</v>
      </c>
      <c r="E41" s="35" t="s">
        <v>1240</v>
      </c>
      <c r="F41" s="35" t="s">
        <v>101</v>
      </c>
      <c r="G41" s="36">
        <v>815</v>
      </c>
      <c r="H41" s="36">
        <v>25</v>
      </c>
      <c r="I41" s="36">
        <f t="shared" si="3"/>
        <v>790</v>
      </c>
      <c r="J41" s="35" t="s">
        <v>41</v>
      </c>
      <c r="K41" s="35" t="s">
        <v>31</v>
      </c>
      <c r="L41" s="35" t="s">
        <v>1175</v>
      </c>
      <c r="M41" s="35"/>
      <c r="N41" s="35"/>
      <c r="O41" s="35"/>
      <c r="P41" s="35"/>
      <c r="Q41" s="35">
        <v>1</v>
      </c>
    </row>
    <row r="42" spans="1:18" x14ac:dyDescent="0.25">
      <c r="A42" s="35"/>
      <c r="B42" s="35" t="s">
        <v>26</v>
      </c>
      <c r="C42" s="35" t="s">
        <v>1241</v>
      </c>
      <c r="D42" s="35" t="s">
        <v>1242</v>
      </c>
      <c r="E42" s="35" t="s">
        <v>1243</v>
      </c>
      <c r="F42" s="36">
        <v>7</v>
      </c>
      <c r="G42" s="36">
        <v>520</v>
      </c>
      <c r="H42" s="36">
        <v>30</v>
      </c>
      <c r="I42" s="36">
        <f t="shared" si="3"/>
        <v>490</v>
      </c>
      <c r="J42" s="35" t="s">
        <v>41</v>
      </c>
      <c r="K42" s="35" t="s">
        <v>31</v>
      </c>
      <c r="L42" s="35" t="s">
        <v>1175</v>
      </c>
      <c r="M42" s="35"/>
      <c r="N42" s="35"/>
      <c r="O42" s="35"/>
      <c r="P42" s="35"/>
      <c r="Q42" s="35">
        <v>1</v>
      </c>
    </row>
    <row r="43" spans="1:18" x14ac:dyDescent="0.25">
      <c r="A43" s="35"/>
      <c r="B43" s="35" t="s">
        <v>26</v>
      </c>
      <c r="C43" s="35" t="s">
        <v>433</v>
      </c>
      <c r="D43" s="35" t="s">
        <v>1249</v>
      </c>
      <c r="E43" s="35" t="s">
        <v>1250</v>
      </c>
      <c r="F43" s="36">
        <v>1</v>
      </c>
      <c r="G43" s="36">
        <v>785</v>
      </c>
      <c r="H43" s="36">
        <v>25</v>
      </c>
      <c r="I43" s="36">
        <f t="shared" si="3"/>
        <v>760</v>
      </c>
      <c r="J43" s="35" t="s">
        <v>41</v>
      </c>
      <c r="K43" s="35" t="s">
        <v>31</v>
      </c>
      <c r="L43" s="35" t="s">
        <v>1175</v>
      </c>
      <c r="M43" s="35"/>
      <c r="N43" s="35"/>
      <c r="O43" s="35"/>
      <c r="P43" s="35"/>
      <c r="Q43" s="35">
        <v>1</v>
      </c>
    </row>
    <row r="44" spans="1:18" x14ac:dyDescent="0.25">
      <c r="A44" s="35"/>
      <c r="B44" s="35" t="s">
        <v>26</v>
      </c>
      <c r="C44" s="35" t="s">
        <v>1254</v>
      </c>
      <c r="D44" s="35" t="s">
        <v>1255</v>
      </c>
      <c r="E44" s="35" t="s">
        <v>1256</v>
      </c>
      <c r="F44" s="35" t="s">
        <v>121</v>
      </c>
      <c r="G44" s="36">
        <v>1105</v>
      </c>
      <c r="H44" s="36">
        <v>35</v>
      </c>
      <c r="I44" s="36">
        <f t="shared" si="3"/>
        <v>1070</v>
      </c>
      <c r="J44" s="35" t="s">
        <v>41</v>
      </c>
      <c r="K44" s="35" t="s">
        <v>31</v>
      </c>
      <c r="L44" s="35" t="s">
        <v>1175</v>
      </c>
      <c r="M44" s="35"/>
      <c r="N44" s="35"/>
      <c r="O44" s="35"/>
      <c r="P44" s="35"/>
      <c r="Q44" s="35">
        <v>1</v>
      </c>
    </row>
    <row r="45" spans="1:18" x14ac:dyDescent="0.25">
      <c r="A45" s="35"/>
      <c r="B45" s="35" t="s">
        <v>26</v>
      </c>
      <c r="C45" s="35" t="s">
        <v>1260</v>
      </c>
      <c r="D45" s="35" t="s">
        <v>1261</v>
      </c>
      <c r="E45" s="35" t="s">
        <v>1262</v>
      </c>
      <c r="F45" s="35" t="s">
        <v>101</v>
      </c>
      <c r="G45" s="36">
        <v>2250</v>
      </c>
      <c r="H45" s="36">
        <v>30</v>
      </c>
      <c r="I45" s="36">
        <f t="shared" si="3"/>
        <v>2220</v>
      </c>
      <c r="J45" s="35" t="s">
        <v>41</v>
      </c>
      <c r="K45" s="35" t="s">
        <v>31</v>
      </c>
      <c r="L45" s="35" t="s">
        <v>1175</v>
      </c>
      <c r="M45" s="38" t="s">
        <v>59</v>
      </c>
      <c r="N45" s="35"/>
      <c r="O45" s="35"/>
      <c r="P45" s="35"/>
      <c r="Q45" s="35">
        <v>1</v>
      </c>
      <c r="R45" s="25">
        <f>H45</f>
        <v>30</v>
      </c>
    </row>
    <row r="46" spans="1:18" x14ac:dyDescent="0.25">
      <c r="A46" s="35"/>
      <c r="B46" s="35" t="s">
        <v>26</v>
      </c>
      <c r="C46" s="35" t="s">
        <v>1263</v>
      </c>
      <c r="D46" s="35" t="s">
        <v>1264</v>
      </c>
      <c r="E46" s="35" t="s">
        <v>569</v>
      </c>
      <c r="F46" s="36">
        <v>7</v>
      </c>
      <c r="G46" s="36">
        <v>790</v>
      </c>
      <c r="H46" s="36">
        <v>30</v>
      </c>
      <c r="I46" s="36">
        <f t="shared" si="3"/>
        <v>760</v>
      </c>
      <c r="J46" s="35" t="s">
        <v>41</v>
      </c>
      <c r="K46" s="35" t="s">
        <v>31</v>
      </c>
      <c r="L46" s="35" t="s">
        <v>1175</v>
      </c>
      <c r="M46" s="35"/>
      <c r="N46" s="35"/>
      <c r="O46" s="35"/>
      <c r="P46" s="35"/>
      <c r="Q46" s="35">
        <v>1</v>
      </c>
    </row>
    <row r="47" spans="1:18" x14ac:dyDescent="0.25">
      <c r="A47" s="35"/>
      <c r="B47" s="35" t="s">
        <v>26</v>
      </c>
      <c r="C47" s="35" t="s">
        <v>1033</v>
      </c>
      <c r="D47" s="35" t="s">
        <v>1269</v>
      </c>
      <c r="E47" s="35" t="s">
        <v>1270</v>
      </c>
      <c r="F47" s="36">
        <v>1</v>
      </c>
      <c r="G47" s="36">
        <v>795</v>
      </c>
      <c r="H47" s="36">
        <v>25</v>
      </c>
      <c r="I47" s="36">
        <f t="shared" si="3"/>
        <v>770</v>
      </c>
      <c r="J47" s="35" t="s">
        <v>41</v>
      </c>
      <c r="K47" s="35" t="s">
        <v>31</v>
      </c>
      <c r="L47" s="35" t="s">
        <v>1175</v>
      </c>
      <c r="M47" s="35"/>
      <c r="N47" s="35"/>
      <c r="O47" s="35"/>
      <c r="P47" s="35"/>
      <c r="Q47" s="35">
        <v>1</v>
      </c>
    </row>
    <row r="48" spans="1:18" x14ac:dyDescent="0.25">
      <c r="A48" s="35"/>
      <c r="B48" s="35" t="s">
        <v>26</v>
      </c>
      <c r="C48" s="35" t="s">
        <v>1271</v>
      </c>
      <c r="D48" s="35" t="s">
        <v>1272</v>
      </c>
      <c r="E48" s="35" t="s">
        <v>1273</v>
      </c>
      <c r="F48" s="36">
        <v>3</v>
      </c>
      <c r="G48" s="36">
        <v>1895</v>
      </c>
      <c r="H48" s="36">
        <v>25</v>
      </c>
      <c r="I48" s="36">
        <f t="shared" si="3"/>
        <v>1870</v>
      </c>
      <c r="J48" s="35" t="s">
        <v>41</v>
      </c>
      <c r="K48" s="35" t="s">
        <v>31</v>
      </c>
      <c r="L48" s="35" t="s">
        <v>1175</v>
      </c>
      <c r="M48" s="35"/>
      <c r="N48" s="35"/>
      <c r="O48" s="35"/>
      <c r="P48" s="35"/>
      <c r="Q48" s="35">
        <v>1</v>
      </c>
    </row>
    <row r="49" spans="1:18" x14ac:dyDescent="0.25">
      <c r="A49" s="35"/>
      <c r="B49" s="35" t="s">
        <v>26</v>
      </c>
      <c r="C49" s="35" t="s">
        <v>1274</v>
      </c>
      <c r="D49" s="35" t="s">
        <v>1275</v>
      </c>
      <c r="E49" s="35" t="s">
        <v>1276</v>
      </c>
      <c r="F49" s="36">
        <v>1</v>
      </c>
      <c r="G49" s="36">
        <v>795</v>
      </c>
      <c r="H49" s="36">
        <v>25</v>
      </c>
      <c r="I49" s="36">
        <f t="shared" si="3"/>
        <v>770</v>
      </c>
      <c r="J49" s="35" t="s">
        <v>41</v>
      </c>
      <c r="K49" s="35" t="s">
        <v>31</v>
      </c>
      <c r="L49" s="35" t="s">
        <v>1175</v>
      </c>
      <c r="M49" s="35"/>
      <c r="N49" s="35"/>
      <c r="O49" s="35"/>
      <c r="P49" s="35"/>
      <c r="Q49" s="35">
        <v>1</v>
      </c>
    </row>
    <row r="50" spans="1:18" x14ac:dyDescent="0.25">
      <c r="A50" s="35"/>
      <c r="B50" s="35" t="s">
        <v>26</v>
      </c>
      <c r="C50" s="35" t="s">
        <v>1277</v>
      </c>
      <c r="D50" s="35" t="s">
        <v>1278</v>
      </c>
      <c r="E50" s="35" t="s">
        <v>1279</v>
      </c>
      <c r="F50" s="36">
        <v>5</v>
      </c>
      <c r="G50" s="36">
        <v>0</v>
      </c>
      <c r="H50" s="36">
        <v>25</v>
      </c>
      <c r="I50" s="36">
        <f t="shared" si="3"/>
        <v>-25</v>
      </c>
      <c r="J50" s="35" t="s">
        <v>41</v>
      </c>
      <c r="K50" s="35" t="s">
        <v>31</v>
      </c>
      <c r="L50" s="35" t="s">
        <v>1175</v>
      </c>
      <c r="M50" s="35"/>
      <c r="N50" s="35"/>
      <c r="O50" s="35"/>
      <c r="P50" s="35"/>
      <c r="Q50" s="35">
        <v>1</v>
      </c>
      <c r="R50" s="25">
        <f t="shared" ref="R50:R51" si="4">H50</f>
        <v>25</v>
      </c>
    </row>
    <row r="51" spans="1:18" x14ac:dyDescent="0.25">
      <c r="A51" s="35"/>
      <c r="B51" s="35" t="s">
        <v>26</v>
      </c>
      <c r="C51" s="35" t="s">
        <v>1280</v>
      </c>
      <c r="D51" s="35" t="s">
        <v>1281</v>
      </c>
      <c r="E51" s="35" t="s">
        <v>1282</v>
      </c>
      <c r="F51" s="36">
        <v>5</v>
      </c>
      <c r="G51" s="36">
        <v>0</v>
      </c>
      <c r="H51" s="36">
        <v>25</v>
      </c>
      <c r="I51" s="36">
        <f t="shared" si="3"/>
        <v>-25</v>
      </c>
      <c r="J51" s="35" t="s">
        <v>41</v>
      </c>
      <c r="K51" s="35" t="s">
        <v>31</v>
      </c>
      <c r="L51" s="35" t="s">
        <v>1175</v>
      </c>
      <c r="M51" s="35"/>
      <c r="N51" s="35"/>
      <c r="O51" s="35"/>
      <c r="P51" s="35"/>
      <c r="Q51" s="35">
        <v>1</v>
      </c>
      <c r="R51" s="25">
        <f t="shared" si="4"/>
        <v>25</v>
      </c>
    </row>
    <row r="52" spans="1:18" x14ac:dyDescent="0.25">
      <c r="A52" s="35" t="s">
        <v>66</v>
      </c>
      <c r="B52" s="35" t="s">
        <v>26</v>
      </c>
      <c r="C52" s="35" t="s">
        <v>1297</v>
      </c>
      <c r="D52" s="35"/>
      <c r="E52" s="35" t="s">
        <v>1298</v>
      </c>
      <c r="F52" s="36">
        <v>5</v>
      </c>
      <c r="G52" s="36">
        <v>1580</v>
      </c>
      <c r="H52" s="36">
        <v>30</v>
      </c>
      <c r="I52" s="36">
        <f t="shared" si="3"/>
        <v>1550</v>
      </c>
      <c r="J52" s="35" t="s">
        <v>41</v>
      </c>
      <c r="K52" s="35" t="s">
        <v>31</v>
      </c>
      <c r="L52" s="35" t="s">
        <v>1175</v>
      </c>
      <c r="M52" s="35"/>
      <c r="N52" s="35"/>
      <c r="O52" s="35"/>
      <c r="P52" s="35"/>
      <c r="Q52" s="35">
        <v>1</v>
      </c>
    </row>
    <row r="53" spans="1:18" s="30" customFormat="1" x14ac:dyDescent="0.25">
      <c r="A53" s="37"/>
      <c r="B53" s="37" t="s">
        <v>26</v>
      </c>
      <c r="C53" s="37" t="s">
        <v>492</v>
      </c>
      <c r="D53" s="37" t="s">
        <v>1216</v>
      </c>
      <c r="E53" s="37" t="s">
        <v>494</v>
      </c>
      <c r="F53" s="43">
        <v>8</v>
      </c>
      <c r="G53" s="43">
        <v>960</v>
      </c>
      <c r="H53" s="43">
        <v>0</v>
      </c>
      <c r="I53" s="43">
        <f t="shared" si="3"/>
        <v>960</v>
      </c>
      <c r="J53" s="37" t="s">
        <v>118</v>
      </c>
      <c r="K53" s="37" t="s">
        <v>31</v>
      </c>
      <c r="L53" s="37" t="s">
        <v>1175</v>
      </c>
      <c r="M53" s="37" t="s">
        <v>1217</v>
      </c>
      <c r="N53" s="37" t="s">
        <v>316</v>
      </c>
      <c r="O53" s="37"/>
      <c r="P53" s="37" t="s">
        <v>317</v>
      </c>
      <c r="Q53" s="37">
        <v>1</v>
      </c>
    </row>
    <row r="54" spans="1:18" s="30" customFormat="1" x14ac:dyDescent="0.25">
      <c r="A54" s="37"/>
      <c r="B54" s="37" t="s">
        <v>26</v>
      </c>
      <c r="C54" s="37" t="s">
        <v>990</v>
      </c>
      <c r="D54" s="37" t="s">
        <v>1134</v>
      </c>
      <c r="E54" s="37" t="s">
        <v>992</v>
      </c>
      <c r="F54" s="37" t="s">
        <v>128</v>
      </c>
      <c r="G54" s="43">
        <v>290</v>
      </c>
      <c r="H54" s="43">
        <v>30</v>
      </c>
      <c r="I54" s="43">
        <f t="shared" si="3"/>
        <v>260</v>
      </c>
      <c r="J54" s="37" t="s">
        <v>118</v>
      </c>
      <c r="K54" s="37" t="s">
        <v>31</v>
      </c>
      <c r="L54" s="37" t="s">
        <v>1060</v>
      </c>
      <c r="M54" s="37" t="s">
        <v>91</v>
      </c>
      <c r="N54" s="37" t="s">
        <v>316</v>
      </c>
      <c r="O54" s="37" t="s">
        <v>316</v>
      </c>
      <c r="P54" s="37" t="s">
        <v>317</v>
      </c>
      <c r="Q54" s="37">
        <v>1</v>
      </c>
    </row>
    <row r="55" spans="1:18" s="30" customFormat="1" x14ac:dyDescent="0.25">
      <c r="A55" s="37"/>
      <c r="B55" s="37" t="s">
        <v>26</v>
      </c>
      <c r="C55" s="37" t="s">
        <v>987</v>
      </c>
      <c r="D55" s="37" t="s">
        <v>1301</v>
      </c>
      <c r="E55" s="37" t="s">
        <v>989</v>
      </c>
      <c r="F55" s="43">
        <v>1</v>
      </c>
      <c r="G55" s="43">
        <v>1105</v>
      </c>
      <c r="H55" s="43">
        <v>25</v>
      </c>
      <c r="I55" s="43">
        <f t="shared" si="3"/>
        <v>1080</v>
      </c>
      <c r="J55" s="37" t="s">
        <v>118</v>
      </c>
      <c r="K55" s="37" t="s">
        <v>31</v>
      </c>
      <c r="L55" s="37" t="s">
        <v>332</v>
      </c>
      <c r="M55" s="37" t="s">
        <v>91</v>
      </c>
      <c r="N55" s="37" t="s">
        <v>316</v>
      </c>
      <c r="O55" s="37" t="s">
        <v>316</v>
      </c>
      <c r="P55" s="37" t="s">
        <v>317</v>
      </c>
      <c r="Q55" s="37">
        <v>1</v>
      </c>
    </row>
    <row r="56" spans="1:18" s="30" customFormat="1" x14ac:dyDescent="0.25">
      <c r="A56" s="37"/>
      <c r="B56" s="37" t="s">
        <v>26</v>
      </c>
      <c r="C56" s="37" t="s">
        <v>711</v>
      </c>
      <c r="D56" s="37" t="s">
        <v>1095</v>
      </c>
      <c r="E56" s="37" t="s">
        <v>1096</v>
      </c>
      <c r="F56" s="43">
        <v>7</v>
      </c>
      <c r="G56" s="43">
        <v>920</v>
      </c>
      <c r="H56" s="43">
        <v>30</v>
      </c>
      <c r="I56" s="43">
        <f t="shared" si="3"/>
        <v>890</v>
      </c>
      <c r="J56" s="37" t="s">
        <v>118</v>
      </c>
      <c r="K56" s="37" t="s">
        <v>31</v>
      </c>
      <c r="L56" s="37" t="s">
        <v>1060</v>
      </c>
      <c r="M56" s="37" t="s">
        <v>91</v>
      </c>
      <c r="N56" s="37" t="s">
        <v>316</v>
      </c>
      <c r="O56" s="37" t="s">
        <v>316</v>
      </c>
      <c r="P56" s="37" t="s">
        <v>317</v>
      </c>
      <c r="Q56" s="37">
        <v>1</v>
      </c>
    </row>
    <row r="57" spans="1:18" s="30" customFormat="1" x14ac:dyDescent="0.25">
      <c r="A57" s="37"/>
      <c r="B57" s="37" t="s">
        <v>26</v>
      </c>
      <c r="C57" s="37" t="s">
        <v>1302</v>
      </c>
      <c r="D57" s="37" t="s">
        <v>1303</v>
      </c>
      <c r="E57" s="37" t="s">
        <v>1304</v>
      </c>
      <c r="F57" s="43">
        <v>10</v>
      </c>
      <c r="G57" s="43">
        <v>2040</v>
      </c>
      <c r="H57" s="43">
        <v>30</v>
      </c>
      <c r="I57" s="43">
        <f t="shared" si="3"/>
        <v>2010</v>
      </c>
      <c r="J57" s="37" t="s">
        <v>118</v>
      </c>
      <c r="K57" s="37" t="s">
        <v>31</v>
      </c>
      <c r="L57" s="37" t="s">
        <v>342</v>
      </c>
      <c r="M57" s="37" t="s">
        <v>91</v>
      </c>
      <c r="N57" s="37" t="s">
        <v>316</v>
      </c>
      <c r="O57" s="37" t="s">
        <v>316</v>
      </c>
      <c r="P57" s="37" t="s">
        <v>317</v>
      </c>
      <c r="Q57" s="37">
        <v>1</v>
      </c>
    </row>
    <row r="58" spans="1:18" s="30" customFormat="1" x14ac:dyDescent="0.25">
      <c r="A58" s="37"/>
      <c r="B58" s="37" t="s">
        <v>26</v>
      </c>
      <c r="C58" s="37" t="s">
        <v>702</v>
      </c>
      <c r="D58" s="37" t="s">
        <v>703</v>
      </c>
      <c r="E58" s="37" t="s">
        <v>704</v>
      </c>
      <c r="F58" s="37" t="s">
        <v>36</v>
      </c>
      <c r="G58" s="43">
        <v>1250</v>
      </c>
      <c r="H58" s="43">
        <v>0</v>
      </c>
      <c r="I58" s="43">
        <f t="shared" si="3"/>
        <v>1250</v>
      </c>
      <c r="J58" s="37" t="s">
        <v>118</v>
      </c>
      <c r="K58" s="37" t="s">
        <v>31</v>
      </c>
      <c r="L58" s="37" t="s">
        <v>599</v>
      </c>
      <c r="M58" s="37" t="s">
        <v>94</v>
      </c>
      <c r="N58" s="37" t="s">
        <v>316</v>
      </c>
      <c r="O58" s="37" t="s">
        <v>316</v>
      </c>
      <c r="P58" s="37" t="s">
        <v>317</v>
      </c>
      <c r="Q58" s="37">
        <v>1</v>
      </c>
    </row>
    <row r="60" spans="1:18" x14ac:dyDescent="0.25">
      <c r="D60" s="26">
        <f>COUNTA(D3:D58)</f>
        <v>51</v>
      </c>
      <c r="G60" s="26">
        <f t="shared" ref="G60:Q60" si="5">SUBTOTAL(9,G3:G58)</f>
        <v>53510</v>
      </c>
      <c r="H60" s="26">
        <f t="shared" si="5"/>
        <v>1470</v>
      </c>
      <c r="I60" s="26">
        <f t="shared" si="5"/>
        <v>52040</v>
      </c>
      <c r="J60" s="26">
        <f t="shared" si="5"/>
        <v>0</v>
      </c>
      <c r="K60" s="26">
        <f t="shared" si="5"/>
        <v>0</v>
      </c>
      <c r="L60" s="26">
        <f t="shared" si="5"/>
        <v>0</v>
      </c>
      <c r="M60" s="26">
        <f t="shared" si="5"/>
        <v>0</v>
      </c>
      <c r="N60" s="26">
        <f t="shared" si="5"/>
        <v>0</v>
      </c>
      <c r="O60" s="26">
        <f t="shared" si="5"/>
        <v>0</v>
      </c>
      <c r="P60" s="26">
        <f t="shared" si="5"/>
        <v>0</v>
      </c>
      <c r="Q60" s="26">
        <f t="shared" si="5"/>
        <v>56</v>
      </c>
    </row>
    <row r="61" spans="1:18" x14ac:dyDescent="0.25">
      <c r="H61" s="24">
        <f>-8*17</f>
        <v>-136</v>
      </c>
    </row>
    <row r="62" spans="1:18" x14ac:dyDescent="0.25">
      <c r="A62" s="26" t="s">
        <v>26</v>
      </c>
      <c r="C62" s="80" t="s">
        <v>78</v>
      </c>
      <c r="D62" s="80"/>
      <c r="E62" s="27" t="s">
        <v>79</v>
      </c>
      <c r="H62" s="24">
        <f>-8*25</f>
        <v>-200</v>
      </c>
      <c r="K62" s="28" t="s">
        <v>1174</v>
      </c>
      <c r="L62" s="28" t="s">
        <v>80</v>
      </c>
      <c r="M62" s="28" t="s">
        <v>79</v>
      </c>
      <c r="O62" s="27" t="s">
        <v>81</v>
      </c>
    </row>
    <row r="63" spans="1:18" x14ac:dyDescent="0.25">
      <c r="A63" s="24" t="s">
        <v>1175</v>
      </c>
      <c r="B63" s="29" t="s">
        <v>82</v>
      </c>
      <c r="C63" s="81">
        <f>SUMIFS(I$3:I$58,B$3:B$58,A$62,L$3:L$58,A$63)</f>
        <v>46550</v>
      </c>
      <c r="D63" s="81"/>
      <c r="E63" s="29">
        <f>SUMIFS(Q$3:Q$58,B$3:B$58,A$62,L$3:L$58,A$63)</f>
        <v>51</v>
      </c>
      <c r="F63" s="24" t="s">
        <v>83</v>
      </c>
      <c r="K63" s="24" t="s">
        <v>84</v>
      </c>
      <c r="L63" s="24">
        <f>SUMIFS(G$3:G$58,J$3:J$58,K$62)</f>
        <v>10565</v>
      </c>
      <c r="M63" s="24">
        <f>SUMIFS(Q$3:Q$58,J$3:J$58,K$62)-INT(COUNTIFS(J$3:J$58,K$62,M$3:M$58,"*gộp*")/2)</f>
        <v>16</v>
      </c>
      <c r="O63" s="24" t="s">
        <v>1305</v>
      </c>
      <c r="P63" s="24">
        <f>L68</f>
        <v>10229</v>
      </c>
    </row>
    <row r="64" spans="1:18" x14ac:dyDescent="0.25">
      <c r="B64" s="30" t="s">
        <v>86</v>
      </c>
      <c r="C64" s="82">
        <v>0</v>
      </c>
      <c r="D64" s="82"/>
      <c r="K64" s="24" t="s">
        <v>87</v>
      </c>
      <c r="L64" s="24">
        <f>SUM(H61:H62)</f>
        <v>-336</v>
      </c>
      <c r="M64" s="24">
        <f>SUMIFS(Q$3:Q$58,J$3:J$58,K$62)-INT(COUNTIFS(J$3:J$58,K$62,M$3:M$58,"*gộp*")/2)</f>
        <v>16</v>
      </c>
      <c r="O64" s="24" t="s">
        <v>41</v>
      </c>
      <c r="P64" s="24">
        <f>L76</f>
        <v>13505</v>
      </c>
    </row>
    <row r="65" spans="2:16" x14ac:dyDescent="0.25">
      <c r="B65" s="30" t="s">
        <v>88</v>
      </c>
      <c r="C65" s="82">
        <f>-SUMIFS(I$3:I$58,B$3:B$58,A$62,P$3:P$58,"xx",N$3:N$58,"x")</f>
        <v>-6450</v>
      </c>
      <c r="D65" s="82"/>
      <c r="E65" s="30">
        <f>SUMIFS(Q$3:Q$58,B$3:B$58,A$62,P$3:P$58,"xx",N$3:N$58,"x")</f>
        <v>6</v>
      </c>
      <c r="K65" s="24" t="s">
        <v>89</v>
      </c>
      <c r="L65" s="24">
        <f>-M65*2</f>
        <v>0</v>
      </c>
      <c r="M65" s="24">
        <f>COUNTIFS(K$3:K$58,K$62,L$3:L$58,A$63)-(COUNTIFS(K$3:K$58,K$62,M$3:M$58,"*gộp*")/2)-COUNTIFS(K$3:K$58,K$62,M$3:M$58,"*đơn trả*")-COUNTIFS(K$3:K$58,K$62,M$3:M$58,"*hàng tỉnh*")</f>
        <v>0</v>
      </c>
      <c r="O65" s="24" t="s">
        <v>31</v>
      </c>
      <c r="P65" s="24">
        <f>L84</f>
        <v>16541</v>
      </c>
    </row>
    <row r="66" spans="2:16" x14ac:dyDescent="0.25">
      <c r="B66" s="27" t="s">
        <v>90</v>
      </c>
      <c r="C66" s="80">
        <f>SUBTOTAL(9,C63:C65)</f>
        <v>40100</v>
      </c>
      <c r="D66" s="80"/>
      <c r="E66" s="24">
        <f>E63</f>
        <v>51</v>
      </c>
      <c r="K66" s="31" t="s">
        <v>91</v>
      </c>
      <c r="O66" s="24" t="s">
        <v>92</v>
      </c>
      <c r="P66" s="24">
        <f>-C70</f>
        <v>-40100</v>
      </c>
    </row>
    <row r="67" spans="2:16" x14ac:dyDescent="0.25">
      <c r="B67" s="30" t="s">
        <v>93</v>
      </c>
      <c r="C67" s="78"/>
      <c r="D67" s="78"/>
      <c r="K67" s="30" t="s">
        <v>94</v>
      </c>
      <c r="O67" s="27" t="s">
        <v>95</v>
      </c>
      <c r="P67" s="27">
        <f>SUBTOTAL(9,P63:P66)</f>
        <v>175</v>
      </c>
    </row>
    <row r="68" spans="2:16" x14ac:dyDescent="0.25">
      <c r="B68" s="32" t="s">
        <v>96</v>
      </c>
      <c r="C68" s="78"/>
      <c r="D68" s="78"/>
      <c r="L68" s="33">
        <f>SUBTOTAL(9,L63:L67)</f>
        <v>10229</v>
      </c>
      <c r="M68" s="33">
        <f>M63</f>
        <v>16</v>
      </c>
    </row>
    <row r="70" spans="2:16" x14ac:dyDescent="0.25">
      <c r="B70" s="26" t="s">
        <v>97</v>
      </c>
      <c r="C70" s="79">
        <f>C66+C67+C68</f>
        <v>40100</v>
      </c>
      <c r="D70" s="79"/>
      <c r="E70" s="26" t="s">
        <v>98</v>
      </c>
      <c r="K70" s="28" t="s">
        <v>41</v>
      </c>
      <c r="L70" s="28" t="s">
        <v>80</v>
      </c>
      <c r="M70" s="28" t="s">
        <v>79</v>
      </c>
    </row>
    <row r="71" spans="2:16" x14ac:dyDescent="0.25">
      <c r="K71" s="24" t="s">
        <v>84</v>
      </c>
      <c r="L71" s="24">
        <f>SUMIFS(G$3:G$58,J$3:J$58,K$70)</f>
        <v>17970</v>
      </c>
      <c r="M71" s="24">
        <f>SUMIFS(Q$3:Q$58,J$3:J$58,K$70)-INT(COUNTIFS(J$3:J$58,K$70,M$3:M$58,"*gộp*")/2)</f>
        <v>22</v>
      </c>
    </row>
    <row r="72" spans="2:16" x14ac:dyDescent="0.25">
      <c r="K72" s="24" t="s">
        <v>87</v>
      </c>
      <c r="L72" s="24">
        <f>-SUMIFS(H$3:H$58,J$3:J$58,K$70)+M72*5</f>
        <v>-470</v>
      </c>
      <c r="M72" s="24">
        <f>SUMIFS(Q$3:Q$58,J$3:J$58,K$70)-INT(COUNTIFS(J$3:J$58,K$70,M$3:M$58,"*gộp*")/2)</f>
        <v>22</v>
      </c>
    </row>
    <row r="73" spans="2:16" x14ac:dyDescent="0.25">
      <c r="K73" s="24" t="s">
        <v>89</v>
      </c>
      <c r="L73" s="24">
        <f>-M73*2</f>
        <v>0</v>
      </c>
      <c r="M73" s="24">
        <f>COUNTIFS(K$3:K$58,K$70,L$3:L$58,A$63)-(COUNTIFS(K$3:K$58,K$70,M$3:M$58,"*gộp*")/2)-COUNTIFS(K$3:K$58,K$70,M$3:M$58,"*đơn trả*")-COUNTIFS(K$3:K$58,K$70,M$3:M$58,"*hàng tỉnh*")</f>
        <v>0</v>
      </c>
    </row>
    <row r="74" spans="2:16" x14ac:dyDescent="0.25">
      <c r="K74" s="31" t="s">
        <v>91</v>
      </c>
      <c r="L74" s="48">
        <v>-3995</v>
      </c>
      <c r="M74" s="48" t="s">
        <v>358</v>
      </c>
    </row>
    <row r="75" spans="2:16" x14ac:dyDescent="0.25">
      <c r="K75" s="30" t="s">
        <v>94</v>
      </c>
    </row>
    <row r="76" spans="2:16" x14ac:dyDescent="0.25">
      <c r="L76" s="33">
        <f>SUBTOTAL(9,L71:L75)</f>
        <v>13505</v>
      </c>
      <c r="M76" s="33">
        <f>M71</f>
        <v>22</v>
      </c>
    </row>
    <row r="78" spans="2:16" x14ac:dyDescent="0.25">
      <c r="K78" s="28" t="s">
        <v>31</v>
      </c>
      <c r="L78" s="28" t="s">
        <v>80</v>
      </c>
      <c r="M78" s="28" t="s">
        <v>79</v>
      </c>
    </row>
    <row r="79" spans="2:16" x14ac:dyDescent="0.25">
      <c r="K79" s="24" t="s">
        <v>84</v>
      </c>
      <c r="L79" s="24">
        <f>SUMIFS(G$3:G$58,J$3:J$58,K$78)</f>
        <v>18410</v>
      </c>
      <c r="M79" s="24">
        <f>SUMIFS(Q$3:Q$58,J$3:J$58,K$78)-INT(COUNTIFS(J$3:J$58,K$78,M$3:M$58,"*gộp*")/2)</f>
        <v>12</v>
      </c>
    </row>
    <row r="80" spans="2:16" x14ac:dyDescent="0.25">
      <c r="K80" s="24" t="s">
        <v>87</v>
      </c>
      <c r="L80" s="24">
        <f>-SUMIFS(H$3:H$58,J$3:J$58,K$78)+M80*5</f>
        <v>-260</v>
      </c>
      <c r="M80" s="24">
        <f>SUMIFS(Q$3:Q$58,J$3:J$58,K$78)-INT(COUNTIFS(J$3:J$58,K$78,M$3:M$58,"*gộp*")/2)</f>
        <v>12</v>
      </c>
    </row>
    <row r="81" spans="11:13" x14ac:dyDescent="0.25">
      <c r="K81" s="24" t="s">
        <v>89</v>
      </c>
      <c r="L81" s="24">
        <f>-M81*2</f>
        <v>-94</v>
      </c>
      <c r="M81" s="24">
        <f>COUNTIFS(K$3:K$58,K$78,L$3:L$58,A$63)-(COUNTIFS(K$3:K$58,K$78,M$3:M$58,"*gộp*")/2)-COUNTIFS(K$3:K$58,K$78,M$3:M$58,"*đơn trả*")-COUNTIFS(K$3:K$58,K$78,M$3:M$58,"*hàng tỉnh*")</f>
        <v>47</v>
      </c>
    </row>
    <row r="82" spans="11:13" x14ac:dyDescent="0.25">
      <c r="K82" s="31" t="s">
        <v>91</v>
      </c>
      <c r="L82" s="48">
        <v>-265</v>
      </c>
      <c r="M82" s="48" t="s">
        <v>590</v>
      </c>
    </row>
    <row r="83" spans="11:13" x14ac:dyDescent="0.25">
      <c r="K83" s="30" t="s">
        <v>94</v>
      </c>
      <c r="L83" s="48">
        <v>-1250</v>
      </c>
      <c r="M83" s="48" t="s">
        <v>590</v>
      </c>
    </row>
    <row r="84" spans="11:13" x14ac:dyDescent="0.25">
      <c r="L84" s="33">
        <f>SUBTOTAL(9,L79:L83)</f>
        <v>16541</v>
      </c>
      <c r="M84" s="33">
        <f>M79</f>
        <v>12</v>
      </c>
    </row>
  </sheetData>
  <autoFilter ref="A2:P58" xr:uid="{00000000-0009-0000-0000-000000000000}">
    <sortState xmlns:xlrd2="http://schemas.microsoft.com/office/spreadsheetml/2017/richdata2" ref="A3:P58">
      <sortCondition ref="J2:J58"/>
    </sortState>
  </autoFilter>
  <mergeCells count="8">
    <mergeCell ref="C68:D68"/>
    <mergeCell ref="C70:D70"/>
    <mergeCell ref="C62:D62"/>
    <mergeCell ref="C63:D63"/>
    <mergeCell ref="C64:D64"/>
    <mergeCell ref="C65:D65"/>
    <mergeCell ref="C66:D66"/>
    <mergeCell ref="C67:D67"/>
  </mergeCells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1749-F9BA-4355-9EA0-AC3F4E5A9766}">
  <dimension ref="A1:R65"/>
  <sheetViews>
    <sheetView zoomScale="90" zoomScaleNormal="90" workbookViewId="0">
      <selection sqref="A1:XFD1"/>
    </sheetView>
  </sheetViews>
  <sheetFormatPr defaultRowHeight="15" x14ac:dyDescent="0.25"/>
  <cols>
    <col min="1" max="1" width="12.7109375" style="24" customWidth="1"/>
    <col min="2" max="2" width="9.42578125" style="24" customWidth="1"/>
    <col min="3" max="3" width="29.140625" style="24" customWidth="1"/>
    <col min="4" max="4" width="10.28515625" style="24" customWidth="1"/>
    <col min="5" max="5" width="87.85546875" style="24" bestFit="1" customWidth="1"/>
    <col min="6" max="6" width="10.71093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2.5703125" style="24" bestFit="1" customWidth="1"/>
    <col min="13" max="13" width="13.85546875" style="24" customWidth="1"/>
    <col min="14" max="14" width="9.7109375" style="24" customWidth="1"/>
    <col min="15" max="15" width="10.42578125" style="24" customWidth="1"/>
    <col min="16" max="16" width="7" style="24" bestFit="1" customWidth="1"/>
    <col min="17" max="16384" width="9.140625" style="24"/>
  </cols>
  <sheetData>
    <row r="1" spans="1:18" x14ac:dyDescent="0.25">
      <c r="B1" s="24" t="s">
        <v>1169</v>
      </c>
      <c r="C1" s="24" t="s">
        <v>1396</v>
      </c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 t="s">
        <v>66</v>
      </c>
      <c r="B3" s="35" t="s">
        <v>26</v>
      </c>
      <c r="C3" s="35" t="s">
        <v>1309</v>
      </c>
      <c r="D3" s="35"/>
      <c r="E3" s="35" t="s">
        <v>1310</v>
      </c>
      <c r="F3" s="36">
        <v>5</v>
      </c>
      <c r="G3" s="36">
        <v>30</v>
      </c>
      <c r="H3" s="36">
        <v>30</v>
      </c>
      <c r="I3" s="36">
        <f t="shared" ref="I3:I39" si="0">G3-H3</f>
        <v>0</v>
      </c>
      <c r="J3" s="35" t="s">
        <v>1311</v>
      </c>
      <c r="K3" s="35" t="s">
        <v>31</v>
      </c>
      <c r="L3" s="35" t="s">
        <v>1308</v>
      </c>
      <c r="M3" s="35"/>
      <c r="N3" s="35"/>
      <c r="O3" s="35"/>
      <c r="P3" s="35"/>
      <c r="Q3" s="35">
        <v>1</v>
      </c>
    </row>
    <row r="4" spans="1:18" x14ac:dyDescent="0.25">
      <c r="A4" s="35" t="s">
        <v>66</v>
      </c>
      <c r="B4" s="35" t="s">
        <v>26</v>
      </c>
      <c r="C4" s="35" t="s">
        <v>1316</v>
      </c>
      <c r="D4" s="35"/>
      <c r="E4" s="35" t="s">
        <v>1317</v>
      </c>
      <c r="F4" s="36">
        <v>6</v>
      </c>
      <c r="G4" s="36">
        <v>1540</v>
      </c>
      <c r="H4" s="36">
        <v>30</v>
      </c>
      <c r="I4" s="36">
        <f t="shared" si="0"/>
        <v>1510</v>
      </c>
      <c r="J4" s="35" t="s">
        <v>1311</v>
      </c>
      <c r="K4" s="35" t="s">
        <v>31</v>
      </c>
      <c r="L4" s="35" t="s">
        <v>1308</v>
      </c>
      <c r="M4" s="35"/>
      <c r="N4" s="35"/>
      <c r="O4" s="35"/>
      <c r="P4" s="35"/>
      <c r="Q4" s="35">
        <v>1</v>
      </c>
    </row>
    <row r="5" spans="1:18" x14ac:dyDescent="0.25">
      <c r="A5" s="35" t="s">
        <v>66</v>
      </c>
      <c r="B5" s="35" t="s">
        <v>26</v>
      </c>
      <c r="C5" s="35" t="s">
        <v>67</v>
      </c>
      <c r="D5" s="35"/>
      <c r="E5" s="35" t="s">
        <v>68</v>
      </c>
      <c r="F5" s="36">
        <v>6</v>
      </c>
      <c r="G5" s="36">
        <v>0</v>
      </c>
      <c r="H5" s="36">
        <v>30</v>
      </c>
      <c r="I5" s="36">
        <f t="shared" si="0"/>
        <v>-30</v>
      </c>
      <c r="J5" s="35" t="s">
        <v>1311</v>
      </c>
      <c r="K5" s="35" t="s">
        <v>31</v>
      </c>
      <c r="L5" s="35" t="s">
        <v>1308</v>
      </c>
      <c r="M5" s="35"/>
      <c r="N5" s="35"/>
      <c r="O5" s="35"/>
      <c r="P5" s="35"/>
      <c r="Q5" s="35">
        <v>1</v>
      </c>
      <c r="R5" s="25">
        <f>H5</f>
        <v>30</v>
      </c>
    </row>
    <row r="6" spans="1:18" x14ac:dyDescent="0.25">
      <c r="A6" s="35"/>
      <c r="B6" s="35" t="s">
        <v>26</v>
      </c>
      <c r="C6" s="35" t="s">
        <v>1320</v>
      </c>
      <c r="D6" s="35" t="s">
        <v>1321</v>
      </c>
      <c r="E6" s="35" t="s">
        <v>1322</v>
      </c>
      <c r="F6" s="36">
        <v>7</v>
      </c>
      <c r="G6" s="36">
        <v>450</v>
      </c>
      <c r="H6" s="36">
        <v>30</v>
      </c>
      <c r="I6" s="36">
        <f t="shared" si="0"/>
        <v>420</v>
      </c>
      <c r="J6" s="35" t="s">
        <v>1311</v>
      </c>
      <c r="K6" s="35" t="s">
        <v>31</v>
      </c>
      <c r="L6" s="35" t="s">
        <v>1308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1005</v>
      </c>
      <c r="D7" s="35" t="s">
        <v>1328</v>
      </c>
      <c r="E7" s="35" t="s">
        <v>1007</v>
      </c>
      <c r="F7" s="36">
        <v>9</v>
      </c>
      <c r="G7" s="36">
        <v>0</v>
      </c>
      <c r="H7" s="36">
        <v>30</v>
      </c>
      <c r="I7" s="36">
        <f t="shared" si="0"/>
        <v>-30</v>
      </c>
      <c r="J7" s="35" t="s">
        <v>1311</v>
      </c>
      <c r="K7" s="35" t="s">
        <v>31</v>
      </c>
      <c r="L7" s="35" t="s">
        <v>1308</v>
      </c>
      <c r="M7" s="35"/>
      <c r="N7" s="35"/>
      <c r="O7" s="35"/>
      <c r="P7" s="35"/>
      <c r="Q7" s="35">
        <v>1</v>
      </c>
      <c r="R7" s="25">
        <f>H7</f>
        <v>30</v>
      </c>
    </row>
    <row r="8" spans="1:18" x14ac:dyDescent="0.25">
      <c r="A8" s="35"/>
      <c r="B8" s="35" t="s">
        <v>26</v>
      </c>
      <c r="C8" s="35" t="s">
        <v>1344</v>
      </c>
      <c r="D8" s="35" t="s">
        <v>1345</v>
      </c>
      <c r="E8" s="35" t="s">
        <v>1346</v>
      </c>
      <c r="F8" s="36">
        <v>8</v>
      </c>
      <c r="G8" s="36">
        <v>2030</v>
      </c>
      <c r="H8" s="36">
        <v>35</v>
      </c>
      <c r="I8" s="36">
        <f t="shared" si="0"/>
        <v>1995</v>
      </c>
      <c r="J8" s="35" t="s">
        <v>1311</v>
      </c>
      <c r="K8" s="35" t="s">
        <v>31</v>
      </c>
      <c r="L8" s="35" t="s">
        <v>1308</v>
      </c>
      <c r="M8" s="38" t="s">
        <v>59</v>
      </c>
      <c r="N8" s="35"/>
      <c r="O8" s="35"/>
      <c r="P8" s="35"/>
      <c r="Q8" s="35">
        <v>1</v>
      </c>
      <c r="R8" s="25">
        <f>H8</f>
        <v>35</v>
      </c>
    </row>
    <row r="9" spans="1:18" x14ac:dyDescent="0.25">
      <c r="A9" s="35"/>
      <c r="B9" s="35" t="s">
        <v>26</v>
      </c>
      <c r="C9" s="35" t="s">
        <v>1370</v>
      </c>
      <c r="D9" s="35" t="s">
        <v>1371</v>
      </c>
      <c r="E9" s="35" t="s">
        <v>1372</v>
      </c>
      <c r="F9" s="36">
        <v>8</v>
      </c>
      <c r="G9" s="36">
        <v>910</v>
      </c>
      <c r="H9" s="36">
        <v>30</v>
      </c>
      <c r="I9" s="36">
        <f t="shared" si="0"/>
        <v>880</v>
      </c>
      <c r="J9" s="35" t="s">
        <v>1311</v>
      </c>
      <c r="K9" s="35" t="s">
        <v>31</v>
      </c>
      <c r="L9" s="35" t="s">
        <v>1308</v>
      </c>
      <c r="M9" s="35"/>
      <c r="N9" s="35"/>
      <c r="O9" s="35"/>
      <c r="P9" s="35"/>
      <c r="Q9" s="35">
        <v>1</v>
      </c>
    </row>
    <row r="10" spans="1:18" x14ac:dyDescent="0.25">
      <c r="A10" s="35"/>
      <c r="B10" s="35" t="s">
        <v>26</v>
      </c>
      <c r="C10" s="35" t="s">
        <v>1223</v>
      </c>
      <c r="D10" s="35" t="s">
        <v>1373</v>
      </c>
      <c r="E10" s="35" t="s">
        <v>1374</v>
      </c>
      <c r="F10" s="36">
        <v>8</v>
      </c>
      <c r="G10" s="36">
        <v>770</v>
      </c>
      <c r="H10" s="36">
        <v>30</v>
      </c>
      <c r="I10" s="36">
        <f t="shared" si="0"/>
        <v>740</v>
      </c>
      <c r="J10" s="35" t="s">
        <v>1311</v>
      </c>
      <c r="K10" s="35" t="s">
        <v>31</v>
      </c>
      <c r="L10" s="35" t="s">
        <v>1308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1381</v>
      </c>
      <c r="D11" s="35" t="s">
        <v>1382</v>
      </c>
      <c r="E11" s="35" t="s">
        <v>1383</v>
      </c>
      <c r="F11" s="35" t="s">
        <v>77</v>
      </c>
      <c r="G11" s="36">
        <v>810</v>
      </c>
      <c r="H11" s="36">
        <v>30</v>
      </c>
      <c r="I11" s="36">
        <f t="shared" si="0"/>
        <v>780</v>
      </c>
      <c r="J11" s="35" t="s">
        <v>1311</v>
      </c>
      <c r="K11" s="35" t="s">
        <v>31</v>
      </c>
      <c r="L11" s="35" t="s">
        <v>1308</v>
      </c>
      <c r="M11" s="35"/>
      <c r="N11" s="35"/>
      <c r="O11" s="35"/>
      <c r="P11" s="35"/>
      <c r="Q11" s="35">
        <v>1</v>
      </c>
    </row>
    <row r="12" spans="1:18" x14ac:dyDescent="0.25">
      <c r="A12" s="35"/>
      <c r="B12" s="35" t="s">
        <v>26</v>
      </c>
      <c r="C12" s="35" t="s">
        <v>1392</v>
      </c>
      <c r="D12" s="35" t="s">
        <v>1393</v>
      </c>
      <c r="E12" s="35" t="s">
        <v>1394</v>
      </c>
      <c r="F12" s="35" t="s">
        <v>77</v>
      </c>
      <c r="G12" s="36">
        <v>2970</v>
      </c>
      <c r="H12" s="36">
        <v>35</v>
      </c>
      <c r="I12" s="36">
        <f t="shared" si="0"/>
        <v>2935</v>
      </c>
      <c r="J12" s="35" t="s">
        <v>1311</v>
      </c>
      <c r="K12" s="35" t="s">
        <v>31</v>
      </c>
      <c r="L12" s="35" t="s">
        <v>1308</v>
      </c>
      <c r="M12" s="38" t="s">
        <v>59</v>
      </c>
      <c r="N12" s="35"/>
      <c r="O12" s="35"/>
      <c r="P12" s="35"/>
      <c r="Q12" s="35">
        <v>1</v>
      </c>
      <c r="R12" s="25">
        <f>H12</f>
        <v>35</v>
      </c>
    </row>
    <row r="13" spans="1:18" x14ac:dyDescent="0.25">
      <c r="A13" s="35" t="s">
        <v>66</v>
      </c>
      <c r="B13" s="35" t="s">
        <v>26</v>
      </c>
      <c r="C13" s="35" t="s">
        <v>1318</v>
      </c>
      <c r="D13" s="35"/>
      <c r="E13" s="35" t="s">
        <v>1319</v>
      </c>
      <c r="F13" s="35" t="s">
        <v>128</v>
      </c>
      <c r="G13" s="36">
        <v>2795</v>
      </c>
      <c r="H13" s="36">
        <v>35</v>
      </c>
      <c r="I13" s="36">
        <f t="shared" si="0"/>
        <v>2760</v>
      </c>
      <c r="J13" s="35" t="s">
        <v>31</v>
      </c>
      <c r="K13" s="35" t="s">
        <v>31</v>
      </c>
      <c r="L13" s="35" t="s">
        <v>1308</v>
      </c>
      <c r="M13" s="35"/>
      <c r="N13" s="35"/>
      <c r="O13" s="35"/>
      <c r="P13" s="35"/>
      <c r="Q13" s="35">
        <v>1</v>
      </c>
    </row>
    <row r="14" spans="1:18" x14ac:dyDescent="0.25">
      <c r="A14" s="35" t="s">
        <v>66</v>
      </c>
      <c r="B14" s="35" t="s">
        <v>26</v>
      </c>
      <c r="C14" s="35" t="s">
        <v>1053</v>
      </c>
      <c r="D14" s="35"/>
      <c r="E14" s="35" t="s">
        <v>796</v>
      </c>
      <c r="F14" s="35" t="s">
        <v>36</v>
      </c>
      <c r="G14" s="36">
        <v>2440</v>
      </c>
      <c r="H14" s="36">
        <v>30</v>
      </c>
      <c r="I14" s="36">
        <f t="shared" si="0"/>
        <v>2410</v>
      </c>
      <c r="J14" s="35" t="s">
        <v>31</v>
      </c>
      <c r="K14" s="35" t="s">
        <v>31</v>
      </c>
      <c r="L14" s="35" t="s">
        <v>1308</v>
      </c>
      <c r="M14" s="35"/>
      <c r="N14" s="35"/>
      <c r="O14" s="35"/>
      <c r="P14" s="35"/>
      <c r="Q14" s="35">
        <v>1</v>
      </c>
    </row>
    <row r="15" spans="1:18" x14ac:dyDescent="0.25">
      <c r="A15" s="35"/>
      <c r="B15" s="35" t="s">
        <v>26</v>
      </c>
      <c r="C15" s="35" t="s">
        <v>1323</v>
      </c>
      <c r="D15" s="35" t="s">
        <v>1324</v>
      </c>
      <c r="E15" s="35" t="s">
        <v>1325</v>
      </c>
      <c r="F15" s="36">
        <v>12</v>
      </c>
      <c r="G15" s="36">
        <v>790</v>
      </c>
      <c r="H15" s="36">
        <v>30</v>
      </c>
      <c r="I15" s="36">
        <f t="shared" si="0"/>
        <v>760</v>
      </c>
      <c r="J15" s="35" t="s">
        <v>31</v>
      </c>
      <c r="K15" s="35" t="s">
        <v>31</v>
      </c>
      <c r="L15" s="35" t="s">
        <v>1308</v>
      </c>
      <c r="M15" s="35"/>
      <c r="N15" s="35"/>
      <c r="O15" s="35"/>
      <c r="P15" s="35"/>
      <c r="Q15" s="35">
        <v>1</v>
      </c>
    </row>
    <row r="16" spans="1:18" x14ac:dyDescent="0.25">
      <c r="A16" s="35"/>
      <c r="B16" s="35" t="s">
        <v>26</v>
      </c>
      <c r="C16" s="35" t="s">
        <v>1329</v>
      </c>
      <c r="D16" s="35" t="s">
        <v>1330</v>
      </c>
      <c r="E16" s="35" t="s">
        <v>1331</v>
      </c>
      <c r="F16" s="35" t="s">
        <v>101</v>
      </c>
      <c r="G16" s="36">
        <v>855</v>
      </c>
      <c r="H16" s="36">
        <v>25</v>
      </c>
      <c r="I16" s="36">
        <f t="shared" si="0"/>
        <v>830</v>
      </c>
      <c r="J16" s="35" t="s">
        <v>31</v>
      </c>
      <c r="K16" s="35" t="s">
        <v>31</v>
      </c>
      <c r="L16" s="35" t="s">
        <v>1308</v>
      </c>
      <c r="M16" s="35"/>
      <c r="N16" s="35"/>
      <c r="O16" s="35"/>
      <c r="P16" s="35"/>
      <c r="Q16" s="35">
        <v>1</v>
      </c>
    </row>
    <row r="17" spans="1:18" x14ac:dyDescent="0.25">
      <c r="A17" s="35"/>
      <c r="B17" s="35" t="s">
        <v>26</v>
      </c>
      <c r="C17" s="35" t="s">
        <v>1332</v>
      </c>
      <c r="D17" s="35" t="s">
        <v>1333</v>
      </c>
      <c r="E17" s="35" t="s">
        <v>1334</v>
      </c>
      <c r="F17" s="36">
        <v>2</v>
      </c>
      <c r="G17" s="36">
        <v>0</v>
      </c>
      <c r="H17" s="36">
        <v>40</v>
      </c>
      <c r="I17" s="36">
        <f t="shared" si="0"/>
        <v>-40</v>
      </c>
      <c r="J17" s="35" t="s">
        <v>31</v>
      </c>
      <c r="K17" s="35" t="s">
        <v>31</v>
      </c>
      <c r="L17" s="35" t="s">
        <v>1308</v>
      </c>
      <c r="M17" s="35"/>
      <c r="N17" s="35"/>
      <c r="O17" s="35"/>
      <c r="P17" s="35"/>
      <c r="Q17" s="35">
        <v>1</v>
      </c>
      <c r="R17" s="25">
        <f>H17</f>
        <v>40</v>
      </c>
    </row>
    <row r="18" spans="1:18" x14ac:dyDescent="0.25">
      <c r="A18" s="35"/>
      <c r="B18" s="35" t="s">
        <v>26</v>
      </c>
      <c r="C18" s="35" t="s">
        <v>1362</v>
      </c>
      <c r="D18" s="35" t="s">
        <v>1363</v>
      </c>
      <c r="E18" s="35" t="s">
        <v>1364</v>
      </c>
      <c r="F18" s="36">
        <v>2</v>
      </c>
      <c r="G18" s="36">
        <v>3350</v>
      </c>
      <c r="H18" s="36">
        <v>40</v>
      </c>
      <c r="I18" s="36">
        <f t="shared" si="0"/>
        <v>3310</v>
      </c>
      <c r="J18" s="35" t="s">
        <v>31</v>
      </c>
      <c r="K18" s="35" t="s">
        <v>31</v>
      </c>
      <c r="L18" s="35" t="s">
        <v>1308</v>
      </c>
      <c r="M18" s="38" t="s">
        <v>59</v>
      </c>
      <c r="N18" s="35"/>
      <c r="O18" s="35"/>
      <c r="P18" s="35"/>
      <c r="Q18" s="35">
        <v>1</v>
      </c>
      <c r="R18" s="25">
        <f>H18</f>
        <v>40</v>
      </c>
    </row>
    <row r="19" spans="1:18" x14ac:dyDescent="0.25">
      <c r="A19" s="35"/>
      <c r="B19" s="35" t="s">
        <v>26</v>
      </c>
      <c r="C19" s="35" t="s">
        <v>55</v>
      </c>
      <c r="D19" s="35" t="s">
        <v>1365</v>
      </c>
      <c r="E19" s="35" t="s">
        <v>1366</v>
      </c>
      <c r="F19" s="35" t="s">
        <v>58</v>
      </c>
      <c r="G19" s="36">
        <v>1650</v>
      </c>
      <c r="H19" s="36">
        <v>20</v>
      </c>
      <c r="I19" s="36">
        <f t="shared" si="0"/>
        <v>1630</v>
      </c>
      <c r="J19" s="35" t="s">
        <v>31</v>
      </c>
      <c r="K19" s="35" t="s">
        <v>31</v>
      </c>
      <c r="L19" s="35" t="s">
        <v>1308</v>
      </c>
      <c r="M19" s="35"/>
      <c r="N19" s="35"/>
      <c r="O19" s="35"/>
      <c r="P19" s="35"/>
      <c r="Q19" s="35">
        <v>1</v>
      </c>
    </row>
    <row r="20" spans="1:18" x14ac:dyDescent="0.25">
      <c r="A20" s="35"/>
      <c r="B20" s="35" t="s">
        <v>26</v>
      </c>
      <c r="C20" s="35" t="s">
        <v>1378</v>
      </c>
      <c r="D20" s="35" t="s">
        <v>1379</v>
      </c>
      <c r="E20" s="35" t="s">
        <v>1380</v>
      </c>
      <c r="F20" s="35" t="s">
        <v>36</v>
      </c>
      <c r="G20" s="36">
        <v>845</v>
      </c>
      <c r="H20" s="36">
        <v>25</v>
      </c>
      <c r="I20" s="36">
        <f t="shared" si="0"/>
        <v>820</v>
      </c>
      <c r="J20" s="35" t="s">
        <v>31</v>
      </c>
      <c r="K20" s="35" t="s">
        <v>31</v>
      </c>
      <c r="L20" s="35" t="s">
        <v>1308</v>
      </c>
      <c r="M20" s="35"/>
      <c r="N20" s="35"/>
      <c r="O20" s="35"/>
      <c r="P20" s="35"/>
      <c r="Q20" s="35">
        <v>1</v>
      </c>
    </row>
    <row r="21" spans="1:18" x14ac:dyDescent="0.25">
      <c r="A21" s="35"/>
      <c r="B21" s="35" t="s">
        <v>26</v>
      </c>
      <c r="C21" s="35" t="s">
        <v>1384</v>
      </c>
      <c r="D21" s="35" t="s">
        <v>1385</v>
      </c>
      <c r="E21" s="35" t="s">
        <v>429</v>
      </c>
      <c r="F21" s="36">
        <v>12</v>
      </c>
      <c r="G21" s="36">
        <v>0</v>
      </c>
      <c r="H21" s="36">
        <v>30</v>
      </c>
      <c r="I21" s="36">
        <f t="shared" si="0"/>
        <v>-30</v>
      </c>
      <c r="J21" s="35" t="s">
        <v>31</v>
      </c>
      <c r="K21" s="35" t="s">
        <v>31</v>
      </c>
      <c r="L21" s="35" t="s">
        <v>1308</v>
      </c>
      <c r="M21" s="35"/>
      <c r="N21" s="35"/>
      <c r="O21" s="35"/>
      <c r="P21" s="35"/>
      <c r="Q21" s="35">
        <v>1</v>
      </c>
      <c r="R21" s="25">
        <f>H21</f>
        <v>30</v>
      </c>
    </row>
    <row r="22" spans="1:18" x14ac:dyDescent="0.25">
      <c r="A22" s="35"/>
      <c r="B22" s="35" t="s">
        <v>26</v>
      </c>
      <c r="C22" s="35" t="s">
        <v>1386</v>
      </c>
      <c r="D22" s="35" t="s">
        <v>1387</v>
      </c>
      <c r="E22" s="35" t="s">
        <v>293</v>
      </c>
      <c r="F22" s="36">
        <v>2</v>
      </c>
      <c r="G22" s="36">
        <v>380</v>
      </c>
      <c r="H22" s="36">
        <v>30</v>
      </c>
      <c r="I22" s="36">
        <f t="shared" si="0"/>
        <v>350</v>
      </c>
      <c r="J22" s="35" t="s">
        <v>31</v>
      </c>
      <c r="K22" s="35" t="s">
        <v>31</v>
      </c>
      <c r="L22" s="35" t="s">
        <v>1308</v>
      </c>
      <c r="M22" s="35"/>
      <c r="N22" s="35"/>
      <c r="O22" s="35"/>
      <c r="P22" s="35"/>
      <c r="Q22" s="35">
        <v>1</v>
      </c>
    </row>
    <row r="23" spans="1:18" x14ac:dyDescent="0.25">
      <c r="A23" s="35" t="s">
        <v>66</v>
      </c>
      <c r="B23" s="35" t="s">
        <v>26</v>
      </c>
      <c r="C23" s="35" t="s">
        <v>99</v>
      </c>
      <c r="D23" s="35"/>
      <c r="E23" s="35" t="s">
        <v>100</v>
      </c>
      <c r="F23" s="35" t="s">
        <v>101</v>
      </c>
      <c r="G23" s="36">
        <v>0</v>
      </c>
      <c r="H23" s="36">
        <v>30</v>
      </c>
      <c r="I23" s="36">
        <f t="shared" si="0"/>
        <v>-30</v>
      </c>
      <c r="J23" s="35" t="s">
        <v>41</v>
      </c>
      <c r="K23" s="35" t="s">
        <v>31</v>
      </c>
      <c r="L23" s="35" t="s">
        <v>1308</v>
      </c>
      <c r="M23" s="35"/>
      <c r="N23" s="35"/>
      <c r="O23" s="35"/>
      <c r="P23" s="35"/>
      <c r="Q23" s="35">
        <v>1</v>
      </c>
      <c r="R23" s="25">
        <f t="shared" ref="R23:R24" si="1">H23</f>
        <v>30</v>
      </c>
    </row>
    <row r="24" spans="1:18" x14ac:dyDescent="0.25">
      <c r="A24" s="35" t="s">
        <v>66</v>
      </c>
      <c r="B24" s="35" t="s">
        <v>26</v>
      </c>
      <c r="C24" s="35" t="s">
        <v>1312</v>
      </c>
      <c r="D24" s="35"/>
      <c r="E24" s="35" t="s">
        <v>1313</v>
      </c>
      <c r="F24" s="35" t="s">
        <v>101</v>
      </c>
      <c r="G24" s="36">
        <v>0</v>
      </c>
      <c r="H24" s="36">
        <v>30</v>
      </c>
      <c r="I24" s="36">
        <f t="shared" si="0"/>
        <v>-30</v>
      </c>
      <c r="J24" s="35" t="s">
        <v>41</v>
      </c>
      <c r="K24" s="35" t="s">
        <v>31</v>
      </c>
      <c r="L24" s="35" t="s">
        <v>1308</v>
      </c>
      <c r="M24" s="35"/>
      <c r="N24" s="35"/>
      <c r="O24" s="35"/>
      <c r="P24" s="35"/>
      <c r="Q24" s="35">
        <v>1</v>
      </c>
      <c r="R24" s="25">
        <f t="shared" si="1"/>
        <v>30</v>
      </c>
    </row>
    <row r="25" spans="1:18" x14ac:dyDescent="0.25">
      <c r="A25" s="35" t="s">
        <v>66</v>
      </c>
      <c r="B25" s="35" t="s">
        <v>26</v>
      </c>
      <c r="C25" s="35" t="s">
        <v>1314</v>
      </c>
      <c r="D25" s="35"/>
      <c r="E25" s="35" t="s">
        <v>1315</v>
      </c>
      <c r="F25" s="35" t="s">
        <v>101</v>
      </c>
      <c r="G25" s="36">
        <v>900</v>
      </c>
      <c r="H25" s="36">
        <v>30</v>
      </c>
      <c r="I25" s="36">
        <f t="shared" si="0"/>
        <v>870</v>
      </c>
      <c r="J25" s="35" t="s">
        <v>41</v>
      </c>
      <c r="K25" s="35" t="s">
        <v>31</v>
      </c>
      <c r="L25" s="35" t="s">
        <v>1308</v>
      </c>
      <c r="M25" s="35"/>
      <c r="N25" s="35"/>
      <c r="O25" s="35"/>
      <c r="P25" s="35"/>
      <c r="Q25" s="35">
        <v>1</v>
      </c>
    </row>
    <row r="26" spans="1:18" s="41" customFormat="1" x14ac:dyDescent="0.25">
      <c r="A26" s="39"/>
      <c r="B26" s="39" t="s">
        <v>26</v>
      </c>
      <c r="C26" s="39" t="s">
        <v>1033</v>
      </c>
      <c r="D26" s="39" t="s">
        <v>1326</v>
      </c>
      <c r="E26" s="39" t="s">
        <v>1327</v>
      </c>
      <c r="F26" s="40">
        <v>1</v>
      </c>
      <c r="G26" s="40">
        <v>25</v>
      </c>
      <c r="H26" s="40">
        <v>25</v>
      </c>
      <c r="I26" s="40">
        <f t="shared" si="0"/>
        <v>0</v>
      </c>
      <c r="J26" s="39" t="s">
        <v>41</v>
      </c>
      <c r="K26" s="39" t="s">
        <v>31</v>
      </c>
      <c r="L26" s="39" t="s">
        <v>1308</v>
      </c>
      <c r="M26" s="39" t="s">
        <v>37</v>
      </c>
      <c r="N26" s="39"/>
      <c r="O26" s="39"/>
      <c r="P26" s="39"/>
      <c r="Q26" s="39">
        <v>1</v>
      </c>
    </row>
    <row r="27" spans="1:18" x14ac:dyDescent="0.25">
      <c r="A27" s="35"/>
      <c r="B27" s="35" t="s">
        <v>26</v>
      </c>
      <c r="C27" s="35" t="s">
        <v>1335</v>
      </c>
      <c r="D27" s="35" t="s">
        <v>1336</v>
      </c>
      <c r="E27" s="35" t="s">
        <v>1337</v>
      </c>
      <c r="F27" s="36">
        <v>10</v>
      </c>
      <c r="G27" s="36">
        <v>1095</v>
      </c>
      <c r="H27" s="36">
        <v>25</v>
      </c>
      <c r="I27" s="36">
        <f t="shared" si="0"/>
        <v>1070</v>
      </c>
      <c r="J27" s="35" t="s">
        <v>41</v>
      </c>
      <c r="K27" s="35" t="s">
        <v>31</v>
      </c>
      <c r="L27" s="35" t="s">
        <v>1308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1338</v>
      </c>
      <c r="D28" s="35" t="s">
        <v>1339</v>
      </c>
      <c r="E28" s="35" t="s">
        <v>1340</v>
      </c>
      <c r="F28" s="36">
        <v>10</v>
      </c>
      <c r="G28" s="36">
        <v>1005</v>
      </c>
      <c r="H28" s="36">
        <v>25</v>
      </c>
      <c r="I28" s="36">
        <f t="shared" si="0"/>
        <v>980</v>
      </c>
      <c r="J28" s="35" t="s">
        <v>41</v>
      </c>
      <c r="K28" s="35" t="s">
        <v>31</v>
      </c>
      <c r="L28" s="35" t="s">
        <v>1308</v>
      </c>
      <c r="M28" s="35"/>
      <c r="N28" s="35"/>
      <c r="O28" s="35"/>
      <c r="P28" s="35"/>
      <c r="Q28" s="35">
        <v>1</v>
      </c>
    </row>
    <row r="29" spans="1:18" x14ac:dyDescent="0.25">
      <c r="A29" s="35"/>
      <c r="B29" s="35" t="s">
        <v>26</v>
      </c>
      <c r="C29" s="35" t="s">
        <v>1341</v>
      </c>
      <c r="D29" s="35" t="s">
        <v>1342</v>
      </c>
      <c r="E29" s="35" t="s">
        <v>1343</v>
      </c>
      <c r="F29" s="35" t="s">
        <v>121</v>
      </c>
      <c r="G29" s="36">
        <v>775</v>
      </c>
      <c r="H29" s="36">
        <v>35</v>
      </c>
      <c r="I29" s="36">
        <f t="shared" si="0"/>
        <v>740</v>
      </c>
      <c r="J29" s="35" t="s">
        <v>41</v>
      </c>
      <c r="K29" s="35" t="s">
        <v>31</v>
      </c>
      <c r="L29" s="35" t="s">
        <v>1308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1347</v>
      </c>
      <c r="D30" s="35" t="s">
        <v>1348</v>
      </c>
      <c r="E30" s="35" t="s">
        <v>1349</v>
      </c>
      <c r="F30" s="36">
        <v>3</v>
      </c>
      <c r="G30" s="36">
        <v>585</v>
      </c>
      <c r="H30" s="36">
        <v>25</v>
      </c>
      <c r="I30" s="36">
        <f t="shared" si="0"/>
        <v>560</v>
      </c>
      <c r="J30" s="35" t="s">
        <v>41</v>
      </c>
      <c r="K30" s="35" t="s">
        <v>31</v>
      </c>
      <c r="L30" s="35" t="s">
        <v>1308</v>
      </c>
      <c r="M30" s="35"/>
      <c r="N30" s="35"/>
      <c r="O30" s="35"/>
      <c r="P30" s="35"/>
      <c r="Q30" s="35">
        <v>1</v>
      </c>
    </row>
    <row r="31" spans="1:18" x14ac:dyDescent="0.25">
      <c r="A31" s="35"/>
      <c r="B31" s="35" t="s">
        <v>26</v>
      </c>
      <c r="C31" s="35" t="s">
        <v>1350</v>
      </c>
      <c r="D31" s="35" t="s">
        <v>1351</v>
      </c>
      <c r="E31" s="35" t="s">
        <v>1352</v>
      </c>
      <c r="F31" s="36">
        <v>7</v>
      </c>
      <c r="G31" s="36">
        <v>790</v>
      </c>
      <c r="H31" s="36">
        <v>30</v>
      </c>
      <c r="I31" s="36">
        <f t="shared" si="0"/>
        <v>760</v>
      </c>
      <c r="J31" s="35" t="s">
        <v>41</v>
      </c>
      <c r="K31" s="35" t="s">
        <v>31</v>
      </c>
      <c r="L31" s="35" t="s">
        <v>1308</v>
      </c>
      <c r="M31" s="35"/>
      <c r="N31" s="35"/>
      <c r="O31" s="35"/>
      <c r="P31" s="35"/>
      <c r="Q31" s="35">
        <v>1</v>
      </c>
    </row>
    <row r="32" spans="1:18" x14ac:dyDescent="0.25">
      <c r="A32" s="35"/>
      <c r="B32" s="35" t="s">
        <v>26</v>
      </c>
      <c r="C32" s="35" t="s">
        <v>1353</v>
      </c>
      <c r="D32" s="35" t="s">
        <v>1354</v>
      </c>
      <c r="E32" s="35" t="s">
        <v>1355</v>
      </c>
      <c r="F32" s="35" t="s">
        <v>155</v>
      </c>
      <c r="G32" s="36">
        <v>2720</v>
      </c>
      <c r="H32" s="36">
        <v>20</v>
      </c>
      <c r="I32" s="36">
        <f t="shared" si="0"/>
        <v>2700</v>
      </c>
      <c r="J32" s="35" t="s">
        <v>41</v>
      </c>
      <c r="K32" s="35" t="s">
        <v>31</v>
      </c>
      <c r="L32" s="35" t="s">
        <v>1308</v>
      </c>
      <c r="M32" s="35"/>
      <c r="N32" s="35"/>
      <c r="O32" s="35"/>
      <c r="P32" s="35"/>
      <c r="Q32" s="35">
        <v>1</v>
      </c>
    </row>
    <row r="33" spans="1:18" x14ac:dyDescent="0.25">
      <c r="A33" s="35"/>
      <c r="B33" s="35" t="s">
        <v>26</v>
      </c>
      <c r="C33" s="35" t="s">
        <v>1356</v>
      </c>
      <c r="D33" s="35" t="s">
        <v>1357</v>
      </c>
      <c r="E33" s="35" t="s">
        <v>1358</v>
      </c>
      <c r="F33" s="35" t="s">
        <v>155</v>
      </c>
      <c r="G33" s="36">
        <v>720</v>
      </c>
      <c r="H33" s="36">
        <v>20</v>
      </c>
      <c r="I33" s="36">
        <f t="shared" si="0"/>
        <v>700</v>
      </c>
      <c r="J33" s="35" t="s">
        <v>41</v>
      </c>
      <c r="K33" s="35" t="s">
        <v>31</v>
      </c>
      <c r="L33" s="35" t="s">
        <v>1308</v>
      </c>
      <c r="M33" s="35"/>
      <c r="N33" s="35"/>
      <c r="O33" s="35"/>
      <c r="P33" s="35"/>
      <c r="Q33" s="35">
        <v>1</v>
      </c>
    </row>
    <row r="34" spans="1:18" x14ac:dyDescent="0.25">
      <c r="A34" s="35"/>
      <c r="B34" s="35" t="s">
        <v>26</v>
      </c>
      <c r="C34" s="35" t="s">
        <v>1359</v>
      </c>
      <c r="D34" s="35" t="s">
        <v>1360</v>
      </c>
      <c r="E34" s="35" t="s">
        <v>1361</v>
      </c>
      <c r="F34" s="36">
        <v>1</v>
      </c>
      <c r="G34" s="36">
        <v>2405</v>
      </c>
      <c r="H34" s="36">
        <v>25</v>
      </c>
      <c r="I34" s="36">
        <f t="shared" si="0"/>
        <v>2380</v>
      </c>
      <c r="J34" s="35" t="s">
        <v>41</v>
      </c>
      <c r="K34" s="35" t="s">
        <v>31</v>
      </c>
      <c r="L34" s="35" t="s">
        <v>1308</v>
      </c>
      <c r="M34" s="35"/>
      <c r="N34" s="35"/>
      <c r="O34" s="35"/>
      <c r="P34" s="35"/>
      <c r="Q34" s="35">
        <v>1</v>
      </c>
    </row>
    <row r="35" spans="1:18" x14ac:dyDescent="0.25">
      <c r="A35" s="35"/>
      <c r="B35" s="35" t="s">
        <v>26</v>
      </c>
      <c r="C35" s="35" t="s">
        <v>1367</v>
      </c>
      <c r="D35" s="35" t="s">
        <v>1368</v>
      </c>
      <c r="E35" s="35" t="s">
        <v>1369</v>
      </c>
      <c r="F35" s="36">
        <v>3</v>
      </c>
      <c r="G35" s="36">
        <v>0</v>
      </c>
      <c r="H35" s="36">
        <v>25</v>
      </c>
      <c r="I35" s="36">
        <f t="shared" si="0"/>
        <v>-25</v>
      </c>
      <c r="J35" s="35" t="s">
        <v>41</v>
      </c>
      <c r="K35" s="35" t="s">
        <v>31</v>
      </c>
      <c r="L35" s="35" t="s">
        <v>1308</v>
      </c>
      <c r="M35" s="35"/>
      <c r="N35" s="35"/>
      <c r="O35" s="35"/>
      <c r="P35" s="35"/>
      <c r="Q35" s="35">
        <v>1</v>
      </c>
      <c r="R35" s="25">
        <f>H35</f>
        <v>25</v>
      </c>
    </row>
    <row r="36" spans="1:18" x14ac:dyDescent="0.25">
      <c r="A36" s="35"/>
      <c r="B36" s="35" t="s">
        <v>26</v>
      </c>
      <c r="C36" s="35" t="s">
        <v>1375</v>
      </c>
      <c r="D36" s="35" t="s">
        <v>1376</v>
      </c>
      <c r="E36" s="35" t="s">
        <v>1377</v>
      </c>
      <c r="F36" s="36">
        <v>4</v>
      </c>
      <c r="G36" s="36">
        <v>1395</v>
      </c>
      <c r="H36" s="36">
        <v>25</v>
      </c>
      <c r="I36" s="36">
        <f t="shared" si="0"/>
        <v>1370</v>
      </c>
      <c r="J36" s="35" t="s">
        <v>41</v>
      </c>
      <c r="K36" s="35" t="s">
        <v>31</v>
      </c>
      <c r="L36" s="35" t="s">
        <v>1308</v>
      </c>
      <c r="M36" s="35"/>
      <c r="N36" s="35"/>
      <c r="O36" s="35"/>
      <c r="P36" s="35"/>
      <c r="Q36" s="35">
        <v>1</v>
      </c>
    </row>
    <row r="37" spans="1:18" x14ac:dyDescent="0.25">
      <c r="A37" s="35"/>
      <c r="B37" s="35" t="s">
        <v>26</v>
      </c>
      <c r="C37" s="35" t="s">
        <v>1113</v>
      </c>
      <c r="D37" s="35" t="s">
        <v>1388</v>
      </c>
      <c r="E37" s="35" t="s">
        <v>1115</v>
      </c>
      <c r="F37" s="36">
        <v>1</v>
      </c>
      <c r="G37" s="36">
        <v>0</v>
      </c>
      <c r="H37" s="36">
        <v>25</v>
      </c>
      <c r="I37" s="36">
        <f t="shared" si="0"/>
        <v>-25</v>
      </c>
      <c r="J37" s="35" t="s">
        <v>41</v>
      </c>
      <c r="K37" s="35" t="s">
        <v>31</v>
      </c>
      <c r="L37" s="35" t="s">
        <v>1308</v>
      </c>
      <c r="M37" s="35"/>
      <c r="N37" s="35"/>
      <c r="O37" s="35"/>
      <c r="P37" s="35"/>
      <c r="Q37" s="35">
        <v>1</v>
      </c>
      <c r="R37" s="25">
        <f>H37</f>
        <v>25</v>
      </c>
    </row>
    <row r="38" spans="1:18" x14ac:dyDescent="0.25">
      <c r="A38" s="35"/>
      <c r="B38" s="35" t="s">
        <v>26</v>
      </c>
      <c r="C38" s="35" t="s">
        <v>1389</v>
      </c>
      <c r="D38" s="35" t="s">
        <v>1390</v>
      </c>
      <c r="E38" s="35" t="s">
        <v>1391</v>
      </c>
      <c r="F38" s="35" t="s">
        <v>101</v>
      </c>
      <c r="G38" s="36">
        <v>578</v>
      </c>
      <c r="H38" s="36">
        <v>25</v>
      </c>
      <c r="I38" s="36">
        <f t="shared" si="0"/>
        <v>553</v>
      </c>
      <c r="J38" s="35" t="s">
        <v>41</v>
      </c>
      <c r="K38" s="35" t="s">
        <v>31</v>
      </c>
      <c r="L38" s="35" t="s">
        <v>1308</v>
      </c>
      <c r="M38" s="38" t="s">
        <v>59</v>
      </c>
      <c r="N38" s="35"/>
      <c r="O38" s="35"/>
      <c r="P38" s="35"/>
      <c r="Q38" s="35">
        <v>1</v>
      </c>
      <c r="R38" s="25">
        <f>H38</f>
        <v>25</v>
      </c>
    </row>
    <row r="39" spans="1:18" s="30" customFormat="1" x14ac:dyDescent="0.25">
      <c r="A39" s="37"/>
      <c r="B39" s="37" t="s">
        <v>26</v>
      </c>
      <c r="C39" s="37" t="s">
        <v>1153</v>
      </c>
      <c r="D39" s="37" t="s">
        <v>1154</v>
      </c>
      <c r="E39" s="37" t="s">
        <v>1155</v>
      </c>
      <c r="F39" s="43">
        <v>5</v>
      </c>
      <c r="G39" s="43">
        <v>345</v>
      </c>
      <c r="H39" s="43">
        <v>25</v>
      </c>
      <c r="I39" s="43">
        <f t="shared" si="0"/>
        <v>320</v>
      </c>
      <c r="J39" s="37" t="s">
        <v>118</v>
      </c>
      <c r="K39" s="37" t="s">
        <v>31</v>
      </c>
      <c r="L39" s="37" t="s">
        <v>1060</v>
      </c>
      <c r="M39" s="37" t="s">
        <v>91</v>
      </c>
      <c r="N39" s="37" t="s">
        <v>316</v>
      </c>
      <c r="O39" s="37" t="s">
        <v>316</v>
      </c>
      <c r="P39" s="37" t="s">
        <v>317</v>
      </c>
      <c r="Q39" s="37">
        <v>1</v>
      </c>
    </row>
    <row r="41" spans="1:18" x14ac:dyDescent="0.25">
      <c r="D41" s="26">
        <f>COUNTA(D3:D39)</f>
        <v>29</v>
      </c>
      <c r="G41" s="26">
        <f t="shared" ref="G41:Q41" si="2">SUBTOTAL(9,G3:G39)</f>
        <v>35953</v>
      </c>
      <c r="H41" s="26">
        <f t="shared" si="2"/>
        <v>1060</v>
      </c>
      <c r="I41" s="26">
        <f t="shared" si="2"/>
        <v>34893</v>
      </c>
      <c r="J41" s="26">
        <f t="shared" si="2"/>
        <v>0</v>
      </c>
      <c r="K41" s="26">
        <f t="shared" si="2"/>
        <v>0</v>
      </c>
      <c r="L41" s="26">
        <f t="shared" si="2"/>
        <v>0</v>
      </c>
      <c r="M41" s="26">
        <f t="shared" si="2"/>
        <v>0</v>
      </c>
      <c r="N41" s="26">
        <f t="shared" si="2"/>
        <v>0</v>
      </c>
      <c r="O41" s="26">
        <f t="shared" si="2"/>
        <v>0</v>
      </c>
      <c r="P41" s="26">
        <f t="shared" si="2"/>
        <v>0</v>
      </c>
      <c r="Q41" s="26">
        <f t="shared" si="2"/>
        <v>37</v>
      </c>
    </row>
    <row r="42" spans="1:18" x14ac:dyDescent="0.25">
      <c r="H42" s="24">
        <f>-7*17</f>
        <v>-119</v>
      </c>
    </row>
    <row r="43" spans="1:18" x14ac:dyDescent="0.25">
      <c r="A43" s="26" t="s">
        <v>26</v>
      </c>
      <c r="C43" s="80" t="s">
        <v>78</v>
      </c>
      <c r="D43" s="80"/>
      <c r="E43" s="27" t="s">
        <v>79</v>
      </c>
      <c r="H43" s="24">
        <f>-3*25</f>
        <v>-75</v>
      </c>
      <c r="K43" s="28" t="s">
        <v>41</v>
      </c>
      <c r="L43" s="28" t="s">
        <v>80</v>
      </c>
      <c r="M43" s="28" t="s">
        <v>79</v>
      </c>
      <c r="O43" s="27" t="s">
        <v>81</v>
      </c>
    </row>
    <row r="44" spans="1:18" x14ac:dyDescent="0.25">
      <c r="A44" s="24" t="s">
        <v>1308</v>
      </c>
      <c r="B44" s="29" t="s">
        <v>82</v>
      </c>
      <c r="C44" s="81">
        <f>SUMIFS(I$3:I$39,B$3:B$39,A$43,L$3:L$39,A$44)</f>
        <v>34573</v>
      </c>
      <c r="D44" s="81"/>
      <c r="E44" s="29">
        <f>SUMIFS(Q$3:Q$39,B$3:B$39,A$43,L$3:L$39,A$44)</f>
        <v>36</v>
      </c>
      <c r="F44" s="24" t="s">
        <v>83</v>
      </c>
      <c r="K44" s="24" t="s">
        <v>84</v>
      </c>
      <c r="L44" s="24">
        <f>SUMIFS(G$3:G$39,J$3:J$39,K$43)</f>
        <v>12993</v>
      </c>
      <c r="M44" s="24">
        <f>SUMIFS(Q$3:Q$39,J$3:J$39,K$43)-INT(COUNTIFS(J$3:J$39,K$43,M$3:M$39,"*gộp*")/2)</f>
        <v>16</v>
      </c>
      <c r="O44" s="24" t="s">
        <v>41</v>
      </c>
      <c r="P44" s="24">
        <f>L49</f>
        <v>12328</v>
      </c>
    </row>
    <row r="45" spans="1:18" x14ac:dyDescent="0.25">
      <c r="B45" s="30" t="s">
        <v>86</v>
      </c>
      <c r="C45" s="82">
        <v>0</v>
      </c>
      <c r="D45" s="82"/>
      <c r="K45" s="24" t="s">
        <v>87</v>
      </c>
      <c r="L45" s="24">
        <f>-SUMIFS(H$3:H$39,J$3:J$39,K$43)+M45*5</f>
        <v>-340</v>
      </c>
      <c r="M45" s="24">
        <f>SUMIFS(Q$3:Q$39,J$3:J$39,K$43)-INT(COUNTIFS(J$3:J$39,K$43,M$3:M$39,"*gộp*")/2)</f>
        <v>16</v>
      </c>
      <c r="O45" s="24" t="s">
        <v>1395</v>
      </c>
      <c r="P45" s="24">
        <f>L57</f>
        <v>9316</v>
      </c>
    </row>
    <row r="46" spans="1:18" x14ac:dyDescent="0.25">
      <c r="B46" s="30" t="s">
        <v>88</v>
      </c>
      <c r="C46" s="82">
        <f>-SUMIFS(I$3:I$39,B$3:B$39,A$43,P$3:P$39,"xx",N$3:N$39,"x")</f>
        <v>-320</v>
      </c>
      <c r="D46" s="82"/>
      <c r="E46" s="30">
        <f>SUMIFS(Q$3:Q$39,B$3:B$39,A$43,P$3:P$39,"xx",N$3:N$39,"x")</f>
        <v>1</v>
      </c>
      <c r="K46" s="24" t="s">
        <v>89</v>
      </c>
      <c r="L46" s="24">
        <f>-M46*2</f>
        <v>0</v>
      </c>
      <c r="M46" s="24">
        <f>COUNTIFS(K$3:K$39,K$43,L$3:L$39,A$44)-(COUNTIFS(K$3:K$39,K$43,M$3:M$39,"*gộp*")/2)-COUNTIFS(K$3:K$39,K$43,M$3:M$39,"*đơn trả*")-COUNTIFS(K$3:K$39,K$43,M$3:M$39,"*hàng tỉnh*")</f>
        <v>0</v>
      </c>
      <c r="O46" s="24" t="s">
        <v>31</v>
      </c>
      <c r="P46" s="24">
        <f>L65</f>
        <v>12780</v>
      </c>
    </row>
    <row r="47" spans="1:18" x14ac:dyDescent="0.25">
      <c r="B47" s="27" t="s">
        <v>90</v>
      </c>
      <c r="C47" s="80">
        <f>SUBTOTAL(9,C44:C46)</f>
        <v>34253</v>
      </c>
      <c r="D47" s="80"/>
      <c r="E47" s="24">
        <f>E44</f>
        <v>36</v>
      </c>
      <c r="K47" s="31" t="s">
        <v>91</v>
      </c>
      <c r="L47" s="48">
        <v>-325</v>
      </c>
      <c r="M47" s="48" t="s">
        <v>590</v>
      </c>
      <c r="O47" s="24" t="s">
        <v>92</v>
      </c>
      <c r="P47" s="24">
        <f>-C51</f>
        <v>-34253</v>
      </c>
    </row>
    <row r="48" spans="1:18" x14ac:dyDescent="0.25">
      <c r="B48" s="30" t="s">
        <v>93</v>
      </c>
      <c r="C48" s="78"/>
      <c r="D48" s="78"/>
      <c r="K48" s="30" t="s">
        <v>94</v>
      </c>
      <c r="O48" s="27" t="s">
        <v>95</v>
      </c>
      <c r="P48" s="27">
        <f>SUBTOTAL(9,P44:P47)</f>
        <v>171</v>
      </c>
    </row>
    <row r="49" spans="2:13" x14ac:dyDescent="0.25">
      <c r="B49" s="32" t="s">
        <v>96</v>
      </c>
      <c r="C49" s="78"/>
      <c r="D49" s="78"/>
      <c r="L49" s="33">
        <f>SUBTOTAL(9,L44:L48)</f>
        <v>12328</v>
      </c>
      <c r="M49" s="33">
        <f>M44</f>
        <v>16</v>
      </c>
    </row>
    <row r="51" spans="2:13" x14ac:dyDescent="0.25">
      <c r="B51" s="26" t="s">
        <v>97</v>
      </c>
      <c r="C51" s="79">
        <f>C47+C48+C49</f>
        <v>34253</v>
      </c>
      <c r="D51" s="79"/>
      <c r="E51" s="26" t="s">
        <v>98</v>
      </c>
      <c r="K51" s="28" t="s">
        <v>1311</v>
      </c>
      <c r="L51" s="28" t="s">
        <v>80</v>
      </c>
      <c r="M51" s="28" t="s">
        <v>79</v>
      </c>
    </row>
    <row r="52" spans="2:13" x14ac:dyDescent="0.25">
      <c r="K52" s="24" t="s">
        <v>84</v>
      </c>
      <c r="L52" s="24">
        <f>SUMIFS(G$3:G$39,J$3:J$39,K$51)</f>
        <v>9510</v>
      </c>
      <c r="M52" s="24">
        <f>SUMIFS(Q$3:Q$39,J$3:J$39,K$51)-INT(COUNTIFS(J$3:J$39,K$51,M$3:M$39,"*gộp*")/2)</f>
        <v>10</v>
      </c>
    </row>
    <row r="53" spans="2:13" x14ac:dyDescent="0.25">
      <c r="K53" s="24" t="s">
        <v>87</v>
      </c>
      <c r="L53" s="24">
        <f>SUM(H42:H43)</f>
        <v>-194</v>
      </c>
      <c r="M53" s="24">
        <f>SUMIFS(Q$3:Q$39,J$3:J$39,K$51)-INT(COUNTIFS(J$3:J$39,K$51,M$3:M$39,"*gộp*")/2)</f>
        <v>10</v>
      </c>
    </row>
    <row r="54" spans="2:13" x14ac:dyDescent="0.25">
      <c r="K54" s="24" t="s">
        <v>89</v>
      </c>
      <c r="L54" s="24">
        <f>-M54*2</f>
        <v>0</v>
      </c>
      <c r="M54" s="24">
        <f>COUNTIFS(K$3:K$39,K$51,L$3:L$39,A$44)-(COUNTIFS(K$3:K$39,K$51,M$3:M$39,"*gộp*")/2)-COUNTIFS(K$3:K$39,K$51,M$3:M$39,"*đơn trả*")-COUNTIFS(K$3:K$39,K$51,M$3:M$39,"*hàng tỉnh*")</f>
        <v>0</v>
      </c>
    </row>
    <row r="55" spans="2:13" x14ac:dyDescent="0.25">
      <c r="K55" s="31" t="s">
        <v>91</v>
      </c>
    </row>
    <row r="56" spans="2:13" x14ac:dyDescent="0.25">
      <c r="K56" s="30" t="s">
        <v>94</v>
      </c>
    </row>
    <row r="57" spans="2:13" x14ac:dyDescent="0.25">
      <c r="L57" s="33">
        <f>SUBTOTAL(9,L52:L56)</f>
        <v>9316</v>
      </c>
      <c r="M57" s="33">
        <f>M52</f>
        <v>10</v>
      </c>
    </row>
    <row r="59" spans="2:13" x14ac:dyDescent="0.25">
      <c r="K59" s="28" t="s">
        <v>31</v>
      </c>
      <c r="L59" s="28" t="s">
        <v>80</v>
      </c>
      <c r="M59" s="28" t="s">
        <v>79</v>
      </c>
    </row>
    <row r="60" spans="2:13" x14ac:dyDescent="0.25">
      <c r="K60" s="24" t="s">
        <v>84</v>
      </c>
      <c r="L60" s="24">
        <f>SUMIFS(G$3:G$39,J$3:J$39,K$59)</f>
        <v>13105</v>
      </c>
      <c r="M60" s="24">
        <f>SUMIFS(Q$3:Q$39,J$3:J$39,K$59)-INT(COUNTIFS(J$3:J$39,K$59,M$3:M$39,"*gộp*")/2)</f>
        <v>10</v>
      </c>
    </row>
    <row r="61" spans="2:13" x14ac:dyDescent="0.25">
      <c r="K61" s="24" t="s">
        <v>87</v>
      </c>
      <c r="L61" s="24">
        <f>-SUMIFS(H$3:H$39,J$3:J$39,K$59)+M61*5</f>
        <v>-255</v>
      </c>
      <c r="M61" s="24">
        <f>SUMIFS(Q$3:Q$39,J$3:J$39,K$59)-INT(COUNTIFS(J$3:J$39,K$59,M$3:M$39,"*gộp*")/2)</f>
        <v>10</v>
      </c>
    </row>
    <row r="62" spans="2:13" x14ac:dyDescent="0.25">
      <c r="K62" s="24" t="s">
        <v>89</v>
      </c>
      <c r="L62" s="24">
        <f>-M62*2</f>
        <v>-70</v>
      </c>
      <c r="M62" s="24">
        <f>COUNTIFS(K$3:K$39,K$59,L$3:L$39,A$44)-(COUNTIFS(K$3:K$39,K$59,M$3:M$39,"*gộp*")/2)-COUNTIFS(K$3:K$39,K$59,M$3:M$39,"*đơn trả*")-COUNTIFS(K$3:K$39,K$59,M$3:M$39,"*hàng tỉnh*")</f>
        <v>35</v>
      </c>
    </row>
    <row r="63" spans="2:13" x14ac:dyDescent="0.25">
      <c r="K63" s="31" t="s">
        <v>91</v>
      </c>
    </row>
    <row r="64" spans="2:13" x14ac:dyDescent="0.25">
      <c r="K64" s="30" t="s">
        <v>94</v>
      </c>
    </row>
    <row r="65" spans="12:13" x14ac:dyDescent="0.25">
      <c r="L65" s="33">
        <f>SUBTOTAL(9,L60:L64)</f>
        <v>12780</v>
      </c>
      <c r="M65" s="33">
        <f>M60</f>
        <v>10</v>
      </c>
    </row>
  </sheetData>
  <autoFilter ref="A2:P39" xr:uid="{00000000-0009-0000-0000-000000000000}">
    <sortState xmlns:xlrd2="http://schemas.microsoft.com/office/spreadsheetml/2017/richdata2" ref="A3:P39">
      <sortCondition ref="J2:J39"/>
    </sortState>
  </autoFilter>
  <mergeCells count="8">
    <mergeCell ref="C49:D49"/>
    <mergeCell ref="C51:D51"/>
    <mergeCell ref="C43:D43"/>
    <mergeCell ref="C44:D44"/>
    <mergeCell ref="C45:D45"/>
    <mergeCell ref="C46:D46"/>
    <mergeCell ref="C47:D47"/>
    <mergeCell ref="C48:D48"/>
  </mergeCells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6790-3D41-48DB-A0FE-4B34A0EBE301}">
  <dimension ref="A1:R80"/>
  <sheetViews>
    <sheetView zoomScale="90" zoomScaleNormal="90" workbookViewId="0">
      <selection sqref="A1:XFD1"/>
    </sheetView>
  </sheetViews>
  <sheetFormatPr defaultRowHeight="15" x14ac:dyDescent="0.25"/>
  <cols>
    <col min="1" max="1" width="12.7109375" style="24" customWidth="1"/>
    <col min="2" max="2" width="8.85546875" style="24" customWidth="1"/>
    <col min="3" max="3" width="38.85546875" style="24" customWidth="1"/>
    <col min="4" max="4" width="9.85546875" style="24" customWidth="1"/>
    <col min="5" max="5" width="88.85546875" style="24" customWidth="1"/>
    <col min="6" max="6" width="10.71093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2.5703125" style="24" bestFit="1" customWidth="1"/>
    <col min="13" max="13" width="13.85546875" style="24" customWidth="1"/>
    <col min="14" max="14" width="9.7109375" style="24" customWidth="1"/>
    <col min="15" max="15" width="10.42578125" style="24" customWidth="1"/>
    <col min="16" max="16" width="7.28515625" style="24" bestFit="1" customWidth="1"/>
    <col min="17" max="16384" width="9.140625" style="24"/>
  </cols>
  <sheetData>
    <row r="1" spans="1:18" x14ac:dyDescent="0.25">
      <c r="B1" s="24" t="s">
        <v>1167</v>
      </c>
      <c r="C1" s="24" t="s">
        <v>1527</v>
      </c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/>
      <c r="B3" s="35" t="s">
        <v>26</v>
      </c>
      <c r="C3" s="35" t="s">
        <v>1399</v>
      </c>
      <c r="D3" s="35" t="s">
        <v>1400</v>
      </c>
      <c r="E3" s="35" t="s">
        <v>1401</v>
      </c>
      <c r="F3" s="35" t="s">
        <v>77</v>
      </c>
      <c r="G3" s="36">
        <v>365</v>
      </c>
      <c r="H3" s="36">
        <v>35</v>
      </c>
      <c r="I3" s="36">
        <f t="shared" ref="I3:I34" si="0">G3-H3</f>
        <v>330</v>
      </c>
      <c r="J3" s="35" t="s">
        <v>1402</v>
      </c>
      <c r="K3" s="35" t="s">
        <v>31</v>
      </c>
      <c r="L3" s="35" t="s">
        <v>1397</v>
      </c>
      <c r="M3" s="35"/>
      <c r="N3" s="35"/>
      <c r="O3" s="35"/>
      <c r="P3" s="35"/>
      <c r="Q3" s="35">
        <v>1</v>
      </c>
    </row>
    <row r="4" spans="1:18" x14ac:dyDescent="0.25">
      <c r="A4" s="35" t="s">
        <v>66</v>
      </c>
      <c r="B4" s="35" t="s">
        <v>26</v>
      </c>
      <c r="C4" s="35" t="s">
        <v>1403</v>
      </c>
      <c r="D4" s="35"/>
      <c r="E4" s="35" t="s">
        <v>1404</v>
      </c>
      <c r="F4" s="35" t="s">
        <v>77</v>
      </c>
      <c r="G4" s="36">
        <v>0</v>
      </c>
      <c r="H4" s="36">
        <v>35</v>
      </c>
      <c r="I4" s="36">
        <f t="shared" si="0"/>
        <v>-35</v>
      </c>
      <c r="J4" s="35" t="s">
        <v>1402</v>
      </c>
      <c r="K4" s="35" t="s">
        <v>31</v>
      </c>
      <c r="L4" s="35" t="s">
        <v>1397</v>
      </c>
      <c r="M4" s="35"/>
      <c r="N4" s="35"/>
      <c r="O4" s="35"/>
      <c r="P4" s="35"/>
      <c r="Q4" s="35">
        <v>1</v>
      </c>
      <c r="R4" s="25">
        <f>H4</f>
        <v>35</v>
      </c>
    </row>
    <row r="5" spans="1:18" x14ac:dyDescent="0.25">
      <c r="A5" s="35"/>
      <c r="B5" s="35" t="s">
        <v>26</v>
      </c>
      <c r="C5" s="35" t="s">
        <v>1410</v>
      </c>
      <c r="D5" s="35" t="s">
        <v>1411</v>
      </c>
      <c r="E5" s="35" t="s">
        <v>1412</v>
      </c>
      <c r="F5" s="35" t="s">
        <v>77</v>
      </c>
      <c r="G5" s="36">
        <v>0</v>
      </c>
      <c r="H5" s="36">
        <v>30</v>
      </c>
      <c r="I5" s="36">
        <f t="shared" si="0"/>
        <v>-30</v>
      </c>
      <c r="J5" s="35" t="s">
        <v>1402</v>
      </c>
      <c r="K5" s="35" t="s">
        <v>31</v>
      </c>
      <c r="L5" s="35" t="s">
        <v>1397</v>
      </c>
      <c r="M5" s="35"/>
      <c r="N5" s="35"/>
      <c r="O5" s="35"/>
      <c r="P5" s="35"/>
      <c r="Q5" s="35">
        <v>1</v>
      </c>
      <c r="R5" s="25">
        <f>H5</f>
        <v>30</v>
      </c>
    </row>
    <row r="6" spans="1:18" x14ac:dyDescent="0.25">
      <c r="A6" s="35"/>
      <c r="B6" s="35" t="s">
        <v>26</v>
      </c>
      <c r="C6" s="35" t="s">
        <v>1431</v>
      </c>
      <c r="D6" s="35" t="s">
        <v>1432</v>
      </c>
      <c r="E6" s="35" t="s">
        <v>1433</v>
      </c>
      <c r="F6" s="35" t="s">
        <v>45</v>
      </c>
      <c r="G6" s="36">
        <v>215</v>
      </c>
      <c r="H6" s="36">
        <v>25</v>
      </c>
      <c r="I6" s="36">
        <f t="shared" si="0"/>
        <v>190</v>
      </c>
      <c r="J6" s="35" t="s">
        <v>1402</v>
      </c>
      <c r="K6" s="35" t="s">
        <v>31</v>
      </c>
      <c r="L6" s="35" t="s">
        <v>1397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1434</v>
      </c>
      <c r="D7" s="35" t="s">
        <v>1435</v>
      </c>
      <c r="E7" s="35" t="s">
        <v>1436</v>
      </c>
      <c r="F7" s="36">
        <v>11</v>
      </c>
      <c r="G7" s="36">
        <v>0</v>
      </c>
      <c r="H7" s="36">
        <v>25</v>
      </c>
      <c r="I7" s="36">
        <f t="shared" si="0"/>
        <v>-25</v>
      </c>
      <c r="J7" s="35" t="s">
        <v>1402</v>
      </c>
      <c r="K7" s="35" t="s">
        <v>31</v>
      </c>
      <c r="L7" s="35" t="s">
        <v>1397</v>
      </c>
      <c r="M7" s="35"/>
      <c r="N7" s="35"/>
      <c r="O7" s="35"/>
      <c r="P7" s="35"/>
      <c r="Q7" s="35">
        <v>1</v>
      </c>
      <c r="R7" s="25">
        <f>H7</f>
        <v>25</v>
      </c>
    </row>
    <row r="8" spans="1:18" x14ac:dyDescent="0.25">
      <c r="A8" s="35"/>
      <c r="B8" s="35" t="s">
        <v>26</v>
      </c>
      <c r="C8" s="35" t="s">
        <v>1437</v>
      </c>
      <c r="D8" s="35" t="s">
        <v>1438</v>
      </c>
      <c r="E8" s="35" t="s">
        <v>1439</v>
      </c>
      <c r="F8" s="35" t="s">
        <v>77</v>
      </c>
      <c r="G8" s="36">
        <v>380</v>
      </c>
      <c r="H8" s="36">
        <v>30</v>
      </c>
      <c r="I8" s="36">
        <f t="shared" si="0"/>
        <v>350</v>
      </c>
      <c r="J8" s="35" t="s">
        <v>1402</v>
      </c>
      <c r="K8" s="35" t="s">
        <v>31</v>
      </c>
      <c r="L8" s="35" t="s">
        <v>1397</v>
      </c>
      <c r="M8" s="35"/>
      <c r="N8" s="35"/>
      <c r="O8" s="35"/>
      <c r="P8" s="35"/>
      <c r="Q8" s="35">
        <v>1</v>
      </c>
    </row>
    <row r="9" spans="1:18" x14ac:dyDescent="0.25">
      <c r="A9" s="35"/>
      <c r="B9" s="35" t="s">
        <v>26</v>
      </c>
      <c r="C9" s="35" t="s">
        <v>1392</v>
      </c>
      <c r="D9" s="35" t="s">
        <v>1440</v>
      </c>
      <c r="E9" s="35" t="s">
        <v>1394</v>
      </c>
      <c r="F9" s="35" t="s">
        <v>77</v>
      </c>
      <c r="G9" s="36">
        <v>520</v>
      </c>
      <c r="H9" s="36">
        <v>30</v>
      </c>
      <c r="I9" s="36">
        <f t="shared" si="0"/>
        <v>490</v>
      </c>
      <c r="J9" s="35" t="s">
        <v>1402</v>
      </c>
      <c r="K9" s="35" t="s">
        <v>31</v>
      </c>
      <c r="L9" s="35" t="s">
        <v>1397</v>
      </c>
      <c r="M9" s="35"/>
      <c r="N9" s="35"/>
      <c r="O9" s="35"/>
      <c r="P9" s="35"/>
      <c r="Q9" s="35">
        <v>1</v>
      </c>
    </row>
    <row r="10" spans="1:18" x14ac:dyDescent="0.25">
      <c r="A10" s="35"/>
      <c r="B10" s="35" t="s">
        <v>26</v>
      </c>
      <c r="C10" s="35" t="s">
        <v>1449</v>
      </c>
      <c r="D10" s="35" t="s">
        <v>1450</v>
      </c>
      <c r="E10" s="35" t="s">
        <v>1451</v>
      </c>
      <c r="F10" s="36">
        <v>6</v>
      </c>
      <c r="G10" s="36">
        <v>815</v>
      </c>
      <c r="H10" s="36">
        <v>25</v>
      </c>
      <c r="I10" s="36">
        <f t="shared" si="0"/>
        <v>790</v>
      </c>
      <c r="J10" s="35" t="s">
        <v>1402</v>
      </c>
      <c r="K10" s="35" t="s">
        <v>31</v>
      </c>
      <c r="L10" s="35" t="s">
        <v>1397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1469</v>
      </c>
      <c r="D11" s="35" t="s">
        <v>1470</v>
      </c>
      <c r="E11" s="35" t="s">
        <v>1471</v>
      </c>
      <c r="F11" s="36">
        <v>6</v>
      </c>
      <c r="G11" s="36">
        <v>1005</v>
      </c>
      <c r="H11" s="36">
        <v>25</v>
      </c>
      <c r="I11" s="36">
        <f t="shared" si="0"/>
        <v>980</v>
      </c>
      <c r="J11" s="35" t="s">
        <v>1402</v>
      </c>
      <c r="K11" s="35" t="s">
        <v>31</v>
      </c>
      <c r="L11" s="35" t="s">
        <v>1397</v>
      </c>
      <c r="M11" s="35"/>
      <c r="N11" s="35"/>
      <c r="O11" s="35"/>
      <c r="P11" s="35"/>
      <c r="Q11" s="35">
        <v>1</v>
      </c>
    </row>
    <row r="12" spans="1:18" x14ac:dyDescent="0.25">
      <c r="A12" s="35"/>
      <c r="B12" s="35" t="s">
        <v>26</v>
      </c>
      <c r="C12" s="35" t="s">
        <v>1472</v>
      </c>
      <c r="D12" s="35" t="s">
        <v>1473</v>
      </c>
      <c r="E12" s="35" t="s">
        <v>1474</v>
      </c>
      <c r="F12" s="35" t="s">
        <v>121</v>
      </c>
      <c r="G12" s="36">
        <v>1775</v>
      </c>
      <c r="H12" s="36">
        <v>35</v>
      </c>
      <c r="I12" s="36">
        <f t="shared" si="0"/>
        <v>1740</v>
      </c>
      <c r="J12" s="35" t="s">
        <v>1402</v>
      </c>
      <c r="K12" s="35" t="s">
        <v>31</v>
      </c>
      <c r="L12" s="35" t="s">
        <v>1397</v>
      </c>
      <c r="M12" s="35"/>
      <c r="N12" s="35"/>
      <c r="O12" s="35"/>
      <c r="P12" s="35"/>
      <c r="Q12" s="35">
        <v>1</v>
      </c>
    </row>
    <row r="13" spans="1:18" x14ac:dyDescent="0.25">
      <c r="A13" s="35"/>
      <c r="B13" s="35" t="s">
        <v>26</v>
      </c>
      <c r="C13" s="35" t="s">
        <v>1480</v>
      </c>
      <c r="D13" s="35" t="s">
        <v>1481</v>
      </c>
      <c r="E13" s="35" t="s">
        <v>1482</v>
      </c>
      <c r="F13" s="36">
        <v>6</v>
      </c>
      <c r="G13" s="36">
        <v>495</v>
      </c>
      <c r="H13" s="36">
        <v>25</v>
      </c>
      <c r="I13" s="36">
        <f t="shared" si="0"/>
        <v>470</v>
      </c>
      <c r="J13" s="35" t="s">
        <v>1402</v>
      </c>
      <c r="K13" s="35" t="s">
        <v>31</v>
      </c>
      <c r="L13" s="35" t="s">
        <v>1397</v>
      </c>
      <c r="M13" s="35"/>
      <c r="N13" s="35"/>
      <c r="O13" s="35"/>
      <c r="P13" s="35"/>
      <c r="Q13" s="35">
        <v>1</v>
      </c>
    </row>
    <row r="14" spans="1:18" x14ac:dyDescent="0.25">
      <c r="A14" s="35"/>
      <c r="B14" s="35" t="s">
        <v>26</v>
      </c>
      <c r="C14" s="35" t="s">
        <v>1486</v>
      </c>
      <c r="D14" s="35" t="s">
        <v>1487</v>
      </c>
      <c r="E14" s="35" t="s">
        <v>1488</v>
      </c>
      <c r="F14" s="36">
        <v>9</v>
      </c>
      <c r="G14" s="36">
        <v>1110</v>
      </c>
      <c r="H14" s="36">
        <v>30</v>
      </c>
      <c r="I14" s="36">
        <f t="shared" si="0"/>
        <v>1080</v>
      </c>
      <c r="J14" s="35" t="s">
        <v>1402</v>
      </c>
      <c r="K14" s="35" t="s">
        <v>31</v>
      </c>
      <c r="L14" s="35" t="s">
        <v>1397</v>
      </c>
      <c r="M14" s="35"/>
      <c r="N14" s="35"/>
      <c r="O14" s="35"/>
      <c r="P14" s="35"/>
      <c r="Q14" s="35">
        <v>1</v>
      </c>
    </row>
    <row r="15" spans="1:18" x14ac:dyDescent="0.25">
      <c r="A15" s="35"/>
      <c r="B15" s="35" t="s">
        <v>26</v>
      </c>
      <c r="C15" s="35" t="s">
        <v>1489</v>
      </c>
      <c r="D15" s="35" t="s">
        <v>1490</v>
      </c>
      <c r="E15" s="35" t="s">
        <v>1491</v>
      </c>
      <c r="F15" s="35" t="s">
        <v>77</v>
      </c>
      <c r="G15" s="36">
        <v>398</v>
      </c>
      <c r="H15" s="36">
        <v>30</v>
      </c>
      <c r="I15" s="36">
        <f t="shared" si="0"/>
        <v>368</v>
      </c>
      <c r="J15" s="35" t="s">
        <v>1402</v>
      </c>
      <c r="K15" s="35" t="s">
        <v>31</v>
      </c>
      <c r="L15" s="35" t="s">
        <v>1397</v>
      </c>
      <c r="M15" s="38" t="s">
        <v>59</v>
      </c>
      <c r="N15" s="35"/>
      <c r="O15" s="35"/>
      <c r="P15" s="35"/>
      <c r="Q15" s="35">
        <v>1</v>
      </c>
      <c r="R15" s="25">
        <f>H15</f>
        <v>30</v>
      </c>
    </row>
    <row r="16" spans="1:18" x14ac:dyDescent="0.25">
      <c r="A16" s="35"/>
      <c r="B16" s="35" t="s">
        <v>26</v>
      </c>
      <c r="C16" s="35" t="s">
        <v>1437</v>
      </c>
      <c r="D16" s="35" t="s">
        <v>1494</v>
      </c>
      <c r="E16" s="35" t="s">
        <v>1495</v>
      </c>
      <c r="F16" s="35" t="s">
        <v>77</v>
      </c>
      <c r="G16" s="36">
        <v>1920</v>
      </c>
      <c r="H16" s="36">
        <v>30</v>
      </c>
      <c r="I16" s="36">
        <f t="shared" si="0"/>
        <v>1890</v>
      </c>
      <c r="J16" s="35" t="s">
        <v>1402</v>
      </c>
      <c r="K16" s="35" t="s">
        <v>31</v>
      </c>
      <c r="L16" s="35" t="s">
        <v>1397</v>
      </c>
      <c r="M16" s="35"/>
      <c r="N16" s="35"/>
      <c r="O16" s="35"/>
      <c r="P16" s="35"/>
      <c r="Q16" s="35">
        <v>1</v>
      </c>
    </row>
    <row r="17" spans="1:18" x14ac:dyDescent="0.25">
      <c r="A17" s="35"/>
      <c r="B17" s="35" t="s">
        <v>26</v>
      </c>
      <c r="C17" s="35" t="s">
        <v>1501</v>
      </c>
      <c r="D17" s="35" t="s">
        <v>1502</v>
      </c>
      <c r="E17" s="35" t="s">
        <v>1503</v>
      </c>
      <c r="F17" s="36">
        <v>6</v>
      </c>
      <c r="G17" s="36">
        <v>600</v>
      </c>
      <c r="H17" s="36">
        <v>30</v>
      </c>
      <c r="I17" s="36">
        <f t="shared" si="0"/>
        <v>570</v>
      </c>
      <c r="J17" s="35" t="s">
        <v>1402</v>
      </c>
      <c r="K17" s="35" t="s">
        <v>31</v>
      </c>
      <c r="L17" s="35" t="s">
        <v>1397</v>
      </c>
      <c r="M17" s="35"/>
      <c r="N17" s="35"/>
      <c r="O17" s="35"/>
      <c r="P17" s="35"/>
      <c r="Q17" s="35">
        <v>1</v>
      </c>
    </row>
    <row r="18" spans="1:18" x14ac:dyDescent="0.25">
      <c r="A18" s="35"/>
      <c r="B18" s="35" t="s">
        <v>26</v>
      </c>
      <c r="C18" s="35" t="s">
        <v>1506</v>
      </c>
      <c r="D18" s="35" t="s">
        <v>1507</v>
      </c>
      <c r="E18" s="35" t="s">
        <v>1508</v>
      </c>
      <c r="F18" s="35" t="s">
        <v>101</v>
      </c>
      <c r="G18" s="36">
        <v>815</v>
      </c>
      <c r="H18" s="36">
        <v>25</v>
      </c>
      <c r="I18" s="36">
        <f t="shared" si="0"/>
        <v>790</v>
      </c>
      <c r="J18" s="35" t="s">
        <v>1402</v>
      </c>
      <c r="K18" s="35" t="s">
        <v>31</v>
      </c>
      <c r="L18" s="35" t="s">
        <v>1397</v>
      </c>
      <c r="M18" s="35"/>
      <c r="N18" s="35"/>
      <c r="O18" s="35"/>
      <c r="P18" s="35"/>
      <c r="Q18" s="35">
        <v>1</v>
      </c>
    </row>
    <row r="19" spans="1:18" x14ac:dyDescent="0.25">
      <c r="A19" s="35"/>
      <c r="B19" s="35" t="s">
        <v>26</v>
      </c>
      <c r="C19" s="35" t="s">
        <v>1509</v>
      </c>
      <c r="D19" s="35" t="s">
        <v>1510</v>
      </c>
      <c r="E19" s="35" t="s">
        <v>1511</v>
      </c>
      <c r="F19" s="35" t="s">
        <v>45</v>
      </c>
      <c r="G19" s="36">
        <v>855</v>
      </c>
      <c r="H19" s="36">
        <v>25</v>
      </c>
      <c r="I19" s="36">
        <f t="shared" si="0"/>
        <v>830</v>
      </c>
      <c r="J19" s="35" t="s">
        <v>1402</v>
      </c>
      <c r="K19" s="35" t="s">
        <v>31</v>
      </c>
      <c r="L19" s="35" t="s">
        <v>1397</v>
      </c>
      <c r="M19" s="35"/>
      <c r="N19" s="35"/>
      <c r="O19" s="35"/>
      <c r="P19" s="35"/>
      <c r="Q19" s="35">
        <v>1</v>
      </c>
    </row>
    <row r="20" spans="1:18" x14ac:dyDescent="0.25">
      <c r="A20" s="35"/>
      <c r="B20" s="35" t="s">
        <v>26</v>
      </c>
      <c r="C20" s="35" t="s">
        <v>1520</v>
      </c>
      <c r="D20" s="35" t="s">
        <v>1521</v>
      </c>
      <c r="E20" s="35" t="s">
        <v>1522</v>
      </c>
      <c r="F20" s="36">
        <v>8</v>
      </c>
      <c r="G20" s="36">
        <v>860</v>
      </c>
      <c r="H20" s="36">
        <v>30</v>
      </c>
      <c r="I20" s="36">
        <f t="shared" si="0"/>
        <v>830</v>
      </c>
      <c r="J20" s="35" t="s">
        <v>1402</v>
      </c>
      <c r="K20" s="35" t="s">
        <v>31</v>
      </c>
      <c r="L20" s="35" t="s">
        <v>1397</v>
      </c>
      <c r="M20" s="35"/>
      <c r="N20" s="35"/>
      <c r="O20" s="35"/>
      <c r="P20" s="35"/>
      <c r="Q20" s="35">
        <v>1</v>
      </c>
    </row>
    <row r="21" spans="1:18" x14ac:dyDescent="0.25">
      <c r="A21" s="35" t="s">
        <v>66</v>
      </c>
      <c r="B21" s="35" t="s">
        <v>26</v>
      </c>
      <c r="C21" s="35" t="s">
        <v>1299</v>
      </c>
      <c r="D21" s="35"/>
      <c r="E21" s="35" t="s">
        <v>1300</v>
      </c>
      <c r="F21" s="35" t="s">
        <v>36</v>
      </c>
      <c r="G21" s="36">
        <v>0</v>
      </c>
      <c r="H21" s="36">
        <v>30</v>
      </c>
      <c r="I21" s="36">
        <f t="shared" si="0"/>
        <v>-30</v>
      </c>
      <c r="J21" s="35" t="s">
        <v>31</v>
      </c>
      <c r="K21" s="35" t="s">
        <v>31</v>
      </c>
      <c r="L21" s="35" t="s">
        <v>1397</v>
      </c>
      <c r="M21" s="35"/>
      <c r="N21" s="35"/>
      <c r="O21" s="35"/>
      <c r="P21" s="35"/>
      <c r="Q21" s="35">
        <v>1</v>
      </c>
      <c r="R21" s="25">
        <f t="shared" ref="R21:R22" si="1">H21</f>
        <v>30</v>
      </c>
    </row>
    <row r="22" spans="1:18" x14ac:dyDescent="0.25">
      <c r="A22" s="35" t="s">
        <v>66</v>
      </c>
      <c r="B22" s="35" t="s">
        <v>26</v>
      </c>
      <c r="C22" s="35" t="s">
        <v>1398</v>
      </c>
      <c r="D22" s="35"/>
      <c r="E22" s="35" t="s">
        <v>429</v>
      </c>
      <c r="F22" s="36">
        <v>12</v>
      </c>
      <c r="G22" s="36">
        <v>0</v>
      </c>
      <c r="H22" s="36">
        <v>35</v>
      </c>
      <c r="I22" s="36">
        <f t="shared" si="0"/>
        <v>-35</v>
      </c>
      <c r="J22" s="35" t="s">
        <v>31</v>
      </c>
      <c r="K22" s="35" t="s">
        <v>31</v>
      </c>
      <c r="L22" s="35" t="s">
        <v>1397</v>
      </c>
      <c r="M22" s="35"/>
      <c r="N22" s="35"/>
      <c r="O22" s="35"/>
      <c r="P22" s="35"/>
      <c r="Q22" s="35">
        <v>1</v>
      </c>
      <c r="R22" s="25">
        <f t="shared" si="1"/>
        <v>35</v>
      </c>
    </row>
    <row r="23" spans="1:18" x14ac:dyDescent="0.25">
      <c r="A23" s="35" t="s">
        <v>66</v>
      </c>
      <c r="B23" s="35" t="s">
        <v>26</v>
      </c>
      <c r="C23" s="35" t="s">
        <v>1053</v>
      </c>
      <c r="D23" s="35"/>
      <c r="E23" s="35" t="s">
        <v>796</v>
      </c>
      <c r="F23" s="35" t="s">
        <v>36</v>
      </c>
      <c r="G23" s="36">
        <v>10960</v>
      </c>
      <c r="H23" s="36">
        <v>30</v>
      </c>
      <c r="I23" s="36">
        <f t="shared" si="0"/>
        <v>10930</v>
      </c>
      <c r="J23" s="35" t="s">
        <v>31</v>
      </c>
      <c r="K23" s="35" t="s">
        <v>31</v>
      </c>
      <c r="L23" s="35" t="s">
        <v>1397</v>
      </c>
      <c r="M23" s="35"/>
      <c r="N23" s="35"/>
      <c r="O23" s="35"/>
      <c r="P23" s="35"/>
      <c r="Q23" s="35">
        <v>1</v>
      </c>
    </row>
    <row r="24" spans="1:18" x14ac:dyDescent="0.25">
      <c r="A24" s="35" t="s">
        <v>66</v>
      </c>
      <c r="B24" s="35" t="s">
        <v>26</v>
      </c>
      <c r="C24" s="35" t="s">
        <v>1405</v>
      </c>
      <c r="D24" s="35"/>
      <c r="E24" s="35" t="s">
        <v>1406</v>
      </c>
      <c r="F24" s="35" t="s">
        <v>45</v>
      </c>
      <c r="G24" s="36">
        <v>16780</v>
      </c>
      <c r="H24" s="36">
        <v>30</v>
      </c>
      <c r="I24" s="36">
        <f t="shared" si="0"/>
        <v>16750</v>
      </c>
      <c r="J24" s="35" t="s">
        <v>31</v>
      </c>
      <c r="K24" s="35" t="s">
        <v>31</v>
      </c>
      <c r="L24" s="35" t="s">
        <v>1397</v>
      </c>
      <c r="M24" s="35"/>
      <c r="N24" s="35"/>
      <c r="O24" s="35"/>
      <c r="P24" s="35"/>
      <c r="Q24" s="35">
        <v>1</v>
      </c>
    </row>
    <row r="25" spans="1:18" x14ac:dyDescent="0.25">
      <c r="A25" s="35"/>
      <c r="B25" s="35" t="s">
        <v>26</v>
      </c>
      <c r="C25" s="35" t="s">
        <v>1407</v>
      </c>
      <c r="D25" s="35" t="s">
        <v>1408</v>
      </c>
      <c r="E25" s="35" t="s">
        <v>1409</v>
      </c>
      <c r="F25" s="35" t="s">
        <v>36</v>
      </c>
      <c r="G25" s="36">
        <v>515</v>
      </c>
      <c r="H25" s="36">
        <v>25</v>
      </c>
      <c r="I25" s="36">
        <f t="shared" si="0"/>
        <v>490</v>
      </c>
      <c r="J25" s="35" t="s">
        <v>31</v>
      </c>
      <c r="K25" s="35" t="s">
        <v>31</v>
      </c>
      <c r="L25" s="35" t="s">
        <v>1397</v>
      </c>
      <c r="M25" s="35"/>
      <c r="N25" s="35"/>
      <c r="O25" s="35"/>
      <c r="P25" s="35"/>
      <c r="Q25" s="35">
        <v>1</v>
      </c>
    </row>
    <row r="26" spans="1:18" x14ac:dyDescent="0.25">
      <c r="A26" s="35"/>
      <c r="B26" s="35" t="s">
        <v>26</v>
      </c>
      <c r="C26" s="35" t="s">
        <v>1413</v>
      </c>
      <c r="D26" s="35" t="s">
        <v>1414</v>
      </c>
      <c r="E26" s="35" t="s">
        <v>1415</v>
      </c>
      <c r="F26" s="35" t="s">
        <v>36</v>
      </c>
      <c r="G26" s="36">
        <v>1645</v>
      </c>
      <c r="H26" s="36">
        <v>25</v>
      </c>
      <c r="I26" s="36">
        <f t="shared" si="0"/>
        <v>1620</v>
      </c>
      <c r="J26" s="35" t="s">
        <v>31</v>
      </c>
      <c r="K26" s="35" t="s">
        <v>31</v>
      </c>
      <c r="L26" s="35" t="s">
        <v>1397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1444</v>
      </c>
      <c r="D27" s="35" t="s">
        <v>1445</v>
      </c>
      <c r="E27" s="35" t="s">
        <v>1446</v>
      </c>
      <c r="F27" s="36">
        <v>2</v>
      </c>
      <c r="G27" s="36">
        <v>0</v>
      </c>
      <c r="H27" s="36">
        <v>30</v>
      </c>
      <c r="I27" s="36">
        <f t="shared" si="0"/>
        <v>-30</v>
      </c>
      <c r="J27" s="35" t="s">
        <v>31</v>
      </c>
      <c r="K27" s="35" t="s">
        <v>31</v>
      </c>
      <c r="L27" s="35" t="s">
        <v>1397</v>
      </c>
      <c r="M27" s="35"/>
      <c r="N27" s="35"/>
      <c r="O27" s="35"/>
      <c r="P27" s="35"/>
      <c r="Q27" s="35">
        <v>1</v>
      </c>
      <c r="R27" s="25">
        <f>H27</f>
        <v>30</v>
      </c>
    </row>
    <row r="28" spans="1:18" x14ac:dyDescent="0.25">
      <c r="A28" s="35"/>
      <c r="B28" s="35" t="s">
        <v>26</v>
      </c>
      <c r="C28" s="35" t="s">
        <v>1452</v>
      </c>
      <c r="D28" s="35" t="s">
        <v>1453</v>
      </c>
      <c r="E28" s="35" t="s">
        <v>1454</v>
      </c>
      <c r="F28" s="36">
        <v>2</v>
      </c>
      <c r="G28" s="36">
        <v>745</v>
      </c>
      <c r="H28" s="36">
        <v>30</v>
      </c>
      <c r="I28" s="36">
        <f t="shared" si="0"/>
        <v>715</v>
      </c>
      <c r="J28" s="35" t="s">
        <v>31</v>
      </c>
      <c r="K28" s="35" t="s">
        <v>31</v>
      </c>
      <c r="L28" s="35" t="s">
        <v>1397</v>
      </c>
      <c r="M28" s="35"/>
      <c r="N28" s="35"/>
      <c r="O28" s="35"/>
      <c r="P28" s="35"/>
      <c r="Q28" s="35">
        <v>1</v>
      </c>
    </row>
    <row r="29" spans="1:18" x14ac:dyDescent="0.25">
      <c r="A29" s="35"/>
      <c r="B29" s="35" t="s">
        <v>26</v>
      </c>
      <c r="C29" s="35" t="s">
        <v>1463</v>
      </c>
      <c r="D29" s="35" t="s">
        <v>1464</v>
      </c>
      <c r="E29" s="35" t="s">
        <v>1465</v>
      </c>
      <c r="F29" s="35" t="s">
        <v>128</v>
      </c>
      <c r="G29" s="36">
        <v>850</v>
      </c>
      <c r="H29" s="36">
        <v>30</v>
      </c>
      <c r="I29" s="36">
        <f t="shared" si="0"/>
        <v>820</v>
      </c>
      <c r="J29" s="35" t="s">
        <v>31</v>
      </c>
      <c r="K29" s="35" t="s">
        <v>31</v>
      </c>
      <c r="L29" s="35" t="s">
        <v>1397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1475</v>
      </c>
      <c r="D30" s="35" t="s">
        <v>1476</v>
      </c>
      <c r="E30" s="35" t="s">
        <v>1477</v>
      </c>
      <c r="F30" s="35" t="s">
        <v>58</v>
      </c>
      <c r="G30" s="36">
        <v>0</v>
      </c>
      <c r="H30" s="36">
        <v>20</v>
      </c>
      <c r="I30" s="36">
        <f t="shared" si="0"/>
        <v>-20</v>
      </c>
      <c r="J30" s="35" t="s">
        <v>31</v>
      </c>
      <c r="K30" s="35" t="s">
        <v>31</v>
      </c>
      <c r="L30" s="35" t="s">
        <v>1397</v>
      </c>
      <c r="M30" s="35"/>
      <c r="N30" s="35"/>
      <c r="O30" s="35"/>
      <c r="P30" s="35"/>
      <c r="Q30" s="35">
        <v>1</v>
      </c>
      <c r="R30" s="25">
        <f t="shared" ref="R30:R32" si="2">H30</f>
        <v>20</v>
      </c>
    </row>
    <row r="31" spans="1:18" x14ac:dyDescent="0.25">
      <c r="A31" s="35"/>
      <c r="B31" s="35" t="s">
        <v>26</v>
      </c>
      <c r="C31" s="35" t="s">
        <v>1478</v>
      </c>
      <c r="D31" s="35" t="s">
        <v>1479</v>
      </c>
      <c r="E31" s="35" t="s">
        <v>606</v>
      </c>
      <c r="F31" s="36">
        <v>12</v>
      </c>
      <c r="G31" s="36">
        <v>0</v>
      </c>
      <c r="H31" s="36">
        <v>30</v>
      </c>
      <c r="I31" s="36">
        <f t="shared" si="0"/>
        <v>-30</v>
      </c>
      <c r="J31" s="35" t="s">
        <v>31</v>
      </c>
      <c r="K31" s="35" t="s">
        <v>31</v>
      </c>
      <c r="L31" s="35" t="s">
        <v>1397</v>
      </c>
      <c r="M31" s="35"/>
      <c r="N31" s="35"/>
      <c r="O31" s="35"/>
      <c r="P31" s="35"/>
      <c r="Q31" s="35">
        <v>1</v>
      </c>
      <c r="R31" s="25">
        <f t="shared" si="2"/>
        <v>30</v>
      </c>
    </row>
    <row r="32" spans="1:18" s="41" customFormat="1" x14ac:dyDescent="0.25">
      <c r="A32" s="39"/>
      <c r="B32" s="39" t="s">
        <v>26</v>
      </c>
      <c r="C32" s="39" t="s">
        <v>1515</v>
      </c>
      <c r="D32" s="39" t="s">
        <v>1516</v>
      </c>
      <c r="E32" s="39" t="s">
        <v>57</v>
      </c>
      <c r="F32" s="39" t="s">
        <v>58</v>
      </c>
      <c r="G32" s="40">
        <v>0</v>
      </c>
      <c r="H32" s="40">
        <v>20</v>
      </c>
      <c r="I32" s="40">
        <f t="shared" si="0"/>
        <v>-20</v>
      </c>
      <c r="J32" s="39" t="s">
        <v>31</v>
      </c>
      <c r="K32" s="39" t="s">
        <v>31</v>
      </c>
      <c r="L32" s="39" t="s">
        <v>1397</v>
      </c>
      <c r="M32" s="39" t="s">
        <v>37</v>
      </c>
      <c r="N32" s="39"/>
      <c r="O32" s="39"/>
      <c r="P32" s="39"/>
      <c r="Q32" s="39">
        <v>1</v>
      </c>
      <c r="R32" s="42">
        <f t="shared" si="2"/>
        <v>20</v>
      </c>
    </row>
    <row r="33" spans="1:18" x14ac:dyDescent="0.25">
      <c r="A33" s="35"/>
      <c r="B33" s="35" t="s">
        <v>26</v>
      </c>
      <c r="C33" s="35" t="s">
        <v>1517</v>
      </c>
      <c r="D33" s="35" t="s">
        <v>1518</v>
      </c>
      <c r="E33" s="35" t="s">
        <v>1519</v>
      </c>
      <c r="F33" s="36">
        <v>12</v>
      </c>
      <c r="G33" s="36">
        <v>790</v>
      </c>
      <c r="H33" s="36">
        <v>30</v>
      </c>
      <c r="I33" s="36">
        <f t="shared" si="0"/>
        <v>760</v>
      </c>
      <c r="J33" s="35" t="s">
        <v>31</v>
      </c>
      <c r="K33" s="35" t="s">
        <v>31</v>
      </c>
      <c r="L33" s="35" t="s">
        <v>1397</v>
      </c>
      <c r="M33" s="35"/>
      <c r="N33" s="35"/>
      <c r="O33" s="35"/>
      <c r="P33" s="35"/>
      <c r="Q33" s="35">
        <v>1</v>
      </c>
    </row>
    <row r="34" spans="1:18" x14ac:dyDescent="0.25">
      <c r="A34" s="35"/>
      <c r="B34" s="35" t="s">
        <v>26</v>
      </c>
      <c r="C34" s="35" t="s">
        <v>1416</v>
      </c>
      <c r="D34" s="35" t="s">
        <v>1417</v>
      </c>
      <c r="E34" s="35" t="s">
        <v>1418</v>
      </c>
      <c r="F34" s="36">
        <v>1</v>
      </c>
      <c r="G34" s="36">
        <v>1305</v>
      </c>
      <c r="H34" s="36">
        <v>25</v>
      </c>
      <c r="I34" s="36">
        <f t="shared" si="0"/>
        <v>1280</v>
      </c>
      <c r="J34" s="35" t="s">
        <v>41</v>
      </c>
      <c r="K34" s="35" t="s">
        <v>31</v>
      </c>
      <c r="L34" s="35" t="s">
        <v>1397</v>
      </c>
      <c r="M34" s="35"/>
      <c r="N34" s="35"/>
      <c r="O34" s="35"/>
      <c r="P34" s="35"/>
      <c r="Q34" s="35">
        <v>1</v>
      </c>
    </row>
    <row r="35" spans="1:18" x14ac:dyDescent="0.25">
      <c r="A35" s="35"/>
      <c r="B35" s="35" t="s">
        <v>26</v>
      </c>
      <c r="C35" s="35" t="s">
        <v>1419</v>
      </c>
      <c r="D35" s="35" t="s">
        <v>1420</v>
      </c>
      <c r="E35" s="35" t="s">
        <v>1421</v>
      </c>
      <c r="F35" s="35" t="s">
        <v>121</v>
      </c>
      <c r="G35" s="36">
        <v>2285</v>
      </c>
      <c r="H35" s="36">
        <v>35</v>
      </c>
      <c r="I35" s="36">
        <f t="shared" ref="I35:I54" si="3">G35-H35</f>
        <v>2250</v>
      </c>
      <c r="J35" s="35" t="s">
        <v>41</v>
      </c>
      <c r="K35" s="35" t="s">
        <v>31</v>
      </c>
      <c r="L35" s="35" t="s">
        <v>1397</v>
      </c>
      <c r="M35" s="35"/>
      <c r="N35" s="35"/>
      <c r="O35" s="35"/>
      <c r="P35" s="35"/>
      <c r="Q35" s="35">
        <v>1</v>
      </c>
    </row>
    <row r="36" spans="1:18" x14ac:dyDescent="0.25">
      <c r="A36" s="35"/>
      <c r="B36" s="35" t="s">
        <v>26</v>
      </c>
      <c r="C36" s="35" t="s">
        <v>1422</v>
      </c>
      <c r="D36" s="35" t="s">
        <v>1423</v>
      </c>
      <c r="E36" s="35" t="s">
        <v>981</v>
      </c>
      <c r="F36" s="36">
        <v>1</v>
      </c>
      <c r="G36" s="36">
        <v>0</v>
      </c>
      <c r="H36" s="36">
        <v>25</v>
      </c>
      <c r="I36" s="36">
        <f t="shared" si="3"/>
        <v>-25</v>
      </c>
      <c r="J36" s="35" t="s">
        <v>41</v>
      </c>
      <c r="K36" s="35" t="s">
        <v>31</v>
      </c>
      <c r="L36" s="35" t="s">
        <v>1397</v>
      </c>
      <c r="M36" s="35"/>
      <c r="N36" s="35"/>
      <c r="O36" s="35"/>
      <c r="P36" s="35"/>
      <c r="Q36" s="35">
        <v>1</v>
      </c>
      <c r="R36" s="25">
        <f>H36</f>
        <v>25</v>
      </c>
    </row>
    <row r="37" spans="1:18" x14ac:dyDescent="0.25">
      <c r="A37" s="35"/>
      <c r="B37" s="35" t="s">
        <v>26</v>
      </c>
      <c r="C37" s="35" t="s">
        <v>1424</v>
      </c>
      <c r="D37" s="35" t="s">
        <v>1425</v>
      </c>
      <c r="E37" s="35" t="s">
        <v>1426</v>
      </c>
      <c r="F37" s="36">
        <v>4</v>
      </c>
      <c r="G37" s="36">
        <v>915</v>
      </c>
      <c r="H37" s="36">
        <v>25</v>
      </c>
      <c r="I37" s="36">
        <f t="shared" si="3"/>
        <v>890</v>
      </c>
      <c r="J37" s="35" t="s">
        <v>41</v>
      </c>
      <c r="K37" s="35" t="s">
        <v>31</v>
      </c>
      <c r="L37" s="35" t="s">
        <v>1397</v>
      </c>
      <c r="M37" s="35"/>
      <c r="N37" s="35"/>
      <c r="O37" s="35"/>
      <c r="P37" s="35"/>
      <c r="Q37" s="35">
        <v>1</v>
      </c>
    </row>
    <row r="38" spans="1:18" x14ac:dyDescent="0.25">
      <c r="A38" s="35"/>
      <c r="B38" s="35" t="s">
        <v>26</v>
      </c>
      <c r="C38" s="35" t="s">
        <v>1427</v>
      </c>
      <c r="D38" s="35" t="s">
        <v>1428</v>
      </c>
      <c r="E38" s="35" t="s">
        <v>1429</v>
      </c>
      <c r="F38" s="36">
        <v>10</v>
      </c>
      <c r="G38" s="36">
        <v>2460</v>
      </c>
      <c r="H38" s="36">
        <v>30</v>
      </c>
      <c r="I38" s="36">
        <f t="shared" si="3"/>
        <v>2430</v>
      </c>
      <c r="J38" s="35" t="s">
        <v>41</v>
      </c>
      <c r="K38" s="35" t="s">
        <v>31</v>
      </c>
      <c r="L38" s="35" t="s">
        <v>1397</v>
      </c>
      <c r="M38" s="38" t="s">
        <v>59</v>
      </c>
      <c r="N38" s="35"/>
      <c r="O38" s="35"/>
      <c r="P38" s="35"/>
      <c r="Q38" s="35">
        <v>1</v>
      </c>
      <c r="R38" s="25">
        <f>H38</f>
        <v>30</v>
      </c>
    </row>
    <row r="39" spans="1:18" x14ac:dyDescent="0.25">
      <c r="A39" s="35"/>
      <c r="B39" s="35" t="s">
        <v>26</v>
      </c>
      <c r="C39" s="35" t="s">
        <v>1263</v>
      </c>
      <c r="D39" s="35" t="s">
        <v>1430</v>
      </c>
      <c r="E39" s="35" t="s">
        <v>569</v>
      </c>
      <c r="F39" s="36">
        <v>7</v>
      </c>
      <c r="G39" s="36">
        <v>870</v>
      </c>
      <c r="H39" s="36">
        <v>30</v>
      </c>
      <c r="I39" s="36">
        <f t="shared" si="3"/>
        <v>840</v>
      </c>
      <c r="J39" s="35" t="s">
        <v>41</v>
      </c>
      <c r="K39" s="35" t="s">
        <v>31</v>
      </c>
      <c r="L39" s="35" t="s">
        <v>1397</v>
      </c>
      <c r="M39" s="35"/>
      <c r="N39" s="35"/>
      <c r="O39" s="35"/>
      <c r="P39" s="35"/>
      <c r="Q39" s="35">
        <v>1</v>
      </c>
    </row>
    <row r="40" spans="1:18" x14ac:dyDescent="0.25">
      <c r="A40" s="35"/>
      <c r="B40" s="35" t="s">
        <v>26</v>
      </c>
      <c r="C40" s="35" t="s">
        <v>1441</v>
      </c>
      <c r="D40" s="35" t="s">
        <v>1442</v>
      </c>
      <c r="E40" s="35" t="s">
        <v>1443</v>
      </c>
      <c r="F40" s="36">
        <v>1</v>
      </c>
      <c r="G40" s="36">
        <v>1105</v>
      </c>
      <c r="H40" s="36">
        <v>25</v>
      </c>
      <c r="I40" s="36">
        <f t="shared" si="3"/>
        <v>1080</v>
      </c>
      <c r="J40" s="35" t="s">
        <v>41</v>
      </c>
      <c r="K40" s="35" t="s">
        <v>31</v>
      </c>
      <c r="L40" s="35" t="s">
        <v>1397</v>
      </c>
      <c r="M40" s="35"/>
      <c r="N40" s="35"/>
      <c r="O40" s="35"/>
      <c r="P40" s="35"/>
      <c r="Q40" s="35">
        <v>1</v>
      </c>
    </row>
    <row r="41" spans="1:18" x14ac:dyDescent="0.25">
      <c r="A41" s="35"/>
      <c r="B41" s="35" t="s">
        <v>26</v>
      </c>
      <c r="C41" s="35" t="s">
        <v>1447</v>
      </c>
      <c r="D41" s="35" t="s">
        <v>1448</v>
      </c>
      <c r="E41" s="35" t="s">
        <v>1222</v>
      </c>
      <c r="F41" s="36">
        <v>7</v>
      </c>
      <c r="G41" s="36">
        <v>870</v>
      </c>
      <c r="H41" s="36">
        <v>30</v>
      </c>
      <c r="I41" s="36">
        <f t="shared" si="3"/>
        <v>840</v>
      </c>
      <c r="J41" s="35" t="s">
        <v>41</v>
      </c>
      <c r="K41" s="35" t="s">
        <v>31</v>
      </c>
      <c r="L41" s="35" t="s">
        <v>1397</v>
      </c>
      <c r="M41" s="35"/>
      <c r="N41" s="35"/>
      <c r="O41" s="35"/>
      <c r="P41" s="35"/>
      <c r="Q41" s="35">
        <v>1</v>
      </c>
    </row>
    <row r="42" spans="1:18" x14ac:dyDescent="0.25">
      <c r="A42" s="35"/>
      <c r="B42" s="35" t="s">
        <v>26</v>
      </c>
      <c r="C42" s="35" t="s">
        <v>1455</v>
      </c>
      <c r="D42" s="35" t="s">
        <v>1456</v>
      </c>
      <c r="E42" s="35" t="s">
        <v>1457</v>
      </c>
      <c r="F42" s="36">
        <v>1</v>
      </c>
      <c r="G42" s="36">
        <v>765</v>
      </c>
      <c r="H42" s="36">
        <v>25</v>
      </c>
      <c r="I42" s="36">
        <f t="shared" si="3"/>
        <v>740</v>
      </c>
      <c r="J42" s="35" t="s">
        <v>41</v>
      </c>
      <c r="K42" s="35" t="s">
        <v>31</v>
      </c>
      <c r="L42" s="35" t="s">
        <v>1397</v>
      </c>
      <c r="M42" s="35"/>
      <c r="N42" s="35"/>
      <c r="O42" s="35"/>
      <c r="P42" s="35"/>
      <c r="Q42" s="35">
        <v>1</v>
      </c>
    </row>
    <row r="43" spans="1:18" x14ac:dyDescent="0.25">
      <c r="A43" s="35"/>
      <c r="B43" s="35" t="s">
        <v>26</v>
      </c>
      <c r="C43" s="35" t="s">
        <v>1458</v>
      </c>
      <c r="D43" s="35" t="s">
        <v>1459</v>
      </c>
      <c r="E43" s="35" t="s">
        <v>1460</v>
      </c>
      <c r="F43" s="36">
        <v>3</v>
      </c>
      <c r="G43" s="36">
        <v>315</v>
      </c>
      <c r="H43" s="36">
        <v>25</v>
      </c>
      <c r="I43" s="36">
        <f t="shared" si="3"/>
        <v>290</v>
      </c>
      <c r="J43" s="35" t="s">
        <v>41</v>
      </c>
      <c r="K43" s="35" t="s">
        <v>31</v>
      </c>
      <c r="L43" s="35" t="s">
        <v>1397</v>
      </c>
      <c r="M43" s="35"/>
      <c r="N43" s="35"/>
      <c r="O43" s="35"/>
      <c r="P43" s="35"/>
      <c r="Q43" s="35">
        <v>1</v>
      </c>
    </row>
    <row r="44" spans="1:18" x14ac:dyDescent="0.25">
      <c r="A44" s="35"/>
      <c r="B44" s="35" t="s">
        <v>26</v>
      </c>
      <c r="C44" s="35" t="s">
        <v>1461</v>
      </c>
      <c r="D44" s="35" t="s">
        <v>1462</v>
      </c>
      <c r="E44" s="35" t="s">
        <v>1460</v>
      </c>
      <c r="F44" s="36">
        <v>1</v>
      </c>
      <c r="G44" s="36">
        <v>1870</v>
      </c>
      <c r="H44" s="36">
        <v>25</v>
      </c>
      <c r="I44" s="36">
        <f t="shared" si="3"/>
        <v>1845</v>
      </c>
      <c r="J44" s="35" t="s">
        <v>41</v>
      </c>
      <c r="K44" s="35" t="s">
        <v>31</v>
      </c>
      <c r="L44" s="35" t="s">
        <v>1397</v>
      </c>
      <c r="M44" s="38" t="s">
        <v>59</v>
      </c>
      <c r="N44" s="35"/>
      <c r="O44" s="35"/>
      <c r="P44" s="35"/>
      <c r="Q44" s="35">
        <v>1</v>
      </c>
      <c r="R44" s="25">
        <f>H44</f>
        <v>25</v>
      </c>
    </row>
    <row r="45" spans="1:18" x14ac:dyDescent="0.25">
      <c r="A45" s="35"/>
      <c r="B45" s="35" t="s">
        <v>26</v>
      </c>
      <c r="C45" s="35" t="s">
        <v>1466</v>
      </c>
      <c r="D45" s="35" t="s">
        <v>1467</v>
      </c>
      <c r="E45" s="35" t="s">
        <v>1468</v>
      </c>
      <c r="F45" s="36">
        <v>4</v>
      </c>
      <c r="G45" s="36">
        <v>775</v>
      </c>
      <c r="H45" s="36">
        <v>25</v>
      </c>
      <c r="I45" s="36">
        <f t="shared" si="3"/>
        <v>750</v>
      </c>
      <c r="J45" s="35" t="s">
        <v>41</v>
      </c>
      <c r="K45" s="35" t="s">
        <v>31</v>
      </c>
      <c r="L45" s="35" t="s">
        <v>1397</v>
      </c>
      <c r="M45" s="35"/>
      <c r="N45" s="35"/>
      <c r="O45" s="35"/>
      <c r="P45" s="35"/>
      <c r="Q45" s="35">
        <v>1</v>
      </c>
    </row>
    <row r="46" spans="1:18" x14ac:dyDescent="0.25">
      <c r="A46" s="35"/>
      <c r="B46" s="35" t="s">
        <v>26</v>
      </c>
      <c r="C46" s="35" t="s">
        <v>1483</v>
      </c>
      <c r="D46" s="35" t="s">
        <v>1484</v>
      </c>
      <c r="E46" s="35" t="s">
        <v>1485</v>
      </c>
      <c r="F46" s="35" t="s">
        <v>155</v>
      </c>
      <c r="G46" s="36">
        <v>790</v>
      </c>
      <c r="H46" s="36">
        <v>20</v>
      </c>
      <c r="I46" s="36">
        <f t="shared" si="3"/>
        <v>770</v>
      </c>
      <c r="J46" s="35" t="s">
        <v>41</v>
      </c>
      <c r="K46" s="35" t="s">
        <v>31</v>
      </c>
      <c r="L46" s="35" t="s">
        <v>1397</v>
      </c>
      <c r="M46" s="35"/>
      <c r="N46" s="35"/>
      <c r="O46" s="35"/>
      <c r="P46" s="35"/>
      <c r="Q46" s="35">
        <v>1</v>
      </c>
    </row>
    <row r="47" spans="1:18" x14ac:dyDescent="0.25">
      <c r="A47" s="35"/>
      <c r="B47" s="35" t="s">
        <v>26</v>
      </c>
      <c r="C47" s="35" t="s">
        <v>1030</v>
      </c>
      <c r="D47" s="35" t="s">
        <v>1492</v>
      </c>
      <c r="E47" s="35" t="s">
        <v>1493</v>
      </c>
      <c r="F47" s="35" t="s">
        <v>101</v>
      </c>
      <c r="G47" s="36">
        <v>0</v>
      </c>
      <c r="H47" s="36">
        <v>25</v>
      </c>
      <c r="I47" s="36">
        <f t="shared" si="3"/>
        <v>-25</v>
      </c>
      <c r="J47" s="35" t="s">
        <v>41</v>
      </c>
      <c r="K47" s="35" t="s">
        <v>31</v>
      </c>
      <c r="L47" s="35" t="s">
        <v>1397</v>
      </c>
      <c r="M47" s="35"/>
      <c r="N47" s="35"/>
      <c r="O47" s="35"/>
      <c r="P47" s="35"/>
      <c r="Q47" s="35">
        <v>1</v>
      </c>
      <c r="R47" s="25">
        <f t="shared" ref="R47:R48" si="4">H47</f>
        <v>25</v>
      </c>
    </row>
    <row r="48" spans="1:18" x14ac:dyDescent="0.25">
      <c r="A48" s="35"/>
      <c r="B48" s="35" t="s">
        <v>26</v>
      </c>
      <c r="C48" s="35" t="s">
        <v>1496</v>
      </c>
      <c r="D48" s="35" t="s">
        <v>1497</v>
      </c>
      <c r="E48" s="35" t="s">
        <v>1498</v>
      </c>
      <c r="F48" s="36">
        <v>1</v>
      </c>
      <c r="G48" s="36">
        <v>0</v>
      </c>
      <c r="H48" s="36">
        <v>25</v>
      </c>
      <c r="I48" s="36">
        <f t="shared" si="3"/>
        <v>-25</v>
      </c>
      <c r="J48" s="35" t="s">
        <v>41</v>
      </c>
      <c r="K48" s="35" t="s">
        <v>31</v>
      </c>
      <c r="L48" s="35" t="s">
        <v>1397</v>
      </c>
      <c r="M48" s="35"/>
      <c r="N48" s="35"/>
      <c r="O48" s="35"/>
      <c r="P48" s="35"/>
      <c r="Q48" s="35">
        <v>1</v>
      </c>
      <c r="R48" s="25">
        <f t="shared" si="4"/>
        <v>25</v>
      </c>
    </row>
    <row r="49" spans="1:17" x14ac:dyDescent="0.25">
      <c r="A49" s="35"/>
      <c r="B49" s="35" t="s">
        <v>26</v>
      </c>
      <c r="C49" s="35" t="s">
        <v>1341</v>
      </c>
      <c r="D49" s="35" t="s">
        <v>1499</v>
      </c>
      <c r="E49" s="35" t="s">
        <v>1500</v>
      </c>
      <c r="F49" s="35" t="s">
        <v>121</v>
      </c>
      <c r="G49" s="36">
        <v>795</v>
      </c>
      <c r="H49" s="36">
        <v>35</v>
      </c>
      <c r="I49" s="36">
        <f t="shared" si="3"/>
        <v>760</v>
      </c>
      <c r="J49" s="35" t="s">
        <v>41</v>
      </c>
      <c r="K49" s="35" t="s">
        <v>31</v>
      </c>
      <c r="L49" s="35" t="s">
        <v>1397</v>
      </c>
      <c r="M49" s="35"/>
      <c r="N49" s="35"/>
      <c r="O49" s="35"/>
      <c r="P49" s="35"/>
      <c r="Q49" s="35">
        <v>1</v>
      </c>
    </row>
    <row r="50" spans="1:17" x14ac:dyDescent="0.25">
      <c r="A50" s="35"/>
      <c r="B50" s="35" t="s">
        <v>26</v>
      </c>
      <c r="C50" s="35" t="s">
        <v>552</v>
      </c>
      <c r="D50" s="35" t="s">
        <v>1504</v>
      </c>
      <c r="E50" s="35" t="s">
        <v>1505</v>
      </c>
      <c r="F50" s="36">
        <v>4</v>
      </c>
      <c r="G50" s="36">
        <v>420</v>
      </c>
      <c r="H50" s="36">
        <v>30</v>
      </c>
      <c r="I50" s="36">
        <f t="shared" si="3"/>
        <v>390</v>
      </c>
      <c r="J50" s="35" t="s">
        <v>41</v>
      </c>
      <c r="K50" s="35" t="s">
        <v>31</v>
      </c>
      <c r="L50" s="35" t="s">
        <v>1397</v>
      </c>
      <c r="M50" s="35"/>
      <c r="N50" s="35"/>
      <c r="O50" s="35"/>
      <c r="P50" s="35"/>
      <c r="Q50" s="35">
        <v>1</v>
      </c>
    </row>
    <row r="51" spans="1:17" x14ac:dyDescent="0.25">
      <c r="A51" s="35"/>
      <c r="B51" s="35" t="s">
        <v>26</v>
      </c>
      <c r="C51" s="35" t="s">
        <v>1512</v>
      </c>
      <c r="D51" s="35" t="s">
        <v>1513</v>
      </c>
      <c r="E51" s="35" t="s">
        <v>1514</v>
      </c>
      <c r="F51" s="35" t="s">
        <v>101</v>
      </c>
      <c r="G51" s="36">
        <v>785</v>
      </c>
      <c r="H51" s="36">
        <v>25</v>
      </c>
      <c r="I51" s="36">
        <f t="shared" si="3"/>
        <v>760</v>
      </c>
      <c r="J51" s="35" t="s">
        <v>41</v>
      </c>
      <c r="K51" s="35" t="s">
        <v>31</v>
      </c>
      <c r="L51" s="35" t="s">
        <v>1397</v>
      </c>
      <c r="M51" s="35"/>
      <c r="N51" s="35"/>
      <c r="O51" s="35"/>
      <c r="P51" s="35"/>
      <c r="Q51" s="35">
        <v>1</v>
      </c>
    </row>
    <row r="52" spans="1:17" x14ac:dyDescent="0.25">
      <c r="A52" s="35"/>
      <c r="B52" s="35" t="s">
        <v>26</v>
      </c>
      <c r="C52" s="35" t="s">
        <v>1523</v>
      </c>
      <c r="D52" s="35" t="s">
        <v>1524</v>
      </c>
      <c r="E52" s="35" t="s">
        <v>1525</v>
      </c>
      <c r="F52" s="35" t="s">
        <v>101</v>
      </c>
      <c r="G52" s="36">
        <v>915</v>
      </c>
      <c r="H52" s="36">
        <v>25</v>
      </c>
      <c r="I52" s="36">
        <f t="shared" si="3"/>
        <v>890</v>
      </c>
      <c r="J52" s="35" t="s">
        <v>41</v>
      </c>
      <c r="K52" s="35" t="s">
        <v>31</v>
      </c>
      <c r="L52" s="35" t="s">
        <v>1397</v>
      </c>
      <c r="M52" s="35"/>
      <c r="N52" s="35"/>
      <c r="O52" s="35"/>
      <c r="P52" s="35"/>
      <c r="Q52" s="35">
        <v>1</v>
      </c>
    </row>
    <row r="53" spans="1:17" s="30" customFormat="1" x14ac:dyDescent="0.25">
      <c r="A53" s="37"/>
      <c r="B53" s="37" t="s">
        <v>26</v>
      </c>
      <c r="C53" s="37" t="s">
        <v>614</v>
      </c>
      <c r="D53" s="37" t="s">
        <v>1197</v>
      </c>
      <c r="E53" s="37" t="s">
        <v>616</v>
      </c>
      <c r="F53" s="37" t="s">
        <v>58</v>
      </c>
      <c r="G53" s="43">
        <v>720</v>
      </c>
      <c r="H53" s="43">
        <v>20</v>
      </c>
      <c r="I53" s="43">
        <f t="shared" si="3"/>
        <v>700</v>
      </c>
      <c r="J53" s="37" t="s">
        <v>118</v>
      </c>
      <c r="K53" s="37" t="s">
        <v>31</v>
      </c>
      <c r="L53" s="37" t="s">
        <v>1175</v>
      </c>
      <c r="M53" s="37" t="s">
        <v>91</v>
      </c>
      <c r="N53" s="37" t="s">
        <v>316</v>
      </c>
      <c r="O53" s="37" t="s">
        <v>316</v>
      </c>
      <c r="P53" s="37" t="s">
        <v>317</v>
      </c>
      <c r="Q53" s="37">
        <v>1</v>
      </c>
    </row>
    <row r="54" spans="1:17" s="30" customFormat="1" x14ac:dyDescent="0.25">
      <c r="A54" s="37"/>
      <c r="B54" s="37" t="s">
        <v>26</v>
      </c>
      <c r="C54" s="37" t="s">
        <v>1002</v>
      </c>
      <c r="D54" s="37" t="s">
        <v>1221</v>
      </c>
      <c r="E54" s="37" t="s">
        <v>1222</v>
      </c>
      <c r="F54" s="43">
        <v>7</v>
      </c>
      <c r="G54" s="43">
        <v>1230</v>
      </c>
      <c r="H54" s="43">
        <v>30</v>
      </c>
      <c r="I54" s="43">
        <f t="shared" si="3"/>
        <v>1200</v>
      </c>
      <c r="J54" s="37" t="s">
        <v>118</v>
      </c>
      <c r="K54" s="37" t="s">
        <v>31</v>
      </c>
      <c r="L54" s="37" t="s">
        <v>1175</v>
      </c>
      <c r="M54" s="37" t="s">
        <v>91</v>
      </c>
      <c r="N54" s="37" t="s">
        <v>316</v>
      </c>
      <c r="O54" s="37" t="s">
        <v>316</v>
      </c>
      <c r="P54" s="37" t="s">
        <v>317</v>
      </c>
      <c r="Q54" s="37">
        <v>1</v>
      </c>
    </row>
    <row r="56" spans="1:17" x14ac:dyDescent="0.25">
      <c r="D56" s="26">
        <f>COUNTA(D3:D54)</f>
        <v>47</v>
      </c>
      <c r="G56" s="26">
        <f t="shared" ref="G56:Q56" si="5">SUBTOTAL(9,G3:G54)</f>
        <v>63603</v>
      </c>
      <c r="H56" s="26">
        <f t="shared" si="5"/>
        <v>1445</v>
      </c>
      <c r="I56" s="26">
        <f t="shared" si="5"/>
        <v>62158</v>
      </c>
      <c r="J56" s="26">
        <f t="shared" si="5"/>
        <v>0</v>
      </c>
      <c r="K56" s="26">
        <f t="shared" si="5"/>
        <v>0</v>
      </c>
      <c r="L56" s="26">
        <f t="shared" si="5"/>
        <v>0</v>
      </c>
      <c r="M56" s="26">
        <f t="shared" si="5"/>
        <v>0</v>
      </c>
      <c r="N56" s="26">
        <f t="shared" si="5"/>
        <v>0</v>
      </c>
      <c r="O56" s="26">
        <f t="shared" si="5"/>
        <v>0</v>
      </c>
      <c r="P56" s="26">
        <f t="shared" si="5"/>
        <v>0</v>
      </c>
      <c r="Q56" s="26">
        <f t="shared" si="5"/>
        <v>52</v>
      </c>
    </row>
    <row r="57" spans="1:17" x14ac:dyDescent="0.25">
      <c r="H57" s="24">
        <f>-9*17</f>
        <v>-153</v>
      </c>
    </row>
    <row r="58" spans="1:17" x14ac:dyDescent="0.25">
      <c r="A58" s="26" t="s">
        <v>26</v>
      </c>
      <c r="C58" s="80" t="s">
        <v>78</v>
      </c>
      <c r="D58" s="80"/>
      <c r="E58" s="27" t="s">
        <v>79</v>
      </c>
      <c r="H58" s="24">
        <f>-8*25</f>
        <v>-200</v>
      </c>
      <c r="K58" s="28" t="s">
        <v>31</v>
      </c>
      <c r="L58" s="28" t="s">
        <v>80</v>
      </c>
      <c r="M58" s="28" t="s">
        <v>79</v>
      </c>
      <c r="O58" s="27" t="s">
        <v>81</v>
      </c>
    </row>
    <row r="59" spans="1:17" x14ac:dyDescent="0.25">
      <c r="A59" s="24" t="s">
        <v>1397</v>
      </c>
      <c r="B59" s="29" t="s">
        <v>82</v>
      </c>
      <c r="C59" s="81">
        <f>SUMIFS(I$3:I$54,B$3:B$54,A$58,L$3:L$54,A$59)</f>
        <v>60258</v>
      </c>
      <c r="D59" s="81"/>
      <c r="E59" s="29">
        <f>SUMIFS(Q$3:Q$54,B$3:B$54,A$58,L$3:L$54,A$59)</f>
        <v>50</v>
      </c>
      <c r="F59" s="24" t="s">
        <v>83</v>
      </c>
      <c r="H59" s="24">
        <f>-1*30</f>
        <v>-30</v>
      </c>
      <c r="K59" s="24" t="s">
        <v>84</v>
      </c>
      <c r="L59" s="24">
        <f>SUMIFS(G$3:G$54,J$3:J$54,K$58)</f>
        <v>32285</v>
      </c>
      <c r="M59" s="24">
        <f>SUMIFS(Q$3:Q$54,J$3:J$54,K$58)-INT(COUNTIFS(J$3:J$54,K$58,M$3:M$54,"*gộp*")/2)</f>
        <v>13</v>
      </c>
      <c r="O59" s="24" t="s">
        <v>31</v>
      </c>
      <c r="P59" s="24">
        <f>L64</f>
        <v>31184</v>
      </c>
    </row>
    <row r="60" spans="1:17" x14ac:dyDescent="0.25">
      <c r="B60" s="30" t="s">
        <v>86</v>
      </c>
      <c r="C60" s="82">
        <v>0</v>
      </c>
      <c r="D60" s="82"/>
      <c r="K60" s="24" t="s">
        <v>87</v>
      </c>
      <c r="L60" s="24">
        <f>-SUMIFS(H$3:H$54,J$3:J$54,K$58)+M60*5</f>
        <v>-300</v>
      </c>
      <c r="M60" s="24">
        <f>SUMIFS(Q$3:Q$54,J$3:J$54,K$58)-INT(COUNTIFS(J$3:J$54,K$58,M$3:M$54,"*gộp*")/2)</f>
        <v>13</v>
      </c>
      <c r="O60" s="24" t="s">
        <v>1526</v>
      </c>
      <c r="P60" s="24">
        <f>L72</f>
        <v>11745</v>
      </c>
    </row>
    <row r="61" spans="1:17" x14ac:dyDescent="0.25">
      <c r="B61" s="30" t="s">
        <v>88</v>
      </c>
      <c r="C61" s="82">
        <f>-SUMIFS(I$3:I$54,B$3:B$54,A$58,P$3:P$54,"xx",N$3:N$54,"x")</f>
        <v>-1900</v>
      </c>
      <c r="D61" s="82"/>
      <c r="E61" s="30">
        <f>SUMIFS(Q$3:Q$54,B$3:B$54,A$58,P$3:P$54,"xx",N$3:N$54,"x")</f>
        <v>2</v>
      </c>
      <c r="K61" s="24" t="s">
        <v>89</v>
      </c>
      <c r="L61" s="24">
        <f>-M61*2</f>
        <v>-96</v>
      </c>
      <c r="M61" s="24">
        <f>COUNTIFS(K$3:K$54,K$58,L$3:L$54,A$59)-(COUNTIFS(K$3:K$54,K$58,M$3:M$54,"*gộp*")/2)-COUNTIFS(K$3:K$54,K$58,M$3:M$54,"*đơn trả*")-COUNTIFS(K$3:K$54,K$58,M$3:M$54,"*hàng tỉnh*")</f>
        <v>48</v>
      </c>
      <c r="O61" s="24" t="s">
        <v>41</v>
      </c>
      <c r="P61" s="24">
        <f>L80</f>
        <v>15620</v>
      </c>
    </row>
    <row r="62" spans="1:17" x14ac:dyDescent="0.25">
      <c r="B62" s="27" t="s">
        <v>90</v>
      </c>
      <c r="C62" s="80">
        <f>SUBTOTAL(9,C59:C61)</f>
        <v>58358</v>
      </c>
      <c r="D62" s="80"/>
      <c r="E62" s="24">
        <f>E59</f>
        <v>50</v>
      </c>
      <c r="K62" s="31" t="s">
        <v>91</v>
      </c>
      <c r="L62" s="48">
        <v>-705</v>
      </c>
      <c r="M62" s="48" t="s">
        <v>590</v>
      </c>
      <c r="O62" s="24" t="s">
        <v>92</v>
      </c>
      <c r="P62" s="24">
        <f>-C66</f>
        <v>-58358</v>
      </c>
    </row>
    <row r="63" spans="1:17" x14ac:dyDescent="0.25">
      <c r="B63" s="30" t="s">
        <v>93</v>
      </c>
      <c r="C63" s="78"/>
      <c r="D63" s="78"/>
      <c r="K63" s="30" t="s">
        <v>94</v>
      </c>
      <c r="O63" s="27" t="s">
        <v>95</v>
      </c>
      <c r="P63" s="27">
        <f>SUBTOTAL(9,P59:P62)</f>
        <v>191</v>
      </c>
    </row>
    <row r="64" spans="1:17" x14ac:dyDescent="0.25">
      <c r="B64" s="32" t="s">
        <v>96</v>
      </c>
      <c r="C64" s="78"/>
      <c r="D64" s="78"/>
      <c r="L64" s="33">
        <f>SUBTOTAL(9,L59:L63)</f>
        <v>31184</v>
      </c>
      <c r="M64" s="33">
        <f>M59</f>
        <v>13</v>
      </c>
    </row>
    <row r="66" spans="2:13" x14ac:dyDescent="0.25">
      <c r="B66" s="26" t="s">
        <v>97</v>
      </c>
      <c r="C66" s="79">
        <f>C62+C63+C64</f>
        <v>58358</v>
      </c>
      <c r="D66" s="79"/>
      <c r="E66" s="26" t="s">
        <v>98</v>
      </c>
      <c r="K66" s="28" t="s">
        <v>1402</v>
      </c>
      <c r="L66" s="28" t="s">
        <v>80</v>
      </c>
      <c r="M66" s="28" t="s">
        <v>79</v>
      </c>
    </row>
    <row r="67" spans="2:13" x14ac:dyDescent="0.25">
      <c r="K67" s="24" t="s">
        <v>84</v>
      </c>
      <c r="L67" s="24">
        <f>SUMIFS(G$3:G$54,J$3:J$54,K$66)</f>
        <v>12128</v>
      </c>
      <c r="M67" s="24">
        <f>SUMIFS(Q$3:Q$54,J$3:J$54,K$66)-INT(COUNTIFS(J$3:J$54,K$66,M$3:M$54,"*gộp*")/2)</f>
        <v>18</v>
      </c>
    </row>
    <row r="68" spans="2:13" x14ac:dyDescent="0.25">
      <c r="K68" s="24" t="s">
        <v>87</v>
      </c>
      <c r="L68" s="24">
        <f>SUM(H57:H59)</f>
        <v>-383</v>
      </c>
      <c r="M68" s="24">
        <f>SUMIFS(Q$3:Q$54,J$3:J$54,K$66)-INT(COUNTIFS(J$3:J$54,K$66,M$3:M$54,"*gộp*")/2)</f>
        <v>18</v>
      </c>
    </row>
    <row r="69" spans="2:13" x14ac:dyDescent="0.25">
      <c r="K69" s="24" t="s">
        <v>89</v>
      </c>
      <c r="L69" s="24">
        <f>-M69*2</f>
        <v>0</v>
      </c>
      <c r="M69" s="24">
        <f>COUNTIFS(K$3:K$54,K$66,L$3:L$54,A$59)-(COUNTIFS(K$3:K$54,K$66,M$3:M$54,"*gộp*")/2)-COUNTIFS(K$3:K$54,K$66,M$3:M$54,"*đơn trả*")-COUNTIFS(K$3:K$54,K$66,M$3:M$54,"*hàng tỉnh*")</f>
        <v>0</v>
      </c>
    </row>
    <row r="70" spans="2:13" x14ac:dyDescent="0.25">
      <c r="K70" s="31" t="s">
        <v>91</v>
      </c>
    </row>
    <row r="71" spans="2:13" x14ac:dyDescent="0.25">
      <c r="K71" s="30" t="s">
        <v>94</v>
      </c>
    </row>
    <row r="72" spans="2:13" x14ac:dyDescent="0.25">
      <c r="L72" s="33">
        <f>SUBTOTAL(9,L67:L71)</f>
        <v>11745</v>
      </c>
      <c r="M72" s="33">
        <f>M67</f>
        <v>18</v>
      </c>
    </row>
    <row r="74" spans="2:13" x14ac:dyDescent="0.25">
      <c r="K74" s="28" t="s">
        <v>41</v>
      </c>
      <c r="L74" s="28" t="s">
        <v>80</v>
      </c>
      <c r="M74" s="28" t="s">
        <v>79</v>
      </c>
    </row>
    <row r="75" spans="2:13" x14ac:dyDescent="0.25">
      <c r="K75" s="24" t="s">
        <v>84</v>
      </c>
      <c r="L75" s="24">
        <f>SUMIFS(G$3:G$54,J$3:J$54,K$74)</f>
        <v>17240</v>
      </c>
      <c r="M75" s="24">
        <f>SUMIFS(Q$3:Q$54,J$3:J$54,K$74)-INT(COUNTIFS(J$3:J$54,K$74,M$3:M$54,"*gộp*")/2)</f>
        <v>19</v>
      </c>
    </row>
    <row r="76" spans="2:13" x14ac:dyDescent="0.25">
      <c r="K76" s="24" t="s">
        <v>87</v>
      </c>
      <c r="L76" s="24">
        <f>-SUMIFS(H$3:H$54,J$3:J$54,K$74)+M76*5</f>
        <v>-415</v>
      </c>
      <c r="M76" s="24">
        <f>SUMIFS(Q$3:Q$54,J$3:J$54,K$74)-INT(COUNTIFS(J$3:J$54,K$74,M$3:M$54,"*gộp*")/2)</f>
        <v>19</v>
      </c>
    </row>
    <row r="77" spans="2:13" x14ac:dyDescent="0.25">
      <c r="K77" s="24" t="s">
        <v>89</v>
      </c>
      <c r="L77" s="24">
        <f>-M77*2</f>
        <v>0</v>
      </c>
      <c r="M77" s="24">
        <f>COUNTIFS(K$3:K$54,K$74,L$3:L$54,A$59)-(COUNTIFS(K$3:K$54,K$74,M$3:M$54,"*gộp*")/2)-COUNTIFS(K$3:K$54,K$74,M$3:M$54,"*đơn trả*")-COUNTIFS(K$3:K$54,K$74,M$3:M$54,"*hàng tỉnh*")</f>
        <v>0</v>
      </c>
    </row>
    <row r="78" spans="2:13" x14ac:dyDescent="0.25">
      <c r="K78" s="31" t="s">
        <v>91</v>
      </c>
      <c r="L78" s="31">
        <v>-1205</v>
      </c>
      <c r="M78" s="31" t="s">
        <v>590</v>
      </c>
    </row>
    <row r="79" spans="2:13" x14ac:dyDescent="0.25">
      <c r="K79" s="30" t="s">
        <v>94</v>
      </c>
    </row>
    <row r="80" spans="2:13" x14ac:dyDescent="0.25">
      <c r="L80" s="33">
        <f>SUBTOTAL(9,L75:L79)</f>
        <v>15620</v>
      </c>
      <c r="M80" s="33">
        <f>M75</f>
        <v>19</v>
      </c>
    </row>
  </sheetData>
  <autoFilter ref="A2:P54" xr:uid="{00000000-0009-0000-0000-000000000000}">
    <sortState xmlns:xlrd2="http://schemas.microsoft.com/office/spreadsheetml/2017/richdata2" ref="A3:P54">
      <sortCondition ref="J2:J54"/>
    </sortState>
  </autoFilter>
  <mergeCells count="8">
    <mergeCell ref="C64:D64"/>
    <mergeCell ref="C66:D66"/>
    <mergeCell ref="C58:D58"/>
    <mergeCell ref="C59:D59"/>
    <mergeCell ref="C60:D60"/>
    <mergeCell ref="C61:D61"/>
    <mergeCell ref="C62:D62"/>
    <mergeCell ref="C63:D63"/>
  </mergeCells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D272-DCBE-4B33-9EFC-651755B12673}">
  <dimension ref="A1:R68"/>
  <sheetViews>
    <sheetView topLeftCell="A33" workbookViewId="0">
      <selection activeCell="C43" sqref="C43"/>
    </sheetView>
  </sheetViews>
  <sheetFormatPr defaultRowHeight="15" x14ac:dyDescent="0.25"/>
  <cols>
    <col min="1" max="1" width="12.7109375" style="24" customWidth="1"/>
    <col min="2" max="2" width="9.140625" style="24" customWidth="1"/>
    <col min="3" max="3" width="56.5703125" style="24" bestFit="1" customWidth="1"/>
    <col min="4" max="4" width="9.85546875" style="24" customWidth="1"/>
    <col min="5" max="5" width="68.140625" style="24" bestFit="1" customWidth="1"/>
    <col min="6" max="6" width="10.7109375" style="24" bestFit="1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2" style="24" customWidth="1"/>
    <col min="12" max="12" width="10.42578125" style="24" customWidth="1"/>
    <col min="13" max="13" width="13.85546875" style="24" customWidth="1"/>
    <col min="14" max="14" width="9.7109375" style="24" customWidth="1"/>
    <col min="15" max="15" width="10.42578125" style="24" customWidth="1"/>
    <col min="16" max="16" width="7" style="24" bestFit="1" customWidth="1"/>
    <col min="17" max="16384" width="9.140625" style="24"/>
  </cols>
  <sheetData>
    <row r="1" spans="1:18" x14ac:dyDescent="0.25">
      <c r="B1" s="24" t="s">
        <v>1165</v>
      </c>
      <c r="C1" s="24" t="s">
        <v>1621</v>
      </c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  <c r="R2" s="60"/>
    </row>
    <row r="3" spans="1:18" x14ac:dyDescent="0.25">
      <c r="A3" s="35" t="s">
        <v>66</v>
      </c>
      <c r="B3" s="35" t="s">
        <v>26</v>
      </c>
      <c r="C3" s="35" t="s">
        <v>1534</v>
      </c>
      <c r="D3" s="35"/>
      <c r="E3" s="35" t="s">
        <v>1535</v>
      </c>
      <c r="F3" s="35" t="s">
        <v>45</v>
      </c>
      <c r="G3" s="36">
        <v>0</v>
      </c>
      <c r="H3" s="36">
        <v>30</v>
      </c>
      <c r="I3" s="36">
        <f t="shared" ref="I3:I42" si="0">G3-H3</f>
        <v>-30</v>
      </c>
      <c r="J3" s="35" t="s">
        <v>1536</v>
      </c>
      <c r="K3" s="35" t="s">
        <v>31</v>
      </c>
      <c r="L3" s="35" t="s">
        <v>1530</v>
      </c>
      <c r="M3" s="35"/>
      <c r="N3" s="35"/>
      <c r="O3" s="35"/>
      <c r="P3" s="35"/>
      <c r="Q3" s="35">
        <v>1</v>
      </c>
      <c r="R3" s="61">
        <f>H3</f>
        <v>30</v>
      </c>
    </row>
    <row r="4" spans="1:18" x14ac:dyDescent="0.25">
      <c r="A4" s="35"/>
      <c r="B4" s="35" t="s">
        <v>26</v>
      </c>
      <c r="C4" s="35" t="s">
        <v>1538</v>
      </c>
      <c r="D4" s="35" t="s">
        <v>1539</v>
      </c>
      <c r="E4" s="35" t="s">
        <v>1540</v>
      </c>
      <c r="F4" s="36">
        <v>8</v>
      </c>
      <c r="G4" s="36">
        <v>0</v>
      </c>
      <c r="H4" s="36">
        <v>30</v>
      </c>
      <c r="I4" s="36">
        <f t="shared" si="0"/>
        <v>-30</v>
      </c>
      <c r="J4" s="35" t="s">
        <v>1536</v>
      </c>
      <c r="K4" s="35" t="s">
        <v>31</v>
      </c>
      <c r="L4" s="35" t="s">
        <v>1530</v>
      </c>
      <c r="M4" s="35"/>
      <c r="N4" s="35"/>
      <c r="O4" s="35"/>
      <c r="P4" s="35"/>
      <c r="Q4" s="35">
        <v>1</v>
      </c>
      <c r="R4" s="61">
        <f>H4</f>
        <v>30</v>
      </c>
    </row>
    <row r="5" spans="1:18" x14ac:dyDescent="0.25">
      <c r="A5" s="35"/>
      <c r="B5" s="35" t="s">
        <v>26</v>
      </c>
      <c r="C5" s="35" t="s">
        <v>1541</v>
      </c>
      <c r="D5" s="35" t="s">
        <v>1542</v>
      </c>
      <c r="E5" s="35" t="s">
        <v>1543</v>
      </c>
      <c r="F5" s="36">
        <v>6</v>
      </c>
      <c r="G5" s="36">
        <v>1005</v>
      </c>
      <c r="H5" s="36">
        <v>25</v>
      </c>
      <c r="I5" s="36">
        <f t="shared" si="0"/>
        <v>980</v>
      </c>
      <c r="J5" s="35" t="s">
        <v>1536</v>
      </c>
      <c r="K5" s="35" t="s">
        <v>31</v>
      </c>
      <c r="L5" s="35" t="s">
        <v>1530</v>
      </c>
      <c r="M5" s="35"/>
      <c r="N5" s="35"/>
      <c r="O5" s="35"/>
      <c r="P5" s="35"/>
      <c r="Q5" s="35">
        <v>1</v>
      </c>
      <c r="R5" s="60"/>
    </row>
    <row r="6" spans="1:18" x14ac:dyDescent="0.25">
      <c r="A6" s="35"/>
      <c r="B6" s="35" t="s">
        <v>26</v>
      </c>
      <c r="C6" s="35" t="s">
        <v>859</v>
      </c>
      <c r="D6" s="35" t="s">
        <v>1545</v>
      </c>
      <c r="E6" s="35" t="s">
        <v>1546</v>
      </c>
      <c r="F6" s="35" t="s">
        <v>77</v>
      </c>
      <c r="G6" s="36">
        <v>550</v>
      </c>
      <c r="H6" s="36">
        <v>30</v>
      </c>
      <c r="I6" s="36">
        <f t="shared" si="0"/>
        <v>520</v>
      </c>
      <c r="J6" s="35" t="s">
        <v>1536</v>
      </c>
      <c r="K6" s="35" t="s">
        <v>31</v>
      </c>
      <c r="L6" s="35" t="s">
        <v>1530</v>
      </c>
      <c r="M6" s="35"/>
      <c r="N6" s="35"/>
      <c r="O6" s="35"/>
      <c r="P6" s="35"/>
      <c r="Q6" s="35">
        <v>1</v>
      </c>
      <c r="R6" s="60"/>
    </row>
    <row r="7" spans="1:18" x14ac:dyDescent="0.25">
      <c r="A7" s="35"/>
      <c r="B7" s="35" t="s">
        <v>26</v>
      </c>
      <c r="C7" s="35" t="s">
        <v>1552</v>
      </c>
      <c r="D7" s="35" t="s">
        <v>1553</v>
      </c>
      <c r="E7" s="35" t="s">
        <v>1554</v>
      </c>
      <c r="F7" s="36">
        <v>6</v>
      </c>
      <c r="G7" s="36">
        <v>815</v>
      </c>
      <c r="H7" s="36">
        <v>25</v>
      </c>
      <c r="I7" s="36">
        <f t="shared" si="0"/>
        <v>790</v>
      </c>
      <c r="J7" s="35" t="s">
        <v>1536</v>
      </c>
      <c r="K7" s="35" t="s">
        <v>31</v>
      </c>
      <c r="L7" s="35" t="s">
        <v>1530</v>
      </c>
      <c r="M7" s="35"/>
      <c r="N7" s="35"/>
      <c r="O7" s="35"/>
      <c r="P7" s="35"/>
      <c r="Q7" s="35">
        <v>1</v>
      </c>
      <c r="R7" s="60"/>
    </row>
    <row r="8" spans="1:18" x14ac:dyDescent="0.25">
      <c r="A8" s="35"/>
      <c r="B8" s="35" t="s">
        <v>26</v>
      </c>
      <c r="C8" s="35" t="s">
        <v>1561</v>
      </c>
      <c r="D8" s="35" t="s">
        <v>1562</v>
      </c>
      <c r="E8" s="35" t="s">
        <v>1563</v>
      </c>
      <c r="F8" s="35" t="s">
        <v>45</v>
      </c>
      <c r="G8" s="36">
        <v>715</v>
      </c>
      <c r="H8" s="36">
        <v>25</v>
      </c>
      <c r="I8" s="36">
        <f t="shared" si="0"/>
        <v>690</v>
      </c>
      <c r="J8" s="35" t="s">
        <v>1536</v>
      </c>
      <c r="K8" s="35" t="s">
        <v>31</v>
      </c>
      <c r="L8" s="35" t="s">
        <v>1530</v>
      </c>
      <c r="M8" s="35"/>
      <c r="N8" s="35"/>
      <c r="O8" s="35"/>
      <c r="P8" s="35"/>
      <c r="Q8" s="35">
        <v>1</v>
      </c>
      <c r="R8" s="60"/>
    </row>
    <row r="9" spans="1:18" x14ac:dyDescent="0.25">
      <c r="A9" s="35"/>
      <c r="B9" s="35" t="s">
        <v>26</v>
      </c>
      <c r="C9" s="35" t="s">
        <v>1588</v>
      </c>
      <c r="D9" s="35" t="s">
        <v>1589</v>
      </c>
      <c r="E9" s="35" t="s">
        <v>1590</v>
      </c>
      <c r="F9" s="36">
        <v>6</v>
      </c>
      <c r="G9" s="36">
        <v>2130</v>
      </c>
      <c r="H9" s="36">
        <v>30</v>
      </c>
      <c r="I9" s="36">
        <f t="shared" si="0"/>
        <v>2100</v>
      </c>
      <c r="J9" s="35" t="s">
        <v>1536</v>
      </c>
      <c r="K9" s="35" t="s">
        <v>31</v>
      </c>
      <c r="L9" s="35" t="s">
        <v>1530</v>
      </c>
      <c r="M9" s="38" t="s">
        <v>59</v>
      </c>
      <c r="N9" s="35"/>
      <c r="O9" s="35"/>
      <c r="P9" s="35"/>
      <c r="Q9" s="35">
        <v>1</v>
      </c>
      <c r="R9" s="61">
        <f>H9</f>
        <v>30</v>
      </c>
    </row>
    <row r="10" spans="1:18" x14ac:dyDescent="0.25">
      <c r="A10" s="35"/>
      <c r="B10" s="35" t="s">
        <v>26</v>
      </c>
      <c r="C10" s="35" t="s">
        <v>1591</v>
      </c>
      <c r="D10" s="35" t="s">
        <v>1592</v>
      </c>
      <c r="E10" s="35" t="s">
        <v>1593</v>
      </c>
      <c r="F10" s="36">
        <v>9</v>
      </c>
      <c r="G10" s="36">
        <v>0</v>
      </c>
      <c r="H10" s="36">
        <v>30</v>
      </c>
      <c r="I10" s="36">
        <f t="shared" si="0"/>
        <v>-30</v>
      </c>
      <c r="J10" s="35" t="s">
        <v>1536</v>
      </c>
      <c r="K10" s="35" t="s">
        <v>31</v>
      </c>
      <c r="L10" s="35" t="s">
        <v>1530</v>
      </c>
      <c r="M10" s="35"/>
      <c r="N10" s="35"/>
      <c r="O10" s="35"/>
      <c r="P10" s="35"/>
      <c r="Q10" s="35">
        <v>1</v>
      </c>
      <c r="R10" s="61">
        <f>H10</f>
        <v>30</v>
      </c>
    </row>
    <row r="11" spans="1:18" x14ac:dyDescent="0.25">
      <c r="A11" s="35"/>
      <c r="B11" s="35" t="s">
        <v>26</v>
      </c>
      <c r="C11" s="35" t="s">
        <v>1594</v>
      </c>
      <c r="D11" s="35" t="s">
        <v>1595</v>
      </c>
      <c r="E11" s="35" t="s">
        <v>758</v>
      </c>
      <c r="F11" s="35" t="s">
        <v>117</v>
      </c>
      <c r="G11" s="36">
        <v>815</v>
      </c>
      <c r="H11" s="36">
        <v>35</v>
      </c>
      <c r="I11" s="36">
        <f t="shared" si="0"/>
        <v>780</v>
      </c>
      <c r="J11" s="35" t="s">
        <v>1536</v>
      </c>
      <c r="K11" s="35" t="s">
        <v>31</v>
      </c>
      <c r="L11" s="35" t="s">
        <v>1530</v>
      </c>
      <c r="M11" s="35"/>
      <c r="N11" s="35"/>
      <c r="O11" s="35"/>
      <c r="P11" s="35"/>
      <c r="Q11" s="35">
        <v>1</v>
      </c>
      <c r="R11" s="60"/>
    </row>
    <row r="12" spans="1:18" s="41" customFormat="1" x14ac:dyDescent="0.25">
      <c r="A12" s="39"/>
      <c r="B12" s="39" t="s">
        <v>26</v>
      </c>
      <c r="C12" s="39" t="s">
        <v>1486</v>
      </c>
      <c r="D12" s="39" t="s">
        <v>1599</v>
      </c>
      <c r="E12" s="39" t="s">
        <v>1488</v>
      </c>
      <c r="F12" s="40">
        <v>9</v>
      </c>
      <c r="G12" s="40">
        <v>100</v>
      </c>
      <c r="H12" s="40">
        <v>30</v>
      </c>
      <c r="I12" s="40">
        <f t="shared" si="0"/>
        <v>70</v>
      </c>
      <c r="J12" s="39" t="s">
        <v>1536</v>
      </c>
      <c r="K12" s="39" t="s">
        <v>31</v>
      </c>
      <c r="L12" s="39" t="s">
        <v>1530</v>
      </c>
      <c r="M12" s="39" t="s">
        <v>37</v>
      </c>
      <c r="N12" s="39"/>
      <c r="O12" s="39"/>
      <c r="P12" s="39"/>
      <c r="Q12" s="39">
        <v>1</v>
      </c>
      <c r="R12" s="62"/>
    </row>
    <row r="13" spans="1:18" x14ac:dyDescent="0.25">
      <c r="A13" s="35"/>
      <c r="B13" s="35" t="s">
        <v>26</v>
      </c>
      <c r="C13" s="35" t="s">
        <v>1614</v>
      </c>
      <c r="D13" s="35" t="s">
        <v>1615</v>
      </c>
      <c r="E13" s="35" t="s">
        <v>1616</v>
      </c>
      <c r="F13" s="36">
        <v>6</v>
      </c>
      <c r="G13" s="36">
        <v>0</v>
      </c>
      <c r="H13" s="36">
        <v>40</v>
      </c>
      <c r="I13" s="36">
        <f t="shared" si="0"/>
        <v>-40</v>
      </c>
      <c r="J13" s="35" t="s">
        <v>1536</v>
      </c>
      <c r="K13" s="35" t="s">
        <v>31</v>
      </c>
      <c r="L13" s="35" t="s">
        <v>1530</v>
      </c>
      <c r="M13" s="35"/>
      <c r="N13" s="35"/>
      <c r="O13" s="35"/>
      <c r="P13" s="35"/>
      <c r="Q13" s="35">
        <v>1</v>
      </c>
      <c r="R13" s="61">
        <f t="shared" ref="R13:R14" si="1">H13</f>
        <v>40</v>
      </c>
    </row>
    <row r="14" spans="1:18" x14ac:dyDescent="0.25">
      <c r="A14" s="35" t="s">
        <v>66</v>
      </c>
      <c r="B14" s="35" t="s">
        <v>26</v>
      </c>
      <c r="C14" s="35" t="s">
        <v>1531</v>
      </c>
      <c r="D14" s="35"/>
      <c r="E14" s="35" t="s">
        <v>606</v>
      </c>
      <c r="F14" s="36">
        <v>12</v>
      </c>
      <c r="G14" s="36">
        <v>0</v>
      </c>
      <c r="H14" s="36">
        <v>40</v>
      </c>
      <c r="I14" s="36">
        <f t="shared" si="0"/>
        <v>-40</v>
      </c>
      <c r="J14" s="35" t="s">
        <v>31</v>
      </c>
      <c r="K14" s="35" t="s">
        <v>31</v>
      </c>
      <c r="L14" s="35" t="s">
        <v>1530</v>
      </c>
      <c r="M14" s="35"/>
      <c r="N14" s="35"/>
      <c r="O14" s="35"/>
      <c r="P14" s="35"/>
      <c r="Q14" s="35">
        <v>1</v>
      </c>
      <c r="R14" s="61">
        <f t="shared" si="1"/>
        <v>40</v>
      </c>
    </row>
    <row r="15" spans="1:18" x14ac:dyDescent="0.25">
      <c r="A15" s="35" t="s">
        <v>66</v>
      </c>
      <c r="B15" s="35" t="s">
        <v>26</v>
      </c>
      <c r="C15" s="35" t="s">
        <v>1532</v>
      </c>
      <c r="D15" s="35"/>
      <c r="E15" s="35" t="s">
        <v>1533</v>
      </c>
      <c r="F15" s="36">
        <v>12</v>
      </c>
      <c r="G15" s="36">
        <v>45</v>
      </c>
      <c r="H15" s="36">
        <v>45</v>
      </c>
      <c r="I15" s="36">
        <f t="shared" si="0"/>
        <v>0</v>
      </c>
      <c r="J15" s="35" t="s">
        <v>31</v>
      </c>
      <c r="K15" s="35" t="s">
        <v>31</v>
      </c>
      <c r="L15" s="35" t="s">
        <v>1530</v>
      </c>
      <c r="M15" s="35"/>
      <c r="N15" s="35"/>
      <c r="O15" s="35"/>
      <c r="P15" s="35"/>
      <c r="Q15" s="35">
        <v>1</v>
      </c>
      <c r="R15" s="60"/>
    </row>
    <row r="16" spans="1:18" x14ac:dyDescent="0.25">
      <c r="A16" s="35"/>
      <c r="B16" s="35" t="s">
        <v>26</v>
      </c>
      <c r="C16" s="35" t="s">
        <v>1547</v>
      </c>
      <c r="D16" s="35" t="s">
        <v>1548</v>
      </c>
      <c r="E16" s="35" t="s">
        <v>606</v>
      </c>
      <c r="F16" s="36">
        <v>12</v>
      </c>
      <c r="G16" s="36">
        <v>0</v>
      </c>
      <c r="H16" s="36">
        <v>30</v>
      </c>
      <c r="I16" s="36">
        <f t="shared" si="0"/>
        <v>-30</v>
      </c>
      <c r="J16" s="35" t="s">
        <v>31</v>
      </c>
      <c r="K16" s="35" t="s">
        <v>31</v>
      </c>
      <c r="L16" s="35" t="s">
        <v>1530</v>
      </c>
      <c r="M16" s="35"/>
      <c r="N16" s="35"/>
      <c r="O16" s="35"/>
      <c r="P16" s="35"/>
      <c r="Q16" s="35">
        <v>1</v>
      </c>
      <c r="R16" s="61">
        <f>H16</f>
        <v>30</v>
      </c>
    </row>
    <row r="17" spans="1:18" x14ac:dyDescent="0.25">
      <c r="A17" s="35"/>
      <c r="B17" s="35" t="s">
        <v>26</v>
      </c>
      <c r="C17" s="35" t="s">
        <v>1555</v>
      </c>
      <c r="D17" s="35" t="s">
        <v>1556</v>
      </c>
      <c r="E17" s="35" t="s">
        <v>1557</v>
      </c>
      <c r="F17" s="35" t="s">
        <v>101</v>
      </c>
      <c r="G17" s="36">
        <v>855</v>
      </c>
      <c r="H17" s="36">
        <v>25</v>
      </c>
      <c r="I17" s="36">
        <f t="shared" si="0"/>
        <v>830</v>
      </c>
      <c r="J17" s="35" t="s">
        <v>31</v>
      </c>
      <c r="K17" s="35" t="s">
        <v>31</v>
      </c>
      <c r="L17" s="35" t="s">
        <v>1530</v>
      </c>
      <c r="M17" s="35"/>
      <c r="N17" s="35"/>
      <c r="O17" s="35"/>
      <c r="P17" s="35"/>
      <c r="Q17" s="35">
        <v>1</v>
      </c>
      <c r="R17" s="60"/>
    </row>
    <row r="18" spans="1:18" x14ac:dyDescent="0.25">
      <c r="A18" s="35"/>
      <c r="B18" s="35" t="s">
        <v>26</v>
      </c>
      <c r="C18" s="35" t="s">
        <v>1567</v>
      </c>
      <c r="D18" s="35" t="s">
        <v>1568</v>
      </c>
      <c r="E18" s="35" t="s">
        <v>606</v>
      </c>
      <c r="F18" s="36">
        <v>12</v>
      </c>
      <c r="G18" s="36">
        <v>0</v>
      </c>
      <c r="H18" s="36">
        <v>40</v>
      </c>
      <c r="I18" s="36">
        <f t="shared" si="0"/>
        <v>-40</v>
      </c>
      <c r="J18" s="35" t="s">
        <v>31</v>
      </c>
      <c r="K18" s="35" t="s">
        <v>31</v>
      </c>
      <c r="L18" s="35" t="s">
        <v>1530</v>
      </c>
      <c r="M18" s="35"/>
      <c r="N18" s="35"/>
      <c r="O18" s="35"/>
      <c r="P18" s="35"/>
      <c r="Q18" s="35">
        <v>1</v>
      </c>
      <c r="R18" s="61">
        <f>H18</f>
        <v>40</v>
      </c>
    </row>
    <row r="19" spans="1:18" x14ac:dyDescent="0.25">
      <c r="A19" s="35"/>
      <c r="B19" s="35" t="s">
        <v>26</v>
      </c>
      <c r="C19" s="35" t="s">
        <v>1582</v>
      </c>
      <c r="D19" s="35" t="s">
        <v>1583</v>
      </c>
      <c r="E19" s="35" t="s">
        <v>1584</v>
      </c>
      <c r="F19" s="36">
        <v>12</v>
      </c>
      <c r="G19" s="36">
        <v>420</v>
      </c>
      <c r="H19" s="36">
        <v>30</v>
      </c>
      <c r="I19" s="36">
        <f t="shared" si="0"/>
        <v>390</v>
      </c>
      <c r="J19" s="35" t="s">
        <v>31</v>
      </c>
      <c r="K19" s="35" t="s">
        <v>31</v>
      </c>
      <c r="L19" s="35" t="s">
        <v>1530</v>
      </c>
      <c r="M19" s="35"/>
      <c r="N19" s="35"/>
      <c r="O19" s="35"/>
      <c r="P19" s="35"/>
      <c r="Q19" s="35">
        <v>1</v>
      </c>
      <c r="R19" s="60"/>
    </row>
    <row r="20" spans="1:18" x14ac:dyDescent="0.25">
      <c r="A20" s="35"/>
      <c r="B20" s="35" t="s">
        <v>26</v>
      </c>
      <c r="C20" s="35" t="s">
        <v>1585</v>
      </c>
      <c r="D20" s="35" t="s">
        <v>1586</v>
      </c>
      <c r="E20" s="35" t="s">
        <v>1587</v>
      </c>
      <c r="F20" s="36">
        <v>12</v>
      </c>
      <c r="G20" s="36">
        <v>0</v>
      </c>
      <c r="H20" s="36">
        <v>30</v>
      </c>
      <c r="I20" s="36">
        <f t="shared" si="0"/>
        <v>-30</v>
      </c>
      <c r="J20" s="35" t="s">
        <v>31</v>
      </c>
      <c r="K20" s="35" t="s">
        <v>31</v>
      </c>
      <c r="L20" s="35" t="s">
        <v>1530</v>
      </c>
      <c r="M20" s="35"/>
      <c r="N20" s="35"/>
      <c r="O20" s="35"/>
      <c r="P20" s="35"/>
      <c r="Q20" s="35">
        <v>1</v>
      </c>
      <c r="R20" s="61">
        <f t="shared" ref="R20:R21" si="2">H20</f>
        <v>30</v>
      </c>
    </row>
    <row r="21" spans="1:18" x14ac:dyDescent="0.25">
      <c r="A21" s="35"/>
      <c r="B21" s="35" t="s">
        <v>26</v>
      </c>
      <c r="C21" s="35" t="s">
        <v>1478</v>
      </c>
      <c r="D21" s="35" t="s">
        <v>1601</v>
      </c>
      <c r="E21" s="35" t="s">
        <v>606</v>
      </c>
      <c r="F21" s="36">
        <v>12</v>
      </c>
      <c r="G21" s="36">
        <v>0</v>
      </c>
      <c r="H21" s="36">
        <v>30</v>
      </c>
      <c r="I21" s="36">
        <f t="shared" si="0"/>
        <v>-30</v>
      </c>
      <c r="J21" s="35" t="s">
        <v>31</v>
      </c>
      <c r="K21" s="35" t="s">
        <v>31</v>
      </c>
      <c r="L21" s="35" t="s">
        <v>1530</v>
      </c>
      <c r="M21" s="35"/>
      <c r="N21" s="35"/>
      <c r="O21" s="35"/>
      <c r="P21" s="35"/>
      <c r="Q21" s="35">
        <v>1</v>
      </c>
      <c r="R21" s="61">
        <f t="shared" si="2"/>
        <v>30</v>
      </c>
    </row>
    <row r="22" spans="1:18" x14ac:dyDescent="0.25">
      <c r="A22" s="35" t="s">
        <v>66</v>
      </c>
      <c r="B22" s="35" t="s">
        <v>26</v>
      </c>
      <c r="C22" s="35" t="s">
        <v>1528</v>
      </c>
      <c r="D22" s="35"/>
      <c r="E22" s="35" t="s">
        <v>1529</v>
      </c>
      <c r="F22" s="35" t="s">
        <v>101</v>
      </c>
      <c r="G22" s="36">
        <v>4160</v>
      </c>
      <c r="H22" s="36">
        <v>30</v>
      </c>
      <c r="I22" s="36">
        <f t="shared" si="0"/>
        <v>4130</v>
      </c>
      <c r="J22" s="35" t="s">
        <v>41</v>
      </c>
      <c r="K22" s="35" t="s">
        <v>31</v>
      </c>
      <c r="L22" s="35" t="s">
        <v>1530</v>
      </c>
      <c r="M22" s="35"/>
      <c r="N22" s="35"/>
      <c r="O22" s="35"/>
      <c r="P22" s="35"/>
      <c r="Q22" s="35">
        <v>1</v>
      </c>
      <c r="R22" s="60"/>
    </row>
    <row r="23" spans="1:18" x14ac:dyDescent="0.25">
      <c r="A23" s="35" t="s">
        <v>66</v>
      </c>
      <c r="B23" s="35" t="s">
        <v>26</v>
      </c>
      <c r="C23" s="35" t="s">
        <v>1537</v>
      </c>
      <c r="D23" s="35"/>
      <c r="E23" s="35" t="s">
        <v>1313</v>
      </c>
      <c r="F23" s="35" t="s">
        <v>101</v>
      </c>
      <c r="G23" s="36">
        <v>0</v>
      </c>
      <c r="H23" s="36">
        <v>30</v>
      </c>
      <c r="I23" s="36">
        <f t="shared" si="0"/>
        <v>-30</v>
      </c>
      <c r="J23" s="35" t="s">
        <v>41</v>
      </c>
      <c r="K23" s="35" t="s">
        <v>31</v>
      </c>
      <c r="L23" s="35" t="s">
        <v>1530</v>
      </c>
      <c r="M23" s="35"/>
      <c r="N23" s="35"/>
      <c r="O23" s="35"/>
      <c r="P23" s="35"/>
      <c r="Q23" s="35">
        <v>1</v>
      </c>
      <c r="R23" s="61">
        <f>H23</f>
        <v>30</v>
      </c>
    </row>
    <row r="24" spans="1:18" x14ac:dyDescent="0.25">
      <c r="A24" s="35"/>
      <c r="B24" s="35" t="s">
        <v>26</v>
      </c>
      <c r="C24" s="35" t="s">
        <v>1512</v>
      </c>
      <c r="D24" s="35" t="s">
        <v>1544</v>
      </c>
      <c r="E24" s="35" t="s">
        <v>1514</v>
      </c>
      <c r="F24" s="35" t="s">
        <v>101</v>
      </c>
      <c r="G24" s="36">
        <v>715</v>
      </c>
      <c r="H24" s="36">
        <v>25</v>
      </c>
      <c r="I24" s="36">
        <f t="shared" si="0"/>
        <v>690</v>
      </c>
      <c r="J24" s="35" t="s">
        <v>41</v>
      </c>
      <c r="K24" s="35" t="s">
        <v>31</v>
      </c>
      <c r="L24" s="35" t="s">
        <v>1530</v>
      </c>
      <c r="M24" s="35"/>
      <c r="N24" s="35"/>
      <c r="O24" s="35"/>
      <c r="P24" s="35"/>
      <c r="Q24" s="35">
        <v>1</v>
      </c>
      <c r="R24" s="60"/>
    </row>
    <row r="25" spans="1:18" x14ac:dyDescent="0.25">
      <c r="A25" s="35"/>
      <c r="B25" s="35" t="s">
        <v>26</v>
      </c>
      <c r="C25" s="35" t="s">
        <v>1549</v>
      </c>
      <c r="D25" s="35" t="s">
        <v>1550</v>
      </c>
      <c r="E25" s="35" t="s">
        <v>1551</v>
      </c>
      <c r="F25" s="36">
        <v>7</v>
      </c>
      <c r="G25" s="36">
        <v>0</v>
      </c>
      <c r="H25" s="36">
        <v>30</v>
      </c>
      <c r="I25" s="36">
        <f t="shared" si="0"/>
        <v>-30</v>
      </c>
      <c r="J25" s="35" t="s">
        <v>41</v>
      </c>
      <c r="K25" s="35" t="s">
        <v>31</v>
      </c>
      <c r="L25" s="35" t="s">
        <v>1530</v>
      </c>
      <c r="M25" s="35"/>
      <c r="N25" s="35"/>
      <c r="O25" s="35"/>
      <c r="P25" s="35"/>
      <c r="Q25" s="35">
        <v>1</v>
      </c>
      <c r="R25" s="61">
        <f t="shared" ref="R25:R26" si="3">H25</f>
        <v>30</v>
      </c>
    </row>
    <row r="26" spans="1:18" x14ac:dyDescent="0.25">
      <c r="A26" s="35"/>
      <c r="B26" s="35" t="s">
        <v>26</v>
      </c>
      <c r="C26" s="35" t="s">
        <v>1558</v>
      </c>
      <c r="D26" s="35" t="s">
        <v>1559</v>
      </c>
      <c r="E26" s="35" t="s">
        <v>1560</v>
      </c>
      <c r="F26" s="35" t="s">
        <v>101</v>
      </c>
      <c r="G26" s="36">
        <v>0</v>
      </c>
      <c r="H26" s="36">
        <v>25</v>
      </c>
      <c r="I26" s="36">
        <f t="shared" si="0"/>
        <v>-25</v>
      </c>
      <c r="J26" s="35" t="s">
        <v>41</v>
      </c>
      <c r="K26" s="35" t="s">
        <v>31</v>
      </c>
      <c r="L26" s="35" t="s">
        <v>1530</v>
      </c>
      <c r="M26" s="35"/>
      <c r="N26" s="35"/>
      <c r="O26" s="35"/>
      <c r="P26" s="35"/>
      <c r="Q26" s="35">
        <v>1</v>
      </c>
      <c r="R26" s="61">
        <f t="shared" si="3"/>
        <v>25</v>
      </c>
    </row>
    <row r="27" spans="1:18" s="41" customFormat="1" x14ac:dyDescent="0.25">
      <c r="A27" s="39"/>
      <c r="B27" s="39" t="s">
        <v>26</v>
      </c>
      <c r="C27" s="39" t="s">
        <v>1042</v>
      </c>
      <c r="D27" s="39" t="s">
        <v>1564</v>
      </c>
      <c r="E27" s="39" t="s">
        <v>1044</v>
      </c>
      <c r="F27" s="40">
        <v>7</v>
      </c>
      <c r="G27" s="40">
        <v>350</v>
      </c>
      <c r="H27" s="40">
        <v>30</v>
      </c>
      <c r="I27" s="40">
        <f t="shared" si="0"/>
        <v>320</v>
      </c>
      <c r="J27" s="39" t="s">
        <v>41</v>
      </c>
      <c r="K27" s="39" t="s">
        <v>31</v>
      </c>
      <c r="L27" s="39" t="s">
        <v>1530</v>
      </c>
      <c r="M27" s="39" t="s">
        <v>37</v>
      </c>
      <c r="N27" s="39"/>
      <c r="O27" s="39"/>
      <c r="P27" s="39"/>
      <c r="Q27" s="39">
        <v>1</v>
      </c>
      <c r="R27" s="62"/>
    </row>
    <row r="28" spans="1:18" s="41" customFormat="1" x14ac:dyDescent="0.25">
      <c r="A28" s="39"/>
      <c r="B28" s="39" t="s">
        <v>26</v>
      </c>
      <c r="C28" s="39" t="s">
        <v>1416</v>
      </c>
      <c r="D28" s="39" t="s">
        <v>1565</v>
      </c>
      <c r="E28" s="39" t="s">
        <v>1566</v>
      </c>
      <c r="F28" s="40">
        <v>10</v>
      </c>
      <c r="G28" s="40">
        <v>25</v>
      </c>
      <c r="H28" s="40">
        <v>25</v>
      </c>
      <c r="I28" s="40">
        <f t="shared" si="0"/>
        <v>0</v>
      </c>
      <c r="J28" s="39" t="s">
        <v>41</v>
      </c>
      <c r="K28" s="39" t="s">
        <v>31</v>
      </c>
      <c r="L28" s="39" t="s">
        <v>1530</v>
      </c>
      <c r="M28" s="39" t="s">
        <v>37</v>
      </c>
      <c r="N28" s="39"/>
      <c r="O28" s="39"/>
      <c r="P28" s="39"/>
      <c r="Q28" s="39">
        <v>1</v>
      </c>
      <c r="R28" s="62"/>
    </row>
    <row r="29" spans="1:18" x14ac:dyDescent="0.25">
      <c r="A29" s="35"/>
      <c r="B29" s="35" t="s">
        <v>26</v>
      </c>
      <c r="C29" s="35" t="s">
        <v>1569</v>
      </c>
      <c r="D29" s="35" t="s">
        <v>1570</v>
      </c>
      <c r="E29" s="35" t="s">
        <v>1571</v>
      </c>
      <c r="F29" s="36">
        <v>7</v>
      </c>
      <c r="G29" s="36">
        <v>490</v>
      </c>
      <c r="H29" s="36">
        <v>30</v>
      </c>
      <c r="I29" s="36">
        <f t="shared" si="0"/>
        <v>460</v>
      </c>
      <c r="J29" s="35" t="s">
        <v>41</v>
      </c>
      <c r="K29" s="35" t="s">
        <v>31</v>
      </c>
      <c r="L29" s="35" t="s">
        <v>1530</v>
      </c>
      <c r="M29" s="35"/>
      <c r="N29" s="35"/>
      <c r="O29" s="35"/>
      <c r="P29" s="35"/>
      <c r="Q29" s="35">
        <v>1</v>
      </c>
      <c r="R29" s="60"/>
    </row>
    <row r="30" spans="1:18" s="41" customFormat="1" x14ac:dyDescent="0.25">
      <c r="A30" s="39"/>
      <c r="B30" s="39" t="s">
        <v>26</v>
      </c>
      <c r="C30" s="39" t="s">
        <v>1458</v>
      </c>
      <c r="D30" s="39" t="s">
        <v>1572</v>
      </c>
      <c r="E30" s="39" t="s">
        <v>1573</v>
      </c>
      <c r="F30" s="40">
        <v>3</v>
      </c>
      <c r="G30" s="40">
        <v>0</v>
      </c>
      <c r="H30" s="40">
        <v>25</v>
      </c>
      <c r="I30" s="40">
        <f t="shared" si="0"/>
        <v>-25</v>
      </c>
      <c r="J30" s="39" t="s">
        <v>41</v>
      </c>
      <c r="K30" s="39" t="s">
        <v>31</v>
      </c>
      <c r="L30" s="39" t="s">
        <v>1530</v>
      </c>
      <c r="M30" s="39" t="s">
        <v>37</v>
      </c>
      <c r="N30" s="39"/>
      <c r="O30" s="39"/>
      <c r="P30" s="39"/>
      <c r="Q30" s="39">
        <v>1</v>
      </c>
      <c r="R30" s="63">
        <f>H30</f>
        <v>25</v>
      </c>
    </row>
    <row r="31" spans="1:18" x14ac:dyDescent="0.25">
      <c r="A31" s="35"/>
      <c r="B31" s="35" t="s">
        <v>26</v>
      </c>
      <c r="C31" s="35" t="s">
        <v>1574</v>
      </c>
      <c r="D31" s="35" t="s">
        <v>1575</v>
      </c>
      <c r="E31" s="35" t="s">
        <v>812</v>
      </c>
      <c r="F31" s="36">
        <v>7</v>
      </c>
      <c r="G31" s="36">
        <v>670</v>
      </c>
      <c r="H31" s="36">
        <v>30</v>
      </c>
      <c r="I31" s="36">
        <f t="shared" si="0"/>
        <v>640</v>
      </c>
      <c r="J31" s="35" t="s">
        <v>41</v>
      </c>
      <c r="K31" s="35" t="s">
        <v>31</v>
      </c>
      <c r="L31" s="35" t="s">
        <v>1530</v>
      </c>
      <c r="M31" s="35"/>
      <c r="N31" s="35"/>
      <c r="O31" s="35"/>
      <c r="P31" s="35"/>
      <c r="Q31" s="35">
        <v>1</v>
      </c>
      <c r="R31" s="60"/>
    </row>
    <row r="32" spans="1:18" x14ac:dyDescent="0.25">
      <c r="A32" s="35"/>
      <c r="B32" s="35" t="s">
        <v>26</v>
      </c>
      <c r="C32" s="35" t="s">
        <v>1576</v>
      </c>
      <c r="D32" s="35" t="s">
        <v>1577</v>
      </c>
      <c r="E32" s="35" t="s">
        <v>1578</v>
      </c>
      <c r="F32" s="36">
        <v>5</v>
      </c>
      <c r="G32" s="36">
        <v>0</v>
      </c>
      <c r="H32" s="36">
        <v>25</v>
      </c>
      <c r="I32" s="36">
        <f t="shared" si="0"/>
        <v>-25</v>
      </c>
      <c r="J32" s="35" t="s">
        <v>41</v>
      </c>
      <c r="K32" s="35" t="s">
        <v>31</v>
      </c>
      <c r="L32" s="35" t="s">
        <v>1530</v>
      </c>
      <c r="M32" s="35"/>
      <c r="N32" s="35"/>
      <c r="O32" s="35"/>
      <c r="P32" s="35"/>
      <c r="Q32" s="35">
        <v>1</v>
      </c>
      <c r="R32" s="61">
        <f>H32</f>
        <v>25</v>
      </c>
    </row>
    <row r="33" spans="1:18" x14ac:dyDescent="0.25">
      <c r="A33" s="35"/>
      <c r="B33" s="35" t="s">
        <v>26</v>
      </c>
      <c r="C33" s="35" t="s">
        <v>1579</v>
      </c>
      <c r="D33" s="35" t="s">
        <v>1580</v>
      </c>
      <c r="E33" s="35" t="s">
        <v>1581</v>
      </c>
      <c r="F33" s="36">
        <v>7</v>
      </c>
      <c r="G33" s="36">
        <v>720</v>
      </c>
      <c r="H33" s="36">
        <v>30</v>
      </c>
      <c r="I33" s="36">
        <f t="shared" si="0"/>
        <v>690</v>
      </c>
      <c r="J33" s="35" t="s">
        <v>41</v>
      </c>
      <c r="K33" s="35" t="s">
        <v>31</v>
      </c>
      <c r="L33" s="35" t="s">
        <v>1530</v>
      </c>
      <c r="M33" s="35"/>
      <c r="N33" s="35"/>
      <c r="O33" s="35"/>
      <c r="P33" s="35"/>
      <c r="Q33" s="35">
        <v>1</v>
      </c>
      <c r="R33" s="60"/>
    </row>
    <row r="34" spans="1:18" x14ac:dyDescent="0.25">
      <c r="A34" s="35"/>
      <c r="B34" s="35" t="s">
        <v>26</v>
      </c>
      <c r="C34" s="35" t="s">
        <v>1596</v>
      </c>
      <c r="D34" s="35" t="s">
        <v>1597</v>
      </c>
      <c r="E34" s="35" t="s">
        <v>1598</v>
      </c>
      <c r="F34" s="36">
        <v>5</v>
      </c>
      <c r="G34" s="36">
        <v>0</v>
      </c>
      <c r="H34" s="36">
        <v>25</v>
      </c>
      <c r="I34" s="36">
        <f t="shared" si="0"/>
        <v>-25</v>
      </c>
      <c r="J34" s="35" t="s">
        <v>41</v>
      </c>
      <c r="K34" s="35" t="s">
        <v>31</v>
      </c>
      <c r="L34" s="35" t="s">
        <v>1530</v>
      </c>
      <c r="M34" s="35"/>
      <c r="N34" s="35"/>
      <c r="O34" s="35"/>
      <c r="P34" s="35"/>
      <c r="Q34" s="35">
        <v>1</v>
      </c>
      <c r="R34" s="61">
        <f>H34</f>
        <v>25</v>
      </c>
    </row>
    <row r="35" spans="1:18" s="41" customFormat="1" x14ac:dyDescent="0.25">
      <c r="A35" s="39"/>
      <c r="B35" s="39" t="s">
        <v>26</v>
      </c>
      <c r="C35" s="39" t="s">
        <v>942</v>
      </c>
      <c r="D35" s="39" t="s">
        <v>1600</v>
      </c>
      <c r="E35" s="39" t="s">
        <v>944</v>
      </c>
      <c r="F35" s="40">
        <v>4</v>
      </c>
      <c r="G35" s="40">
        <v>295</v>
      </c>
      <c r="H35" s="40">
        <v>25</v>
      </c>
      <c r="I35" s="40">
        <f t="shared" si="0"/>
        <v>270</v>
      </c>
      <c r="J35" s="39" t="s">
        <v>41</v>
      </c>
      <c r="K35" s="39" t="s">
        <v>31</v>
      </c>
      <c r="L35" s="39" t="s">
        <v>1530</v>
      </c>
      <c r="M35" s="39" t="s">
        <v>37</v>
      </c>
      <c r="N35" s="39"/>
      <c r="O35" s="39"/>
      <c r="P35" s="39"/>
      <c r="Q35" s="39">
        <v>1</v>
      </c>
      <c r="R35" s="62"/>
    </row>
    <row r="36" spans="1:18" x14ac:dyDescent="0.25">
      <c r="A36" s="35"/>
      <c r="B36" s="35" t="s">
        <v>26</v>
      </c>
      <c r="C36" s="35" t="s">
        <v>1602</v>
      </c>
      <c r="D36" s="35" t="s">
        <v>1603</v>
      </c>
      <c r="E36" s="35" t="s">
        <v>1604</v>
      </c>
      <c r="F36" s="35" t="s">
        <v>117</v>
      </c>
      <c r="G36" s="36">
        <v>825</v>
      </c>
      <c r="H36" s="36">
        <v>35</v>
      </c>
      <c r="I36" s="36">
        <f t="shared" si="0"/>
        <v>790</v>
      </c>
      <c r="J36" s="35" t="s">
        <v>41</v>
      </c>
      <c r="K36" s="35" t="s">
        <v>31</v>
      </c>
      <c r="L36" s="35" t="s">
        <v>1530</v>
      </c>
      <c r="M36" s="35"/>
      <c r="N36" s="35"/>
      <c r="O36" s="35"/>
      <c r="P36" s="35"/>
      <c r="Q36" s="35">
        <v>1</v>
      </c>
      <c r="R36" s="60"/>
    </row>
    <row r="37" spans="1:18" x14ac:dyDescent="0.25">
      <c r="A37" s="35"/>
      <c r="B37" s="35" t="s">
        <v>26</v>
      </c>
      <c r="C37" s="35" t="s">
        <v>1605</v>
      </c>
      <c r="D37" s="35" t="s">
        <v>1606</v>
      </c>
      <c r="E37" s="35" t="s">
        <v>1607</v>
      </c>
      <c r="F37" s="36">
        <v>8</v>
      </c>
      <c r="G37" s="36">
        <v>910</v>
      </c>
      <c r="H37" s="36">
        <v>30</v>
      </c>
      <c r="I37" s="36">
        <f t="shared" si="0"/>
        <v>880</v>
      </c>
      <c r="J37" s="35" t="s">
        <v>41</v>
      </c>
      <c r="K37" s="35" t="s">
        <v>31</v>
      </c>
      <c r="L37" s="35" t="s">
        <v>1530</v>
      </c>
      <c r="M37" s="35"/>
      <c r="N37" s="35"/>
      <c r="O37" s="35"/>
      <c r="P37" s="35"/>
      <c r="Q37" s="35">
        <v>1</v>
      </c>
      <c r="R37" s="60"/>
    </row>
    <row r="38" spans="1:18" x14ac:dyDescent="0.25">
      <c r="A38" s="35"/>
      <c r="B38" s="35" t="s">
        <v>26</v>
      </c>
      <c r="C38" s="35" t="s">
        <v>1608</v>
      </c>
      <c r="D38" s="35" t="s">
        <v>1609</v>
      </c>
      <c r="E38" s="35" t="s">
        <v>1610</v>
      </c>
      <c r="F38" s="35" t="s">
        <v>101</v>
      </c>
      <c r="G38" s="36">
        <v>375</v>
      </c>
      <c r="H38" s="36">
        <v>25</v>
      </c>
      <c r="I38" s="36">
        <f t="shared" si="0"/>
        <v>350</v>
      </c>
      <c r="J38" s="35" t="s">
        <v>41</v>
      </c>
      <c r="K38" s="35" t="s">
        <v>31</v>
      </c>
      <c r="L38" s="35" t="s">
        <v>1530</v>
      </c>
      <c r="M38" s="35"/>
      <c r="N38" s="35"/>
      <c r="O38" s="35"/>
      <c r="P38" s="35"/>
      <c r="Q38" s="35">
        <v>1</v>
      </c>
      <c r="R38" s="60"/>
    </row>
    <row r="39" spans="1:18" x14ac:dyDescent="0.25">
      <c r="A39" s="35"/>
      <c r="B39" s="35" t="s">
        <v>26</v>
      </c>
      <c r="C39" s="35" t="s">
        <v>1611</v>
      </c>
      <c r="D39" s="35" t="s">
        <v>1612</v>
      </c>
      <c r="E39" s="35" t="s">
        <v>1613</v>
      </c>
      <c r="F39" s="35" t="s">
        <v>155</v>
      </c>
      <c r="G39" s="36">
        <v>500</v>
      </c>
      <c r="H39" s="36">
        <v>20</v>
      </c>
      <c r="I39" s="36">
        <f t="shared" si="0"/>
        <v>480</v>
      </c>
      <c r="J39" s="35" t="s">
        <v>41</v>
      </c>
      <c r="K39" s="35" t="s">
        <v>31</v>
      </c>
      <c r="L39" s="35" t="s">
        <v>1530</v>
      </c>
      <c r="M39" s="35"/>
      <c r="N39" s="35"/>
      <c r="O39" s="35"/>
      <c r="P39" s="35"/>
      <c r="Q39" s="35">
        <v>1</v>
      </c>
      <c r="R39" s="60"/>
    </row>
    <row r="40" spans="1:18" x14ac:dyDescent="0.25">
      <c r="A40" s="35"/>
      <c r="B40" s="35" t="s">
        <v>26</v>
      </c>
      <c r="C40" s="35" t="s">
        <v>1617</v>
      </c>
      <c r="D40" s="35" t="s">
        <v>1618</v>
      </c>
      <c r="E40" s="35" t="s">
        <v>1619</v>
      </c>
      <c r="F40" s="36">
        <v>7</v>
      </c>
      <c r="G40" s="36">
        <v>520</v>
      </c>
      <c r="H40" s="36">
        <v>30</v>
      </c>
      <c r="I40" s="36">
        <f t="shared" si="0"/>
        <v>490</v>
      </c>
      <c r="J40" s="35" t="s">
        <v>41</v>
      </c>
      <c r="K40" s="35" t="s">
        <v>31</v>
      </c>
      <c r="L40" s="35" t="s">
        <v>1530</v>
      </c>
      <c r="M40" s="35"/>
      <c r="N40" s="35"/>
      <c r="O40" s="35"/>
      <c r="P40" s="35"/>
      <c r="Q40" s="35">
        <v>1</v>
      </c>
      <c r="R40" s="60"/>
    </row>
    <row r="41" spans="1:18" s="53" customFormat="1" x14ac:dyDescent="0.25">
      <c r="A41" s="54"/>
      <c r="B41" s="54" t="s">
        <v>26</v>
      </c>
      <c r="C41" s="54" t="s">
        <v>1489</v>
      </c>
      <c r="D41" s="54" t="s">
        <v>1490</v>
      </c>
      <c r="E41" s="54" t="s">
        <v>1491</v>
      </c>
      <c r="F41" s="55" t="s">
        <v>77</v>
      </c>
      <c r="G41" s="54">
        <v>398</v>
      </c>
      <c r="H41" s="54">
        <v>0</v>
      </c>
      <c r="I41" s="54">
        <f t="shared" si="0"/>
        <v>398</v>
      </c>
      <c r="J41" s="37" t="s">
        <v>118</v>
      </c>
      <c r="K41" s="54" t="s">
        <v>31</v>
      </c>
      <c r="L41" s="54" t="s">
        <v>1397</v>
      </c>
      <c r="M41" s="54" t="s">
        <v>94</v>
      </c>
      <c r="N41" s="54" t="s">
        <v>316</v>
      </c>
      <c r="O41" s="54" t="s">
        <v>316</v>
      </c>
      <c r="P41" s="54" t="s">
        <v>317</v>
      </c>
      <c r="Q41" s="54">
        <v>1</v>
      </c>
    </row>
    <row r="42" spans="1:18" s="30" customFormat="1" x14ac:dyDescent="0.25">
      <c r="A42" s="37"/>
      <c r="B42" s="37" t="s">
        <v>26</v>
      </c>
      <c r="C42" s="37" t="s">
        <v>1201</v>
      </c>
      <c r="D42" s="37" t="s">
        <v>1202</v>
      </c>
      <c r="E42" s="37" t="s">
        <v>1203</v>
      </c>
      <c r="F42" s="43">
        <v>5</v>
      </c>
      <c r="G42" s="43">
        <v>815</v>
      </c>
      <c r="H42" s="43">
        <v>25</v>
      </c>
      <c r="I42" s="43">
        <f t="shared" si="0"/>
        <v>790</v>
      </c>
      <c r="J42" s="37" t="s">
        <v>118</v>
      </c>
      <c r="K42" s="37" t="s">
        <v>31</v>
      </c>
      <c r="L42" s="37" t="s">
        <v>1175</v>
      </c>
      <c r="M42" s="37" t="s">
        <v>91</v>
      </c>
      <c r="N42" s="37" t="s">
        <v>316</v>
      </c>
      <c r="O42" s="37" t="s">
        <v>316</v>
      </c>
      <c r="P42" s="37" t="s">
        <v>317</v>
      </c>
      <c r="Q42" s="37">
        <v>1</v>
      </c>
      <c r="R42" s="64"/>
    </row>
    <row r="44" spans="1:18" x14ac:dyDescent="0.25">
      <c r="D44" s="26">
        <f>COUNTA(D3:D42)</f>
        <v>35</v>
      </c>
      <c r="G44" s="26">
        <f t="shared" ref="G44:Q44" si="4">SUBTOTAL(9,G3:G42)</f>
        <v>19218</v>
      </c>
      <c r="H44" s="26">
        <f t="shared" si="4"/>
        <v>1150</v>
      </c>
      <c r="I44" s="26">
        <f t="shared" si="4"/>
        <v>18068</v>
      </c>
      <c r="J44" s="26">
        <f t="shared" si="4"/>
        <v>0</v>
      </c>
      <c r="K44" s="26">
        <f t="shared" si="4"/>
        <v>0</v>
      </c>
      <c r="L44" s="26">
        <f t="shared" si="4"/>
        <v>0</v>
      </c>
      <c r="M44" s="26">
        <f t="shared" si="4"/>
        <v>0</v>
      </c>
      <c r="N44" s="26">
        <f t="shared" si="4"/>
        <v>0</v>
      </c>
      <c r="O44" s="26">
        <f t="shared" si="4"/>
        <v>0</v>
      </c>
      <c r="P44" s="26">
        <f t="shared" si="4"/>
        <v>0</v>
      </c>
      <c r="Q44" s="26">
        <f t="shared" si="4"/>
        <v>40</v>
      </c>
    </row>
    <row r="45" spans="1:18" x14ac:dyDescent="0.25">
      <c r="H45" s="24">
        <f>-7*17</f>
        <v>-119</v>
      </c>
    </row>
    <row r="46" spans="1:18" x14ac:dyDescent="0.25">
      <c r="A46" s="26" t="s">
        <v>26</v>
      </c>
      <c r="C46" s="80" t="s">
        <v>78</v>
      </c>
      <c r="D46" s="80"/>
      <c r="E46" s="27" t="s">
        <v>79</v>
      </c>
      <c r="H46" s="24">
        <f>-3*25</f>
        <v>-75</v>
      </c>
      <c r="K46" s="28" t="s">
        <v>41</v>
      </c>
      <c r="L46" s="28" t="s">
        <v>80</v>
      </c>
      <c r="M46" s="28" t="s">
        <v>79</v>
      </c>
      <c r="O46" s="27" t="s">
        <v>81</v>
      </c>
    </row>
    <row r="47" spans="1:18" x14ac:dyDescent="0.25">
      <c r="A47" s="24" t="s">
        <v>1530</v>
      </c>
      <c r="B47" s="29" t="s">
        <v>82</v>
      </c>
      <c r="C47" s="81">
        <f>SUMIFS(I$3:I$42,B$3:B$42,A$46,L$3:L$42,A$47)</f>
        <v>16880</v>
      </c>
      <c r="D47" s="81"/>
      <c r="E47" s="29">
        <f>SUMIFS(Q$3:Q$42,B$3:B$42,A$46,L$3:L$42,A$47)</f>
        <v>38</v>
      </c>
      <c r="F47" s="24" t="s">
        <v>83</v>
      </c>
      <c r="H47" s="24">
        <f>-1*30</f>
        <v>-30</v>
      </c>
      <c r="K47" s="24" t="s">
        <v>84</v>
      </c>
      <c r="L47" s="24">
        <f>SUMIFS(G$3:G$42,J$3:J$42,K$46)</f>
        <v>10555</v>
      </c>
      <c r="M47" s="24">
        <f>SUMIFS(Q$3:Q$42,J$3:J$42,K$46)-INT(COUNTIFS(J$3:J$42,K$46,M$3:M$42,"*gộp*")/2)</f>
        <v>19</v>
      </c>
      <c r="O47" s="24" t="s">
        <v>41</v>
      </c>
      <c r="P47" s="24">
        <f>L52</f>
        <v>9330</v>
      </c>
    </row>
    <row r="48" spans="1:18" x14ac:dyDescent="0.25">
      <c r="B48" s="30" t="s">
        <v>86</v>
      </c>
      <c r="C48" s="82">
        <v>0</v>
      </c>
      <c r="D48" s="82"/>
      <c r="K48" s="24" t="s">
        <v>87</v>
      </c>
      <c r="L48" s="24">
        <f>-SUMIFS(H$3:H$42,J$3:J$42,K$46)+M48*5</f>
        <v>-430</v>
      </c>
      <c r="M48" s="24">
        <f>SUMIFS(Q$3:Q$42,J$3:J$42,K$46)-INT(COUNTIFS(J$3:J$42,K$46,M$3:M$42,"*gộp*")/2)</f>
        <v>19</v>
      </c>
      <c r="O48" s="24" t="s">
        <v>31</v>
      </c>
      <c r="P48" s="24">
        <f>L61</f>
        <v>1041</v>
      </c>
    </row>
    <row r="49" spans="2:16" x14ac:dyDescent="0.25">
      <c r="B49" s="30" t="s">
        <v>88</v>
      </c>
      <c r="C49" s="82">
        <f>-SUMIFS(I$3:I$42,B$3:B$42,A$46,P$3:P$42,"xx",N$3:N$42,"x")</f>
        <v>-1188</v>
      </c>
      <c r="D49" s="82"/>
      <c r="E49" s="30">
        <f>SUMIFS(Q$3:Q$42,B$3:B$42,A$46,P$3:P$42,"xx",N$3:N$42,"x")</f>
        <v>2</v>
      </c>
      <c r="K49" s="24" t="s">
        <v>89</v>
      </c>
      <c r="L49" s="24">
        <f>-M49*2</f>
        <v>0</v>
      </c>
      <c r="M49" s="24">
        <f>COUNTIFS(K$3:K$42,K$46,L$3:L$42,A$47)-(COUNTIFS(K$3:K$42,K$46,M$3:M$42,"*gộp*")/2)-COUNTIFS(K$3:K$42,K$46,M$3:M$42,"*đơn trả*")-COUNTIFS(K$3:K$42,K$46,M$3:M$42,"*hàng tỉnh*")</f>
        <v>0</v>
      </c>
      <c r="O49" s="24" t="s">
        <v>1620</v>
      </c>
      <c r="P49" s="24">
        <f>L68</f>
        <v>5508</v>
      </c>
    </row>
    <row r="50" spans="2:16" x14ac:dyDescent="0.25">
      <c r="B50" s="27" t="s">
        <v>90</v>
      </c>
      <c r="C50" s="80">
        <f>SUBTOTAL(9,C47:C49)</f>
        <v>15692</v>
      </c>
      <c r="D50" s="80"/>
      <c r="E50" s="24">
        <f>E47</f>
        <v>38</v>
      </c>
      <c r="K50" s="31" t="s">
        <v>91</v>
      </c>
      <c r="L50" s="48">
        <v>-795</v>
      </c>
      <c r="M50" s="48" t="s">
        <v>590</v>
      </c>
      <c r="O50" s="24" t="s">
        <v>92</v>
      </c>
      <c r="P50" s="24">
        <f>-C54</f>
        <v>-15692</v>
      </c>
    </row>
    <row r="51" spans="2:16" x14ac:dyDescent="0.25">
      <c r="B51" s="30" t="s">
        <v>93</v>
      </c>
      <c r="C51" s="78"/>
      <c r="D51" s="78"/>
      <c r="K51" s="30" t="s">
        <v>94</v>
      </c>
      <c r="O51" s="27" t="s">
        <v>95</v>
      </c>
      <c r="P51" s="27">
        <f>SUBTOTAL(9,P47:P50)</f>
        <v>187</v>
      </c>
    </row>
    <row r="52" spans="2:16" x14ac:dyDescent="0.25">
      <c r="B52" s="32" t="s">
        <v>96</v>
      </c>
      <c r="C52" s="78"/>
      <c r="D52" s="78"/>
      <c r="L52" s="33">
        <f>SUBTOTAL(9,L47:L51)</f>
        <v>9330</v>
      </c>
      <c r="M52" s="33">
        <f>M47</f>
        <v>19</v>
      </c>
    </row>
    <row r="54" spans="2:16" x14ac:dyDescent="0.25">
      <c r="B54" s="26" t="s">
        <v>97</v>
      </c>
      <c r="C54" s="79">
        <f>C50+C51+C52</f>
        <v>15692</v>
      </c>
      <c r="D54" s="79"/>
      <c r="E54" s="26" t="s">
        <v>98</v>
      </c>
      <c r="K54" s="28" t="s">
        <v>31</v>
      </c>
      <c r="L54" s="28" t="s">
        <v>80</v>
      </c>
      <c r="M54" s="28" t="s">
        <v>79</v>
      </c>
    </row>
    <row r="55" spans="2:16" x14ac:dyDescent="0.25">
      <c r="K55" s="24" t="s">
        <v>84</v>
      </c>
      <c r="L55" s="24">
        <f>SUMIFS(G$3:G$42,J$3:J$42,K$54)</f>
        <v>1320</v>
      </c>
      <c r="M55" s="24">
        <f>SUMIFS(Q$3:Q$42,J$3:J$42,K$54)-INT(COUNTIFS(J$3:J$42,K$54,M$3:M$42,"*gộp*")/2)</f>
        <v>8</v>
      </c>
    </row>
    <row r="56" spans="2:16" x14ac:dyDescent="0.25">
      <c r="K56" s="24" t="s">
        <v>87</v>
      </c>
      <c r="L56" s="24">
        <f>-SUMIFS(H$3:H$42,J$3:J$42,K$54)+M56*5</f>
        <v>-230</v>
      </c>
      <c r="M56" s="24">
        <f>SUMIFS(Q$3:Q$42,J$3:J$42,K$54)-INT(COUNTIFS(J$3:J$42,K$54,M$3:M$42,"*gộp*")/2)</f>
        <v>8</v>
      </c>
    </row>
    <row r="57" spans="2:16" x14ac:dyDescent="0.25">
      <c r="K57" s="24" t="s">
        <v>89</v>
      </c>
      <c r="L57" s="24">
        <f>-M57*2</f>
        <v>-74</v>
      </c>
      <c r="M57" s="24">
        <f>COUNTIFS(K$3:K$42,K$54,L$3:L$42,A$47)-(COUNTIFS(K$3:K$42,K$54,M$3:M$42,"*gộp*")/2)-COUNTIFS(K$3:K$42,K$54,M$3:M$42,"*đơn trả*")-COUNTIFS(K$3:K$42,K$54,M$3:M$42,"*hàng tỉnh*")</f>
        <v>37</v>
      </c>
    </row>
    <row r="58" spans="2:16" x14ac:dyDescent="0.25">
      <c r="K58" s="31" t="s">
        <v>91</v>
      </c>
    </row>
    <row r="59" spans="2:16" x14ac:dyDescent="0.25">
      <c r="K59" s="30" t="s">
        <v>94</v>
      </c>
    </row>
    <row r="60" spans="2:16" x14ac:dyDescent="0.25">
      <c r="K60" s="59" t="s">
        <v>1622</v>
      </c>
      <c r="L60" s="56">
        <v>25</v>
      </c>
      <c r="M60" s="56"/>
    </row>
    <row r="61" spans="2:16" x14ac:dyDescent="0.25">
      <c r="L61" s="33">
        <f>SUBTOTAL(9,L55:L60)</f>
        <v>1041</v>
      </c>
      <c r="M61" s="33">
        <f>M56</f>
        <v>8</v>
      </c>
    </row>
    <row r="62" spans="2:16" x14ac:dyDescent="0.25">
      <c r="K62" s="28" t="s">
        <v>1536</v>
      </c>
      <c r="L62" s="28" t="s">
        <v>80</v>
      </c>
      <c r="M62" s="28" t="s">
        <v>79</v>
      </c>
    </row>
    <row r="63" spans="2:16" x14ac:dyDescent="0.25">
      <c r="K63" s="24" t="s">
        <v>84</v>
      </c>
      <c r="L63" s="24">
        <f>SUMIFS(G$3:G$42,J$3:J$42,K$62)</f>
        <v>6130</v>
      </c>
      <c r="M63" s="24">
        <f>SUMIFS(Q$3:Q$42,J$3:J$42,K$62)-INT(COUNTIFS(J$3:J$42,K$62,M$3:M$42,"*gộp*")/2)</f>
        <v>11</v>
      </c>
    </row>
    <row r="64" spans="2:16" x14ac:dyDescent="0.25">
      <c r="K64" s="24" t="s">
        <v>87</v>
      </c>
      <c r="L64" s="24">
        <f>SUM(H45:H47)</f>
        <v>-224</v>
      </c>
      <c r="M64" s="24">
        <f>SUMIFS(Q$3:Q$42,J$3:J$42,K$62)-INT(COUNTIFS(J$3:J$42,K$62,M$3:M$42,"*gộp*")/2)</f>
        <v>11</v>
      </c>
    </row>
    <row r="65" spans="11:13" x14ac:dyDescent="0.25">
      <c r="K65" s="24" t="s">
        <v>89</v>
      </c>
      <c r="L65" s="24">
        <f>-M65*2</f>
        <v>0</v>
      </c>
      <c r="M65" s="24">
        <f>COUNTIFS(K$3:K$42,K$62,L$3:L$42,A$47)-(COUNTIFS(K$3:K$42,K$62,M$3:M$42,"*gộp*")/2)-COUNTIFS(K$3:K$42,K$62,M$3:M$42,"*đơn trả*")-COUNTIFS(K$3:K$42,K$62,M$3:M$42,"*hàng tỉnh*")</f>
        <v>0</v>
      </c>
    </row>
    <row r="66" spans="11:13" x14ac:dyDescent="0.25">
      <c r="K66" s="31" t="s">
        <v>91</v>
      </c>
    </row>
    <row r="67" spans="11:13" x14ac:dyDescent="0.25">
      <c r="K67" s="30" t="s">
        <v>94</v>
      </c>
      <c r="L67" s="48">
        <v>-398</v>
      </c>
      <c r="M67" s="48" t="s">
        <v>590</v>
      </c>
    </row>
    <row r="68" spans="11:13" x14ac:dyDescent="0.25">
      <c r="L68" s="33">
        <f>SUBTOTAL(9,L63:L67)</f>
        <v>5508</v>
      </c>
      <c r="M68" s="33">
        <f>M63</f>
        <v>11</v>
      </c>
    </row>
  </sheetData>
  <autoFilter ref="A2:P42" xr:uid="{00000000-0009-0000-0000-000000000000}">
    <sortState xmlns:xlrd2="http://schemas.microsoft.com/office/spreadsheetml/2017/richdata2" ref="A3:P42">
      <sortCondition ref="J2:J42"/>
    </sortState>
  </autoFilter>
  <mergeCells count="8">
    <mergeCell ref="C52:D52"/>
    <mergeCell ref="C54:D54"/>
    <mergeCell ref="C51:D51"/>
    <mergeCell ref="C46:D46"/>
    <mergeCell ref="C47:D47"/>
    <mergeCell ref="C48:D48"/>
    <mergeCell ref="C49:D49"/>
    <mergeCell ref="C50:D50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BB91-2B0A-44E8-A217-EA093DD07F2C}">
  <sheetPr filterMode="1"/>
  <dimension ref="A1:R104"/>
  <sheetViews>
    <sheetView topLeftCell="A17" workbookViewId="0">
      <selection activeCell="C27" sqref="C27"/>
    </sheetView>
  </sheetViews>
  <sheetFormatPr defaultRowHeight="15" x14ac:dyDescent="0.25"/>
  <cols>
    <col min="1" max="1" width="12.7109375" style="24" customWidth="1"/>
    <col min="2" max="2" width="9.28515625" style="24" customWidth="1"/>
    <col min="3" max="3" width="32.140625" style="24" customWidth="1"/>
    <col min="4" max="4" width="9.85546875" style="24" customWidth="1"/>
    <col min="5" max="5" width="71.5703125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0.42578125" style="24" customWidth="1"/>
    <col min="13" max="13" width="14.7109375" style="24" bestFit="1" customWidth="1"/>
    <col min="14" max="14" width="9.7109375" style="24" customWidth="1"/>
    <col min="15" max="15" width="10.42578125" style="24" customWidth="1"/>
    <col min="16" max="16" width="7" style="24" bestFit="1" customWidth="1"/>
    <col min="17" max="16384" width="9.140625" style="24"/>
  </cols>
  <sheetData>
    <row r="1" spans="1:18" customFormat="1" x14ac:dyDescent="0.25">
      <c r="B1" s="4" t="s">
        <v>1163</v>
      </c>
      <c r="C1" s="4" t="s">
        <v>1816</v>
      </c>
      <c r="F1" s="65"/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 t="s">
        <v>66</v>
      </c>
      <c r="B3" s="35" t="s">
        <v>26</v>
      </c>
      <c r="C3" s="35" t="s">
        <v>1624</v>
      </c>
      <c r="D3" s="35"/>
      <c r="E3" s="35" t="s">
        <v>1625</v>
      </c>
      <c r="F3" s="35" t="s">
        <v>77</v>
      </c>
      <c r="G3" s="36">
        <v>0</v>
      </c>
      <c r="H3" s="36">
        <v>35</v>
      </c>
      <c r="I3" s="36">
        <f t="shared" ref="I3:I34" si="0">G3-H3</f>
        <v>-35</v>
      </c>
      <c r="J3" s="35" t="s">
        <v>1626</v>
      </c>
      <c r="K3" s="35" t="s">
        <v>31</v>
      </c>
      <c r="L3" s="35" t="s">
        <v>1623</v>
      </c>
      <c r="M3" s="35"/>
      <c r="N3" s="35"/>
      <c r="O3" s="35"/>
      <c r="P3" s="35"/>
      <c r="Q3" s="35">
        <v>1</v>
      </c>
      <c r="R3" s="25">
        <f>H3</f>
        <v>35</v>
      </c>
    </row>
    <row r="4" spans="1:18" x14ac:dyDescent="0.25">
      <c r="A4" s="35" t="s">
        <v>66</v>
      </c>
      <c r="B4" s="35" t="s">
        <v>26</v>
      </c>
      <c r="C4" s="35" t="s">
        <v>1628</v>
      </c>
      <c r="D4" s="35"/>
      <c r="E4" s="35" t="s">
        <v>1629</v>
      </c>
      <c r="F4" s="36">
        <v>6</v>
      </c>
      <c r="G4" s="36">
        <v>50</v>
      </c>
      <c r="H4" s="36">
        <v>50</v>
      </c>
      <c r="I4" s="36">
        <f t="shared" si="0"/>
        <v>0</v>
      </c>
      <c r="J4" s="35" t="s">
        <v>1626</v>
      </c>
      <c r="K4" s="35" t="s">
        <v>31</v>
      </c>
      <c r="L4" s="35" t="s">
        <v>1623</v>
      </c>
      <c r="M4" s="35"/>
      <c r="N4" s="35"/>
      <c r="O4" s="35"/>
      <c r="P4" s="35"/>
      <c r="Q4" s="35">
        <v>1</v>
      </c>
    </row>
    <row r="5" spans="1:18" x14ac:dyDescent="0.25">
      <c r="A5" s="35" t="s">
        <v>66</v>
      </c>
      <c r="B5" s="35" t="s">
        <v>26</v>
      </c>
      <c r="C5" s="35" t="s">
        <v>1630</v>
      </c>
      <c r="D5" s="35"/>
      <c r="E5" s="35" t="s">
        <v>1631</v>
      </c>
      <c r="F5" s="36">
        <v>6</v>
      </c>
      <c r="G5" s="36">
        <v>0</v>
      </c>
      <c r="H5" s="36">
        <v>30</v>
      </c>
      <c r="I5" s="36">
        <f t="shared" si="0"/>
        <v>-30</v>
      </c>
      <c r="J5" s="35" t="s">
        <v>1626</v>
      </c>
      <c r="K5" s="35" t="s">
        <v>31</v>
      </c>
      <c r="L5" s="35" t="s">
        <v>1623</v>
      </c>
      <c r="M5" s="35"/>
      <c r="N5" s="35"/>
      <c r="O5" s="35"/>
      <c r="P5" s="35"/>
      <c r="Q5" s="35">
        <v>1</v>
      </c>
      <c r="R5" s="25">
        <f t="shared" ref="R5:R6" si="1">H5</f>
        <v>30</v>
      </c>
    </row>
    <row r="6" spans="1:18" s="41" customFormat="1" x14ac:dyDescent="0.25">
      <c r="A6" s="39"/>
      <c r="B6" s="39" t="s">
        <v>26</v>
      </c>
      <c r="C6" s="39" t="s">
        <v>1632</v>
      </c>
      <c r="D6" s="39" t="s">
        <v>1633</v>
      </c>
      <c r="E6" s="39" t="s">
        <v>1634</v>
      </c>
      <c r="F6" s="40">
        <v>11</v>
      </c>
      <c r="G6" s="40">
        <v>0</v>
      </c>
      <c r="H6" s="40">
        <v>25</v>
      </c>
      <c r="I6" s="40">
        <f t="shared" si="0"/>
        <v>-25</v>
      </c>
      <c r="J6" s="39" t="s">
        <v>1626</v>
      </c>
      <c r="K6" s="39" t="s">
        <v>31</v>
      </c>
      <c r="L6" s="39" t="s">
        <v>1623</v>
      </c>
      <c r="M6" s="39" t="s">
        <v>37</v>
      </c>
      <c r="N6" s="39"/>
      <c r="O6" s="39"/>
      <c r="P6" s="39"/>
      <c r="Q6" s="39">
        <v>1</v>
      </c>
      <c r="R6" s="42">
        <f t="shared" si="1"/>
        <v>25</v>
      </c>
    </row>
    <row r="7" spans="1:18" x14ac:dyDescent="0.25">
      <c r="A7" s="35"/>
      <c r="B7" s="35" t="s">
        <v>26</v>
      </c>
      <c r="C7" s="35" t="s">
        <v>1226</v>
      </c>
      <c r="D7" s="35" t="s">
        <v>1638</v>
      </c>
      <c r="E7" s="35" t="s">
        <v>1228</v>
      </c>
      <c r="F7" s="35" t="s">
        <v>77</v>
      </c>
      <c r="G7" s="36">
        <v>800</v>
      </c>
      <c r="H7" s="36">
        <v>30</v>
      </c>
      <c r="I7" s="36">
        <f t="shared" si="0"/>
        <v>770</v>
      </c>
      <c r="J7" s="35" t="s">
        <v>1626</v>
      </c>
      <c r="K7" s="35" t="s">
        <v>31</v>
      </c>
      <c r="L7" s="35" t="s">
        <v>1623</v>
      </c>
      <c r="M7" s="35"/>
      <c r="N7" s="35"/>
      <c r="O7" s="35"/>
      <c r="P7" s="35"/>
      <c r="Q7" s="35">
        <v>1</v>
      </c>
    </row>
    <row r="8" spans="1:18" x14ac:dyDescent="0.25">
      <c r="A8" s="35"/>
      <c r="B8" s="35" t="s">
        <v>26</v>
      </c>
      <c r="C8" s="35" t="s">
        <v>1639</v>
      </c>
      <c r="D8" s="35" t="s">
        <v>1640</v>
      </c>
      <c r="E8" s="35" t="s">
        <v>1641</v>
      </c>
      <c r="F8" s="36">
        <v>6</v>
      </c>
      <c r="G8" s="36">
        <v>815</v>
      </c>
      <c r="H8" s="36">
        <v>25</v>
      </c>
      <c r="I8" s="36">
        <f t="shared" si="0"/>
        <v>790</v>
      </c>
      <c r="J8" s="35" t="s">
        <v>1626</v>
      </c>
      <c r="K8" s="35" t="s">
        <v>31</v>
      </c>
      <c r="L8" s="35" t="s">
        <v>1623</v>
      </c>
      <c r="M8" s="35"/>
      <c r="N8" s="35"/>
      <c r="O8" s="35"/>
      <c r="P8" s="35"/>
      <c r="Q8" s="35">
        <v>1</v>
      </c>
    </row>
    <row r="9" spans="1:18" x14ac:dyDescent="0.25">
      <c r="A9" s="35"/>
      <c r="B9" s="35" t="s">
        <v>26</v>
      </c>
      <c r="C9" s="35" t="s">
        <v>1642</v>
      </c>
      <c r="D9" s="35" t="s">
        <v>1643</v>
      </c>
      <c r="E9" s="35" t="s">
        <v>1543</v>
      </c>
      <c r="F9" s="36">
        <v>6</v>
      </c>
      <c r="G9" s="36">
        <v>795</v>
      </c>
      <c r="H9" s="36">
        <v>25</v>
      </c>
      <c r="I9" s="36">
        <f t="shared" si="0"/>
        <v>770</v>
      </c>
      <c r="J9" s="35" t="s">
        <v>1626</v>
      </c>
      <c r="K9" s="35" t="s">
        <v>31</v>
      </c>
      <c r="L9" s="35" t="s">
        <v>1623</v>
      </c>
      <c r="M9" s="35"/>
      <c r="N9" s="35"/>
      <c r="O9" s="35"/>
      <c r="P9" s="35"/>
      <c r="Q9" s="35">
        <v>1</v>
      </c>
    </row>
    <row r="10" spans="1:18" x14ac:dyDescent="0.25">
      <c r="A10" s="35"/>
      <c r="B10" s="35" t="s">
        <v>26</v>
      </c>
      <c r="C10" s="35" t="s">
        <v>1647</v>
      </c>
      <c r="D10" s="35" t="s">
        <v>1648</v>
      </c>
      <c r="E10" s="35" t="s">
        <v>1649</v>
      </c>
      <c r="F10" s="35" t="s">
        <v>77</v>
      </c>
      <c r="G10" s="36">
        <v>790</v>
      </c>
      <c r="H10" s="36">
        <v>30</v>
      </c>
      <c r="I10" s="36">
        <f t="shared" si="0"/>
        <v>760</v>
      </c>
      <c r="J10" s="35" t="s">
        <v>1626</v>
      </c>
      <c r="K10" s="35" t="s">
        <v>31</v>
      </c>
      <c r="L10" s="35" t="s">
        <v>1623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1246</v>
      </c>
      <c r="D11" s="35" t="s">
        <v>1653</v>
      </c>
      <c r="E11" s="35" t="s">
        <v>1654</v>
      </c>
      <c r="F11" s="36">
        <v>6</v>
      </c>
      <c r="G11" s="36">
        <v>515</v>
      </c>
      <c r="H11" s="36">
        <v>25</v>
      </c>
      <c r="I11" s="36">
        <f t="shared" si="0"/>
        <v>490</v>
      </c>
      <c r="J11" s="35" t="s">
        <v>1626</v>
      </c>
      <c r="K11" s="35" t="s">
        <v>31</v>
      </c>
      <c r="L11" s="35" t="s">
        <v>1623</v>
      </c>
      <c r="M11" s="35"/>
      <c r="N11" s="35"/>
      <c r="O11" s="35"/>
      <c r="P11" s="35"/>
      <c r="Q11" s="35">
        <v>1</v>
      </c>
    </row>
    <row r="12" spans="1:18" x14ac:dyDescent="0.25">
      <c r="A12" s="35"/>
      <c r="B12" s="35" t="s">
        <v>26</v>
      </c>
      <c r="C12" s="35" t="s">
        <v>1662</v>
      </c>
      <c r="D12" s="35" t="s">
        <v>1663</v>
      </c>
      <c r="E12" s="35" t="s">
        <v>1664</v>
      </c>
      <c r="F12" s="36">
        <v>12</v>
      </c>
      <c r="G12" s="36">
        <v>520</v>
      </c>
      <c r="H12" s="36">
        <v>30</v>
      </c>
      <c r="I12" s="36">
        <f t="shared" si="0"/>
        <v>490</v>
      </c>
      <c r="J12" s="35" t="s">
        <v>1626</v>
      </c>
      <c r="K12" s="35" t="s">
        <v>31</v>
      </c>
      <c r="L12" s="35" t="s">
        <v>1623</v>
      </c>
      <c r="M12" s="35"/>
      <c r="N12" s="35"/>
      <c r="O12" s="35"/>
      <c r="P12" s="35"/>
      <c r="Q12" s="35">
        <v>1</v>
      </c>
    </row>
    <row r="13" spans="1:18" x14ac:dyDescent="0.25">
      <c r="A13" s="35"/>
      <c r="B13" s="35" t="s">
        <v>26</v>
      </c>
      <c r="C13" s="35" t="s">
        <v>1665</v>
      </c>
      <c r="D13" s="35" t="s">
        <v>1666</v>
      </c>
      <c r="E13" s="35" t="s">
        <v>1667</v>
      </c>
      <c r="F13" s="36">
        <v>11</v>
      </c>
      <c r="G13" s="36">
        <v>855</v>
      </c>
      <c r="H13" s="36">
        <v>25</v>
      </c>
      <c r="I13" s="36">
        <f t="shared" si="0"/>
        <v>830</v>
      </c>
      <c r="J13" s="35" t="s">
        <v>1626</v>
      </c>
      <c r="K13" s="35" t="s">
        <v>31</v>
      </c>
      <c r="L13" s="35" t="s">
        <v>1623</v>
      </c>
      <c r="M13" s="35"/>
      <c r="N13" s="35"/>
      <c r="O13" s="35"/>
      <c r="P13" s="35"/>
      <c r="Q13" s="35">
        <v>1</v>
      </c>
    </row>
    <row r="14" spans="1:18" s="41" customFormat="1" x14ac:dyDescent="0.25">
      <c r="A14" s="39"/>
      <c r="B14" s="39" t="s">
        <v>26</v>
      </c>
      <c r="C14" s="39" t="s">
        <v>1449</v>
      </c>
      <c r="D14" s="39" t="s">
        <v>1668</v>
      </c>
      <c r="E14" s="39" t="s">
        <v>1451</v>
      </c>
      <c r="F14" s="40">
        <v>6</v>
      </c>
      <c r="G14" s="40">
        <v>95</v>
      </c>
      <c r="H14" s="40">
        <v>25</v>
      </c>
      <c r="I14" s="40">
        <f t="shared" si="0"/>
        <v>70</v>
      </c>
      <c r="J14" s="39" t="s">
        <v>1626</v>
      </c>
      <c r="K14" s="39" t="s">
        <v>31</v>
      </c>
      <c r="L14" s="39" t="s">
        <v>1623</v>
      </c>
      <c r="M14" s="39" t="s">
        <v>37</v>
      </c>
      <c r="N14" s="39"/>
      <c r="O14" s="39"/>
      <c r="P14" s="39"/>
      <c r="Q14" s="39">
        <v>1</v>
      </c>
    </row>
    <row r="15" spans="1:18" x14ac:dyDescent="0.25">
      <c r="A15" s="35"/>
      <c r="B15" s="35" t="s">
        <v>26</v>
      </c>
      <c r="C15" s="35" t="s">
        <v>1289</v>
      </c>
      <c r="D15" s="35" t="s">
        <v>1672</v>
      </c>
      <c r="E15" s="35" t="s">
        <v>1291</v>
      </c>
      <c r="F15" s="35" t="s">
        <v>45</v>
      </c>
      <c r="G15" s="36">
        <v>715</v>
      </c>
      <c r="H15" s="36">
        <v>25</v>
      </c>
      <c r="I15" s="36">
        <f t="shared" si="0"/>
        <v>690</v>
      </c>
      <c r="J15" s="35" t="s">
        <v>1626</v>
      </c>
      <c r="K15" s="35" t="s">
        <v>31</v>
      </c>
      <c r="L15" s="35" t="s">
        <v>1623</v>
      </c>
      <c r="M15" s="35"/>
      <c r="N15" s="35"/>
      <c r="O15" s="35"/>
      <c r="P15" s="35"/>
      <c r="Q15" s="35">
        <v>1</v>
      </c>
    </row>
    <row r="16" spans="1:18" x14ac:dyDescent="0.25">
      <c r="A16" s="35"/>
      <c r="B16" s="35" t="s">
        <v>26</v>
      </c>
      <c r="C16" s="35" t="s">
        <v>1673</v>
      </c>
      <c r="D16" s="35" t="s">
        <v>1674</v>
      </c>
      <c r="E16" s="35" t="s">
        <v>1675</v>
      </c>
      <c r="F16" s="35" t="s">
        <v>117</v>
      </c>
      <c r="G16" s="36">
        <v>855</v>
      </c>
      <c r="H16" s="36">
        <v>35</v>
      </c>
      <c r="I16" s="36">
        <f t="shared" si="0"/>
        <v>820</v>
      </c>
      <c r="J16" s="35" t="s">
        <v>1626</v>
      </c>
      <c r="K16" s="35" t="s">
        <v>31</v>
      </c>
      <c r="L16" s="35" t="s">
        <v>1623</v>
      </c>
      <c r="M16" s="35"/>
      <c r="N16" s="35"/>
      <c r="O16" s="35"/>
      <c r="P16" s="35"/>
      <c r="Q16" s="35">
        <v>1</v>
      </c>
    </row>
    <row r="17" spans="1:18" x14ac:dyDescent="0.25">
      <c r="A17" s="35"/>
      <c r="B17" s="35" t="s">
        <v>26</v>
      </c>
      <c r="C17" s="35" t="s">
        <v>1676</v>
      </c>
      <c r="D17" s="35" t="s">
        <v>1677</v>
      </c>
      <c r="E17" s="35" t="s">
        <v>1678</v>
      </c>
      <c r="F17" s="35" t="s">
        <v>77</v>
      </c>
      <c r="G17" s="36">
        <v>0</v>
      </c>
      <c r="H17" s="36">
        <v>30</v>
      </c>
      <c r="I17" s="36">
        <f t="shared" si="0"/>
        <v>-30</v>
      </c>
      <c r="J17" s="35" t="s">
        <v>1626</v>
      </c>
      <c r="K17" s="35" t="s">
        <v>31</v>
      </c>
      <c r="L17" s="35" t="s">
        <v>1623</v>
      </c>
      <c r="M17" s="35"/>
      <c r="N17" s="35"/>
      <c r="O17" s="35"/>
      <c r="P17" s="35"/>
      <c r="Q17" s="35">
        <v>1</v>
      </c>
      <c r="R17" s="25">
        <f>H17</f>
        <v>30</v>
      </c>
    </row>
    <row r="18" spans="1:18" x14ac:dyDescent="0.25">
      <c r="A18" s="35"/>
      <c r="B18" s="35" t="s">
        <v>26</v>
      </c>
      <c r="C18" s="35" t="s">
        <v>1690</v>
      </c>
      <c r="D18" s="35" t="s">
        <v>1691</v>
      </c>
      <c r="E18" s="35" t="s">
        <v>1692</v>
      </c>
      <c r="F18" s="36">
        <v>8</v>
      </c>
      <c r="G18" s="36">
        <v>720</v>
      </c>
      <c r="H18" s="36">
        <v>30</v>
      </c>
      <c r="I18" s="36">
        <f t="shared" si="0"/>
        <v>690</v>
      </c>
      <c r="J18" s="35" t="s">
        <v>1626</v>
      </c>
      <c r="K18" s="35" t="s">
        <v>31</v>
      </c>
      <c r="L18" s="35" t="s">
        <v>1623</v>
      </c>
      <c r="M18" s="35"/>
      <c r="N18" s="35"/>
      <c r="O18" s="35"/>
      <c r="P18" s="35"/>
      <c r="Q18" s="35">
        <v>1</v>
      </c>
    </row>
    <row r="19" spans="1:18" x14ac:dyDescent="0.25">
      <c r="A19" s="35"/>
      <c r="B19" s="35" t="s">
        <v>26</v>
      </c>
      <c r="C19" s="35" t="s">
        <v>1693</v>
      </c>
      <c r="D19" s="35" t="s">
        <v>1694</v>
      </c>
      <c r="E19" s="35" t="s">
        <v>1695</v>
      </c>
      <c r="F19" s="36">
        <v>9</v>
      </c>
      <c r="G19" s="36">
        <v>850</v>
      </c>
      <c r="H19" s="36">
        <v>30</v>
      </c>
      <c r="I19" s="36">
        <f t="shared" si="0"/>
        <v>820</v>
      </c>
      <c r="J19" s="35" t="s">
        <v>1626</v>
      </c>
      <c r="K19" s="35" t="s">
        <v>31</v>
      </c>
      <c r="L19" s="35" t="s">
        <v>1623</v>
      </c>
      <c r="M19" s="35"/>
      <c r="N19" s="35"/>
      <c r="O19" s="35"/>
      <c r="P19" s="35"/>
      <c r="Q19" s="35">
        <v>1</v>
      </c>
    </row>
    <row r="20" spans="1:18" s="41" customFormat="1" x14ac:dyDescent="0.25">
      <c r="A20" s="39"/>
      <c r="B20" s="39" t="s">
        <v>26</v>
      </c>
      <c r="C20" s="39" t="s">
        <v>1520</v>
      </c>
      <c r="D20" s="39" t="s">
        <v>1699</v>
      </c>
      <c r="E20" s="39" t="s">
        <v>1522</v>
      </c>
      <c r="F20" s="40">
        <v>8</v>
      </c>
      <c r="G20" s="40">
        <v>0</v>
      </c>
      <c r="H20" s="40">
        <v>30</v>
      </c>
      <c r="I20" s="40">
        <f t="shared" si="0"/>
        <v>-30</v>
      </c>
      <c r="J20" s="39" t="s">
        <v>1626</v>
      </c>
      <c r="K20" s="39" t="s">
        <v>31</v>
      </c>
      <c r="L20" s="39" t="s">
        <v>1623</v>
      </c>
      <c r="M20" s="39" t="s">
        <v>37</v>
      </c>
      <c r="N20" s="39"/>
      <c r="O20" s="39"/>
      <c r="P20" s="39"/>
      <c r="Q20" s="39">
        <v>1</v>
      </c>
      <c r="R20" s="42">
        <f>H20</f>
        <v>30</v>
      </c>
    </row>
    <row r="21" spans="1:18" x14ac:dyDescent="0.25">
      <c r="A21" s="35"/>
      <c r="B21" s="35" t="s">
        <v>26</v>
      </c>
      <c r="C21" s="35" t="s">
        <v>1710</v>
      </c>
      <c r="D21" s="35" t="s">
        <v>1711</v>
      </c>
      <c r="E21" s="35" t="s">
        <v>1712</v>
      </c>
      <c r="F21" s="35" t="s">
        <v>77</v>
      </c>
      <c r="G21" s="36">
        <v>0</v>
      </c>
      <c r="H21" s="36">
        <v>30</v>
      </c>
      <c r="I21" s="36">
        <f t="shared" si="0"/>
        <v>-30</v>
      </c>
      <c r="J21" s="35" t="s">
        <v>1626</v>
      </c>
      <c r="K21" s="35" t="s">
        <v>31</v>
      </c>
      <c r="L21" s="35" t="s">
        <v>1623</v>
      </c>
      <c r="M21" s="66" t="s">
        <v>1818</v>
      </c>
      <c r="N21" s="35"/>
      <c r="O21" s="35"/>
      <c r="P21" s="35"/>
      <c r="Q21" s="35">
        <v>1</v>
      </c>
      <c r="R21" s="25">
        <f>H21</f>
        <v>30</v>
      </c>
    </row>
    <row r="22" spans="1:18" x14ac:dyDescent="0.25">
      <c r="A22" s="35"/>
      <c r="B22" s="35" t="s">
        <v>26</v>
      </c>
      <c r="C22" s="35" t="s">
        <v>1713</v>
      </c>
      <c r="D22" s="35" t="s">
        <v>1714</v>
      </c>
      <c r="E22" s="35" t="s">
        <v>1715</v>
      </c>
      <c r="F22" s="36">
        <v>12</v>
      </c>
      <c r="G22" s="36">
        <v>800</v>
      </c>
      <c r="H22" s="36">
        <v>30</v>
      </c>
      <c r="I22" s="36">
        <f t="shared" si="0"/>
        <v>770</v>
      </c>
      <c r="J22" s="35" t="s">
        <v>1626</v>
      </c>
      <c r="K22" s="35" t="s">
        <v>31</v>
      </c>
      <c r="L22" s="35" t="s">
        <v>1623</v>
      </c>
      <c r="M22" s="35"/>
      <c r="N22" s="35"/>
      <c r="O22" s="35"/>
      <c r="P22" s="35"/>
      <c r="Q22" s="35">
        <v>1</v>
      </c>
    </row>
    <row r="23" spans="1:18" x14ac:dyDescent="0.25">
      <c r="A23" s="35"/>
      <c r="B23" s="35" t="s">
        <v>26</v>
      </c>
      <c r="C23" s="35" t="s">
        <v>1287</v>
      </c>
      <c r="D23" s="35" t="s">
        <v>1716</v>
      </c>
      <c r="E23" s="35" t="s">
        <v>1717</v>
      </c>
      <c r="F23" s="36">
        <v>6</v>
      </c>
      <c r="G23" s="36">
        <v>0</v>
      </c>
      <c r="H23" s="36">
        <v>25</v>
      </c>
      <c r="I23" s="36">
        <f t="shared" si="0"/>
        <v>-25</v>
      </c>
      <c r="J23" s="35" t="s">
        <v>1626</v>
      </c>
      <c r="K23" s="35" t="s">
        <v>31</v>
      </c>
      <c r="L23" s="35" t="s">
        <v>1623</v>
      </c>
      <c r="M23" s="35"/>
      <c r="N23" s="35"/>
      <c r="O23" s="35"/>
      <c r="P23" s="35"/>
      <c r="Q23" s="35">
        <v>1</v>
      </c>
      <c r="R23" s="25">
        <f>H23</f>
        <v>25</v>
      </c>
    </row>
    <row r="24" spans="1:18" x14ac:dyDescent="0.25">
      <c r="A24" s="35"/>
      <c r="B24" s="35" t="s">
        <v>26</v>
      </c>
      <c r="C24" s="35" t="s">
        <v>1743</v>
      </c>
      <c r="D24" s="35" t="s">
        <v>1744</v>
      </c>
      <c r="E24" s="35" t="s">
        <v>1745</v>
      </c>
      <c r="F24" s="35" t="s">
        <v>45</v>
      </c>
      <c r="G24" s="36">
        <v>595</v>
      </c>
      <c r="H24" s="36">
        <v>25</v>
      </c>
      <c r="I24" s="36">
        <f t="shared" si="0"/>
        <v>570</v>
      </c>
      <c r="J24" s="35" t="s">
        <v>1626</v>
      </c>
      <c r="K24" s="35" t="s">
        <v>31</v>
      </c>
      <c r="L24" s="35" t="s">
        <v>1623</v>
      </c>
      <c r="M24" s="35"/>
      <c r="N24" s="35"/>
      <c r="O24" s="35"/>
      <c r="P24" s="35"/>
      <c r="Q24" s="35">
        <v>1</v>
      </c>
    </row>
    <row r="25" spans="1:18" x14ac:dyDescent="0.25">
      <c r="A25" s="35"/>
      <c r="B25" s="35" t="s">
        <v>26</v>
      </c>
      <c r="C25" s="35" t="s">
        <v>1749</v>
      </c>
      <c r="D25" s="35" t="s">
        <v>1750</v>
      </c>
      <c r="E25" s="35" t="s">
        <v>68</v>
      </c>
      <c r="F25" s="36">
        <v>6</v>
      </c>
      <c r="G25" s="36">
        <v>0</v>
      </c>
      <c r="H25" s="36">
        <v>25</v>
      </c>
      <c r="I25" s="36">
        <f t="shared" si="0"/>
        <v>-25</v>
      </c>
      <c r="J25" s="35" t="s">
        <v>1626</v>
      </c>
      <c r="K25" s="35" t="s">
        <v>31</v>
      </c>
      <c r="L25" s="35" t="s">
        <v>1623</v>
      </c>
      <c r="M25" s="35"/>
      <c r="N25" s="35"/>
      <c r="O25" s="35"/>
      <c r="P25" s="35"/>
      <c r="Q25" s="35">
        <v>1</v>
      </c>
      <c r="R25" s="25">
        <f>H25</f>
        <v>25</v>
      </c>
    </row>
    <row r="26" spans="1:18" x14ac:dyDescent="0.25">
      <c r="A26" s="35"/>
      <c r="B26" s="35" t="s">
        <v>26</v>
      </c>
      <c r="C26" s="35" t="s">
        <v>492</v>
      </c>
      <c r="D26" s="35" t="s">
        <v>1760</v>
      </c>
      <c r="E26" s="35" t="s">
        <v>494</v>
      </c>
      <c r="F26" s="36">
        <v>8</v>
      </c>
      <c r="G26" s="36">
        <v>1270</v>
      </c>
      <c r="H26" s="36">
        <v>60</v>
      </c>
      <c r="I26" s="36">
        <f t="shared" si="0"/>
        <v>1210</v>
      </c>
      <c r="J26" s="35" t="s">
        <v>1626</v>
      </c>
      <c r="K26" s="35" t="s">
        <v>31</v>
      </c>
      <c r="L26" s="35" t="s">
        <v>1623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1761</v>
      </c>
      <c r="D27" s="35" t="s">
        <v>1762</v>
      </c>
      <c r="E27" s="35" t="s">
        <v>1763</v>
      </c>
      <c r="F27" s="35" t="s">
        <v>117</v>
      </c>
      <c r="G27" s="36">
        <v>0</v>
      </c>
      <c r="H27" s="36">
        <v>35</v>
      </c>
      <c r="I27" s="36">
        <f t="shared" si="0"/>
        <v>-35</v>
      </c>
      <c r="J27" s="35" t="s">
        <v>1626</v>
      </c>
      <c r="K27" s="35" t="s">
        <v>31</v>
      </c>
      <c r="L27" s="35" t="s">
        <v>1623</v>
      </c>
      <c r="M27" s="35"/>
      <c r="N27" s="35"/>
      <c r="O27" s="35"/>
      <c r="P27" s="35"/>
      <c r="Q27" s="35">
        <v>1</v>
      </c>
      <c r="R27" s="25">
        <f>H27</f>
        <v>35</v>
      </c>
    </row>
    <row r="28" spans="1:18" x14ac:dyDescent="0.25">
      <c r="A28" s="35"/>
      <c r="B28" s="35" t="s">
        <v>26</v>
      </c>
      <c r="C28" s="35" t="s">
        <v>1764</v>
      </c>
      <c r="D28" s="35" t="s">
        <v>1765</v>
      </c>
      <c r="E28" s="35" t="s">
        <v>1766</v>
      </c>
      <c r="F28" s="36">
        <v>6</v>
      </c>
      <c r="G28" s="36">
        <v>315</v>
      </c>
      <c r="H28" s="36">
        <v>25</v>
      </c>
      <c r="I28" s="36">
        <f t="shared" si="0"/>
        <v>290</v>
      </c>
      <c r="J28" s="35" t="s">
        <v>1626</v>
      </c>
      <c r="K28" s="35" t="s">
        <v>31</v>
      </c>
      <c r="L28" s="35" t="s">
        <v>1623</v>
      </c>
      <c r="M28" s="35"/>
      <c r="N28" s="35"/>
      <c r="O28" s="35"/>
      <c r="P28" s="35"/>
      <c r="Q28" s="35">
        <v>1</v>
      </c>
    </row>
    <row r="29" spans="1:18" x14ac:dyDescent="0.25">
      <c r="A29" s="35"/>
      <c r="B29" s="35" t="s">
        <v>26</v>
      </c>
      <c r="C29" s="35" t="s">
        <v>1809</v>
      </c>
      <c r="D29" s="35" t="s">
        <v>1810</v>
      </c>
      <c r="E29" s="35" t="s">
        <v>1811</v>
      </c>
      <c r="F29" s="36">
        <v>9</v>
      </c>
      <c r="G29" s="36">
        <v>820</v>
      </c>
      <c r="H29" s="36">
        <v>30</v>
      </c>
      <c r="I29" s="36">
        <f t="shared" si="0"/>
        <v>790</v>
      </c>
      <c r="J29" s="35" t="s">
        <v>1626</v>
      </c>
      <c r="K29" s="35" t="s">
        <v>31</v>
      </c>
      <c r="L29" s="35" t="s">
        <v>1623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1812</v>
      </c>
      <c r="D30" s="35" t="s">
        <v>1813</v>
      </c>
      <c r="E30" s="35" t="s">
        <v>1814</v>
      </c>
      <c r="F30" s="35" t="s">
        <v>77</v>
      </c>
      <c r="G30" s="36">
        <v>870</v>
      </c>
      <c r="H30" s="36">
        <v>30</v>
      </c>
      <c r="I30" s="36">
        <f t="shared" si="0"/>
        <v>840</v>
      </c>
      <c r="J30" s="35" t="s">
        <v>1626</v>
      </c>
      <c r="K30" s="35" t="s">
        <v>31</v>
      </c>
      <c r="L30" s="35" t="s">
        <v>1623</v>
      </c>
      <c r="M30" s="35"/>
      <c r="N30" s="35"/>
      <c r="O30" s="35"/>
      <c r="P30" s="35"/>
      <c r="Q30" s="35">
        <v>1</v>
      </c>
    </row>
    <row r="31" spans="1:18" hidden="1" x14ac:dyDescent="0.25">
      <c r="A31" s="35" t="s">
        <v>66</v>
      </c>
      <c r="B31" s="35" t="s">
        <v>26</v>
      </c>
      <c r="C31" s="35" t="s">
        <v>1299</v>
      </c>
      <c r="D31" s="35"/>
      <c r="E31" s="35" t="s">
        <v>1300</v>
      </c>
      <c r="F31" s="35" t="s">
        <v>36</v>
      </c>
      <c r="G31" s="36">
        <v>0</v>
      </c>
      <c r="H31" s="36">
        <v>40</v>
      </c>
      <c r="I31" s="36">
        <f t="shared" si="0"/>
        <v>-40</v>
      </c>
      <c r="J31" s="35" t="s">
        <v>31</v>
      </c>
      <c r="K31" s="35" t="s">
        <v>31</v>
      </c>
      <c r="L31" s="35" t="s">
        <v>1623</v>
      </c>
      <c r="M31" s="35"/>
      <c r="N31" s="35"/>
      <c r="O31" s="35"/>
      <c r="P31" s="35"/>
      <c r="Q31" s="35">
        <v>1</v>
      </c>
      <c r="R31" s="25">
        <f t="shared" ref="R31:R32" si="2">H31</f>
        <v>40</v>
      </c>
    </row>
    <row r="32" spans="1:18" hidden="1" x14ac:dyDescent="0.25">
      <c r="A32" s="35" t="s">
        <v>66</v>
      </c>
      <c r="B32" s="35" t="s">
        <v>26</v>
      </c>
      <c r="C32" s="35" t="s">
        <v>1398</v>
      </c>
      <c r="D32" s="35"/>
      <c r="E32" s="35" t="s">
        <v>1627</v>
      </c>
      <c r="F32" s="36">
        <v>12</v>
      </c>
      <c r="G32" s="36">
        <v>0</v>
      </c>
      <c r="H32" s="36">
        <v>35</v>
      </c>
      <c r="I32" s="36">
        <f t="shared" si="0"/>
        <v>-35</v>
      </c>
      <c r="J32" s="35" t="s">
        <v>31</v>
      </c>
      <c r="K32" s="35" t="s">
        <v>31</v>
      </c>
      <c r="L32" s="35" t="s">
        <v>1623</v>
      </c>
      <c r="M32" s="35"/>
      <c r="N32" s="35"/>
      <c r="O32" s="35"/>
      <c r="P32" s="35"/>
      <c r="Q32" s="35">
        <v>1</v>
      </c>
      <c r="R32" s="25">
        <f t="shared" si="2"/>
        <v>35</v>
      </c>
    </row>
    <row r="33" spans="1:18" hidden="1" x14ac:dyDescent="0.25">
      <c r="A33" s="35" t="s">
        <v>66</v>
      </c>
      <c r="B33" s="35" t="s">
        <v>26</v>
      </c>
      <c r="C33" s="35" t="s">
        <v>1053</v>
      </c>
      <c r="D33" s="35"/>
      <c r="E33" s="35" t="s">
        <v>1054</v>
      </c>
      <c r="F33" s="35" t="s">
        <v>36</v>
      </c>
      <c r="G33" s="36">
        <v>6050</v>
      </c>
      <c r="H33" s="36">
        <v>30</v>
      </c>
      <c r="I33" s="36">
        <f t="shared" si="0"/>
        <v>6020</v>
      </c>
      <c r="J33" s="35" t="s">
        <v>31</v>
      </c>
      <c r="K33" s="35" t="s">
        <v>31</v>
      </c>
      <c r="L33" s="35" t="s">
        <v>1623</v>
      </c>
      <c r="M33" s="35"/>
      <c r="N33" s="35"/>
      <c r="O33" s="35"/>
      <c r="P33" s="35"/>
      <c r="Q33" s="35">
        <v>1</v>
      </c>
    </row>
    <row r="34" spans="1:18" hidden="1" x14ac:dyDescent="0.25">
      <c r="A34" s="35"/>
      <c r="B34" s="35" t="s">
        <v>26</v>
      </c>
      <c r="C34" s="35" t="s">
        <v>1659</v>
      </c>
      <c r="D34" s="35" t="s">
        <v>1660</v>
      </c>
      <c r="E34" s="35" t="s">
        <v>1661</v>
      </c>
      <c r="F34" s="35" t="s">
        <v>128</v>
      </c>
      <c r="G34" s="36">
        <v>1100</v>
      </c>
      <c r="H34" s="36">
        <v>30</v>
      </c>
      <c r="I34" s="36">
        <f t="shared" si="0"/>
        <v>1070</v>
      </c>
      <c r="J34" s="35" t="s">
        <v>31</v>
      </c>
      <c r="K34" s="35" t="s">
        <v>31</v>
      </c>
      <c r="L34" s="35" t="s">
        <v>1623</v>
      </c>
      <c r="M34" s="35"/>
      <c r="N34" s="35"/>
      <c r="O34" s="35"/>
      <c r="P34" s="35"/>
      <c r="Q34" s="35">
        <v>1</v>
      </c>
    </row>
    <row r="35" spans="1:18" hidden="1" x14ac:dyDescent="0.25">
      <c r="A35" s="35"/>
      <c r="B35" s="35" t="s">
        <v>26</v>
      </c>
      <c r="C35" s="35" t="s">
        <v>1684</v>
      </c>
      <c r="D35" s="35" t="s">
        <v>1685</v>
      </c>
      <c r="E35" s="35" t="s">
        <v>1686</v>
      </c>
      <c r="F35" s="35" t="s">
        <v>101</v>
      </c>
      <c r="G35" s="36">
        <v>595</v>
      </c>
      <c r="H35" s="36">
        <v>25</v>
      </c>
      <c r="I35" s="36">
        <f t="shared" ref="I35:I66" si="3">G35-H35</f>
        <v>570</v>
      </c>
      <c r="J35" s="35" t="s">
        <v>31</v>
      </c>
      <c r="K35" s="35" t="s">
        <v>31</v>
      </c>
      <c r="L35" s="35" t="s">
        <v>1623</v>
      </c>
      <c r="M35" s="35"/>
      <c r="N35" s="35"/>
      <c r="O35" s="35"/>
      <c r="P35" s="35"/>
      <c r="Q35" s="35">
        <v>1</v>
      </c>
    </row>
    <row r="36" spans="1:18" hidden="1" x14ac:dyDescent="0.25">
      <c r="A36" s="35"/>
      <c r="B36" s="35" t="s">
        <v>26</v>
      </c>
      <c r="C36" s="35" t="s">
        <v>1413</v>
      </c>
      <c r="D36" s="35" t="s">
        <v>1703</v>
      </c>
      <c r="E36" s="35" t="s">
        <v>1415</v>
      </c>
      <c r="F36" s="35" t="s">
        <v>36</v>
      </c>
      <c r="G36" s="36">
        <v>1285</v>
      </c>
      <c r="H36" s="36">
        <v>25</v>
      </c>
      <c r="I36" s="36">
        <f t="shared" si="3"/>
        <v>1260</v>
      </c>
      <c r="J36" s="35" t="s">
        <v>31</v>
      </c>
      <c r="K36" s="35" t="s">
        <v>31</v>
      </c>
      <c r="L36" s="35" t="s">
        <v>1623</v>
      </c>
      <c r="M36" s="35"/>
      <c r="N36" s="35"/>
      <c r="O36" s="35"/>
      <c r="P36" s="35"/>
      <c r="Q36" s="35">
        <v>1</v>
      </c>
    </row>
    <row r="37" spans="1:18" hidden="1" x14ac:dyDescent="0.25">
      <c r="A37" s="35"/>
      <c r="B37" s="35" t="s">
        <v>26</v>
      </c>
      <c r="C37" s="35" t="s">
        <v>1722</v>
      </c>
      <c r="D37" s="35" t="s">
        <v>1723</v>
      </c>
      <c r="E37" s="35" t="s">
        <v>1724</v>
      </c>
      <c r="F37" s="35" t="s">
        <v>101</v>
      </c>
      <c r="G37" s="36">
        <v>0</v>
      </c>
      <c r="H37" s="36">
        <v>25</v>
      </c>
      <c r="I37" s="36">
        <f t="shared" si="3"/>
        <v>-25</v>
      </c>
      <c r="J37" s="35" t="s">
        <v>31</v>
      </c>
      <c r="K37" s="35" t="s">
        <v>31</v>
      </c>
      <c r="L37" s="35" t="s">
        <v>1623</v>
      </c>
      <c r="M37" s="35"/>
      <c r="N37" s="35"/>
      <c r="O37" s="35"/>
      <c r="P37" s="35"/>
      <c r="Q37" s="35">
        <v>1</v>
      </c>
      <c r="R37" s="25">
        <f>H37</f>
        <v>25</v>
      </c>
    </row>
    <row r="38" spans="1:18" hidden="1" x14ac:dyDescent="0.25">
      <c r="A38" s="35"/>
      <c r="B38" s="35" t="s">
        <v>26</v>
      </c>
      <c r="C38" s="35" t="s">
        <v>1728</v>
      </c>
      <c r="D38" s="35" t="s">
        <v>1729</v>
      </c>
      <c r="E38" s="35" t="s">
        <v>1730</v>
      </c>
      <c r="F38" s="36">
        <v>12</v>
      </c>
      <c r="G38" s="36">
        <v>1680</v>
      </c>
      <c r="H38" s="36">
        <v>30</v>
      </c>
      <c r="I38" s="36">
        <f t="shared" si="3"/>
        <v>1650</v>
      </c>
      <c r="J38" s="35" t="s">
        <v>31</v>
      </c>
      <c r="K38" s="35" t="s">
        <v>31</v>
      </c>
      <c r="L38" s="35" t="s">
        <v>1623</v>
      </c>
      <c r="M38" s="35"/>
      <c r="N38" s="35"/>
      <c r="O38" s="35"/>
      <c r="P38" s="35"/>
      <c r="Q38" s="35">
        <v>1</v>
      </c>
    </row>
    <row r="39" spans="1:18" hidden="1" x14ac:dyDescent="0.25">
      <c r="A39" s="35"/>
      <c r="B39" s="35" t="s">
        <v>26</v>
      </c>
      <c r="C39" s="35" t="s">
        <v>1731</v>
      </c>
      <c r="D39" s="35" t="s">
        <v>1732</v>
      </c>
      <c r="E39" s="35" t="s">
        <v>1733</v>
      </c>
      <c r="F39" s="35" t="s">
        <v>101</v>
      </c>
      <c r="G39" s="36">
        <v>815</v>
      </c>
      <c r="H39" s="36">
        <v>25</v>
      </c>
      <c r="I39" s="36">
        <f t="shared" si="3"/>
        <v>790</v>
      </c>
      <c r="J39" s="35" t="s">
        <v>31</v>
      </c>
      <c r="K39" s="35" t="s">
        <v>31</v>
      </c>
      <c r="L39" s="35" t="s">
        <v>1623</v>
      </c>
      <c r="M39" s="35"/>
      <c r="N39" s="35"/>
      <c r="O39" s="35"/>
      <c r="P39" s="35"/>
      <c r="Q39" s="35">
        <v>1</v>
      </c>
    </row>
    <row r="40" spans="1:18" hidden="1" x14ac:dyDescent="0.25">
      <c r="A40" s="35"/>
      <c r="B40" s="35" t="s">
        <v>26</v>
      </c>
      <c r="C40" s="35" t="s">
        <v>1746</v>
      </c>
      <c r="D40" s="35" t="s">
        <v>1747</v>
      </c>
      <c r="E40" s="35" t="s">
        <v>1748</v>
      </c>
      <c r="F40" s="36">
        <v>2</v>
      </c>
      <c r="G40" s="36">
        <v>850</v>
      </c>
      <c r="H40" s="36">
        <v>30</v>
      </c>
      <c r="I40" s="36">
        <f t="shared" si="3"/>
        <v>820</v>
      </c>
      <c r="J40" s="35" t="s">
        <v>31</v>
      </c>
      <c r="K40" s="35" t="s">
        <v>31</v>
      </c>
      <c r="L40" s="35" t="s">
        <v>1623</v>
      </c>
      <c r="M40" s="35"/>
      <c r="N40" s="35"/>
      <c r="O40" s="35"/>
      <c r="P40" s="35"/>
      <c r="Q40" s="35">
        <v>1</v>
      </c>
    </row>
    <row r="41" spans="1:18" hidden="1" x14ac:dyDescent="0.25">
      <c r="A41" s="35"/>
      <c r="B41" s="35" t="s">
        <v>26</v>
      </c>
      <c r="C41" s="35" t="s">
        <v>1751</v>
      </c>
      <c r="D41" s="35" t="s">
        <v>1752</v>
      </c>
      <c r="E41" s="35" t="s">
        <v>1753</v>
      </c>
      <c r="F41" s="35" t="s">
        <v>101</v>
      </c>
      <c r="G41" s="36">
        <v>0</v>
      </c>
      <c r="H41" s="36">
        <v>60</v>
      </c>
      <c r="I41" s="36">
        <f t="shared" si="3"/>
        <v>-60</v>
      </c>
      <c r="J41" s="35" t="s">
        <v>31</v>
      </c>
      <c r="K41" s="35" t="s">
        <v>31</v>
      </c>
      <c r="L41" s="35" t="s">
        <v>1623</v>
      </c>
      <c r="M41" s="35"/>
      <c r="N41" s="35"/>
      <c r="O41" s="35"/>
      <c r="P41" s="35"/>
      <c r="Q41" s="35">
        <v>1</v>
      </c>
      <c r="R41" s="25">
        <f>H41</f>
        <v>60</v>
      </c>
    </row>
    <row r="42" spans="1:18" hidden="1" x14ac:dyDescent="0.25">
      <c r="A42" s="35"/>
      <c r="B42" s="35" t="s">
        <v>26</v>
      </c>
      <c r="C42" s="35" t="s">
        <v>1754</v>
      </c>
      <c r="D42" s="35" t="s">
        <v>1755</v>
      </c>
      <c r="E42" s="35" t="s">
        <v>1756</v>
      </c>
      <c r="F42" s="35" t="s">
        <v>128</v>
      </c>
      <c r="G42" s="36">
        <v>1970</v>
      </c>
      <c r="H42" s="36">
        <v>30</v>
      </c>
      <c r="I42" s="36">
        <f t="shared" si="3"/>
        <v>1940</v>
      </c>
      <c r="J42" s="35" t="s">
        <v>31</v>
      </c>
      <c r="K42" s="35" t="s">
        <v>31</v>
      </c>
      <c r="L42" s="35" t="s">
        <v>1623</v>
      </c>
      <c r="M42" s="35"/>
      <c r="N42" s="35"/>
      <c r="O42" s="35"/>
      <c r="P42" s="35"/>
      <c r="Q42" s="35">
        <v>1</v>
      </c>
    </row>
    <row r="43" spans="1:18" hidden="1" x14ac:dyDescent="0.25">
      <c r="A43" s="35"/>
      <c r="B43" s="35" t="s">
        <v>26</v>
      </c>
      <c r="C43" s="35" t="s">
        <v>1515</v>
      </c>
      <c r="D43" s="35" t="s">
        <v>1773</v>
      </c>
      <c r="E43" s="35" t="s">
        <v>1774</v>
      </c>
      <c r="F43" s="35" t="s">
        <v>58</v>
      </c>
      <c r="G43" s="36">
        <v>3840</v>
      </c>
      <c r="H43" s="36">
        <v>30</v>
      </c>
      <c r="I43" s="36">
        <f t="shared" si="3"/>
        <v>3810</v>
      </c>
      <c r="J43" s="35" t="s">
        <v>31</v>
      </c>
      <c r="K43" s="35" t="s">
        <v>31</v>
      </c>
      <c r="L43" s="35" t="s">
        <v>1623</v>
      </c>
      <c r="M43" s="38" t="s">
        <v>59</v>
      </c>
      <c r="N43" s="35"/>
      <c r="O43" s="35"/>
      <c r="P43" s="35"/>
      <c r="Q43" s="35">
        <v>1</v>
      </c>
      <c r="R43" s="25">
        <f t="shared" ref="R43:R44" si="4">H43</f>
        <v>30</v>
      </c>
    </row>
    <row r="44" spans="1:18" hidden="1" x14ac:dyDescent="0.25">
      <c r="A44" s="35"/>
      <c r="B44" s="35" t="s">
        <v>26</v>
      </c>
      <c r="C44" s="35" t="s">
        <v>1775</v>
      </c>
      <c r="D44" s="35" t="s">
        <v>1776</v>
      </c>
      <c r="E44" s="35" t="s">
        <v>1777</v>
      </c>
      <c r="F44" s="35" t="s">
        <v>36</v>
      </c>
      <c r="G44" s="36">
        <v>308</v>
      </c>
      <c r="H44" s="36">
        <v>25</v>
      </c>
      <c r="I44" s="36">
        <f t="shared" si="3"/>
        <v>283</v>
      </c>
      <c r="J44" s="35" t="s">
        <v>31</v>
      </c>
      <c r="K44" s="35" t="s">
        <v>31</v>
      </c>
      <c r="L44" s="35" t="s">
        <v>1623</v>
      </c>
      <c r="M44" s="38" t="s">
        <v>59</v>
      </c>
      <c r="N44" s="35"/>
      <c r="O44" s="35"/>
      <c r="P44" s="35"/>
      <c r="Q44" s="35">
        <v>1</v>
      </c>
      <c r="R44" s="25">
        <f t="shared" si="4"/>
        <v>25</v>
      </c>
    </row>
    <row r="45" spans="1:18" hidden="1" x14ac:dyDescent="0.25">
      <c r="A45" s="35"/>
      <c r="B45" s="35" t="s">
        <v>26</v>
      </c>
      <c r="C45" s="35" t="s">
        <v>1790</v>
      </c>
      <c r="D45" s="35" t="s">
        <v>1791</v>
      </c>
      <c r="E45" s="35" t="s">
        <v>1792</v>
      </c>
      <c r="F45" s="35" t="s">
        <v>36</v>
      </c>
      <c r="G45" s="36">
        <v>915</v>
      </c>
      <c r="H45" s="36">
        <v>25</v>
      </c>
      <c r="I45" s="36">
        <f t="shared" si="3"/>
        <v>890</v>
      </c>
      <c r="J45" s="35" t="s">
        <v>31</v>
      </c>
      <c r="K45" s="35" t="s">
        <v>31</v>
      </c>
      <c r="L45" s="35" t="s">
        <v>1623</v>
      </c>
      <c r="M45" s="35"/>
      <c r="N45" s="35"/>
      <c r="O45" s="35"/>
      <c r="P45" s="35"/>
      <c r="Q45" s="35">
        <v>1</v>
      </c>
    </row>
    <row r="46" spans="1:18" hidden="1" x14ac:dyDescent="0.25">
      <c r="A46" s="35"/>
      <c r="B46" s="35" t="s">
        <v>26</v>
      </c>
      <c r="C46" s="36">
        <v>2429</v>
      </c>
      <c r="D46" s="35" t="s">
        <v>1793</v>
      </c>
      <c r="E46" s="35" t="s">
        <v>1627</v>
      </c>
      <c r="F46" s="36">
        <v>12</v>
      </c>
      <c r="G46" s="36">
        <v>0</v>
      </c>
      <c r="H46" s="36">
        <v>30</v>
      </c>
      <c r="I46" s="36">
        <f t="shared" si="3"/>
        <v>-30</v>
      </c>
      <c r="J46" s="35" t="s">
        <v>31</v>
      </c>
      <c r="K46" s="35" t="s">
        <v>31</v>
      </c>
      <c r="L46" s="35" t="s">
        <v>1623</v>
      </c>
      <c r="M46" s="35"/>
      <c r="N46" s="35"/>
      <c r="O46" s="35"/>
      <c r="P46" s="35"/>
      <c r="Q46" s="35">
        <v>1</v>
      </c>
      <c r="R46" s="25">
        <f>H46</f>
        <v>30</v>
      </c>
    </row>
    <row r="47" spans="1:18" hidden="1" x14ac:dyDescent="0.25">
      <c r="A47" s="35"/>
      <c r="B47" s="35" t="s">
        <v>26</v>
      </c>
      <c r="C47" s="35" t="s">
        <v>1794</v>
      </c>
      <c r="D47" s="35" t="s">
        <v>1795</v>
      </c>
      <c r="E47" s="35" t="s">
        <v>1796</v>
      </c>
      <c r="F47" s="35" t="s">
        <v>58</v>
      </c>
      <c r="G47" s="36">
        <v>790</v>
      </c>
      <c r="H47" s="36">
        <v>20</v>
      </c>
      <c r="I47" s="36">
        <f t="shared" si="3"/>
        <v>770</v>
      </c>
      <c r="J47" s="35" t="s">
        <v>31</v>
      </c>
      <c r="K47" s="35" t="s">
        <v>31</v>
      </c>
      <c r="L47" s="35" t="s">
        <v>1623</v>
      </c>
      <c r="M47" s="35"/>
      <c r="N47" s="35"/>
      <c r="O47" s="35"/>
      <c r="P47" s="35"/>
      <c r="Q47" s="35">
        <v>1</v>
      </c>
    </row>
    <row r="48" spans="1:18" hidden="1" x14ac:dyDescent="0.25">
      <c r="A48" s="35" t="s">
        <v>66</v>
      </c>
      <c r="B48" s="35" t="s">
        <v>26</v>
      </c>
      <c r="C48" s="35" t="s">
        <v>1312</v>
      </c>
      <c r="D48" s="35"/>
      <c r="E48" s="35" t="s">
        <v>1313</v>
      </c>
      <c r="F48" s="35" t="s">
        <v>101</v>
      </c>
      <c r="G48" s="36">
        <v>0</v>
      </c>
      <c r="H48" s="36">
        <v>30</v>
      </c>
      <c r="I48" s="36">
        <f t="shared" si="3"/>
        <v>-30</v>
      </c>
      <c r="J48" s="35" t="s">
        <v>41</v>
      </c>
      <c r="K48" s="35" t="s">
        <v>31</v>
      </c>
      <c r="L48" s="35" t="s">
        <v>1623</v>
      </c>
      <c r="M48" s="35"/>
      <c r="N48" s="35"/>
      <c r="O48" s="35"/>
      <c r="P48" s="35"/>
      <c r="Q48" s="35">
        <v>1</v>
      </c>
      <c r="R48" s="25">
        <f>H48</f>
        <v>30</v>
      </c>
    </row>
    <row r="49" spans="1:18" s="41" customFormat="1" hidden="1" x14ac:dyDescent="0.25">
      <c r="A49" s="39"/>
      <c r="B49" s="39" t="s">
        <v>26</v>
      </c>
      <c r="C49" s="39" t="s">
        <v>1635</v>
      </c>
      <c r="D49" s="39" t="s">
        <v>1636</v>
      </c>
      <c r="E49" s="39" t="s">
        <v>1637</v>
      </c>
      <c r="F49" s="40">
        <v>1</v>
      </c>
      <c r="G49" s="40">
        <v>45</v>
      </c>
      <c r="H49" s="40">
        <v>25</v>
      </c>
      <c r="I49" s="40">
        <f t="shared" si="3"/>
        <v>20</v>
      </c>
      <c r="J49" s="39" t="s">
        <v>41</v>
      </c>
      <c r="K49" s="39" t="s">
        <v>31</v>
      </c>
      <c r="L49" s="39" t="s">
        <v>1623</v>
      </c>
      <c r="M49" s="39" t="s">
        <v>37</v>
      </c>
      <c r="N49" s="39"/>
      <c r="O49" s="39"/>
      <c r="P49" s="39"/>
      <c r="Q49" s="39">
        <v>1</v>
      </c>
    </row>
    <row r="50" spans="1:18" hidden="1" x14ac:dyDescent="0.25">
      <c r="A50" s="35"/>
      <c r="B50" s="35" t="s">
        <v>26</v>
      </c>
      <c r="C50" s="35" t="s">
        <v>1644</v>
      </c>
      <c r="D50" s="35" t="s">
        <v>1645</v>
      </c>
      <c r="E50" s="35" t="s">
        <v>1646</v>
      </c>
      <c r="F50" s="36">
        <v>10</v>
      </c>
      <c r="G50" s="36">
        <v>315</v>
      </c>
      <c r="H50" s="36">
        <v>25</v>
      </c>
      <c r="I50" s="36">
        <f t="shared" si="3"/>
        <v>290</v>
      </c>
      <c r="J50" s="35" t="s">
        <v>41</v>
      </c>
      <c r="K50" s="35" t="s">
        <v>31</v>
      </c>
      <c r="L50" s="35" t="s">
        <v>1623</v>
      </c>
      <c r="M50" s="35"/>
      <c r="N50" s="35"/>
      <c r="O50" s="35"/>
      <c r="P50" s="35"/>
      <c r="Q50" s="35">
        <v>1</v>
      </c>
    </row>
    <row r="51" spans="1:18" hidden="1" x14ac:dyDescent="0.25">
      <c r="A51" s="35"/>
      <c r="B51" s="35" t="s">
        <v>26</v>
      </c>
      <c r="C51" s="35" t="s">
        <v>1650</v>
      </c>
      <c r="D51" s="35" t="s">
        <v>1651</v>
      </c>
      <c r="E51" s="35" t="s">
        <v>1652</v>
      </c>
      <c r="F51" s="36">
        <v>7</v>
      </c>
      <c r="G51" s="36">
        <v>0</v>
      </c>
      <c r="H51" s="36">
        <v>30</v>
      </c>
      <c r="I51" s="36">
        <f t="shared" si="3"/>
        <v>-30</v>
      </c>
      <c r="J51" s="35" t="s">
        <v>41</v>
      </c>
      <c r="K51" s="35" t="s">
        <v>31</v>
      </c>
      <c r="L51" s="35" t="s">
        <v>1623</v>
      </c>
      <c r="M51" s="38" t="s">
        <v>1817</v>
      </c>
      <c r="N51" s="35"/>
      <c r="O51" s="35"/>
      <c r="P51" s="35"/>
      <c r="Q51" s="35">
        <v>1</v>
      </c>
      <c r="R51" s="25">
        <f>H51</f>
        <v>30</v>
      </c>
    </row>
    <row r="52" spans="1:18" hidden="1" x14ac:dyDescent="0.25">
      <c r="A52" s="35"/>
      <c r="B52" s="35" t="s">
        <v>26</v>
      </c>
      <c r="C52" s="35" t="s">
        <v>1655</v>
      </c>
      <c r="D52" s="35" t="s">
        <v>1656</v>
      </c>
      <c r="E52" s="35" t="s">
        <v>1657</v>
      </c>
      <c r="F52" s="36">
        <v>5</v>
      </c>
      <c r="G52" s="36">
        <v>0</v>
      </c>
      <c r="H52" s="36">
        <v>25</v>
      </c>
      <c r="I52" s="36">
        <f t="shared" si="3"/>
        <v>-25</v>
      </c>
      <c r="J52" s="35" t="s">
        <v>41</v>
      </c>
      <c r="K52" s="35" t="s">
        <v>31</v>
      </c>
      <c r="L52" s="35" t="s">
        <v>1623</v>
      </c>
      <c r="M52" s="35"/>
      <c r="N52" s="35"/>
      <c r="O52" s="35"/>
      <c r="P52" s="35"/>
      <c r="Q52" s="35">
        <v>1</v>
      </c>
      <c r="R52" s="25">
        <f>H52</f>
        <v>25</v>
      </c>
    </row>
    <row r="53" spans="1:18" hidden="1" x14ac:dyDescent="0.25">
      <c r="A53" s="35"/>
      <c r="B53" s="35" t="s">
        <v>26</v>
      </c>
      <c r="C53" s="35" t="s">
        <v>274</v>
      </c>
      <c r="D53" s="35" t="s">
        <v>1658</v>
      </c>
      <c r="E53" s="35" t="s">
        <v>276</v>
      </c>
      <c r="F53" s="36">
        <v>1</v>
      </c>
      <c r="G53" s="36">
        <v>485</v>
      </c>
      <c r="H53" s="36">
        <v>25</v>
      </c>
      <c r="I53" s="36">
        <f t="shared" si="3"/>
        <v>460</v>
      </c>
      <c r="J53" s="35" t="s">
        <v>41</v>
      </c>
      <c r="K53" s="35" t="s">
        <v>31</v>
      </c>
      <c r="L53" s="35" t="s">
        <v>1623</v>
      </c>
      <c r="M53" s="35"/>
      <c r="N53" s="35"/>
      <c r="O53" s="35"/>
      <c r="P53" s="35"/>
      <c r="Q53" s="35">
        <v>1</v>
      </c>
    </row>
    <row r="54" spans="1:18" hidden="1" x14ac:dyDescent="0.25">
      <c r="A54" s="35"/>
      <c r="B54" s="35" t="s">
        <v>26</v>
      </c>
      <c r="C54" s="35" t="s">
        <v>1669</v>
      </c>
      <c r="D54" s="35" t="s">
        <v>1670</v>
      </c>
      <c r="E54" s="35" t="s">
        <v>1671</v>
      </c>
      <c r="F54" s="35" t="s">
        <v>121</v>
      </c>
      <c r="G54" s="36">
        <v>1105</v>
      </c>
      <c r="H54" s="36">
        <v>35</v>
      </c>
      <c r="I54" s="36">
        <f t="shared" si="3"/>
        <v>1070</v>
      </c>
      <c r="J54" s="35" t="s">
        <v>41</v>
      </c>
      <c r="K54" s="35" t="s">
        <v>31</v>
      </c>
      <c r="L54" s="35" t="s">
        <v>1623</v>
      </c>
      <c r="M54" s="35"/>
      <c r="N54" s="35"/>
      <c r="O54" s="35"/>
      <c r="P54" s="35"/>
      <c r="Q54" s="35">
        <v>1</v>
      </c>
    </row>
    <row r="55" spans="1:18" hidden="1" x14ac:dyDescent="0.25">
      <c r="A55" s="35"/>
      <c r="B55" s="35" t="s">
        <v>26</v>
      </c>
      <c r="C55" s="35" t="s">
        <v>1679</v>
      </c>
      <c r="D55" s="35" t="s">
        <v>1680</v>
      </c>
      <c r="E55" s="35" t="s">
        <v>1681</v>
      </c>
      <c r="F55" s="35" t="s">
        <v>101</v>
      </c>
      <c r="G55" s="36">
        <v>2380</v>
      </c>
      <c r="H55" s="36">
        <v>30</v>
      </c>
      <c r="I55" s="36">
        <f t="shared" si="3"/>
        <v>2350</v>
      </c>
      <c r="J55" s="35" t="s">
        <v>41</v>
      </c>
      <c r="K55" s="35" t="s">
        <v>31</v>
      </c>
      <c r="L55" s="35" t="s">
        <v>1623</v>
      </c>
      <c r="M55" s="38" t="s">
        <v>59</v>
      </c>
      <c r="N55" s="35"/>
      <c r="O55" s="35"/>
      <c r="P55" s="35"/>
      <c r="Q55" s="35">
        <v>1</v>
      </c>
      <c r="R55" s="25">
        <f>H55</f>
        <v>30</v>
      </c>
    </row>
    <row r="56" spans="1:18" hidden="1" x14ac:dyDescent="0.25">
      <c r="A56" s="35"/>
      <c r="B56" s="35" t="s">
        <v>26</v>
      </c>
      <c r="C56" s="35" t="s">
        <v>507</v>
      </c>
      <c r="D56" s="35" t="s">
        <v>1682</v>
      </c>
      <c r="E56" s="35" t="s">
        <v>1683</v>
      </c>
      <c r="F56" s="35" t="s">
        <v>101</v>
      </c>
      <c r="G56" s="36">
        <v>595</v>
      </c>
      <c r="H56" s="36">
        <v>25</v>
      </c>
      <c r="I56" s="36">
        <f t="shared" si="3"/>
        <v>570</v>
      </c>
      <c r="J56" s="35" t="s">
        <v>41</v>
      </c>
      <c r="K56" s="35" t="s">
        <v>31</v>
      </c>
      <c r="L56" s="35" t="s">
        <v>1623</v>
      </c>
      <c r="M56" s="35"/>
      <c r="N56" s="35"/>
      <c r="O56" s="35"/>
      <c r="P56" s="35"/>
      <c r="Q56" s="35">
        <v>1</v>
      </c>
    </row>
    <row r="57" spans="1:18" hidden="1" x14ac:dyDescent="0.25">
      <c r="A57" s="35"/>
      <c r="B57" s="35" t="s">
        <v>26</v>
      </c>
      <c r="C57" s="35" t="s">
        <v>1687</v>
      </c>
      <c r="D57" s="35" t="s">
        <v>1688</v>
      </c>
      <c r="E57" s="35" t="s">
        <v>1689</v>
      </c>
      <c r="F57" s="36">
        <v>7</v>
      </c>
      <c r="G57" s="36">
        <v>2940</v>
      </c>
      <c r="H57" s="36">
        <v>35</v>
      </c>
      <c r="I57" s="36">
        <f t="shared" si="3"/>
        <v>2905</v>
      </c>
      <c r="J57" s="35" t="s">
        <v>41</v>
      </c>
      <c r="K57" s="35" t="s">
        <v>31</v>
      </c>
      <c r="L57" s="35" t="s">
        <v>1623</v>
      </c>
      <c r="M57" s="38" t="s">
        <v>59</v>
      </c>
      <c r="N57" s="35"/>
      <c r="O57" s="35"/>
      <c r="P57" s="35"/>
      <c r="Q57" s="35">
        <v>1</v>
      </c>
      <c r="R57" s="25">
        <f>H57</f>
        <v>35</v>
      </c>
    </row>
    <row r="58" spans="1:18" hidden="1" x14ac:dyDescent="0.25">
      <c r="A58" s="35"/>
      <c r="B58" s="35" t="s">
        <v>26</v>
      </c>
      <c r="C58" s="35" t="s">
        <v>1696</v>
      </c>
      <c r="D58" s="35" t="s">
        <v>1697</v>
      </c>
      <c r="E58" s="35" t="s">
        <v>1698</v>
      </c>
      <c r="F58" s="35" t="s">
        <v>121</v>
      </c>
      <c r="G58" s="36">
        <v>605</v>
      </c>
      <c r="H58" s="36">
        <v>35</v>
      </c>
      <c r="I58" s="36">
        <f t="shared" si="3"/>
        <v>570</v>
      </c>
      <c r="J58" s="35" t="s">
        <v>41</v>
      </c>
      <c r="K58" s="35" t="s">
        <v>31</v>
      </c>
      <c r="L58" s="35" t="s">
        <v>1623</v>
      </c>
      <c r="M58" s="35"/>
      <c r="N58" s="35"/>
      <c r="O58" s="35"/>
      <c r="P58" s="35"/>
      <c r="Q58" s="35">
        <v>1</v>
      </c>
    </row>
    <row r="59" spans="1:18" hidden="1" x14ac:dyDescent="0.25">
      <c r="A59" s="35"/>
      <c r="B59" s="35" t="s">
        <v>26</v>
      </c>
      <c r="C59" s="35" t="s">
        <v>1700</v>
      </c>
      <c r="D59" s="35" t="s">
        <v>1701</v>
      </c>
      <c r="E59" s="35" t="s">
        <v>1702</v>
      </c>
      <c r="F59" s="36">
        <v>5</v>
      </c>
      <c r="G59" s="36">
        <v>815</v>
      </c>
      <c r="H59" s="36">
        <v>25</v>
      </c>
      <c r="I59" s="36">
        <f t="shared" si="3"/>
        <v>790</v>
      </c>
      <c r="J59" s="35" t="s">
        <v>41</v>
      </c>
      <c r="K59" s="35" t="s">
        <v>31</v>
      </c>
      <c r="L59" s="35" t="s">
        <v>1623</v>
      </c>
      <c r="M59" s="35"/>
      <c r="N59" s="35"/>
      <c r="O59" s="35"/>
      <c r="P59" s="35"/>
      <c r="Q59" s="35">
        <v>1</v>
      </c>
    </row>
    <row r="60" spans="1:18" hidden="1" x14ac:dyDescent="0.25">
      <c r="A60" s="35"/>
      <c r="B60" s="35" t="s">
        <v>26</v>
      </c>
      <c r="C60" s="35" t="s">
        <v>1704</v>
      </c>
      <c r="D60" s="35" t="s">
        <v>1705</v>
      </c>
      <c r="E60" s="35" t="s">
        <v>1706</v>
      </c>
      <c r="F60" s="36">
        <v>3</v>
      </c>
      <c r="G60" s="36">
        <v>1065</v>
      </c>
      <c r="H60" s="36">
        <v>25</v>
      </c>
      <c r="I60" s="36">
        <f t="shared" si="3"/>
        <v>1040</v>
      </c>
      <c r="J60" s="35" t="s">
        <v>41</v>
      </c>
      <c r="K60" s="35" t="s">
        <v>31</v>
      </c>
      <c r="L60" s="35" t="s">
        <v>1623</v>
      </c>
      <c r="M60" s="35"/>
      <c r="N60" s="35"/>
      <c r="O60" s="35"/>
      <c r="P60" s="35"/>
      <c r="Q60" s="35">
        <v>1</v>
      </c>
    </row>
    <row r="61" spans="1:18" hidden="1" x14ac:dyDescent="0.25">
      <c r="A61" s="35"/>
      <c r="B61" s="35" t="s">
        <v>26</v>
      </c>
      <c r="C61" s="35" t="s">
        <v>1707</v>
      </c>
      <c r="D61" s="35" t="s">
        <v>1708</v>
      </c>
      <c r="E61" s="35" t="s">
        <v>1709</v>
      </c>
      <c r="F61" s="36">
        <v>1</v>
      </c>
      <c r="G61" s="36">
        <v>815</v>
      </c>
      <c r="H61" s="36">
        <v>25</v>
      </c>
      <c r="I61" s="36">
        <f t="shared" si="3"/>
        <v>790</v>
      </c>
      <c r="J61" s="35" t="s">
        <v>41</v>
      </c>
      <c r="K61" s="35" t="s">
        <v>31</v>
      </c>
      <c r="L61" s="35" t="s">
        <v>1623</v>
      </c>
      <c r="M61" s="35"/>
      <c r="N61" s="35"/>
      <c r="O61" s="35"/>
      <c r="P61" s="35"/>
      <c r="Q61" s="35">
        <v>1</v>
      </c>
    </row>
    <row r="62" spans="1:18" hidden="1" x14ac:dyDescent="0.25">
      <c r="A62" s="35"/>
      <c r="B62" s="35" t="s">
        <v>26</v>
      </c>
      <c r="C62" s="35" t="s">
        <v>1455</v>
      </c>
      <c r="D62" s="35" t="s">
        <v>1718</v>
      </c>
      <c r="E62" s="35" t="s">
        <v>1457</v>
      </c>
      <c r="F62" s="36">
        <v>1</v>
      </c>
      <c r="G62" s="36">
        <v>315</v>
      </c>
      <c r="H62" s="36">
        <v>25</v>
      </c>
      <c r="I62" s="36">
        <f t="shared" si="3"/>
        <v>290</v>
      </c>
      <c r="J62" s="35" t="s">
        <v>41</v>
      </c>
      <c r="K62" s="35" t="s">
        <v>31</v>
      </c>
      <c r="L62" s="35" t="s">
        <v>1623</v>
      </c>
      <c r="M62" s="35"/>
      <c r="N62" s="35"/>
      <c r="O62" s="35"/>
      <c r="P62" s="35"/>
      <c r="Q62" s="35">
        <v>1</v>
      </c>
    </row>
    <row r="63" spans="1:18" hidden="1" x14ac:dyDescent="0.25">
      <c r="A63" s="35"/>
      <c r="B63" s="35" t="s">
        <v>26</v>
      </c>
      <c r="C63" s="35" t="s">
        <v>1719</v>
      </c>
      <c r="D63" s="35" t="s">
        <v>1720</v>
      </c>
      <c r="E63" s="35" t="s">
        <v>1721</v>
      </c>
      <c r="F63" s="36">
        <v>7</v>
      </c>
      <c r="G63" s="36">
        <v>0</v>
      </c>
      <c r="H63" s="36">
        <v>30</v>
      </c>
      <c r="I63" s="36">
        <f t="shared" si="3"/>
        <v>-30</v>
      </c>
      <c r="J63" s="35" t="s">
        <v>41</v>
      </c>
      <c r="K63" s="35" t="s">
        <v>31</v>
      </c>
      <c r="L63" s="35" t="s">
        <v>1623</v>
      </c>
      <c r="M63" s="35"/>
      <c r="N63" s="35"/>
      <c r="O63" s="35"/>
      <c r="P63" s="35"/>
      <c r="Q63" s="35">
        <v>1</v>
      </c>
      <c r="R63" s="25">
        <f>H63</f>
        <v>30</v>
      </c>
    </row>
    <row r="64" spans="1:18" hidden="1" x14ac:dyDescent="0.25">
      <c r="A64" s="35"/>
      <c r="B64" s="35" t="s">
        <v>26</v>
      </c>
      <c r="C64" s="35" t="s">
        <v>1725</v>
      </c>
      <c r="D64" s="35" t="s">
        <v>1726</v>
      </c>
      <c r="E64" s="35" t="s">
        <v>1727</v>
      </c>
      <c r="F64" s="36">
        <v>7</v>
      </c>
      <c r="G64" s="36">
        <v>770</v>
      </c>
      <c r="H64" s="36">
        <v>30</v>
      </c>
      <c r="I64" s="36">
        <f t="shared" si="3"/>
        <v>740</v>
      </c>
      <c r="J64" s="35" t="s">
        <v>41</v>
      </c>
      <c r="K64" s="35" t="s">
        <v>31</v>
      </c>
      <c r="L64" s="35" t="s">
        <v>1623</v>
      </c>
      <c r="M64" s="35"/>
      <c r="N64" s="35"/>
      <c r="O64" s="35"/>
      <c r="P64" s="35"/>
      <c r="Q64" s="35">
        <v>1</v>
      </c>
    </row>
    <row r="65" spans="1:18" hidden="1" x14ac:dyDescent="0.25">
      <c r="A65" s="35"/>
      <c r="B65" s="35" t="s">
        <v>26</v>
      </c>
      <c r="C65" s="35" t="s">
        <v>1734</v>
      </c>
      <c r="D65" s="35" t="s">
        <v>1735</v>
      </c>
      <c r="E65" s="35" t="s">
        <v>1736</v>
      </c>
      <c r="F65" s="35" t="s">
        <v>101</v>
      </c>
      <c r="G65" s="36">
        <v>0</v>
      </c>
      <c r="H65" s="36">
        <v>25</v>
      </c>
      <c r="I65" s="36">
        <f t="shared" si="3"/>
        <v>-25</v>
      </c>
      <c r="J65" s="35" t="s">
        <v>41</v>
      </c>
      <c r="K65" s="35" t="s">
        <v>31</v>
      </c>
      <c r="L65" s="35" t="s">
        <v>1623</v>
      </c>
      <c r="M65" s="35"/>
      <c r="N65" s="35"/>
      <c r="O65" s="35"/>
      <c r="P65" s="35"/>
      <c r="Q65" s="35">
        <v>1</v>
      </c>
      <c r="R65" s="25">
        <f t="shared" ref="R65:R66" si="5">H65</f>
        <v>25</v>
      </c>
    </row>
    <row r="66" spans="1:18" hidden="1" x14ac:dyDescent="0.25">
      <c r="A66" s="35"/>
      <c r="B66" s="35" t="s">
        <v>26</v>
      </c>
      <c r="C66" s="35" t="s">
        <v>1737</v>
      </c>
      <c r="D66" s="35" t="s">
        <v>1738</v>
      </c>
      <c r="E66" s="35" t="s">
        <v>1739</v>
      </c>
      <c r="F66" s="36">
        <v>10</v>
      </c>
      <c r="G66" s="36">
        <v>0</v>
      </c>
      <c r="H66" s="36">
        <v>25</v>
      </c>
      <c r="I66" s="36">
        <f t="shared" si="3"/>
        <v>-25</v>
      </c>
      <c r="J66" s="35" t="s">
        <v>41</v>
      </c>
      <c r="K66" s="35" t="s">
        <v>31</v>
      </c>
      <c r="L66" s="35" t="s">
        <v>1623</v>
      </c>
      <c r="M66" s="35"/>
      <c r="N66" s="35"/>
      <c r="O66" s="35"/>
      <c r="P66" s="35"/>
      <c r="Q66" s="35">
        <v>1</v>
      </c>
      <c r="R66" s="25">
        <f t="shared" si="5"/>
        <v>25</v>
      </c>
    </row>
    <row r="67" spans="1:18" hidden="1" x14ac:dyDescent="0.25">
      <c r="A67" s="35"/>
      <c r="B67" s="35" t="s">
        <v>26</v>
      </c>
      <c r="C67" s="35" t="s">
        <v>1740</v>
      </c>
      <c r="D67" s="35" t="s">
        <v>1741</v>
      </c>
      <c r="E67" s="35" t="s">
        <v>1742</v>
      </c>
      <c r="F67" s="36">
        <v>7</v>
      </c>
      <c r="G67" s="36">
        <v>800</v>
      </c>
      <c r="H67" s="36">
        <v>30</v>
      </c>
      <c r="I67" s="36">
        <f t="shared" ref="I67:I78" si="6">G67-H67</f>
        <v>770</v>
      </c>
      <c r="J67" s="35" t="s">
        <v>41</v>
      </c>
      <c r="K67" s="35" t="s">
        <v>31</v>
      </c>
      <c r="L67" s="35" t="s">
        <v>1623</v>
      </c>
      <c r="M67" s="35"/>
      <c r="N67" s="35"/>
      <c r="O67" s="35"/>
      <c r="P67" s="35"/>
      <c r="Q67" s="35">
        <v>1</v>
      </c>
    </row>
    <row r="68" spans="1:18" hidden="1" x14ac:dyDescent="0.25">
      <c r="A68" s="35"/>
      <c r="B68" s="35" t="s">
        <v>26</v>
      </c>
      <c r="C68" s="35" t="s">
        <v>1757</v>
      </c>
      <c r="D68" s="35" t="s">
        <v>1758</v>
      </c>
      <c r="E68" s="35" t="s">
        <v>1759</v>
      </c>
      <c r="F68" s="36">
        <v>1</v>
      </c>
      <c r="G68" s="36">
        <v>505</v>
      </c>
      <c r="H68" s="36">
        <v>25</v>
      </c>
      <c r="I68" s="36">
        <f t="shared" si="6"/>
        <v>480</v>
      </c>
      <c r="J68" s="35" t="s">
        <v>41</v>
      </c>
      <c r="K68" s="35" t="s">
        <v>31</v>
      </c>
      <c r="L68" s="35" t="s">
        <v>1623</v>
      </c>
      <c r="M68" s="35"/>
      <c r="N68" s="35"/>
      <c r="O68" s="35"/>
      <c r="P68" s="35"/>
      <c r="Q68" s="35">
        <v>1</v>
      </c>
    </row>
    <row r="69" spans="1:18" hidden="1" x14ac:dyDescent="0.25">
      <c r="A69" s="35"/>
      <c r="B69" s="35" t="s">
        <v>26</v>
      </c>
      <c r="C69" s="35" t="s">
        <v>1767</v>
      </c>
      <c r="D69" s="35" t="s">
        <v>1768</v>
      </c>
      <c r="E69" s="35" t="s">
        <v>1769</v>
      </c>
      <c r="F69" s="36">
        <v>4</v>
      </c>
      <c r="G69" s="36">
        <v>1305</v>
      </c>
      <c r="H69" s="36">
        <v>25</v>
      </c>
      <c r="I69" s="36">
        <f t="shared" si="6"/>
        <v>1280</v>
      </c>
      <c r="J69" s="35" t="s">
        <v>41</v>
      </c>
      <c r="K69" s="35" t="s">
        <v>31</v>
      </c>
      <c r="L69" s="35" t="s">
        <v>1623</v>
      </c>
      <c r="M69" s="35"/>
      <c r="N69" s="35"/>
      <c r="O69" s="35"/>
      <c r="P69" s="35"/>
      <c r="Q69" s="35">
        <v>1</v>
      </c>
    </row>
    <row r="70" spans="1:18" hidden="1" x14ac:dyDescent="0.25">
      <c r="A70" s="35"/>
      <c r="B70" s="35" t="s">
        <v>26</v>
      </c>
      <c r="C70" s="35" t="s">
        <v>1770</v>
      </c>
      <c r="D70" s="35" t="s">
        <v>1771</v>
      </c>
      <c r="E70" s="35" t="s">
        <v>1772</v>
      </c>
      <c r="F70" s="36">
        <v>7</v>
      </c>
      <c r="G70" s="36">
        <v>410</v>
      </c>
      <c r="H70" s="36">
        <v>30</v>
      </c>
      <c r="I70" s="36">
        <f t="shared" si="6"/>
        <v>380</v>
      </c>
      <c r="J70" s="35" t="s">
        <v>41</v>
      </c>
      <c r="K70" s="35" t="s">
        <v>31</v>
      </c>
      <c r="L70" s="35" t="s">
        <v>1623</v>
      </c>
      <c r="M70" s="35"/>
      <c r="N70" s="35"/>
      <c r="O70" s="35"/>
      <c r="P70" s="35"/>
      <c r="Q70" s="35">
        <v>1</v>
      </c>
    </row>
    <row r="71" spans="1:18" hidden="1" x14ac:dyDescent="0.25">
      <c r="A71" s="35"/>
      <c r="B71" s="35" t="s">
        <v>26</v>
      </c>
      <c r="C71" s="35" t="s">
        <v>1778</v>
      </c>
      <c r="D71" s="35" t="s">
        <v>1779</v>
      </c>
      <c r="E71" s="35" t="s">
        <v>1780</v>
      </c>
      <c r="F71" s="36">
        <v>1</v>
      </c>
      <c r="G71" s="36">
        <v>595</v>
      </c>
      <c r="H71" s="36">
        <v>25</v>
      </c>
      <c r="I71" s="36">
        <f t="shared" si="6"/>
        <v>570</v>
      </c>
      <c r="J71" s="35" t="s">
        <v>41</v>
      </c>
      <c r="K71" s="35" t="s">
        <v>31</v>
      </c>
      <c r="L71" s="35" t="s">
        <v>1623</v>
      </c>
      <c r="M71" s="35"/>
      <c r="N71" s="35"/>
      <c r="O71" s="35"/>
      <c r="P71" s="35"/>
      <c r="Q71" s="35">
        <v>1</v>
      </c>
    </row>
    <row r="72" spans="1:18" hidden="1" x14ac:dyDescent="0.25">
      <c r="A72" s="35"/>
      <c r="B72" s="35" t="s">
        <v>26</v>
      </c>
      <c r="C72" s="35" t="s">
        <v>1781</v>
      </c>
      <c r="D72" s="35" t="s">
        <v>1782</v>
      </c>
      <c r="E72" s="35" t="s">
        <v>1783</v>
      </c>
      <c r="F72" s="36">
        <v>5</v>
      </c>
      <c r="G72" s="36">
        <v>1075</v>
      </c>
      <c r="H72" s="36">
        <v>25</v>
      </c>
      <c r="I72" s="36">
        <f t="shared" si="6"/>
        <v>1050</v>
      </c>
      <c r="J72" s="35" t="s">
        <v>41</v>
      </c>
      <c r="K72" s="35" t="s">
        <v>31</v>
      </c>
      <c r="L72" s="35" t="s">
        <v>1623</v>
      </c>
      <c r="M72" s="35"/>
      <c r="N72" s="35"/>
      <c r="O72" s="35"/>
      <c r="P72" s="35"/>
      <c r="Q72" s="35">
        <v>1</v>
      </c>
    </row>
    <row r="73" spans="1:18" hidden="1" x14ac:dyDescent="0.25">
      <c r="A73" s="35"/>
      <c r="B73" s="35" t="s">
        <v>26</v>
      </c>
      <c r="C73" s="35" t="s">
        <v>1784</v>
      </c>
      <c r="D73" s="35" t="s">
        <v>1785</v>
      </c>
      <c r="E73" s="35" t="s">
        <v>1786</v>
      </c>
      <c r="F73" s="36">
        <v>3</v>
      </c>
      <c r="G73" s="36">
        <v>615</v>
      </c>
      <c r="H73" s="36">
        <v>25</v>
      </c>
      <c r="I73" s="36">
        <f t="shared" si="6"/>
        <v>590</v>
      </c>
      <c r="J73" s="35" t="s">
        <v>41</v>
      </c>
      <c r="K73" s="35" t="s">
        <v>31</v>
      </c>
      <c r="L73" s="35" t="s">
        <v>1623</v>
      </c>
      <c r="M73" s="35"/>
      <c r="N73" s="35"/>
      <c r="O73" s="35"/>
      <c r="P73" s="35"/>
      <c r="Q73" s="35">
        <v>1</v>
      </c>
    </row>
    <row r="74" spans="1:18" hidden="1" x14ac:dyDescent="0.25">
      <c r="A74" s="35"/>
      <c r="B74" s="35" t="s">
        <v>26</v>
      </c>
      <c r="C74" s="35" t="s">
        <v>1787</v>
      </c>
      <c r="D74" s="35" t="s">
        <v>1788</v>
      </c>
      <c r="E74" s="35" t="s">
        <v>1789</v>
      </c>
      <c r="F74" s="36">
        <v>1</v>
      </c>
      <c r="G74" s="36">
        <v>0</v>
      </c>
      <c r="H74" s="36">
        <v>25</v>
      </c>
      <c r="I74" s="36">
        <f t="shared" si="6"/>
        <v>-25</v>
      </c>
      <c r="J74" s="35" t="s">
        <v>41</v>
      </c>
      <c r="K74" s="35" t="s">
        <v>31</v>
      </c>
      <c r="L74" s="35" t="s">
        <v>1623</v>
      </c>
      <c r="M74" s="35"/>
      <c r="N74" s="35"/>
      <c r="O74" s="35"/>
      <c r="P74" s="35"/>
      <c r="Q74" s="35">
        <v>1</v>
      </c>
      <c r="R74" s="25">
        <f>H74</f>
        <v>25</v>
      </c>
    </row>
    <row r="75" spans="1:18" hidden="1" x14ac:dyDescent="0.25">
      <c r="A75" s="35"/>
      <c r="B75" s="35" t="s">
        <v>26</v>
      </c>
      <c r="C75" s="35" t="s">
        <v>1797</v>
      </c>
      <c r="D75" s="35" t="s">
        <v>1798</v>
      </c>
      <c r="E75" s="35" t="s">
        <v>1799</v>
      </c>
      <c r="F75" s="36">
        <v>4</v>
      </c>
      <c r="G75" s="36">
        <v>845</v>
      </c>
      <c r="H75" s="36">
        <v>25</v>
      </c>
      <c r="I75" s="36">
        <f t="shared" si="6"/>
        <v>820</v>
      </c>
      <c r="J75" s="35" t="s">
        <v>41</v>
      </c>
      <c r="K75" s="35" t="s">
        <v>31</v>
      </c>
      <c r="L75" s="35" t="s">
        <v>1623</v>
      </c>
      <c r="M75" s="35"/>
      <c r="N75" s="35"/>
      <c r="O75" s="35"/>
      <c r="P75" s="35"/>
      <c r="Q75" s="35">
        <v>1</v>
      </c>
    </row>
    <row r="76" spans="1:18" hidden="1" x14ac:dyDescent="0.25">
      <c r="A76" s="35"/>
      <c r="B76" s="35" t="s">
        <v>26</v>
      </c>
      <c r="C76" s="35" t="s">
        <v>1800</v>
      </c>
      <c r="D76" s="35" t="s">
        <v>1801</v>
      </c>
      <c r="E76" s="35" t="s">
        <v>1802</v>
      </c>
      <c r="F76" s="36">
        <v>7</v>
      </c>
      <c r="G76" s="36">
        <v>910</v>
      </c>
      <c r="H76" s="36">
        <v>30</v>
      </c>
      <c r="I76" s="36">
        <f t="shared" si="6"/>
        <v>880</v>
      </c>
      <c r="J76" s="35" t="s">
        <v>41</v>
      </c>
      <c r="K76" s="35" t="s">
        <v>31</v>
      </c>
      <c r="L76" s="35" t="s">
        <v>1623</v>
      </c>
      <c r="M76" s="35"/>
      <c r="N76" s="35"/>
      <c r="O76" s="35"/>
      <c r="P76" s="35"/>
      <c r="Q76" s="35">
        <v>1</v>
      </c>
    </row>
    <row r="77" spans="1:18" hidden="1" x14ac:dyDescent="0.25">
      <c r="A77" s="35"/>
      <c r="B77" s="35" t="s">
        <v>26</v>
      </c>
      <c r="C77" s="35" t="s">
        <v>1803</v>
      </c>
      <c r="D77" s="35" t="s">
        <v>1804</v>
      </c>
      <c r="E77" s="35" t="s">
        <v>1805</v>
      </c>
      <c r="F77" s="36">
        <v>7</v>
      </c>
      <c r="G77" s="36">
        <v>850</v>
      </c>
      <c r="H77" s="36">
        <v>30</v>
      </c>
      <c r="I77" s="36">
        <f t="shared" si="6"/>
        <v>820</v>
      </c>
      <c r="J77" s="35" t="s">
        <v>41</v>
      </c>
      <c r="K77" s="35" t="s">
        <v>31</v>
      </c>
      <c r="L77" s="35" t="s">
        <v>1623</v>
      </c>
      <c r="M77" s="35"/>
      <c r="N77" s="35"/>
      <c r="O77" s="35"/>
      <c r="P77" s="35"/>
      <c r="Q77" s="35">
        <v>1</v>
      </c>
    </row>
    <row r="78" spans="1:18" hidden="1" x14ac:dyDescent="0.25">
      <c r="A78" s="35"/>
      <c r="B78" s="35" t="s">
        <v>26</v>
      </c>
      <c r="C78" s="35" t="s">
        <v>1806</v>
      </c>
      <c r="D78" s="35" t="s">
        <v>1807</v>
      </c>
      <c r="E78" s="35" t="s">
        <v>1808</v>
      </c>
      <c r="F78" s="35" t="s">
        <v>121</v>
      </c>
      <c r="G78" s="36">
        <v>1015</v>
      </c>
      <c r="H78" s="36">
        <v>35</v>
      </c>
      <c r="I78" s="36">
        <f t="shared" si="6"/>
        <v>980</v>
      </c>
      <c r="J78" s="35" t="s">
        <v>41</v>
      </c>
      <c r="K78" s="35" t="s">
        <v>31</v>
      </c>
      <c r="L78" s="35" t="s">
        <v>1623</v>
      </c>
      <c r="M78" s="35"/>
      <c r="N78" s="35"/>
      <c r="O78" s="35"/>
      <c r="P78" s="35"/>
      <c r="Q78" s="35">
        <v>1</v>
      </c>
    </row>
    <row r="80" spans="1:18" x14ac:dyDescent="0.25">
      <c r="D80" s="26">
        <f>COUNTA(D3:D78)</f>
        <v>69</v>
      </c>
      <c r="G80" s="26">
        <f t="shared" ref="G80:Q80" si="7">SUBTOTAL(9,G3:G78)</f>
        <v>13045</v>
      </c>
      <c r="H80" s="26">
        <f t="shared" si="7"/>
        <v>850</v>
      </c>
      <c r="I80" s="26">
        <f t="shared" si="7"/>
        <v>12195</v>
      </c>
      <c r="J80" s="26">
        <f t="shared" si="7"/>
        <v>0</v>
      </c>
      <c r="K80" s="26">
        <f t="shared" si="7"/>
        <v>0</v>
      </c>
      <c r="L80" s="26">
        <f t="shared" si="7"/>
        <v>0</v>
      </c>
      <c r="M80" s="26">
        <f t="shared" si="7"/>
        <v>0</v>
      </c>
      <c r="N80" s="26">
        <f t="shared" si="7"/>
        <v>0</v>
      </c>
      <c r="O80" s="26">
        <f t="shared" si="7"/>
        <v>0</v>
      </c>
      <c r="P80" s="26">
        <f t="shared" si="7"/>
        <v>0</v>
      </c>
      <c r="Q80" s="26">
        <f t="shared" si="7"/>
        <v>28</v>
      </c>
    </row>
    <row r="81" spans="1:16" x14ac:dyDescent="0.25">
      <c r="H81" s="24">
        <f>-16*17</f>
        <v>-272</v>
      </c>
    </row>
    <row r="82" spans="1:16" x14ac:dyDescent="0.25">
      <c r="A82" s="26" t="s">
        <v>26</v>
      </c>
      <c r="C82" s="80" t="s">
        <v>78</v>
      </c>
      <c r="D82" s="80"/>
      <c r="E82" s="27" t="s">
        <v>79</v>
      </c>
      <c r="H82" s="24">
        <f>-10*25</f>
        <v>-250</v>
      </c>
      <c r="K82" s="28" t="s">
        <v>31</v>
      </c>
      <c r="L82" s="28" t="s">
        <v>80</v>
      </c>
      <c r="M82" s="28" t="s">
        <v>79</v>
      </c>
      <c r="O82" s="27" t="s">
        <v>81</v>
      </c>
    </row>
    <row r="83" spans="1:16" x14ac:dyDescent="0.25">
      <c r="A83" s="24" t="s">
        <v>1623</v>
      </c>
      <c r="B83" s="29" t="s">
        <v>82</v>
      </c>
      <c r="C83" s="81">
        <f>SUMIFS(I$3:I$78,B$3:B$78,A$82,L$3:L$78,A$83)</f>
        <v>52193</v>
      </c>
      <c r="D83" s="81"/>
      <c r="E83" s="29">
        <f>SUMIFS(Q$3:Q$78,B$3:B$78,A$82,L$3:L$78,A$83)</f>
        <v>76</v>
      </c>
      <c r="F83" s="24" t="s">
        <v>83</v>
      </c>
      <c r="H83" s="24">
        <f>-2*30</f>
        <v>-60</v>
      </c>
      <c r="K83" s="24" t="s">
        <v>84</v>
      </c>
      <c r="L83" s="24">
        <f>SUMIFS(G$3:G$78,J$3:J$78,K$82)</f>
        <v>20198</v>
      </c>
      <c r="M83" s="24">
        <f>SUMIFS(Q$3:Q$78,J$3:J$78,K$82)-INT(COUNTIFS(J$3:J$78,K$82,M$3:M$78,"*gộp*")/2)</f>
        <v>17</v>
      </c>
      <c r="O83" s="24" t="s">
        <v>31</v>
      </c>
      <c r="P83" s="24">
        <f>L88</f>
        <v>19616</v>
      </c>
    </row>
    <row r="84" spans="1:16" x14ac:dyDescent="0.25">
      <c r="B84" s="30" t="s">
        <v>86</v>
      </c>
      <c r="C84" s="82">
        <v>0</v>
      </c>
      <c r="D84" s="82"/>
      <c r="K84" s="24" t="s">
        <v>87</v>
      </c>
      <c r="L84" s="24">
        <f>-SUMIFS(H$3:H$78,J$3:J$78,K$82)+M84*5</f>
        <v>-430</v>
      </c>
      <c r="M84" s="24">
        <f>SUMIFS(Q$3:Q$78,J$3:J$78,K$82)-INT(COUNTIFS(J$3:J$78,K$82,M$3:M$78,"*gộp*")/2)</f>
        <v>17</v>
      </c>
      <c r="O84" s="24" t="s">
        <v>1815</v>
      </c>
      <c r="P84" s="24">
        <f>L96</f>
        <v>12463</v>
      </c>
    </row>
    <row r="85" spans="1:16" x14ac:dyDescent="0.25">
      <c r="B85" s="30" t="s">
        <v>88</v>
      </c>
      <c r="C85" s="82">
        <f>-SUMIFS(I$3:I$78,B$3:B$78,A$82,P$3:P$78,"xx",N$3:N$78,"x")</f>
        <v>0</v>
      </c>
      <c r="D85" s="82"/>
      <c r="E85" s="30">
        <f>SUMIFS(Q$3:Q$78,B$3:B$78,A$82,P$3:P$78,"xx",N$3:N$78,"x")</f>
        <v>0</v>
      </c>
      <c r="K85" s="24" t="s">
        <v>89</v>
      </c>
      <c r="L85" s="24">
        <f>-M85*2</f>
        <v>-152</v>
      </c>
      <c r="M85" s="24">
        <f>COUNTIFS(K$3:K$78,K$82,L$3:L$78,A$83)-(COUNTIFS(K$3:K$78,K$82,M$3:M$78,"*gộp*")/2)-COUNTIFS(K$3:K$78,K$82,M$3:M$78,"*đơn trả*")-COUNTIFS(K$3:K$78,K$82,M$3:M$78,"*hàng tỉnh*")</f>
        <v>76</v>
      </c>
      <c r="O85" s="24" t="s">
        <v>41</v>
      </c>
      <c r="P85" s="24">
        <f>L104</f>
        <v>20470</v>
      </c>
    </row>
    <row r="86" spans="1:16" x14ac:dyDescent="0.25">
      <c r="B86" s="27" t="s">
        <v>90</v>
      </c>
      <c r="C86" s="80">
        <f>SUBTOTAL(9,C83:C85)</f>
        <v>52193</v>
      </c>
      <c r="D86" s="80"/>
      <c r="E86" s="24">
        <f>E83</f>
        <v>76</v>
      </c>
      <c r="K86" s="31" t="s">
        <v>91</v>
      </c>
      <c r="O86" s="24" t="s">
        <v>92</v>
      </c>
      <c r="P86" s="24">
        <f>-C90</f>
        <v>-52193</v>
      </c>
    </row>
    <row r="87" spans="1:16" x14ac:dyDescent="0.25">
      <c r="B87" s="30" t="s">
        <v>93</v>
      </c>
      <c r="C87" s="78"/>
      <c r="D87" s="78"/>
      <c r="K87" s="30" t="s">
        <v>94</v>
      </c>
      <c r="O87" s="27" t="s">
        <v>95</v>
      </c>
      <c r="P87" s="27">
        <f>SUBTOTAL(9,P83:P86)</f>
        <v>356</v>
      </c>
    </row>
    <row r="88" spans="1:16" x14ac:dyDescent="0.25">
      <c r="B88" s="32" t="s">
        <v>96</v>
      </c>
      <c r="C88" s="78"/>
      <c r="D88" s="78"/>
      <c r="L88" s="33">
        <f>SUBTOTAL(9,L83:L87)</f>
        <v>19616</v>
      </c>
      <c r="M88" s="33">
        <f>M83</f>
        <v>17</v>
      </c>
    </row>
    <row r="90" spans="1:16" x14ac:dyDescent="0.25">
      <c r="B90" s="26" t="s">
        <v>97</v>
      </c>
      <c r="C90" s="79">
        <f>C86+C87+C88</f>
        <v>52193</v>
      </c>
      <c r="D90" s="79"/>
      <c r="E90" s="26" t="s">
        <v>98</v>
      </c>
      <c r="K90" s="28" t="s">
        <v>1626</v>
      </c>
      <c r="L90" s="28" t="s">
        <v>80</v>
      </c>
      <c r="M90" s="28" t="s">
        <v>79</v>
      </c>
    </row>
    <row r="91" spans="1:16" x14ac:dyDescent="0.25">
      <c r="K91" s="24" t="s">
        <v>84</v>
      </c>
      <c r="L91" s="24">
        <f>SUMIFS(G$3:G$78,J$3:J$78,K$90)</f>
        <v>13045</v>
      </c>
      <c r="M91" s="24">
        <f>SUMIFS(Q$3:Q$78,J$3:J$78,K$90)-INT(COUNTIFS(J$3:J$78,K$90,M$3:M$78,"*gộp*")/2)</f>
        <v>28</v>
      </c>
    </row>
    <row r="92" spans="1:16" x14ac:dyDescent="0.25">
      <c r="K92" s="24" t="s">
        <v>87</v>
      </c>
      <c r="L92" s="24">
        <f>SUM(H81:H83)</f>
        <v>-582</v>
      </c>
      <c r="M92" s="24">
        <f>SUMIFS(Q$3:Q$78,J$3:J$78,K$90)-INT(COUNTIFS(J$3:J$78,K$90,M$3:M$78,"*gộp*")/2)</f>
        <v>28</v>
      </c>
    </row>
    <row r="93" spans="1:16" x14ac:dyDescent="0.25">
      <c r="K93" s="24" t="s">
        <v>89</v>
      </c>
      <c r="L93" s="24">
        <f>-M93*2</f>
        <v>0</v>
      </c>
      <c r="M93" s="24">
        <f>COUNTIFS(K$3:K$78,K$90,L$3:L$78,A$83)-(COUNTIFS(K$3:K$78,K$90,M$3:M$78,"*gộp*")/2)-COUNTIFS(K$3:K$78,K$90,M$3:M$78,"*đơn trả*")-COUNTIFS(K$3:K$78,K$90,M$3:M$78,"*hàng tỉnh*")</f>
        <v>0</v>
      </c>
    </row>
    <row r="94" spans="1:16" x14ac:dyDescent="0.25">
      <c r="K94" s="31" t="s">
        <v>91</v>
      </c>
    </row>
    <row r="95" spans="1:16" x14ac:dyDescent="0.25">
      <c r="K95" s="30" t="s">
        <v>94</v>
      </c>
    </row>
    <row r="96" spans="1:16" x14ac:dyDescent="0.25">
      <c r="L96" s="33">
        <f>SUBTOTAL(9,L91:L95)</f>
        <v>12463</v>
      </c>
      <c r="M96" s="33">
        <f>M91</f>
        <v>28</v>
      </c>
    </row>
    <row r="98" spans="11:13" x14ac:dyDescent="0.25">
      <c r="K98" s="28" t="s">
        <v>41</v>
      </c>
      <c r="L98" s="28" t="s">
        <v>80</v>
      </c>
      <c r="M98" s="28" t="s">
        <v>79</v>
      </c>
    </row>
    <row r="99" spans="11:13" x14ac:dyDescent="0.25">
      <c r="K99" s="24" t="s">
        <v>84</v>
      </c>
      <c r="L99" s="24">
        <f>SUMIFS(G$3:G$78,J$3:J$78,K$98)</f>
        <v>21175</v>
      </c>
      <c r="M99" s="24">
        <f>SUMIFS(Q$3:Q$78,J$3:J$78,K$98)-INT(COUNTIFS(J$3:J$78,K$98,M$3:M$78,"*gộp*")/2)</f>
        <v>31</v>
      </c>
    </row>
    <row r="100" spans="11:13" x14ac:dyDescent="0.25">
      <c r="K100" s="24" t="s">
        <v>87</v>
      </c>
      <c r="L100" s="24">
        <f>-SUMIFS(H$3:H$78,J$3:J$78,K$98)+M100*5</f>
        <v>-705</v>
      </c>
      <c r="M100" s="24">
        <f>SUMIFS(Q$3:Q$78,J$3:J$78,K$98)-INT(COUNTIFS(J$3:J$78,K$98,M$3:M$78,"*gộp*")/2)</f>
        <v>31</v>
      </c>
    </row>
    <row r="101" spans="11:13" x14ac:dyDescent="0.25">
      <c r="K101" s="24" t="s">
        <v>89</v>
      </c>
      <c r="L101" s="24">
        <f>-M101*2</f>
        <v>0</v>
      </c>
      <c r="M101" s="24">
        <f>COUNTIFS(K$3:K$78,K$98,L$3:L$78,A$83)-(COUNTIFS(K$3:K$78,K$98,M$3:M$78,"*gộp*")/2)-COUNTIFS(K$3:K$78,K$98,M$3:M$78,"*đơn trả*")-COUNTIFS(K$3:K$78,K$98,M$3:M$78,"*hàng tỉnh*")</f>
        <v>0</v>
      </c>
    </row>
    <row r="102" spans="11:13" x14ac:dyDescent="0.25">
      <c r="K102" s="31" t="s">
        <v>91</v>
      </c>
    </row>
    <row r="103" spans="11:13" x14ac:dyDescent="0.25">
      <c r="K103" s="30" t="s">
        <v>94</v>
      </c>
    </row>
    <row r="104" spans="11:13" x14ac:dyDescent="0.25">
      <c r="L104" s="33">
        <f>SUBTOTAL(9,L99:L103)</f>
        <v>20470</v>
      </c>
      <c r="M104" s="33">
        <f>M99</f>
        <v>31</v>
      </c>
    </row>
  </sheetData>
  <autoFilter ref="A2:P78" xr:uid="{00000000-0009-0000-0000-000000000000}">
    <filterColumn colId="9">
      <filters>
        <filter val="AT 14-09"/>
      </filters>
    </filterColumn>
    <sortState xmlns:xlrd2="http://schemas.microsoft.com/office/spreadsheetml/2017/richdata2" ref="A3:P78">
      <sortCondition ref="J2:J78"/>
    </sortState>
  </autoFilter>
  <mergeCells count="8">
    <mergeCell ref="C88:D88"/>
    <mergeCell ref="C90:D90"/>
    <mergeCell ref="C82:D82"/>
    <mergeCell ref="C83:D83"/>
    <mergeCell ref="C84:D84"/>
    <mergeCell ref="C85:D85"/>
    <mergeCell ref="C86:D86"/>
    <mergeCell ref="C87:D87"/>
  </mergeCells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A5A9-0142-42EE-A5BF-1057643541F1}">
  <dimension ref="A1:R60"/>
  <sheetViews>
    <sheetView zoomScale="90" zoomScaleNormal="90" workbookViewId="0">
      <selection activeCell="E53" sqref="E53"/>
    </sheetView>
  </sheetViews>
  <sheetFormatPr defaultRowHeight="15" x14ac:dyDescent="0.25"/>
  <cols>
    <col min="1" max="1" width="12.7109375" style="24" customWidth="1"/>
    <col min="2" max="2" width="9.140625" style="24" customWidth="1"/>
    <col min="3" max="3" width="33.140625" style="24" customWidth="1"/>
    <col min="4" max="4" width="9.85546875" style="24" customWidth="1"/>
    <col min="5" max="5" width="72.5703125" style="24" customWidth="1"/>
    <col min="6" max="6" width="10.71093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9.5703125" style="24" bestFit="1" customWidth="1"/>
    <col min="12" max="12" width="12.5703125" style="24" bestFit="1" customWidth="1"/>
    <col min="13" max="13" width="19.5703125" style="24" customWidth="1"/>
    <col min="14" max="14" width="9.7109375" style="24" customWidth="1"/>
    <col min="15" max="15" width="19.5703125" style="24" bestFit="1" customWidth="1"/>
    <col min="16" max="16" width="7" style="24" bestFit="1" customWidth="1"/>
    <col min="17" max="16384" width="9.140625" style="24"/>
  </cols>
  <sheetData>
    <row r="1" spans="1:18" customFormat="1" x14ac:dyDescent="0.25">
      <c r="B1" s="4" t="s">
        <v>1160</v>
      </c>
      <c r="C1" s="4" t="s">
        <v>1889</v>
      </c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 t="s">
        <v>66</v>
      </c>
      <c r="B3" s="35" t="s">
        <v>26</v>
      </c>
      <c r="C3" s="35" t="s">
        <v>1819</v>
      </c>
      <c r="D3" s="35"/>
      <c r="E3" s="35" t="s">
        <v>1820</v>
      </c>
      <c r="F3" s="36">
        <v>7</v>
      </c>
      <c r="G3" s="36">
        <v>2085</v>
      </c>
      <c r="H3" s="36">
        <v>35</v>
      </c>
      <c r="I3" s="36">
        <f t="shared" ref="I3:I34" si="0">G3-H3</f>
        <v>2050</v>
      </c>
      <c r="J3" s="35" t="s">
        <v>1821</v>
      </c>
      <c r="K3" s="35" t="s">
        <v>31</v>
      </c>
      <c r="L3" s="35" t="s">
        <v>1822</v>
      </c>
      <c r="M3" s="35"/>
      <c r="N3" s="35"/>
      <c r="O3" s="35"/>
      <c r="P3" s="35"/>
      <c r="Q3" s="35">
        <v>1</v>
      </c>
    </row>
    <row r="4" spans="1:18" x14ac:dyDescent="0.25">
      <c r="A4" s="35"/>
      <c r="B4" s="35" t="s">
        <v>26</v>
      </c>
      <c r="C4" s="35" t="s">
        <v>1834</v>
      </c>
      <c r="D4" s="35" t="s">
        <v>1835</v>
      </c>
      <c r="E4" s="35" t="s">
        <v>1836</v>
      </c>
      <c r="F4" s="35" t="s">
        <v>77</v>
      </c>
      <c r="G4" s="36">
        <v>890</v>
      </c>
      <c r="H4" s="36">
        <v>30</v>
      </c>
      <c r="I4" s="36">
        <f t="shared" si="0"/>
        <v>860</v>
      </c>
      <c r="J4" s="35" t="s">
        <v>1821</v>
      </c>
      <c r="K4" s="35" t="s">
        <v>31</v>
      </c>
      <c r="L4" s="35" t="s">
        <v>1822</v>
      </c>
      <c r="M4" s="35"/>
      <c r="N4" s="35"/>
      <c r="O4" s="35"/>
      <c r="P4" s="35"/>
      <c r="Q4" s="35">
        <v>1</v>
      </c>
    </row>
    <row r="5" spans="1:18" x14ac:dyDescent="0.25">
      <c r="A5" s="35"/>
      <c r="B5" s="35" t="s">
        <v>26</v>
      </c>
      <c r="C5" s="35" t="s">
        <v>1840</v>
      </c>
      <c r="D5" s="35" t="s">
        <v>1841</v>
      </c>
      <c r="E5" s="35" t="s">
        <v>1842</v>
      </c>
      <c r="F5" s="36">
        <v>8</v>
      </c>
      <c r="G5" s="36">
        <v>770</v>
      </c>
      <c r="H5" s="36">
        <v>30</v>
      </c>
      <c r="I5" s="36">
        <f t="shared" si="0"/>
        <v>740</v>
      </c>
      <c r="J5" s="35" t="s">
        <v>1821</v>
      </c>
      <c r="K5" s="35" t="s">
        <v>31</v>
      </c>
      <c r="L5" s="35" t="s">
        <v>1822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1850</v>
      </c>
      <c r="D6" s="35" t="s">
        <v>1851</v>
      </c>
      <c r="E6" s="35" t="s">
        <v>1852</v>
      </c>
      <c r="F6" s="36">
        <v>7</v>
      </c>
      <c r="G6" s="36">
        <v>800</v>
      </c>
      <c r="H6" s="36">
        <v>30</v>
      </c>
      <c r="I6" s="36">
        <f t="shared" si="0"/>
        <v>770</v>
      </c>
      <c r="J6" s="35" t="s">
        <v>1821</v>
      </c>
      <c r="K6" s="35" t="s">
        <v>31</v>
      </c>
      <c r="L6" s="35" t="s">
        <v>1822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1859</v>
      </c>
      <c r="D7" s="35" t="s">
        <v>1860</v>
      </c>
      <c r="E7" s="35" t="s">
        <v>1861</v>
      </c>
      <c r="F7" s="36">
        <v>7</v>
      </c>
      <c r="G7" s="36">
        <v>620</v>
      </c>
      <c r="H7" s="36">
        <v>30</v>
      </c>
      <c r="I7" s="36">
        <f t="shared" si="0"/>
        <v>590</v>
      </c>
      <c r="J7" s="35" t="s">
        <v>1821</v>
      </c>
      <c r="K7" s="35" t="s">
        <v>31</v>
      </c>
      <c r="L7" s="35" t="s">
        <v>1822</v>
      </c>
      <c r="M7" s="35"/>
      <c r="N7" s="35"/>
      <c r="O7" s="35"/>
      <c r="P7" s="35"/>
      <c r="Q7" s="35">
        <v>1</v>
      </c>
    </row>
    <row r="8" spans="1:18" x14ac:dyDescent="0.25">
      <c r="A8" s="35"/>
      <c r="B8" s="35" t="s">
        <v>26</v>
      </c>
      <c r="C8" s="35" t="s">
        <v>1874</v>
      </c>
      <c r="D8" s="35" t="s">
        <v>1875</v>
      </c>
      <c r="E8" s="35" t="s">
        <v>1876</v>
      </c>
      <c r="F8" s="36">
        <v>7</v>
      </c>
      <c r="G8" s="36">
        <v>850</v>
      </c>
      <c r="H8" s="36">
        <v>30</v>
      </c>
      <c r="I8" s="36">
        <f t="shared" si="0"/>
        <v>820</v>
      </c>
      <c r="J8" s="35" t="s">
        <v>1821</v>
      </c>
      <c r="K8" s="35" t="s">
        <v>31</v>
      </c>
      <c r="L8" s="35" t="s">
        <v>1822</v>
      </c>
      <c r="M8" s="35"/>
      <c r="N8" s="35"/>
      <c r="O8" s="35"/>
      <c r="P8" s="35"/>
      <c r="Q8" s="35">
        <v>1</v>
      </c>
    </row>
    <row r="9" spans="1:18" x14ac:dyDescent="0.25">
      <c r="A9" s="35"/>
      <c r="B9" s="35" t="s">
        <v>26</v>
      </c>
      <c r="C9" s="35" t="s">
        <v>1877</v>
      </c>
      <c r="D9" s="35" t="s">
        <v>1878</v>
      </c>
      <c r="E9" s="35" t="s">
        <v>1879</v>
      </c>
      <c r="F9" s="36">
        <v>8</v>
      </c>
      <c r="G9" s="36">
        <v>420</v>
      </c>
      <c r="H9" s="36">
        <v>30</v>
      </c>
      <c r="I9" s="36">
        <f t="shared" si="0"/>
        <v>390</v>
      </c>
      <c r="J9" s="35" t="s">
        <v>1821</v>
      </c>
      <c r="K9" s="35" t="s">
        <v>31</v>
      </c>
      <c r="L9" s="35" t="s">
        <v>1822</v>
      </c>
      <c r="M9" s="35"/>
      <c r="N9" s="35"/>
      <c r="O9" s="35"/>
      <c r="P9" s="35"/>
      <c r="Q9" s="35">
        <v>1</v>
      </c>
    </row>
    <row r="10" spans="1:18" x14ac:dyDescent="0.25">
      <c r="A10" s="35"/>
      <c r="B10" s="35" t="s">
        <v>26</v>
      </c>
      <c r="C10" s="35" t="s">
        <v>1880</v>
      </c>
      <c r="D10" s="35" t="s">
        <v>1881</v>
      </c>
      <c r="E10" s="35" t="s">
        <v>1882</v>
      </c>
      <c r="F10" s="35" t="s">
        <v>77</v>
      </c>
      <c r="G10" s="36">
        <v>800</v>
      </c>
      <c r="H10" s="36">
        <v>30</v>
      </c>
      <c r="I10" s="36">
        <f t="shared" si="0"/>
        <v>770</v>
      </c>
      <c r="J10" s="35" t="s">
        <v>1821</v>
      </c>
      <c r="K10" s="35" t="s">
        <v>31</v>
      </c>
      <c r="L10" s="35" t="s">
        <v>1822</v>
      </c>
      <c r="M10" s="35"/>
      <c r="N10" s="35"/>
      <c r="O10" s="35"/>
      <c r="P10" s="35"/>
      <c r="Q10" s="35">
        <v>1</v>
      </c>
    </row>
    <row r="11" spans="1:18" s="50" customFormat="1" x14ac:dyDescent="0.25">
      <c r="A11" s="51"/>
      <c r="B11" s="51" t="s">
        <v>26</v>
      </c>
      <c r="C11" s="51" t="s">
        <v>1696</v>
      </c>
      <c r="D11" s="51" t="s">
        <v>1697</v>
      </c>
      <c r="E11" s="51" t="s">
        <v>1698</v>
      </c>
      <c r="F11" s="51" t="s">
        <v>121</v>
      </c>
      <c r="G11" s="52">
        <v>605</v>
      </c>
      <c r="H11" s="52">
        <v>35</v>
      </c>
      <c r="I11" s="52">
        <f t="shared" si="0"/>
        <v>570</v>
      </c>
      <c r="J11" s="51" t="s">
        <v>1821</v>
      </c>
      <c r="K11" s="51" t="s">
        <v>31</v>
      </c>
      <c r="L11" s="68" t="s">
        <v>1623</v>
      </c>
      <c r="M11" s="51" t="s">
        <v>1887</v>
      </c>
      <c r="N11" s="51"/>
      <c r="O11" s="51"/>
      <c r="P11" s="51"/>
      <c r="Q11" s="51">
        <v>1</v>
      </c>
    </row>
    <row r="12" spans="1:18" x14ac:dyDescent="0.25">
      <c r="A12" s="35" t="s">
        <v>66</v>
      </c>
      <c r="B12" s="35" t="s">
        <v>26</v>
      </c>
      <c r="C12" s="35" t="s">
        <v>1053</v>
      </c>
      <c r="D12" s="35"/>
      <c r="E12" s="35" t="s">
        <v>1054</v>
      </c>
      <c r="F12" s="35" t="s">
        <v>36</v>
      </c>
      <c r="G12" s="36">
        <v>7120</v>
      </c>
      <c r="H12" s="36">
        <v>30</v>
      </c>
      <c r="I12" s="36">
        <f t="shared" si="0"/>
        <v>7090</v>
      </c>
      <c r="J12" s="35" t="s">
        <v>31</v>
      </c>
      <c r="K12" s="35" t="s">
        <v>31</v>
      </c>
      <c r="L12" s="35" t="s">
        <v>1822</v>
      </c>
      <c r="M12" s="35"/>
      <c r="N12" s="35"/>
      <c r="O12" s="35"/>
      <c r="P12" s="35"/>
      <c r="Q12" s="35">
        <v>1</v>
      </c>
    </row>
    <row r="13" spans="1:18" x14ac:dyDescent="0.25">
      <c r="A13" s="35" t="s">
        <v>66</v>
      </c>
      <c r="B13" s="35" t="s">
        <v>26</v>
      </c>
      <c r="C13" s="35" t="s">
        <v>73</v>
      </c>
      <c r="D13" s="35"/>
      <c r="E13" s="35" t="s">
        <v>1826</v>
      </c>
      <c r="F13" s="35" t="s">
        <v>36</v>
      </c>
      <c r="G13" s="36">
        <v>40</v>
      </c>
      <c r="H13" s="36">
        <v>40</v>
      </c>
      <c r="I13" s="36">
        <f t="shared" si="0"/>
        <v>0</v>
      </c>
      <c r="J13" s="35" t="s">
        <v>31</v>
      </c>
      <c r="K13" s="35" t="s">
        <v>31</v>
      </c>
      <c r="L13" s="35" t="s">
        <v>1822</v>
      </c>
      <c r="M13" s="35"/>
      <c r="N13" s="35"/>
      <c r="O13" s="35"/>
      <c r="P13" s="35"/>
      <c r="Q13" s="35">
        <v>1</v>
      </c>
    </row>
    <row r="14" spans="1:18" x14ac:dyDescent="0.25">
      <c r="A14" s="35" t="s">
        <v>66</v>
      </c>
      <c r="B14" s="35" t="s">
        <v>26</v>
      </c>
      <c r="C14" s="35" t="s">
        <v>1299</v>
      </c>
      <c r="D14" s="35"/>
      <c r="E14" s="35" t="s">
        <v>1827</v>
      </c>
      <c r="F14" s="35" t="s">
        <v>36</v>
      </c>
      <c r="G14" s="36">
        <v>0</v>
      </c>
      <c r="H14" s="36">
        <v>30</v>
      </c>
      <c r="I14" s="36">
        <f t="shared" si="0"/>
        <v>-30</v>
      </c>
      <c r="J14" s="35" t="s">
        <v>31</v>
      </c>
      <c r="K14" s="35" t="s">
        <v>31</v>
      </c>
      <c r="L14" s="35" t="s">
        <v>1822</v>
      </c>
      <c r="M14" s="35"/>
      <c r="N14" s="35"/>
      <c r="O14" s="35"/>
      <c r="P14" s="35"/>
      <c r="Q14" s="35">
        <v>1</v>
      </c>
      <c r="R14" s="25">
        <f>H14</f>
        <v>30</v>
      </c>
    </row>
    <row r="15" spans="1:18" x14ac:dyDescent="0.25">
      <c r="A15" s="35"/>
      <c r="B15" s="35" t="s">
        <v>26</v>
      </c>
      <c r="C15" s="35" t="s">
        <v>1828</v>
      </c>
      <c r="D15" s="35" t="s">
        <v>1829</v>
      </c>
      <c r="E15" s="35" t="s">
        <v>1830</v>
      </c>
      <c r="F15" s="35" t="s">
        <v>128</v>
      </c>
      <c r="G15" s="36">
        <v>1180</v>
      </c>
      <c r="H15" s="36">
        <v>30</v>
      </c>
      <c r="I15" s="36">
        <f t="shared" si="0"/>
        <v>1150</v>
      </c>
      <c r="J15" s="35" t="s">
        <v>31</v>
      </c>
      <c r="K15" s="35" t="s">
        <v>31</v>
      </c>
      <c r="L15" s="35" t="s">
        <v>1822</v>
      </c>
      <c r="M15" s="35"/>
      <c r="N15" s="35"/>
      <c r="O15" s="35"/>
      <c r="P15" s="35"/>
      <c r="Q15" s="35">
        <v>1</v>
      </c>
    </row>
    <row r="16" spans="1:18" x14ac:dyDescent="0.25">
      <c r="A16" s="35"/>
      <c r="B16" s="35" t="s">
        <v>26</v>
      </c>
      <c r="C16" s="35" t="s">
        <v>1831</v>
      </c>
      <c r="D16" s="35" t="s">
        <v>1832</v>
      </c>
      <c r="E16" s="35" t="s">
        <v>1833</v>
      </c>
      <c r="F16" s="35" t="s">
        <v>36</v>
      </c>
      <c r="G16" s="36">
        <v>0</v>
      </c>
      <c r="H16" s="36">
        <v>25</v>
      </c>
      <c r="I16" s="36">
        <f t="shared" si="0"/>
        <v>-25</v>
      </c>
      <c r="J16" s="35" t="s">
        <v>31</v>
      </c>
      <c r="K16" s="35" t="s">
        <v>31</v>
      </c>
      <c r="L16" s="35" t="s">
        <v>1822</v>
      </c>
      <c r="M16" s="35"/>
      <c r="N16" s="35"/>
      <c r="O16" s="35"/>
      <c r="P16" s="35"/>
      <c r="Q16" s="35">
        <v>1</v>
      </c>
      <c r="R16" s="25">
        <f>H16</f>
        <v>25</v>
      </c>
    </row>
    <row r="17" spans="1:18" x14ac:dyDescent="0.25">
      <c r="A17" s="35"/>
      <c r="B17" s="35" t="s">
        <v>26</v>
      </c>
      <c r="C17" s="35" t="s">
        <v>1837</v>
      </c>
      <c r="D17" s="35" t="s">
        <v>1838</v>
      </c>
      <c r="E17" s="35" t="s">
        <v>1839</v>
      </c>
      <c r="F17" s="35" t="s">
        <v>36</v>
      </c>
      <c r="G17" s="36">
        <v>2200</v>
      </c>
      <c r="H17" s="36">
        <v>30</v>
      </c>
      <c r="I17" s="36">
        <f t="shared" si="0"/>
        <v>2170</v>
      </c>
      <c r="J17" s="35" t="s">
        <v>31</v>
      </c>
      <c r="K17" s="35" t="s">
        <v>31</v>
      </c>
      <c r="L17" s="35" t="s">
        <v>1822</v>
      </c>
      <c r="M17" s="38" t="s">
        <v>59</v>
      </c>
      <c r="N17" s="35"/>
      <c r="O17" s="35"/>
      <c r="P17" s="35"/>
      <c r="Q17" s="35">
        <v>1</v>
      </c>
      <c r="R17" s="25">
        <f>H17</f>
        <v>30</v>
      </c>
    </row>
    <row r="18" spans="1:18" x14ac:dyDescent="0.25">
      <c r="A18" s="35"/>
      <c r="B18" s="35" t="s">
        <v>26</v>
      </c>
      <c r="C18" s="35" t="s">
        <v>1734</v>
      </c>
      <c r="D18" s="35" t="s">
        <v>1843</v>
      </c>
      <c r="E18" s="35" t="s">
        <v>1844</v>
      </c>
      <c r="F18" s="36">
        <v>12</v>
      </c>
      <c r="G18" s="36">
        <v>850</v>
      </c>
      <c r="H18" s="36">
        <v>30</v>
      </c>
      <c r="I18" s="36">
        <f t="shared" si="0"/>
        <v>820</v>
      </c>
      <c r="J18" s="35" t="s">
        <v>31</v>
      </c>
      <c r="K18" s="35" t="s">
        <v>31</v>
      </c>
      <c r="L18" s="35" t="s">
        <v>1822</v>
      </c>
      <c r="M18" s="35"/>
      <c r="N18" s="35"/>
      <c r="O18" s="35"/>
      <c r="P18" s="35"/>
      <c r="Q18" s="35">
        <v>1</v>
      </c>
    </row>
    <row r="19" spans="1:18" x14ac:dyDescent="0.25">
      <c r="A19" s="35"/>
      <c r="B19" s="35" t="s">
        <v>26</v>
      </c>
      <c r="C19" s="35" t="s">
        <v>1384</v>
      </c>
      <c r="D19" s="35" t="s">
        <v>1848</v>
      </c>
      <c r="E19" s="35" t="s">
        <v>1849</v>
      </c>
      <c r="F19" s="36">
        <v>12</v>
      </c>
      <c r="G19" s="36">
        <v>0</v>
      </c>
      <c r="H19" s="36">
        <v>30</v>
      </c>
      <c r="I19" s="36">
        <f t="shared" si="0"/>
        <v>-30</v>
      </c>
      <c r="J19" s="35" t="s">
        <v>31</v>
      </c>
      <c r="K19" s="35" t="s">
        <v>31</v>
      </c>
      <c r="L19" s="35" t="s">
        <v>1822</v>
      </c>
      <c r="M19" s="35"/>
      <c r="N19" s="35"/>
      <c r="O19" s="35"/>
      <c r="P19" s="35"/>
      <c r="Q19" s="35">
        <v>1</v>
      </c>
      <c r="R19" s="25">
        <f>H19</f>
        <v>30</v>
      </c>
    </row>
    <row r="20" spans="1:18" x14ac:dyDescent="0.25">
      <c r="A20" s="35"/>
      <c r="B20" s="35" t="s">
        <v>26</v>
      </c>
      <c r="C20" s="35" t="s">
        <v>1856</v>
      </c>
      <c r="D20" s="35" t="s">
        <v>1857</v>
      </c>
      <c r="E20" s="35" t="s">
        <v>1858</v>
      </c>
      <c r="F20" s="35" t="s">
        <v>101</v>
      </c>
      <c r="G20" s="36">
        <v>1105</v>
      </c>
      <c r="H20" s="36">
        <v>25</v>
      </c>
      <c r="I20" s="36">
        <f t="shared" si="0"/>
        <v>1080</v>
      </c>
      <c r="J20" s="35" t="s">
        <v>31</v>
      </c>
      <c r="K20" s="35" t="s">
        <v>31</v>
      </c>
      <c r="L20" s="35" t="s">
        <v>1822</v>
      </c>
      <c r="M20" s="35"/>
      <c r="N20" s="35"/>
      <c r="O20" s="35"/>
      <c r="P20" s="35"/>
      <c r="Q20" s="35">
        <v>1</v>
      </c>
    </row>
    <row r="21" spans="1:18" x14ac:dyDescent="0.25">
      <c r="A21" s="35"/>
      <c r="B21" s="35" t="s">
        <v>26</v>
      </c>
      <c r="C21" s="35" t="s">
        <v>1865</v>
      </c>
      <c r="D21" s="35" t="s">
        <v>1866</v>
      </c>
      <c r="E21" s="35" t="s">
        <v>1867</v>
      </c>
      <c r="F21" s="35" t="s">
        <v>58</v>
      </c>
      <c r="G21" s="36">
        <v>840</v>
      </c>
      <c r="H21" s="36">
        <v>20</v>
      </c>
      <c r="I21" s="36">
        <f t="shared" si="0"/>
        <v>820</v>
      </c>
      <c r="J21" s="35" t="s">
        <v>31</v>
      </c>
      <c r="K21" s="35" t="s">
        <v>31</v>
      </c>
      <c r="L21" s="35" t="s">
        <v>1822</v>
      </c>
      <c r="M21" s="35"/>
      <c r="N21" s="35"/>
      <c r="O21" s="35"/>
      <c r="P21" s="35"/>
      <c r="Q21" s="35">
        <v>1</v>
      </c>
    </row>
    <row r="22" spans="1:18" x14ac:dyDescent="0.25">
      <c r="A22" s="35"/>
      <c r="B22" s="35" t="s">
        <v>26</v>
      </c>
      <c r="C22" s="35" t="s">
        <v>1868</v>
      </c>
      <c r="D22" s="35" t="s">
        <v>1869</v>
      </c>
      <c r="E22" s="35" t="s">
        <v>1870</v>
      </c>
      <c r="F22" s="35" t="s">
        <v>58</v>
      </c>
      <c r="G22" s="36">
        <v>1590</v>
      </c>
      <c r="H22" s="36">
        <v>20</v>
      </c>
      <c r="I22" s="36">
        <f t="shared" si="0"/>
        <v>1570</v>
      </c>
      <c r="J22" s="35" t="s">
        <v>31</v>
      </c>
      <c r="K22" s="35" t="s">
        <v>31</v>
      </c>
      <c r="L22" s="35" t="s">
        <v>1822</v>
      </c>
      <c r="M22" s="35"/>
      <c r="N22" s="35"/>
      <c r="O22" s="35"/>
      <c r="P22" s="35"/>
      <c r="Q22" s="35">
        <v>1</v>
      </c>
    </row>
    <row r="23" spans="1:18" s="41" customFormat="1" x14ac:dyDescent="0.25">
      <c r="A23" s="39"/>
      <c r="B23" s="39" t="s">
        <v>26</v>
      </c>
      <c r="C23" s="39" t="s">
        <v>1794</v>
      </c>
      <c r="D23" s="39" t="s">
        <v>1886</v>
      </c>
      <c r="E23" s="39" t="s">
        <v>1796</v>
      </c>
      <c r="F23" s="39" t="s">
        <v>58</v>
      </c>
      <c r="G23" s="40">
        <v>20</v>
      </c>
      <c r="H23" s="40">
        <v>20</v>
      </c>
      <c r="I23" s="40">
        <f t="shared" si="0"/>
        <v>0</v>
      </c>
      <c r="J23" s="39" t="s">
        <v>31</v>
      </c>
      <c r="K23" s="39" t="s">
        <v>31</v>
      </c>
      <c r="L23" s="39" t="s">
        <v>1822</v>
      </c>
      <c r="M23" s="39" t="s">
        <v>37</v>
      </c>
      <c r="N23" s="39"/>
      <c r="O23" s="39"/>
      <c r="P23" s="39"/>
      <c r="Q23" s="39">
        <v>1</v>
      </c>
    </row>
    <row r="24" spans="1:18" x14ac:dyDescent="0.25">
      <c r="A24" s="35" t="s">
        <v>66</v>
      </c>
      <c r="B24" s="35" t="s">
        <v>26</v>
      </c>
      <c r="C24" s="35" t="s">
        <v>1297</v>
      </c>
      <c r="D24" s="35"/>
      <c r="E24" s="35" t="s">
        <v>1823</v>
      </c>
      <c r="F24" s="36">
        <v>5</v>
      </c>
      <c r="G24" s="36">
        <v>1790</v>
      </c>
      <c r="H24" s="36">
        <v>30</v>
      </c>
      <c r="I24" s="36">
        <f t="shared" si="0"/>
        <v>1760</v>
      </c>
      <c r="J24" s="35" t="s">
        <v>41</v>
      </c>
      <c r="K24" s="35" t="s">
        <v>31</v>
      </c>
      <c r="L24" s="35" t="s">
        <v>1822</v>
      </c>
      <c r="M24" s="35"/>
      <c r="N24" s="35"/>
      <c r="O24" s="35"/>
      <c r="P24" s="35"/>
      <c r="Q24" s="35">
        <v>1</v>
      </c>
    </row>
    <row r="25" spans="1:18" x14ac:dyDescent="0.25">
      <c r="A25" s="35" t="s">
        <v>66</v>
      </c>
      <c r="B25" s="35" t="s">
        <v>26</v>
      </c>
      <c r="C25" s="35" t="s">
        <v>1824</v>
      </c>
      <c r="D25" s="35"/>
      <c r="E25" s="35" t="s">
        <v>1825</v>
      </c>
      <c r="F25" s="35" t="s">
        <v>101</v>
      </c>
      <c r="G25" s="36">
        <v>0</v>
      </c>
      <c r="H25" s="36">
        <v>30</v>
      </c>
      <c r="I25" s="36">
        <f t="shared" si="0"/>
        <v>-30</v>
      </c>
      <c r="J25" s="35" t="s">
        <v>41</v>
      </c>
      <c r="K25" s="35" t="s">
        <v>31</v>
      </c>
      <c r="L25" s="35" t="s">
        <v>1822</v>
      </c>
      <c r="M25" s="35"/>
      <c r="N25" s="35"/>
      <c r="O25" s="35"/>
      <c r="P25" s="35"/>
      <c r="Q25" s="35">
        <v>1</v>
      </c>
      <c r="R25" s="25">
        <f>H25</f>
        <v>30</v>
      </c>
    </row>
    <row r="26" spans="1:18" x14ac:dyDescent="0.25">
      <c r="A26" s="35"/>
      <c r="B26" s="35" t="s">
        <v>26</v>
      </c>
      <c r="C26" s="35" t="s">
        <v>1845</v>
      </c>
      <c r="D26" s="35" t="s">
        <v>1846</v>
      </c>
      <c r="E26" s="35" t="s">
        <v>1847</v>
      </c>
      <c r="F26" s="36">
        <v>1</v>
      </c>
      <c r="G26" s="36">
        <v>845</v>
      </c>
      <c r="H26" s="36">
        <v>25</v>
      </c>
      <c r="I26" s="36">
        <f t="shared" si="0"/>
        <v>820</v>
      </c>
      <c r="J26" s="35" t="s">
        <v>41</v>
      </c>
      <c r="K26" s="35" t="s">
        <v>31</v>
      </c>
      <c r="L26" s="35" t="s">
        <v>1822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1853</v>
      </c>
      <c r="D27" s="35" t="s">
        <v>1854</v>
      </c>
      <c r="E27" s="35" t="s">
        <v>1855</v>
      </c>
      <c r="F27" s="35" t="s">
        <v>101</v>
      </c>
      <c r="G27" s="36">
        <v>775</v>
      </c>
      <c r="H27" s="36">
        <v>25</v>
      </c>
      <c r="I27" s="36">
        <f t="shared" si="0"/>
        <v>750</v>
      </c>
      <c r="J27" s="35" t="s">
        <v>41</v>
      </c>
      <c r="K27" s="35" t="s">
        <v>31</v>
      </c>
      <c r="L27" s="35" t="s">
        <v>1822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1862</v>
      </c>
      <c r="D28" s="35" t="s">
        <v>1863</v>
      </c>
      <c r="E28" s="35" t="s">
        <v>1864</v>
      </c>
      <c r="F28" s="35" t="s">
        <v>155</v>
      </c>
      <c r="G28" s="36">
        <v>610</v>
      </c>
      <c r="H28" s="36">
        <v>20</v>
      </c>
      <c r="I28" s="36">
        <f t="shared" si="0"/>
        <v>590</v>
      </c>
      <c r="J28" s="35" t="s">
        <v>41</v>
      </c>
      <c r="K28" s="35" t="s">
        <v>31</v>
      </c>
      <c r="L28" s="35" t="s">
        <v>1822</v>
      </c>
      <c r="M28" s="35"/>
      <c r="N28" s="35"/>
      <c r="O28" s="35"/>
      <c r="P28" s="35"/>
      <c r="Q28" s="35">
        <v>1</v>
      </c>
    </row>
    <row r="29" spans="1:18" x14ac:dyDescent="0.25">
      <c r="A29" s="35"/>
      <c r="B29" s="35" t="s">
        <v>26</v>
      </c>
      <c r="C29" s="35" t="s">
        <v>1871</v>
      </c>
      <c r="D29" s="35" t="s">
        <v>1872</v>
      </c>
      <c r="E29" s="35" t="s">
        <v>1873</v>
      </c>
      <c r="F29" s="36">
        <v>3</v>
      </c>
      <c r="G29" s="36">
        <v>785</v>
      </c>
      <c r="H29" s="36">
        <v>25</v>
      </c>
      <c r="I29" s="36">
        <f t="shared" si="0"/>
        <v>760</v>
      </c>
      <c r="J29" s="35" t="s">
        <v>41</v>
      </c>
      <c r="K29" s="35" t="s">
        <v>31</v>
      </c>
      <c r="L29" s="35" t="s">
        <v>1822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1883</v>
      </c>
      <c r="D30" s="35" t="s">
        <v>1884</v>
      </c>
      <c r="E30" s="35" t="s">
        <v>1885</v>
      </c>
      <c r="F30" s="35" t="s">
        <v>155</v>
      </c>
      <c r="G30" s="36">
        <v>0</v>
      </c>
      <c r="H30" s="36">
        <v>20</v>
      </c>
      <c r="I30" s="36">
        <f t="shared" si="0"/>
        <v>-20</v>
      </c>
      <c r="J30" s="35" t="s">
        <v>41</v>
      </c>
      <c r="K30" s="35" t="s">
        <v>31</v>
      </c>
      <c r="L30" s="35" t="s">
        <v>1822</v>
      </c>
      <c r="M30" s="35"/>
      <c r="N30" s="35"/>
      <c r="O30" s="35"/>
      <c r="P30" s="35"/>
      <c r="Q30" s="35">
        <v>1</v>
      </c>
      <c r="R30" s="25">
        <f>H30</f>
        <v>20</v>
      </c>
    </row>
    <row r="31" spans="1:18" s="53" customFormat="1" x14ac:dyDescent="0.25">
      <c r="A31" s="54"/>
      <c r="B31" s="54" t="s">
        <v>26</v>
      </c>
      <c r="C31" s="54" t="s">
        <v>993</v>
      </c>
      <c r="D31" s="54" t="s">
        <v>994</v>
      </c>
      <c r="E31" s="54" t="s">
        <v>995</v>
      </c>
      <c r="F31" s="55" t="s">
        <v>77</v>
      </c>
      <c r="G31" s="54">
        <v>710</v>
      </c>
      <c r="H31" s="54">
        <v>30</v>
      </c>
      <c r="I31" s="54">
        <f t="shared" si="0"/>
        <v>680</v>
      </c>
      <c r="J31" s="37" t="s">
        <v>118</v>
      </c>
      <c r="K31" s="54" t="s">
        <v>31</v>
      </c>
      <c r="L31" s="54" t="s">
        <v>910</v>
      </c>
      <c r="M31" s="54" t="s">
        <v>91</v>
      </c>
      <c r="N31" s="54" t="s">
        <v>316</v>
      </c>
      <c r="O31" s="54" t="s">
        <v>316</v>
      </c>
      <c r="P31" s="54" t="s">
        <v>317</v>
      </c>
      <c r="Q31" s="37">
        <v>1</v>
      </c>
    </row>
    <row r="32" spans="1:18" s="53" customFormat="1" x14ac:dyDescent="0.25">
      <c r="A32" s="54"/>
      <c r="B32" s="54" t="s">
        <v>26</v>
      </c>
      <c r="C32" s="54" t="s">
        <v>1890</v>
      </c>
      <c r="D32" s="54" t="s">
        <v>1891</v>
      </c>
      <c r="E32" s="54" t="s">
        <v>1892</v>
      </c>
      <c r="F32" s="55" t="s">
        <v>1893</v>
      </c>
      <c r="G32" s="54">
        <v>1070</v>
      </c>
      <c r="H32" s="54">
        <v>30</v>
      </c>
      <c r="I32" s="54">
        <f t="shared" si="0"/>
        <v>1040</v>
      </c>
      <c r="J32" s="37" t="s">
        <v>118</v>
      </c>
      <c r="K32" s="54" t="s">
        <v>31</v>
      </c>
      <c r="L32" s="54" t="s">
        <v>321</v>
      </c>
      <c r="M32" s="54" t="s">
        <v>91</v>
      </c>
      <c r="N32" s="54" t="s">
        <v>316</v>
      </c>
      <c r="O32" s="54" t="s">
        <v>316</v>
      </c>
      <c r="P32" s="54" t="s">
        <v>317</v>
      </c>
      <c r="Q32" s="37">
        <v>1</v>
      </c>
    </row>
    <row r="33" spans="1:17" s="53" customFormat="1" x14ac:dyDescent="0.25">
      <c r="A33" s="54"/>
      <c r="B33" s="54" t="s">
        <v>26</v>
      </c>
      <c r="C33" s="54" t="s">
        <v>1707</v>
      </c>
      <c r="D33" s="54" t="s">
        <v>1708</v>
      </c>
      <c r="E33" s="54" t="s">
        <v>1709</v>
      </c>
      <c r="F33" s="55" t="s">
        <v>1894</v>
      </c>
      <c r="G33" s="54">
        <v>815</v>
      </c>
      <c r="H33" s="54">
        <v>25</v>
      </c>
      <c r="I33" s="54">
        <f t="shared" si="0"/>
        <v>790</v>
      </c>
      <c r="J33" s="37" t="s">
        <v>118</v>
      </c>
      <c r="K33" s="54" t="s">
        <v>31</v>
      </c>
      <c r="L33" s="54" t="s">
        <v>1623</v>
      </c>
      <c r="M33" s="54" t="s">
        <v>91</v>
      </c>
      <c r="N33" s="54" t="s">
        <v>316</v>
      </c>
      <c r="O33" s="54" t="s">
        <v>316</v>
      </c>
      <c r="P33" s="54" t="s">
        <v>317</v>
      </c>
      <c r="Q33" s="37">
        <v>1</v>
      </c>
    </row>
    <row r="34" spans="1:17" s="30" customFormat="1" x14ac:dyDescent="0.25">
      <c r="A34" s="37"/>
      <c r="B34" s="37" t="s">
        <v>26</v>
      </c>
      <c r="C34" s="37" t="s">
        <v>1687</v>
      </c>
      <c r="D34" s="37" t="s">
        <v>1688</v>
      </c>
      <c r="E34" s="37" t="s">
        <v>1689</v>
      </c>
      <c r="F34" s="43">
        <v>7</v>
      </c>
      <c r="G34" s="43">
        <v>2940</v>
      </c>
      <c r="H34" s="43">
        <v>0</v>
      </c>
      <c r="I34" s="43">
        <f t="shared" si="0"/>
        <v>2940</v>
      </c>
      <c r="J34" s="37" t="s">
        <v>118</v>
      </c>
      <c r="K34" s="37" t="s">
        <v>31</v>
      </c>
      <c r="L34" s="37" t="s">
        <v>1623</v>
      </c>
      <c r="M34" s="37" t="s">
        <v>94</v>
      </c>
      <c r="N34" s="37" t="s">
        <v>316</v>
      </c>
      <c r="O34" s="37" t="s">
        <v>316</v>
      </c>
      <c r="P34" s="37" t="s">
        <v>317</v>
      </c>
      <c r="Q34" s="37">
        <v>1</v>
      </c>
    </row>
    <row r="36" spans="1:17" x14ac:dyDescent="0.25">
      <c r="D36" s="26">
        <f>COUNTA(D3:D34)</f>
        <v>26</v>
      </c>
      <c r="G36" s="26">
        <f t="shared" ref="G36:Q36" si="1">SUBTOTAL(9,G3:G34)</f>
        <v>33125</v>
      </c>
      <c r="H36" s="26">
        <f t="shared" si="1"/>
        <v>870</v>
      </c>
      <c r="I36" s="26">
        <f t="shared" si="1"/>
        <v>32255</v>
      </c>
      <c r="J36" s="26">
        <f t="shared" si="1"/>
        <v>0</v>
      </c>
      <c r="K36" s="26">
        <f t="shared" si="1"/>
        <v>0</v>
      </c>
      <c r="L36" s="26">
        <f t="shared" si="1"/>
        <v>0</v>
      </c>
      <c r="M36" s="26">
        <f t="shared" si="1"/>
        <v>0</v>
      </c>
      <c r="N36" s="26">
        <f t="shared" si="1"/>
        <v>0</v>
      </c>
      <c r="O36" s="26">
        <f t="shared" si="1"/>
        <v>0</v>
      </c>
      <c r="P36" s="26">
        <f t="shared" si="1"/>
        <v>0</v>
      </c>
      <c r="Q36" s="26">
        <f t="shared" si="1"/>
        <v>32</v>
      </c>
    </row>
    <row r="37" spans="1:17" x14ac:dyDescent="0.25">
      <c r="H37" s="24">
        <f>-6*17</f>
        <v>-102</v>
      </c>
      <c r="I37" s="24">
        <v>25</v>
      </c>
    </row>
    <row r="38" spans="1:17" x14ac:dyDescent="0.25">
      <c r="A38" s="26" t="s">
        <v>26</v>
      </c>
      <c r="C38" s="80" t="s">
        <v>78</v>
      </c>
      <c r="D38" s="80"/>
      <c r="E38" s="27" t="s">
        <v>79</v>
      </c>
      <c r="H38" s="24">
        <f>-2*25</f>
        <v>-50</v>
      </c>
      <c r="I38" s="24">
        <v>17</v>
      </c>
      <c r="K38" s="28" t="s">
        <v>1821</v>
      </c>
      <c r="L38" s="28" t="s">
        <v>80</v>
      </c>
      <c r="M38" s="28" t="s">
        <v>79</v>
      </c>
      <c r="O38" s="27" t="s">
        <v>81</v>
      </c>
    </row>
    <row r="39" spans="1:17" x14ac:dyDescent="0.25">
      <c r="A39" s="24" t="s">
        <v>1822</v>
      </c>
      <c r="B39" s="29" t="s">
        <v>82</v>
      </c>
      <c r="C39" s="81">
        <f>SUMIFS(I$3:I$34,B$3:B$34,A$38,L$3:L$34,A$39)</f>
        <v>26235</v>
      </c>
      <c r="D39" s="81"/>
      <c r="E39" s="29">
        <f>SUMIFS(Q$3:Q$34,B$3:B$34,A$38,L$3:L$34,A$39)</f>
        <v>27</v>
      </c>
      <c r="F39" s="24" t="s">
        <v>83</v>
      </c>
      <c r="H39" s="24">
        <f>-1*30</f>
        <v>-30</v>
      </c>
      <c r="K39" s="24" t="s">
        <v>84</v>
      </c>
      <c r="L39" s="24">
        <f>SUMIFS(G$3:G$34,J$3:J$34,K$38)</f>
        <v>7840</v>
      </c>
      <c r="M39" s="24">
        <f>SUMIFS(Q$3:Q$34,J$3:J$34,K$38)-INT(COUNTIFS(J$3:J$34,K$38,M$3:M$34,"*gộp*")/2)</f>
        <v>9</v>
      </c>
      <c r="O39" s="24" t="s">
        <v>1888</v>
      </c>
      <c r="P39" s="24">
        <f>L44</f>
        <v>5896</v>
      </c>
    </row>
    <row r="40" spans="1:17" x14ac:dyDescent="0.25">
      <c r="B40" s="30" t="s">
        <v>86</v>
      </c>
      <c r="C40" s="82">
        <v>0</v>
      </c>
      <c r="D40" s="82"/>
      <c r="K40" s="24" t="s">
        <v>87</v>
      </c>
      <c r="L40" s="24">
        <f>SUM(H37:H39)</f>
        <v>-182</v>
      </c>
      <c r="M40" s="24">
        <f>SUMIFS(Q$3:Q$34,J$3:J$34,K$38)-INT(COUNTIFS(J$3:J$34,K$38,M$3:M$34,"*gộp*")/2)</f>
        <v>9</v>
      </c>
      <c r="O40" s="24" t="s">
        <v>41</v>
      </c>
      <c r="P40" s="24">
        <f>L53</f>
        <v>360</v>
      </c>
    </row>
    <row r="41" spans="1:17" x14ac:dyDescent="0.25">
      <c r="B41" s="30" t="s">
        <v>88</v>
      </c>
      <c r="C41" s="82">
        <f>-SUMIFS(I$3:I$34,B$3:B$34,A$38,P$3:P$34,"xx",N$3:N$34,"x")</f>
        <v>-5450</v>
      </c>
      <c r="D41" s="82"/>
      <c r="E41" s="30">
        <f>SUMIFS(Q$3:Q$34,B$3:B$34,A$38,P$3:P$34,"xx",N$3:N$34,"x")</f>
        <v>4</v>
      </c>
      <c r="K41" s="24" t="s">
        <v>89</v>
      </c>
      <c r="L41" s="24">
        <f>-M41*2</f>
        <v>0</v>
      </c>
      <c r="M41" s="24">
        <f>COUNTIFS(K$3:K$34,K$38,L$3:L$34,A$39)-(COUNTIFS(K$3:K$34,K$38,M$3:M$34,"*gộp*")/2)-COUNTIFS(K$3:K$34,K$38,M$3:M$34,"*đơn trả*")-COUNTIFS(K$3:K$34,K$38,M$3:M$34,"*hàng tỉnh*")</f>
        <v>0</v>
      </c>
      <c r="O41" s="24" t="s">
        <v>31</v>
      </c>
      <c r="P41" s="24">
        <f>L60</f>
        <v>14627</v>
      </c>
    </row>
    <row r="42" spans="1:17" x14ac:dyDescent="0.25">
      <c r="B42" s="27" t="s">
        <v>90</v>
      </c>
      <c r="C42" s="80">
        <f>SUBTOTAL(9,C39:C41)</f>
        <v>20785</v>
      </c>
      <c r="D42" s="80"/>
      <c r="E42" s="24">
        <f>E39</f>
        <v>27</v>
      </c>
      <c r="K42" s="31" t="s">
        <v>91</v>
      </c>
      <c r="L42" s="48">
        <v>-1762</v>
      </c>
      <c r="M42" s="48" t="s">
        <v>589</v>
      </c>
      <c r="O42" s="24" t="s">
        <v>92</v>
      </c>
      <c r="P42" s="24">
        <f>-C46</f>
        <v>-20785</v>
      </c>
    </row>
    <row r="43" spans="1:17" x14ac:dyDescent="0.25">
      <c r="B43" s="30" t="s">
        <v>93</v>
      </c>
      <c r="C43" s="78"/>
      <c r="D43" s="78"/>
      <c r="K43" s="30" t="s">
        <v>94</v>
      </c>
      <c r="O43" s="67"/>
    </row>
    <row r="44" spans="1:17" x14ac:dyDescent="0.25">
      <c r="B44" s="32" t="s">
        <v>96</v>
      </c>
      <c r="C44" s="78"/>
      <c r="D44" s="78"/>
      <c r="L44" s="33">
        <f>SUBTOTAL(9,L39:L43)</f>
        <v>5896</v>
      </c>
      <c r="M44" s="33">
        <f>M39</f>
        <v>9</v>
      </c>
      <c r="O44" s="27" t="s">
        <v>95</v>
      </c>
      <c r="P44" s="27">
        <f>SUBTOTAL(9,P39:P43)</f>
        <v>98</v>
      </c>
    </row>
    <row r="46" spans="1:17" x14ac:dyDescent="0.25">
      <c r="B46" s="26" t="s">
        <v>97</v>
      </c>
      <c r="C46" s="79">
        <f>C42+C43+C44</f>
        <v>20785</v>
      </c>
      <c r="D46" s="79"/>
      <c r="E46" s="26" t="s">
        <v>98</v>
      </c>
      <c r="K46" s="28" t="s">
        <v>41</v>
      </c>
      <c r="L46" s="28" t="s">
        <v>80</v>
      </c>
      <c r="M46" s="28" t="s">
        <v>79</v>
      </c>
    </row>
    <row r="47" spans="1:17" x14ac:dyDescent="0.25">
      <c r="K47" s="24" t="s">
        <v>84</v>
      </c>
      <c r="L47" s="24">
        <f>SUMIFS(G$3:G$34,J$3:J$34,K$46)</f>
        <v>4805</v>
      </c>
      <c r="M47" s="24">
        <f>SUMIFS(Q$3:Q$34,J$3:J$34,K$46)-INT(COUNTIFS(J$3:J$34,K$46,M$3:M$34,"*gộp*")/2)</f>
        <v>7</v>
      </c>
    </row>
    <row r="48" spans="1:17" x14ac:dyDescent="0.25">
      <c r="K48" s="24" t="s">
        <v>87</v>
      </c>
      <c r="L48" s="24">
        <f>-SUMIFS(H$3:H$34,J$3:J$34,K$46)+M48*5</f>
        <v>-140</v>
      </c>
      <c r="M48" s="24">
        <f>SUMIFS(Q$3:Q$34,J$3:J$34,K$46)-INT(COUNTIFS(J$3:J$34,K$46,M$3:M$34,"*gộp*")/2)</f>
        <v>7</v>
      </c>
    </row>
    <row r="49" spans="11:13" x14ac:dyDescent="0.25">
      <c r="K49" s="24" t="s">
        <v>89</v>
      </c>
      <c r="L49" s="24">
        <f>-M49*2</f>
        <v>0</v>
      </c>
      <c r="M49" s="24">
        <f>COUNTIFS(K$3:K$34,K$46,L$3:L$34,A$39)-(COUNTIFS(K$3:K$34,K$46,M$3:M$34,"*gộp*")/2)-COUNTIFS(K$3:K$34,K$46,M$3:M$34,"*đơn trả*")-COUNTIFS(K$3:K$34,K$46,M$3:M$34,"*hàng tỉnh*")</f>
        <v>0</v>
      </c>
    </row>
    <row r="50" spans="11:13" x14ac:dyDescent="0.25">
      <c r="K50" s="31" t="s">
        <v>91</v>
      </c>
      <c r="L50" s="48">
        <v>-3730</v>
      </c>
      <c r="M50" s="48" t="s">
        <v>589</v>
      </c>
    </row>
    <row r="51" spans="11:13" x14ac:dyDescent="0.25">
      <c r="K51" s="30" t="s">
        <v>94</v>
      </c>
    </row>
    <row r="52" spans="11:13" x14ac:dyDescent="0.25">
      <c r="K52" s="67" t="s">
        <v>1887</v>
      </c>
      <c r="L52" s="56">
        <v>-575</v>
      </c>
      <c r="M52" s="56" t="s">
        <v>590</v>
      </c>
    </row>
    <row r="53" spans="11:13" x14ac:dyDescent="0.25">
      <c r="L53" s="33">
        <f>SUBTOTAL(9,L47:L52)</f>
        <v>360</v>
      </c>
      <c r="M53" s="33">
        <f>M48</f>
        <v>7</v>
      </c>
    </row>
    <row r="54" spans="11:13" x14ac:dyDescent="0.25">
      <c r="K54" s="28" t="s">
        <v>31</v>
      </c>
      <c r="L54" s="28" t="s">
        <v>80</v>
      </c>
      <c r="M54" s="28" t="s">
        <v>79</v>
      </c>
    </row>
    <row r="55" spans="11:13" x14ac:dyDescent="0.25">
      <c r="K55" s="24" t="s">
        <v>84</v>
      </c>
      <c r="L55" s="24">
        <f>SUMIFS(G$3:G$34,J$3:J$34,K$54)</f>
        <v>14945</v>
      </c>
      <c r="M55" s="24">
        <f>SUMIFS(Q$3:Q$34,J$3:J$34,K$54)-INT(COUNTIFS(J$3:J$34,K$54,M$3:M$34,"*gộp*")/2)</f>
        <v>12</v>
      </c>
    </row>
    <row r="56" spans="11:13" x14ac:dyDescent="0.25">
      <c r="K56" s="24" t="s">
        <v>87</v>
      </c>
      <c r="L56" s="24">
        <f>-SUMIFS(H$3:H$34,J$3:J$34,K$54)+M56*5</f>
        <v>-270</v>
      </c>
      <c r="M56" s="24">
        <f>SUMIFS(Q$3:Q$34,J$3:J$34,K$54)-INT(COUNTIFS(J$3:J$34,K$54,M$3:M$34,"*gộp*")/2)</f>
        <v>12</v>
      </c>
    </row>
    <row r="57" spans="11:13" x14ac:dyDescent="0.25">
      <c r="K57" s="24" t="s">
        <v>89</v>
      </c>
      <c r="L57" s="24">
        <f>-M57*2</f>
        <v>-48</v>
      </c>
      <c r="M57" s="24">
        <f>COUNTIFS(K$3:K$34,K$54,L$3:L$34,A$39)-(COUNTIFS(K$3:K$34,K$54,M$3:M$34,"*gộp*")/2)-COUNTIFS(K$3:K$34,K$54,M$3:M$34,"*đơn trả*")-COUNTIFS(K$3:K$34,K$54,M$3:M$34,"*hàng tỉnh*")</f>
        <v>24</v>
      </c>
    </row>
    <row r="58" spans="11:13" x14ac:dyDescent="0.25">
      <c r="K58" s="31" t="s">
        <v>91</v>
      </c>
    </row>
    <row r="59" spans="11:13" x14ac:dyDescent="0.25">
      <c r="K59" s="30" t="s">
        <v>94</v>
      </c>
    </row>
    <row r="60" spans="11:13" x14ac:dyDescent="0.25">
      <c r="L60" s="33">
        <f>SUBTOTAL(9,L55:L59)</f>
        <v>14627</v>
      </c>
      <c r="M60" s="33">
        <f>M55</f>
        <v>12</v>
      </c>
    </row>
  </sheetData>
  <autoFilter ref="A2:P34" xr:uid="{00000000-0009-0000-0000-000000000000}">
    <sortState xmlns:xlrd2="http://schemas.microsoft.com/office/spreadsheetml/2017/richdata2" ref="A3:P34">
      <sortCondition ref="J2:J34"/>
    </sortState>
  </autoFilter>
  <mergeCells count="8">
    <mergeCell ref="C44:D44"/>
    <mergeCell ref="C46:D46"/>
    <mergeCell ref="C38:D38"/>
    <mergeCell ref="C39:D39"/>
    <mergeCell ref="C40:D40"/>
    <mergeCell ref="C41:D41"/>
    <mergeCell ref="C42:D42"/>
    <mergeCell ref="C43:D43"/>
  </mergeCells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8411-3BE1-472C-B1D8-B5D0BB15B8A1}">
  <dimension ref="A1:R68"/>
  <sheetViews>
    <sheetView topLeftCell="A3" zoomScale="90" zoomScaleNormal="90" workbookViewId="0">
      <selection activeCell="A40" sqref="A40:XFD40"/>
    </sheetView>
  </sheetViews>
  <sheetFormatPr defaultRowHeight="15" x14ac:dyDescent="0.25"/>
  <cols>
    <col min="1" max="1" width="12.7109375" style="24" customWidth="1"/>
    <col min="2" max="2" width="9" style="24" customWidth="1"/>
    <col min="3" max="3" width="47" style="24" customWidth="1"/>
    <col min="4" max="4" width="9.85546875" style="24" customWidth="1"/>
    <col min="5" max="5" width="79.140625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2.5703125" style="24" bestFit="1" customWidth="1"/>
    <col min="13" max="13" width="8.7109375" style="24" customWidth="1"/>
    <col min="14" max="14" width="9.7109375" style="24" customWidth="1"/>
    <col min="15" max="15" width="10.42578125" style="24" customWidth="1"/>
    <col min="16" max="16" width="7" style="24" bestFit="1" customWidth="1"/>
    <col min="17" max="16384" width="9.140625" style="24"/>
  </cols>
  <sheetData>
    <row r="1" spans="1:18" customFormat="1" x14ac:dyDescent="0.25">
      <c r="B1" s="4" t="s">
        <v>1306</v>
      </c>
      <c r="C1" s="4" t="s">
        <v>2001</v>
      </c>
      <c r="F1" s="65"/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/>
      <c r="B3" s="35" t="s">
        <v>26</v>
      </c>
      <c r="C3" s="35" t="s">
        <v>1912</v>
      </c>
      <c r="D3" s="35" t="s">
        <v>1913</v>
      </c>
      <c r="E3" s="35" t="s">
        <v>1914</v>
      </c>
      <c r="F3" s="36">
        <v>7</v>
      </c>
      <c r="G3" s="36">
        <v>0</v>
      </c>
      <c r="H3" s="36">
        <v>30</v>
      </c>
      <c r="I3" s="36">
        <f t="shared" ref="I3:I42" si="0">G3-H3</f>
        <v>-30</v>
      </c>
      <c r="J3" s="35" t="s">
        <v>1915</v>
      </c>
      <c r="K3" s="35" t="s">
        <v>31</v>
      </c>
      <c r="L3" s="35" t="s">
        <v>1897</v>
      </c>
      <c r="M3" s="35"/>
      <c r="N3" s="35"/>
      <c r="O3" s="35"/>
      <c r="P3" s="35"/>
      <c r="Q3" s="35">
        <v>1</v>
      </c>
      <c r="R3" s="25">
        <f>H3</f>
        <v>30</v>
      </c>
    </row>
    <row r="4" spans="1:18" x14ac:dyDescent="0.25">
      <c r="A4" s="35"/>
      <c r="B4" s="35" t="s">
        <v>26</v>
      </c>
      <c r="C4" s="35" t="s">
        <v>1916</v>
      </c>
      <c r="D4" s="35" t="s">
        <v>1917</v>
      </c>
      <c r="E4" s="35" t="s">
        <v>1918</v>
      </c>
      <c r="F4" s="35" t="s">
        <v>77</v>
      </c>
      <c r="G4" s="36">
        <v>1020</v>
      </c>
      <c r="H4" s="36">
        <v>30</v>
      </c>
      <c r="I4" s="36">
        <f t="shared" si="0"/>
        <v>990</v>
      </c>
      <c r="J4" s="35" t="s">
        <v>1915</v>
      </c>
      <c r="K4" s="35" t="s">
        <v>31</v>
      </c>
      <c r="L4" s="35" t="s">
        <v>1897</v>
      </c>
      <c r="M4" s="35"/>
      <c r="N4" s="35"/>
      <c r="O4" s="35"/>
      <c r="P4" s="35"/>
      <c r="Q4" s="35">
        <v>1</v>
      </c>
    </row>
    <row r="5" spans="1:18" x14ac:dyDescent="0.25">
      <c r="A5" s="35"/>
      <c r="B5" s="35" t="s">
        <v>26</v>
      </c>
      <c r="C5" s="35" t="s">
        <v>1919</v>
      </c>
      <c r="D5" s="35" t="s">
        <v>1920</v>
      </c>
      <c r="E5" s="35" t="s">
        <v>1921</v>
      </c>
      <c r="F5" s="35" t="s">
        <v>77</v>
      </c>
      <c r="G5" s="36">
        <v>850</v>
      </c>
      <c r="H5" s="36">
        <v>30</v>
      </c>
      <c r="I5" s="36">
        <f t="shared" si="0"/>
        <v>820</v>
      </c>
      <c r="J5" s="35" t="s">
        <v>1915</v>
      </c>
      <c r="K5" s="35" t="s">
        <v>31</v>
      </c>
      <c r="L5" s="35" t="s">
        <v>1897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1922</v>
      </c>
      <c r="D6" s="35" t="s">
        <v>1923</v>
      </c>
      <c r="E6" s="35" t="s">
        <v>1511</v>
      </c>
      <c r="F6" s="35" t="s">
        <v>45</v>
      </c>
      <c r="G6" s="36">
        <v>975</v>
      </c>
      <c r="H6" s="36">
        <v>25</v>
      </c>
      <c r="I6" s="36">
        <f t="shared" si="0"/>
        <v>950</v>
      </c>
      <c r="J6" s="35" t="s">
        <v>1915</v>
      </c>
      <c r="K6" s="35" t="s">
        <v>31</v>
      </c>
      <c r="L6" s="35" t="s">
        <v>1897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1931</v>
      </c>
      <c r="D7" s="35" t="s">
        <v>1932</v>
      </c>
      <c r="E7" s="35" t="s">
        <v>1933</v>
      </c>
      <c r="F7" s="36">
        <v>7</v>
      </c>
      <c r="G7" s="36">
        <v>1110</v>
      </c>
      <c r="H7" s="36">
        <v>30</v>
      </c>
      <c r="I7" s="36">
        <f t="shared" si="0"/>
        <v>1080</v>
      </c>
      <c r="J7" s="35" t="s">
        <v>1915</v>
      </c>
      <c r="K7" s="35" t="s">
        <v>31</v>
      </c>
      <c r="L7" s="35" t="s">
        <v>1897</v>
      </c>
      <c r="M7" s="35"/>
      <c r="N7" s="35"/>
      <c r="O7" s="35"/>
      <c r="P7" s="35"/>
      <c r="Q7" s="35">
        <v>1</v>
      </c>
    </row>
    <row r="8" spans="1:18" x14ac:dyDescent="0.25">
      <c r="A8" s="35"/>
      <c r="B8" s="35" t="s">
        <v>26</v>
      </c>
      <c r="C8" s="35" t="s">
        <v>1341</v>
      </c>
      <c r="D8" s="35" t="s">
        <v>1934</v>
      </c>
      <c r="E8" s="35" t="s">
        <v>1343</v>
      </c>
      <c r="F8" s="35" t="s">
        <v>121</v>
      </c>
      <c r="G8" s="36">
        <v>895</v>
      </c>
      <c r="H8" s="36">
        <v>35</v>
      </c>
      <c r="I8" s="36">
        <f t="shared" si="0"/>
        <v>860</v>
      </c>
      <c r="J8" s="35" t="s">
        <v>1915</v>
      </c>
      <c r="K8" s="35" t="s">
        <v>31</v>
      </c>
      <c r="L8" s="35" t="s">
        <v>1897</v>
      </c>
      <c r="M8" s="35"/>
      <c r="N8" s="35"/>
      <c r="O8" s="35"/>
      <c r="P8" s="35"/>
      <c r="Q8" s="35">
        <v>1</v>
      </c>
    </row>
    <row r="9" spans="1:18" x14ac:dyDescent="0.25">
      <c r="A9" s="35"/>
      <c r="B9" s="35" t="s">
        <v>26</v>
      </c>
      <c r="C9" s="35" t="s">
        <v>1935</v>
      </c>
      <c r="D9" s="35" t="s">
        <v>1936</v>
      </c>
      <c r="E9" s="35" t="s">
        <v>1937</v>
      </c>
      <c r="F9" s="35" t="s">
        <v>117</v>
      </c>
      <c r="G9" s="36">
        <v>0</v>
      </c>
      <c r="H9" s="36">
        <v>35</v>
      </c>
      <c r="I9" s="36">
        <f t="shared" si="0"/>
        <v>-35</v>
      </c>
      <c r="J9" s="35" t="s">
        <v>1915</v>
      </c>
      <c r="K9" s="35" t="s">
        <v>31</v>
      </c>
      <c r="L9" s="35" t="s">
        <v>1897</v>
      </c>
      <c r="M9" s="35"/>
      <c r="N9" s="35"/>
      <c r="O9" s="35"/>
      <c r="P9" s="35"/>
      <c r="Q9" s="35">
        <v>1</v>
      </c>
      <c r="R9" s="25">
        <f t="shared" ref="R9:R12" si="1">H9</f>
        <v>35</v>
      </c>
    </row>
    <row r="10" spans="1:18" x14ac:dyDescent="0.25">
      <c r="A10" s="35"/>
      <c r="B10" s="35" t="s">
        <v>26</v>
      </c>
      <c r="C10" s="35" t="s">
        <v>1941</v>
      </c>
      <c r="D10" s="35" t="s">
        <v>1942</v>
      </c>
      <c r="E10" s="35" t="s">
        <v>1943</v>
      </c>
      <c r="F10" s="35" t="s">
        <v>77</v>
      </c>
      <c r="G10" s="36">
        <v>0</v>
      </c>
      <c r="H10" s="36">
        <v>30</v>
      </c>
      <c r="I10" s="36">
        <f t="shared" si="0"/>
        <v>-30</v>
      </c>
      <c r="J10" s="35" t="s">
        <v>1915</v>
      </c>
      <c r="K10" s="35" t="s">
        <v>31</v>
      </c>
      <c r="L10" s="35" t="s">
        <v>1897</v>
      </c>
      <c r="M10" s="35"/>
      <c r="N10" s="35"/>
      <c r="O10" s="35"/>
      <c r="P10" s="35"/>
      <c r="Q10" s="35">
        <v>1</v>
      </c>
      <c r="R10" s="25">
        <f t="shared" si="1"/>
        <v>30</v>
      </c>
    </row>
    <row r="11" spans="1:18" x14ac:dyDescent="0.25">
      <c r="A11" s="35"/>
      <c r="B11" s="35" t="s">
        <v>26</v>
      </c>
      <c r="C11" s="35" t="s">
        <v>1944</v>
      </c>
      <c r="D11" s="35" t="s">
        <v>1945</v>
      </c>
      <c r="E11" s="35" t="s">
        <v>1946</v>
      </c>
      <c r="F11" s="35" t="s">
        <v>117</v>
      </c>
      <c r="G11" s="36">
        <v>0</v>
      </c>
      <c r="H11" s="36">
        <v>35</v>
      </c>
      <c r="I11" s="36">
        <f t="shared" si="0"/>
        <v>-35</v>
      </c>
      <c r="J11" s="35" t="s">
        <v>1915</v>
      </c>
      <c r="K11" s="35" t="s">
        <v>31</v>
      </c>
      <c r="L11" s="35" t="s">
        <v>1897</v>
      </c>
      <c r="M11" s="35"/>
      <c r="N11" s="35"/>
      <c r="O11" s="35"/>
      <c r="P11" s="35"/>
      <c r="Q11" s="35">
        <v>1</v>
      </c>
      <c r="R11" s="25">
        <f t="shared" si="1"/>
        <v>35</v>
      </c>
    </row>
    <row r="12" spans="1:18" x14ac:dyDescent="0.25">
      <c r="A12" s="35"/>
      <c r="B12" s="35" t="s">
        <v>26</v>
      </c>
      <c r="C12" s="35" t="s">
        <v>1410</v>
      </c>
      <c r="D12" s="35" t="s">
        <v>1963</v>
      </c>
      <c r="E12" s="35" t="s">
        <v>1412</v>
      </c>
      <c r="F12" s="35" t="s">
        <v>77</v>
      </c>
      <c r="G12" s="36">
        <v>0</v>
      </c>
      <c r="H12" s="36">
        <v>30</v>
      </c>
      <c r="I12" s="36">
        <f t="shared" si="0"/>
        <v>-30</v>
      </c>
      <c r="J12" s="35" t="s">
        <v>1915</v>
      </c>
      <c r="K12" s="35" t="s">
        <v>31</v>
      </c>
      <c r="L12" s="35" t="s">
        <v>1897</v>
      </c>
      <c r="M12" s="35"/>
      <c r="N12" s="35"/>
      <c r="O12" s="35"/>
      <c r="P12" s="35"/>
      <c r="Q12" s="35">
        <v>1</v>
      </c>
      <c r="R12" s="25">
        <f t="shared" si="1"/>
        <v>30</v>
      </c>
    </row>
    <row r="13" spans="1:18" x14ac:dyDescent="0.25">
      <c r="A13" s="35"/>
      <c r="B13" s="35" t="s">
        <v>26</v>
      </c>
      <c r="C13" s="35" t="s">
        <v>1970</v>
      </c>
      <c r="D13" s="35" t="s">
        <v>1971</v>
      </c>
      <c r="E13" s="35" t="s">
        <v>1972</v>
      </c>
      <c r="F13" s="36">
        <v>8</v>
      </c>
      <c r="G13" s="36">
        <v>820</v>
      </c>
      <c r="H13" s="36">
        <v>30</v>
      </c>
      <c r="I13" s="36">
        <f t="shared" si="0"/>
        <v>790</v>
      </c>
      <c r="J13" s="35" t="s">
        <v>1915</v>
      </c>
      <c r="K13" s="35" t="s">
        <v>31</v>
      </c>
      <c r="L13" s="35" t="s">
        <v>1897</v>
      </c>
      <c r="M13" s="35"/>
      <c r="N13" s="35"/>
      <c r="O13" s="35"/>
      <c r="P13" s="35"/>
      <c r="Q13" s="35">
        <v>1</v>
      </c>
    </row>
    <row r="14" spans="1:18" x14ac:dyDescent="0.25">
      <c r="A14" s="35"/>
      <c r="B14" s="35" t="s">
        <v>26</v>
      </c>
      <c r="C14" s="35" t="s">
        <v>239</v>
      </c>
      <c r="D14" s="35" t="s">
        <v>1973</v>
      </c>
      <c r="E14" s="35" t="s">
        <v>241</v>
      </c>
      <c r="F14" s="36">
        <v>8</v>
      </c>
      <c r="G14" s="36">
        <v>520</v>
      </c>
      <c r="H14" s="36">
        <v>30</v>
      </c>
      <c r="I14" s="36">
        <f t="shared" si="0"/>
        <v>490</v>
      </c>
      <c r="J14" s="35" t="s">
        <v>1915</v>
      </c>
      <c r="K14" s="35" t="s">
        <v>31</v>
      </c>
      <c r="L14" s="35" t="s">
        <v>1897</v>
      </c>
      <c r="M14" s="35"/>
      <c r="N14" s="35"/>
      <c r="O14" s="35"/>
      <c r="P14" s="35"/>
      <c r="Q14" s="35">
        <v>1</v>
      </c>
    </row>
    <row r="15" spans="1:18" x14ac:dyDescent="0.25">
      <c r="A15" s="35"/>
      <c r="B15" s="35" t="s">
        <v>26</v>
      </c>
      <c r="C15" s="35" t="s">
        <v>1985</v>
      </c>
      <c r="D15" s="35" t="s">
        <v>1986</v>
      </c>
      <c r="E15" s="35" t="s">
        <v>1987</v>
      </c>
      <c r="F15" s="35" t="s">
        <v>77</v>
      </c>
      <c r="G15" s="36">
        <v>910</v>
      </c>
      <c r="H15" s="36">
        <v>30</v>
      </c>
      <c r="I15" s="36">
        <f t="shared" si="0"/>
        <v>880</v>
      </c>
      <c r="J15" s="35" t="s">
        <v>1915</v>
      </c>
      <c r="K15" s="35" t="s">
        <v>31</v>
      </c>
      <c r="L15" s="35" t="s">
        <v>1897</v>
      </c>
      <c r="M15" s="35"/>
      <c r="N15" s="35"/>
      <c r="O15" s="35"/>
      <c r="P15" s="35"/>
      <c r="Q15" s="35">
        <v>1</v>
      </c>
    </row>
    <row r="16" spans="1:18" x14ac:dyDescent="0.25">
      <c r="A16" s="35"/>
      <c r="B16" s="35" t="s">
        <v>26</v>
      </c>
      <c r="C16" s="35" t="s">
        <v>1988</v>
      </c>
      <c r="D16" s="35" t="s">
        <v>1989</v>
      </c>
      <c r="E16" s="35" t="s">
        <v>1990</v>
      </c>
      <c r="F16" s="36">
        <v>8</v>
      </c>
      <c r="G16" s="36">
        <v>0</v>
      </c>
      <c r="H16" s="36">
        <v>30</v>
      </c>
      <c r="I16" s="36">
        <f t="shared" si="0"/>
        <v>-30</v>
      </c>
      <c r="J16" s="35" t="s">
        <v>1915</v>
      </c>
      <c r="K16" s="35" t="s">
        <v>31</v>
      </c>
      <c r="L16" s="35" t="s">
        <v>1897</v>
      </c>
      <c r="M16" s="35"/>
      <c r="N16" s="35"/>
      <c r="O16" s="35"/>
      <c r="P16" s="35"/>
      <c r="Q16" s="35">
        <v>1</v>
      </c>
      <c r="R16" s="25">
        <f>H16</f>
        <v>30</v>
      </c>
    </row>
    <row r="17" spans="1:18" x14ac:dyDescent="0.25">
      <c r="A17" s="35"/>
      <c r="B17" s="35" t="s">
        <v>26</v>
      </c>
      <c r="C17" s="35" t="s">
        <v>1991</v>
      </c>
      <c r="D17" s="35" t="s">
        <v>1992</v>
      </c>
      <c r="E17" s="35" t="s">
        <v>1993</v>
      </c>
      <c r="F17" s="35" t="s">
        <v>117</v>
      </c>
      <c r="G17" s="36">
        <v>945</v>
      </c>
      <c r="H17" s="36">
        <v>35</v>
      </c>
      <c r="I17" s="36">
        <f t="shared" si="0"/>
        <v>910</v>
      </c>
      <c r="J17" s="35" t="s">
        <v>1915</v>
      </c>
      <c r="K17" s="35" t="s">
        <v>31</v>
      </c>
      <c r="L17" s="35" t="s">
        <v>1897</v>
      </c>
      <c r="M17" s="35"/>
      <c r="N17" s="35"/>
      <c r="O17" s="35"/>
      <c r="P17" s="35"/>
      <c r="Q17" s="35">
        <v>1</v>
      </c>
    </row>
    <row r="18" spans="1:18" x14ac:dyDescent="0.25">
      <c r="A18" s="35" t="s">
        <v>66</v>
      </c>
      <c r="B18" s="35" t="s">
        <v>26</v>
      </c>
      <c r="C18" s="35" t="s">
        <v>1895</v>
      </c>
      <c r="D18" s="35"/>
      <c r="E18" s="35" t="s">
        <v>1896</v>
      </c>
      <c r="F18" s="35" t="s">
        <v>36</v>
      </c>
      <c r="G18" s="36">
        <v>30</v>
      </c>
      <c r="H18" s="36">
        <v>30</v>
      </c>
      <c r="I18" s="36">
        <f t="shared" si="0"/>
        <v>0</v>
      </c>
      <c r="J18" s="35" t="s">
        <v>31</v>
      </c>
      <c r="K18" s="35" t="s">
        <v>31</v>
      </c>
      <c r="L18" s="35" t="s">
        <v>1897</v>
      </c>
      <c r="M18" s="35"/>
      <c r="N18" s="35"/>
      <c r="O18" s="35"/>
      <c r="P18" s="35"/>
      <c r="Q18" s="35">
        <v>1</v>
      </c>
    </row>
    <row r="19" spans="1:18" x14ac:dyDescent="0.25">
      <c r="A19" s="35" t="s">
        <v>66</v>
      </c>
      <c r="B19" s="35" t="s">
        <v>26</v>
      </c>
      <c r="C19" s="35" t="s">
        <v>1898</v>
      </c>
      <c r="D19" s="35"/>
      <c r="E19" s="35" t="s">
        <v>1899</v>
      </c>
      <c r="F19" s="36">
        <v>9</v>
      </c>
      <c r="G19" s="36">
        <v>35</v>
      </c>
      <c r="H19" s="36">
        <v>35</v>
      </c>
      <c r="I19" s="36">
        <f t="shared" si="0"/>
        <v>0</v>
      </c>
      <c r="J19" s="35" t="s">
        <v>31</v>
      </c>
      <c r="K19" s="35" t="s">
        <v>31</v>
      </c>
      <c r="L19" s="35" t="s">
        <v>1897</v>
      </c>
      <c r="M19" s="35"/>
      <c r="N19" s="35"/>
      <c r="O19" s="35"/>
      <c r="P19" s="35"/>
      <c r="Q19" s="35">
        <v>1</v>
      </c>
    </row>
    <row r="20" spans="1:18" x14ac:dyDescent="0.25">
      <c r="A20" s="35"/>
      <c r="B20" s="35" t="s">
        <v>26</v>
      </c>
      <c r="C20" s="35" t="s">
        <v>1900</v>
      </c>
      <c r="D20" s="35" t="s">
        <v>1901</v>
      </c>
      <c r="E20" s="35" t="s">
        <v>1902</v>
      </c>
      <c r="F20" s="36">
        <v>12</v>
      </c>
      <c r="G20" s="36">
        <v>0</v>
      </c>
      <c r="H20" s="36">
        <v>40</v>
      </c>
      <c r="I20" s="36">
        <f t="shared" si="0"/>
        <v>-40</v>
      </c>
      <c r="J20" s="35" t="s">
        <v>31</v>
      </c>
      <c r="K20" s="35" t="s">
        <v>31</v>
      </c>
      <c r="L20" s="35" t="s">
        <v>1897</v>
      </c>
      <c r="M20" s="35"/>
      <c r="N20" s="35"/>
      <c r="O20" s="35"/>
      <c r="P20" s="35"/>
      <c r="Q20" s="35">
        <v>1</v>
      </c>
      <c r="R20" s="25">
        <f>H20</f>
        <v>40</v>
      </c>
    </row>
    <row r="21" spans="1:18" x14ac:dyDescent="0.25">
      <c r="A21" s="35"/>
      <c r="B21" s="35" t="s">
        <v>26</v>
      </c>
      <c r="C21" s="35" t="s">
        <v>1903</v>
      </c>
      <c r="D21" s="35" t="s">
        <v>1904</v>
      </c>
      <c r="E21" s="35" t="s">
        <v>1905</v>
      </c>
      <c r="F21" s="36">
        <v>9</v>
      </c>
      <c r="G21" s="36">
        <v>30</v>
      </c>
      <c r="H21" s="36">
        <v>30</v>
      </c>
      <c r="I21" s="36">
        <f t="shared" si="0"/>
        <v>0</v>
      </c>
      <c r="J21" s="35" t="s">
        <v>31</v>
      </c>
      <c r="K21" s="35" t="s">
        <v>31</v>
      </c>
      <c r="L21" s="35" t="s">
        <v>1897</v>
      </c>
      <c r="M21" s="35"/>
      <c r="N21" s="35"/>
      <c r="O21" s="35"/>
      <c r="P21" s="35"/>
      <c r="Q21" s="35">
        <v>1</v>
      </c>
    </row>
    <row r="22" spans="1:18" x14ac:dyDescent="0.25">
      <c r="A22" s="35"/>
      <c r="B22" s="35" t="s">
        <v>26</v>
      </c>
      <c r="C22" s="35" t="s">
        <v>753</v>
      </c>
      <c r="D22" s="35" t="s">
        <v>1927</v>
      </c>
      <c r="E22" s="35" t="s">
        <v>755</v>
      </c>
      <c r="F22" s="35" t="s">
        <v>58</v>
      </c>
      <c r="G22" s="36">
        <v>880</v>
      </c>
      <c r="H22" s="36">
        <v>20</v>
      </c>
      <c r="I22" s="36">
        <f t="shared" si="0"/>
        <v>860</v>
      </c>
      <c r="J22" s="35" t="s">
        <v>31</v>
      </c>
      <c r="K22" s="35" t="s">
        <v>31</v>
      </c>
      <c r="L22" s="35" t="s">
        <v>1897</v>
      </c>
      <c r="M22" s="35"/>
      <c r="N22" s="35"/>
      <c r="O22" s="35"/>
      <c r="P22" s="35"/>
      <c r="Q22" s="35">
        <v>1</v>
      </c>
    </row>
    <row r="23" spans="1:18" x14ac:dyDescent="0.25">
      <c r="A23" s="35"/>
      <c r="B23" s="35" t="s">
        <v>26</v>
      </c>
      <c r="C23" s="35" t="s">
        <v>1947</v>
      </c>
      <c r="D23" s="35" t="s">
        <v>1948</v>
      </c>
      <c r="E23" s="35" t="s">
        <v>606</v>
      </c>
      <c r="F23" s="36">
        <v>12</v>
      </c>
      <c r="G23" s="36">
        <v>0</v>
      </c>
      <c r="H23" s="36">
        <v>30</v>
      </c>
      <c r="I23" s="36">
        <f t="shared" si="0"/>
        <v>-30</v>
      </c>
      <c r="J23" s="35" t="s">
        <v>31</v>
      </c>
      <c r="K23" s="35" t="s">
        <v>31</v>
      </c>
      <c r="L23" s="35" t="s">
        <v>1897</v>
      </c>
      <c r="M23" s="35"/>
      <c r="N23" s="35"/>
      <c r="O23" s="35"/>
      <c r="P23" s="35"/>
      <c r="Q23" s="35">
        <v>1</v>
      </c>
      <c r="R23" s="25">
        <f>H23</f>
        <v>30</v>
      </c>
    </row>
    <row r="24" spans="1:18" x14ac:dyDescent="0.25">
      <c r="A24" s="35"/>
      <c r="B24" s="35" t="s">
        <v>26</v>
      </c>
      <c r="C24" s="35" t="s">
        <v>1949</v>
      </c>
      <c r="D24" s="35" t="s">
        <v>1950</v>
      </c>
      <c r="E24" s="35" t="s">
        <v>1951</v>
      </c>
      <c r="F24" s="35" t="s">
        <v>58</v>
      </c>
      <c r="G24" s="36">
        <v>1610</v>
      </c>
      <c r="H24" s="36">
        <v>20</v>
      </c>
      <c r="I24" s="36">
        <f t="shared" si="0"/>
        <v>1590</v>
      </c>
      <c r="J24" s="35" t="s">
        <v>31</v>
      </c>
      <c r="K24" s="35" t="s">
        <v>31</v>
      </c>
      <c r="L24" s="35" t="s">
        <v>1897</v>
      </c>
      <c r="M24" s="35"/>
      <c r="N24" s="35"/>
      <c r="O24" s="35"/>
      <c r="P24" s="35"/>
      <c r="Q24" s="35">
        <v>1</v>
      </c>
    </row>
    <row r="25" spans="1:18" x14ac:dyDescent="0.25">
      <c r="A25" s="35"/>
      <c r="B25" s="35" t="s">
        <v>26</v>
      </c>
      <c r="C25" s="35" t="s">
        <v>1952</v>
      </c>
      <c r="D25" s="35" t="s">
        <v>1953</v>
      </c>
      <c r="E25" s="35" t="s">
        <v>1954</v>
      </c>
      <c r="F25" s="35" t="s">
        <v>58</v>
      </c>
      <c r="G25" s="36">
        <v>0</v>
      </c>
      <c r="H25" s="36">
        <v>20</v>
      </c>
      <c r="I25" s="36">
        <f t="shared" si="0"/>
        <v>-20</v>
      </c>
      <c r="J25" s="35" t="s">
        <v>31</v>
      </c>
      <c r="K25" s="35" t="s">
        <v>31</v>
      </c>
      <c r="L25" s="35" t="s">
        <v>1897</v>
      </c>
      <c r="M25" s="35"/>
      <c r="N25" s="35"/>
      <c r="O25" s="35"/>
      <c r="P25" s="35"/>
      <c r="Q25" s="35">
        <v>1</v>
      </c>
      <c r="R25" s="25">
        <f>H25</f>
        <v>20</v>
      </c>
    </row>
    <row r="26" spans="1:18" x14ac:dyDescent="0.25">
      <c r="A26" s="35"/>
      <c r="B26" s="35" t="s">
        <v>26</v>
      </c>
      <c r="C26" s="35" t="s">
        <v>1960</v>
      </c>
      <c r="D26" s="35" t="s">
        <v>1961</v>
      </c>
      <c r="E26" s="35" t="s">
        <v>1962</v>
      </c>
      <c r="F26" s="35" t="s">
        <v>101</v>
      </c>
      <c r="G26" s="36">
        <v>1105</v>
      </c>
      <c r="H26" s="36">
        <v>25</v>
      </c>
      <c r="I26" s="36">
        <f t="shared" si="0"/>
        <v>1080</v>
      </c>
      <c r="J26" s="35" t="s">
        <v>31</v>
      </c>
      <c r="K26" s="35" t="s">
        <v>31</v>
      </c>
      <c r="L26" s="35" t="s">
        <v>1897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1964</v>
      </c>
      <c r="D27" s="35" t="s">
        <v>1965</v>
      </c>
      <c r="E27" s="35" t="s">
        <v>1966</v>
      </c>
      <c r="F27" s="35" t="s">
        <v>58</v>
      </c>
      <c r="G27" s="36">
        <v>1890</v>
      </c>
      <c r="H27" s="36">
        <v>20</v>
      </c>
      <c r="I27" s="36">
        <f t="shared" si="0"/>
        <v>1870</v>
      </c>
      <c r="J27" s="35" t="s">
        <v>31</v>
      </c>
      <c r="K27" s="35" t="s">
        <v>31</v>
      </c>
      <c r="L27" s="35" t="s">
        <v>1897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1967</v>
      </c>
      <c r="D28" s="35" t="s">
        <v>1968</v>
      </c>
      <c r="E28" s="35" t="s">
        <v>1969</v>
      </c>
      <c r="F28" s="35" t="s">
        <v>101</v>
      </c>
      <c r="G28" s="36">
        <v>0</v>
      </c>
      <c r="H28" s="36">
        <v>25</v>
      </c>
      <c r="I28" s="36">
        <f t="shared" si="0"/>
        <v>-25</v>
      </c>
      <c r="J28" s="35" t="s">
        <v>31</v>
      </c>
      <c r="K28" s="35" t="s">
        <v>31</v>
      </c>
      <c r="L28" s="35" t="s">
        <v>1897</v>
      </c>
      <c r="M28" s="35"/>
      <c r="N28" s="35"/>
      <c r="O28" s="35"/>
      <c r="P28" s="35"/>
      <c r="Q28" s="35">
        <v>1</v>
      </c>
      <c r="R28" s="25">
        <f>H28</f>
        <v>25</v>
      </c>
    </row>
    <row r="29" spans="1:18" x14ac:dyDescent="0.25">
      <c r="A29" s="35"/>
      <c r="B29" s="35" t="s">
        <v>26</v>
      </c>
      <c r="C29" s="35" t="s">
        <v>1982</v>
      </c>
      <c r="D29" s="35" t="s">
        <v>1983</v>
      </c>
      <c r="E29" s="35" t="s">
        <v>1984</v>
      </c>
      <c r="F29" s="36">
        <v>9</v>
      </c>
      <c r="G29" s="36">
        <v>710</v>
      </c>
      <c r="H29" s="36">
        <v>30</v>
      </c>
      <c r="I29" s="36">
        <f t="shared" si="0"/>
        <v>680</v>
      </c>
      <c r="J29" s="35" t="s">
        <v>31</v>
      </c>
      <c r="K29" s="35" t="s">
        <v>31</v>
      </c>
      <c r="L29" s="35" t="s">
        <v>1897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1997</v>
      </c>
      <c r="D30" s="35" t="s">
        <v>1998</v>
      </c>
      <c r="E30" s="35" t="s">
        <v>1999</v>
      </c>
      <c r="F30" s="35" t="s">
        <v>58</v>
      </c>
      <c r="G30" s="36">
        <v>710</v>
      </c>
      <c r="H30" s="36">
        <v>20</v>
      </c>
      <c r="I30" s="36">
        <f t="shared" si="0"/>
        <v>690</v>
      </c>
      <c r="J30" s="35" t="s">
        <v>31</v>
      </c>
      <c r="K30" s="35" t="s">
        <v>31</v>
      </c>
      <c r="L30" s="35" t="s">
        <v>1897</v>
      </c>
      <c r="M30" s="35"/>
      <c r="N30" s="35"/>
      <c r="O30" s="35"/>
      <c r="P30" s="35"/>
      <c r="Q30" s="35">
        <v>1</v>
      </c>
    </row>
    <row r="31" spans="1:18" x14ac:dyDescent="0.25">
      <c r="A31" s="35" t="s">
        <v>66</v>
      </c>
      <c r="B31" s="35" t="s">
        <v>26</v>
      </c>
      <c r="C31" s="35" t="s">
        <v>109</v>
      </c>
      <c r="D31" s="35"/>
      <c r="E31" s="35" t="s">
        <v>110</v>
      </c>
      <c r="F31" s="36">
        <v>5</v>
      </c>
      <c r="G31" s="36">
        <v>0</v>
      </c>
      <c r="H31" s="36">
        <v>50</v>
      </c>
      <c r="I31" s="36">
        <f t="shared" si="0"/>
        <v>-50</v>
      </c>
      <c r="J31" s="35" t="s">
        <v>41</v>
      </c>
      <c r="K31" s="35" t="s">
        <v>31</v>
      </c>
      <c r="L31" s="35" t="s">
        <v>1897</v>
      </c>
      <c r="M31" s="35"/>
      <c r="N31" s="35"/>
      <c r="O31" s="35"/>
      <c r="P31" s="35"/>
      <c r="Q31" s="35">
        <v>1</v>
      </c>
      <c r="R31" s="25">
        <f>H31</f>
        <v>50</v>
      </c>
    </row>
    <row r="32" spans="1:18" x14ac:dyDescent="0.25">
      <c r="A32" s="35"/>
      <c r="B32" s="35" t="s">
        <v>26</v>
      </c>
      <c r="C32" s="35" t="s">
        <v>1906</v>
      </c>
      <c r="D32" s="35" t="s">
        <v>1907</v>
      </c>
      <c r="E32" s="35" t="s">
        <v>1908</v>
      </c>
      <c r="F32" s="36">
        <v>3</v>
      </c>
      <c r="G32" s="36">
        <v>595</v>
      </c>
      <c r="H32" s="36">
        <v>25</v>
      </c>
      <c r="I32" s="36">
        <f t="shared" si="0"/>
        <v>570</v>
      </c>
      <c r="J32" s="35" t="s">
        <v>41</v>
      </c>
      <c r="K32" s="35" t="s">
        <v>31</v>
      </c>
      <c r="L32" s="35" t="s">
        <v>1897</v>
      </c>
      <c r="M32" s="35"/>
      <c r="N32" s="35"/>
      <c r="O32" s="35"/>
      <c r="P32" s="35"/>
      <c r="Q32" s="35">
        <v>1</v>
      </c>
    </row>
    <row r="33" spans="1:18" x14ac:dyDescent="0.25">
      <c r="A33" s="35"/>
      <c r="B33" s="35" t="s">
        <v>26</v>
      </c>
      <c r="C33" s="35" t="s">
        <v>1909</v>
      </c>
      <c r="D33" s="35" t="s">
        <v>1910</v>
      </c>
      <c r="E33" s="35" t="s">
        <v>1911</v>
      </c>
      <c r="F33" s="36">
        <v>3</v>
      </c>
      <c r="G33" s="36">
        <v>1605</v>
      </c>
      <c r="H33" s="36">
        <v>25</v>
      </c>
      <c r="I33" s="36">
        <f t="shared" si="0"/>
        <v>1580</v>
      </c>
      <c r="J33" s="35" t="s">
        <v>41</v>
      </c>
      <c r="K33" s="35" t="s">
        <v>31</v>
      </c>
      <c r="L33" s="35" t="s">
        <v>1897</v>
      </c>
      <c r="M33" s="35"/>
      <c r="N33" s="35"/>
      <c r="O33" s="35"/>
      <c r="P33" s="35"/>
      <c r="Q33" s="35">
        <v>1</v>
      </c>
    </row>
    <row r="34" spans="1:18" x14ac:dyDescent="0.25">
      <c r="A34" s="35"/>
      <c r="B34" s="35" t="s">
        <v>26</v>
      </c>
      <c r="C34" s="35" t="s">
        <v>1924</v>
      </c>
      <c r="D34" s="35" t="s">
        <v>1925</v>
      </c>
      <c r="E34" s="35" t="s">
        <v>1926</v>
      </c>
      <c r="F34" s="36">
        <v>1</v>
      </c>
      <c r="G34" s="36">
        <v>815</v>
      </c>
      <c r="H34" s="36">
        <v>25</v>
      </c>
      <c r="I34" s="36">
        <f t="shared" si="0"/>
        <v>790</v>
      </c>
      <c r="J34" s="35" t="s">
        <v>41</v>
      </c>
      <c r="K34" s="35" t="s">
        <v>31</v>
      </c>
      <c r="L34" s="35" t="s">
        <v>1897</v>
      </c>
      <c r="M34" s="35"/>
      <c r="N34" s="35"/>
      <c r="O34" s="35"/>
      <c r="P34" s="35"/>
      <c r="Q34" s="35">
        <v>1</v>
      </c>
    </row>
    <row r="35" spans="1:18" x14ac:dyDescent="0.25">
      <c r="A35" s="35"/>
      <c r="B35" s="35" t="s">
        <v>26</v>
      </c>
      <c r="C35" s="35" t="s">
        <v>1928</v>
      </c>
      <c r="D35" s="35" t="s">
        <v>1929</v>
      </c>
      <c r="E35" s="35" t="s">
        <v>1930</v>
      </c>
      <c r="F35" s="35" t="s">
        <v>101</v>
      </c>
      <c r="G35" s="36">
        <v>645</v>
      </c>
      <c r="H35" s="36">
        <v>25</v>
      </c>
      <c r="I35" s="36">
        <f t="shared" si="0"/>
        <v>620</v>
      </c>
      <c r="J35" s="35" t="s">
        <v>41</v>
      </c>
      <c r="K35" s="35" t="s">
        <v>31</v>
      </c>
      <c r="L35" s="35" t="s">
        <v>1897</v>
      </c>
      <c r="M35" s="35"/>
      <c r="N35" s="35"/>
      <c r="O35" s="35"/>
      <c r="P35" s="35"/>
      <c r="Q35" s="35">
        <v>1</v>
      </c>
    </row>
    <row r="36" spans="1:18" x14ac:dyDescent="0.25">
      <c r="A36" s="35"/>
      <c r="B36" s="35" t="s">
        <v>26</v>
      </c>
      <c r="C36" s="35" t="s">
        <v>1938</v>
      </c>
      <c r="D36" s="35" t="s">
        <v>1939</v>
      </c>
      <c r="E36" s="35" t="s">
        <v>981</v>
      </c>
      <c r="F36" s="36">
        <v>1</v>
      </c>
      <c r="G36" s="36">
        <v>0</v>
      </c>
      <c r="H36" s="36">
        <v>40</v>
      </c>
      <c r="I36" s="36">
        <f t="shared" si="0"/>
        <v>-40</v>
      </c>
      <c r="J36" s="35" t="s">
        <v>41</v>
      </c>
      <c r="K36" s="35" t="s">
        <v>31</v>
      </c>
      <c r="L36" s="35" t="s">
        <v>1897</v>
      </c>
      <c r="M36" s="35" t="s">
        <v>1940</v>
      </c>
      <c r="N36" s="35"/>
      <c r="O36" s="35"/>
      <c r="P36" s="35"/>
      <c r="Q36" s="35">
        <v>1</v>
      </c>
      <c r="R36" s="25">
        <f>H36</f>
        <v>40</v>
      </c>
    </row>
    <row r="37" spans="1:18" x14ac:dyDescent="0.25">
      <c r="A37" s="35"/>
      <c r="B37" s="35" t="s">
        <v>26</v>
      </c>
      <c r="C37" s="35" t="s">
        <v>1955</v>
      </c>
      <c r="D37" s="35" t="s">
        <v>1956</v>
      </c>
      <c r="E37" s="35" t="s">
        <v>1957</v>
      </c>
      <c r="F37" s="35" t="s">
        <v>101</v>
      </c>
      <c r="G37" s="36">
        <v>1725</v>
      </c>
      <c r="H37" s="36">
        <v>25</v>
      </c>
      <c r="I37" s="36">
        <f t="shared" si="0"/>
        <v>1700</v>
      </c>
      <c r="J37" s="35" t="s">
        <v>41</v>
      </c>
      <c r="K37" s="35" t="s">
        <v>31</v>
      </c>
      <c r="L37" s="35" t="s">
        <v>1897</v>
      </c>
      <c r="M37" s="35"/>
      <c r="N37" s="35"/>
      <c r="O37" s="35"/>
      <c r="P37" s="35"/>
      <c r="Q37" s="35">
        <v>1</v>
      </c>
    </row>
    <row r="38" spans="1:18" x14ac:dyDescent="0.25">
      <c r="A38" s="35"/>
      <c r="B38" s="35" t="s">
        <v>26</v>
      </c>
      <c r="C38" s="35" t="s">
        <v>1958</v>
      </c>
      <c r="D38" s="35" t="s">
        <v>1959</v>
      </c>
      <c r="E38" s="35" t="s">
        <v>1709</v>
      </c>
      <c r="F38" s="36">
        <v>1</v>
      </c>
      <c r="G38" s="36">
        <v>0</v>
      </c>
      <c r="H38" s="36">
        <v>25</v>
      </c>
      <c r="I38" s="36">
        <f t="shared" si="0"/>
        <v>-25</v>
      </c>
      <c r="J38" s="35" t="s">
        <v>41</v>
      </c>
      <c r="K38" s="35" t="s">
        <v>31</v>
      </c>
      <c r="L38" s="35" t="s">
        <v>1897</v>
      </c>
      <c r="M38" s="35"/>
      <c r="N38" s="35"/>
      <c r="O38" s="35"/>
      <c r="P38" s="35"/>
      <c r="Q38" s="35">
        <v>1</v>
      </c>
      <c r="R38" s="25">
        <f>H38</f>
        <v>25</v>
      </c>
    </row>
    <row r="39" spans="1:18" x14ac:dyDescent="0.25">
      <c r="A39" s="35"/>
      <c r="B39" s="35" t="s">
        <v>26</v>
      </c>
      <c r="C39" s="35" t="s">
        <v>1974</v>
      </c>
      <c r="D39" s="35" t="s">
        <v>1975</v>
      </c>
      <c r="E39" s="35" t="s">
        <v>1976</v>
      </c>
      <c r="F39" s="35" t="s">
        <v>155</v>
      </c>
      <c r="G39" s="36">
        <v>600</v>
      </c>
      <c r="H39" s="36">
        <v>20</v>
      </c>
      <c r="I39" s="36">
        <f t="shared" si="0"/>
        <v>580</v>
      </c>
      <c r="J39" s="35" t="s">
        <v>41</v>
      </c>
      <c r="K39" s="35" t="s">
        <v>31</v>
      </c>
      <c r="L39" s="35" t="s">
        <v>1897</v>
      </c>
      <c r="M39" s="35"/>
      <c r="N39" s="35"/>
      <c r="O39" s="35"/>
      <c r="P39" s="35"/>
      <c r="Q39" s="35">
        <v>1</v>
      </c>
    </row>
    <row r="40" spans="1:18" s="41" customFormat="1" x14ac:dyDescent="0.25">
      <c r="A40" s="39"/>
      <c r="B40" s="39" t="s">
        <v>26</v>
      </c>
      <c r="C40" s="39" t="s">
        <v>1632</v>
      </c>
      <c r="D40" s="39" t="s">
        <v>1977</v>
      </c>
      <c r="E40" s="39" t="s">
        <v>1978</v>
      </c>
      <c r="F40" s="40">
        <v>11</v>
      </c>
      <c r="G40" s="40">
        <v>0</v>
      </c>
      <c r="H40" s="40">
        <v>25</v>
      </c>
      <c r="I40" s="40">
        <f t="shared" si="0"/>
        <v>-25</v>
      </c>
      <c r="J40" s="39" t="s">
        <v>41</v>
      </c>
      <c r="K40" s="39" t="s">
        <v>31</v>
      </c>
      <c r="L40" s="39" t="s">
        <v>1897</v>
      </c>
      <c r="M40" s="39" t="s">
        <v>37</v>
      </c>
      <c r="N40" s="39"/>
      <c r="O40" s="39"/>
      <c r="P40" s="39"/>
      <c r="Q40" s="39">
        <v>1</v>
      </c>
      <c r="R40" s="42">
        <f>H40</f>
        <v>25</v>
      </c>
    </row>
    <row r="41" spans="1:18" x14ac:dyDescent="0.25">
      <c r="A41" s="35"/>
      <c r="B41" s="35" t="s">
        <v>26</v>
      </c>
      <c r="C41" s="35" t="s">
        <v>1979</v>
      </c>
      <c r="D41" s="35" t="s">
        <v>1980</v>
      </c>
      <c r="E41" s="35" t="s">
        <v>1981</v>
      </c>
      <c r="F41" s="36">
        <v>10</v>
      </c>
      <c r="G41" s="36">
        <v>815</v>
      </c>
      <c r="H41" s="36">
        <v>25</v>
      </c>
      <c r="I41" s="36">
        <f t="shared" si="0"/>
        <v>790</v>
      </c>
      <c r="J41" s="35" t="s">
        <v>41</v>
      </c>
      <c r="K41" s="35" t="s">
        <v>31</v>
      </c>
      <c r="L41" s="35" t="s">
        <v>1897</v>
      </c>
      <c r="M41" s="35"/>
      <c r="N41" s="35"/>
      <c r="O41" s="35"/>
      <c r="P41" s="35"/>
      <c r="Q41" s="35">
        <v>1</v>
      </c>
    </row>
    <row r="42" spans="1:18" x14ac:dyDescent="0.25">
      <c r="A42" s="35"/>
      <c r="B42" s="35" t="s">
        <v>26</v>
      </c>
      <c r="C42" s="35" t="s">
        <v>1994</v>
      </c>
      <c r="D42" s="35" t="s">
        <v>1995</v>
      </c>
      <c r="E42" s="35" t="s">
        <v>1996</v>
      </c>
      <c r="F42" s="36">
        <v>4</v>
      </c>
      <c r="G42" s="36">
        <v>845</v>
      </c>
      <c r="H42" s="36">
        <v>25</v>
      </c>
      <c r="I42" s="36">
        <f t="shared" si="0"/>
        <v>820</v>
      </c>
      <c r="J42" s="35" t="s">
        <v>41</v>
      </c>
      <c r="K42" s="35" t="s">
        <v>31</v>
      </c>
      <c r="L42" s="35" t="s">
        <v>1897</v>
      </c>
      <c r="M42" s="35"/>
      <c r="N42" s="35"/>
      <c r="O42" s="35"/>
      <c r="P42" s="35"/>
      <c r="Q42" s="35">
        <v>1</v>
      </c>
    </row>
    <row r="44" spans="1:18" x14ac:dyDescent="0.25">
      <c r="D44" s="26">
        <f>COUNTA(D3:D42)</f>
        <v>37</v>
      </c>
      <c r="G44" s="26">
        <f t="shared" ref="G44:Q44" si="2">SUBTOTAL(9,G3:G42)</f>
        <v>22690</v>
      </c>
      <c r="H44" s="26">
        <f t="shared" si="2"/>
        <v>1145</v>
      </c>
      <c r="I44" s="26">
        <f t="shared" si="2"/>
        <v>21545</v>
      </c>
      <c r="J44" s="26">
        <f t="shared" si="2"/>
        <v>0</v>
      </c>
      <c r="K44" s="26">
        <f t="shared" si="2"/>
        <v>0</v>
      </c>
      <c r="L44" s="26">
        <f t="shared" si="2"/>
        <v>0</v>
      </c>
      <c r="M44" s="26">
        <f t="shared" si="2"/>
        <v>0</v>
      </c>
      <c r="N44" s="26">
        <f t="shared" si="2"/>
        <v>0</v>
      </c>
      <c r="O44" s="26">
        <f t="shared" si="2"/>
        <v>0</v>
      </c>
      <c r="P44" s="26">
        <f t="shared" si="2"/>
        <v>0</v>
      </c>
      <c r="Q44" s="26">
        <f t="shared" si="2"/>
        <v>40</v>
      </c>
    </row>
    <row r="45" spans="1:18" x14ac:dyDescent="0.25">
      <c r="H45" s="24">
        <f>-6*17</f>
        <v>-102</v>
      </c>
    </row>
    <row r="46" spans="1:18" x14ac:dyDescent="0.25">
      <c r="A46" s="26" t="s">
        <v>26</v>
      </c>
      <c r="C46" s="80" t="s">
        <v>78</v>
      </c>
      <c r="D46" s="80"/>
      <c r="E46" s="27" t="s">
        <v>79</v>
      </c>
      <c r="H46" s="24">
        <f>-5*25</f>
        <v>-125</v>
      </c>
      <c r="K46" s="28" t="s">
        <v>31</v>
      </c>
      <c r="L46" s="28" t="s">
        <v>80</v>
      </c>
      <c r="M46" s="28" t="s">
        <v>79</v>
      </c>
      <c r="O46" s="27" t="s">
        <v>81</v>
      </c>
    </row>
    <row r="47" spans="1:18" x14ac:dyDescent="0.25">
      <c r="A47" s="24" t="s">
        <v>1897</v>
      </c>
      <c r="B47" s="29" t="s">
        <v>82</v>
      </c>
      <c r="C47" s="81">
        <f>SUMIFS(I$3:I$42,B$3:B$42,A$46,L$3:L$42,A$47)</f>
        <v>21545</v>
      </c>
      <c r="D47" s="81"/>
      <c r="E47" s="29">
        <f>SUMIFS(Q$3:Q$42,B$3:B$42,A$46,L$3:L$42,A$47)</f>
        <v>40</v>
      </c>
      <c r="F47" s="24" t="s">
        <v>83</v>
      </c>
      <c r="H47" s="24">
        <f>-4*30</f>
        <v>-120</v>
      </c>
      <c r="K47" s="24" t="s">
        <v>84</v>
      </c>
      <c r="L47" s="24">
        <f>SUMIFS(G$3:G$42,J$3:J$42,K$46)</f>
        <v>7000</v>
      </c>
      <c r="M47" s="24">
        <f>SUMIFS(Q$3:Q$42,J$3:J$42,K$46)-INT(COUNTIFS(J$3:J$42,K$46,M$3:M$42,"*gộp*")/2)</f>
        <v>13</v>
      </c>
      <c r="O47" s="24" t="s">
        <v>31</v>
      </c>
      <c r="P47" s="24">
        <f>L52</f>
        <v>6640</v>
      </c>
    </row>
    <row r="48" spans="1:18" x14ac:dyDescent="0.25">
      <c r="B48" s="30" t="s">
        <v>86</v>
      </c>
      <c r="C48" s="82">
        <v>0</v>
      </c>
      <c r="D48" s="82"/>
      <c r="K48" s="24" t="s">
        <v>87</v>
      </c>
      <c r="L48" s="24">
        <f>-SUMIFS(H$3:H$42,J$3:J$42,K$46)+M48*5</f>
        <v>-280</v>
      </c>
      <c r="M48" s="24">
        <f>SUMIFS(Q$3:Q$42,J$3:J$42,K$46)-INT(COUNTIFS(J$3:J$42,K$46,M$3:M$42,"*gộp*")/2)</f>
        <v>13</v>
      </c>
      <c r="O48" s="24" t="s">
        <v>41</v>
      </c>
      <c r="P48" s="24">
        <f>L60</f>
        <v>7370</v>
      </c>
    </row>
    <row r="49" spans="2:16" x14ac:dyDescent="0.25">
      <c r="B49" s="30" t="s">
        <v>88</v>
      </c>
      <c r="C49" s="82">
        <f>-SUMIFS(I$3:I$42,B$3:B$42,A$46,P$3:P$42,"xx",N$3:N$42,"x")</f>
        <v>0</v>
      </c>
      <c r="D49" s="82"/>
      <c r="E49" s="30">
        <f>SUMIFS(Q$3:Q$42,B$3:B$42,A$46,P$3:P$42,"xx",N$3:N$42,"x")</f>
        <v>0</v>
      </c>
      <c r="K49" s="24" t="s">
        <v>89</v>
      </c>
      <c r="L49" s="24">
        <f>-M49*2</f>
        <v>-80</v>
      </c>
      <c r="M49" s="24">
        <f>COUNTIFS(K$3:K$42,K$46,L$3:L$42,A$47)-(COUNTIFS(K$3:K$42,K$46,M$3:M$42,"*gộp*")/2)-COUNTIFS(K$3:K$42,K$46,M$3:M$42,"*đơn trả*")-COUNTIFS(K$3:K$42,K$46,M$3:M$42,"*hàng tỉnh*")</f>
        <v>40</v>
      </c>
      <c r="O49" s="24" t="s">
        <v>2000</v>
      </c>
      <c r="P49" s="24">
        <f>L68</f>
        <v>7698</v>
      </c>
    </row>
    <row r="50" spans="2:16" x14ac:dyDescent="0.25">
      <c r="B50" s="27" t="s">
        <v>90</v>
      </c>
      <c r="C50" s="80">
        <f>SUBTOTAL(9,C47:C49)</f>
        <v>21545</v>
      </c>
      <c r="D50" s="80"/>
      <c r="E50" s="24">
        <f>E47</f>
        <v>40</v>
      </c>
      <c r="K50" s="31" t="s">
        <v>91</v>
      </c>
      <c r="O50" s="24" t="s">
        <v>92</v>
      </c>
      <c r="P50" s="24">
        <f>-C54</f>
        <v>-21545</v>
      </c>
    </row>
    <row r="51" spans="2:16" x14ac:dyDescent="0.25">
      <c r="B51" s="30" t="s">
        <v>93</v>
      </c>
      <c r="C51" s="78"/>
      <c r="D51" s="78"/>
      <c r="K51" s="30" t="s">
        <v>94</v>
      </c>
      <c r="O51" s="27" t="s">
        <v>95</v>
      </c>
      <c r="P51" s="27">
        <f>SUBTOTAL(9,P47:P50)</f>
        <v>163</v>
      </c>
    </row>
    <row r="52" spans="2:16" x14ac:dyDescent="0.25">
      <c r="B52" s="32" t="s">
        <v>96</v>
      </c>
      <c r="C52" s="78"/>
      <c r="D52" s="78"/>
      <c r="L52" s="33">
        <f>SUBTOTAL(9,L47:L51)</f>
        <v>6640</v>
      </c>
      <c r="M52" s="33">
        <f>M47</f>
        <v>13</v>
      </c>
    </row>
    <row r="54" spans="2:16" x14ac:dyDescent="0.25">
      <c r="B54" s="26" t="s">
        <v>97</v>
      </c>
      <c r="C54" s="79">
        <f>C50+C51+C52</f>
        <v>21545</v>
      </c>
      <c r="D54" s="79"/>
      <c r="E54" s="26" t="s">
        <v>98</v>
      </c>
      <c r="K54" s="28" t="s">
        <v>41</v>
      </c>
      <c r="L54" s="28" t="s">
        <v>80</v>
      </c>
      <c r="M54" s="28" t="s">
        <v>79</v>
      </c>
    </row>
    <row r="55" spans="2:16" x14ac:dyDescent="0.25">
      <c r="K55" s="24" t="s">
        <v>84</v>
      </c>
      <c r="L55" s="24">
        <f>SUMIFS(G$3:G$42,J$3:J$42,K$54)</f>
        <v>7645</v>
      </c>
      <c r="M55" s="24">
        <f>SUMIFS(Q$3:Q$42,J$3:J$42,K$54)-INT(COUNTIFS(J$3:J$42,K$54,M$3:M$42,"*gộp*")/2)</f>
        <v>12</v>
      </c>
    </row>
    <row r="56" spans="2:16" x14ac:dyDescent="0.25">
      <c r="K56" s="24" t="s">
        <v>87</v>
      </c>
      <c r="L56" s="24">
        <f>-SUMIFS(H$3:H$42,J$3:J$42,K$54)+M56*5</f>
        <v>-275</v>
      </c>
      <c r="M56" s="24">
        <f>SUMIFS(Q$3:Q$42,J$3:J$42,K$54)-INT(COUNTIFS(J$3:J$42,K$54,M$3:M$42,"*gộp*")/2)</f>
        <v>12</v>
      </c>
    </row>
    <row r="57" spans="2:16" x14ac:dyDescent="0.25">
      <c r="K57" s="24" t="s">
        <v>89</v>
      </c>
      <c r="L57" s="24">
        <f>-M57*2</f>
        <v>0</v>
      </c>
      <c r="M57" s="24">
        <f>COUNTIFS(K$3:K$42,K$54,L$3:L$42,A$47)-(COUNTIFS(K$3:K$42,K$54,M$3:M$42,"*gộp*")/2)-COUNTIFS(K$3:K$42,K$54,M$3:M$42,"*đơn trả*")-COUNTIFS(K$3:K$42,K$54,M$3:M$42,"*hàng tỉnh*")</f>
        <v>0</v>
      </c>
    </row>
    <row r="58" spans="2:16" x14ac:dyDescent="0.25">
      <c r="K58" s="31" t="s">
        <v>91</v>
      </c>
    </row>
    <row r="59" spans="2:16" x14ac:dyDescent="0.25">
      <c r="K59" s="30" t="s">
        <v>94</v>
      </c>
    </row>
    <row r="60" spans="2:16" x14ac:dyDescent="0.25">
      <c r="L60" s="33">
        <f>SUBTOTAL(9,L55:L59)</f>
        <v>7370</v>
      </c>
      <c r="M60" s="33">
        <f>M55</f>
        <v>12</v>
      </c>
    </row>
    <row r="62" spans="2:16" x14ac:dyDescent="0.25">
      <c r="K62" s="28" t="s">
        <v>1915</v>
      </c>
      <c r="L62" s="28" t="s">
        <v>80</v>
      </c>
      <c r="M62" s="28" t="s">
        <v>79</v>
      </c>
    </row>
    <row r="63" spans="2:16" x14ac:dyDescent="0.25">
      <c r="K63" s="24" t="s">
        <v>84</v>
      </c>
      <c r="L63" s="24">
        <f>SUMIFS(G$3:G$42,J$3:J$42,K$62)</f>
        <v>8045</v>
      </c>
      <c r="M63" s="24">
        <f>SUMIFS(Q$3:Q$42,J$3:J$42,K$62)-INT(COUNTIFS(J$3:J$42,K$62,M$3:M$42,"*gộp*")/2)</f>
        <v>15</v>
      </c>
    </row>
    <row r="64" spans="2:16" x14ac:dyDescent="0.25">
      <c r="K64" s="24" t="s">
        <v>87</v>
      </c>
      <c r="L64" s="24">
        <f>SUM(H45:H47)</f>
        <v>-347</v>
      </c>
      <c r="M64" s="24">
        <f>SUMIFS(Q$3:Q$42,J$3:J$42,K$62)-INT(COUNTIFS(J$3:J$42,K$62,M$3:M$42,"*gộp*")/2)</f>
        <v>15</v>
      </c>
    </row>
    <row r="65" spans="11:13" x14ac:dyDescent="0.25">
      <c r="K65" s="24" t="s">
        <v>89</v>
      </c>
      <c r="L65" s="24">
        <f>-M65*2</f>
        <v>0</v>
      </c>
      <c r="M65" s="24">
        <f>COUNTIFS(K$3:K$42,K$62,L$3:L$42,A$47)-(COUNTIFS(K$3:K$42,K$62,M$3:M$42,"*gộp*")/2)-COUNTIFS(K$3:K$42,K$62,M$3:M$42,"*đơn trả*")-COUNTIFS(K$3:K$42,K$62,M$3:M$42,"*hàng tỉnh*")</f>
        <v>0</v>
      </c>
    </row>
    <row r="66" spans="11:13" x14ac:dyDescent="0.25">
      <c r="K66" s="31" t="s">
        <v>91</v>
      </c>
    </row>
    <row r="67" spans="11:13" x14ac:dyDescent="0.25">
      <c r="K67" s="30" t="s">
        <v>94</v>
      </c>
    </row>
    <row r="68" spans="11:13" x14ac:dyDescent="0.25">
      <c r="L68" s="33">
        <f>SUBTOTAL(9,L63:L67)</f>
        <v>7698</v>
      </c>
      <c r="M68" s="33">
        <f>M63</f>
        <v>15</v>
      </c>
    </row>
  </sheetData>
  <autoFilter ref="A2:P42" xr:uid="{00000000-0009-0000-0000-000000000000}">
    <sortState xmlns:xlrd2="http://schemas.microsoft.com/office/spreadsheetml/2017/richdata2" ref="A3:P42">
      <sortCondition ref="J2:J42"/>
    </sortState>
  </autoFilter>
  <mergeCells count="8">
    <mergeCell ref="C52:D52"/>
    <mergeCell ref="C54:D54"/>
    <mergeCell ref="C46:D46"/>
    <mergeCell ref="C47:D47"/>
    <mergeCell ref="C48:D48"/>
    <mergeCell ref="C49:D49"/>
    <mergeCell ref="C50:D50"/>
    <mergeCell ref="C51:D51"/>
  </mergeCells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6DE1-F076-4042-876B-69EF5F111F45}">
  <dimension ref="A1:R64"/>
  <sheetViews>
    <sheetView topLeftCell="A15" workbookViewId="0">
      <selection activeCell="A37" sqref="A37:XFD37"/>
    </sheetView>
  </sheetViews>
  <sheetFormatPr defaultRowHeight="15" x14ac:dyDescent="0.25"/>
  <cols>
    <col min="1" max="1" width="12.7109375" style="24" customWidth="1"/>
    <col min="2" max="2" width="8.5703125" style="24" customWidth="1"/>
    <col min="3" max="3" width="39.28515625" style="24" customWidth="1"/>
    <col min="4" max="4" width="9.85546875" style="24" customWidth="1"/>
    <col min="5" max="5" width="56.85546875" style="24" customWidth="1"/>
    <col min="6" max="6" width="10.71093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0.42578125" style="24" customWidth="1"/>
    <col min="13" max="13" width="15.140625" style="24" customWidth="1"/>
    <col min="14" max="14" width="9.7109375" style="24" customWidth="1"/>
    <col min="15" max="15" width="10.42578125" style="24" customWidth="1"/>
    <col min="16" max="16" width="7" style="24" bestFit="1" customWidth="1"/>
    <col min="17" max="16384" width="9.140625" style="24"/>
  </cols>
  <sheetData>
    <row r="1" spans="1:18" customFormat="1" x14ac:dyDescent="0.25">
      <c r="B1" s="4" t="s">
        <v>1169</v>
      </c>
      <c r="C1" s="4" t="s">
        <v>2094</v>
      </c>
      <c r="F1" s="65"/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/>
      <c r="B3" s="35" t="s">
        <v>26</v>
      </c>
      <c r="C3" s="35" t="s">
        <v>2002</v>
      </c>
      <c r="D3" s="35" t="s">
        <v>2003</v>
      </c>
      <c r="E3" s="35" t="s">
        <v>2004</v>
      </c>
      <c r="F3" s="36">
        <v>8</v>
      </c>
      <c r="G3" s="36">
        <v>3010</v>
      </c>
      <c r="H3" s="36">
        <v>40</v>
      </c>
      <c r="I3" s="36">
        <f t="shared" ref="I3:I38" si="0">G3-H3</f>
        <v>2970</v>
      </c>
      <c r="J3" s="35" t="s">
        <v>2005</v>
      </c>
      <c r="K3" s="35" t="s">
        <v>31</v>
      </c>
      <c r="L3" s="35" t="s">
        <v>2006</v>
      </c>
      <c r="M3" s="38" t="s">
        <v>59</v>
      </c>
      <c r="N3" s="35"/>
      <c r="O3" s="35"/>
      <c r="P3" s="35"/>
      <c r="Q3" s="35">
        <v>1</v>
      </c>
      <c r="R3" s="25">
        <f>H3</f>
        <v>40</v>
      </c>
    </row>
    <row r="4" spans="1:18" x14ac:dyDescent="0.25">
      <c r="A4" s="35"/>
      <c r="B4" s="35" t="s">
        <v>26</v>
      </c>
      <c r="C4" s="35" t="s">
        <v>2007</v>
      </c>
      <c r="D4" s="35" t="s">
        <v>2008</v>
      </c>
      <c r="E4" s="35" t="s">
        <v>2009</v>
      </c>
      <c r="F4" s="36">
        <v>7</v>
      </c>
      <c r="G4" s="36">
        <v>320</v>
      </c>
      <c r="H4" s="36">
        <v>30</v>
      </c>
      <c r="I4" s="36">
        <f t="shared" si="0"/>
        <v>290</v>
      </c>
      <c r="J4" s="35" t="s">
        <v>2005</v>
      </c>
      <c r="K4" s="35" t="s">
        <v>31</v>
      </c>
      <c r="L4" s="35" t="s">
        <v>2006</v>
      </c>
      <c r="M4" s="35"/>
      <c r="N4" s="35"/>
      <c r="O4" s="35"/>
      <c r="P4" s="35"/>
      <c r="Q4" s="35">
        <v>1</v>
      </c>
    </row>
    <row r="5" spans="1:18" x14ac:dyDescent="0.25">
      <c r="A5" s="35"/>
      <c r="B5" s="35" t="s">
        <v>26</v>
      </c>
      <c r="C5" s="35" t="s">
        <v>2021</v>
      </c>
      <c r="D5" s="35" t="s">
        <v>2022</v>
      </c>
      <c r="E5" s="35" t="s">
        <v>2023</v>
      </c>
      <c r="F5" s="36">
        <v>7</v>
      </c>
      <c r="G5" s="36">
        <v>490</v>
      </c>
      <c r="H5" s="36">
        <v>30</v>
      </c>
      <c r="I5" s="36">
        <f t="shared" si="0"/>
        <v>460</v>
      </c>
      <c r="J5" s="35" t="s">
        <v>2005</v>
      </c>
      <c r="K5" s="35" t="s">
        <v>31</v>
      </c>
      <c r="L5" s="35" t="s">
        <v>2006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2027</v>
      </c>
      <c r="D6" s="35" t="s">
        <v>2028</v>
      </c>
      <c r="E6" s="35" t="s">
        <v>2029</v>
      </c>
      <c r="F6" s="35" t="s">
        <v>77</v>
      </c>
      <c r="G6" s="36">
        <v>1390</v>
      </c>
      <c r="H6" s="36">
        <v>30</v>
      </c>
      <c r="I6" s="36">
        <f t="shared" si="0"/>
        <v>1360</v>
      </c>
      <c r="J6" s="35" t="s">
        <v>2005</v>
      </c>
      <c r="K6" s="35" t="s">
        <v>31</v>
      </c>
      <c r="L6" s="35" t="s">
        <v>2006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2030</v>
      </c>
      <c r="D7" s="35" t="s">
        <v>2031</v>
      </c>
      <c r="E7" s="35" t="s">
        <v>2032</v>
      </c>
      <c r="F7" s="35" t="s">
        <v>45</v>
      </c>
      <c r="G7" s="36">
        <v>1385</v>
      </c>
      <c r="H7" s="36">
        <v>25</v>
      </c>
      <c r="I7" s="36">
        <f t="shared" si="0"/>
        <v>1360</v>
      </c>
      <c r="J7" s="35" t="s">
        <v>2005</v>
      </c>
      <c r="K7" s="35" t="s">
        <v>31</v>
      </c>
      <c r="L7" s="35" t="s">
        <v>2006</v>
      </c>
      <c r="M7" s="35"/>
      <c r="N7" s="35"/>
      <c r="O7" s="35"/>
      <c r="P7" s="35"/>
      <c r="Q7" s="35">
        <v>1</v>
      </c>
    </row>
    <row r="8" spans="1:18" x14ac:dyDescent="0.25">
      <c r="A8" s="35"/>
      <c r="B8" s="35" t="s">
        <v>26</v>
      </c>
      <c r="C8" s="35" t="s">
        <v>2033</v>
      </c>
      <c r="D8" s="35" t="s">
        <v>2034</v>
      </c>
      <c r="E8" s="35" t="s">
        <v>2035</v>
      </c>
      <c r="F8" s="36">
        <v>8</v>
      </c>
      <c r="G8" s="36">
        <v>850</v>
      </c>
      <c r="H8" s="36">
        <v>30</v>
      </c>
      <c r="I8" s="36">
        <f t="shared" si="0"/>
        <v>820</v>
      </c>
      <c r="J8" s="35" t="s">
        <v>2005</v>
      </c>
      <c r="K8" s="35" t="s">
        <v>31</v>
      </c>
      <c r="L8" s="35" t="s">
        <v>2006</v>
      </c>
      <c r="M8" s="35"/>
      <c r="N8" s="35"/>
      <c r="O8" s="35"/>
      <c r="P8" s="35"/>
      <c r="Q8" s="35">
        <v>1</v>
      </c>
    </row>
    <row r="9" spans="1:18" x14ac:dyDescent="0.25">
      <c r="A9" s="35"/>
      <c r="B9" s="35" t="s">
        <v>26</v>
      </c>
      <c r="C9" s="35" t="s">
        <v>2038</v>
      </c>
      <c r="D9" s="35" t="s">
        <v>2039</v>
      </c>
      <c r="E9" s="35" t="s">
        <v>2040</v>
      </c>
      <c r="F9" s="35" t="s">
        <v>121</v>
      </c>
      <c r="G9" s="36">
        <v>725</v>
      </c>
      <c r="H9" s="36">
        <v>35</v>
      </c>
      <c r="I9" s="36">
        <f t="shared" si="0"/>
        <v>690</v>
      </c>
      <c r="J9" s="35" t="s">
        <v>2005</v>
      </c>
      <c r="K9" s="35" t="s">
        <v>31</v>
      </c>
      <c r="L9" s="35" t="s">
        <v>2006</v>
      </c>
      <c r="M9" s="35"/>
      <c r="N9" s="35"/>
      <c r="O9" s="35"/>
      <c r="P9" s="35"/>
      <c r="Q9" s="35">
        <v>1</v>
      </c>
    </row>
    <row r="10" spans="1:18" x14ac:dyDescent="0.25">
      <c r="A10" s="35"/>
      <c r="B10" s="35" t="s">
        <v>26</v>
      </c>
      <c r="C10" s="35" t="s">
        <v>2041</v>
      </c>
      <c r="D10" s="35" t="s">
        <v>2042</v>
      </c>
      <c r="E10" s="35" t="s">
        <v>2043</v>
      </c>
      <c r="F10" s="35" t="s">
        <v>45</v>
      </c>
      <c r="G10" s="36">
        <v>855</v>
      </c>
      <c r="H10" s="36">
        <v>25</v>
      </c>
      <c r="I10" s="36">
        <f t="shared" si="0"/>
        <v>830</v>
      </c>
      <c r="J10" s="35" t="s">
        <v>2005</v>
      </c>
      <c r="K10" s="35" t="s">
        <v>31</v>
      </c>
      <c r="L10" s="35" t="s">
        <v>2006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2047</v>
      </c>
      <c r="D11" s="35" t="s">
        <v>2048</v>
      </c>
      <c r="E11" s="35" t="s">
        <v>2049</v>
      </c>
      <c r="F11" s="36">
        <v>8</v>
      </c>
      <c r="G11" s="36">
        <v>1110</v>
      </c>
      <c r="H11" s="36">
        <v>30</v>
      </c>
      <c r="I11" s="36">
        <f t="shared" si="0"/>
        <v>1080</v>
      </c>
      <c r="J11" s="35" t="s">
        <v>2005</v>
      </c>
      <c r="K11" s="35" t="s">
        <v>31</v>
      </c>
      <c r="L11" s="35" t="s">
        <v>2006</v>
      </c>
      <c r="M11" s="35"/>
      <c r="N11" s="35"/>
      <c r="O11" s="35"/>
      <c r="P11" s="35"/>
      <c r="Q11" s="35">
        <v>1</v>
      </c>
    </row>
    <row r="12" spans="1:18" x14ac:dyDescent="0.25">
      <c r="A12" s="35"/>
      <c r="B12" s="35" t="s">
        <v>26</v>
      </c>
      <c r="C12" s="35" t="s">
        <v>2065</v>
      </c>
      <c r="D12" s="35" t="s">
        <v>2066</v>
      </c>
      <c r="E12" s="35" t="s">
        <v>2067</v>
      </c>
      <c r="F12" s="35" t="s">
        <v>132</v>
      </c>
      <c r="G12" s="36">
        <v>35</v>
      </c>
      <c r="H12" s="36">
        <v>35</v>
      </c>
      <c r="I12" s="36">
        <f t="shared" si="0"/>
        <v>0</v>
      </c>
      <c r="J12" s="35" t="s">
        <v>2005</v>
      </c>
      <c r="K12" s="35" t="s">
        <v>31</v>
      </c>
      <c r="L12" s="35" t="s">
        <v>2006</v>
      </c>
      <c r="M12" s="35"/>
      <c r="N12" s="35"/>
      <c r="O12" s="35"/>
      <c r="P12" s="35"/>
      <c r="Q12" s="35">
        <v>1</v>
      </c>
    </row>
    <row r="13" spans="1:18" x14ac:dyDescent="0.25">
      <c r="A13" s="35"/>
      <c r="B13" s="35" t="s">
        <v>26</v>
      </c>
      <c r="C13" s="35" t="s">
        <v>2068</v>
      </c>
      <c r="D13" s="35" t="s">
        <v>2069</v>
      </c>
      <c r="E13" s="35" t="s">
        <v>2070</v>
      </c>
      <c r="F13" s="35" t="s">
        <v>45</v>
      </c>
      <c r="G13" s="36">
        <v>1195</v>
      </c>
      <c r="H13" s="36">
        <v>25</v>
      </c>
      <c r="I13" s="36">
        <f t="shared" si="0"/>
        <v>1170</v>
      </c>
      <c r="J13" s="35" t="s">
        <v>2005</v>
      </c>
      <c r="K13" s="35" t="s">
        <v>31</v>
      </c>
      <c r="L13" s="35" t="s">
        <v>2006</v>
      </c>
      <c r="M13" s="35"/>
      <c r="N13" s="35"/>
      <c r="O13" s="35"/>
      <c r="P13" s="35"/>
      <c r="Q13" s="35">
        <v>1</v>
      </c>
    </row>
    <row r="14" spans="1:18" x14ac:dyDescent="0.25">
      <c r="A14" s="35"/>
      <c r="B14" s="35" t="s">
        <v>26</v>
      </c>
      <c r="C14" s="35" t="s">
        <v>2076</v>
      </c>
      <c r="D14" s="35" t="s">
        <v>2077</v>
      </c>
      <c r="E14" s="35" t="s">
        <v>2078</v>
      </c>
      <c r="F14" s="36">
        <v>8</v>
      </c>
      <c r="G14" s="36">
        <v>490</v>
      </c>
      <c r="H14" s="36">
        <v>30</v>
      </c>
      <c r="I14" s="36">
        <f t="shared" si="0"/>
        <v>460</v>
      </c>
      <c r="J14" s="35" t="s">
        <v>2005</v>
      </c>
      <c r="K14" s="35" t="s">
        <v>31</v>
      </c>
      <c r="L14" s="35" t="s">
        <v>2006</v>
      </c>
      <c r="M14" s="35"/>
      <c r="N14" s="35"/>
      <c r="O14" s="35"/>
      <c r="P14" s="35"/>
      <c r="Q14" s="35">
        <v>1</v>
      </c>
    </row>
    <row r="15" spans="1:18" x14ac:dyDescent="0.25">
      <c r="A15" s="35"/>
      <c r="B15" s="35" t="s">
        <v>26</v>
      </c>
      <c r="C15" s="35" t="s">
        <v>2024</v>
      </c>
      <c r="D15" s="35" t="s">
        <v>2025</v>
      </c>
      <c r="E15" s="35" t="s">
        <v>2026</v>
      </c>
      <c r="F15" s="35" t="s">
        <v>58</v>
      </c>
      <c r="G15" s="36">
        <v>730</v>
      </c>
      <c r="H15" s="36">
        <v>20</v>
      </c>
      <c r="I15" s="36">
        <f t="shared" si="0"/>
        <v>710</v>
      </c>
      <c r="J15" s="35" t="s">
        <v>31</v>
      </c>
      <c r="K15" s="35" t="s">
        <v>31</v>
      </c>
      <c r="L15" s="35" t="s">
        <v>2006</v>
      </c>
      <c r="M15" s="35"/>
      <c r="N15" s="35"/>
      <c r="O15" s="35"/>
      <c r="P15" s="35"/>
      <c r="Q15" s="35">
        <v>1</v>
      </c>
    </row>
    <row r="16" spans="1:18" x14ac:dyDescent="0.25">
      <c r="A16" s="35"/>
      <c r="B16" s="35" t="s">
        <v>26</v>
      </c>
      <c r="C16" s="35" t="s">
        <v>2050</v>
      </c>
      <c r="D16" s="35" t="s">
        <v>2051</v>
      </c>
      <c r="E16" s="35" t="s">
        <v>2052</v>
      </c>
      <c r="F16" s="36">
        <v>2</v>
      </c>
      <c r="G16" s="36">
        <v>0</v>
      </c>
      <c r="H16" s="36">
        <v>30</v>
      </c>
      <c r="I16" s="36">
        <f t="shared" si="0"/>
        <v>-30</v>
      </c>
      <c r="J16" s="35" t="s">
        <v>31</v>
      </c>
      <c r="K16" s="35" t="s">
        <v>31</v>
      </c>
      <c r="L16" s="35" t="s">
        <v>2006</v>
      </c>
      <c r="M16" s="35"/>
      <c r="N16" s="35"/>
      <c r="O16" s="35"/>
      <c r="P16" s="35"/>
      <c r="Q16" s="35">
        <v>1</v>
      </c>
      <c r="R16" s="25">
        <f>H16</f>
        <v>30</v>
      </c>
    </row>
    <row r="17" spans="1:18" x14ac:dyDescent="0.25">
      <c r="A17" s="35"/>
      <c r="B17" s="35" t="s">
        <v>26</v>
      </c>
      <c r="C17" s="35" t="s">
        <v>461</v>
      </c>
      <c r="D17" s="35" t="s">
        <v>2056</v>
      </c>
      <c r="E17" s="35" t="s">
        <v>2057</v>
      </c>
      <c r="F17" s="35" t="s">
        <v>36</v>
      </c>
      <c r="G17" s="36">
        <v>0</v>
      </c>
      <c r="H17" s="36">
        <v>25</v>
      </c>
      <c r="I17" s="36">
        <f t="shared" si="0"/>
        <v>-25</v>
      </c>
      <c r="J17" s="35" t="s">
        <v>31</v>
      </c>
      <c r="K17" s="35" t="s">
        <v>31</v>
      </c>
      <c r="L17" s="35" t="s">
        <v>2006</v>
      </c>
      <c r="M17" s="38" t="s">
        <v>2058</v>
      </c>
      <c r="N17" s="35"/>
      <c r="O17" s="35"/>
      <c r="P17" s="35"/>
      <c r="Q17" s="35">
        <v>1</v>
      </c>
      <c r="R17" s="25">
        <f t="shared" ref="R17:R20" si="1">H17</f>
        <v>25</v>
      </c>
    </row>
    <row r="18" spans="1:18" x14ac:dyDescent="0.25">
      <c r="A18" s="35"/>
      <c r="B18" s="35" t="s">
        <v>26</v>
      </c>
      <c r="C18" s="35" t="s">
        <v>2084</v>
      </c>
      <c r="D18" s="35" t="s">
        <v>2085</v>
      </c>
      <c r="E18" s="35" t="s">
        <v>2086</v>
      </c>
      <c r="F18" s="36">
        <v>12</v>
      </c>
      <c r="G18" s="36">
        <v>0</v>
      </c>
      <c r="H18" s="36">
        <v>30</v>
      </c>
      <c r="I18" s="36">
        <f t="shared" si="0"/>
        <v>-30</v>
      </c>
      <c r="J18" s="35" t="s">
        <v>31</v>
      </c>
      <c r="K18" s="35" t="s">
        <v>31</v>
      </c>
      <c r="L18" s="35" t="s">
        <v>2006</v>
      </c>
      <c r="M18" s="35"/>
      <c r="N18" s="35"/>
      <c r="O18" s="35"/>
      <c r="P18" s="35"/>
      <c r="Q18" s="35">
        <v>1</v>
      </c>
      <c r="R18" s="25">
        <f t="shared" si="1"/>
        <v>30</v>
      </c>
    </row>
    <row r="19" spans="1:18" x14ac:dyDescent="0.25">
      <c r="A19" s="35" t="s">
        <v>66</v>
      </c>
      <c r="B19" s="35" t="s">
        <v>26</v>
      </c>
      <c r="C19" s="35" t="s">
        <v>99</v>
      </c>
      <c r="D19" s="35"/>
      <c r="E19" s="35" t="s">
        <v>100</v>
      </c>
      <c r="F19" s="35" t="s">
        <v>101</v>
      </c>
      <c r="G19" s="36">
        <v>0</v>
      </c>
      <c r="H19" s="36">
        <v>30</v>
      </c>
      <c r="I19" s="36">
        <f t="shared" si="0"/>
        <v>-30</v>
      </c>
      <c r="J19" s="35" t="s">
        <v>31</v>
      </c>
      <c r="K19" s="35" t="s">
        <v>31</v>
      </c>
      <c r="L19" s="35" t="s">
        <v>2006</v>
      </c>
      <c r="M19" s="35"/>
      <c r="N19" s="35"/>
      <c r="O19" s="35"/>
      <c r="P19" s="35"/>
      <c r="Q19" s="35">
        <v>1</v>
      </c>
      <c r="R19" s="25">
        <f t="shared" si="1"/>
        <v>30</v>
      </c>
    </row>
    <row r="20" spans="1:18" x14ac:dyDescent="0.25">
      <c r="A20" s="35" t="s">
        <v>66</v>
      </c>
      <c r="B20" s="35" t="s">
        <v>26</v>
      </c>
      <c r="C20" s="35" t="s">
        <v>2089</v>
      </c>
      <c r="D20" s="35"/>
      <c r="E20" s="35" t="s">
        <v>606</v>
      </c>
      <c r="F20" s="36">
        <v>12</v>
      </c>
      <c r="G20" s="36">
        <v>0</v>
      </c>
      <c r="H20" s="36">
        <v>35</v>
      </c>
      <c r="I20" s="36">
        <f t="shared" si="0"/>
        <v>-35</v>
      </c>
      <c r="J20" s="35" t="s">
        <v>31</v>
      </c>
      <c r="K20" s="35" t="s">
        <v>31</v>
      </c>
      <c r="L20" s="35" t="s">
        <v>2006</v>
      </c>
      <c r="M20" s="35"/>
      <c r="N20" s="35"/>
      <c r="O20" s="35"/>
      <c r="P20" s="35"/>
      <c r="Q20" s="35">
        <v>1</v>
      </c>
      <c r="R20" s="25">
        <f t="shared" si="1"/>
        <v>35</v>
      </c>
    </row>
    <row r="21" spans="1:18" x14ac:dyDescent="0.25">
      <c r="A21" s="35" t="s">
        <v>66</v>
      </c>
      <c r="B21" s="35" t="s">
        <v>26</v>
      </c>
      <c r="C21" s="35" t="s">
        <v>1299</v>
      </c>
      <c r="D21" s="35"/>
      <c r="E21" s="35" t="s">
        <v>1300</v>
      </c>
      <c r="F21" s="35" t="s">
        <v>36</v>
      </c>
      <c r="G21" s="36">
        <v>40</v>
      </c>
      <c r="H21" s="36">
        <v>40</v>
      </c>
      <c r="I21" s="36">
        <f t="shared" si="0"/>
        <v>0</v>
      </c>
      <c r="J21" s="35" t="s">
        <v>31</v>
      </c>
      <c r="K21" s="35" t="s">
        <v>31</v>
      </c>
      <c r="L21" s="35" t="s">
        <v>2006</v>
      </c>
      <c r="M21" s="35"/>
      <c r="N21" s="35"/>
      <c r="O21" s="35"/>
      <c r="P21" s="35"/>
      <c r="Q21" s="35">
        <v>1</v>
      </c>
    </row>
    <row r="22" spans="1:18" x14ac:dyDescent="0.25">
      <c r="A22" s="35" t="s">
        <v>66</v>
      </c>
      <c r="B22" s="35" t="s">
        <v>26</v>
      </c>
      <c r="C22" s="35" t="s">
        <v>1053</v>
      </c>
      <c r="D22" s="35"/>
      <c r="E22" s="35" t="s">
        <v>1054</v>
      </c>
      <c r="F22" s="35" t="s">
        <v>36</v>
      </c>
      <c r="G22" s="36">
        <v>5545</v>
      </c>
      <c r="H22" s="36">
        <v>45</v>
      </c>
      <c r="I22" s="36">
        <f t="shared" si="0"/>
        <v>5500</v>
      </c>
      <c r="J22" s="35" t="s">
        <v>31</v>
      </c>
      <c r="K22" s="35" t="s">
        <v>31</v>
      </c>
      <c r="L22" s="35" t="s">
        <v>2006</v>
      </c>
      <c r="M22" s="35"/>
      <c r="N22" s="35"/>
      <c r="O22" s="35"/>
      <c r="P22" s="35"/>
      <c r="Q22" s="35">
        <v>1</v>
      </c>
    </row>
    <row r="23" spans="1:18" x14ac:dyDescent="0.25">
      <c r="A23" s="35"/>
      <c r="B23" s="35" t="s">
        <v>26</v>
      </c>
      <c r="C23" s="35" t="s">
        <v>2090</v>
      </c>
      <c r="D23" s="35" t="s">
        <v>2091</v>
      </c>
      <c r="E23" s="35" t="s">
        <v>2092</v>
      </c>
      <c r="F23" s="35" t="s">
        <v>101</v>
      </c>
      <c r="G23" s="36">
        <v>245</v>
      </c>
      <c r="H23" s="36">
        <v>25</v>
      </c>
      <c r="I23" s="36">
        <f t="shared" si="0"/>
        <v>220</v>
      </c>
      <c r="J23" s="35" t="s">
        <v>31</v>
      </c>
      <c r="K23" s="35" t="s">
        <v>31</v>
      </c>
      <c r="L23" s="35" t="s">
        <v>2006</v>
      </c>
      <c r="M23" s="35"/>
      <c r="N23" s="35"/>
      <c r="O23" s="35"/>
      <c r="P23" s="35"/>
      <c r="Q23" s="35">
        <v>1</v>
      </c>
    </row>
    <row r="24" spans="1:18" x14ac:dyDescent="0.25">
      <c r="A24" s="35"/>
      <c r="B24" s="35" t="s">
        <v>26</v>
      </c>
      <c r="C24" s="35" t="s">
        <v>2010</v>
      </c>
      <c r="D24" s="35" t="s">
        <v>2011</v>
      </c>
      <c r="E24" s="35" t="s">
        <v>1282</v>
      </c>
      <c r="F24" s="36">
        <v>5</v>
      </c>
      <c r="G24" s="36">
        <v>0</v>
      </c>
      <c r="H24" s="36">
        <v>25</v>
      </c>
      <c r="I24" s="36">
        <f t="shared" si="0"/>
        <v>-25</v>
      </c>
      <c r="J24" s="35" t="s">
        <v>41</v>
      </c>
      <c r="K24" s="35" t="s">
        <v>31</v>
      </c>
      <c r="L24" s="35" t="s">
        <v>2006</v>
      </c>
      <c r="M24" s="35"/>
      <c r="N24" s="35"/>
      <c r="O24" s="35"/>
      <c r="P24" s="35"/>
      <c r="Q24" s="35">
        <v>1</v>
      </c>
      <c r="R24" s="25">
        <f>H24</f>
        <v>25</v>
      </c>
    </row>
    <row r="25" spans="1:18" x14ac:dyDescent="0.25">
      <c r="A25" s="35"/>
      <c r="B25" s="35" t="s">
        <v>26</v>
      </c>
      <c r="C25" s="35" t="s">
        <v>2012</v>
      </c>
      <c r="D25" s="35" t="s">
        <v>2013</v>
      </c>
      <c r="E25" s="35" t="s">
        <v>2014</v>
      </c>
      <c r="F25" s="36">
        <v>3</v>
      </c>
      <c r="G25" s="36">
        <v>315</v>
      </c>
      <c r="H25" s="36">
        <v>25</v>
      </c>
      <c r="I25" s="36">
        <f t="shared" si="0"/>
        <v>290</v>
      </c>
      <c r="J25" s="35" t="s">
        <v>41</v>
      </c>
      <c r="K25" s="35" t="s">
        <v>31</v>
      </c>
      <c r="L25" s="35" t="s">
        <v>2006</v>
      </c>
      <c r="M25" s="35"/>
      <c r="N25" s="35"/>
      <c r="O25" s="35"/>
      <c r="P25" s="35"/>
      <c r="Q25" s="35">
        <v>1</v>
      </c>
    </row>
    <row r="26" spans="1:18" x14ac:dyDescent="0.25">
      <c r="A26" s="35"/>
      <c r="B26" s="35" t="s">
        <v>26</v>
      </c>
      <c r="C26" s="35" t="s">
        <v>2015</v>
      </c>
      <c r="D26" s="35" t="s">
        <v>2016</v>
      </c>
      <c r="E26" s="35" t="s">
        <v>2017</v>
      </c>
      <c r="F26" s="36">
        <v>10</v>
      </c>
      <c r="G26" s="36">
        <v>515</v>
      </c>
      <c r="H26" s="36">
        <v>25</v>
      </c>
      <c r="I26" s="36">
        <f t="shared" si="0"/>
        <v>490</v>
      </c>
      <c r="J26" s="35" t="s">
        <v>41</v>
      </c>
      <c r="K26" s="35" t="s">
        <v>31</v>
      </c>
      <c r="L26" s="35" t="s">
        <v>2006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576</v>
      </c>
      <c r="D27" s="35" t="s">
        <v>2036</v>
      </c>
      <c r="E27" s="35" t="s">
        <v>2037</v>
      </c>
      <c r="F27" s="36">
        <v>4</v>
      </c>
      <c r="G27" s="36">
        <v>465</v>
      </c>
      <c r="H27" s="36">
        <v>25</v>
      </c>
      <c r="I27" s="36">
        <f t="shared" si="0"/>
        <v>440</v>
      </c>
      <c r="J27" s="35" t="s">
        <v>41</v>
      </c>
      <c r="K27" s="35" t="s">
        <v>31</v>
      </c>
      <c r="L27" s="35" t="s">
        <v>2006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2044</v>
      </c>
      <c r="D28" s="35" t="s">
        <v>2045</v>
      </c>
      <c r="E28" s="35" t="s">
        <v>2046</v>
      </c>
      <c r="F28" s="36">
        <v>3</v>
      </c>
      <c r="G28" s="36">
        <v>935</v>
      </c>
      <c r="H28" s="36">
        <v>25</v>
      </c>
      <c r="I28" s="36">
        <f t="shared" si="0"/>
        <v>910</v>
      </c>
      <c r="J28" s="35" t="s">
        <v>41</v>
      </c>
      <c r="K28" s="35" t="s">
        <v>31</v>
      </c>
      <c r="L28" s="35" t="s">
        <v>2006</v>
      </c>
      <c r="M28" s="35"/>
      <c r="N28" s="35"/>
      <c r="O28" s="35"/>
      <c r="P28" s="35"/>
      <c r="Q28" s="35">
        <v>1</v>
      </c>
    </row>
    <row r="29" spans="1:18" x14ac:dyDescent="0.25">
      <c r="A29" s="35"/>
      <c r="B29" s="35" t="s">
        <v>26</v>
      </c>
      <c r="C29" s="35" t="s">
        <v>2053</v>
      </c>
      <c r="D29" s="35" t="s">
        <v>2054</v>
      </c>
      <c r="E29" s="35" t="s">
        <v>2055</v>
      </c>
      <c r="F29" s="35" t="s">
        <v>155</v>
      </c>
      <c r="G29" s="36">
        <v>610</v>
      </c>
      <c r="H29" s="36">
        <v>20</v>
      </c>
      <c r="I29" s="36">
        <f t="shared" si="0"/>
        <v>590</v>
      </c>
      <c r="J29" s="35" t="s">
        <v>41</v>
      </c>
      <c r="K29" s="35" t="s">
        <v>31</v>
      </c>
      <c r="L29" s="35" t="s">
        <v>2006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2059</v>
      </c>
      <c r="D30" s="35" t="s">
        <v>2060</v>
      </c>
      <c r="E30" s="35" t="s">
        <v>2061</v>
      </c>
      <c r="F30" s="36">
        <v>3</v>
      </c>
      <c r="G30" s="36">
        <v>0</v>
      </c>
      <c r="H30" s="36">
        <v>25</v>
      </c>
      <c r="I30" s="36">
        <f t="shared" si="0"/>
        <v>-25</v>
      </c>
      <c r="J30" s="35" t="s">
        <v>41</v>
      </c>
      <c r="K30" s="35" t="s">
        <v>31</v>
      </c>
      <c r="L30" s="35" t="s">
        <v>2006</v>
      </c>
      <c r="M30" s="35"/>
      <c r="N30" s="35"/>
      <c r="O30" s="35"/>
      <c r="P30" s="35"/>
      <c r="Q30" s="35">
        <v>1</v>
      </c>
      <c r="R30" s="25">
        <f>H30</f>
        <v>25</v>
      </c>
    </row>
    <row r="31" spans="1:18" x14ac:dyDescent="0.25">
      <c r="A31" s="35"/>
      <c r="B31" s="35" t="s">
        <v>26</v>
      </c>
      <c r="C31" s="35" t="s">
        <v>2062</v>
      </c>
      <c r="D31" s="35" t="s">
        <v>2063</v>
      </c>
      <c r="E31" s="35" t="s">
        <v>2064</v>
      </c>
      <c r="F31" s="36">
        <v>1</v>
      </c>
      <c r="G31" s="36">
        <v>1625</v>
      </c>
      <c r="H31" s="36">
        <v>25</v>
      </c>
      <c r="I31" s="36">
        <f t="shared" si="0"/>
        <v>1600</v>
      </c>
      <c r="J31" s="35" t="s">
        <v>41</v>
      </c>
      <c r="K31" s="35" t="s">
        <v>31</v>
      </c>
      <c r="L31" s="35" t="s">
        <v>2006</v>
      </c>
      <c r="M31" s="35"/>
      <c r="N31" s="35"/>
      <c r="O31" s="35"/>
      <c r="P31" s="35"/>
      <c r="Q31" s="35">
        <v>1</v>
      </c>
    </row>
    <row r="32" spans="1:18" x14ac:dyDescent="0.25">
      <c r="A32" s="35"/>
      <c r="B32" s="35" t="s">
        <v>26</v>
      </c>
      <c r="C32" s="35" t="s">
        <v>2071</v>
      </c>
      <c r="D32" s="35" t="s">
        <v>2072</v>
      </c>
      <c r="E32" s="35" t="s">
        <v>2073</v>
      </c>
      <c r="F32" s="35" t="s">
        <v>101</v>
      </c>
      <c r="G32" s="36">
        <v>0</v>
      </c>
      <c r="H32" s="36">
        <v>25</v>
      </c>
      <c r="I32" s="36">
        <f t="shared" si="0"/>
        <v>-25</v>
      </c>
      <c r="J32" s="35" t="s">
        <v>41</v>
      </c>
      <c r="K32" s="35" t="s">
        <v>31</v>
      </c>
      <c r="L32" s="35" t="s">
        <v>2006</v>
      </c>
      <c r="M32" s="35"/>
      <c r="N32" s="35"/>
      <c r="O32" s="35"/>
      <c r="P32" s="35"/>
      <c r="Q32" s="35">
        <v>1</v>
      </c>
      <c r="R32" s="25">
        <f t="shared" ref="R32:R33" si="2">H32</f>
        <v>25</v>
      </c>
    </row>
    <row r="33" spans="1:18" x14ac:dyDescent="0.25">
      <c r="A33" s="35"/>
      <c r="B33" s="35" t="s">
        <v>26</v>
      </c>
      <c r="C33" s="35" t="s">
        <v>1707</v>
      </c>
      <c r="D33" s="35" t="s">
        <v>1708</v>
      </c>
      <c r="E33" s="35" t="s">
        <v>2074</v>
      </c>
      <c r="F33" s="36">
        <v>1</v>
      </c>
      <c r="G33" s="36">
        <v>0</v>
      </c>
      <c r="H33" s="36">
        <v>25</v>
      </c>
      <c r="I33" s="36">
        <f t="shared" si="0"/>
        <v>-25</v>
      </c>
      <c r="J33" s="35" t="s">
        <v>41</v>
      </c>
      <c r="K33" s="35" t="s">
        <v>31</v>
      </c>
      <c r="L33" s="35" t="s">
        <v>2006</v>
      </c>
      <c r="M33" s="38" t="s">
        <v>2075</v>
      </c>
      <c r="N33" s="35"/>
      <c r="O33" s="35"/>
      <c r="P33" s="35"/>
      <c r="Q33" s="35">
        <v>1</v>
      </c>
      <c r="R33" s="25">
        <f t="shared" si="2"/>
        <v>25</v>
      </c>
    </row>
    <row r="34" spans="1:18" x14ac:dyDescent="0.25">
      <c r="A34" s="35"/>
      <c r="B34" s="35" t="s">
        <v>26</v>
      </c>
      <c r="C34" s="35" t="s">
        <v>433</v>
      </c>
      <c r="D34" s="35" t="s">
        <v>2079</v>
      </c>
      <c r="E34" s="35" t="s">
        <v>1250</v>
      </c>
      <c r="F34" s="36">
        <v>1</v>
      </c>
      <c r="G34" s="36">
        <v>885</v>
      </c>
      <c r="H34" s="36">
        <v>25</v>
      </c>
      <c r="I34" s="36">
        <f t="shared" si="0"/>
        <v>860</v>
      </c>
      <c r="J34" s="35" t="s">
        <v>41</v>
      </c>
      <c r="K34" s="35" t="s">
        <v>31</v>
      </c>
      <c r="L34" s="35" t="s">
        <v>2006</v>
      </c>
      <c r="M34" s="35"/>
      <c r="N34" s="35"/>
      <c r="O34" s="35"/>
      <c r="P34" s="35"/>
      <c r="Q34" s="35">
        <v>1</v>
      </c>
    </row>
    <row r="35" spans="1:18" x14ac:dyDescent="0.25">
      <c r="A35" s="35"/>
      <c r="B35" s="35" t="s">
        <v>26</v>
      </c>
      <c r="C35" s="35" t="s">
        <v>956</v>
      </c>
      <c r="D35" s="35" t="s">
        <v>2080</v>
      </c>
      <c r="E35" s="35" t="s">
        <v>958</v>
      </c>
      <c r="F35" s="36">
        <v>10</v>
      </c>
      <c r="G35" s="36">
        <v>0</v>
      </c>
      <c r="H35" s="36">
        <v>25</v>
      </c>
      <c r="I35" s="36">
        <f t="shared" si="0"/>
        <v>-25</v>
      </c>
      <c r="J35" s="35" t="s">
        <v>41</v>
      </c>
      <c r="K35" s="35" t="s">
        <v>31</v>
      </c>
      <c r="L35" s="35" t="s">
        <v>2006</v>
      </c>
      <c r="M35" s="35"/>
      <c r="N35" s="35"/>
      <c r="O35" s="35"/>
      <c r="P35" s="35"/>
      <c r="Q35" s="35">
        <v>1</v>
      </c>
      <c r="R35" s="25">
        <f>H35</f>
        <v>25</v>
      </c>
    </row>
    <row r="36" spans="1:18" x14ac:dyDescent="0.25">
      <c r="A36" s="35"/>
      <c r="B36" s="35" t="s">
        <v>26</v>
      </c>
      <c r="C36" s="35" t="s">
        <v>2081</v>
      </c>
      <c r="D36" s="35" t="s">
        <v>2082</v>
      </c>
      <c r="E36" s="35" t="s">
        <v>2083</v>
      </c>
      <c r="F36" s="36">
        <v>10</v>
      </c>
      <c r="G36" s="36">
        <v>675</v>
      </c>
      <c r="H36" s="36">
        <v>25</v>
      </c>
      <c r="I36" s="36">
        <f t="shared" si="0"/>
        <v>650</v>
      </c>
      <c r="J36" s="35" t="s">
        <v>41</v>
      </c>
      <c r="K36" s="35" t="s">
        <v>31</v>
      </c>
      <c r="L36" s="35" t="s">
        <v>2006</v>
      </c>
      <c r="M36" s="35"/>
      <c r="N36" s="35"/>
      <c r="O36" s="35"/>
      <c r="P36" s="35"/>
      <c r="Q36" s="35">
        <v>1</v>
      </c>
    </row>
    <row r="37" spans="1:18" x14ac:dyDescent="0.25">
      <c r="A37" s="35" t="s">
        <v>66</v>
      </c>
      <c r="B37" s="35" t="s">
        <v>26</v>
      </c>
      <c r="C37" s="35" t="s">
        <v>2087</v>
      </c>
      <c r="D37" s="35"/>
      <c r="E37" s="35" t="s">
        <v>2088</v>
      </c>
      <c r="F37" s="36">
        <v>5</v>
      </c>
      <c r="G37" s="36">
        <v>0</v>
      </c>
      <c r="H37" s="36">
        <v>30</v>
      </c>
      <c r="I37" s="36">
        <f t="shared" si="0"/>
        <v>-30</v>
      </c>
      <c r="J37" s="35" t="s">
        <v>41</v>
      </c>
      <c r="K37" s="35" t="s">
        <v>31</v>
      </c>
      <c r="L37" s="35" t="s">
        <v>2006</v>
      </c>
      <c r="M37" s="35"/>
      <c r="N37" s="35"/>
      <c r="O37" s="35"/>
      <c r="P37" s="35"/>
      <c r="Q37" s="35">
        <v>1</v>
      </c>
      <c r="R37" s="25">
        <f>H37</f>
        <v>30</v>
      </c>
    </row>
    <row r="38" spans="1:18" s="30" customFormat="1" x14ac:dyDescent="0.25">
      <c r="A38" s="37"/>
      <c r="B38" s="37" t="s">
        <v>26</v>
      </c>
      <c r="C38" s="37" t="s">
        <v>2018</v>
      </c>
      <c r="D38" s="37" t="s">
        <v>2019</v>
      </c>
      <c r="E38" s="37" t="s">
        <v>2020</v>
      </c>
      <c r="F38" s="37" t="s">
        <v>377</v>
      </c>
      <c r="G38" s="43">
        <v>360</v>
      </c>
      <c r="H38" s="43">
        <v>0</v>
      </c>
      <c r="I38" s="43">
        <f t="shared" si="0"/>
        <v>360</v>
      </c>
      <c r="J38" s="37" t="s">
        <v>118</v>
      </c>
      <c r="K38" s="37" t="s">
        <v>31</v>
      </c>
      <c r="L38" s="37" t="s">
        <v>2006</v>
      </c>
      <c r="M38" s="37" t="s">
        <v>378</v>
      </c>
      <c r="N38" s="37" t="s">
        <v>316</v>
      </c>
      <c r="O38" s="37"/>
      <c r="P38" s="37" t="s">
        <v>317</v>
      </c>
      <c r="Q38" s="37">
        <v>1</v>
      </c>
    </row>
    <row r="40" spans="1:18" x14ac:dyDescent="0.25">
      <c r="D40" s="26">
        <f>COUNTA(D3:D38)</f>
        <v>31</v>
      </c>
      <c r="G40" s="26">
        <f t="shared" ref="G40:Q40" si="3">SUBTOTAL(9,G3:G38)</f>
        <v>24800</v>
      </c>
      <c r="H40" s="26">
        <f t="shared" si="3"/>
        <v>995</v>
      </c>
      <c r="I40" s="26">
        <f t="shared" si="3"/>
        <v>23805</v>
      </c>
      <c r="J40" s="26">
        <f t="shared" si="3"/>
        <v>0</v>
      </c>
      <c r="K40" s="26">
        <f t="shared" si="3"/>
        <v>0</v>
      </c>
      <c r="L40" s="26">
        <f t="shared" si="3"/>
        <v>0</v>
      </c>
      <c r="M40" s="26">
        <f t="shared" si="3"/>
        <v>0</v>
      </c>
      <c r="N40" s="26">
        <f t="shared" si="3"/>
        <v>0</v>
      </c>
      <c r="O40" s="26">
        <f t="shared" si="3"/>
        <v>0</v>
      </c>
      <c r="P40" s="26">
        <f t="shared" si="3"/>
        <v>0</v>
      </c>
      <c r="Q40" s="26">
        <f t="shared" si="3"/>
        <v>36</v>
      </c>
    </row>
    <row r="41" spans="1:18" x14ac:dyDescent="0.25">
      <c r="H41" s="24">
        <f>-9*17</f>
        <v>-153</v>
      </c>
    </row>
    <row r="42" spans="1:18" x14ac:dyDescent="0.25">
      <c r="A42" s="26" t="s">
        <v>26</v>
      </c>
      <c r="C42" s="80" t="s">
        <v>78</v>
      </c>
      <c r="D42" s="80"/>
      <c r="E42" s="27" t="s">
        <v>79</v>
      </c>
      <c r="H42" s="24">
        <f>-1*25</f>
        <v>-25</v>
      </c>
      <c r="K42" s="28" t="s">
        <v>2005</v>
      </c>
      <c r="L42" s="28" t="s">
        <v>80</v>
      </c>
      <c r="M42" s="28" t="s">
        <v>79</v>
      </c>
      <c r="O42" s="27" t="s">
        <v>81</v>
      </c>
    </row>
    <row r="43" spans="1:18" x14ac:dyDescent="0.25">
      <c r="A43" s="24" t="s">
        <v>2006</v>
      </c>
      <c r="B43" s="29" t="s">
        <v>82</v>
      </c>
      <c r="C43" s="81">
        <f>SUMIFS(I$3:I$38,B$3:B$38,A$42,L$3:L$38,A$43)</f>
        <v>23805</v>
      </c>
      <c r="D43" s="81"/>
      <c r="E43" s="29">
        <f>SUMIFS(Q$3:Q$38,B$3:B$38,A$42,L$3:L$38,A$43)</f>
        <v>36</v>
      </c>
      <c r="F43" s="24" t="s">
        <v>83</v>
      </c>
      <c r="H43" s="24">
        <f>-2*30</f>
        <v>-60</v>
      </c>
      <c r="K43" s="24" t="s">
        <v>84</v>
      </c>
      <c r="L43" s="24">
        <f>SUMIFS(G$3:G$38,J$3:J$38,K$42)</f>
        <v>11855</v>
      </c>
      <c r="M43" s="24">
        <f>SUMIFS(Q$3:Q$38,J$3:J$38,K$42)-INT(COUNTIFS(J$3:J$38,K$42,M$3:M$38,"*gộp*")/2)</f>
        <v>12</v>
      </c>
      <c r="O43" s="24" t="s">
        <v>2093</v>
      </c>
      <c r="P43" s="24">
        <f>L48</f>
        <v>11617</v>
      </c>
    </row>
    <row r="44" spans="1:18" x14ac:dyDescent="0.25">
      <c r="B44" s="30" t="s">
        <v>86</v>
      </c>
      <c r="C44" s="82">
        <v>0</v>
      </c>
      <c r="D44" s="82"/>
      <c r="K44" s="24" t="s">
        <v>87</v>
      </c>
      <c r="L44" s="24">
        <f>SUM(H41:H43)</f>
        <v>-238</v>
      </c>
      <c r="M44" s="24">
        <f>SUMIFS(Q$3:Q$38,J$3:J$38,K$42)-INT(COUNTIFS(J$3:J$38,K$42,M$3:M$38,"*gộp*")/2)</f>
        <v>12</v>
      </c>
      <c r="O44" s="24" t="s">
        <v>41</v>
      </c>
      <c r="P44" s="24">
        <f>L56</f>
        <v>5745</v>
      </c>
    </row>
    <row r="45" spans="1:18" x14ac:dyDescent="0.25">
      <c r="B45" s="30" t="s">
        <v>88</v>
      </c>
      <c r="C45" s="82">
        <f>-SUMIFS(I$3:I$38,B$3:B$38,A$42,P$3:P$38,"xx",N$3:N$38,"x")</f>
        <v>-360</v>
      </c>
      <c r="D45" s="82"/>
      <c r="E45" s="30">
        <f>SUMIFS(Q$3:Q$38,B$3:B$38,A$42,P$3:P$38,"xx",N$3:N$38,"x")</f>
        <v>1</v>
      </c>
      <c r="K45" s="24" t="s">
        <v>89</v>
      </c>
      <c r="L45" s="24">
        <f>-M45*2</f>
        <v>0</v>
      </c>
      <c r="M45" s="24">
        <f>COUNTIFS(K$3:K$38,K$42,L$3:L$38,A$43)-(COUNTIFS(K$3:K$38,K$42,M$3:M$38,"*gộp*")/2)-COUNTIFS(K$3:K$38,K$42,M$3:M$38,"*đơn trả*")-COUNTIFS(K$3:K$38,K$42,M$3:M$38,"*hàng tỉnh*")</f>
        <v>0</v>
      </c>
      <c r="O45" s="24" t="s">
        <v>31</v>
      </c>
      <c r="P45" s="24">
        <f>L64</f>
        <v>6255</v>
      </c>
    </row>
    <row r="46" spans="1:18" x14ac:dyDescent="0.25">
      <c r="B46" s="27" t="s">
        <v>90</v>
      </c>
      <c r="C46" s="80">
        <f>SUBTOTAL(9,C43:C45)</f>
        <v>23445</v>
      </c>
      <c r="D46" s="80"/>
      <c r="E46" s="24">
        <f>E43</f>
        <v>36</v>
      </c>
      <c r="K46" s="31" t="s">
        <v>91</v>
      </c>
      <c r="O46" s="24" t="s">
        <v>92</v>
      </c>
      <c r="P46" s="24">
        <f>-C50</f>
        <v>-23445</v>
      </c>
    </row>
    <row r="47" spans="1:18" x14ac:dyDescent="0.25">
      <c r="B47" s="30" t="s">
        <v>93</v>
      </c>
      <c r="C47" s="78"/>
      <c r="D47" s="78"/>
      <c r="K47" s="30" t="s">
        <v>94</v>
      </c>
      <c r="O47" s="27" t="s">
        <v>95</v>
      </c>
      <c r="P47" s="27">
        <f>SUBTOTAL(9,P43:P46)</f>
        <v>172</v>
      </c>
    </row>
    <row r="48" spans="1:18" x14ac:dyDescent="0.25">
      <c r="B48" s="32" t="s">
        <v>96</v>
      </c>
      <c r="C48" s="78"/>
      <c r="D48" s="78"/>
      <c r="L48" s="33">
        <f>SUBTOTAL(9,L43:L47)</f>
        <v>11617</v>
      </c>
      <c r="M48" s="33">
        <f>M43</f>
        <v>12</v>
      </c>
    </row>
    <row r="50" spans="2:13" x14ac:dyDescent="0.25">
      <c r="B50" s="26" t="s">
        <v>97</v>
      </c>
      <c r="C50" s="79">
        <f>C46+C47+C48</f>
        <v>23445</v>
      </c>
      <c r="D50" s="79"/>
      <c r="E50" s="26" t="s">
        <v>98</v>
      </c>
      <c r="K50" s="28" t="s">
        <v>41</v>
      </c>
      <c r="L50" s="28" t="s">
        <v>80</v>
      </c>
      <c r="M50" s="28" t="s">
        <v>79</v>
      </c>
    </row>
    <row r="51" spans="2:13" x14ac:dyDescent="0.25">
      <c r="K51" s="24" t="s">
        <v>84</v>
      </c>
      <c r="L51" s="24">
        <f>SUMIFS(G$3:G$38,J$3:J$38,K$50)</f>
        <v>6025</v>
      </c>
      <c r="M51" s="24">
        <f>SUMIFS(Q$3:Q$38,J$3:J$38,K$50)-INT(COUNTIFS(J$3:J$38,K$50,M$3:M$38,"*gộp*")/2)</f>
        <v>14</v>
      </c>
    </row>
    <row r="52" spans="2:13" x14ac:dyDescent="0.25">
      <c r="K52" s="24" t="s">
        <v>87</v>
      </c>
      <c r="L52" s="24">
        <f>-SUMIFS(H$3:H$38,J$3:J$38,K$50)+M52*5</f>
        <v>-280</v>
      </c>
      <c r="M52" s="24">
        <f>SUMIFS(Q$3:Q$38,J$3:J$38,K$50)-INT(COUNTIFS(J$3:J$38,K$50,M$3:M$38,"*gộp*")/2)</f>
        <v>14</v>
      </c>
    </row>
    <row r="53" spans="2:13" x14ac:dyDescent="0.25">
      <c r="K53" s="24" t="s">
        <v>89</v>
      </c>
      <c r="L53" s="24">
        <f>-M53*2</f>
        <v>0</v>
      </c>
      <c r="M53" s="24">
        <f>COUNTIFS(K$3:K$38,K$50,L$3:L$38,A$43)-(COUNTIFS(K$3:K$38,K$50,M$3:M$38,"*gộp*")/2)-COUNTIFS(K$3:K$38,K$50,M$3:M$38,"*đơn trả*")-COUNTIFS(K$3:K$38,K$50,M$3:M$38,"*hàng tỉnh*")</f>
        <v>0</v>
      </c>
    </row>
    <row r="54" spans="2:13" x14ac:dyDescent="0.25">
      <c r="K54" s="31" t="s">
        <v>91</v>
      </c>
    </row>
    <row r="55" spans="2:13" x14ac:dyDescent="0.25">
      <c r="K55" s="30" t="s">
        <v>94</v>
      </c>
    </row>
    <row r="56" spans="2:13" x14ac:dyDescent="0.25">
      <c r="L56" s="33">
        <f>SUBTOTAL(9,L51:L55)</f>
        <v>5745</v>
      </c>
      <c r="M56" s="33">
        <f>M51</f>
        <v>14</v>
      </c>
    </row>
    <row r="58" spans="2:13" x14ac:dyDescent="0.25">
      <c r="K58" s="28" t="s">
        <v>31</v>
      </c>
      <c r="L58" s="28" t="s">
        <v>80</v>
      </c>
      <c r="M58" s="28" t="s">
        <v>79</v>
      </c>
    </row>
    <row r="59" spans="2:13" x14ac:dyDescent="0.25">
      <c r="K59" s="24" t="s">
        <v>84</v>
      </c>
      <c r="L59" s="24">
        <f>SUMIFS(G$3:G$38,J$3:J$38,K$58)</f>
        <v>6560</v>
      </c>
      <c r="M59" s="24">
        <f>SUMIFS(Q$3:Q$38,J$3:J$38,K$58)-INT(COUNTIFS(J$3:J$38,K$58,M$3:M$38,"*gộp*")/2)</f>
        <v>9</v>
      </c>
    </row>
    <row r="60" spans="2:13" x14ac:dyDescent="0.25">
      <c r="K60" s="24" t="s">
        <v>87</v>
      </c>
      <c r="L60" s="24">
        <f>-SUMIFS(H$3:H$38,J$3:J$38,K$58)+M60*5</f>
        <v>-235</v>
      </c>
      <c r="M60" s="24">
        <f>SUMIFS(Q$3:Q$38,J$3:J$38,K$58)-INT(COUNTIFS(J$3:J$38,K$58,M$3:M$38,"*gộp*")/2)</f>
        <v>9</v>
      </c>
    </row>
    <row r="61" spans="2:13" x14ac:dyDescent="0.25">
      <c r="K61" s="24" t="s">
        <v>89</v>
      </c>
      <c r="L61" s="24">
        <f>-M61*2</f>
        <v>-70</v>
      </c>
      <c r="M61" s="24">
        <f>COUNTIFS(K$3:K$38,K$58,L$3:L$38,A$43)-(COUNTIFS(K$3:K$38,K$58,M$3:M$38,"*gộp*")/2)-COUNTIFS(K$3:K$38,K$58,M$3:M$38,"*đơn trả*")-COUNTIFS(K$3:K$38,K$58,M$3:M$38,"*hàng tỉnh*")</f>
        <v>35</v>
      </c>
    </row>
    <row r="62" spans="2:13" x14ac:dyDescent="0.25">
      <c r="K62" s="31" t="s">
        <v>91</v>
      </c>
    </row>
    <row r="63" spans="2:13" x14ac:dyDescent="0.25">
      <c r="K63" s="30" t="s">
        <v>94</v>
      </c>
    </row>
    <row r="64" spans="2:13" x14ac:dyDescent="0.25">
      <c r="L64" s="33">
        <f>SUBTOTAL(9,L59:L63)</f>
        <v>6255</v>
      </c>
      <c r="M64" s="33">
        <f>M59</f>
        <v>9</v>
      </c>
    </row>
  </sheetData>
  <autoFilter ref="A2:P38" xr:uid="{00000000-0009-0000-0000-000000000000}">
    <sortState xmlns:xlrd2="http://schemas.microsoft.com/office/spreadsheetml/2017/richdata2" ref="A3:P38">
      <sortCondition ref="J2:J38"/>
    </sortState>
  </autoFilter>
  <mergeCells count="8">
    <mergeCell ref="C48:D48"/>
    <mergeCell ref="C50:D50"/>
    <mergeCell ref="C47:D47"/>
    <mergeCell ref="C42:D42"/>
    <mergeCell ref="C43:D43"/>
    <mergeCell ref="C44:D44"/>
    <mergeCell ref="C45:D45"/>
    <mergeCell ref="C46:D46"/>
  </mergeCell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8E57-21EB-44C8-A4AB-898D89A5D923}">
  <dimension ref="A1:R57"/>
  <sheetViews>
    <sheetView workbookViewId="0"/>
  </sheetViews>
  <sheetFormatPr defaultRowHeight="15" x14ac:dyDescent="0.25"/>
  <cols>
    <col min="1" max="1" width="12.7109375" style="24" customWidth="1"/>
    <col min="2" max="2" width="9" style="24" customWidth="1"/>
    <col min="3" max="3" width="26.5703125" style="24" customWidth="1"/>
    <col min="4" max="4" width="9.85546875" style="24" customWidth="1"/>
    <col min="5" max="5" width="52.140625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0.42578125" style="24" customWidth="1"/>
    <col min="13" max="13" width="19.5703125" style="24" customWidth="1"/>
    <col min="14" max="14" width="9.7109375" style="24" customWidth="1"/>
    <col min="15" max="15" width="13" style="24" bestFit="1" customWidth="1"/>
    <col min="16" max="16" width="7" style="24" bestFit="1" customWidth="1"/>
    <col min="17" max="16384" width="9.140625" style="24"/>
  </cols>
  <sheetData>
    <row r="1" spans="1:18" customFormat="1" x14ac:dyDescent="0.25">
      <c r="B1" s="4" t="s">
        <v>1167</v>
      </c>
      <c r="C1" s="4" t="s">
        <v>2157</v>
      </c>
      <c r="F1" s="65"/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/>
      <c r="B3" s="35" t="s">
        <v>26</v>
      </c>
      <c r="C3" s="35" t="s">
        <v>2095</v>
      </c>
      <c r="D3" s="35" t="s">
        <v>2096</v>
      </c>
      <c r="E3" s="35" t="s">
        <v>2097</v>
      </c>
      <c r="F3" s="35" t="s">
        <v>77</v>
      </c>
      <c r="G3" s="36">
        <v>800</v>
      </c>
      <c r="H3" s="36">
        <v>30</v>
      </c>
      <c r="I3" s="36">
        <f t="shared" ref="I3:I31" si="0">G3-H3</f>
        <v>770</v>
      </c>
      <c r="J3" s="35" t="s">
        <v>2098</v>
      </c>
      <c r="K3" s="35" t="s">
        <v>31</v>
      </c>
      <c r="L3" s="35" t="s">
        <v>2099</v>
      </c>
      <c r="M3" s="35"/>
      <c r="N3" s="35"/>
      <c r="O3" s="35"/>
      <c r="P3" s="35"/>
      <c r="Q3" s="35">
        <v>1</v>
      </c>
    </row>
    <row r="4" spans="1:18" x14ac:dyDescent="0.25">
      <c r="A4" s="35"/>
      <c r="B4" s="35" t="s">
        <v>26</v>
      </c>
      <c r="C4" s="35" t="s">
        <v>1455</v>
      </c>
      <c r="D4" s="35" t="s">
        <v>2100</v>
      </c>
      <c r="E4" s="35" t="s">
        <v>2101</v>
      </c>
      <c r="F4" s="36">
        <v>8</v>
      </c>
      <c r="G4" s="36">
        <v>850</v>
      </c>
      <c r="H4" s="36">
        <v>30</v>
      </c>
      <c r="I4" s="36">
        <f t="shared" si="0"/>
        <v>820</v>
      </c>
      <c r="J4" s="35" t="s">
        <v>2098</v>
      </c>
      <c r="K4" s="35" t="s">
        <v>31</v>
      </c>
      <c r="L4" s="35" t="s">
        <v>2099</v>
      </c>
      <c r="M4" s="35"/>
      <c r="N4" s="35"/>
      <c r="O4" s="35"/>
      <c r="P4" s="35"/>
      <c r="Q4" s="35">
        <v>1</v>
      </c>
    </row>
    <row r="5" spans="1:18" x14ac:dyDescent="0.25">
      <c r="A5" s="35"/>
      <c r="B5" s="35" t="s">
        <v>26</v>
      </c>
      <c r="C5" s="35" t="s">
        <v>2102</v>
      </c>
      <c r="D5" s="35" t="s">
        <v>2103</v>
      </c>
      <c r="E5" s="35" t="s">
        <v>2104</v>
      </c>
      <c r="F5" s="36">
        <v>7</v>
      </c>
      <c r="G5" s="36">
        <v>490</v>
      </c>
      <c r="H5" s="36">
        <v>30</v>
      </c>
      <c r="I5" s="36">
        <f t="shared" si="0"/>
        <v>460</v>
      </c>
      <c r="J5" s="35" t="s">
        <v>2098</v>
      </c>
      <c r="K5" s="35" t="s">
        <v>31</v>
      </c>
      <c r="L5" s="35" t="s">
        <v>2099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2119</v>
      </c>
      <c r="D6" s="35" t="s">
        <v>2120</v>
      </c>
      <c r="E6" s="35" t="s">
        <v>2121</v>
      </c>
      <c r="F6" s="36">
        <v>12</v>
      </c>
      <c r="G6" s="36">
        <v>550</v>
      </c>
      <c r="H6" s="36">
        <v>30</v>
      </c>
      <c r="I6" s="36">
        <f t="shared" si="0"/>
        <v>520</v>
      </c>
      <c r="J6" s="35" t="s">
        <v>2098</v>
      </c>
      <c r="K6" s="35" t="s">
        <v>31</v>
      </c>
      <c r="L6" s="35" t="s">
        <v>2099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2122</v>
      </c>
      <c r="D7" s="35" t="s">
        <v>2123</v>
      </c>
      <c r="E7" s="35" t="s">
        <v>2124</v>
      </c>
      <c r="F7" s="36">
        <v>5</v>
      </c>
      <c r="G7" s="36">
        <v>0</v>
      </c>
      <c r="H7" s="36">
        <v>25</v>
      </c>
      <c r="I7" s="36">
        <f t="shared" si="0"/>
        <v>-25</v>
      </c>
      <c r="J7" s="35" t="s">
        <v>2098</v>
      </c>
      <c r="K7" s="35" t="s">
        <v>31</v>
      </c>
      <c r="L7" s="35" t="s">
        <v>2099</v>
      </c>
      <c r="M7" s="35"/>
      <c r="N7" s="35"/>
      <c r="O7" s="35"/>
      <c r="P7" s="35"/>
      <c r="Q7" s="35">
        <v>1</v>
      </c>
      <c r="R7" s="25">
        <f>H7</f>
        <v>25</v>
      </c>
    </row>
    <row r="8" spans="1:18" x14ac:dyDescent="0.25">
      <c r="A8" s="35"/>
      <c r="B8" s="35" t="s">
        <v>26</v>
      </c>
      <c r="C8" s="35" t="s">
        <v>2125</v>
      </c>
      <c r="D8" s="35" t="s">
        <v>2126</v>
      </c>
      <c r="E8" s="35" t="s">
        <v>2127</v>
      </c>
      <c r="F8" s="35" t="s">
        <v>117</v>
      </c>
      <c r="G8" s="36">
        <v>1985</v>
      </c>
      <c r="H8" s="36">
        <v>35</v>
      </c>
      <c r="I8" s="36">
        <f t="shared" si="0"/>
        <v>1950</v>
      </c>
      <c r="J8" s="35" t="s">
        <v>2098</v>
      </c>
      <c r="K8" s="35" t="s">
        <v>31</v>
      </c>
      <c r="L8" s="35" t="s">
        <v>2099</v>
      </c>
      <c r="M8" s="35"/>
      <c r="N8" s="35"/>
      <c r="O8" s="35"/>
      <c r="P8" s="35"/>
      <c r="Q8" s="35">
        <v>1</v>
      </c>
    </row>
    <row r="9" spans="1:18" x14ac:dyDescent="0.25">
      <c r="A9" s="35"/>
      <c r="B9" s="35" t="s">
        <v>26</v>
      </c>
      <c r="C9" s="35" t="s">
        <v>2128</v>
      </c>
      <c r="D9" s="35" t="s">
        <v>2129</v>
      </c>
      <c r="E9" s="35" t="s">
        <v>2130</v>
      </c>
      <c r="F9" s="35" t="s">
        <v>117</v>
      </c>
      <c r="G9" s="36">
        <v>0</v>
      </c>
      <c r="H9" s="36">
        <v>35</v>
      </c>
      <c r="I9" s="36">
        <f t="shared" si="0"/>
        <v>-35</v>
      </c>
      <c r="J9" s="35" t="s">
        <v>2098</v>
      </c>
      <c r="K9" s="35" t="s">
        <v>31</v>
      </c>
      <c r="L9" s="35" t="s">
        <v>2099</v>
      </c>
      <c r="M9" s="35"/>
      <c r="N9" s="35"/>
      <c r="O9" s="35"/>
      <c r="P9" s="35"/>
      <c r="Q9" s="35">
        <v>1</v>
      </c>
      <c r="R9" s="25">
        <f>H9</f>
        <v>35</v>
      </c>
    </row>
    <row r="10" spans="1:18" x14ac:dyDescent="0.25">
      <c r="A10" s="35"/>
      <c r="B10" s="35" t="s">
        <v>26</v>
      </c>
      <c r="C10" s="35" t="s">
        <v>2134</v>
      </c>
      <c r="D10" s="35" t="s">
        <v>2135</v>
      </c>
      <c r="E10" s="35" t="s">
        <v>241</v>
      </c>
      <c r="F10" s="36">
        <v>8</v>
      </c>
      <c r="G10" s="36">
        <v>860</v>
      </c>
      <c r="H10" s="36">
        <v>30</v>
      </c>
      <c r="I10" s="36">
        <f t="shared" si="0"/>
        <v>830</v>
      </c>
      <c r="J10" s="35" t="s">
        <v>2098</v>
      </c>
      <c r="K10" s="35" t="s">
        <v>31</v>
      </c>
      <c r="L10" s="35" t="s">
        <v>2099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2139</v>
      </c>
      <c r="D11" s="35" t="s">
        <v>2140</v>
      </c>
      <c r="E11" s="35" t="s">
        <v>2141</v>
      </c>
      <c r="F11" s="35" t="s">
        <v>121</v>
      </c>
      <c r="G11" s="36">
        <v>685</v>
      </c>
      <c r="H11" s="36">
        <v>35</v>
      </c>
      <c r="I11" s="36">
        <f t="shared" si="0"/>
        <v>650</v>
      </c>
      <c r="J11" s="35" t="s">
        <v>2098</v>
      </c>
      <c r="K11" s="35" t="s">
        <v>31</v>
      </c>
      <c r="L11" s="35" t="s">
        <v>2099</v>
      </c>
      <c r="M11" s="35"/>
      <c r="N11" s="35"/>
      <c r="O11" s="35"/>
      <c r="P11" s="35"/>
      <c r="Q11" s="35">
        <v>1</v>
      </c>
    </row>
    <row r="12" spans="1:18" x14ac:dyDescent="0.25">
      <c r="A12" s="35"/>
      <c r="B12" s="35" t="s">
        <v>26</v>
      </c>
      <c r="C12" s="35" t="s">
        <v>2142</v>
      </c>
      <c r="D12" s="35" t="s">
        <v>2143</v>
      </c>
      <c r="E12" s="35" t="s">
        <v>2144</v>
      </c>
      <c r="F12" s="35" t="s">
        <v>45</v>
      </c>
      <c r="G12" s="36">
        <v>815</v>
      </c>
      <c r="H12" s="36">
        <v>25</v>
      </c>
      <c r="I12" s="36">
        <f t="shared" si="0"/>
        <v>790</v>
      </c>
      <c r="J12" s="35" t="s">
        <v>2098</v>
      </c>
      <c r="K12" s="35" t="s">
        <v>31</v>
      </c>
      <c r="L12" s="35" t="s">
        <v>2099</v>
      </c>
      <c r="M12" s="35"/>
      <c r="N12" s="35"/>
      <c r="O12" s="35"/>
      <c r="P12" s="35"/>
      <c r="Q12" s="35">
        <v>1</v>
      </c>
    </row>
    <row r="13" spans="1:18" x14ac:dyDescent="0.25">
      <c r="A13" s="35" t="s">
        <v>66</v>
      </c>
      <c r="B13" s="35" t="s">
        <v>26</v>
      </c>
      <c r="C13" s="35" t="s">
        <v>67</v>
      </c>
      <c r="D13" s="35"/>
      <c r="E13" s="35" t="s">
        <v>1717</v>
      </c>
      <c r="F13" s="36">
        <v>6</v>
      </c>
      <c r="G13" s="36">
        <v>0</v>
      </c>
      <c r="H13" s="36">
        <v>30</v>
      </c>
      <c r="I13" s="36">
        <f t="shared" si="0"/>
        <v>-30</v>
      </c>
      <c r="J13" s="35" t="s">
        <v>2098</v>
      </c>
      <c r="K13" s="35" t="s">
        <v>31</v>
      </c>
      <c r="L13" s="35" t="s">
        <v>2099</v>
      </c>
      <c r="M13" s="35"/>
      <c r="N13" s="35"/>
      <c r="O13" s="35"/>
      <c r="P13" s="35"/>
      <c r="Q13" s="35">
        <v>1</v>
      </c>
      <c r="R13" s="25">
        <f>H13</f>
        <v>30</v>
      </c>
    </row>
    <row r="14" spans="1:18" x14ac:dyDescent="0.25">
      <c r="A14" s="35" t="s">
        <v>66</v>
      </c>
      <c r="B14" s="35" t="s">
        <v>26</v>
      </c>
      <c r="C14" s="35" t="s">
        <v>2149</v>
      </c>
      <c r="D14" s="35"/>
      <c r="E14" s="35" t="s">
        <v>2150</v>
      </c>
      <c r="F14" s="36">
        <v>8</v>
      </c>
      <c r="G14" s="36">
        <v>1095</v>
      </c>
      <c r="H14" s="36">
        <v>35</v>
      </c>
      <c r="I14" s="36">
        <f t="shared" si="0"/>
        <v>1060</v>
      </c>
      <c r="J14" s="35" t="s">
        <v>2098</v>
      </c>
      <c r="K14" s="35" t="s">
        <v>31</v>
      </c>
      <c r="L14" s="35" t="s">
        <v>2099</v>
      </c>
      <c r="M14" s="35"/>
      <c r="N14" s="35"/>
      <c r="O14" s="35"/>
      <c r="P14" s="35"/>
      <c r="Q14" s="35">
        <v>1</v>
      </c>
    </row>
    <row r="15" spans="1:18" s="50" customFormat="1" x14ac:dyDescent="0.25">
      <c r="A15" s="51"/>
      <c r="B15" s="51" t="s">
        <v>26</v>
      </c>
      <c r="C15" s="51" t="s">
        <v>576</v>
      </c>
      <c r="D15" s="51" t="s">
        <v>2036</v>
      </c>
      <c r="E15" s="51" t="s">
        <v>2037</v>
      </c>
      <c r="F15" s="52">
        <v>4</v>
      </c>
      <c r="G15" s="52">
        <v>465</v>
      </c>
      <c r="H15" s="52">
        <v>25</v>
      </c>
      <c r="I15" s="52">
        <f t="shared" si="0"/>
        <v>440</v>
      </c>
      <c r="J15" s="51" t="s">
        <v>2098</v>
      </c>
      <c r="K15" s="51" t="s">
        <v>31</v>
      </c>
      <c r="L15" s="51" t="s">
        <v>2006</v>
      </c>
      <c r="M15" s="51" t="s">
        <v>2155</v>
      </c>
      <c r="N15" s="51"/>
      <c r="O15" s="51"/>
      <c r="P15" s="51"/>
      <c r="Q15" s="51">
        <v>1</v>
      </c>
    </row>
    <row r="16" spans="1:18" x14ac:dyDescent="0.25">
      <c r="A16" s="35"/>
      <c r="B16" s="35" t="s">
        <v>26</v>
      </c>
      <c r="C16" s="35" t="s">
        <v>2105</v>
      </c>
      <c r="D16" s="35" t="s">
        <v>2106</v>
      </c>
      <c r="E16" s="35" t="s">
        <v>2107</v>
      </c>
      <c r="F16" s="35" t="s">
        <v>36</v>
      </c>
      <c r="G16" s="36">
        <v>0</v>
      </c>
      <c r="H16" s="36">
        <v>25</v>
      </c>
      <c r="I16" s="36">
        <f t="shared" si="0"/>
        <v>-25</v>
      </c>
      <c r="J16" s="35" t="s">
        <v>31</v>
      </c>
      <c r="K16" s="35" t="s">
        <v>31</v>
      </c>
      <c r="L16" s="35" t="s">
        <v>2099</v>
      </c>
      <c r="M16" s="35"/>
      <c r="N16" s="35"/>
      <c r="O16" s="35"/>
      <c r="P16" s="35"/>
      <c r="Q16" s="35">
        <v>1</v>
      </c>
      <c r="R16" s="25">
        <f>H16</f>
        <v>25</v>
      </c>
    </row>
    <row r="17" spans="1:18" x14ac:dyDescent="0.25">
      <c r="A17" s="35"/>
      <c r="B17" s="35" t="s">
        <v>26</v>
      </c>
      <c r="C17" s="35" t="s">
        <v>2108</v>
      </c>
      <c r="D17" s="35" t="s">
        <v>2109</v>
      </c>
      <c r="E17" s="35" t="s">
        <v>2110</v>
      </c>
      <c r="F17" s="35" t="s">
        <v>128</v>
      </c>
      <c r="G17" s="36">
        <v>890</v>
      </c>
      <c r="H17" s="36">
        <v>30</v>
      </c>
      <c r="I17" s="36">
        <f t="shared" si="0"/>
        <v>860</v>
      </c>
      <c r="J17" s="35" t="s">
        <v>31</v>
      </c>
      <c r="K17" s="35" t="s">
        <v>31</v>
      </c>
      <c r="L17" s="35" t="s">
        <v>2099</v>
      </c>
      <c r="M17" s="35"/>
      <c r="N17" s="35"/>
      <c r="O17" s="35"/>
      <c r="P17" s="35"/>
      <c r="Q17" s="35">
        <v>1</v>
      </c>
    </row>
    <row r="18" spans="1:18" x14ac:dyDescent="0.25">
      <c r="A18" s="35"/>
      <c r="B18" s="35" t="s">
        <v>26</v>
      </c>
      <c r="C18" s="35" t="s">
        <v>2111</v>
      </c>
      <c r="D18" s="35" t="s">
        <v>2112</v>
      </c>
      <c r="E18" s="35" t="s">
        <v>2113</v>
      </c>
      <c r="F18" s="35" t="s">
        <v>101</v>
      </c>
      <c r="G18" s="36">
        <v>795</v>
      </c>
      <c r="H18" s="36">
        <v>25</v>
      </c>
      <c r="I18" s="36">
        <f t="shared" si="0"/>
        <v>770</v>
      </c>
      <c r="J18" s="35" t="s">
        <v>31</v>
      </c>
      <c r="K18" s="35" t="s">
        <v>31</v>
      </c>
      <c r="L18" s="35" t="s">
        <v>2099</v>
      </c>
      <c r="M18" s="35"/>
      <c r="N18" s="35"/>
      <c r="O18" s="35"/>
      <c r="P18" s="35"/>
      <c r="Q18" s="35">
        <v>1</v>
      </c>
    </row>
    <row r="19" spans="1:18" x14ac:dyDescent="0.25">
      <c r="A19" s="35"/>
      <c r="B19" s="35" t="s">
        <v>26</v>
      </c>
      <c r="C19" s="35" t="s">
        <v>1693</v>
      </c>
      <c r="D19" s="35" t="s">
        <v>2114</v>
      </c>
      <c r="E19" s="35" t="s">
        <v>2115</v>
      </c>
      <c r="F19" s="36">
        <v>9</v>
      </c>
      <c r="G19" s="36">
        <v>850</v>
      </c>
      <c r="H19" s="36">
        <v>30</v>
      </c>
      <c r="I19" s="36">
        <f t="shared" si="0"/>
        <v>820</v>
      </c>
      <c r="J19" s="35" t="s">
        <v>31</v>
      </c>
      <c r="K19" s="35" t="s">
        <v>31</v>
      </c>
      <c r="L19" s="35" t="s">
        <v>2099</v>
      </c>
      <c r="M19" s="35"/>
      <c r="N19" s="35"/>
      <c r="O19" s="35"/>
      <c r="P19" s="35"/>
      <c r="Q19" s="35">
        <v>1</v>
      </c>
    </row>
    <row r="20" spans="1:18" x14ac:dyDescent="0.25">
      <c r="A20" s="35"/>
      <c r="B20" s="35" t="s">
        <v>26</v>
      </c>
      <c r="C20" s="35" t="s">
        <v>2116</v>
      </c>
      <c r="D20" s="35" t="s">
        <v>2117</v>
      </c>
      <c r="E20" s="35" t="s">
        <v>2118</v>
      </c>
      <c r="F20" s="35" t="s">
        <v>128</v>
      </c>
      <c r="G20" s="36">
        <v>2400</v>
      </c>
      <c r="H20" s="36">
        <v>35</v>
      </c>
      <c r="I20" s="36">
        <f t="shared" si="0"/>
        <v>2365</v>
      </c>
      <c r="J20" s="35" t="s">
        <v>31</v>
      </c>
      <c r="K20" s="35" t="s">
        <v>31</v>
      </c>
      <c r="L20" s="35" t="s">
        <v>2099</v>
      </c>
      <c r="M20" s="38" t="s">
        <v>59</v>
      </c>
      <c r="N20" s="35"/>
      <c r="O20" s="35"/>
      <c r="P20" s="35"/>
      <c r="Q20" s="35">
        <v>1</v>
      </c>
      <c r="R20" s="25">
        <f>H20</f>
        <v>35</v>
      </c>
    </row>
    <row r="21" spans="1:18" x14ac:dyDescent="0.25">
      <c r="A21" s="35"/>
      <c r="B21" s="35" t="s">
        <v>26</v>
      </c>
      <c r="C21" s="35" t="s">
        <v>2131</v>
      </c>
      <c r="D21" s="35" t="s">
        <v>2132</v>
      </c>
      <c r="E21" s="35" t="s">
        <v>2133</v>
      </c>
      <c r="F21" s="36">
        <v>12</v>
      </c>
      <c r="G21" s="36">
        <v>0</v>
      </c>
      <c r="H21" s="36">
        <v>30</v>
      </c>
      <c r="I21" s="36">
        <f t="shared" si="0"/>
        <v>-30</v>
      </c>
      <c r="J21" s="35" t="s">
        <v>31</v>
      </c>
      <c r="K21" s="35" t="s">
        <v>31</v>
      </c>
      <c r="L21" s="35" t="s">
        <v>2099</v>
      </c>
      <c r="M21" s="35"/>
      <c r="N21" s="35"/>
      <c r="O21" s="35"/>
      <c r="P21" s="35"/>
      <c r="Q21" s="35">
        <v>1</v>
      </c>
      <c r="R21" s="25">
        <f>H21</f>
        <v>30</v>
      </c>
    </row>
    <row r="22" spans="1:18" x14ac:dyDescent="0.25">
      <c r="A22" s="35"/>
      <c r="B22" s="35" t="s">
        <v>26</v>
      </c>
      <c r="C22" s="35" t="s">
        <v>2136</v>
      </c>
      <c r="D22" s="35" t="s">
        <v>2137</v>
      </c>
      <c r="E22" s="35" t="s">
        <v>2138</v>
      </c>
      <c r="F22" s="35" t="s">
        <v>45</v>
      </c>
      <c r="G22" s="36">
        <v>168</v>
      </c>
      <c r="H22" s="36">
        <v>25</v>
      </c>
      <c r="I22" s="36">
        <f t="shared" si="0"/>
        <v>143</v>
      </c>
      <c r="J22" s="35" t="s">
        <v>31</v>
      </c>
      <c r="K22" s="35" t="s">
        <v>31</v>
      </c>
      <c r="L22" s="35" t="s">
        <v>2099</v>
      </c>
      <c r="M22" s="35"/>
      <c r="N22" s="35"/>
      <c r="O22" s="35"/>
      <c r="P22" s="35"/>
      <c r="Q22" s="35">
        <v>1</v>
      </c>
    </row>
    <row r="23" spans="1:18" x14ac:dyDescent="0.25">
      <c r="A23" s="35"/>
      <c r="B23" s="35" t="s">
        <v>26</v>
      </c>
      <c r="C23" s="35" t="s">
        <v>2145</v>
      </c>
      <c r="D23" s="35" t="s">
        <v>2146</v>
      </c>
      <c r="E23" s="35" t="s">
        <v>2147</v>
      </c>
      <c r="F23" s="35" t="s">
        <v>101</v>
      </c>
      <c r="G23" s="36">
        <v>845</v>
      </c>
      <c r="H23" s="36">
        <v>25</v>
      </c>
      <c r="I23" s="36">
        <f t="shared" si="0"/>
        <v>820</v>
      </c>
      <c r="J23" s="35" t="s">
        <v>31</v>
      </c>
      <c r="K23" s="35" t="s">
        <v>31</v>
      </c>
      <c r="L23" s="35" t="s">
        <v>2099</v>
      </c>
      <c r="M23" s="35"/>
      <c r="N23" s="35"/>
      <c r="O23" s="35"/>
      <c r="P23" s="35"/>
      <c r="Q23" s="35">
        <v>1</v>
      </c>
    </row>
    <row r="24" spans="1:18" x14ac:dyDescent="0.25">
      <c r="A24" s="35" t="s">
        <v>66</v>
      </c>
      <c r="B24" s="35" t="s">
        <v>26</v>
      </c>
      <c r="C24" s="35" t="s">
        <v>1053</v>
      </c>
      <c r="D24" s="35"/>
      <c r="E24" s="35" t="s">
        <v>1054</v>
      </c>
      <c r="F24" s="35" t="s">
        <v>36</v>
      </c>
      <c r="G24" s="36">
        <v>6390</v>
      </c>
      <c r="H24" s="36">
        <v>50</v>
      </c>
      <c r="I24" s="36">
        <f t="shared" si="0"/>
        <v>6340</v>
      </c>
      <c r="J24" s="35" t="s">
        <v>31</v>
      </c>
      <c r="K24" s="35" t="s">
        <v>31</v>
      </c>
      <c r="L24" s="35" t="s">
        <v>2099</v>
      </c>
      <c r="M24" s="35"/>
      <c r="N24" s="35"/>
      <c r="O24" s="35"/>
      <c r="P24" s="35"/>
      <c r="Q24" s="35">
        <v>1</v>
      </c>
    </row>
    <row r="25" spans="1:18" x14ac:dyDescent="0.25">
      <c r="A25" s="35" t="s">
        <v>66</v>
      </c>
      <c r="B25" s="35" t="s">
        <v>26</v>
      </c>
      <c r="C25" s="35" t="s">
        <v>73</v>
      </c>
      <c r="D25" s="35"/>
      <c r="E25" s="35" t="s">
        <v>2148</v>
      </c>
      <c r="F25" s="35" t="s">
        <v>36</v>
      </c>
      <c r="G25" s="36">
        <v>40</v>
      </c>
      <c r="H25" s="36">
        <v>40</v>
      </c>
      <c r="I25" s="36">
        <f t="shared" si="0"/>
        <v>0</v>
      </c>
      <c r="J25" s="35" t="s">
        <v>31</v>
      </c>
      <c r="K25" s="35" t="s">
        <v>31</v>
      </c>
      <c r="L25" s="35" t="s">
        <v>2099</v>
      </c>
      <c r="M25" s="35"/>
      <c r="N25" s="35"/>
      <c r="O25" s="35"/>
      <c r="P25" s="35"/>
      <c r="Q25" s="35">
        <v>1</v>
      </c>
    </row>
    <row r="26" spans="1:18" x14ac:dyDescent="0.25">
      <c r="A26" s="35" t="s">
        <v>66</v>
      </c>
      <c r="B26" s="35" t="s">
        <v>26</v>
      </c>
      <c r="C26" s="35" t="s">
        <v>2151</v>
      </c>
      <c r="D26" s="35"/>
      <c r="E26" s="35" t="s">
        <v>2152</v>
      </c>
      <c r="F26" s="36">
        <v>9</v>
      </c>
      <c r="G26" s="36">
        <v>635</v>
      </c>
      <c r="H26" s="36">
        <v>35</v>
      </c>
      <c r="I26" s="36">
        <f t="shared" si="0"/>
        <v>600</v>
      </c>
      <c r="J26" s="35" t="s">
        <v>31</v>
      </c>
      <c r="K26" s="35" t="s">
        <v>31</v>
      </c>
      <c r="L26" s="35" t="s">
        <v>2099</v>
      </c>
      <c r="M26" s="35"/>
      <c r="N26" s="35"/>
      <c r="O26" s="35"/>
      <c r="P26" s="35"/>
      <c r="Q26" s="35">
        <v>1</v>
      </c>
    </row>
    <row r="27" spans="1:18" x14ac:dyDescent="0.25">
      <c r="A27" s="35" t="s">
        <v>66</v>
      </c>
      <c r="B27" s="35" t="s">
        <v>26</v>
      </c>
      <c r="C27" s="35" t="s">
        <v>2153</v>
      </c>
      <c r="D27" s="35"/>
      <c r="E27" s="35" t="s">
        <v>2154</v>
      </c>
      <c r="F27" s="35" t="s">
        <v>132</v>
      </c>
      <c r="G27" s="36">
        <v>2640</v>
      </c>
      <c r="H27" s="36">
        <v>40</v>
      </c>
      <c r="I27" s="36">
        <f t="shared" si="0"/>
        <v>2600</v>
      </c>
      <c r="J27" s="35" t="s">
        <v>31</v>
      </c>
      <c r="K27" s="35" t="s">
        <v>31</v>
      </c>
      <c r="L27" s="35" t="s">
        <v>2099</v>
      </c>
      <c r="M27" s="35"/>
      <c r="N27" s="35"/>
      <c r="O27" s="35"/>
      <c r="P27" s="35"/>
      <c r="Q27" s="35">
        <v>1</v>
      </c>
    </row>
    <row r="28" spans="1:18" x14ac:dyDescent="0.25">
      <c r="A28" s="35" t="s">
        <v>66</v>
      </c>
      <c r="B28" s="35" t="s">
        <v>26</v>
      </c>
      <c r="C28" s="35" t="s">
        <v>99</v>
      </c>
      <c r="D28" s="35"/>
      <c r="E28" s="35" t="s">
        <v>100</v>
      </c>
      <c r="F28" s="35" t="s">
        <v>101</v>
      </c>
      <c r="G28" s="36">
        <v>0</v>
      </c>
      <c r="H28" s="36">
        <v>30</v>
      </c>
      <c r="I28" s="36">
        <f t="shared" si="0"/>
        <v>-30</v>
      </c>
      <c r="J28" s="35" t="s">
        <v>31</v>
      </c>
      <c r="K28" s="35" t="s">
        <v>31</v>
      </c>
      <c r="L28" s="35" t="s">
        <v>2099</v>
      </c>
      <c r="M28" s="35"/>
      <c r="N28" s="35"/>
      <c r="O28" s="35"/>
      <c r="P28" s="35"/>
      <c r="Q28" s="35">
        <v>1</v>
      </c>
      <c r="R28" s="25">
        <f t="shared" ref="R28:R29" si="1">H28</f>
        <v>30</v>
      </c>
    </row>
    <row r="29" spans="1:18" x14ac:dyDescent="0.25">
      <c r="A29" s="35" t="s">
        <v>66</v>
      </c>
      <c r="B29" s="35" t="s">
        <v>26</v>
      </c>
      <c r="C29" s="35" t="s">
        <v>1299</v>
      </c>
      <c r="D29" s="35"/>
      <c r="E29" s="35" t="s">
        <v>1300</v>
      </c>
      <c r="F29" s="35" t="s">
        <v>36</v>
      </c>
      <c r="G29" s="36">
        <v>0</v>
      </c>
      <c r="H29" s="36">
        <v>30</v>
      </c>
      <c r="I29" s="36">
        <f t="shared" si="0"/>
        <v>-30</v>
      </c>
      <c r="J29" s="35" t="s">
        <v>31</v>
      </c>
      <c r="K29" s="35" t="s">
        <v>31</v>
      </c>
      <c r="L29" s="35" t="s">
        <v>2099</v>
      </c>
      <c r="M29" s="35"/>
      <c r="N29" s="35"/>
      <c r="O29" s="35"/>
      <c r="P29" s="35"/>
      <c r="Q29" s="35">
        <v>1</v>
      </c>
      <c r="R29" s="25">
        <f t="shared" si="1"/>
        <v>30</v>
      </c>
    </row>
    <row r="30" spans="1:18" s="30" customFormat="1" x14ac:dyDescent="0.25">
      <c r="A30" s="37"/>
      <c r="B30" s="37" t="s">
        <v>26</v>
      </c>
      <c r="C30" s="37" t="s">
        <v>2021</v>
      </c>
      <c r="D30" s="37" t="s">
        <v>2022</v>
      </c>
      <c r="E30" s="37" t="s">
        <v>2023</v>
      </c>
      <c r="F30" s="43">
        <v>7</v>
      </c>
      <c r="G30" s="43">
        <v>490</v>
      </c>
      <c r="H30" s="43">
        <v>30</v>
      </c>
      <c r="I30" s="43">
        <f t="shared" si="0"/>
        <v>460</v>
      </c>
      <c r="J30" s="37" t="s">
        <v>118</v>
      </c>
      <c r="K30" s="37" t="s">
        <v>31</v>
      </c>
      <c r="L30" s="37" t="s">
        <v>2006</v>
      </c>
      <c r="M30" s="37" t="s">
        <v>91</v>
      </c>
      <c r="N30" s="37" t="s">
        <v>316</v>
      </c>
      <c r="O30" s="37" t="s">
        <v>316</v>
      </c>
      <c r="P30" s="37" t="s">
        <v>317</v>
      </c>
      <c r="Q30" s="37">
        <v>1</v>
      </c>
    </row>
    <row r="31" spans="1:18" s="30" customFormat="1" x14ac:dyDescent="0.25">
      <c r="A31" s="37"/>
      <c r="B31" s="37" t="s">
        <v>26</v>
      </c>
      <c r="C31" s="37" t="s">
        <v>828</v>
      </c>
      <c r="D31" s="37" t="s">
        <v>1268</v>
      </c>
      <c r="E31" s="37" t="s">
        <v>830</v>
      </c>
      <c r="F31" s="43">
        <v>9</v>
      </c>
      <c r="G31" s="43">
        <v>320</v>
      </c>
      <c r="H31" s="43">
        <v>30</v>
      </c>
      <c r="I31" s="43">
        <f t="shared" si="0"/>
        <v>290</v>
      </c>
      <c r="J31" s="37" t="s">
        <v>118</v>
      </c>
      <c r="K31" s="37" t="s">
        <v>31</v>
      </c>
      <c r="L31" s="37" t="s">
        <v>1175</v>
      </c>
      <c r="M31" s="37" t="s">
        <v>91</v>
      </c>
      <c r="N31" s="37" t="s">
        <v>316</v>
      </c>
      <c r="O31" s="37" t="s">
        <v>316</v>
      </c>
      <c r="P31" s="37" t="s">
        <v>317</v>
      </c>
      <c r="Q31" s="37">
        <v>1</v>
      </c>
    </row>
    <row r="33" spans="1:17" x14ac:dyDescent="0.25">
      <c r="D33" s="26">
        <f>COUNTA(D3:D31)</f>
        <v>21</v>
      </c>
      <c r="G33" s="26">
        <f t="shared" ref="G33:Q33" si="2">SUBTOTAL(9,G3:G31)</f>
        <v>25058</v>
      </c>
      <c r="H33" s="26">
        <f t="shared" si="2"/>
        <v>905</v>
      </c>
      <c r="I33" s="26">
        <f t="shared" si="2"/>
        <v>24153</v>
      </c>
      <c r="J33" s="26">
        <f t="shared" si="2"/>
        <v>0</v>
      </c>
      <c r="K33" s="26">
        <f t="shared" si="2"/>
        <v>0</v>
      </c>
      <c r="L33" s="26">
        <f t="shared" si="2"/>
        <v>0</v>
      </c>
      <c r="M33" s="26">
        <f t="shared" si="2"/>
        <v>0</v>
      </c>
      <c r="N33" s="26">
        <f t="shared" si="2"/>
        <v>0</v>
      </c>
      <c r="O33" s="26">
        <f t="shared" si="2"/>
        <v>0</v>
      </c>
      <c r="P33" s="26">
        <f t="shared" si="2"/>
        <v>0</v>
      </c>
      <c r="Q33" s="26">
        <f t="shared" si="2"/>
        <v>29</v>
      </c>
    </row>
    <row r="34" spans="1:17" x14ac:dyDescent="0.25">
      <c r="H34" s="24">
        <f>-8*17</f>
        <v>-136</v>
      </c>
      <c r="I34" s="24">
        <f>1*17</f>
        <v>17</v>
      </c>
    </row>
    <row r="35" spans="1:17" x14ac:dyDescent="0.25">
      <c r="A35" s="26" t="s">
        <v>26</v>
      </c>
      <c r="C35" s="80" t="s">
        <v>78</v>
      </c>
      <c r="D35" s="80"/>
      <c r="E35" s="27" t="s">
        <v>79</v>
      </c>
      <c r="H35" s="24">
        <f>-2*25</f>
        <v>-50</v>
      </c>
      <c r="I35" s="24">
        <f>1*25</f>
        <v>25</v>
      </c>
      <c r="K35" s="28" t="s">
        <v>2098</v>
      </c>
      <c r="L35" s="28" t="s">
        <v>80</v>
      </c>
      <c r="M35" s="28" t="s">
        <v>79</v>
      </c>
      <c r="O35" s="27" t="s">
        <v>81</v>
      </c>
    </row>
    <row r="36" spans="1:17" x14ac:dyDescent="0.25">
      <c r="A36" s="24" t="s">
        <v>2099</v>
      </c>
      <c r="B36" s="29" t="s">
        <v>82</v>
      </c>
      <c r="C36" s="81">
        <f>SUMIFS(I$3:I$31,B$3:B$31,A$35,L$3:L$31,A$36)</f>
        <v>22963</v>
      </c>
      <c r="D36" s="81"/>
      <c r="E36" s="29">
        <f>SUMIFS(Q$3:Q$31,B$3:B$31,A$35,L$3:L$31,A$36)</f>
        <v>26</v>
      </c>
      <c r="F36" s="24" t="s">
        <v>83</v>
      </c>
      <c r="H36" s="24">
        <f>-3*30</f>
        <v>-90</v>
      </c>
      <c r="K36" s="24" t="s">
        <v>84</v>
      </c>
      <c r="L36" s="24">
        <f>SUMIFS(G$3:G$31,J$3:J$31,K$35)</f>
        <v>8595</v>
      </c>
      <c r="M36" s="24">
        <f>SUMIFS(Q$3:Q$31,J$3:J$31,K$35)-INT(COUNTIFS(J$3:J$31,K$35,M$3:M$31,"*gộp*")/2)</f>
        <v>13</v>
      </c>
      <c r="O36" s="24" t="s">
        <v>2156</v>
      </c>
      <c r="P36" s="24">
        <f>L41</f>
        <v>7527</v>
      </c>
    </row>
    <row r="37" spans="1:17" x14ac:dyDescent="0.25">
      <c r="B37" s="30" t="s">
        <v>86</v>
      </c>
      <c r="C37" s="82">
        <v>0</v>
      </c>
      <c r="D37" s="82"/>
      <c r="K37" s="24" t="s">
        <v>87</v>
      </c>
      <c r="L37" s="24">
        <f>SUM(H34:H36)</f>
        <v>-276</v>
      </c>
      <c r="M37" s="24">
        <f>SUMIFS(Q$3:Q$31,J$3:J$31,K$35)-INT(COUNTIFS(J$3:J$31,K$35,M$3:M$31,"*gộp*")/2)</f>
        <v>13</v>
      </c>
      <c r="O37" s="24" t="s">
        <v>31</v>
      </c>
      <c r="P37" s="24">
        <f>L49</f>
        <v>15225</v>
      </c>
    </row>
    <row r="38" spans="1:17" x14ac:dyDescent="0.25">
      <c r="B38" s="30" t="s">
        <v>88</v>
      </c>
      <c r="C38" s="82">
        <f>-SUMIFS(I$3:I$31,B$3:B$31,A$35,P$3:P$31,"xx",N$3:N$31,"x")</f>
        <v>-750</v>
      </c>
      <c r="D38" s="82"/>
      <c r="E38" s="30">
        <f>SUMIFS(Q$3:Q$31,B$3:B$31,A$35,P$3:P$31,"xx",N$3:N$31,"x")</f>
        <v>2</v>
      </c>
      <c r="K38" s="24" t="s">
        <v>89</v>
      </c>
      <c r="L38" s="24">
        <f>-M38*2</f>
        <v>0</v>
      </c>
      <c r="M38" s="24">
        <f>COUNTIFS(K$3:K$31,K$35,L$3:L$31,A$36)-(COUNTIFS(K$3:K$31,K$35,M$3:M$31,"*gộp*")/2)-COUNTIFS(K$3:K$31,K$35,M$3:M$31,"*đơn trả*")-COUNTIFS(K$3:K$31,K$35,M$3:M$31,"*hàng tỉnh*")</f>
        <v>0</v>
      </c>
      <c r="O38" s="69" t="s">
        <v>41</v>
      </c>
      <c r="P38" s="24">
        <f>L57</f>
        <v>-445</v>
      </c>
    </row>
    <row r="39" spans="1:17" x14ac:dyDescent="0.25">
      <c r="B39" s="27" t="s">
        <v>90</v>
      </c>
      <c r="C39" s="80">
        <f>SUBTOTAL(9,C36:C38)</f>
        <v>22213</v>
      </c>
      <c r="D39" s="80"/>
      <c r="E39" s="24">
        <f>E36</f>
        <v>26</v>
      </c>
      <c r="K39" s="31" t="s">
        <v>91</v>
      </c>
      <c r="L39" s="48">
        <v>-792</v>
      </c>
      <c r="M39" s="48" t="s">
        <v>589</v>
      </c>
      <c r="O39" s="24" t="s">
        <v>92</v>
      </c>
      <c r="P39" s="24">
        <f>-C43</f>
        <v>-22213</v>
      </c>
    </row>
    <row r="40" spans="1:17" x14ac:dyDescent="0.25">
      <c r="B40" s="30" t="s">
        <v>93</v>
      </c>
      <c r="C40" s="78"/>
      <c r="D40" s="78"/>
      <c r="K40" s="30" t="s">
        <v>94</v>
      </c>
      <c r="O40" s="27" t="s">
        <v>95</v>
      </c>
      <c r="P40" s="27">
        <f>SUBTOTAL(9,P36:P39)</f>
        <v>94</v>
      </c>
    </row>
    <row r="41" spans="1:17" x14ac:dyDescent="0.25">
      <c r="B41" s="32" t="s">
        <v>96</v>
      </c>
      <c r="C41" s="78"/>
      <c r="D41" s="78"/>
      <c r="L41" s="33">
        <f>SUBTOTAL(9,L36:L40)</f>
        <v>7527</v>
      </c>
      <c r="M41" s="33">
        <f>M36</f>
        <v>13</v>
      </c>
    </row>
    <row r="43" spans="1:17" x14ac:dyDescent="0.25">
      <c r="B43" s="26" t="s">
        <v>97</v>
      </c>
      <c r="C43" s="79">
        <f>C39+C40+C41</f>
        <v>22213</v>
      </c>
      <c r="D43" s="79"/>
      <c r="E43" s="26" t="s">
        <v>98</v>
      </c>
      <c r="K43" s="28" t="s">
        <v>31</v>
      </c>
      <c r="L43" s="28" t="s">
        <v>80</v>
      </c>
      <c r="M43" s="28" t="s">
        <v>79</v>
      </c>
    </row>
    <row r="44" spans="1:17" x14ac:dyDescent="0.25">
      <c r="K44" s="24" t="s">
        <v>84</v>
      </c>
      <c r="L44" s="24">
        <f>SUMIFS(G$3:G$31,J$3:J$31,K$43)</f>
        <v>15653</v>
      </c>
      <c r="M44" s="24">
        <f>SUMIFS(Q$3:Q$31,J$3:J$31,K$43)-INT(COUNTIFS(J$3:J$31,K$43,M$3:M$31,"*gộp*")/2)</f>
        <v>14</v>
      </c>
    </row>
    <row r="45" spans="1:17" x14ac:dyDescent="0.25">
      <c r="K45" s="24" t="s">
        <v>87</v>
      </c>
      <c r="L45" s="24">
        <f>-SUMIFS(H$3:H$31,J$3:J$31,K$43)+M45*5</f>
        <v>-380</v>
      </c>
      <c r="M45" s="24">
        <f>SUMIFS(Q$3:Q$31,J$3:J$31,K$43)-INT(COUNTIFS(J$3:J$31,K$43,M$3:M$31,"*gộp*")/2)</f>
        <v>14</v>
      </c>
    </row>
    <row r="46" spans="1:17" x14ac:dyDescent="0.25">
      <c r="K46" s="24" t="s">
        <v>89</v>
      </c>
      <c r="L46" s="24">
        <f>-M46*2</f>
        <v>-48</v>
      </c>
      <c r="M46" s="24">
        <f>COUNTIFS(K$3:K$31,K$43,L$3:L$31,A$36)-(COUNTIFS(K$3:K$31,K$43,M$3:M$31,"*gộp*")/2)-COUNTIFS(K$3:K$31,K$43,M$3:M$31,"*đơn trả*")-COUNTIFS(K$3:K$31,K$43,M$3:M$31,"*hàng tỉnh*")</f>
        <v>24</v>
      </c>
    </row>
    <row r="47" spans="1:17" x14ac:dyDescent="0.25">
      <c r="K47" s="31" t="s">
        <v>91</v>
      </c>
    </row>
    <row r="48" spans="1:17" x14ac:dyDescent="0.25">
      <c r="K48" s="30" t="s">
        <v>94</v>
      </c>
    </row>
    <row r="49" spans="11:13" x14ac:dyDescent="0.25">
      <c r="L49" s="33">
        <f>SUBTOTAL(9,L44:L48)</f>
        <v>15225</v>
      </c>
      <c r="M49" s="33">
        <f>M44</f>
        <v>14</v>
      </c>
    </row>
    <row r="51" spans="11:13" x14ac:dyDescent="0.25">
      <c r="K51" s="28" t="s">
        <v>41</v>
      </c>
      <c r="L51" s="28" t="s">
        <v>80</v>
      </c>
      <c r="M51" s="28" t="s">
        <v>79</v>
      </c>
    </row>
    <row r="52" spans="11:13" x14ac:dyDescent="0.25">
      <c r="K52" s="24" t="s">
        <v>84</v>
      </c>
      <c r="L52" s="24">
        <f>SUMIFS(G$3:G$31,J$3:J$31,K$51)</f>
        <v>0</v>
      </c>
      <c r="M52" s="24">
        <f>SUMIFS(Q$3:Q$31,J$3:J$31,K$51)-INT(COUNTIFS(J$3:J$31,K$51,M$3:M$31,"*gộp*")/2)</f>
        <v>0</v>
      </c>
    </row>
    <row r="53" spans="11:13" x14ac:dyDescent="0.25">
      <c r="K53" s="24" t="s">
        <v>87</v>
      </c>
      <c r="L53" s="24">
        <f>-SUMIFS(H$3:H$31,J$3:J$31,K$51)+M53*5</f>
        <v>0</v>
      </c>
      <c r="M53" s="24">
        <f>SUMIFS(Q$3:Q$31,J$3:J$31,K$51)-INT(COUNTIFS(J$3:J$31,K$51,M$3:M$31,"*gộp*")/2)</f>
        <v>0</v>
      </c>
    </row>
    <row r="54" spans="11:13" x14ac:dyDescent="0.25">
      <c r="K54" s="24" t="s">
        <v>89</v>
      </c>
      <c r="L54" s="24">
        <f>-M54*2</f>
        <v>0</v>
      </c>
      <c r="M54" s="24">
        <f>COUNTIFS(K$3:K$31,K$51,L$3:L$31,A$36)-(COUNTIFS(K$3:K$31,K$51,M$3:M$31,"*gộp*")/2)-COUNTIFS(K$3:K$31,K$51,M$3:M$31,"*đơn trả*")-COUNTIFS(K$3:K$31,K$51,M$3:M$31,"*hàng tỉnh*")</f>
        <v>0</v>
      </c>
    </row>
    <row r="55" spans="11:13" x14ac:dyDescent="0.25">
      <c r="K55" s="31" t="s">
        <v>91</v>
      </c>
      <c r="L55" s="48">
        <v>-445</v>
      </c>
      <c r="M55" s="48" t="s">
        <v>590</v>
      </c>
    </row>
    <row r="56" spans="11:13" x14ac:dyDescent="0.25">
      <c r="K56" s="30" t="s">
        <v>94</v>
      </c>
    </row>
    <row r="57" spans="11:13" x14ac:dyDescent="0.25">
      <c r="L57" s="33">
        <f>SUBTOTAL(9,L52:L56)</f>
        <v>-445</v>
      </c>
      <c r="M57" s="33">
        <f>M52</f>
        <v>0</v>
      </c>
    </row>
  </sheetData>
  <autoFilter ref="A2:P31" xr:uid="{00000000-0009-0000-0000-000000000000}">
    <sortState xmlns:xlrd2="http://schemas.microsoft.com/office/spreadsheetml/2017/richdata2" ref="A3:P31">
      <sortCondition ref="J2:J31"/>
    </sortState>
  </autoFilter>
  <mergeCells count="8">
    <mergeCell ref="C41:D41"/>
    <mergeCell ref="C43:D43"/>
    <mergeCell ref="C35:D35"/>
    <mergeCell ref="C36:D36"/>
    <mergeCell ref="C37:D37"/>
    <mergeCell ref="C38:D38"/>
    <mergeCell ref="C39:D39"/>
    <mergeCell ref="C40:D40"/>
  </mergeCells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B3A5-6E15-47E1-865F-4DEE8BEED6FE}">
  <dimension ref="A1:R73"/>
  <sheetViews>
    <sheetView workbookViewId="0">
      <selection activeCell="J51" sqref="J51"/>
    </sheetView>
  </sheetViews>
  <sheetFormatPr defaultRowHeight="15" x14ac:dyDescent="0.25"/>
  <cols>
    <col min="1" max="1" width="12.7109375" style="24" customWidth="1"/>
    <col min="2" max="2" width="9.140625" style="24" customWidth="1"/>
    <col min="3" max="3" width="30.28515625" style="24" customWidth="1"/>
    <col min="4" max="4" width="9.85546875" style="24" customWidth="1"/>
    <col min="5" max="5" width="81" style="24" customWidth="1"/>
    <col min="6" max="6" width="10.71093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0.42578125" style="24" customWidth="1"/>
    <col min="13" max="13" width="8.5703125" style="24" customWidth="1"/>
    <col min="14" max="14" width="9.7109375" style="24" customWidth="1"/>
    <col min="15" max="15" width="10.42578125" style="24" customWidth="1"/>
    <col min="16" max="16" width="7" style="24" bestFit="1" customWidth="1"/>
    <col min="17" max="16384" width="9.140625" style="24"/>
  </cols>
  <sheetData>
    <row r="1" spans="1:18" customFormat="1" x14ac:dyDescent="0.25">
      <c r="B1" s="4" t="s">
        <v>1165</v>
      </c>
      <c r="C1" s="4" t="s">
        <v>2272</v>
      </c>
      <c r="F1" s="65"/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/>
      <c r="B3" s="35" t="s">
        <v>26</v>
      </c>
      <c r="C3" s="35" t="s">
        <v>1392</v>
      </c>
      <c r="D3" s="35" t="s">
        <v>2162</v>
      </c>
      <c r="E3" s="35" t="s">
        <v>2163</v>
      </c>
      <c r="F3" s="36">
        <v>6</v>
      </c>
      <c r="G3" s="36">
        <v>0</v>
      </c>
      <c r="H3" s="36">
        <v>25</v>
      </c>
      <c r="I3" s="36">
        <f t="shared" ref="I3:I47" si="0">G3-H3</f>
        <v>-25</v>
      </c>
      <c r="J3" s="35" t="s">
        <v>2164</v>
      </c>
      <c r="K3" s="35" t="s">
        <v>31</v>
      </c>
      <c r="L3" s="35" t="s">
        <v>2161</v>
      </c>
      <c r="M3" s="35"/>
      <c r="N3" s="35"/>
      <c r="O3" s="35"/>
      <c r="P3" s="35"/>
      <c r="Q3" s="35">
        <v>1</v>
      </c>
      <c r="R3" s="25">
        <f>H3</f>
        <v>25</v>
      </c>
    </row>
    <row r="4" spans="1:18" x14ac:dyDescent="0.25">
      <c r="A4" s="35"/>
      <c r="B4" s="35" t="s">
        <v>26</v>
      </c>
      <c r="C4" s="35" t="s">
        <v>2165</v>
      </c>
      <c r="D4" s="35" t="s">
        <v>2166</v>
      </c>
      <c r="E4" s="35" t="s">
        <v>2167</v>
      </c>
      <c r="F4" s="36">
        <v>8</v>
      </c>
      <c r="G4" s="36">
        <v>520</v>
      </c>
      <c r="H4" s="36">
        <v>30</v>
      </c>
      <c r="I4" s="36">
        <f t="shared" si="0"/>
        <v>490</v>
      </c>
      <c r="J4" s="35" t="s">
        <v>2164</v>
      </c>
      <c r="K4" s="35" t="s">
        <v>31</v>
      </c>
      <c r="L4" s="35" t="s">
        <v>2161</v>
      </c>
      <c r="M4" s="35"/>
      <c r="N4" s="35"/>
      <c r="O4" s="35"/>
      <c r="P4" s="35"/>
      <c r="Q4" s="35">
        <v>1</v>
      </c>
    </row>
    <row r="5" spans="1:18" x14ac:dyDescent="0.25">
      <c r="A5" s="35"/>
      <c r="B5" s="35" t="s">
        <v>26</v>
      </c>
      <c r="C5" s="35" t="s">
        <v>2168</v>
      </c>
      <c r="D5" s="35" t="s">
        <v>2169</v>
      </c>
      <c r="E5" s="35" t="s">
        <v>2170</v>
      </c>
      <c r="F5" s="36">
        <v>7</v>
      </c>
      <c r="G5" s="36">
        <v>1620</v>
      </c>
      <c r="H5" s="36">
        <v>30</v>
      </c>
      <c r="I5" s="36">
        <f t="shared" si="0"/>
        <v>1590</v>
      </c>
      <c r="J5" s="35" t="s">
        <v>2164</v>
      </c>
      <c r="K5" s="35" t="s">
        <v>31</v>
      </c>
      <c r="L5" s="35" t="s">
        <v>2161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2183</v>
      </c>
      <c r="D6" s="35" t="s">
        <v>2184</v>
      </c>
      <c r="E6" s="35" t="s">
        <v>2185</v>
      </c>
      <c r="F6" s="35" t="s">
        <v>101</v>
      </c>
      <c r="G6" s="36">
        <v>0</v>
      </c>
      <c r="H6" s="36">
        <v>25</v>
      </c>
      <c r="I6" s="36">
        <f t="shared" si="0"/>
        <v>-25</v>
      </c>
      <c r="J6" s="35" t="s">
        <v>2164</v>
      </c>
      <c r="K6" s="35" t="s">
        <v>31</v>
      </c>
      <c r="L6" s="35" t="s">
        <v>2161</v>
      </c>
      <c r="M6" s="35"/>
      <c r="N6" s="35"/>
      <c r="O6" s="35"/>
      <c r="P6" s="35"/>
      <c r="Q6" s="35">
        <v>1</v>
      </c>
      <c r="R6" s="25">
        <f>H6</f>
        <v>25</v>
      </c>
    </row>
    <row r="7" spans="1:18" x14ac:dyDescent="0.25">
      <c r="A7" s="35"/>
      <c r="B7" s="35" t="s">
        <v>26</v>
      </c>
      <c r="C7" s="35" t="s">
        <v>2186</v>
      </c>
      <c r="D7" s="35" t="s">
        <v>2187</v>
      </c>
      <c r="E7" s="35" t="s">
        <v>2188</v>
      </c>
      <c r="F7" s="36">
        <v>8</v>
      </c>
      <c r="G7" s="36">
        <v>520</v>
      </c>
      <c r="H7" s="36">
        <v>30</v>
      </c>
      <c r="I7" s="36">
        <f t="shared" si="0"/>
        <v>490</v>
      </c>
      <c r="J7" s="35" t="s">
        <v>2164</v>
      </c>
      <c r="K7" s="35" t="s">
        <v>31</v>
      </c>
      <c r="L7" s="35" t="s">
        <v>2161</v>
      </c>
      <c r="M7" s="35"/>
      <c r="N7" s="35"/>
      <c r="O7" s="35"/>
      <c r="P7" s="35"/>
      <c r="Q7" s="35">
        <v>1</v>
      </c>
    </row>
    <row r="8" spans="1:18" x14ac:dyDescent="0.25">
      <c r="A8" s="35"/>
      <c r="B8" s="35" t="s">
        <v>26</v>
      </c>
      <c r="C8" s="35" t="s">
        <v>2189</v>
      </c>
      <c r="D8" s="35" t="s">
        <v>2190</v>
      </c>
      <c r="E8" s="35" t="s">
        <v>995</v>
      </c>
      <c r="F8" s="35" t="s">
        <v>77</v>
      </c>
      <c r="G8" s="36">
        <v>750</v>
      </c>
      <c r="H8" s="36">
        <v>30</v>
      </c>
      <c r="I8" s="36">
        <f t="shared" si="0"/>
        <v>720</v>
      </c>
      <c r="J8" s="35" t="s">
        <v>2164</v>
      </c>
      <c r="K8" s="35" t="s">
        <v>31</v>
      </c>
      <c r="L8" s="35" t="s">
        <v>2161</v>
      </c>
      <c r="M8" s="35"/>
      <c r="N8" s="35"/>
      <c r="O8" s="35"/>
      <c r="P8" s="35"/>
      <c r="Q8" s="35">
        <v>1</v>
      </c>
    </row>
    <row r="9" spans="1:18" x14ac:dyDescent="0.25">
      <c r="A9" s="35"/>
      <c r="B9" s="35" t="s">
        <v>26</v>
      </c>
      <c r="C9" s="35" t="s">
        <v>2200</v>
      </c>
      <c r="D9" s="35" t="s">
        <v>2201</v>
      </c>
      <c r="E9" s="35" t="s">
        <v>2202</v>
      </c>
      <c r="F9" s="35" t="s">
        <v>77</v>
      </c>
      <c r="G9" s="36">
        <v>950</v>
      </c>
      <c r="H9" s="36">
        <v>30</v>
      </c>
      <c r="I9" s="36">
        <f t="shared" si="0"/>
        <v>920</v>
      </c>
      <c r="J9" s="35" t="s">
        <v>2164</v>
      </c>
      <c r="K9" s="35" t="s">
        <v>31</v>
      </c>
      <c r="L9" s="35" t="s">
        <v>2161</v>
      </c>
      <c r="M9" s="35"/>
      <c r="N9" s="35"/>
      <c r="O9" s="35"/>
      <c r="P9" s="35"/>
      <c r="Q9" s="35">
        <v>1</v>
      </c>
    </row>
    <row r="10" spans="1:18" x14ac:dyDescent="0.25">
      <c r="A10" s="35"/>
      <c r="B10" s="35" t="s">
        <v>26</v>
      </c>
      <c r="C10" s="35" t="s">
        <v>2203</v>
      </c>
      <c r="D10" s="35" t="s">
        <v>2204</v>
      </c>
      <c r="E10" s="35" t="s">
        <v>2205</v>
      </c>
      <c r="F10" s="35" t="s">
        <v>77</v>
      </c>
      <c r="G10" s="36">
        <v>620</v>
      </c>
      <c r="H10" s="36">
        <v>30</v>
      </c>
      <c r="I10" s="36">
        <f t="shared" si="0"/>
        <v>590</v>
      </c>
      <c r="J10" s="35" t="s">
        <v>2164</v>
      </c>
      <c r="K10" s="35" t="s">
        <v>31</v>
      </c>
      <c r="L10" s="35" t="s">
        <v>2161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2206</v>
      </c>
      <c r="D11" s="35" t="s">
        <v>2207</v>
      </c>
      <c r="E11" s="35" t="s">
        <v>2208</v>
      </c>
      <c r="F11" s="36">
        <v>6</v>
      </c>
      <c r="G11" s="36">
        <v>1495</v>
      </c>
      <c r="H11" s="36">
        <v>25</v>
      </c>
      <c r="I11" s="36">
        <f t="shared" si="0"/>
        <v>1470</v>
      </c>
      <c r="J11" s="35" t="s">
        <v>2164</v>
      </c>
      <c r="K11" s="35" t="s">
        <v>31</v>
      </c>
      <c r="L11" s="35" t="s">
        <v>2161</v>
      </c>
      <c r="M11" s="35"/>
      <c r="N11" s="35"/>
      <c r="O11" s="35"/>
      <c r="P11" s="35"/>
      <c r="Q11" s="35">
        <v>1</v>
      </c>
    </row>
    <row r="12" spans="1:18" x14ac:dyDescent="0.25">
      <c r="A12" s="35"/>
      <c r="B12" s="35" t="s">
        <v>26</v>
      </c>
      <c r="C12" s="35" t="s">
        <v>410</v>
      </c>
      <c r="D12" s="35" t="s">
        <v>2217</v>
      </c>
      <c r="E12" s="35" t="s">
        <v>412</v>
      </c>
      <c r="F12" s="36">
        <v>8</v>
      </c>
      <c r="G12" s="36">
        <v>650</v>
      </c>
      <c r="H12" s="36">
        <v>30</v>
      </c>
      <c r="I12" s="36">
        <f t="shared" si="0"/>
        <v>620</v>
      </c>
      <c r="J12" s="35" t="s">
        <v>2164</v>
      </c>
      <c r="K12" s="35" t="s">
        <v>31</v>
      </c>
      <c r="L12" s="35" t="s">
        <v>2161</v>
      </c>
      <c r="M12" s="35"/>
      <c r="N12" s="35"/>
      <c r="O12" s="35"/>
      <c r="P12" s="35"/>
      <c r="Q12" s="35">
        <v>1</v>
      </c>
    </row>
    <row r="13" spans="1:18" x14ac:dyDescent="0.25">
      <c r="A13" s="35"/>
      <c r="B13" s="35" t="s">
        <v>26</v>
      </c>
      <c r="C13" s="35" t="s">
        <v>2228</v>
      </c>
      <c r="D13" s="35" t="s">
        <v>2229</v>
      </c>
      <c r="E13" s="35" t="s">
        <v>2230</v>
      </c>
      <c r="F13" s="36">
        <v>7</v>
      </c>
      <c r="G13" s="36">
        <v>1830</v>
      </c>
      <c r="H13" s="36">
        <v>30</v>
      </c>
      <c r="I13" s="36">
        <f t="shared" si="0"/>
        <v>1800</v>
      </c>
      <c r="J13" s="35" t="s">
        <v>2164</v>
      </c>
      <c r="K13" s="35" t="s">
        <v>31</v>
      </c>
      <c r="L13" s="35" t="s">
        <v>2161</v>
      </c>
      <c r="M13" s="35"/>
      <c r="N13" s="35"/>
      <c r="O13" s="35"/>
      <c r="P13" s="35"/>
      <c r="Q13" s="35">
        <v>1</v>
      </c>
    </row>
    <row r="14" spans="1:18" x14ac:dyDescent="0.25">
      <c r="A14" s="35"/>
      <c r="B14" s="35" t="s">
        <v>26</v>
      </c>
      <c r="C14" s="35" t="s">
        <v>2231</v>
      </c>
      <c r="D14" s="35" t="s">
        <v>2232</v>
      </c>
      <c r="E14" s="35" t="s">
        <v>2233</v>
      </c>
      <c r="F14" s="36">
        <v>9</v>
      </c>
      <c r="G14" s="36">
        <v>810</v>
      </c>
      <c r="H14" s="36">
        <v>30</v>
      </c>
      <c r="I14" s="36">
        <f t="shared" si="0"/>
        <v>780</v>
      </c>
      <c r="J14" s="35" t="s">
        <v>2164</v>
      </c>
      <c r="K14" s="35" t="s">
        <v>31</v>
      </c>
      <c r="L14" s="35" t="s">
        <v>2161</v>
      </c>
      <c r="M14" s="35"/>
      <c r="N14" s="35"/>
      <c r="O14" s="35"/>
      <c r="P14" s="35"/>
      <c r="Q14" s="35">
        <v>1</v>
      </c>
    </row>
    <row r="15" spans="1:18" x14ac:dyDescent="0.25">
      <c r="A15" s="35"/>
      <c r="B15" s="35" t="s">
        <v>26</v>
      </c>
      <c r="C15" s="35" t="s">
        <v>2253</v>
      </c>
      <c r="D15" s="35" t="s">
        <v>2254</v>
      </c>
      <c r="E15" s="35" t="s">
        <v>2255</v>
      </c>
      <c r="F15" s="36">
        <v>8</v>
      </c>
      <c r="G15" s="36">
        <v>1660</v>
      </c>
      <c r="H15" s="36">
        <v>30</v>
      </c>
      <c r="I15" s="36">
        <f t="shared" si="0"/>
        <v>1630</v>
      </c>
      <c r="J15" s="35" t="s">
        <v>2164</v>
      </c>
      <c r="K15" s="35" t="s">
        <v>31</v>
      </c>
      <c r="L15" s="35" t="s">
        <v>2161</v>
      </c>
      <c r="M15" s="35"/>
      <c r="N15" s="35"/>
      <c r="O15" s="35"/>
      <c r="P15" s="35"/>
      <c r="Q15" s="35">
        <v>1</v>
      </c>
    </row>
    <row r="16" spans="1:18" x14ac:dyDescent="0.25">
      <c r="A16" s="35"/>
      <c r="B16" s="35" t="s">
        <v>26</v>
      </c>
      <c r="C16" s="35" t="s">
        <v>2256</v>
      </c>
      <c r="D16" s="35" t="s">
        <v>2257</v>
      </c>
      <c r="E16" s="35" t="s">
        <v>2258</v>
      </c>
      <c r="F16" s="36">
        <v>6</v>
      </c>
      <c r="G16" s="36">
        <v>0</v>
      </c>
      <c r="H16" s="36">
        <v>25</v>
      </c>
      <c r="I16" s="36">
        <f t="shared" si="0"/>
        <v>-25</v>
      </c>
      <c r="J16" s="35" t="s">
        <v>2164</v>
      </c>
      <c r="K16" s="35" t="s">
        <v>31</v>
      </c>
      <c r="L16" s="35" t="s">
        <v>2161</v>
      </c>
      <c r="M16" s="35"/>
      <c r="N16" s="35"/>
      <c r="O16" s="35"/>
      <c r="P16" s="35"/>
      <c r="Q16" s="35">
        <v>1</v>
      </c>
      <c r="R16" s="25">
        <f>H16</f>
        <v>25</v>
      </c>
    </row>
    <row r="17" spans="1:18" x14ac:dyDescent="0.25">
      <c r="A17" s="35"/>
      <c r="B17" s="35" t="s">
        <v>26</v>
      </c>
      <c r="C17" s="35" t="s">
        <v>2262</v>
      </c>
      <c r="D17" s="35" t="s">
        <v>2263</v>
      </c>
      <c r="E17" s="35" t="s">
        <v>2264</v>
      </c>
      <c r="F17" s="35" t="s">
        <v>45</v>
      </c>
      <c r="G17" s="36">
        <v>845</v>
      </c>
      <c r="H17" s="36">
        <v>25</v>
      </c>
      <c r="I17" s="36">
        <f t="shared" si="0"/>
        <v>820</v>
      </c>
      <c r="J17" s="35" t="s">
        <v>2164</v>
      </c>
      <c r="K17" s="35" t="s">
        <v>31</v>
      </c>
      <c r="L17" s="35" t="s">
        <v>2161</v>
      </c>
      <c r="M17" s="35"/>
      <c r="N17" s="35"/>
      <c r="O17" s="35"/>
      <c r="P17" s="35"/>
      <c r="Q17" s="35">
        <v>1</v>
      </c>
    </row>
    <row r="18" spans="1:18" x14ac:dyDescent="0.25">
      <c r="A18" s="35"/>
      <c r="B18" s="35" t="s">
        <v>26</v>
      </c>
      <c r="C18" s="35" t="s">
        <v>2265</v>
      </c>
      <c r="D18" s="35" t="s">
        <v>2266</v>
      </c>
      <c r="E18" s="35" t="s">
        <v>2267</v>
      </c>
      <c r="F18" s="36">
        <v>8</v>
      </c>
      <c r="G18" s="36">
        <v>850</v>
      </c>
      <c r="H18" s="36">
        <v>30</v>
      </c>
      <c r="I18" s="36">
        <f t="shared" si="0"/>
        <v>820</v>
      </c>
      <c r="J18" s="35" t="s">
        <v>2164</v>
      </c>
      <c r="K18" s="35" t="s">
        <v>31</v>
      </c>
      <c r="L18" s="35" t="s">
        <v>2161</v>
      </c>
      <c r="M18" s="35"/>
      <c r="N18" s="35"/>
      <c r="O18" s="35"/>
      <c r="P18" s="35"/>
      <c r="Q18" s="35">
        <v>1</v>
      </c>
    </row>
    <row r="19" spans="1:18" x14ac:dyDescent="0.25">
      <c r="A19" s="35"/>
      <c r="B19" s="35" t="s">
        <v>26</v>
      </c>
      <c r="C19" s="35" t="s">
        <v>2174</v>
      </c>
      <c r="D19" s="35" t="s">
        <v>2175</v>
      </c>
      <c r="E19" s="35" t="s">
        <v>2176</v>
      </c>
      <c r="F19" s="35" t="s">
        <v>128</v>
      </c>
      <c r="G19" s="36">
        <v>950</v>
      </c>
      <c r="H19" s="36">
        <v>30</v>
      </c>
      <c r="I19" s="36">
        <f t="shared" si="0"/>
        <v>920</v>
      </c>
      <c r="J19" s="35" t="s">
        <v>31</v>
      </c>
      <c r="K19" s="35" t="s">
        <v>31</v>
      </c>
      <c r="L19" s="35" t="s">
        <v>2161</v>
      </c>
      <c r="M19" s="35"/>
      <c r="N19" s="35"/>
      <c r="O19" s="35"/>
      <c r="P19" s="35"/>
      <c r="Q19" s="35">
        <v>1</v>
      </c>
    </row>
    <row r="20" spans="1:18" x14ac:dyDescent="0.25">
      <c r="A20" s="35"/>
      <c r="B20" s="35" t="s">
        <v>26</v>
      </c>
      <c r="C20" s="35" t="s">
        <v>2191</v>
      </c>
      <c r="D20" s="35" t="s">
        <v>2192</v>
      </c>
      <c r="E20" s="35" t="s">
        <v>2193</v>
      </c>
      <c r="F20" s="36">
        <v>12</v>
      </c>
      <c r="G20" s="36">
        <v>0</v>
      </c>
      <c r="H20" s="36">
        <v>30</v>
      </c>
      <c r="I20" s="36">
        <f t="shared" si="0"/>
        <v>-30</v>
      </c>
      <c r="J20" s="35" t="s">
        <v>31</v>
      </c>
      <c r="K20" s="35" t="s">
        <v>31</v>
      </c>
      <c r="L20" s="35" t="s">
        <v>2161</v>
      </c>
      <c r="M20" s="35"/>
      <c r="N20" s="35"/>
      <c r="O20" s="35"/>
      <c r="P20" s="35"/>
      <c r="Q20" s="35">
        <v>1</v>
      </c>
      <c r="R20" s="25">
        <f>H20</f>
        <v>30</v>
      </c>
    </row>
    <row r="21" spans="1:18" x14ac:dyDescent="0.25">
      <c r="A21" s="35"/>
      <c r="B21" s="35" t="s">
        <v>26</v>
      </c>
      <c r="C21" s="35" t="s">
        <v>2197</v>
      </c>
      <c r="D21" s="35" t="s">
        <v>2198</v>
      </c>
      <c r="E21" s="35" t="s">
        <v>2199</v>
      </c>
      <c r="F21" s="35" t="s">
        <v>36</v>
      </c>
      <c r="G21" s="36">
        <v>845</v>
      </c>
      <c r="H21" s="36">
        <v>25</v>
      </c>
      <c r="I21" s="36">
        <f t="shared" si="0"/>
        <v>820</v>
      </c>
      <c r="J21" s="35" t="s">
        <v>31</v>
      </c>
      <c r="K21" s="35" t="s">
        <v>31</v>
      </c>
      <c r="L21" s="35" t="s">
        <v>2161</v>
      </c>
      <c r="M21" s="35"/>
      <c r="N21" s="35"/>
      <c r="O21" s="35"/>
      <c r="P21" s="35"/>
      <c r="Q21" s="35">
        <v>1</v>
      </c>
    </row>
    <row r="22" spans="1:18" x14ac:dyDescent="0.25">
      <c r="A22" s="35"/>
      <c r="B22" s="35" t="s">
        <v>26</v>
      </c>
      <c r="C22" s="35" t="s">
        <v>2212</v>
      </c>
      <c r="D22" s="35" t="s">
        <v>2213</v>
      </c>
      <c r="E22" s="35" t="s">
        <v>728</v>
      </c>
      <c r="F22" s="36">
        <v>12</v>
      </c>
      <c r="G22" s="36">
        <v>0</v>
      </c>
      <c r="H22" s="36">
        <v>30</v>
      </c>
      <c r="I22" s="36">
        <f t="shared" si="0"/>
        <v>-30</v>
      </c>
      <c r="J22" s="35" t="s">
        <v>31</v>
      </c>
      <c r="K22" s="35" t="s">
        <v>31</v>
      </c>
      <c r="L22" s="35" t="s">
        <v>2161</v>
      </c>
      <c r="M22" s="35"/>
      <c r="N22" s="35"/>
      <c r="O22" s="35"/>
      <c r="P22" s="35"/>
      <c r="Q22" s="35">
        <v>1</v>
      </c>
      <c r="R22" s="25">
        <f>H22</f>
        <v>30</v>
      </c>
    </row>
    <row r="23" spans="1:18" x14ac:dyDescent="0.25">
      <c r="A23" s="35"/>
      <c r="B23" s="35" t="s">
        <v>26</v>
      </c>
      <c r="C23" s="35" t="s">
        <v>2218</v>
      </c>
      <c r="D23" s="35" t="s">
        <v>2219</v>
      </c>
      <c r="E23" s="35" t="s">
        <v>2220</v>
      </c>
      <c r="F23" s="36">
        <v>2</v>
      </c>
      <c r="G23" s="36">
        <v>890</v>
      </c>
      <c r="H23" s="36">
        <v>30</v>
      </c>
      <c r="I23" s="36">
        <f t="shared" si="0"/>
        <v>860</v>
      </c>
      <c r="J23" s="35" t="s">
        <v>31</v>
      </c>
      <c r="K23" s="35" t="s">
        <v>31</v>
      </c>
      <c r="L23" s="35" t="s">
        <v>2161</v>
      </c>
      <c r="M23" s="35"/>
      <c r="N23" s="35"/>
      <c r="O23" s="35"/>
      <c r="P23" s="35"/>
      <c r="Q23" s="35">
        <v>1</v>
      </c>
    </row>
    <row r="24" spans="1:18" x14ac:dyDescent="0.25">
      <c r="A24" s="35"/>
      <c r="B24" s="35" t="s">
        <v>26</v>
      </c>
      <c r="C24" s="35" t="s">
        <v>747</v>
      </c>
      <c r="D24" s="35" t="s">
        <v>2234</v>
      </c>
      <c r="E24" s="35" t="s">
        <v>749</v>
      </c>
      <c r="F24" s="35" t="s">
        <v>36</v>
      </c>
      <c r="G24" s="36">
        <v>815</v>
      </c>
      <c r="H24" s="36">
        <v>25</v>
      </c>
      <c r="I24" s="36">
        <f t="shared" si="0"/>
        <v>790</v>
      </c>
      <c r="J24" s="35" t="s">
        <v>31</v>
      </c>
      <c r="K24" s="35" t="s">
        <v>31</v>
      </c>
      <c r="L24" s="35" t="s">
        <v>2161</v>
      </c>
      <c r="M24" s="35"/>
      <c r="N24" s="35"/>
      <c r="O24" s="35"/>
      <c r="P24" s="35"/>
      <c r="Q24" s="35">
        <v>1</v>
      </c>
    </row>
    <row r="25" spans="1:18" x14ac:dyDescent="0.25">
      <c r="A25" s="35"/>
      <c r="B25" s="35" t="s">
        <v>26</v>
      </c>
      <c r="C25" s="35" t="s">
        <v>1384</v>
      </c>
      <c r="D25" s="35" t="s">
        <v>2241</v>
      </c>
      <c r="E25" s="35" t="s">
        <v>429</v>
      </c>
      <c r="F25" s="36">
        <v>12</v>
      </c>
      <c r="G25" s="36">
        <v>0</v>
      </c>
      <c r="H25" s="36">
        <v>35</v>
      </c>
      <c r="I25" s="36">
        <f t="shared" si="0"/>
        <v>-35</v>
      </c>
      <c r="J25" s="35" t="s">
        <v>31</v>
      </c>
      <c r="K25" s="35" t="s">
        <v>31</v>
      </c>
      <c r="L25" s="35" t="s">
        <v>2161</v>
      </c>
      <c r="M25" s="35"/>
      <c r="N25" s="35"/>
      <c r="O25" s="35"/>
      <c r="P25" s="35"/>
      <c r="Q25" s="35">
        <v>1</v>
      </c>
      <c r="R25" s="25">
        <f>H25</f>
        <v>35</v>
      </c>
    </row>
    <row r="26" spans="1:18" x14ac:dyDescent="0.25">
      <c r="A26" s="35"/>
      <c r="B26" s="35" t="s">
        <v>26</v>
      </c>
      <c r="C26" s="35" t="s">
        <v>2242</v>
      </c>
      <c r="D26" s="35" t="s">
        <v>2243</v>
      </c>
      <c r="E26" s="35" t="s">
        <v>2244</v>
      </c>
      <c r="F26" s="35" t="s">
        <v>58</v>
      </c>
      <c r="G26" s="36">
        <v>1660</v>
      </c>
      <c r="H26" s="36">
        <v>20</v>
      </c>
      <c r="I26" s="36">
        <f t="shared" si="0"/>
        <v>1640</v>
      </c>
      <c r="J26" s="35" t="s">
        <v>31</v>
      </c>
      <c r="K26" s="35" t="s">
        <v>31</v>
      </c>
      <c r="L26" s="35" t="s">
        <v>2161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2245</v>
      </c>
      <c r="D27" s="35" t="s">
        <v>2246</v>
      </c>
      <c r="E27" s="35" t="s">
        <v>2247</v>
      </c>
      <c r="F27" s="35" t="s">
        <v>58</v>
      </c>
      <c r="G27" s="36">
        <v>710</v>
      </c>
      <c r="H27" s="36">
        <v>20</v>
      </c>
      <c r="I27" s="36">
        <f t="shared" si="0"/>
        <v>690</v>
      </c>
      <c r="J27" s="35" t="s">
        <v>31</v>
      </c>
      <c r="K27" s="35" t="s">
        <v>31</v>
      </c>
      <c r="L27" s="35" t="s">
        <v>2161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2248</v>
      </c>
      <c r="D28" s="35" t="s">
        <v>2249</v>
      </c>
      <c r="E28" s="35" t="s">
        <v>2121</v>
      </c>
      <c r="F28" s="36">
        <v>12</v>
      </c>
      <c r="G28" s="36">
        <v>680</v>
      </c>
      <c r="H28" s="36">
        <v>30</v>
      </c>
      <c r="I28" s="36">
        <f t="shared" si="0"/>
        <v>650</v>
      </c>
      <c r="J28" s="35" t="s">
        <v>31</v>
      </c>
      <c r="K28" s="35" t="s">
        <v>31</v>
      </c>
      <c r="L28" s="35" t="s">
        <v>2161</v>
      </c>
      <c r="M28" s="35"/>
      <c r="N28" s="35"/>
      <c r="O28" s="35"/>
      <c r="P28" s="35"/>
      <c r="Q28" s="35">
        <v>1</v>
      </c>
    </row>
    <row r="29" spans="1:18" x14ac:dyDescent="0.25">
      <c r="A29" s="35" t="s">
        <v>66</v>
      </c>
      <c r="B29" s="35" t="s">
        <v>26</v>
      </c>
      <c r="C29" s="35" t="s">
        <v>1895</v>
      </c>
      <c r="D29" s="35"/>
      <c r="E29" s="35" t="s">
        <v>1896</v>
      </c>
      <c r="F29" s="35" t="s">
        <v>36</v>
      </c>
      <c r="G29" s="36">
        <v>30</v>
      </c>
      <c r="H29" s="36">
        <v>30</v>
      </c>
      <c r="I29" s="36">
        <f t="shared" si="0"/>
        <v>0</v>
      </c>
      <c r="J29" s="35" t="s">
        <v>31</v>
      </c>
      <c r="K29" s="35" t="s">
        <v>31</v>
      </c>
      <c r="L29" s="35" t="s">
        <v>2161</v>
      </c>
      <c r="M29" s="35"/>
      <c r="N29" s="35"/>
      <c r="O29" s="35"/>
      <c r="P29" s="35"/>
      <c r="Q29" s="35">
        <v>1</v>
      </c>
    </row>
    <row r="30" spans="1:18" x14ac:dyDescent="0.25">
      <c r="A30" s="35" t="s">
        <v>66</v>
      </c>
      <c r="B30" s="35" t="s">
        <v>26</v>
      </c>
      <c r="C30" s="35" t="s">
        <v>1053</v>
      </c>
      <c r="D30" s="35"/>
      <c r="E30" s="35" t="s">
        <v>1054</v>
      </c>
      <c r="F30" s="35" t="s">
        <v>36</v>
      </c>
      <c r="G30" s="36">
        <v>8120</v>
      </c>
      <c r="H30" s="36">
        <v>30</v>
      </c>
      <c r="I30" s="36">
        <f t="shared" si="0"/>
        <v>8090</v>
      </c>
      <c r="J30" s="35" t="s">
        <v>31</v>
      </c>
      <c r="K30" s="35" t="s">
        <v>31</v>
      </c>
      <c r="L30" s="35" t="s">
        <v>2161</v>
      </c>
      <c r="M30" s="35"/>
      <c r="N30" s="35"/>
      <c r="O30" s="35"/>
      <c r="P30" s="35"/>
      <c r="Q30" s="35">
        <v>1</v>
      </c>
    </row>
    <row r="31" spans="1:18" x14ac:dyDescent="0.25">
      <c r="A31" s="35" t="s">
        <v>66</v>
      </c>
      <c r="B31" s="35" t="s">
        <v>26</v>
      </c>
      <c r="C31" s="35" t="s">
        <v>2270</v>
      </c>
      <c r="D31" s="35"/>
      <c r="E31" s="35" t="s">
        <v>429</v>
      </c>
      <c r="F31" s="36">
        <v>12</v>
      </c>
      <c r="G31" s="36">
        <v>0</v>
      </c>
      <c r="H31" s="36">
        <v>35</v>
      </c>
      <c r="I31" s="36">
        <f t="shared" si="0"/>
        <v>-35</v>
      </c>
      <c r="J31" s="35" t="s">
        <v>31</v>
      </c>
      <c r="K31" s="35" t="s">
        <v>31</v>
      </c>
      <c r="L31" s="35" t="s">
        <v>2161</v>
      </c>
      <c r="M31" s="35"/>
      <c r="N31" s="35"/>
      <c r="O31" s="35"/>
      <c r="P31" s="35"/>
      <c r="Q31" s="35">
        <v>1</v>
      </c>
      <c r="R31" s="25">
        <f t="shared" ref="R31:R32" si="1">H31</f>
        <v>35</v>
      </c>
    </row>
    <row r="32" spans="1:18" x14ac:dyDescent="0.25">
      <c r="A32" s="35"/>
      <c r="B32" s="35" t="s">
        <v>26</v>
      </c>
      <c r="C32" s="35" t="s">
        <v>2158</v>
      </c>
      <c r="D32" s="35" t="s">
        <v>2159</v>
      </c>
      <c r="E32" s="35" t="s">
        <v>2160</v>
      </c>
      <c r="F32" s="35" t="s">
        <v>101</v>
      </c>
      <c r="G32" s="36">
        <v>0</v>
      </c>
      <c r="H32" s="36">
        <v>25</v>
      </c>
      <c r="I32" s="36">
        <f t="shared" si="0"/>
        <v>-25</v>
      </c>
      <c r="J32" s="35" t="s">
        <v>41</v>
      </c>
      <c r="K32" s="35" t="s">
        <v>31</v>
      </c>
      <c r="L32" s="35" t="s">
        <v>2161</v>
      </c>
      <c r="M32" s="35"/>
      <c r="N32" s="35"/>
      <c r="O32" s="35"/>
      <c r="P32" s="35"/>
      <c r="Q32" s="35">
        <v>1</v>
      </c>
      <c r="R32" s="25">
        <f t="shared" si="1"/>
        <v>25</v>
      </c>
    </row>
    <row r="33" spans="1:18" x14ac:dyDescent="0.25">
      <c r="A33" s="35"/>
      <c r="B33" s="35" t="s">
        <v>26</v>
      </c>
      <c r="C33" s="35" t="s">
        <v>2171</v>
      </c>
      <c r="D33" s="35" t="s">
        <v>2172</v>
      </c>
      <c r="E33" s="35" t="s">
        <v>2173</v>
      </c>
      <c r="F33" s="35" t="s">
        <v>36</v>
      </c>
      <c r="G33" s="36">
        <v>795</v>
      </c>
      <c r="H33" s="36">
        <v>25</v>
      </c>
      <c r="I33" s="36">
        <f t="shared" si="0"/>
        <v>770</v>
      </c>
      <c r="J33" s="35" t="s">
        <v>41</v>
      </c>
      <c r="K33" s="35" t="s">
        <v>31</v>
      </c>
      <c r="L33" s="35" t="s">
        <v>2161</v>
      </c>
      <c r="M33" s="35"/>
      <c r="N33" s="35"/>
      <c r="O33" s="35"/>
      <c r="P33" s="35"/>
      <c r="Q33" s="35">
        <v>1</v>
      </c>
    </row>
    <row r="34" spans="1:18" x14ac:dyDescent="0.25">
      <c r="A34" s="35"/>
      <c r="B34" s="35" t="s">
        <v>26</v>
      </c>
      <c r="C34" s="35" t="s">
        <v>2177</v>
      </c>
      <c r="D34" s="35" t="s">
        <v>2178</v>
      </c>
      <c r="E34" s="35" t="s">
        <v>2179</v>
      </c>
      <c r="F34" s="36">
        <v>10</v>
      </c>
      <c r="G34" s="36">
        <v>815</v>
      </c>
      <c r="H34" s="36">
        <v>25</v>
      </c>
      <c r="I34" s="36">
        <f t="shared" si="0"/>
        <v>790</v>
      </c>
      <c r="J34" s="35" t="s">
        <v>41</v>
      </c>
      <c r="K34" s="35" t="s">
        <v>31</v>
      </c>
      <c r="L34" s="35" t="s">
        <v>2161</v>
      </c>
      <c r="M34" s="35"/>
      <c r="N34" s="35"/>
      <c r="O34" s="35"/>
      <c r="P34" s="35"/>
      <c r="Q34" s="35">
        <v>1</v>
      </c>
    </row>
    <row r="35" spans="1:18" x14ac:dyDescent="0.25">
      <c r="A35" s="35"/>
      <c r="B35" s="35" t="s">
        <v>26</v>
      </c>
      <c r="C35" s="35" t="s">
        <v>2180</v>
      </c>
      <c r="D35" s="35" t="s">
        <v>2181</v>
      </c>
      <c r="E35" s="35" t="s">
        <v>2182</v>
      </c>
      <c r="F35" s="36">
        <v>1</v>
      </c>
      <c r="G35" s="36">
        <v>0</v>
      </c>
      <c r="H35" s="36">
        <v>25</v>
      </c>
      <c r="I35" s="36">
        <f t="shared" si="0"/>
        <v>-25</v>
      </c>
      <c r="J35" s="35" t="s">
        <v>41</v>
      </c>
      <c r="K35" s="35" t="s">
        <v>31</v>
      </c>
      <c r="L35" s="35" t="s">
        <v>2161</v>
      </c>
      <c r="M35" s="35"/>
      <c r="N35" s="35"/>
      <c r="O35" s="35"/>
      <c r="P35" s="35"/>
      <c r="Q35" s="35">
        <v>1</v>
      </c>
      <c r="R35" s="25">
        <f>H35</f>
        <v>25</v>
      </c>
    </row>
    <row r="36" spans="1:18" x14ac:dyDescent="0.25">
      <c r="A36" s="35"/>
      <c r="B36" s="35" t="s">
        <v>26</v>
      </c>
      <c r="C36" s="35" t="s">
        <v>2194</v>
      </c>
      <c r="D36" s="35" t="s">
        <v>2195</v>
      </c>
      <c r="E36" s="35" t="s">
        <v>2196</v>
      </c>
      <c r="F36" s="36">
        <v>1</v>
      </c>
      <c r="G36" s="36">
        <v>935</v>
      </c>
      <c r="H36" s="36">
        <v>25</v>
      </c>
      <c r="I36" s="36">
        <f t="shared" si="0"/>
        <v>910</v>
      </c>
      <c r="J36" s="35" t="s">
        <v>41</v>
      </c>
      <c r="K36" s="35" t="s">
        <v>31</v>
      </c>
      <c r="L36" s="35" t="s">
        <v>2161</v>
      </c>
      <c r="M36" s="35"/>
      <c r="N36" s="35"/>
      <c r="O36" s="35"/>
      <c r="P36" s="35"/>
      <c r="Q36" s="35">
        <v>1</v>
      </c>
    </row>
    <row r="37" spans="1:18" x14ac:dyDescent="0.25">
      <c r="A37" s="35"/>
      <c r="B37" s="35" t="s">
        <v>26</v>
      </c>
      <c r="C37" s="35" t="s">
        <v>2209</v>
      </c>
      <c r="D37" s="35" t="s">
        <v>2210</v>
      </c>
      <c r="E37" s="35" t="s">
        <v>2211</v>
      </c>
      <c r="F37" s="35" t="s">
        <v>101</v>
      </c>
      <c r="G37" s="36">
        <v>0</v>
      </c>
      <c r="H37" s="36">
        <v>25</v>
      </c>
      <c r="I37" s="36">
        <f t="shared" si="0"/>
        <v>-25</v>
      </c>
      <c r="J37" s="35" t="s">
        <v>41</v>
      </c>
      <c r="K37" s="35" t="s">
        <v>31</v>
      </c>
      <c r="L37" s="35" t="s">
        <v>2161</v>
      </c>
      <c r="M37" s="35"/>
      <c r="N37" s="35"/>
      <c r="O37" s="35"/>
      <c r="P37" s="35"/>
      <c r="Q37" s="35">
        <v>1</v>
      </c>
      <c r="R37" s="25">
        <f>H37</f>
        <v>25</v>
      </c>
    </row>
    <row r="38" spans="1:18" x14ac:dyDescent="0.25">
      <c r="A38" s="35"/>
      <c r="B38" s="35" t="s">
        <v>26</v>
      </c>
      <c r="C38" s="35" t="s">
        <v>2214</v>
      </c>
      <c r="D38" s="35" t="s">
        <v>2215</v>
      </c>
      <c r="E38" s="35" t="s">
        <v>2216</v>
      </c>
      <c r="F38" s="36">
        <v>10</v>
      </c>
      <c r="G38" s="36">
        <v>885</v>
      </c>
      <c r="H38" s="36">
        <v>25</v>
      </c>
      <c r="I38" s="36">
        <f t="shared" si="0"/>
        <v>860</v>
      </c>
      <c r="J38" s="35" t="s">
        <v>41</v>
      </c>
      <c r="K38" s="35" t="s">
        <v>31</v>
      </c>
      <c r="L38" s="35" t="s">
        <v>2161</v>
      </c>
      <c r="M38" s="35"/>
      <c r="N38" s="35"/>
      <c r="O38" s="35"/>
      <c r="P38" s="35"/>
      <c r="Q38" s="35">
        <v>1</v>
      </c>
    </row>
    <row r="39" spans="1:18" x14ac:dyDescent="0.25">
      <c r="A39" s="35"/>
      <c r="B39" s="35" t="s">
        <v>26</v>
      </c>
      <c r="C39" s="35" t="s">
        <v>2221</v>
      </c>
      <c r="D39" s="35" t="s">
        <v>2222</v>
      </c>
      <c r="E39" s="35" t="s">
        <v>2223</v>
      </c>
      <c r="F39" s="35" t="s">
        <v>101</v>
      </c>
      <c r="G39" s="36">
        <v>675</v>
      </c>
      <c r="H39" s="36">
        <v>25</v>
      </c>
      <c r="I39" s="36">
        <f t="shared" si="0"/>
        <v>650</v>
      </c>
      <c r="J39" s="35" t="s">
        <v>41</v>
      </c>
      <c r="K39" s="35" t="s">
        <v>31</v>
      </c>
      <c r="L39" s="35" t="s">
        <v>2161</v>
      </c>
      <c r="M39" s="35"/>
      <c r="N39" s="35"/>
      <c r="O39" s="35"/>
      <c r="P39" s="35"/>
      <c r="Q39" s="35">
        <v>1</v>
      </c>
    </row>
    <row r="40" spans="1:18" x14ac:dyDescent="0.25">
      <c r="A40" s="35"/>
      <c r="B40" s="35" t="s">
        <v>26</v>
      </c>
      <c r="C40" s="35" t="s">
        <v>2194</v>
      </c>
      <c r="D40" s="35" t="s">
        <v>2224</v>
      </c>
      <c r="E40" s="35" t="s">
        <v>2196</v>
      </c>
      <c r="F40" s="36">
        <v>1</v>
      </c>
      <c r="G40" s="36">
        <v>715</v>
      </c>
      <c r="H40" s="36">
        <v>25</v>
      </c>
      <c r="I40" s="36">
        <f t="shared" si="0"/>
        <v>690</v>
      </c>
      <c r="J40" s="35" t="s">
        <v>41</v>
      </c>
      <c r="K40" s="35" t="s">
        <v>31</v>
      </c>
      <c r="L40" s="35" t="s">
        <v>2161</v>
      </c>
      <c r="M40" s="35"/>
      <c r="N40" s="35"/>
      <c r="O40" s="35"/>
      <c r="P40" s="35"/>
      <c r="Q40" s="35">
        <v>1</v>
      </c>
    </row>
    <row r="41" spans="1:18" x14ac:dyDescent="0.25">
      <c r="A41" s="35"/>
      <c r="B41" s="35" t="s">
        <v>26</v>
      </c>
      <c r="C41" s="35" t="s">
        <v>2225</v>
      </c>
      <c r="D41" s="35" t="s">
        <v>2226</v>
      </c>
      <c r="E41" s="35" t="s">
        <v>2227</v>
      </c>
      <c r="F41" s="35" t="s">
        <v>101</v>
      </c>
      <c r="G41" s="36">
        <v>845</v>
      </c>
      <c r="H41" s="36">
        <v>25</v>
      </c>
      <c r="I41" s="36">
        <f t="shared" si="0"/>
        <v>820</v>
      </c>
      <c r="J41" s="35" t="s">
        <v>41</v>
      </c>
      <c r="K41" s="35" t="s">
        <v>31</v>
      </c>
      <c r="L41" s="35" t="s">
        <v>2161</v>
      </c>
      <c r="M41" s="35"/>
      <c r="N41" s="35"/>
      <c r="O41" s="35"/>
      <c r="P41" s="35"/>
      <c r="Q41" s="35">
        <v>1</v>
      </c>
    </row>
    <row r="42" spans="1:18" x14ac:dyDescent="0.25">
      <c r="A42" s="35"/>
      <c r="B42" s="35" t="s">
        <v>26</v>
      </c>
      <c r="C42" s="35" t="s">
        <v>2235</v>
      </c>
      <c r="D42" s="35" t="s">
        <v>2236</v>
      </c>
      <c r="E42" s="35" t="s">
        <v>2237</v>
      </c>
      <c r="F42" s="36">
        <v>11</v>
      </c>
      <c r="G42" s="36">
        <v>855</v>
      </c>
      <c r="H42" s="36">
        <v>25</v>
      </c>
      <c r="I42" s="36">
        <f t="shared" si="0"/>
        <v>830</v>
      </c>
      <c r="J42" s="35" t="s">
        <v>41</v>
      </c>
      <c r="K42" s="35" t="s">
        <v>31</v>
      </c>
      <c r="L42" s="35" t="s">
        <v>2161</v>
      </c>
      <c r="M42" s="35"/>
      <c r="N42" s="35"/>
      <c r="O42" s="35"/>
      <c r="P42" s="35"/>
      <c r="Q42" s="35">
        <v>1</v>
      </c>
    </row>
    <row r="43" spans="1:18" x14ac:dyDescent="0.25">
      <c r="A43" s="35"/>
      <c r="B43" s="35" t="s">
        <v>26</v>
      </c>
      <c r="C43" s="35" t="s">
        <v>2238</v>
      </c>
      <c r="D43" s="35" t="s">
        <v>2239</v>
      </c>
      <c r="E43" s="35" t="s">
        <v>2240</v>
      </c>
      <c r="F43" s="36">
        <v>1</v>
      </c>
      <c r="G43" s="36">
        <v>1955</v>
      </c>
      <c r="H43" s="36">
        <v>25</v>
      </c>
      <c r="I43" s="36">
        <f t="shared" si="0"/>
        <v>1930</v>
      </c>
      <c r="J43" s="35" t="s">
        <v>41</v>
      </c>
      <c r="K43" s="35" t="s">
        <v>31</v>
      </c>
      <c r="L43" s="35" t="s">
        <v>2161</v>
      </c>
      <c r="M43" s="35"/>
      <c r="N43" s="35"/>
      <c r="O43" s="35"/>
      <c r="P43" s="35"/>
      <c r="Q43" s="35">
        <v>1</v>
      </c>
    </row>
    <row r="44" spans="1:18" x14ac:dyDescent="0.25">
      <c r="A44" s="35"/>
      <c r="B44" s="35" t="s">
        <v>26</v>
      </c>
      <c r="C44" s="35" t="s">
        <v>2250</v>
      </c>
      <c r="D44" s="35" t="s">
        <v>2251</v>
      </c>
      <c r="E44" s="35" t="s">
        <v>2252</v>
      </c>
      <c r="F44" s="35" t="s">
        <v>101</v>
      </c>
      <c r="G44" s="36">
        <v>785</v>
      </c>
      <c r="H44" s="36">
        <v>25</v>
      </c>
      <c r="I44" s="36">
        <f t="shared" si="0"/>
        <v>760</v>
      </c>
      <c r="J44" s="35" t="s">
        <v>41</v>
      </c>
      <c r="K44" s="35" t="s">
        <v>31</v>
      </c>
      <c r="L44" s="35" t="s">
        <v>2161</v>
      </c>
      <c r="M44" s="35"/>
      <c r="N44" s="35"/>
      <c r="O44" s="35"/>
      <c r="P44" s="35"/>
      <c r="Q44" s="35">
        <v>1</v>
      </c>
    </row>
    <row r="45" spans="1:18" x14ac:dyDescent="0.25">
      <c r="A45" s="35"/>
      <c r="B45" s="35" t="s">
        <v>26</v>
      </c>
      <c r="C45" s="35" t="s">
        <v>2259</v>
      </c>
      <c r="D45" s="35" t="s">
        <v>2260</v>
      </c>
      <c r="E45" s="35" t="s">
        <v>2261</v>
      </c>
      <c r="F45" s="36">
        <v>5</v>
      </c>
      <c r="G45" s="36">
        <v>855</v>
      </c>
      <c r="H45" s="36">
        <v>25</v>
      </c>
      <c r="I45" s="36">
        <f t="shared" si="0"/>
        <v>830</v>
      </c>
      <c r="J45" s="35" t="s">
        <v>41</v>
      </c>
      <c r="K45" s="35" t="s">
        <v>31</v>
      </c>
      <c r="L45" s="35" t="s">
        <v>2161</v>
      </c>
      <c r="M45" s="35"/>
      <c r="N45" s="35"/>
      <c r="O45" s="35"/>
      <c r="P45" s="35"/>
      <c r="Q45" s="35">
        <v>1</v>
      </c>
    </row>
    <row r="46" spans="1:18" x14ac:dyDescent="0.25">
      <c r="A46" s="35" t="s">
        <v>66</v>
      </c>
      <c r="B46" s="35" t="s">
        <v>26</v>
      </c>
      <c r="C46" s="35" t="s">
        <v>2268</v>
      </c>
      <c r="D46" s="35"/>
      <c r="E46" s="35" t="s">
        <v>2269</v>
      </c>
      <c r="F46" s="36">
        <v>3</v>
      </c>
      <c r="G46" s="36">
        <v>0</v>
      </c>
      <c r="H46" s="36">
        <v>30</v>
      </c>
      <c r="I46" s="36">
        <f t="shared" si="0"/>
        <v>-30</v>
      </c>
      <c r="J46" s="35" t="s">
        <v>41</v>
      </c>
      <c r="K46" s="35" t="s">
        <v>31</v>
      </c>
      <c r="L46" s="35" t="s">
        <v>2161</v>
      </c>
      <c r="M46" s="35"/>
      <c r="N46" s="35"/>
      <c r="O46" s="35"/>
      <c r="P46" s="35"/>
      <c r="Q46" s="35">
        <v>1</v>
      </c>
      <c r="R46" s="25">
        <f t="shared" ref="R46:R47" si="2">H46</f>
        <v>30</v>
      </c>
    </row>
    <row r="47" spans="1:18" x14ac:dyDescent="0.25">
      <c r="A47" s="35" t="s">
        <v>66</v>
      </c>
      <c r="B47" s="35" t="s">
        <v>26</v>
      </c>
      <c r="C47" s="35" t="s">
        <v>1537</v>
      </c>
      <c r="D47" s="35"/>
      <c r="E47" s="35" t="s">
        <v>1313</v>
      </c>
      <c r="F47" s="35" t="s">
        <v>101</v>
      </c>
      <c r="G47" s="36">
        <v>0</v>
      </c>
      <c r="H47" s="36">
        <v>30</v>
      </c>
      <c r="I47" s="36">
        <f t="shared" si="0"/>
        <v>-30</v>
      </c>
      <c r="J47" s="35" t="s">
        <v>41</v>
      </c>
      <c r="K47" s="35" t="s">
        <v>31</v>
      </c>
      <c r="L47" s="35" t="s">
        <v>2161</v>
      </c>
      <c r="M47" s="35"/>
      <c r="N47" s="35"/>
      <c r="O47" s="35"/>
      <c r="P47" s="35"/>
      <c r="Q47" s="35">
        <v>1</v>
      </c>
      <c r="R47" s="25">
        <f t="shared" si="2"/>
        <v>30</v>
      </c>
    </row>
    <row r="49" spans="1:17" x14ac:dyDescent="0.25">
      <c r="D49" s="26">
        <f>COUNTA(D3:D47)</f>
        <v>40</v>
      </c>
      <c r="G49" s="26">
        <f t="shared" ref="G49:Q49" si="3">SUBTOTAL(9,G3:G47)</f>
        <v>37935</v>
      </c>
      <c r="H49" s="26">
        <f t="shared" si="3"/>
        <v>1235</v>
      </c>
      <c r="I49" s="26">
        <f t="shared" si="3"/>
        <v>36700</v>
      </c>
      <c r="J49" s="26">
        <f t="shared" si="3"/>
        <v>0</v>
      </c>
      <c r="K49" s="26">
        <f t="shared" si="3"/>
        <v>0</v>
      </c>
      <c r="L49" s="26">
        <f t="shared" si="3"/>
        <v>0</v>
      </c>
      <c r="M49" s="26">
        <f t="shared" si="3"/>
        <v>0</v>
      </c>
      <c r="N49" s="26">
        <f t="shared" si="3"/>
        <v>0</v>
      </c>
      <c r="O49" s="26">
        <f t="shared" si="3"/>
        <v>0</v>
      </c>
      <c r="P49" s="26">
        <f t="shared" si="3"/>
        <v>0</v>
      </c>
      <c r="Q49" s="26">
        <f t="shared" si="3"/>
        <v>45</v>
      </c>
    </row>
    <row r="50" spans="1:17" x14ac:dyDescent="0.25">
      <c r="H50" s="24">
        <f>-12*17</f>
        <v>-204</v>
      </c>
    </row>
    <row r="51" spans="1:17" x14ac:dyDescent="0.25">
      <c r="A51" s="26" t="s">
        <v>26</v>
      </c>
      <c r="C51" s="80" t="s">
        <v>78</v>
      </c>
      <c r="D51" s="80"/>
      <c r="E51" s="27" t="s">
        <v>79</v>
      </c>
      <c r="H51" s="24">
        <f>-4*25</f>
        <v>-100</v>
      </c>
      <c r="K51" s="28" t="s">
        <v>41</v>
      </c>
      <c r="L51" s="28" t="s">
        <v>80</v>
      </c>
      <c r="M51" s="28" t="s">
        <v>79</v>
      </c>
      <c r="O51" s="27" t="s">
        <v>81</v>
      </c>
    </row>
    <row r="52" spans="1:17" x14ac:dyDescent="0.25">
      <c r="A52" s="24" t="s">
        <v>2161</v>
      </c>
      <c r="B52" s="29" t="s">
        <v>82</v>
      </c>
      <c r="C52" s="81">
        <f>SUMIFS(I$3:I$47,B$3:B$47,A$51,L$3:L$47,A$52)</f>
        <v>36700</v>
      </c>
      <c r="D52" s="81"/>
      <c r="E52" s="29">
        <f>SUMIFS(Q$3:Q$47,B$3:B$47,A$51,L$3:L$47,A$52)</f>
        <v>45</v>
      </c>
      <c r="F52" s="24" t="s">
        <v>83</v>
      </c>
      <c r="K52" s="24" t="s">
        <v>84</v>
      </c>
      <c r="L52" s="24">
        <f>SUMIFS(G$3:G$47,J$3:J$47,K$51)</f>
        <v>10115</v>
      </c>
      <c r="M52" s="24">
        <f>SUMIFS(Q$3:Q$47,J$3:J$47,K$51)-INT(COUNTIFS(J$3:J$47,K$51,M$3:M$47,"*gộp*")/2)</f>
        <v>16</v>
      </c>
      <c r="O52" s="24" t="s">
        <v>41</v>
      </c>
      <c r="P52" s="24">
        <f>L57</f>
        <v>9785</v>
      </c>
    </row>
    <row r="53" spans="1:17" x14ac:dyDescent="0.25">
      <c r="B53" s="30" t="s">
        <v>86</v>
      </c>
      <c r="C53" s="82">
        <v>0</v>
      </c>
      <c r="D53" s="82"/>
      <c r="K53" s="24" t="s">
        <v>87</v>
      </c>
      <c r="L53" s="24">
        <f>-SUMIFS(H$3:H$47,J$3:J$47,K$51)+M53*5</f>
        <v>-330</v>
      </c>
      <c r="M53" s="24">
        <f>SUMIFS(Q$3:Q$47,J$3:J$47,K$51)-INT(COUNTIFS(J$3:J$47,K$51,M$3:M$47,"*gộp*")/2)</f>
        <v>16</v>
      </c>
      <c r="O53" s="24" t="s">
        <v>2271</v>
      </c>
      <c r="P53" s="24">
        <f>L65</f>
        <v>12816</v>
      </c>
    </row>
    <row r="54" spans="1:17" x14ac:dyDescent="0.25">
      <c r="B54" s="30" t="s">
        <v>88</v>
      </c>
      <c r="C54" s="82">
        <f>-SUMIFS(I$3:I$47,B$3:B$47,A$51,P$3:P$47,"xx",N$3:N$47,"x")</f>
        <v>0</v>
      </c>
      <c r="D54" s="82"/>
      <c r="E54" s="30">
        <f>SUMIFS(Q$3:Q$47,B$3:B$47,A$51,P$3:P$47,"xx",N$3:N$47,"x")</f>
        <v>0</v>
      </c>
      <c r="K54" s="24" t="s">
        <v>89</v>
      </c>
      <c r="L54" s="24">
        <f>-M54*2</f>
        <v>0</v>
      </c>
      <c r="M54" s="24">
        <f>COUNTIFS(K$3:K$47,K$51,L$3:L$47,A$52)-(COUNTIFS(K$3:K$47,K$51,M$3:M$47,"*gộp*")/2)-COUNTIFS(K$3:K$47,K$51,M$3:M$47,"*đơn trả*")-COUNTIFS(K$3:K$47,K$51,M$3:M$47,"*hàng tỉnh*")</f>
        <v>0</v>
      </c>
      <c r="O54" s="24" t="s">
        <v>31</v>
      </c>
      <c r="P54" s="24">
        <f>L73</f>
        <v>14305</v>
      </c>
    </row>
    <row r="55" spans="1:17" x14ac:dyDescent="0.25">
      <c r="B55" s="27" t="s">
        <v>90</v>
      </c>
      <c r="C55" s="80">
        <f>SUBTOTAL(9,C52:C54)</f>
        <v>36700</v>
      </c>
      <c r="D55" s="80"/>
      <c r="E55" s="24">
        <f>E52</f>
        <v>45</v>
      </c>
      <c r="K55" s="31" t="s">
        <v>91</v>
      </c>
      <c r="O55" s="24" t="s">
        <v>92</v>
      </c>
      <c r="P55" s="24">
        <f>-C59</f>
        <v>-36700</v>
      </c>
    </row>
    <row r="56" spans="1:17" x14ac:dyDescent="0.25">
      <c r="B56" s="30" t="s">
        <v>93</v>
      </c>
      <c r="C56" s="78"/>
      <c r="D56" s="78"/>
      <c r="K56" s="30" t="s">
        <v>94</v>
      </c>
      <c r="O56" s="27" t="s">
        <v>95</v>
      </c>
      <c r="P56" s="27">
        <f>SUBTOTAL(9,P52:P55)</f>
        <v>206</v>
      </c>
    </row>
    <row r="57" spans="1:17" x14ac:dyDescent="0.25">
      <c r="B57" s="32" t="s">
        <v>96</v>
      </c>
      <c r="C57" s="78"/>
      <c r="D57" s="78"/>
      <c r="L57" s="33">
        <f>SUBTOTAL(9,L52:L56)</f>
        <v>9785</v>
      </c>
      <c r="M57" s="33">
        <f>M52</f>
        <v>16</v>
      </c>
    </row>
    <row r="59" spans="1:17" x14ac:dyDescent="0.25">
      <c r="B59" s="26" t="s">
        <v>97</v>
      </c>
      <c r="C59" s="79">
        <f>C55+C56+C57</f>
        <v>36700</v>
      </c>
      <c r="D59" s="79"/>
      <c r="E59" s="26" t="s">
        <v>98</v>
      </c>
      <c r="K59" s="28" t="s">
        <v>2164</v>
      </c>
      <c r="L59" s="28" t="s">
        <v>80</v>
      </c>
      <c r="M59" s="28" t="s">
        <v>79</v>
      </c>
    </row>
    <row r="60" spans="1:17" x14ac:dyDescent="0.25">
      <c r="K60" s="24" t="s">
        <v>84</v>
      </c>
      <c r="L60" s="24">
        <f>SUMIFS(G$3:G$47,J$3:J$47,K$59)</f>
        <v>13120</v>
      </c>
      <c r="M60" s="24">
        <f>SUMIFS(Q$3:Q$47,J$3:J$47,K$59)-INT(COUNTIFS(J$3:J$47,K$59,M$3:M$47,"*gộp*")/2)</f>
        <v>16</v>
      </c>
    </row>
    <row r="61" spans="1:17" x14ac:dyDescent="0.25">
      <c r="K61" s="24" t="s">
        <v>87</v>
      </c>
      <c r="L61" s="24">
        <f>SUM(H50:H51)</f>
        <v>-304</v>
      </c>
      <c r="M61" s="24">
        <f>SUMIFS(Q$3:Q$47,J$3:J$47,K$59)-INT(COUNTIFS(J$3:J$47,K$59,M$3:M$47,"*gộp*")/2)</f>
        <v>16</v>
      </c>
    </row>
    <row r="62" spans="1:17" x14ac:dyDescent="0.25">
      <c r="K62" s="24" t="s">
        <v>89</v>
      </c>
      <c r="L62" s="24">
        <f>-M62*2</f>
        <v>0</v>
      </c>
      <c r="M62" s="24">
        <f>COUNTIFS(K$3:K$47,K$59,L$3:L$47,A$52)-(COUNTIFS(K$3:K$47,K$59,M$3:M$47,"*gộp*")/2)-COUNTIFS(K$3:K$47,K$59,M$3:M$47,"*đơn trả*")-COUNTIFS(K$3:K$47,K$59,M$3:M$47,"*hàng tỉnh*")</f>
        <v>0</v>
      </c>
    </row>
    <row r="63" spans="1:17" x14ac:dyDescent="0.25">
      <c r="K63" s="31" t="s">
        <v>91</v>
      </c>
    </row>
    <row r="64" spans="1:17" x14ac:dyDescent="0.25">
      <c r="K64" s="30" t="s">
        <v>94</v>
      </c>
    </row>
    <row r="65" spans="11:13" x14ac:dyDescent="0.25">
      <c r="L65" s="33">
        <f>SUBTOTAL(9,L60:L64)</f>
        <v>12816</v>
      </c>
      <c r="M65" s="33">
        <f>M60</f>
        <v>16</v>
      </c>
    </row>
    <row r="67" spans="11:13" x14ac:dyDescent="0.25">
      <c r="K67" s="28" t="s">
        <v>31</v>
      </c>
      <c r="L67" s="28" t="s">
        <v>80</v>
      </c>
      <c r="M67" s="28" t="s">
        <v>79</v>
      </c>
    </row>
    <row r="68" spans="11:13" x14ac:dyDescent="0.25">
      <c r="K68" s="24" t="s">
        <v>84</v>
      </c>
      <c r="L68" s="24">
        <f>SUMIFS(G$3:G$47,J$3:J$47,K$67)</f>
        <v>14700</v>
      </c>
      <c r="M68" s="24">
        <f>SUMIFS(Q$3:Q$47,J$3:J$47,K$67)-INT(COUNTIFS(J$3:J$47,K$67,M$3:M$47,"*gộp*")/2)</f>
        <v>13</v>
      </c>
    </row>
    <row r="69" spans="11:13" x14ac:dyDescent="0.25">
      <c r="K69" s="24" t="s">
        <v>87</v>
      </c>
      <c r="L69" s="24">
        <f>-SUMIFS(H$3:H$47,J$3:J$47,K$67)+M69*5</f>
        <v>-305</v>
      </c>
      <c r="M69" s="24">
        <f>SUMIFS(Q$3:Q$47,J$3:J$47,K$67)-INT(COUNTIFS(J$3:J$47,K$67,M$3:M$47,"*gộp*")/2)</f>
        <v>13</v>
      </c>
    </row>
    <row r="70" spans="11:13" x14ac:dyDescent="0.25">
      <c r="K70" s="24" t="s">
        <v>89</v>
      </c>
      <c r="L70" s="24">
        <f>-M70*2</f>
        <v>-90</v>
      </c>
      <c r="M70" s="24">
        <f>COUNTIFS(K$3:K$47,K$67,L$3:L$47,A$52)-(COUNTIFS(K$3:K$47,K$67,M$3:M$47,"*gộp*")/2)-COUNTIFS(K$3:K$47,K$67,M$3:M$47,"*đơn trả*")-COUNTIFS(K$3:K$47,K$67,M$3:M$47,"*hàng tỉnh*")</f>
        <v>45</v>
      </c>
    </row>
    <row r="71" spans="11:13" x14ac:dyDescent="0.25">
      <c r="K71" s="31" t="s">
        <v>91</v>
      </c>
    </row>
    <row r="72" spans="11:13" x14ac:dyDescent="0.25">
      <c r="K72" s="30" t="s">
        <v>94</v>
      </c>
    </row>
    <row r="73" spans="11:13" x14ac:dyDescent="0.25">
      <c r="L73" s="33">
        <f>SUBTOTAL(9,L68:L72)</f>
        <v>14305</v>
      </c>
      <c r="M73" s="33">
        <f>M68</f>
        <v>13</v>
      </c>
    </row>
  </sheetData>
  <autoFilter ref="A2:P47" xr:uid="{00000000-0009-0000-0000-000000000000}">
    <sortState xmlns:xlrd2="http://schemas.microsoft.com/office/spreadsheetml/2017/richdata2" ref="A3:P47">
      <sortCondition ref="J2:J47"/>
    </sortState>
  </autoFilter>
  <mergeCells count="8">
    <mergeCell ref="C57:D57"/>
    <mergeCell ref="C59:D59"/>
    <mergeCell ref="C51:D51"/>
    <mergeCell ref="C52:D52"/>
    <mergeCell ref="C53:D53"/>
    <mergeCell ref="C54:D54"/>
    <mergeCell ref="C55:D55"/>
    <mergeCell ref="C56:D56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FECF-933F-4010-AA2A-437FF7F15787}">
  <dimension ref="A1:R123"/>
  <sheetViews>
    <sheetView topLeftCell="A61" workbookViewId="0">
      <selection activeCell="A94" sqref="A94:XFD94"/>
    </sheetView>
  </sheetViews>
  <sheetFormatPr defaultRowHeight="15" x14ac:dyDescent="0.25"/>
  <cols>
    <col min="1" max="1" width="12.7109375" style="24" customWidth="1"/>
    <col min="2" max="2" width="8.85546875" style="24" customWidth="1"/>
    <col min="3" max="3" width="33.28515625" style="24" customWidth="1"/>
    <col min="4" max="4" width="9.85546875" style="24" customWidth="1"/>
    <col min="5" max="5" width="73.28515625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0.42578125" style="24" customWidth="1"/>
    <col min="13" max="13" width="13.85546875" style="24" customWidth="1"/>
    <col min="14" max="14" width="9.7109375" style="24" customWidth="1"/>
    <col min="15" max="15" width="10.42578125" style="24" customWidth="1"/>
    <col min="16" max="16" width="7" style="24" bestFit="1" customWidth="1"/>
    <col min="17" max="16384" width="9.140625" style="24"/>
  </cols>
  <sheetData>
    <row r="1" spans="1:18" customFormat="1" x14ac:dyDescent="0.25">
      <c r="B1" s="4" t="s">
        <v>1163</v>
      </c>
      <c r="C1" s="4" t="s">
        <v>2507</v>
      </c>
      <c r="F1" s="65"/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/>
      <c r="B3" s="35" t="s">
        <v>26</v>
      </c>
      <c r="C3" s="35" t="s">
        <v>2180</v>
      </c>
      <c r="D3" s="35" t="s">
        <v>2464</v>
      </c>
      <c r="E3" s="35" t="s">
        <v>2465</v>
      </c>
      <c r="F3" s="35" t="s">
        <v>45</v>
      </c>
      <c r="G3" s="36">
        <v>915</v>
      </c>
      <c r="H3" s="36">
        <v>25</v>
      </c>
      <c r="I3" s="36">
        <f t="shared" ref="I3:I34" si="0">G3-H3</f>
        <v>890</v>
      </c>
      <c r="J3" s="35" t="s">
        <v>2278</v>
      </c>
      <c r="K3" s="35" t="s">
        <v>31</v>
      </c>
      <c r="L3" s="35" t="s">
        <v>2276</v>
      </c>
      <c r="M3" s="38" t="s">
        <v>423</v>
      </c>
      <c r="N3" s="35"/>
      <c r="O3" s="35"/>
      <c r="P3" s="35"/>
      <c r="Q3" s="35">
        <v>1</v>
      </c>
    </row>
    <row r="4" spans="1:18" x14ac:dyDescent="0.25">
      <c r="A4" s="35"/>
      <c r="B4" s="35" t="s">
        <v>26</v>
      </c>
      <c r="C4" s="35" t="s">
        <v>2180</v>
      </c>
      <c r="D4" s="35" t="s">
        <v>2277</v>
      </c>
      <c r="E4" s="35" t="s">
        <v>2182</v>
      </c>
      <c r="F4" s="35" t="s">
        <v>45</v>
      </c>
      <c r="G4" s="36">
        <v>0</v>
      </c>
      <c r="H4" s="36">
        <v>0</v>
      </c>
      <c r="I4" s="36">
        <f t="shared" si="0"/>
        <v>0</v>
      </c>
      <c r="J4" s="35" t="s">
        <v>2278</v>
      </c>
      <c r="K4" s="35" t="s">
        <v>31</v>
      </c>
      <c r="L4" s="35" t="s">
        <v>2276</v>
      </c>
      <c r="M4" s="38" t="s">
        <v>423</v>
      </c>
      <c r="N4" s="35"/>
      <c r="O4" s="35"/>
      <c r="P4" s="35"/>
      <c r="Q4" s="35">
        <v>1</v>
      </c>
      <c r="R4" s="25">
        <f>H4</f>
        <v>0</v>
      </c>
    </row>
    <row r="5" spans="1:18" x14ac:dyDescent="0.25">
      <c r="A5" s="35"/>
      <c r="B5" s="35" t="s">
        <v>26</v>
      </c>
      <c r="C5" s="35" t="s">
        <v>2279</v>
      </c>
      <c r="D5" s="35" t="s">
        <v>2280</v>
      </c>
      <c r="E5" s="35" t="s">
        <v>2281</v>
      </c>
      <c r="F5" s="35" t="s">
        <v>77</v>
      </c>
      <c r="G5" s="36">
        <v>880</v>
      </c>
      <c r="H5" s="36">
        <v>30</v>
      </c>
      <c r="I5" s="36">
        <f t="shared" si="0"/>
        <v>850</v>
      </c>
      <c r="J5" s="35" t="s">
        <v>2278</v>
      </c>
      <c r="K5" s="35" t="s">
        <v>31</v>
      </c>
      <c r="L5" s="35" t="s">
        <v>2276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2300</v>
      </c>
      <c r="D6" s="35" t="s">
        <v>2301</v>
      </c>
      <c r="E6" s="35" t="s">
        <v>2302</v>
      </c>
      <c r="F6" s="35" t="s">
        <v>121</v>
      </c>
      <c r="G6" s="36">
        <v>855</v>
      </c>
      <c r="H6" s="36">
        <v>35</v>
      </c>
      <c r="I6" s="36">
        <f t="shared" si="0"/>
        <v>820</v>
      </c>
      <c r="J6" s="35" t="s">
        <v>2278</v>
      </c>
      <c r="K6" s="35" t="s">
        <v>31</v>
      </c>
      <c r="L6" s="35" t="s">
        <v>2276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2306</v>
      </c>
      <c r="D7" s="35" t="s">
        <v>2307</v>
      </c>
      <c r="E7" s="35" t="s">
        <v>2308</v>
      </c>
      <c r="F7" s="35" t="s">
        <v>77</v>
      </c>
      <c r="G7" s="36">
        <v>860</v>
      </c>
      <c r="H7" s="36">
        <v>30</v>
      </c>
      <c r="I7" s="36">
        <f t="shared" si="0"/>
        <v>830</v>
      </c>
      <c r="J7" s="35" t="s">
        <v>2278</v>
      </c>
      <c r="K7" s="35" t="s">
        <v>31</v>
      </c>
      <c r="L7" s="35" t="s">
        <v>2276</v>
      </c>
      <c r="M7" s="35"/>
      <c r="N7" s="35"/>
      <c r="O7" s="35"/>
      <c r="P7" s="35"/>
      <c r="Q7" s="35">
        <v>1</v>
      </c>
    </row>
    <row r="8" spans="1:18" x14ac:dyDescent="0.25">
      <c r="A8" s="35"/>
      <c r="B8" s="35" t="s">
        <v>26</v>
      </c>
      <c r="C8" s="35" t="s">
        <v>1749</v>
      </c>
      <c r="D8" s="35" t="s">
        <v>2313</v>
      </c>
      <c r="E8" s="35" t="s">
        <v>2314</v>
      </c>
      <c r="F8" s="36">
        <v>6</v>
      </c>
      <c r="G8" s="36">
        <v>0</v>
      </c>
      <c r="H8" s="36">
        <v>25</v>
      </c>
      <c r="I8" s="36">
        <f t="shared" si="0"/>
        <v>-25</v>
      </c>
      <c r="J8" s="35" t="s">
        <v>2278</v>
      </c>
      <c r="K8" s="35" t="s">
        <v>31</v>
      </c>
      <c r="L8" s="35" t="s">
        <v>2276</v>
      </c>
      <c r="M8" s="35"/>
      <c r="N8" s="35"/>
      <c r="O8" s="35"/>
      <c r="P8" s="35"/>
      <c r="Q8" s="35">
        <v>1</v>
      </c>
      <c r="R8" s="25">
        <f>H8</f>
        <v>25</v>
      </c>
    </row>
    <row r="9" spans="1:18" x14ac:dyDescent="0.25">
      <c r="A9" s="35"/>
      <c r="B9" s="35" t="s">
        <v>26</v>
      </c>
      <c r="C9" s="35" t="s">
        <v>2315</v>
      </c>
      <c r="D9" s="35" t="s">
        <v>2316</v>
      </c>
      <c r="E9" s="35" t="s">
        <v>2317</v>
      </c>
      <c r="F9" s="36">
        <v>7</v>
      </c>
      <c r="G9" s="36">
        <v>1020</v>
      </c>
      <c r="H9" s="36">
        <v>30</v>
      </c>
      <c r="I9" s="36">
        <f t="shared" si="0"/>
        <v>990</v>
      </c>
      <c r="J9" s="35" t="s">
        <v>2278</v>
      </c>
      <c r="K9" s="35" t="s">
        <v>31</v>
      </c>
      <c r="L9" s="35" t="s">
        <v>2276</v>
      </c>
      <c r="M9" s="35"/>
      <c r="N9" s="35"/>
      <c r="O9" s="35"/>
      <c r="P9" s="35"/>
      <c r="Q9" s="35">
        <v>1</v>
      </c>
    </row>
    <row r="10" spans="1:18" x14ac:dyDescent="0.25">
      <c r="A10" s="35"/>
      <c r="B10" s="35" t="s">
        <v>26</v>
      </c>
      <c r="C10" s="35" t="s">
        <v>2321</v>
      </c>
      <c r="D10" s="35" t="s">
        <v>2322</v>
      </c>
      <c r="E10" s="35" t="s">
        <v>2323</v>
      </c>
      <c r="F10" s="36">
        <v>12</v>
      </c>
      <c r="G10" s="36">
        <v>1920</v>
      </c>
      <c r="H10" s="36">
        <v>30</v>
      </c>
      <c r="I10" s="36">
        <f t="shared" si="0"/>
        <v>1890</v>
      </c>
      <c r="J10" s="35" t="s">
        <v>2278</v>
      </c>
      <c r="K10" s="35" t="s">
        <v>31</v>
      </c>
      <c r="L10" s="35" t="s">
        <v>2276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2327</v>
      </c>
      <c r="D11" s="35" t="s">
        <v>2328</v>
      </c>
      <c r="E11" s="35" t="s">
        <v>2329</v>
      </c>
      <c r="F11" s="35" t="s">
        <v>77</v>
      </c>
      <c r="G11" s="36">
        <v>2460</v>
      </c>
      <c r="H11" s="36">
        <v>35</v>
      </c>
      <c r="I11" s="36">
        <f t="shared" si="0"/>
        <v>2425</v>
      </c>
      <c r="J11" s="35" t="s">
        <v>2278</v>
      </c>
      <c r="K11" s="35" t="s">
        <v>31</v>
      </c>
      <c r="L11" s="35" t="s">
        <v>2276</v>
      </c>
      <c r="M11" s="38" t="s">
        <v>59</v>
      </c>
      <c r="N11" s="35"/>
      <c r="O11" s="35"/>
      <c r="P11" s="35"/>
      <c r="Q11" s="35">
        <v>1</v>
      </c>
      <c r="R11" s="25">
        <f>H11</f>
        <v>35</v>
      </c>
    </row>
    <row r="12" spans="1:18" x14ac:dyDescent="0.25">
      <c r="A12" s="35"/>
      <c r="B12" s="35" t="s">
        <v>26</v>
      </c>
      <c r="C12" s="35" t="s">
        <v>1341</v>
      </c>
      <c r="D12" s="35" t="s">
        <v>2338</v>
      </c>
      <c r="E12" s="35" t="s">
        <v>1343</v>
      </c>
      <c r="F12" s="35" t="s">
        <v>121</v>
      </c>
      <c r="G12" s="36">
        <v>2005</v>
      </c>
      <c r="H12" s="36">
        <v>35</v>
      </c>
      <c r="I12" s="36">
        <f t="shared" si="0"/>
        <v>1970</v>
      </c>
      <c r="J12" s="35" t="s">
        <v>2278</v>
      </c>
      <c r="K12" s="35" t="s">
        <v>31</v>
      </c>
      <c r="L12" s="35" t="s">
        <v>2276</v>
      </c>
      <c r="M12" s="35"/>
      <c r="N12" s="35"/>
      <c r="O12" s="35"/>
      <c r="P12" s="35"/>
      <c r="Q12" s="35">
        <v>1</v>
      </c>
    </row>
    <row r="13" spans="1:18" x14ac:dyDescent="0.25">
      <c r="A13" s="35"/>
      <c r="B13" s="35" t="s">
        <v>26</v>
      </c>
      <c r="C13" s="35" t="s">
        <v>2350</v>
      </c>
      <c r="D13" s="35" t="s">
        <v>2351</v>
      </c>
      <c r="E13" s="35" t="s">
        <v>2352</v>
      </c>
      <c r="F13" s="35" t="s">
        <v>121</v>
      </c>
      <c r="G13" s="36">
        <v>615</v>
      </c>
      <c r="H13" s="36">
        <v>35</v>
      </c>
      <c r="I13" s="36">
        <f t="shared" si="0"/>
        <v>580</v>
      </c>
      <c r="J13" s="35" t="s">
        <v>2278</v>
      </c>
      <c r="K13" s="35" t="s">
        <v>31</v>
      </c>
      <c r="L13" s="35" t="s">
        <v>2276</v>
      </c>
      <c r="M13" s="35"/>
      <c r="N13" s="35"/>
      <c r="O13" s="35"/>
      <c r="P13" s="35"/>
      <c r="Q13" s="35">
        <v>1</v>
      </c>
    </row>
    <row r="14" spans="1:18" x14ac:dyDescent="0.25">
      <c r="A14" s="35"/>
      <c r="B14" s="35" t="s">
        <v>26</v>
      </c>
      <c r="C14" s="35" t="s">
        <v>2353</v>
      </c>
      <c r="D14" s="35" t="s">
        <v>2354</v>
      </c>
      <c r="E14" s="35" t="s">
        <v>2355</v>
      </c>
      <c r="F14" s="36">
        <v>6</v>
      </c>
      <c r="G14" s="36">
        <v>2860</v>
      </c>
      <c r="H14" s="36">
        <v>30</v>
      </c>
      <c r="I14" s="36">
        <f t="shared" si="0"/>
        <v>2830</v>
      </c>
      <c r="J14" s="35" t="s">
        <v>2278</v>
      </c>
      <c r="K14" s="35" t="s">
        <v>31</v>
      </c>
      <c r="L14" s="35" t="s">
        <v>2276</v>
      </c>
      <c r="M14" s="38" t="s">
        <v>59</v>
      </c>
      <c r="N14" s="35"/>
      <c r="O14" s="35"/>
      <c r="P14" s="35"/>
      <c r="Q14" s="35">
        <v>1</v>
      </c>
      <c r="R14" s="25">
        <f>H14</f>
        <v>30</v>
      </c>
    </row>
    <row r="15" spans="1:18" x14ac:dyDescent="0.25">
      <c r="A15" s="35"/>
      <c r="B15" s="35" t="s">
        <v>26</v>
      </c>
      <c r="C15" s="35" t="s">
        <v>2356</v>
      </c>
      <c r="D15" s="35" t="s">
        <v>2357</v>
      </c>
      <c r="E15" s="35" t="s">
        <v>2358</v>
      </c>
      <c r="F15" s="35" t="s">
        <v>45</v>
      </c>
      <c r="G15" s="36">
        <v>485</v>
      </c>
      <c r="H15" s="36">
        <v>25</v>
      </c>
      <c r="I15" s="36">
        <f t="shared" si="0"/>
        <v>460</v>
      </c>
      <c r="J15" s="35" t="s">
        <v>2278</v>
      </c>
      <c r="K15" s="35" t="s">
        <v>31</v>
      </c>
      <c r="L15" s="35" t="s">
        <v>2276</v>
      </c>
      <c r="M15" s="35"/>
      <c r="N15" s="35"/>
      <c r="O15" s="35"/>
      <c r="P15" s="35"/>
      <c r="Q15" s="35">
        <v>1</v>
      </c>
    </row>
    <row r="16" spans="1:18" x14ac:dyDescent="0.25">
      <c r="A16" s="35" t="s">
        <v>66</v>
      </c>
      <c r="B16" s="35" t="s">
        <v>26</v>
      </c>
      <c r="C16" s="35" t="s">
        <v>2365</v>
      </c>
      <c r="D16" s="35"/>
      <c r="E16" s="35" t="s">
        <v>2366</v>
      </c>
      <c r="F16" s="36">
        <v>6</v>
      </c>
      <c r="G16" s="36">
        <v>0</v>
      </c>
      <c r="H16" s="36">
        <v>30</v>
      </c>
      <c r="I16" s="36">
        <f t="shared" si="0"/>
        <v>-30</v>
      </c>
      <c r="J16" s="35" t="s">
        <v>2278</v>
      </c>
      <c r="K16" s="35" t="s">
        <v>31</v>
      </c>
      <c r="L16" s="35" t="s">
        <v>2276</v>
      </c>
      <c r="M16" s="35"/>
      <c r="N16" s="35"/>
      <c r="O16" s="35"/>
      <c r="P16" s="35"/>
      <c r="Q16" s="35">
        <v>1</v>
      </c>
      <c r="R16" s="25">
        <f t="shared" ref="R16:R17" si="1">H16</f>
        <v>30</v>
      </c>
    </row>
    <row r="17" spans="1:18" x14ac:dyDescent="0.25">
      <c r="A17" s="35" t="s">
        <v>66</v>
      </c>
      <c r="B17" s="35" t="s">
        <v>26</v>
      </c>
      <c r="C17" s="35" t="s">
        <v>67</v>
      </c>
      <c r="D17" s="35"/>
      <c r="E17" s="35" t="s">
        <v>1717</v>
      </c>
      <c r="F17" s="36">
        <v>6</v>
      </c>
      <c r="G17" s="36">
        <v>0</v>
      </c>
      <c r="H17" s="36">
        <v>30</v>
      </c>
      <c r="I17" s="36">
        <f t="shared" si="0"/>
        <v>-30</v>
      </c>
      <c r="J17" s="35" t="s">
        <v>2278</v>
      </c>
      <c r="K17" s="35" t="s">
        <v>31</v>
      </c>
      <c r="L17" s="35" t="s">
        <v>2276</v>
      </c>
      <c r="M17" s="35"/>
      <c r="N17" s="35"/>
      <c r="O17" s="35"/>
      <c r="P17" s="35"/>
      <c r="Q17" s="35">
        <v>1</v>
      </c>
      <c r="R17" s="25">
        <f t="shared" si="1"/>
        <v>30</v>
      </c>
    </row>
    <row r="18" spans="1:18" x14ac:dyDescent="0.25">
      <c r="A18" s="35" t="s">
        <v>66</v>
      </c>
      <c r="B18" s="35" t="s">
        <v>26</v>
      </c>
      <c r="C18" s="35" t="s">
        <v>1316</v>
      </c>
      <c r="D18" s="35"/>
      <c r="E18" s="35" t="s">
        <v>1317</v>
      </c>
      <c r="F18" s="36">
        <v>6</v>
      </c>
      <c r="G18" s="36">
        <v>2675</v>
      </c>
      <c r="H18" s="36">
        <v>35</v>
      </c>
      <c r="I18" s="36">
        <f t="shared" si="0"/>
        <v>2640</v>
      </c>
      <c r="J18" s="35" t="s">
        <v>2278</v>
      </c>
      <c r="K18" s="35" t="s">
        <v>31</v>
      </c>
      <c r="L18" s="35" t="s">
        <v>2276</v>
      </c>
      <c r="M18" s="35"/>
      <c r="N18" s="35"/>
      <c r="O18" s="35"/>
      <c r="P18" s="35"/>
      <c r="Q18" s="35">
        <v>1</v>
      </c>
    </row>
    <row r="19" spans="1:18" x14ac:dyDescent="0.25">
      <c r="A19" s="35"/>
      <c r="B19" s="35" t="s">
        <v>26</v>
      </c>
      <c r="C19" s="35" t="s">
        <v>2376</v>
      </c>
      <c r="D19" s="35" t="s">
        <v>2377</v>
      </c>
      <c r="E19" s="35" t="s">
        <v>2378</v>
      </c>
      <c r="F19" s="35" t="s">
        <v>121</v>
      </c>
      <c r="G19" s="36">
        <v>895</v>
      </c>
      <c r="H19" s="36">
        <v>35</v>
      </c>
      <c r="I19" s="36">
        <f t="shared" si="0"/>
        <v>860</v>
      </c>
      <c r="J19" s="35" t="s">
        <v>2278</v>
      </c>
      <c r="K19" s="35" t="s">
        <v>31</v>
      </c>
      <c r="L19" s="35" t="s">
        <v>2276</v>
      </c>
      <c r="M19" s="35"/>
      <c r="N19" s="35"/>
      <c r="O19" s="35"/>
      <c r="P19" s="35"/>
      <c r="Q19" s="35">
        <v>1</v>
      </c>
    </row>
    <row r="20" spans="1:18" x14ac:dyDescent="0.25">
      <c r="A20" s="35"/>
      <c r="B20" s="35" t="s">
        <v>26</v>
      </c>
      <c r="C20" s="35" t="s">
        <v>2385</v>
      </c>
      <c r="D20" s="35" t="s">
        <v>2386</v>
      </c>
      <c r="E20" s="35" t="s">
        <v>2387</v>
      </c>
      <c r="F20" s="35" t="s">
        <v>45</v>
      </c>
      <c r="G20" s="36">
        <v>1475</v>
      </c>
      <c r="H20" s="36">
        <v>25</v>
      </c>
      <c r="I20" s="36">
        <f t="shared" si="0"/>
        <v>1450</v>
      </c>
      <c r="J20" s="35" t="s">
        <v>2278</v>
      </c>
      <c r="K20" s="35" t="s">
        <v>31</v>
      </c>
      <c r="L20" s="35" t="s">
        <v>2276</v>
      </c>
      <c r="M20" s="35"/>
      <c r="N20" s="35"/>
      <c r="O20" s="35"/>
      <c r="P20" s="35"/>
      <c r="Q20" s="35">
        <v>1</v>
      </c>
    </row>
    <row r="21" spans="1:18" x14ac:dyDescent="0.25">
      <c r="A21" s="35"/>
      <c r="B21" s="35" t="s">
        <v>26</v>
      </c>
      <c r="C21" s="35" t="s">
        <v>2391</v>
      </c>
      <c r="D21" s="35" t="s">
        <v>2392</v>
      </c>
      <c r="E21" s="35" t="s">
        <v>2393</v>
      </c>
      <c r="F21" s="35" t="s">
        <v>117</v>
      </c>
      <c r="G21" s="36">
        <v>0</v>
      </c>
      <c r="H21" s="36">
        <v>35</v>
      </c>
      <c r="I21" s="36">
        <f t="shared" si="0"/>
        <v>-35</v>
      </c>
      <c r="J21" s="35" t="s">
        <v>2278</v>
      </c>
      <c r="K21" s="35" t="s">
        <v>31</v>
      </c>
      <c r="L21" s="35" t="s">
        <v>2276</v>
      </c>
      <c r="M21" s="35"/>
      <c r="N21" s="35"/>
      <c r="O21" s="35"/>
      <c r="P21" s="35"/>
      <c r="Q21" s="35">
        <v>1</v>
      </c>
      <c r="R21" s="25">
        <f t="shared" ref="R21:R22" si="2">H21</f>
        <v>35</v>
      </c>
    </row>
    <row r="22" spans="1:18" s="41" customFormat="1" x14ac:dyDescent="0.25">
      <c r="A22" s="39"/>
      <c r="B22" s="39" t="s">
        <v>26</v>
      </c>
      <c r="C22" s="39" t="s">
        <v>1455</v>
      </c>
      <c r="D22" s="39" t="s">
        <v>2396</v>
      </c>
      <c r="E22" s="39" t="s">
        <v>2397</v>
      </c>
      <c r="F22" s="40">
        <v>8</v>
      </c>
      <c r="G22" s="40">
        <v>0</v>
      </c>
      <c r="H22" s="40">
        <v>30</v>
      </c>
      <c r="I22" s="40">
        <f t="shared" si="0"/>
        <v>-30</v>
      </c>
      <c r="J22" s="39" t="s">
        <v>2278</v>
      </c>
      <c r="K22" s="39" t="s">
        <v>31</v>
      </c>
      <c r="L22" s="39" t="s">
        <v>2276</v>
      </c>
      <c r="M22" s="39" t="s">
        <v>37</v>
      </c>
      <c r="N22" s="39"/>
      <c r="O22" s="39"/>
      <c r="P22" s="39"/>
      <c r="Q22" s="39">
        <v>1</v>
      </c>
      <c r="R22" s="42">
        <f t="shared" si="2"/>
        <v>30</v>
      </c>
    </row>
    <row r="23" spans="1:18" x14ac:dyDescent="0.25">
      <c r="A23" s="35"/>
      <c r="B23" s="35" t="s">
        <v>26</v>
      </c>
      <c r="C23" s="35" t="s">
        <v>2398</v>
      </c>
      <c r="D23" s="35" t="s">
        <v>2399</v>
      </c>
      <c r="E23" s="35" t="s">
        <v>2400</v>
      </c>
      <c r="F23" s="36">
        <v>12</v>
      </c>
      <c r="G23" s="36">
        <v>960</v>
      </c>
      <c r="H23" s="36">
        <v>30</v>
      </c>
      <c r="I23" s="36">
        <f t="shared" si="0"/>
        <v>930</v>
      </c>
      <c r="J23" s="35" t="s">
        <v>2278</v>
      </c>
      <c r="K23" s="35" t="s">
        <v>31</v>
      </c>
      <c r="L23" s="35" t="s">
        <v>2276</v>
      </c>
      <c r="M23" s="35"/>
      <c r="N23" s="35"/>
      <c r="O23" s="35"/>
      <c r="P23" s="35"/>
      <c r="Q23" s="35">
        <v>1</v>
      </c>
    </row>
    <row r="24" spans="1:18" x14ac:dyDescent="0.25">
      <c r="A24" s="35"/>
      <c r="B24" s="35" t="s">
        <v>26</v>
      </c>
      <c r="C24" s="35" t="s">
        <v>2401</v>
      </c>
      <c r="D24" s="35" t="s">
        <v>2402</v>
      </c>
      <c r="E24" s="35" t="s">
        <v>2403</v>
      </c>
      <c r="F24" s="35" t="s">
        <v>45</v>
      </c>
      <c r="G24" s="36">
        <v>25</v>
      </c>
      <c r="H24" s="36">
        <v>25</v>
      </c>
      <c r="I24" s="36">
        <f t="shared" si="0"/>
        <v>0</v>
      </c>
      <c r="J24" s="35" t="s">
        <v>2278</v>
      </c>
      <c r="K24" s="35" t="s">
        <v>31</v>
      </c>
      <c r="L24" s="35" t="s">
        <v>2276</v>
      </c>
      <c r="M24" s="35"/>
      <c r="N24" s="35"/>
      <c r="O24" s="35"/>
      <c r="P24" s="35"/>
      <c r="Q24" s="35">
        <v>1</v>
      </c>
    </row>
    <row r="25" spans="1:18" x14ac:dyDescent="0.25">
      <c r="A25" s="35"/>
      <c r="B25" s="35" t="s">
        <v>26</v>
      </c>
      <c r="C25" s="35" t="s">
        <v>1051</v>
      </c>
      <c r="D25" s="35" t="s">
        <v>2407</v>
      </c>
      <c r="E25" s="35" t="s">
        <v>560</v>
      </c>
      <c r="F25" s="36">
        <v>9</v>
      </c>
      <c r="G25" s="36">
        <v>790</v>
      </c>
      <c r="H25" s="36">
        <v>30</v>
      </c>
      <c r="I25" s="36">
        <f t="shared" si="0"/>
        <v>760</v>
      </c>
      <c r="J25" s="35" t="s">
        <v>2278</v>
      </c>
      <c r="K25" s="35" t="s">
        <v>31</v>
      </c>
      <c r="L25" s="35" t="s">
        <v>2276</v>
      </c>
      <c r="M25" s="35"/>
      <c r="N25" s="35"/>
      <c r="O25" s="35"/>
      <c r="P25" s="35"/>
      <c r="Q25" s="35">
        <v>1</v>
      </c>
    </row>
    <row r="26" spans="1:18" x14ac:dyDescent="0.25">
      <c r="A26" s="35"/>
      <c r="B26" s="35" t="s">
        <v>26</v>
      </c>
      <c r="C26" s="35" t="s">
        <v>2417</v>
      </c>
      <c r="D26" s="35" t="s">
        <v>2418</v>
      </c>
      <c r="E26" s="35" t="s">
        <v>2419</v>
      </c>
      <c r="F26" s="36">
        <v>12</v>
      </c>
      <c r="G26" s="36">
        <v>1630</v>
      </c>
      <c r="H26" s="36">
        <v>30</v>
      </c>
      <c r="I26" s="36">
        <f t="shared" si="0"/>
        <v>1600</v>
      </c>
      <c r="J26" s="35" t="s">
        <v>2278</v>
      </c>
      <c r="K26" s="35" t="s">
        <v>31</v>
      </c>
      <c r="L26" s="35" t="s">
        <v>2276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2420</v>
      </c>
      <c r="D27" s="35" t="s">
        <v>2421</v>
      </c>
      <c r="E27" s="35" t="s">
        <v>2422</v>
      </c>
      <c r="F27" s="36">
        <v>12</v>
      </c>
      <c r="G27" s="36">
        <v>920</v>
      </c>
      <c r="H27" s="36">
        <v>30</v>
      </c>
      <c r="I27" s="36">
        <f t="shared" si="0"/>
        <v>890</v>
      </c>
      <c r="J27" s="35" t="s">
        <v>2278</v>
      </c>
      <c r="K27" s="35" t="s">
        <v>31</v>
      </c>
      <c r="L27" s="35" t="s">
        <v>2276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1005</v>
      </c>
      <c r="D28" s="35" t="s">
        <v>2423</v>
      </c>
      <c r="E28" s="35" t="s">
        <v>1007</v>
      </c>
      <c r="F28" s="36">
        <v>9</v>
      </c>
      <c r="G28" s="36">
        <v>920</v>
      </c>
      <c r="H28" s="36">
        <v>30</v>
      </c>
      <c r="I28" s="36">
        <f t="shared" si="0"/>
        <v>890</v>
      </c>
      <c r="J28" s="35" t="s">
        <v>2278</v>
      </c>
      <c r="K28" s="35" t="s">
        <v>31</v>
      </c>
      <c r="L28" s="35" t="s">
        <v>2276</v>
      </c>
      <c r="M28" s="35"/>
      <c r="N28" s="35"/>
      <c r="O28" s="35"/>
      <c r="P28" s="35"/>
      <c r="Q28" s="35">
        <v>1</v>
      </c>
    </row>
    <row r="29" spans="1:18" x14ac:dyDescent="0.25">
      <c r="A29" s="35"/>
      <c r="B29" s="35" t="s">
        <v>26</v>
      </c>
      <c r="C29" s="35" t="s">
        <v>1213</v>
      </c>
      <c r="D29" s="35" t="s">
        <v>2424</v>
      </c>
      <c r="E29" s="35" t="s">
        <v>2425</v>
      </c>
      <c r="F29" s="35" t="s">
        <v>77</v>
      </c>
      <c r="G29" s="36">
        <v>960</v>
      </c>
      <c r="H29" s="36">
        <v>30</v>
      </c>
      <c r="I29" s="36">
        <f t="shared" si="0"/>
        <v>930</v>
      </c>
      <c r="J29" s="35" t="s">
        <v>2278</v>
      </c>
      <c r="K29" s="35" t="s">
        <v>31</v>
      </c>
      <c r="L29" s="35" t="s">
        <v>2276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2429</v>
      </c>
      <c r="D30" s="35" t="s">
        <v>2430</v>
      </c>
      <c r="E30" s="35" t="s">
        <v>2431</v>
      </c>
      <c r="F30" s="36">
        <v>7</v>
      </c>
      <c r="G30" s="36">
        <v>960</v>
      </c>
      <c r="H30" s="36">
        <v>30</v>
      </c>
      <c r="I30" s="36">
        <f t="shared" si="0"/>
        <v>930</v>
      </c>
      <c r="J30" s="35" t="s">
        <v>2278</v>
      </c>
      <c r="K30" s="35" t="s">
        <v>31</v>
      </c>
      <c r="L30" s="35" t="s">
        <v>2276</v>
      </c>
      <c r="M30" s="35"/>
      <c r="N30" s="35"/>
      <c r="O30" s="35"/>
      <c r="P30" s="35"/>
      <c r="Q30" s="35">
        <v>1</v>
      </c>
    </row>
    <row r="31" spans="1:18" x14ac:dyDescent="0.25">
      <c r="A31" s="35"/>
      <c r="B31" s="35" t="s">
        <v>26</v>
      </c>
      <c r="C31" s="35" t="s">
        <v>2441</v>
      </c>
      <c r="D31" s="35" t="s">
        <v>2442</v>
      </c>
      <c r="E31" s="35" t="s">
        <v>2443</v>
      </c>
      <c r="F31" s="36">
        <v>12</v>
      </c>
      <c r="G31" s="36">
        <v>890</v>
      </c>
      <c r="H31" s="36">
        <v>30</v>
      </c>
      <c r="I31" s="36">
        <f t="shared" si="0"/>
        <v>860</v>
      </c>
      <c r="J31" s="35" t="s">
        <v>2278</v>
      </c>
      <c r="K31" s="35" t="s">
        <v>31</v>
      </c>
      <c r="L31" s="35" t="s">
        <v>2276</v>
      </c>
      <c r="M31" s="35"/>
      <c r="N31" s="35"/>
      <c r="O31" s="35"/>
      <c r="P31" s="35"/>
      <c r="Q31" s="35">
        <v>1</v>
      </c>
    </row>
    <row r="32" spans="1:18" x14ac:dyDescent="0.25">
      <c r="A32" s="35"/>
      <c r="B32" s="35" t="s">
        <v>26</v>
      </c>
      <c r="C32" s="35" t="s">
        <v>2444</v>
      </c>
      <c r="D32" s="35" t="s">
        <v>2445</v>
      </c>
      <c r="E32" s="35" t="s">
        <v>2446</v>
      </c>
      <c r="F32" s="35" t="s">
        <v>121</v>
      </c>
      <c r="G32" s="36">
        <v>965</v>
      </c>
      <c r="H32" s="36">
        <v>35</v>
      </c>
      <c r="I32" s="36">
        <f t="shared" si="0"/>
        <v>930</v>
      </c>
      <c r="J32" s="35" t="s">
        <v>2278</v>
      </c>
      <c r="K32" s="35" t="s">
        <v>31</v>
      </c>
      <c r="L32" s="35" t="s">
        <v>2276</v>
      </c>
      <c r="M32" s="35"/>
      <c r="N32" s="35"/>
      <c r="O32" s="35"/>
      <c r="P32" s="35"/>
      <c r="Q32" s="35">
        <v>1</v>
      </c>
    </row>
    <row r="33" spans="1:18" x14ac:dyDescent="0.25">
      <c r="A33" s="35"/>
      <c r="B33" s="35" t="s">
        <v>26</v>
      </c>
      <c r="C33" s="35" t="s">
        <v>2466</v>
      </c>
      <c r="D33" s="35" t="s">
        <v>2467</v>
      </c>
      <c r="E33" s="35" t="s">
        <v>2468</v>
      </c>
      <c r="F33" s="36">
        <v>7</v>
      </c>
      <c r="G33" s="36">
        <v>790</v>
      </c>
      <c r="H33" s="36">
        <v>30</v>
      </c>
      <c r="I33" s="36">
        <f t="shared" si="0"/>
        <v>760</v>
      </c>
      <c r="J33" s="35" t="s">
        <v>2278</v>
      </c>
      <c r="K33" s="35" t="s">
        <v>31</v>
      </c>
      <c r="L33" s="35" t="s">
        <v>2276</v>
      </c>
      <c r="M33" s="35"/>
      <c r="N33" s="35"/>
      <c r="O33" s="35"/>
      <c r="P33" s="35"/>
      <c r="Q33" s="35">
        <v>1</v>
      </c>
    </row>
    <row r="34" spans="1:18" x14ac:dyDescent="0.25">
      <c r="A34" s="35"/>
      <c r="B34" s="35" t="s">
        <v>26</v>
      </c>
      <c r="C34" s="35" t="s">
        <v>1880</v>
      </c>
      <c r="D34" s="35" t="s">
        <v>2478</v>
      </c>
      <c r="E34" s="35" t="s">
        <v>2479</v>
      </c>
      <c r="F34" s="35" t="s">
        <v>77</v>
      </c>
      <c r="G34" s="36">
        <v>960</v>
      </c>
      <c r="H34" s="36">
        <v>30</v>
      </c>
      <c r="I34" s="36">
        <f t="shared" si="0"/>
        <v>930</v>
      </c>
      <c r="J34" s="35" t="s">
        <v>2278</v>
      </c>
      <c r="K34" s="35" t="s">
        <v>31</v>
      </c>
      <c r="L34" s="35" t="s">
        <v>2276</v>
      </c>
      <c r="M34" s="35"/>
      <c r="N34" s="35"/>
      <c r="O34" s="35"/>
      <c r="P34" s="35"/>
      <c r="Q34" s="35">
        <v>1</v>
      </c>
    </row>
    <row r="35" spans="1:18" x14ac:dyDescent="0.25">
      <c r="A35" s="35"/>
      <c r="B35" s="35" t="s">
        <v>26</v>
      </c>
      <c r="C35" s="35" t="s">
        <v>2485</v>
      </c>
      <c r="D35" s="35" t="s">
        <v>2486</v>
      </c>
      <c r="E35" s="35" t="s">
        <v>2487</v>
      </c>
      <c r="F35" s="35" t="s">
        <v>101</v>
      </c>
      <c r="G35" s="36">
        <v>1870</v>
      </c>
      <c r="H35" s="36">
        <v>25</v>
      </c>
      <c r="I35" s="36">
        <f t="shared" ref="I35:I66" si="3">G35-H35</f>
        <v>1845</v>
      </c>
      <c r="J35" s="35" t="s">
        <v>2278</v>
      </c>
      <c r="K35" s="35" t="s">
        <v>31</v>
      </c>
      <c r="L35" s="35" t="s">
        <v>2276</v>
      </c>
      <c r="M35" s="38" t="s">
        <v>59</v>
      </c>
      <c r="N35" s="35"/>
      <c r="O35" s="35"/>
      <c r="P35" s="35"/>
      <c r="Q35" s="35">
        <v>1</v>
      </c>
      <c r="R35" s="25">
        <f>H35</f>
        <v>25</v>
      </c>
    </row>
    <row r="36" spans="1:18" x14ac:dyDescent="0.25">
      <c r="A36" s="35"/>
      <c r="B36" s="35" t="s">
        <v>26</v>
      </c>
      <c r="C36" s="35" t="s">
        <v>2488</v>
      </c>
      <c r="D36" s="35" t="s">
        <v>2489</v>
      </c>
      <c r="E36" s="35" t="s">
        <v>2490</v>
      </c>
      <c r="F36" s="35" t="s">
        <v>117</v>
      </c>
      <c r="G36" s="36">
        <v>965</v>
      </c>
      <c r="H36" s="36">
        <v>35</v>
      </c>
      <c r="I36" s="36">
        <f t="shared" si="3"/>
        <v>930</v>
      </c>
      <c r="J36" s="35" t="s">
        <v>2278</v>
      </c>
      <c r="K36" s="35" t="s">
        <v>31</v>
      </c>
      <c r="L36" s="35" t="s">
        <v>2276</v>
      </c>
      <c r="M36" s="35"/>
      <c r="N36" s="35"/>
      <c r="O36" s="35"/>
      <c r="P36" s="35"/>
      <c r="Q36" s="35">
        <v>1</v>
      </c>
    </row>
    <row r="37" spans="1:18" x14ac:dyDescent="0.25">
      <c r="A37" s="35"/>
      <c r="B37" s="35" t="s">
        <v>26</v>
      </c>
      <c r="C37" s="35" t="s">
        <v>2493</v>
      </c>
      <c r="D37" s="35" t="s">
        <v>2494</v>
      </c>
      <c r="E37" s="35" t="s">
        <v>2495</v>
      </c>
      <c r="F37" s="35" t="s">
        <v>101</v>
      </c>
      <c r="G37" s="36">
        <v>845</v>
      </c>
      <c r="H37" s="36">
        <v>25</v>
      </c>
      <c r="I37" s="36">
        <f t="shared" si="3"/>
        <v>820</v>
      </c>
      <c r="J37" s="35" t="s">
        <v>2278</v>
      </c>
      <c r="K37" s="35" t="s">
        <v>31</v>
      </c>
      <c r="L37" s="35" t="s">
        <v>2276</v>
      </c>
      <c r="M37" s="35"/>
      <c r="N37" s="35"/>
      <c r="O37" s="35"/>
      <c r="P37" s="35"/>
      <c r="Q37" s="35">
        <v>1</v>
      </c>
    </row>
    <row r="38" spans="1:18" x14ac:dyDescent="0.25">
      <c r="A38" s="35"/>
      <c r="B38" s="35" t="s">
        <v>26</v>
      </c>
      <c r="C38" s="35" t="s">
        <v>2496</v>
      </c>
      <c r="D38" s="35" t="s">
        <v>2497</v>
      </c>
      <c r="E38" s="35" t="s">
        <v>2498</v>
      </c>
      <c r="F38" s="36">
        <v>8</v>
      </c>
      <c r="G38" s="36">
        <v>0</v>
      </c>
      <c r="H38" s="36">
        <v>30</v>
      </c>
      <c r="I38" s="36">
        <f t="shared" si="3"/>
        <v>-30</v>
      </c>
      <c r="J38" s="35" t="s">
        <v>2278</v>
      </c>
      <c r="K38" s="35" t="s">
        <v>31</v>
      </c>
      <c r="L38" s="35" t="s">
        <v>2276</v>
      </c>
      <c r="M38" s="35"/>
      <c r="N38" s="35"/>
      <c r="O38" s="35"/>
      <c r="P38" s="35"/>
      <c r="Q38" s="35">
        <v>1</v>
      </c>
      <c r="R38" s="25">
        <f>H38</f>
        <v>30</v>
      </c>
    </row>
    <row r="39" spans="1:18" x14ac:dyDescent="0.25">
      <c r="A39" s="35"/>
      <c r="B39" s="35" t="s">
        <v>26</v>
      </c>
      <c r="C39" s="35" t="s">
        <v>688</v>
      </c>
      <c r="D39" s="35" t="s">
        <v>2502</v>
      </c>
      <c r="E39" s="35" t="s">
        <v>690</v>
      </c>
      <c r="F39" s="36">
        <v>11</v>
      </c>
      <c r="G39" s="36">
        <v>2520</v>
      </c>
      <c r="H39" s="36">
        <v>30</v>
      </c>
      <c r="I39" s="36">
        <f t="shared" si="3"/>
        <v>2490</v>
      </c>
      <c r="J39" s="35" t="s">
        <v>2278</v>
      </c>
      <c r="K39" s="35" t="s">
        <v>31</v>
      </c>
      <c r="L39" s="35" t="s">
        <v>2276</v>
      </c>
      <c r="M39" s="38" t="s">
        <v>59</v>
      </c>
      <c r="N39" s="35"/>
      <c r="O39" s="35"/>
      <c r="P39" s="35"/>
      <c r="Q39" s="35">
        <v>1</v>
      </c>
      <c r="R39" s="25">
        <f>H39</f>
        <v>30</v>
      </c>
    </row>
    <row r="40" spans="1:18" x14ac:dyDescent="0.25">
      <c r="A40" s="35"/>
      <c r="B40" s="35" t="s">
        <v>26</v>
      </c>
      <c r="C40" s="35" t="s">
        <v>2503</v>
      </c>
      <c r="D40" s="35" t="s">
        <v>2504</v>
      </c>
      <c r="E40" s="35" t="s">
        <v>2505</v>
      </c>
      <c r="F40" s="35" t="s">
        <v>77</v>
      </c>
      <c r="G40" s="36">
        <v>790</v>
      </c>
      <c r="H40" s="36">
        <v>30</v>
      </c>
      <c r="I40" s="36">
        <f t="shared" si="3"/>
        <v>760</v>
      </c>
      <c r="J40" s="35" t="s">
        <v>2278</v>
      </c>
      <c r="K40" s="35" t="s">
        <v>31</v>
      </c>
      <c r="L40" s="35" t="s">
        <v>2276</v>
      </c>
      <c r="M40" s="35"/>
      <c r="N40" s="35"/>
      <c r="O40" s="35"/>
      <c r="P40" s="35"/>
      <c r="Q40" s="35">
        <v>1</v>
      </c>
    </row>
    <row r="41" spans="1:18" x14ac:dyDescent="0.25">
      <c r="A41" s="35"/>
      <c r="B41" s="35" t="s">
        <v>26</v>
      </c>
      <c r="C41" s="35" t="s">
        <v>2282</v>
      </c>
      <c r="D41" s="35" t="s">
        <v>2283</v>
      </c>
      <c r="E41" s="35" t="s">
        <v>2284</v>
      </c>
      <c r="F41" s="36">
        <v>12</v>
      </c>
      <c r="G41" s="36">
        <v>490</v>
      </c>
      <c r="H41" s="36">
        <v>30</v>
      </c>
      <c r="I41" s="36">
        <f t="shared" si="3"/>
        <v>460</v>
      </c>
      <c r="J41" s="35" t="s">
        <v>31</v>
      </c>
      <c r="K41" s="35" t="s">
        <v>31</v>
      </c>
      <c r="L41" s="35" t="s">
        <v>2276</v>
      </c>
      <c r="M41" s="35"/>
      <c r="N41" s="35"/>
      <c r="O41" s="35"/>
      <c r="P41" s="35"/>
      <c r="Q41" s="35">
        <v>1</v>
      </c>
    </row>
    <row r="42" spans="1:18" x14ac:dyDescent="0.25">
      <c r="A42" s="35"/>
      <c r="B42" s="35" t="s">
        <v>26</v>
      </c>
      <c r="C42" s="35" t="s">
        <v>2294</v>
      </c>
      <c r="D42" s="35" t="s">
        <v>2295</v>
      </c>
      <c r="E42" s="35" t="s">
        <v>2296</v>
      </c>
      <c r="F42" s="35" t="s">
        <v>36</v>
      </c>
      <c r="G42" s="36">
        <v>845</v>
      </c>
      <c r="H42" s="36">
        <v>25</v>
      </c>
      <c r="I42" s="36">
        <f t="shared" si="3"/>
        <v>820</v>
      </c>
      <c r="J42" s="35" t="s">
        <v>31</v>
      </c>
      <c r="K42" s="35" t="s">
        <v>31</v>
      </c>
      <c r="L42" s="35" t="s">
        <v>2276</v>
      </c>
      <c r="M42" s="35"/>
      <c r="N42" s="35"/>
      <c r="O42" s="35"/>
      <c r="P42" s="35"/>
      <c r="Q42" s="35">
        <v>1</v>
      </c>
    </row>
    <row r="43" spans="1:18" x14ac:dyDescent="0.25">
      <c r="A43" s="35"/>
      <c r="B43" s="35" t="s">
        <v>26</v>
      </c>
      <c r="C43" s="35" t="s">
        <v>2324</v>
      </c>
      <c r="D43" s="35" t="s">
        <v>2325</v>
      </c>
      <c r="E43" s="35" t="s">
        <v>2326</v>
      </c>
      <c r="F43" s="35" t="s">
        <v>58</v>
      </c>
      <c r="G43" s="36">
        <v>0</v>
      </c>
      <c r="H43" s="36">
        <v>20</v>
      </c>
      <c r="I43" s="36">
        <f t="shared" si="3"/>
        <v>-20</v>
      </c>
      <c r="J43" s="35" t="s">
        <v>31</v>
      </c>
      <c r="K43" s="35" t="s">
        <v>31</v>
      </c>
      <c r="L43" s="35" t="s">
        <v>2276</v>
      </c>
      <c r="M43" s="35"/>
      <c r="N43" s="35"/>
      <c r="O43" s="35"/>
      <c r="P43" s="35"/>
      <c r="Q43" s="35">
        <v>1</v>
      </c>
      <c r="R43" s="25">
        <f t="shared" ref="R43:R45" si="4">H43</f>
        <v>20</v>
      </c>
    </row>
    <row r="44" spans="1:18" x14ac:dyDescent="0.25">
      <c r="A44" s="35"/>
      <c r="B44" s="35" t="s">
        <v>26</v>
      </c>
      <c r="C44" s="35" t="s">
        <v>2330</v>
      </c>
      <c r="D44" s="35" t="s">
        <v>2331</v>
      </c>
      <c r="E44" s="35" t="s">
        <v>2332</v>
      </c>
      <c r="F44" s="36">
        <v>12</v>
      </c>
      <c r="G44" s="36">
        <v>0</v>
      </c>
      <c r="H44" s="36">
        <v>30</v>
      </c>
      <c r="I44" s="36">
        <f t="shared" si="3"/>
        <v>-30</v>
      </c>
      <c r="J44" s="35" t="s">
        <v>31</v>
      </c>
      <c r="K44" s="35" t="s">
        <v>31</v>
      </c>
      <c r="L44" s="35" t="s">
        <v>2276</v>
      </c>
      <c r="M44" s="35"/>
      <c r="N44" s="35"/>
      <c r="O44" s="35"/>
      <c r="P44" s="35"/>
      <c r="Q44" s="35">
        <v>1</v>
      </c>
      <c r="R44" s="25">
        <f t="shared" si="4"/>
        <v>30</v>
      </c>
    </row>
    <row r="45" spans="1:18" x14ac:dyDescent="0.25">
      <c r="A45" s="35"/>
      <c r="B45" s="35" t="s">
        <v>26</v>
      </c>
      <c r="C45" s="35" t="s">
        <v>1122</v>
      </c>
      <c r="D45" s="35" t="s">
        <v>2333</v>
      </c>
      <c r="E45" s="35" t="s">
        <v>2334</v>
      </c>
      <c r="F45" s="35" t="s">
        <v>36</v>
      </c>
      <c r="G45" s="36">
        <v>0</v>
      </c>
      <c r="H45" s="36">
        <v>25</v>
      </c>
      <c r="I45" s="36">
        <f t="shared" si="3"/>
        <v>-25</v>
      </c>
      <c r="J45" s="35" t="s">
        <v>31</v>
      </c>
      <c r="K45" s="35" t="s">
        <v>31</v>
      </c>
      <c r="L45" s="35" t="s">
        <v>2276</v>
      </c>
      <c r="M45" s="35"/>
      <c r="N45" s="35"/>
      <c r="O45" s="35"/>
      <c r="P45" s="35"/>
      <c r="Q45" s="35">
        <v>1</v>
      </c>
      <c r="R45" s="25">
        <f t="shared" si="4"/>
        <v>25</v>
      </c>
    </row>
    <row r="46" spans="1:18" x14ac:dyDescent="0.25">
      <c r="A46" s="35"/>
      <c r="B46" s="35" t="s">
        <v>26</v>
      </c>
      <c r="C46" s="35" t="s">
        <v>2335</v>
      </c>
      <c r="D46" s="35" t="s">
        <v>2336</v>
      </c>
      <c r="E46" s="35" t="s">
        <v>2337</v>
      </c>
      <c r="F46" s="35" t="s">
        <v>58</v>
      </c>
      <c r="G46" s="36">
        <v>480</v>
      </c>
      <c r="H46" s="36">
        <v>20</v>
      </c>
      <c r="I46" s="36">
        <f t="shared" si="3"/>
        <v>460</v>
      </c>
      <c r="J46" s="35" t="s">
        <v>31</v>
      </c>
      <c r="K46" s="35" t="s">
        <v>31</v>
      </c>
      <c r="L46" s="35" t="s">
        <v>2276</v>
      </c>
      <c r="M46" s="35"/>
      <c r="N46" s="35"/>
      <c r="O46" s="35"/>
      <c r="P46" s="35"/>
      <c r="Q46" s="35">
        <v>1</v>
      </c>
    </row>
    <row r="47" spans="1:18" x14ac:dyDescent="0.25">
      <c r="A47" s="35"/>
      <c r="B47" s="35" t="s">
        <v>26</v>
      </c>
      <c r="C47" s="35" t="s">
        <v>2339</v>
      </c>
      <c r="D47" s="35" t="s">
        <v>2340</v>
      </c>
      <c r="E47" s="35" t="s">
        <v>646</v>
      </c>
      <c r="F47" s="35" t="s">
        <v>36</v>
      </c>
      <c r="G47" s="36">
        <v>225</v>
      </c>
      <c r="H47" s="36">
        <v>25</v>
      </c>
      <c r="I47" s="36">
        <f t="shared" si="3"/>
        <v>200</v>
      </c>
      <c r="J47" s="35" t="s">
        <v>31</v>
      </c>
      <c r="K47" s="35" t="s">
        <v>31</v>
      </c>
      <c r="L47" s="35" t="s">
        <v>2276</v>
      </c>
      <c r="M47" s="35"/>
      <c r="N47" s="35"/>
      <c r="O47" s="35"/>
      <c r="P47" s="35"/>
      <c r="Q47" s="35">
        <v>1</v>
      </c>
    </row>
    <row r="48" spans="1:18" x14ac:dyDescent="0.25">
      <c r="A48" s="35"/>
      <c r="B48" s="35" t="s">
        <v>26</v>
      </c>
      <c r="C48" s="35" t="s">
        <v>2359</v>
      </c>
      <c r="D48" s="35" t="s">
        <v>2360</v>
      </c>
      <c r="E48" s="35" t="s">
        <v>2361</v>
      </c>
      <c r="F48" s="35" t="s">
        <v>58</v>
      </c>
      <c r="G48" s="36">
        <v>0</v>
      </c>
      <c r="H48" s="36">
        <v>20</v>
      </c>
      <c r="I48" s="36">
        <f t="shared" si="3"/>
        <v>-20</v>
      </c>
      <c r="J48" s="35" t="s">
        <v>31</v>
      </c>
      <c r="K48" s="35" t="s">
        <v>31</v>
      </c>
      <c r="L48" s="35" t="s">
        <v>2276</v>
      </c>
      <c r="M48" s="35"/>
      <c r="N48" s="35"/>
      <c r="O48" s="35"/>
      <c r="P48" s="35"/>
      <c r="Q48" s="35">
        <v>1</v>
      </c>
      <c r="R48" s="25">
        <f>H48</f>
        <v>20</v>
      </c>
    </row>
    <row r="49" spans="1:18" x14ac:dyDescent="0.25">
      <c r="A49" s="35" t="s">
        <v>66</v>
      </c>
      <c r="B49" s="35" t="s">
        <v>26</v>
      </c>
      <c r="C49" s="35" t="s">
        <v>2153</v>
      </c>
      <c r="D49" s="35"/>
      <c r="E49" s="35" t="s">
        <v>2364</v>
      </c>
      <c r="F49" s="35" t="s">
        <v>132</v>
      </c>
      <c r="G49" s="36">
        <v>1620</v>
      </c>
      <c r="H49" s="36">
        <v>40</v>
      </c>
      <c r="I49" s="36">
        <f t="shared" si="3"/>
        <v>1580</v>
      </c>
      <c r="J49" s="35" t="s">
        <v>31</v>
      </c>
      <c r="K49" s="35" t="s">
        <v>31</v>
      </c>
      <c r="L49" s="35" t="s">
        <v>2276</v>
      </c>
      <c r="M49" s="35"/>
      <c r="N49" s="35"/>
      <c r="O49" s="35"/>
      <c r="P49" s="35"/>
      <c r="Q49" s="35">
        <v>1</v>
      </c>
    </row>
    <row r="50" spans="1:18" x14ac:dyDescent="0.25">
      <c r="A50" s="35" t="s">
        <v>66</v>
      </c>
      <c r="B50" s="35" t="s">
        <v>26</v>
      </c>
      <c r="C50" s="35" t="s">
        <v>1053</v>
      </c>
      <c r="D50" s="35"/>
      <c r="E50" s="35" t="s">
        <v>1054</v>
      </c>
      <c r="F50" s="35" t="s">
        <v>36</v>
      </c>
      <c r="G50" s="36">
        <v>17730</v>
      </c>
      <c r="H50" s="36">
        <v>30</v>
      </c>
      <c r="I50" s="36">
        <f t="shared" si="3"/>
        <v>17700</v>
      </c>
      <c r="J50" s="35" t="s">
        <v>31</v>
      </c>
      <c r="K50" s="35" t="s">
        <v>31</v>
      </c>
      <c r="L50" s="35" t="s">
        <v>2276</v>
      </c>
      <c r="M50" s="35"/>
      <c r="N50" s="35"/>
      <c r="O50" s="35"/>
      <c r="P50" s="35"/>
      <c r="Q50" s="35">
        <v>1</v>
      </c>
    </row>
    <row r="51" spans="1:18" x14ac:dyDescent="0.25">
      <c r="A51" s="35" t="s">
        <v>66</v>
      </c>
      <c r="B51" s="35" t="s">
        <v>26</v>
      </c>
      <c r="C51" s="35" t="s">
        <v>73</v>
      </c>
      <c r="D51" s="35"/>
      <c r="E51" s="35" t="s">
        <v>74</v>
      </c>
      <c r="F51" s="35" t="s">
        <v>36</v>
      </c>
      <c r="G51" s="36">
        <v>30</v>
      </c>
      <c r="H51" s="36">
        <v>30</v>
      </c>
      <c r="I51" s="36">
        <f t="shared" si="3"/>
        <v>0</v>
      </c>
      <c r="J51" s="35" t="s">
        <v>31</v>
      </c>
      <c r="K51" s="35" t="s">
        <v>31</v>
      </c>
      <c r="L51" s="35" t="s">
        <v>2276</v>
      </c>
      <c r="M51" s="35"/>
      <c r="N51" s="35"/>
      <c r="O51" s="35"/>
      <c r="P51" s="35"/>
      <c r="Q51" s="35">
        <v>1</v>
      </c>
    </row>
    <row r="52" spans="1:18" x14ac:dyDescent="0.25">
      <c r="A52" s="35"/>
      <c r="B52" s="35" t="s">
        <v>26</v>
      </c>
      <c r="C52" s="35" t="s">
        <v>2367</v>
      </c>
      <c r="D52" s="35" t="s">
        <v>2368</v>
      </c>
      <c r="E52" s="35" t="s">
        <v>2369</v>
      </c>
      <c r="F52" s="36">
        <v>12</v>
      </c>
      <c r="G52" s="36">
        <v>0</v>
      </c>
      <c r="H52" s="36">
        <v>30</v>
      </c>
      <c r="I52" s="36">
        <f t="shared" si="3"/>
        <v>-30</v>
      </c>
      <c r="J52" s="35" t="s">
        <v>31</v>
      </c>
      <c r="K52" s="35" t="s">
        <v>31</v>
      </c>
      <c r="L52" s="35" t="s">
        <v>2276</v>
      </c>
      <c r="M52" s="35"/>
      <c r="N52" s="35"/>
      <c r="O52" s="35"/>
      <c r="P52" s="35"/>
      <c r="Q52" s="35">
        <v>1</v>
      </c>
      <c r="R52" s="25">
        <f>H52</f>
        <v>30</v>
      </c>
    </row>
    <row r="53" spans="1:18" x14ac:dyDescent="0.25">
      <c r="A53" s="35"/>
      <c r="B53" s="35" t="s">
        <v>26</v>
      </c>
      <c r="C53" s="35" t="s">
        <v>2370</v>
      </c>
      <c r="D53" s="35" t="s">
        <v>2371</v>
      </c>
      <c r="E53" s="35" t="s">
        <v>2372</v>
      </c>
      <c r="F53" s="35" t="s">
        <v>58</v>
      </c>
      <c r="G53" s="36">
        <v>670</v>
      </c>
      <c r="H53" s="36">
        <v>20</v>
      </c>
      <c r="I53" s="36">
        <f t="shared" si="3"/>
        <v>650</v>
      </c>
      <c r="J53" s="35" t="s">
        <v>31</v>
      </c>
      <c r="K53" s="35" t="s">
        <v>31</v>
      </c>
      <c r="L53" s="35" t="s">
        <v>2276</v>
      </c>
      <c r="M53" s="35"/>
      <c r="N53" s="35"/>
      <c r="O53" s="35"/>
      <c r="P53" s="35"/>
      <c r="Q53" s="35">
        <v>1</v>
      </c>
    </row>
    <row r="54" spans="1:18" x14ac:dyDescent="0.25">
      <c r="A54" s="35"/>
      <c r="B54" s="35" t="s">
        <v>26</v>
      </c>
      <c r="C54" s="35" t="s">
        <v>2379</v>
      </c>
      <c r="D54" s="35" t="s">
        <v>2380</v>
      </c>
      <c r="E54" s="35" t="s">
        <v>2381</v>
      </c>
      <c r="F54" s="35" t="s">
        <v>58</v>
      </c>
      <c r="G54" s="36">
        <v>950</v>
      </c>
      <c r="H54" s="36">
        <v>20</v>
      </c>
      <c r="I54" s="36">
        <f t="shared" si="3"/>
        <v>930</v>
      </c>
      <c r="J54" s="35" t="s">
        <v>31</v>
      </c>
      <c r="K54" s="35" t="s">
        <v>31</v>
      </c>
      <c r="L54" s="35" t="s">
        <v>2276</v>
      </c>
      <c r="M54" s="35"/>
      <c r="N54" s="35"/>
      <c r="O54" s="35"/>
      <c r="P54" s="35"/>
      <c r="Q54" s="35">
        <v>1</v>
      </c>
    </row>
    <row r="55" spans="1:18" x14ac:dyDescent="0.25">
      <c r="A55" s="35"/>
      <c r="B55" s="35" t="s">
        <v>26</v>
      </c>
      <c r="C55" s="35" t="s">
        <v>2411</v>
      </c>
      <c r="D55" s="35" t="s">
        <v>2412</v>
      </c>
      <c r="E55" s="35" t="s">
        <v>2413</v>
      </c>
      <c r="F55" s="35" t="s">
        <v>58</v>
      </c>
      <c r="G55" s="36">
        <v>0</v>
      </c>
      <c r="H55" s="36">
        <v>20</v>
      </c>
      <c r="I55" s="36">
        <f t="shared" si="3"/>
        <v>-20</v>
      </c>
      <c r="J55" s="35" t="s">
        <v>31</v>
      </c>
      <c r="K55" s="35" t="s">
        <v>31</v>
      </c>
      <c r="L55" s="35" t="s">
        <v>2276</v>
      </c>
      <c r="M55" s="35"/>
      <c r="N55" s="35"/>
      <c r="O55" s="35"/>
      <c r="P55" s="35"/>
      <c r="Q55" s="35">
        <v>1</v>
      </c>
      <c r="R55" s="25">
        <f t="shared" ref="R55:R56" si="5">H55</f>
        <v>20</v>
      </c>
    </row>
    <row r="56" spans="1:18" x14ac:dyDescent="0.25">
      <c r="A56" s="35"/>
      <c r="B56" s="35" t="s">
        <v>26</v>
      </c>
      <c r="C56" s="35" t="s">
        <v>2414</v>
      </c>
      <c r="D56" s="35" t="s">
        <v>2415</v>
      </c>
      <c r="E56" s="35" t="s">
        <v>2416</v>
      </c>
      <c r="F56" s="36">
        <v>2</v>
      </c>
      <c r="G56" s="36">
        <v>0</v>
      </c>
      <c r="H56" s="36">
        <v>30</v>
      </c>
      <c r="I56" s="36">
        <f t="shared" si="3"/>
        <v>-30</v>
      </c>
      <c r="J56" s="35" t="s">
        <v>31</v>
      </c>
      <c r="K56" s="35" t="s">
        <v>31</v>
      </c>
      <c r="L56" s="35" t="s">
        <v>2276</v>
      </c>
      <c r="M56" s="35"/>
      <c r="N56" s="35"/>
      <c r="O56" s="35"/>
      <c r="P56" s="35"/>
      <c r="Q56" s="35">
        <v>1</v>
      </c>
      <c r="R56" s="25">
        <f t="shared" si="5"/>
        <v>30</v>
      </c>
    </row>
    <row r="57" spans="1:18" x14ac:dyDescent="0.25">
      <c r="A57" s="35"/>
      <c r="B57" s="35" t="s">
        <v>26</v>
      </c>
      <c r="C57" s="35" t="s">
        <v>2426</v>
      </c>
      <c r="D57" s="35" t="s">
        <v>2427</v>
      </c>
      <c r="E57" s="35" t="s">
        <v>2428</v>
      </c>
      <c r="F57" s="35" t="s">
        <v>36</v>
      </c>
      <c r="G57" s="36">
        <v>735</v>
      </c>
      <c r="H57" s="36">
        <v>25</v>
      </c>
      <c r="I57" s="36">
        <f t="shared" si="3"/>
        <v>710</v>
      </c>
      <c r="J57" s="35" t="s">
        <v>31</v>
      </c>
      <c r="K57" s="35" t="s">
        <v>31</v>
      </c>
      <c r="L57" s="35" t="s">
        <v>2276</v>
      </c>
      <c r="M57" s="35"/>
      <c r="N57" s="35"/>
      <c r="O57" s="35"/>
      <c r="P57" s="35"/>
      <c r="Q57" s="35">
        <v>1</v>
      </c>
    </row>
    <row r="58" spans="1:18" x14ac:dyDescent="0.25">
      <c r="A58" s="35"/>
      <c r="B58" s="35" t="s">
        <v>26</v>
      </c>
      <c r="C58" s="35" t="s">
        <v>2435</v>
      </c>
      <c r="D58" s="35" t="s">
        <v>2436</v>
      </c>
      <c r="E58" s="35" t="s">
        <v>2437</v>
      </c>
      <c r="F58" s="35" t="s">
        <v>58</v>
      </c>
      <c r="G58" s="36">
        <v>950</v>
      </c>
      <c r="H58" s="36">
        <v>20</v>
      </c>
      <c r="I58" s="36">
        <f t="shared" si="3"/>
        <v>930</v>
      </c>
      <c r="J58" s="35" t="s">
        <v>31</v>
      </c>
      <c r="K58" s="35" t="s">
        <v>31</v>
      </c>
      <c r="L58" s="35" t="s">
        <v>2276</v>
      </c>
      <c r="M58" s="35"/>
      <c r="N58" s="35"/>
      <c r="O58" s="35"/>
      <c r="P58" s="35"/>
      <c r="Q58" s="35">
        <v>1</v>
      </c>
    </row>
    <row r="59" spans="1:18" x14ac:dyDescent="0.25">
      <c r="A59" s="35"/>
      <c r="B59" s="35" t="s">
        <v>26</v>
      </c>
      <c r="C59" s="35" t="s">
        <v>2450</v>
      </c>
      <c r="D59" s="35" t="s">
        <v>2451</v>
      </c>
      <c r="E59" s="35" t="s">
        <v>1300</v>
      </c>
      <c r="F59" s="35" t="s">
        <v>36</v>
      </c>
      <c r="G59" s="36">
        <v>1325</v>
      </c>
      <c r="H59" s="36">
        <v>25</v>
      </c>
      <c r="I59" s="36">
        <f t="shared" si="3"/>
        <v>1300</v>
      </c>
      <c r="J59" s="35" t="s">
        <v>31</v>
      </c>
      <c r="K59" s="35" t="s">
        <v>31</v>
      </c>
      <c r="L59" s="35" t="s">
        <v>2276</v>
      </c>
      <c r="M59" s="35"/>
      <c r="N59" s="35"/>
      <c r="O59" s="35"/>
      <c r="P59" s="35"/>
      <c r="Q59" s="35">
        <v>1</v>
      </c>
    </row>
    <row r="60" spans="1:18" x14ac:dyDescent="0.25">
      <c r="A60" s="35"/>
      <c r="B60" s="35" t="s">
        <v>26</v>
      </c>
      <c r="C60" s="35" t="s">
        <v>2455</v>
      </c>
      <c r="D60" s="35" t="s">
        <v>2456</v>
      </c>
      <c r="E60" s="35" t="s">
        <v>2457</v>
      </c>
      <c r="F60" s="35" t="s">
        <v>36</v>
      </c>
      <c r="G60" s="36">
        <v>2280</v>
      </c>
      <c r="H60" s="36">
        <v>30</v>
      </c>
      <c r="I60" s="36">
        <f t="shared" si="3"/>
        <v>2250</v>
      </c>
      <c r="J60" s="35" t="s">
        <v>31</v>
      </c>
      <c r="K60" s="35" t="s">
        <v>31</v>
      </c>
      <c r="L60" s="35" t="s">
        <v>2276</v>
      </c>
      <c r="M60" s="38" t="s">
        <v>59</v>
      </c>
      <c r="N60" s="35"/>
      <c r="O60" s="35"/>
      <c r="P60" s="35"/>
      <c r="Q60" s="35">
        <v>1</v>
      </c>
      <c r="R60" s="25">
        <f>H60</f>
        <v>30</v>
      </c>
    </row>
    <row r="61" spans="1:18" x14ac:dyDescent="0.25">
      <c r="A61" s="35"/>
      <c r="B61" s="35" t="s">
        <v>26</v>
      </c>
      <c r="C61" s="35" t="s">
        <v>2458</v>
      </c>
      <c r="D61" s="35" t="s">
        <v>2459</v>
      </c>
      <c r="E61" s="35" t="s">
        <v>2460</v>
      </c>
      <c r="F61" s="36">
        <v>12</v>
      </c>
      <c r="G61" s="36">
        <v>0</v>
      </c>
      <c r="H61" s="36">
        <v>50</v>
      </c>
      <c r="I61" s="36">
        <f t="shared" si="3"/>
        <v>-50</v>
      </c>
      <c r="J61" s="35" t="s">
        <v>31</v>
      </c>
      <c r="K61" s="35" t="s">
        <v>31</v>
      </c>
      <c r="L61" s="35" t="s">
        <v>2276</v>
      </c>
      <c r="M61" s="35"/>
      <c r="N61" s="35"/>
      <c r="O61" s="35"/>
      <c r="P61" s="35"/>
      <c r="Q61" s="35">
        <v>1</v>
      </c>
      <c r="R61" s="25">
        <f t="shared" ref="R61:R63" si="6">H61</f>
        <v>50</v>
      </c>
    </row>
    <row r="62" spans="1:18" x14ac:dyDescent="0.25">
      <c r="A62" s="35"/>
      <c r="B62" s="35" t="s">
        <v>26</v>
      </c>
      <c r="C62" s="35" t="s">
        <v>2469</v>
      </c>
      <c r="D62" s="35" t="s">
        <v>2470</v>
      </c>
      <c r="E62" s="35" t="s">
        <v>2471</v>
      </c>
      <c r="F62" s="35" t="s">
        <v>58</v>
      </c>
      <c r="G62" s="36">
        <v>0</v>
      </c>
      <c r="H62" s="36">
        <v>20</v>
      </c>
      <c r="I62" s="36">
        <f t="shared" si="3"/>
        <v>-20</v>
      </c>
      <c r="J62" s="35" t="s">
        <v>31</v>
      </c>
      <c r="K62" s="35" t="s">
        <v>31</v>
      </c>
      <c r="L62" s="35" t="s">
        <v>2276</v>
      </c>
      <c r="M62" s="35"/>
      <c r="N62" s="35"/>
      <c r="O62" s="35"/>
      <c r="P62" s="35"/>
      <c r="Q62" s="35">
        <v>1</v>
      </c>
      <c r="R62" s="25">
        <f t="shared" si="6"/>
        <v>20</v>
      </c>
    </row>
    <row r="63" spans="1:18" x14ac:dyDescent="0.25">
      <c r="A63" s="35"/>
      <c r="B63" s="35" t="s">
        <v>26</v>
      </c>
      <c r="C63" s="35" t="s">
        <v>2480</v>
      </c>
      <c r="D63" s="35" t="s">
        <v>2481</v>
      </c>
      <c r="E63" s="35" t="s">
        <v>2460</v>
      </c>
      <c r="F63" s="36">
        <v>12</v>
      </c>
      <c r="G63" s="36">
        <v>0</v>
      </c>
      <c r="H63" s="36">
        <v>30</v>
      </c>
      <c r="I63" s="36">
        <f t="shared" si="3"/>
        <v>-30</v>
      </c>
      <c r="J63" s="35" t="s">
        <v>31</v>
      </c>
      <c r="K63" s="35" t="s">
        <v>31</v>
      </c>
      <c r="L63" s="35" t="s">
        <v>2276</v>
      </c>
      <c r="M63" s="35"/>
      <c r="N63" s="35"/>
      <c r="O63" s="35"/>
      <c r="P63" s="35"/>
      <c r="Q63" s="35">
        <v>1</v>
      </c>
      <c r="R63" s="25">
        <f t="shared" si="6"/>
        <v>30</v>
      </c>
    </row>
    <row r="64" spans="1:18" x14ac:dyDescent="0.25">
      <c r="A64" s="35"/>
      <c r="B64" s="35" t="s">
        <v>26</v>
      </c>
      <c r="C64" s="35" t="s">
        <v>2482</v>
      </c>
      <c r="D64" s="35" t="s">
        <v>2483</v>
      </c>
      <c r="E64" s="35" t="s">
        <v>2484</v>
      </c>
      <c r="F64" s="36">
        <v>2</v>
      </c>
      <c r="G64" s="36">
        <v>490</v>
      </c>
      <c r="H64" s="36">
        <v>30</v>
      </c>
      <c r="I64" s="36">
        <f t="shared" si="3"/>
        <v>460</v>
      </c>
      <c r="J64" s="35" t="s">
        <v>31</v>
      </c>
      <c r="K64" s="35" t="s">
        <v>31</v>
      </c>
      <c r="L64" s="35" t="s">
        <v>2276</v>
      </c>
      <c r="M64" s="35"/>
      <c r="N64" s="35"/>
      <c r="O64" s="35"/>
      <c r="P64" s="35"/>
      <c r="Q64" s="35">
        <v>1</v>
      </c>
    </row>
    <row r="65" spans="1:18" x14ac:dyDescent="0.25">
      <c r="A65" s="35"/>
      <c r="B65" s="35" t="s">
        <v>26</v>
      </c>
      <c r="C65" s="35" t="s">
        <v>2491</v>
      </c>
      <c r="D65" s="35" t="s">
        <v>2492</v>
      </c>
      <c r="E65" s="35" t="s">
        <v>606</v>
      </c>
      <c r="F65" s="36">
        <v>12</v>
      </c>
      <c r="G65" s="36">
        <v>0</v>
      </c>
      <c r="H65" s="36">
        <v>30</v>
      </c>
      <c r="I65" s="36">
        <f t="shared" si="3"/>
        <v>-30</v>
      </c>
      <c r="J65" s="35" t="s">
        <v>31</v>
      </c>
      <c r="K65" s="35" t="s">
        <v>31</v>
      </c>
      <c r="L65" s="35" t="s">
        <v>2276</v>
      </c>
      <c r="M65" s="35"/>
      <c r="N65" s="35"/>
      <c r="O65" s="35"/>
      <c r="P65" s="35"/>
      <c r="Q65" s="35">
        <v>1</v>
      </c>
      <c r="R65" s="25">
        <f>H65</f>
        <v>30</v>
      </c>
    </row>
    <row r="66" spans="1:18" x14ac:dyDescent="0.25">
      <c r="A66" s="35"/>
      <c r="B66" s="35" t="s">
        <v>26</v>
      </c>
      <c r="C66" s="35" t="s">
        <v>2499</v>
      </c>
      <c r="D66" s="35" t="s">
        <v>2500</v>
      </c>
      <c r="E66" s="35" t="s">
        <v>2501</v>
      </c>
      <c r="F66" s="35" t="s">
        <v>58</v>
      </c>
      <c r="G66" s="36">
        <v>1520</v>
      </c>
      <c r="H66" s="36">
        <v>20</v>
      </c>
      <c r="I66" s="36">
        <f t="shared" si="3"/>
        <v>1500</v>
      </c>
      <c r="J66" s="35" t="s">
        <v>31</v>
      </c>
      <c r="K66" s="35" t="s">
        <v>31</v>
      </c>
      <c r="L66" s="35" t="s">
        <v>2276</v>
      </c>
      <c r="M66" s="35"/>
      <c r="N66" s="35"/>
      <c r="O66" s="35"/>
      <c r="P66" s="35"/>
      <c r="Q66" s="35">
        <v>1</v>
      </c>
    </row>
    <row r="67" spans="1:18" x14ac:dyDescent="0.25">
      <c r="A67" s="35" t="s">
        <v>66</v>
      </c>
      <c r="B67" s="35" t="s">
        <v>26</v>
      </c>
      <c r="C67" s="35" t="s">
        <v>1299</v>
      </c>
      <c r="D67" s="35"/>
      <c r="E67" s="35" t="s">
        <v>1300</v>
      </c>
      <c r="F67" s="35" t="s">
        <v>36</v>
      </c>
      <c r="G67" s="36">
        <v>0</v>
      </c>
      <c r="H67" s="36">
        <v>35</v>
      </c>
      <c r="I67" s="36">
        <f t="shared" ref="I67:I97" si="7">G67-H67</f>
        <v>-35</v>
      </c>
      <c r="J67" s="35" t="s">
        <v>31</v>
      </c>
      <c r="K67" s="35" t="s">
        <v>31</v>
      </c>
      <c r="L67" s="35" t="s">
        <v>2276</v>
      </c>
      <c r="M67" s="35"/>
      <c r="N67" s="35"/>
      <c r="O67" s="35"/>
      <c r="P67" s="35"/>
      <c r="Q67" s="35">
        <v>1</v>
      </c>
      <c r="R67" s="25">
        <f>H67</f>
        <v>35</v>
      </c>
    </row>
    <row r="68" spans="1:18" x14ac:dyDescent="0.25">
      <c r="A68" s="35"/>
      <c r="B68" s="35" t="s">
        <v>26</v>
      </c>
      <c r="C68" s="35" t="s">
        <v>2273</v>
      </c>
      <c r="D68" s="35" t="s">
        <v>2274</v>
      </c>
      <c r="E68" s="35" t="s">
        <v>2275</v>
      </c>
      <c r="F68" s="35" t="s">
        <v>155</v>
      </c>
      <c r="G68" s="36">
        <v>780</v>
      </c>
      <c r="H68" s="36">
        <v>20</v>
      </c>
      <c r="I68" s="36">
        <f t="shared" si="7"/>
        <v>760</v>
      </c>
      <c r="J68" s="35" t="s">
        <v>41</v>
      </c>
      <c r="K68" s="35" t="s">
        <v>31</v>
      </c>
      <c r="L68" s="35" t="s">
        <v>2276</v>
      </c>
      <c r="M68" s="35"/>
      <c r="N68" s="35"/>
      <c r="O68" s="35"/>
      <c r="P68" s="35"/>
      <c r="Q68" s="35">
        <v>1</v>
      </c>
    </row>
    <row r="69" spans="1:18" x14ac:dyDescent="0.25">
      <c r="A69" s="35"/>
      <c r="B69" s="35" t="s">
        <v>26</v>
      </c>
      <c r="C69" s="35" t="s">
        <v>2285</v>
      </c>
      <c r="D69" s="35" t="s">
        <v>2286</v>
      </c>
      <c r="E69" s="35" t="s">
        <v>2287</v>
      </c>
      <c r="F69" s="35" t="s">
        <v>101</v>
      </c>
      <c r="G69" s="36">
        <v>1615</v>
      </c>
      <c r="H69" s="36">
        <v>25</v>
      </c>
      <c r="I69" s="36">
        <f t="shared" si="7"/>
        <v>1590</v>
      </c>
      <c r="J69" s="35" t="s">
        <v>41</v>
      </c>
      <c r="K69" s="35" t="s">
        <v>31</v>
      </c>
      <c r="L69" s="35" t="s">
        <v>2276</v>
      </c>
      <c r="M69" s="35"/>
      <c r="N69" s="35"/>
      <c r="O69" s="35"/>
      <c r="P69" s="35"/>
      <c r="Q69" s="35">
        <v>1</v>
      </c>
    </row>
    <row r="70" spans="1:18" x14ac:dyDescent="0.25">
      <c r="A70" s="35"/>
      <c r="B70" s="35" t="s">
        <v>26</v>
      </c>
      <c r="C70" s="35" t="s">
        <v>2288</v>
      </c>
      <c r="D70" s="35" t="s">
        <v>2289</v>
      </c>
      <c r="E70" s="35" t="s">
        <v>2290</v>
      </c>
      <c r="F70" s="35" t="s">
        <v>101</v>
      </c>
      <c r="G70" s="36">
        <v>0</v>
      </c>
      <c r="H70" s="36">
        <v>25</v>
      </c>
      <c r="I70" s="36">
        <f t="shared" si="7"/>
        <v>-25</v>
      </c>
      <c r="J70" s="35" t="s">
        <v>41</v>
      </c>
      <c r="K70" s="35" t="s">
        <v>31</v>
      </c>
      <c r="L70" s="35" t="s">
        <v>2276</v>
      </c>
      <c r="M70" s="35"/>
      <c r="N70" s="35"/>
      <c r="O70" s="35"/>
      <c r="P70" s="35"/>
      <c r="Q70" s="35">
        <v>1</v>
      </c>
      <c r="R70" s="25">
        <f>H70</f>
        <v>25</v>
      </c>
    </row>
    <row r="71" spans="1:18" x14ac:dyDescent="0.25">
      <c r="A71" s="35"/>
      <c r="B71" s="35" t="s">
        <v>26</v>
      </c>
      <c r="C71" s="35" t="s">
        <v>2291</v>
      </c>
      <c r="D71" s="35" t="s">
        <v>2292</v>
      </c>
      <c r="E71" s="35" t="s">
        <v>2293</v>
      </c>
      <c r="F71" s="36">
        <v>7</v>
      </c>
      <c r="G71" s="36">
        <v>680</v>
      </c>
      <c r="H71" s="36">
        <v>30</v>
      </c>
      <c r="I71" s="36">
        <f t="shared" si="7"/>
        <v>650</v>
      </c>
      <c r="J71" s="35" t="s">
        <v>41</v>
      </c>
      <c r="K71" s="35" t="s">
        <v>31</v>
      </c>
      <c r="L71" s="35" t="s">
        <v>2276</v>
      </c>
      <c r="M71" s="35"/>
      <c r="N71" s="35"/>
      <c r="O71" s="35"/>
      <c r="P71" s="35"/>
      <c r="Q71" s="35">
        <v>1</v>
      </c>
    </row>
    <row r="72" spans="1:18" x14ac:dyDescent="0.25">
      <c r="A72" s="35"/>
      <c r="B72" s="35" t="s">
        <v>26</v>
      </c>
      <c r="C72" s="35" t="s">
        <v>2297</v>
      </c>
      <c r="D72" s="35" t="s">
        <v>2298</v>
      </c>
      <c r="E72" s="35" t="s">
        <v>2299</v>
      </c>
      <c r="F72" s="35" t="s">
        <v>101</v>
      </c>
      <c r="G72" s="36">
        <v>0</v>
      </c>
      <c r="H72" s="36">
        <v>25</v>
      </c>
      <c r="I72" s="36">
        <f t="shared" si="7"/>
        <v>-25</v>
      </c>
      <c r="J72" s="35" t="s">
        <v>41</v>
      </c>
      <c r="K72" s="35" t="s">
        <v>31</v>
      </c>
      <c r="L72" s="35" t="s">
        <v>2276</v>
      </c>
      <c r="M72" s="35"/>
      <c r="N72" s="35"/>
      <c r="O72" s="35"/>
      <c r="P72" s="35"/>
      <c r="Q72" s="35">
        <v>1</v>
      </c>
      <c r="R72" s="25">
        <f>H72</f>
        <v>25</v>
      </c>
    </row>
    <row r="73" spans="1:18" x14ac:dyDescent="0.25">
      <c r="A73" s="35"/>
      <c r="B73" s="35" t="s">
        <v>26</v>
      </c>
      <c r="C73" s="35" t="s">
        <v>2303</v>
      </c>
      <c r="D73" s="35" t="s">
        <v>2304</v>
      </c>
      <c r="E73" s="35" t="s">
        <v>2305</v>
      </c>
      <c r="F73" s="36">
        <v>8</v>
      </c>
      <c r="G73" s="36">
        <v>490</v>
      </c>
      <c r="H73" s="36">
        <v>30</v>
      </c>
      <c r="I73" s="36">
        <f t="shared" si="7"/>
        <v>460</v>
      </c>
      <c r="J73" s="35" t="s">
        <v>41</v>
      </c>
      <c r="K73" s="35" t="s">
        <v>31</v>
      </c>
      <c r="L73" s="35" t="s">
        <v>2276</v>
      </c>
      <c r="M73" s="35"/>
      <c r="N73" s="35"/>
      <c r="O73" s="35"/>
      <c r="P73" s="35"/>
      <c r="Q73" s="35">
        <v>1</v>
      </c>
    </row>
    <row r="74" spans="1:18" s="41" customFormat="1" x14ac:dyDescent="0.25">
      <c r="A74" s="39"/>
      <c r="B74" s="39" t="s">
        <v>26</v>
      </c>
      <c r="C74" s="39" t="s">
        <v>2186</v>
      </c>
      <c r="D74" s="39" t="s">
        <v>2309</v>
      </c>
      <c r="E74" s="39" t="s">
        <v>2310</v>
      </c>
      <c r="F74" s="40">
        <v>8</v>
      </c>
      <c r="G74" s="40">
        <v>30</v>
      </c>
      <c r="H74" s="40">
        <v>30</v>
      </c>
      <c r="I74" s="40">
        <f t="shared" si="7"/>
        <v>0</v>
      </c>
      <c r="J74" s="39" t="s">
        <v>41</v>
      </c>
      <c r="K74" s="39" t="s">
        <v>31</v>
      </c>
      <c r="L74" s="39" t="s">
        <v>2276</v>
      </c>
      <c r="M74" s="39" t="s">
        <v>37</v>
      </c>
      <c r="N74" s="39"/>
      <c r="O74" s="39"/>
      <c r="P74" s="39"/>
      <c r="Q74" s="39">
        <v>1</v>
      </c>
    </row>
    <row r="75" spans="1:18" x14ac:dyDescent="0.25">
      <c r="A75" s="35"/>
      <c r="B75" s="35" t="s">
        <v>26</v>
      </c>
      <c r="C75" s="35" t="s">
        <v>410</v>
      </c>
      <c r="D75" s="35" t="s">
        <v>2311</v>
      </c>
      <c r="E75" s="35" t="s">
        <v>2312</v>
      </c>
      <c r="F75" s="36">
        <v>8</v>
      </c>
      <c r="G75" s="36">
        <v>1140</v>
      </c>
      <c r="H75" s="36">
        <v>30</v>
      </c>
      <c r="I75" s="36">
        <f t="shared" si="7"/>
        <v>1110</v>
      </c>
      <c r="J75" s="35" t="s">
        <v>41</v>
      </c>
      <c r="K75" s="35" t="s">
        <v>31</v>
      </c>
      <c r="L75" s="35" t="s">
        <v>2276</v>
      </c>
      <c r="M75" s="35"/>
      <c r="N75" s="35"/>
      <c r="O75" s="35"/>
      <c r="P75" s="35"/>
      <c r="Q75" s="35">
        <v>1</v>
      </c>
    </row>
    <row r="76" spans="1:18" x14ac:dyDescent="0.25">
      <c r="A76" s="35"/>
      <c r="B76" s="35" t="s">
        <v>26</v>
      </c>
      <c r="C76" s="35" t="s">
        <v>2318</v>
      </c>
      <c r="D76" s="35" t="s">
        <v>2319</v>
      </c>
      <c r="E76" s="35" t="s">
        <v>2320</v>
      </c>
      <c r="F76" s="36">
        <v>5</v>
      </c>
      <c r="G76" s="36">
        <v>0</v>
      </c>
      <c r="H76" s="36">
        <v>25</v>
      </c>
      <c r="I76" s="36">
        <f t="shared" si="7"/>
        <v>-25</v>
      </c>
      <c r="J76" s="35" t="s">
        <v>41</v>
      </c>
      <c r="K76" s="35" t="s">
        <v>31</v>
      </c>
      <c r="L76" s="35" t="s">
        <v>2276</v>
      </c>
      <c r="M76" s="35"/>
      <c r="N76" s="35"/>
      <c r="O76" s="35"/>
      <c r="P76" s="35"/>
      <c r="Q76" s="35">
        <v>1</v>
      </c>
      <c r="R76" s="25">
        <f>H76</f>
        <v>25</v>
      </c>
    </row>
    <row r="77" spans="1:18" x14ac:dyDescent="0.25">
      <c r="A77" s="35"/>
      <c r="B77" s="35" t="s">
        <v>26</v>
      </c>
      <c r="C77" s="35" t="s">
        <v>2341</v>
      </c>
      <c r="D77" s="35" t="s">
        <v>2342</v>
      </c>
      <c r="E77" s="35" t="s">
        <v>2343</v>
      </c>
      <c r="F77" s="35" t="s">
        <v>101</v>
      </c>
      <c r="G77" s="36">
        <v>2330</v>
      </c>
      <c r="H77" s="36">
        <v>30</v>
      </c>
      <c r="I77" s="36">
        <f t="shared" si="7"/>
        <v>2300</v>
      </c>
      <c r="J77" s="35" t="s">
        <v>41</v>
      </c>
      <c r="K77" s="35" t="s">
        <v>31</v>
      </c>
      <c r="L77" s="35" t="s">
        <v>2276</v>
      </c>
      <c r="M77" s="38" t="s">
        <v>59</v>
      </c>
      <c r="N77" s="35"/>
      <c r="O77" s="35"/>
      <c r="P77" s="35"/>
      <c r="Q77" s="35">
        <v>1</v>
      </c>
      <c r="R77" s="25">
        <f>H77</f>
        <v>30</v>
      </c>
    </row>
    <row r="78" spans="1:18" x14ac:dyDescent="0.25">
      <c r="A78" s="35"/>
      <c r="B78" s="35" t="s">
        <v>26</v>
      </c>
      <c r="C78" s="35" t="s">
        <v>2344</v>
      </c>
      <c r="D78" s="35" t="s">
        <v>2345</v>
      </c>
      <c r="E78" s="35" t="s">
        <v>2346</v>
      </c>
      <c r="F78" s="36">
        <v>7</v>
      </c>
      <c r="G78" s="36">
        <v>1250</v>
      </c>
      <c r="H78" s="36">
        <v>30</v>
      </c>
      <c r="I78" s="36">
        <f t="shared" si="7"/>
        <v>1220</v>
      </c>
      <c r="J78" s="35" t="s">
        <v>41</v>
      </c>
      <c r="K78" s="35" t="s">
        <v>31</v>
      </c>
      <c r="L78" s="35" t="s">
        <v>2276</v>
      </c>
      <c r="M78" s="35"/>
      <c r="N78" s="35"/>
      <c r="O78" s="35"/>
      <c r="P78" s="35"/>
      <c r="Q78" s="35">
        <v>1</v>
      </c>
    </row>
    <row r="79" spans="1:18" x14ac:dyDescent="0.25">
      <c r="A79" s="35"/>
      <c r="B79" s="35" t="s">
        <v>26</v>
      </c>
      <c r="C79" s="35" t="s">
        <v>2347</v>
      </c>
      <c r="D79" s="35" t="s">
        <v>2348</v>
      </c>
      <c r="E79" s="35" t="s">
        <v>2349</v>
      </c>
      <c r="F79" s="36">
        <v>7</v>
      </c>
      <c r="G79" s="36">
        <v>490</v>
      </c>
      <c r="H79" s="36">
        <v>30</v>
      </c>
      <c r="I79" s="36">
        <f t="shared" si="7"/>
        <v>460</v>
      </c>
      <c r="J79" s="35" t="s">
        <v>41</v>
      </c>
      <c r="K79" s="35" t="s">
        <v>31</v>
      </c>
      <c r="L79" s="35" t="s">
        <v>2276</v>
      </c>
      <c r="M79" s="35"/>
      <c r="N79" s="35"/>
      <c r="O79" s="35"/>
      <c r="P79" s="35"/>
      <c r="Q79" s="35">
        <v>1</v>
      </c>
    </row>
    <row r="80" spans="1:18" x14ac:dyDescent="0.25">
      <c r="A80" s="35" t="s">
        <v>66</v>
      </c>
      <c r="B80" s="35" t="s">
        <v>26</v>
      </c>
      <c r="C80" s="35" t="s">
        <v>2362</v>
      </c>
      <c r="D80" s="35"/>
      <c r="E80" s="35" t="s">
        <v>2363</v>
      </c>
      <c r="F80" s="35" t="s">
        <v>101</v>
      </c>
      <c r="G80" s="36">
        <v>0</v>
      </c>
      <c r="H80" s="36">
        <v>30</v>
      </c>
      <c r="I80" s="36">
        <f t="shared" si="7"/>
        <v>-30</v>
      </c>
      <c r="J80" s="35" t="s">
        <v>41</v>
      </c>
      <c r="K80" s="35" t="s">
        <v>31</v>
      </c>
      <c r="L80" s="35" t="s">
        <v>2276</v>
      </c>
      <c r="M80" s="35"/>
      <c r="N80" s="35"/>
      <c r="O80" s="35"/>
      <c r="P80" s="35"/>
      <c r="Q80" s="35">
        <v>1</v>
      </c>
      <c r="R80" s="25">
        <f t="shared" ref="R80:R81" si="8">H80</f>
        <v>30</v>
      </c>
    </row>
    <row r="81" spans="1:18" x14ac:dyDescent="0.25">
      <c r="A81" s="35" t="s">
        <v>66</v>
      </c>
      <c r="B81" s="35" t="s">
        <v>26</v>
      </c>
      <c r="C81" s="35" t="s">
        <v>1537</v>
      </c>
      <c r="D81" s="35"/>
      <c r="E81" s="35" t="s">
        <v>1313</v>
      </c>
      <c r="F81" s="35" t="s">
        <v>101</v>
      </c>
      <c r="G81" s="36">
        <v>0</v>
      </c>
      <c r="H81" s="36">
        <v>30</v>
      </c>
      <c r="I81" s="36">
        <f t="shared" si="7"/>
        <v>-30</v>
      </c>
      <c r="J81" s="35" t="s">
        <v>41</v>
      </c>
      <c r="K81" s="35" t="s">
        <v>31</v>
      </c>
      <c r="L81" s="35" t="s">
        <v>2276</v>
      </c>
      <c r="M81" s="35"/>
      <c r="N81" s="35"/>
      <c r="O81" s="35"/>
      <c r="P81" s="35"/>
      <c r="Q81" s="35">
        <v>1</v>
      </c>
      <c r="R81" s="25">
        <f t="shared" si="8"/>
        <v>30</v>
      </c>
    </row>
    <row r="82" spans="1:18" x14ac:dyDescent="0.25">
      <c r="A82" s="35" t="s">
        <v>66</v>
      </c>
      <c r="B82" s="35" t="s">
        <v>26</v>
      </c>
      <c r="C82" s="35" t="s">
        <v>1297</v>
      </c>
      <c r="D82" s="35"/>
      <c r="E82" s="35" t="s">
        <v>1823</v>
      </c>
      <c r="F82" s="36">
        <v>5</v>
      </c>
      <c r="G82" s="36">
        <v>990</v>
      </c>
      <c r="H82" s="36">
        <v>30</v>
      </c>
      <c r="I82" s="36">
        <f t="shared" si="7"/>
        <v>960</v>
      </c>
      <c r="J82" s="35" t="s">
        <v>41</v>
      </c>
      <c r="K82" s="35" t="s">
        <v>31</v>
      </c>
      <c r="L82" s="35" t="s">
        <v>2276</v>
      </c>
      <c r="M82" s="35"/>
      <c r="N82" s="35"/>
      <c r="O82" s="35"/>
      <c r="P82" s="35"/>
      <c r="Q82" s="35">
        <v>1</v>
      </c>
    </row>
    <row r="83" spans="1:18" x14ac:dyDescent="0.25">
      <c r="A83" s="35"/>
      <c r="B83" s="35" t="s">
        <v>26</v>
      </c>
      <c r="C83" s="35" t="s">
        <v>2373</v>
      </c>
      <c r="D83" s="35" t="s">
        <v>2374</v>
      </c>
      <c r="E83" s="35" t="s">
        <v>2375</v>
      </c>
      <c r="F83" s="36">
        <v>1</v>
      </c>
      <c r="G83" s="36">
        <v>2620</v>
      </c>
      <c r="H83" s="36">
        <v>30</v>
      </c>
      <c r="I83" s="36">
        <f t="shared" si="7"/>
        <v>2590</v>
      </c>
      <c r="J83" s="35" t="s">
        <v>41</v>
      </c>
      <c r="K83" s="35" t="s">
        <v>31</v>
      </c>
      <c r="L83" s="35" t="s">
        <v>2276</v>
      </c>
      <c r="M83" s="38" t="s">
        <v>59</v>
      </c>
      <c r="N83" s="35"/>
      <c r="O83" s="35"/>
      <c r="P83" s="35"/>
      <c r="Q83" s="35">
        <v>1</v>
      </c>
      <c r="R83" s="25">
        <f t="shared" ref="R83:R84" si="9">H83</f>
        <v>30</v>
      </c>
    </row>
    <row r="84" spans="1:18" x14ac:dyDescent="0.25">
      <c r="A84" s="35"/>
      <c r="B84" s="35" t="s">
        <v>26</v>
      </c>
      <c r="C84" s="35" t="s">
        <v>2382</v>
      </c>
      <c r="D84" s="35" t="s">
        <v>2383</v>
      </c>
      <c r="E84" s="35" t="s">
        <v>2384</v>
      </c>
      <c r="F84" s="36">
        <v>3</v>
      </c>
      <c r="G84" s="36">
        <v>2000</v>
      </c>
      <c r="H84" s="36">
        <v>30</v>
      </c>
      <c r="I84" s="36">
        <f t="shared" si="7"/>
        <v>1970</v>
      </c>
      <c r="J84" s="35" t="s">
        <v>41</v>
      </c>
      <c r="K84" s="35" t="s">
        <v>31</v>
      </c>
      <c r="L84" s="35" t="s">
        <v>2276</v>
      </c>
      <c r="M84" s="38" t="s">
        <v>59</v>
      </c>
      <c r="N84" s="35"/>
      <c r="O84" s="35"/>
      <c r="P84" s="35"/>
      <c r="Q84" s="35">
        <v>1</v>
      </c>
      <c r="R84" s="25">
        <f t="shared" si="9"/>
        <v>30</v>
      </c>
    </row>
    <row r="85" spans="1:18" x14ac:dyDescent="0.25">
      <c r="A85" s="35"/>
      <c r="B85" s="35" t="s">
        <v>26</v>
      </c>
      <c r="C85" s="35" t="s">
        <v>2388</v>
      </c>
      <c r="D85" s="35" t="s">
        <v>2389</v>
      </c>
      <c r="E85" s="35" t="s">
        <v>2390</v>
      </c>
      <c r="F85" s="36">
        <v>1</v>
      </c>
      <c r="G85" s="36">
        <v>0</v>
      </c>
      <c r="H85" s="36">
        <v>25</v>
      </c>
      <c r="I85" s="36">
        <f t="shared" si="7"/>
        <v>-25</v>
      </c>
      <c r="J85" s="35" t="s">
        <v>41</v>
      </c>
      <c r="K85" s="35" t="s">
        <v>31</v>
      </c>
      <c r="L85" s="35" t="s">
        <v>2276</v>
      </c>
      <c r="M85" s="35"/>
      <c r="N85" s="35"/>
      <c r="O85" s="35"/>
      <c r="P85" s="35"/>
      <c r="Q85" s="35">
        <v>1</v>
      </c>
      <c r="R85" s="25">
        <f>H85</f>
        <v>25</v>
      </c>
    </row>
    <row r="86" spans="1:18" x14ac:dyDescent="0.25">
      <c r="A86" s="35"/>
      <c r="B86" s="35" t="s">
        <v>26</v>
      </c>
      <c r="C86" s="35" t="s">
        <v>27</v>
      </c>
      <c r="D86" s="35" t="s">
        <v>2394</v>
      </c>
      <c r="E86" s="35" t="s">
        <v>2395</v>
      </c>
      <c r="F86" s="36">
        <v>1</v>
      </c>
      <c r="G86" s="36">
        <v>1005</v>
      </c>
      <c r="H86" s="36">
        <v>25</v>
      </c>
      <c r="I86" s="36">
        <f t="shared" si="7"/>
        <v>980</v>
      </c>
      <c r="J86" s="35" t="s">
        <v>41</v>
      </c>
      <c r="K86" s="35" t="s">
        <v>31</v>
      </c>
      <c r="L86" s="35" t="s">
        <v>2276</v>
      </c>
      <c r="M86" s="35"/>
      <c r="N86" s="35"/>
      <c r="O86" s="35"/>
      <c r="P86" s="35"/>
      <c r="Q86" s="35">
        <v>1</v>
      </c>
    </row>
    <row r="87" spans="1:18" x14ac:dyDescent="0.25">
      <c r="A87" s="35"/>
      <c r="B87" s="35" t="s">
        <v>26</v>
      </c>
      <c r="C87" s="35" t="s">
        <v>2404</v>
      </c>
      <c r="D87" s="35" t="s">
        <v>2405</v>
      </c>
      <c r="E87" s="35" t="s">
        <v>2406</v>
      </c>
      <c r="F87" s="36">
        <v>8</v>
      </c>
      <c r="G87" s="36">
        <v>1810</v>
      </c>
      <c r="H87" s="36">
        <v>30</v>
      </c>
      <c r="I87" s="36">
        <f t="shared" si="7"/>
        <v>1780</v>
      </c>
      <c r="J87" s="35" t="s">
        <v>41</v>
      </c>
      <c r="K87" s="35" t="s">
        <v>31</v>
      </c>
      <c r="L87" s="35" t="s">
        <v>2276</v>
      </c>
      <c r="M87" s="35"/>
      <c r="N87" s="35"/>
      <c r="O87" s="35"/>
      <c r="P87" s="35"/>
      <c r="Q87" s="35">
        <v>1</v>
      </c>
    </row>
    <row r="88" spans="1:18" x14ac:dyDescent="0.25">
      <c r="A88" s="35"/>
      <c r="B88" s="35" t="s">
        <v>26</v>
      </c>
      <c r="C88" s="35" t="s">
        <v>2408</v>
      </c>
      <c r="D88" s="35" t="s">
        <v>2409</v>
      </c>
      <c r="E88" s="35" t="s">
        <v>2410</v>
      </c>
      <c r="F88" s="36">
        <v>4</v>
      </c>
      <c r="G88" s="36">
        <v>0</v>
      </c>
      <c r="H88" s="36">
        <v>25</v>
      </c>
      <c r="I88" s="36">
        <f t="shared" si="7"/>
        <v>-25</v>
      </c>
      <c r="J88" s="35" t="s">
        <v>41</v>
      </c>
      <c r="K88" s="35" t="s">
        <v>31</v>
      </c>
      <c r="L88" s="35" t="s">
        <v>2276</v>
      </c>
      <c r="M88" s="35"/>
      <c r="N88" s="35"/>
      <c r="O88" s="35"/>
      <c r="P88" s="35"/>
      <c r="Q88" s="35">
        <v>1</v>
      </c>
      <c r="R88" s="25">
        <f>H88</f>
        <v>25</v>
      </c>
    </row>
    <row r="89" spans="1:18" x14ac:dyDescent="0.25">
      <c r="A89" s="35"/>
      <c r="B89" s="35" t="s">
        <v>26</v>
      </c>
      <c r="C89" s="35" t="s">
        <v>2432</v>
      </c>
      <c r="D89" s="35" t="s">
        <v>2433</v>
      </c>
      <c r="E89" s="35" t="s">
        <v>2434</v>
      </c>
      <c r="F89" s="35" t="s">
        <v>101</v>
      </c>
      <c r="G89" s="36">
        <v>1015</v>
      </c>
      <c r="H89" s="36">
        <v>25</v>
      </c>
      <c r="I89" s="36">
        <f t="shared" si="7"/>
        <v>990</v>
      </c>
      <c r="J89" s="35" t="s">
        <v>41</v>
      </c>
      <c r="K89" s="35" t="s">
        <v>31</v>
      </c>
      <c r="L89" s="35" t="s">
        <v>2276</v>
      </c>
      <c r="M89" s="35"/>
      <c r="N89" s="35"/>
      <c r="O89" s="35"/>
      <c r="P89" s="35"/>
      <c r="Q89" s="35">
        <v>1</v>
      </c>
    </row>
    <row r="90" spans="1:18" x14ac:dyDescent="0.25">
      <c r="A90" s="35"/>
      <c r="B90" s="35" t="s">
        <v>26</v>
      </c>
      <c r="C90" s="35" t="s">
        <v>2438</v>
      </c>
      <c r="D90" s="35" t="s">
        <v>2439</v>
      </c>
      <c r="E90" s="35" t="s">
        <v>2440</v>
      </c>
      <c r="F90" s="36">
        <v>7</v>
      </c>
      <c r="G90" s="36">
        <v>920</v>
      </c>
      <c r="H90" s="36">
        <v>30</v>
      </c>
      <c r="I90" s="36">
        <f t="shared" si="7"/>
        <v>890</v>
      </c>
      <c r="J90" s="35" t="s">
        <v>41</v>
      </c>
      <c r="K90" s="35" t="s">
        <v>31</v>
      </c>
      <c r="L90" s="35" t="s">
        <v>2276</v>
      </c>
      <c r="M90" s="35"/>
      <c r="N90" s="35"/>
      <c r="O90" s="35"/>
      <c r="P90" s="35"/>
      <c r="Q90" s="35">
        <v>1</v>
      </c>
    </row>
    <row r="91" spans="1:18" x14ac:dyDescent="0.25">
      <c r="A91" s="35"/>
      <c r="B91" s="35" t="s">
        <v>26</v>
      </c>
      <c r="C91" s="35" t="s">
        <v>2447</v>
      </c>
      <c r="D91" s="35" t="s">
        <v>2448</v>
      </c>
      <c r="E91" s="35" t="s">
        <v>2449</v>
      </c>
      <c r="F91" s="35" t="s">
        <v>101</v>
      </c>
      <c r="G91" s="36">
        <v>1385</v>
      </c>
      <c r="H91" s="36">
        <v>25</v>
      </c>
      <c r="I91" s="36">
        <f t="shared" si="7"/>
        <v>1360</v>
      </c>
      <c r="J91" s="35" t="s">
        <v>41</v>
      </c>
      <c r="K91" s="35" t="s">
        <v>31</v>
      </c>
      <c r="L91" s="35" t="s">
        <v>2276</v>
      </c>
      <c r="M91" s="35"/>
      <c r="N91" s="35"/>
      <c r="O91" s="35"/>
      <c r="P91" s="35"/>
      <c r="Q91" s="35">
        <v>1</v>
      </c>
    </row>
    <row r="92" spans="1:18" x14ac:dyDescent="0.25">
      <c r="A92" s="35"/>
      <c r="B92" s="35" t="s">
        <v>26</v>
      </c>
      <c r="C92" s="35" t="s">
        <v>2452</v>
      </c>
      <c r="D92" s="35" t="s">
        <v>2453</v>
      </c>
      <c r="E92" s="35" t="s">
        <v>2454</v>
      </c>
      <c r="F92" s="36">
        <v>1</v>
      </c>
      <c r="G92" s="36">
        <v>2600</v>
      </c>
      <c r="H92" s="36">
        <v>30</v>
      </c>
      <c r="I92" s="36">
        <f t="shared" si="7"/>
        <v>2570</v>
      </c>
      <c r="J92" s="35" t="s">
        <v>41</v>
      </c>
      <c r="K92" s="35" t="s">
        <v>31</v>
      </c>
      <c r="L92" s="35" t="s">
        <v>2276</v>
      </c>
      <c r="M92" s="38" t="s">
        <v>59</v>
      </c>
      <c r="N92" s="35"/>
      <c r="O92" s="35"/>
      <c r="P92" s="35"/>
      <c r="Q92" s="35">
        <v>1</v>
      </c>
      <c r="R92" s="25">
        <f>H92</f>
        <v>30</v>
      </c>
    </row>
    <row r="93" spans="1:18" x14ac:dyDescent="0.25">
      <c r="A93" s="35"/>
      <c r="B93" s="35" t="s">
        <v>26</v>
      </c>
      <c r="C93" s="35" t="s">
        <v>2461</v>
      </c>
      <c r="D93" s="35" t="s">
        <v>2462</v>
      </c>
      <c r="E93" s="35" t="s">
        <v>2463</v>
      </c>
      <c r="F93" s="35" t="s">
        <v>101</v>
      </c>
      <c r="G93" s="36">
        <v>0</v>
      </c>
      <c r="H93" s="36">
        <v>25</v>
      </c>
      <c r="I93" s="36">
        <f t="shared" si="7"/>
        <v>-25</v>
      </c>
      <c r="J93" s="35" t="s">
        <v>41</v>
      </c>
      <c r="K93" s="35" t="s">
        <v>31</v>
      </c>
      <c r="L93" s="35" t="s">
        <v>2276</v>
      </c>
      <c r="M93" s="35"/>
      <c r="N93" s="35"/>
      <c r="O93" s="35"/>
      <c r="P93" s="35"/>
      <c r="Q93" s="35">
        <v>1</v>
      </c>
      <c r="R93" s="25">
        <f>H93</f>
        <v>25</v>
      </c>
    </row>
    <row r="94" spans="1:18" x14ac:dyDescent="0.25">
      <c r="A94" s="35"/>
      <c r="B94" s="35" t="s">
        <v>26</v>
      </c>
      <c r="C94" s="35" t="s">
        <v>2472</v>
      </c>
      <c r="D94" s="35" t="s">
        <v>2473</v>
      </c>
      <c r="E94" s="35" t="s">
        <v>2474</v>
      </c>
      <c r="F94" s="36">
        <v>7</v>
      </c>
      <c r="G94" s="36">
        <v>890</v>
      </c>
      <c r="H94" s="36">
        <v>30</v>
      </c>
      <c r="I94" s="36">
        <f t="shared" si="7"/>
        <v>860</v>
      </c>
      <c r="J94" s="35" t="s">
        <v>41</v>
      </c>
      <c r="K94" s="35" t="s">
        <v>31</v>
      </c>
      <c r="L94" s="35" t="s">
        <v>2276</v>
      </c>
      <c r="M94" s="35"/>
      <c r="N94" s="35"/>
      <c r="O94" s="35"/>
      <c r="P94" s="35"/>
      <c r="Q94" s="35">
        <v>1</v>
      </c>
    </row>
    <row r="95" spans="1:18" x14ac:dyDescent="0.25">
      <c r="A95" s="35"/>
      <c r="B95" s="35" t="s">
        <v>26</v>
      </c>
      <c r="C95" s="35" t="s">
        <v>2475</v>
      </c>
      <c r="D95" s="35" t="s">
        <v>2476</v>
      </c>
      <c r="E95" s="35" t="s">
        <v>2477</v>
      </c>
      <c r="F95" s="35" t="s">
        <v>101</v>
      </c>
      <c r="G95" s="36">
        <v>0</v>
      </c>
      <c r="H95" s="36">
        <v>25</v>
      </c>
      <c r="I95" s="36">
        <f t="shared" si="7"/>
        <v>-25</v>
      </c>
      <c r="J95" s="35" t="s">
        <v>41</v>
      </c>
      <c r="K95" s="35" t="s">
        <v>31</v>
      </c>
      <c r="L95" s="35" t="s">
        <v>2276</v>
      </c>
      <c r="M95" s="35"/>
      <c r="N95" s="35"/>
      <c r="O95" s="35"/>
      <c r="P95" s="35"/>
      <c r="Q95" s="35">
        <v>1</v>
      </c>
      <c r="R95" s="25">
        <f>H95</f>
        <v>25</v>
      </c>
    </row>
    <row r="96" spans="1:18" s="53" customFormat="1" x14ac:dyDescent="0.25">
      <c r="A96" s="54"/>
      <c r="B96" s="54" t="s">
        <v>26</v>
      </c>
      <c r="C96" s="54" t="s">
        <v>1289</v>
      </c>
      <c r="D96" s="54" t="s">
        <v>1290</v>
      </c>
      <c r="E96" s="54" t="s">
        <v>1291</v>
      </c>
      <c r="F96" s="55" t="s">
        <v>45</v>
      </c>
      <c r="G96" s="54">
        <v>795</v>
      </c>
      <c r="H96" s="54">
        <v>0</v>
      </c>
      <c r="I96" s="54">
        <f t="shared" si="7"/>
        <v>795</v>
      </c>
      <c r="J96" s="37" t="s">
        <v>118</v>
      </c>
      <c r="K96" s="54" t="s">
        <v>31</v>
      </c>
      <c r="L96" s="54" t="s">
        <v>1175</v>
      </c>
      <c r="M96" s="54" t="s">
        <v>94</v>
      </c>
      <c r="N96" s="54" t="s">
        <v>316</v>
      </c>
      <c r="O96" s="54" t="s">
        <v>316</v>
      </c>
      <c r="P96" s="54" t="s">
        <v>317</v>
      </c>
      <c r="Q96" s="54">
        <v>1</v>
      </c>
    </row>
    <row r="97" spans="1:17" s="30" customFormat="1" x14ac:dyDescent="0.25">
      <c r="A97" s="37"/>
      <c r="B97" s="37" t="s">
        <v>26</v>
      </c>
      <c r="C97" s="37" t="s">
        <v>2235</v>
      </c>
      <c r="D97" s="37" t="s">
        <v>2236</v>
      </c>
      <c r="E97" s="37" t="s">
        <v>2237</v>
      </c>
      <c r="F97" s="43">
        <v>11</v>
      </c>
      <c r="G97" s="43">
        <v>855</v>
      </c>
      <c r="H97" s="43">
        <v>25</v>
      </c>
      <c r="I97" s="43">
        <f t="shared" si="7"/>
        <v>830</v>
      </c>
      <c r="J97" s="37" t="s">
        <v>118</v>
      </c>
      <c r="K97" s="37" t="s">
        <v>31</v>
      </c>
      <c r="L97" s="37" t="s">
        <v>2161</v>
      </c>
      <c r="M97" s="37" t="s">
        <v>91</v>
      </c>
      <c r="N97" s="37" t="s">
        <v>316</v>
      </c>
      <c r="O97" s="37" t="s">
        <v>316</v>
      </c>
      <c r="P97" s="37" t="s">
        <v>317</v>
      </c>
      <c r="Q97" s="37">
        <v>1</v>
      </c>
    </row>
    <row r="99" spans="1:17" x14ac:dyDescent="0.25">
      <c r="D99" s="26">
        <f>COUNTA(D4:D97)</f>
        <v>84</v>
      </c>
      <c r="G99" s="26">
        <f t="shared" ref="G99:Q99" si="10">SUBTOTAL(9,G4:G97)</f>
        <v>92795</v>
      </c>
      <c r="H99" s="26">
        <f t="shared" si="10"/>
        <v>2625</v>
      </c>
      <c r="I99" s="26">
        <f t="shared" si="10"/>
        <v>90170</v>
      </c>
      <c r="J99" s="26">
        <f t="shared" si="10"/>
        <v>0</v>
      </c>
      <c r="K99" s="26">
        <f t="shared" si="10"/>
        <v>0</v>
      </c>
      <c r="L99" s="26">
        <f t="shared" si="10"/>
        <v>0</v>
      </c>
      <c r="M99" s="26">
        <f t="shared" si="10"/>
        <v>0</v>
      </c>
      <c r="N99" s="26">
        <f t="shared" si="10"/>
        <v>0</v>
      </c>
      <c r="O99" s="26">
        <f t="shared" si="10"/>
        <v>0</v>
      </c>
      <c r="P99" s="26">
        <f t="shared" si="10"/>
        <v>0</v>
      </c>
      <c r="Q99" s="26">
        <f t="shared" si="10"/>
        <v>94</v>
      </c>
    </row>
    <row r="100" spans="1:17" x14ac:dyDescent="0.25">
      <c r="H100" s="24">
        <f>-17*17</f>
        <v>-289</v>
      </c>
    </row>
    <row r="101" spans="1:17" x14ac:dyDescent="0.25">
      <c r="A101" s="26" t="s">
        <v>26</v>
      </c>
      <c r="C101" s="80" t="s">
        <v>78</v>
      </c>
      <c r="D101" s="80"/>
      <c r="E101" s="27" t="s">
        <v>79</v>
      </c>
      <c r="H101" s="24">
        <f>-13*25</f>
        <v>-325</v>
      </c>
      <c r="K101" s="28" t="s">
        <v>41</v>
      </c>
      <c r="L101" s="28" t="s">
        <v>80</v>
      </c>
      <c r="M101" s="28" t="s">
        <v>79</v>
      </c>
      <c r="O101" s="27" t="s">
        <v>81</v>
      </c>
    </row>
    <row r="102" spans="1:17" x14ac:dyDescent="0.25">
      <c r="A102" s="24" t="s">
        <v>2276</v>
      </c>
      <c r="B102" s="29" t="s">
        <v>82</v>
      </c>
      <c r="C102" s="81">
        <f>SUMIFS(I$3:I$97,B$3:B$97,A$101,L$3:L$97,A$102)</f>
        <v>89435</v>
      </c>
      <c r="D102" s="81"/>
      <c r="E102" s="29">
        <f>SUMIFS(Q$3:Q$97,B$3:B$97,A$101,L$3:L$97,A$102)</f>
        <v>93</v>
      </c>
      <c r="F102" s="24" t="s">
        <v>83</v>
      </c>
      <c r="H102" s="24">
        <f>-7*30</f>
        <v>-210</v>
      </c>
      <c r="K102" s="24" t="s">
        <v>84</v>
      </c>
      <c r="L102" s="24">
        <f>SUMIFS(G$3:G$97,J$3:J$97,K$101)</f>
        <v>24040</v>
      </c>
      <c r="M102" s="24">
        <f>SUMIFS(Q$3:Q$97,J$3:J$97,K$101)-INT(COUNTIFS(J$3:J$97,K$101,M$3:M$97,"*gộp*")/2)</f>
        <v>28</v>
      </c>
      <c r="O102" s="24" t="s">
        <v>41</v>
      </c>
      <c r="P102" s="24">
        <f>L107</f>
        <v>22570</v>
      </c>
    </row>
    <row r="103" spans="1:17" x14ac:dyDescent="0.25">
      <c r="B103" s="30" t="s">
        <v>86</v>
      </c>
      <c r="C103" s="82">
        <v>0</v>
      </c>
      <c r="D103" s="82"/>
      <c r="K103" s="24" t="s">
        <v>87</v>
      </c>
      <c r="L103" s="24">
        <f>-SUMIFS(H$3:H$97,J$3:J$97,K$101)+M103*5</f>
        <v>-635</v>
      </c>
      <c r="M103" s="24">
        <f>SUMIFS(Q$3:Q$97,J$3:J$97,K$101)-INT(COUNTIFS(J$3:J$97,K$101,M$3:M$97,"*gộp*")/2)</f>
        <v>28</v>
      </c>
      <c r="O103" s="24" t="s">
        <v>2506</v>
      </c>
      <c r="P103" s="24">
        <f>L115</f>
        <v>36061</v>
      </c>
    </row>
    <row r="104" spans="1:17" x14ac:dyDescent="0.25">
      <c r="B104" s="30" t="s">
        <v>88</v>
      </c>
      <c r="C104" s="82">
        <f>-SUMIFS(I$4:I$97,B$4:B$97,A$101,P$4:P$97,"xx",N$4:N$97,"x")</f>
        <v>-1625</v>
      </c>
      <c r="D104" s="82"/>
      <c r="E104" s="30">
        <f>SUMIFS(Q$4:Q$97,B$4:B$97,A$101,P$4:P$97,"xx",N$4:N$97,"x")</f>
        <v>2</v>
      </c>
      <c r="K104" s="24" t="s">
        <v>89</v>
      </c>
      <c r="L104" s="24">
        <f>-M104*2</f>
        <v>0</v>
      </c>
      <c r="M104" s="24">
        <f>COUNTIFS(K$3:K$97,K$101,L$3:L$97,A$102)-(COUNTIFS(K$3:K$97,K$101,M$3:M$97,"*gộp*")/2)-COUNTIFS(K$3:K$97,K$101,M$3:M$97,"*đơn trả*")-COUNTIFS(K$3:K$97,K$101,M$3:M$97,"*hàng tỉnh*")</f>
        <v>0</v>
      </c>
      <c r="O104" s="24" t="s">
        <v>31</v>
      </c>
      <c r="P104" s="24">
        <f>L123</f>
        <v>29563</v>
      </c>
    </row>
    <row r="105" spans="1:17" x14ac:dyDescent="0.25">
      <c r="B105" s="27" t="s">
        <v>90</v>
      </c>
      <c r="C105" s="80">
        <f>SUBTOTAL(9,C102:C104)</f>
        <v>87810</v>
      </c>
      <c r="D105" s="80"/>
      <c r="E105" s="24">
        <f>E102</f>
        <v>93</v>
      </c>
      <c r="K105" s="31" t="s">
        <v>91</v>
      </c>
      <c r="L105" s="48">
        <v>-835</v>
      </c>
      <c r="M105" s="48" t="s">
        <v>590</v>
      </c>
      <c r="O105" s="24" t="s">
        <v>92</v>
      </c>
      <c r="P105" s="24">
        <f>-C109</f>
        <v>-87810</v>
      </c>
    </row>
    <row r="106" spans="1:17" x14ac:dyDescent="0.25">
      <c r="B106" s="30" t="s">
        <v>93</v>
      </c>
      <c r="C106" s="78"/>
      <c r="D106" s="78"/>
      <c r="K106" s="30" t="s">
        <v>94</v>
      </c>
      <c r="O106" s="27" t="s">
        <v>95</v>
      </c>
      <c r="P106" s="27">
        <f>SUBTOTAL(9,P102:P105)</f>
        <v>384</v>
      </c>
    </row>
    <row r="107" spans="1:17" x14ac:dyDescent="0.25">
      <c r="B107" s="32" t="s">
        <v>96</v>
      </c>
      <c r="C107" s="78"/>
      <c r="D107" s="78"/>
      <c r="L107" s="33">
        <f>SUBTOTAL(9,L102:L106)</f>
        <v>22570</v>
      </c>
      <c r="M107" s="33">
        <f>M102</f>
        <v>28</v>
      </c>
    </row>
    <row r="109" spans="1:17" x14ac:dyDescent="0.25">
      <c r="B109" s="26" t="s">
        <v>97</v>
      </c>
      <c r="C109" s="79">
        <f>C105+C106+C107</f>
        <v>87810</v>
      </c>
      <c r="D109" s="79"/>
      <c r="E109" s="26" t="s">
        <v>98</v>
      </c>
      <c r="K109" s="28" t="s">
        <v>2278</v>
      </c>
      <c r="L109" s="28" t="s">
        <v>80</v>
      </c>
      <c r="M109" s="28" t="s">
        <v>79</v>
      </c>
    </row>
    <row r="110" spans="1:17" x14ac:dyDescent="0.25">
      <c r="K110" s="24" t="s">
        <v>84</v>
      </c>
      <c r="L110" s="24">
        <f>SUMIFS(G$3:G$97,J$3:J$97,K$109)</f>
        <v>37680</v>
      </c>
      <c r="M110" s="24">
        <f>SUMIFS(Q$3:Q$97,J$3:J$97,K$109)-INT(COUNTIFS(J$3:J$97,K$109,M$3:M$97,"*gộp*")/2)</f>
        <v>37</v>
      </c>
    </row>
    <row r="111" spans="1:17" x14ac:dyDescent="0.25">
      <c r="K111" s="24" t="s">
        <v>87</v>
      </c>
      <c r="L111" s="24">
        <f>SUM(H100:H102)</f>
        <v>-824</v>
      </c>
      <c r="M111" s="24">
        <f>SUMIFS(Q$3:Q$97,J$3:J$97,K$109)-INT(COUNTIFS(J$3:J$97,K$109,M$3:M$97,"*gộp*")/2)</f>
        <v>37</v>
      </c>
    </row>
    <row r="112" spans="1:17" x14ac:dyDescent="0.25">
      <c r="K112" s="24" t="s">
        <v>89</v>
      </c>
      <c r="L112" s="24">
        <f>-M112*2</f>
        <v>0</v>
      </c>
      <c r="M112" s="24">
        <f>COUNTIFS(K$3:K$97,K$109,L$3:L$97,A$102)-(COUNTIFS(K$3:K$97,K$109,M$3:M$97,"*gộp*")/2)-COUNTIFS(K$3:K$97,K$109,M$3:M$97,"*đơn trả*")-COUNTIFS(K$3:K$97,K$109,M$3:M$97,"*hàng tỉnh*")</f>
        <v>0</v>
      </c>
    </row>
    <row r="113" spans="11:13" x14ac:dyDescent="0.25">
      <c r="K113" s="31" t="s">
        <v>91</v>
      </c>
    </row>
    <row r="114" spans="11:13" x14ac:dyDescent="0.25">
      <c r="K114" s="30" t="s">
        <v>94</v>
      </c>
      <c r="L114" s="48">
        <v>-795</v>
      </c>
      <c r="M114" s="48" t="s">
        <v>590</v>
      </c>
    </row>
    <row r="115" spans="11:13" x14ac:dyDescent="0.25">
      <c r="L115" s="33">
        <f>SUBTOTAL(9,L110:L114)</f>
        <v>36061</v>
      </c>
      <c r="M115" s="33">
        <f>M110</f>
        <v>37</v>
      </c>
    </row>
    <row r="117" spans="11:13" x14ac:dyDescent="0.25">
      <c r="K117" s="28" t="s">
        <v>31</v>
      </c>
      <c r="L117" s="28" t="s">
        <v>80</v>
      </c>
      <c r="M117" s="28" t="s">
        <v>79</v>
      </c>
    </row>
    <row r="118" spans="11:13" x14ac:dyDescent="0.25">
      <c r="K118" s="24" t="s">
        <v>84</v>
      </c>
      <c r="L118" s="24">
        <f>SUMIFS(G$3:G$97,J$3:J$97,K$117)</f>
        <v>30340</v>
      </c>
      <c r="M118" s="24">
        <f>SUMIFS(Q$3:Q$97,J$3:J$97,K$117)-INT(COUNTIFS(J$3:J$97,K$117,M$3:M$97,"*gộp*")/2)</f>
        <v>27</v>
      </c>
    </row>
    <row r="119" spans="11:13" x14ac:dyDescent="0.25">
      <c r="K119" s="24" t="s">
        <v>87</v>
      </c>
      <c r="L119" s="24">
        <f>-SUMIFS(H$3:H$97,J$3:J$97,K$117)+M119*5</f>
        <v>-595</v>
      </c>
      <c r="M119" s="24">
        <f>SUMIFS(Q$4:Q$97,J$4:J$97,K$117)-INT(COUNTIFS(J$4:J$97,K$117,M$4:M$97,"*gộp*")/2)</f>
        <v>27</v>
      </c>
    </row>
    <row r="120" spans="11:13" x14ac:dyDescent="0.25">
      <c r="K120" s="24" t="s">
        <v>89</v>
      </c>
      <c r="L120" s="24">
        <f>-M120*2</f>
        <v>-182</v>
      </c>
      <c r="M120" s="24">
        <f>COUNTIFS(K$3:K$97,K$117,L$3:L$97,A$102)-(COUNTIFS(K$3:K$97,K$117,M$3:M$97,"*gộp*")/2)-COUNTIFS(K$3:K$97,K$117,M$3:M$97,"*đơn trả*")-COUNTIFS(K$3:K$97,K$117,M$3:M$97,"*hàng tỉnh*")</f>
        <v>91</v>
      </c>
    </row>
    <row r="121" spans="11:13" x14ac:dyDescent="0.25">
      <c r="K121" s="31" t="s">
        <v>91</v>
      </c>
    </row>
    <row r="122" spans="11:13" x14ac:dyDescent="0.25">
      <c r="K122" s="30" t="s">
        <v>94</v>
      </c>
    </row>
    <row r="123" spans="11:13" x14ac:dyDescent="0.25">
      <c r="L123" s="33">
        <f>SUBTOTAL(9,L118:L122)</f>
        <v>29563</v>
      </c>
      <c r="M123" s="33">
        <f>M118</f>
        <v>27</v>
      </c>
    </row>
  </sheetData>
  <autoFilter ref="A2:P97" xr:uid="{00000000-0009-0000-0000-000000000000}">
    <sortState xmlns:xlrd2="http://schemas.microsoft.com/office/spreadsheetml/2017/richdata2" ref="A3:P97">
      <sortCondition ref="J2:J97"/>
    </sortState>
  </autoFilter>
  <mergeCells count="8">
    <mergeCell ref="C107:D107"/>
    <mergeCell ref="C109:D109"/>
    <mergeCell ref="C101:D101"/>
    <mergeCell ref="C102:D102"/>
    <mergeCell ref="C103:D103"/>
    <mergeCell ref="C104:D104"/>
    <mergeCell ref="C105:D105"/>
    <mergeCell ref="C106:D106"/>
  </mergeCells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0B35-045B-417B-8190-AA966BF787BF}">
  <dimension ref="A1:R88"/>
  <sheetViews>
    <sheetView topLeftCell="A15" zoomScale="90" zoomScaleNormal="90" workbookViewId="0">
      <selection activeCell="A52" sqref="A52:XFD52"/>
    </sheetView>
  </sheetViews>
  <sheetFormatPr defaultRowHeight="15" x14ac:dyDescent="0.25"/>
  <cols>
    <col min="1" max="1" width="12.7109375" style="24" customWidth="1"/>
    <col min="2" max="2" width="9" style="24" customWidth="1"/>
    <col min="3" max="3" width="35.85546875" style="24" customWidth="1"/>
    <col min="4" max="4" width="10.28515625" style="24" customWidth="1"/>
    <col min="5" max="5" width="80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2.5703125" style="24" bestFit="1" customWidth="1"/>
    <col min="13" max="13" width="20.5703125" style="24" bestFit="1" customWidth="1"/>
    <col min="14" max="14" width="9.7109375" style="24" customWidth="1"/>
    <col min="15" max="15" width="10.42578125" style="24" customWidth="1"/>
    <col min="16" max="16" width="7" style="24" bestFit="1" customWidth="1"/>
    <col min="17" max="16384" width="9.140625" style="24"/>
  </cols>
  <sheetData>
    <row r="1" spans="1:18" customFormat="1" x14ac:dyDescent="0.25">
      <c r="B1" s="4" t="s">
        <v>1160</v>
      </c>
      <c r="C1" s="4" t="s">
        <v>2653</v>
      </c>
      <c r="F1" s="65"/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/>
      <c r="B3" s="35" t="s">
        <v>26</v>
      </c>
      <c r="C3" s="35" t="s">
        <v>2515</v>
      </c>
      <c r="D3" s="35" t="s">
        <v>2516</v>
      </c>
      <c r="E3" s="35" t="s">
        <v>2517</v>
      </c>
      <c r="F3" s="36">
        <v>11</v>
      </c>
      <c r="G3" s="36">
        <v>0</v>
      </c>
      <c r="H3" s="36">
        <v>25</v>
      </c>
      <c r="I3" s="36">
        <f t="shared" ref="I3:I34" si="0">G3-H3</f>
        <v>-25</v>
      </c>
      <c r="J3" s="35" t="s">
        <v>2518</v>
      </c>
      <c r="K3" s="35" t="s">
        <v>31</v>
      </c>
      <c r="L3" s="35" t="s">
        <v>2511</v>
      </c>
      <c r="M3" s="66" t="s">
        <v>2656</v>
      </c>
      <c r="N3" s="35"/>
      <c r="O3" s="35"/>
      <c r="P3" s="35"/>
      <c r="Q3" s="35">
        <v>1</v>
      </c>
      <c r="R3" s="25">
        <f>H3</f>
        <v>25</v>
      </c>
    </row>
    <row r="4" spans="1:18" x14ac:dyDescent="0.25">
      <c r="A4" s="35"/>
      <c r="B4" s="35" t="s">
        <v>26</v>
      </c>
      <c r="C4" s="35" t="s">
        <v>2522</v>
      </c>
      <c r="D4" s="35" t="s">
        <v>2523</v>
      </c>
      <c r="E4" s="35" t="s">
        <v>2524</v>
      </c>
      <c r="F4" s="35" t="s">
        <v>121</v>
      </c>
      <c r="G4" s="36">
        <v>525</v>
      </c>
      <c r="H4" s="36">
        <v>35</v>
      </c>
      <c r="I4" s="36">
        <f t="shared" si="0"/>
        <v>490</v>
      </c>
      <c r="J4" s="35" t="s">
        <v>2518</v>
      </c>
      <c r="K4" s="35" t="s">
        <v>31</v>
      </c>
      <c r="L4" s="35" t="s">
        <v>2511</v>
      </c>
      <c r="M4" s="35"/>
      <c r="N4" s="35"/>
      <c r="O4" s="35"/>
      <c r="P4" s="35"/>
      <c r="Q4" s="35">
        <v>1</v>
      </c>
    </row>
    <row r="5" spans="1:18" x14ac:dyDescent="0.25">
      <c r="A5" s="35"/>
      <c r="B5" s="35" t="s">
        <v>26</v>
      </c>
      <c r="C5" s="35" t="s">
        <v>2525</v>
      </c>
      <c r="D5" s="35" t="s">
        <v>2526</v>
      </c>
      <c r="E5" s="35" t="s">
        <v>2527</v>
      </c>
      <c r="F5" s="36">
        <v>6</v>
      </c>
      <c r="G5" s="36">
        <v>515</v>
      </c>
      <c r="H5" s="36">
        <v>25</v>
      </c>
      <c r="I5" s="36">
        <f t="shared" si="0"/>
        <v>490</v>
      </c>
      <c r="J5" s="35" t="s">
        <v>2518</v>
      </c>
      <c r="K5" s="35" t="s">
        <v>31</v>
      </c>
      <c r="L5" s="35" t="s">
        <v>2511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2528</v>
      </c>
      <c r="D6" s="35" t="s">
        <v>2529</v>
      </c>
      <c r="E6" s="35" t="s">
        <v>2530</v>
      </c>
      <c r="F6" s="35" t="s">
        <v>117</v>
      </c>
      <c r="G6" s="36">
        <v>1255</v>
      </c>
      <c r="H6" s="36">
        <v>35</v>
      </c>
      <c r="I6" s="36">
        <f t="shared" si="0"/>
        <v>1220</v>
      </c>
      <c r="J6" s="35" t="s">
        <v>2518</v>
      </c>
      <c r="K6" s="35" t="s">
        <v>31</v>
      </c>
      <c r="L6" s="35" t="s">
        <v>2511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2533</v>
      </c>
      <c r="D7" s="35" t="s">
        <v>2534</v>
      </c>
      <c r="E7" s="35" t="s">
        <v>2535</v>
      </c>
      <c r="F7" s="35" t="s">
        <v>117</v>
      </c>
      <c r="G7" s="36">
        <v>1215</v>
      </c>
      <c r="H7" s="36">
        <v>35</v>
      </c>
      <c r="I7" s="36">
        <f t="shared" si="0"/>
        <v>1180</v>
      </c>
      <c r="J7" s="35" t="s">
        <v>2518</v>
      </c>
      <c r="K7" s="35" t="s">
        <v>31</v>
      </c>
      <c r="L7" s="35" t="s">
        <v>2511</v>
      </c>
      <c r="M7" s="35"/>
      <c r="N7" s="35"/>
      <c r="O7" s="35"/>
      <c r="P7" s="35"/>
      <c r="Q7" s="35">
        <v>1</v>
      </c>
    </row>
    <row r="8" spans="1:18" x14ac:dyDescent="0.25">
      <c r="A8" s="35"/>
      <c r="B8" s="35" t="s">
        <v>26</v>
      </c>
      <c r="C8" s="35" t="s">
        <v>2536</v>
      </c>
      <c r="D8" s="35" t="s">
        <v>2537</v>
      </c>
      <c r="E8" s="35" t="s">
        <v>687</v>
      </c>
      <c r="F8" s="35" t="s">
        <v>117</v>
      </c>
      <c r="G8" s="36">
        <v>0</v>
      </c>
      <c r="H8" s="36">
        <v>35</v>
      </c>
      <c r="I8" s="36">
        <f t="shared" si="0"/>
        <v>-35</v>
      </c>
      <c r="J8" s="35" t="s">
        <v>2518</v>
      </c>
      <c r="K8" s="35" t="s">
        <v>31</v>
      </c>
      <c r="L8" s="35" t="s">
        <v>2511</v>
      </c>
      <c r="M8" s="35"/>
      <c r="N8" s="35"/>
      <c r="O8" s="35"/>
      <c r="P8" s="35"/>
      <c r="Q8" s="35">
        <v>1</v>
      </c>
      <c r="R8" s="25">
        <f>H8</f>
        <v>35</v>
      </c>
    </row>
    <row r="9" spans="1:18" x14ac:dyDescent="0.25">
      <c r="A9" s="35"/>
      <c r="B9" s="35" t="s">
        <v>26</v>
      </c>
      <c r="C9" s="35" t="s">
        <v>1223</v>
      </c>
      <c r="D9" s="35" t="s">
        <v>2541</v>
      </c>
      <c r="E9" s="35" t="s">
        <v>2542</v>
      </c>
      <c r="F9" s="36">
        <v>8</v>
      </c>
      <c r="G9" s="36">
        <v>890</v>
      </c>
      <c r="H9" s="36">
        <v>30</v>
      </c>
      <c r="I9" s="36">
        <f t="shared" si="0"/>
        <v>860</v>
      </c>
      <c r="J9" s="35" t="s">
        <v>2518</v>
      </c>
      <c r="K9" s="35" t="s">
        <v>31</v>
      </c>
      <c r="L9" s="35" t="s">
        <v>2511</v>
      </c>
      <c r="M9" s="35"/>
      <c r="N9" s="35"/>
      <c r="O9" s="35"/>
      <c r="P9" s="35"/>
      <c r="Q9" s="35">
        <v>1</v>
      </c>
    </row>
    <row r="10" spans="1:18" x14ac:dyDescent="0.25">
      <c r="A10" s="35"/>
      <c r="B10" s="35" t="s">
        <v>26</v>
      </c>
      <c r="C10" s="35" t="s">
        <v>1213</v>
      </c>
      <c r="D10" s="35" t="s">
        <v>2543</v>
      </c>
      <c r="E10" s="35" t="s">
        <v>2544</v>
      </c>
      <c r="F10" s="35" t="s">
        <v>77</v>
      </c>
      <c r="G10" s="36">
        <v>960</v>
      </c>
      <c r="H10" s="36">
        <v>30</v>
      </c>
      <c r="I10" s="36">
        <f t="shared" si="0"/>
        <v>930</v>
      </c>
      <c r="J10" s="35" t="s">
        <v>2518</v>
      </c>
      <c r="K10" s="35" t="s">
        <v>31</v>
      </c>
      <c r="L10" s="35" t="s">
        <v>2511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1287</v>
      </c>
      <c r="D11" s="35" t="s">
        <v>2548</v>
      </c>
      <c r="E11" s="35" t="s">
        <v>1091</v>
      </c>
      <c r="F11" s="36">
        <v>6</v>
      </c>
      <c r="G11" s="36">
        <v>0</v>
      </c>
      <c r="H11" s="36">
        <v>25</v>
      </c>
      <c r="I11" s="36">
        <f t="shared" si="0"/>
        <v>-25</v>
      </c>
      <c r="J11" s="35" t="s">
        <v>2518</v>
      </c>
      <c r="K11" s="35" t="s">
        <v>31</v>
      </c>
      <c r="L11" s="35" t="s">
        <v>2511</v>
      </c>
      <c r="M11" s="35"/>
      <c r="N11" s="35"/>
      <c r="O11" s="35"/>
      <c r="P11" s="35"/>
      <c r="Q11" s="35">
        <v>1</v>
      </c>
      <c r="R11" s="25">
        <f>H11</f>
        <v>25</v>
      </c>
    </row>
    <row r="12" spans="1:18" x14ac:dyDescent="0.25">
      <c r="A12" s="35"/>
      <c r="B12" s="35" t="s">
        <v>26</v>
      </c>
      <c r="C12" s="35" t="s">
        <v>2558</v>
      </c>
      <c r="D12" s="35" t="s">
        <v>2559</v>
      </c>
      <c r="E12" s="35" t="s">
        <v>2560</v>
      </c>
      <c r="F12" s="35" t="s">
        <v>77</v>
      </c>
      <c r="G12" s="36">
        <v>1390</v>
      </c>
      <c r="H12" s="36">
        <v>30</v>
      </c>
      <c r="I12" s="36">
        <f t="shared" si="0"/>
        <v>1360</v>
      </c>
      <c r="J12" s="35" t="s">
        <v>2518</v>
      </c>
      <c r="K12" s="35" t="s">
        <v>31</v>
      </c>
      <c r="L12" s="35" t="s">
        <v>2511</v>
      </c>
      <c r="M12" s="35"/>
      <c r="N12" s="35"/>
      <c r="O12" s="35"/>
      <c r="P12" s="35"/>
      <c r="Q12" s="35">
        <v>1</v>
      </c>
    </row>
    <row r="13" spans="1:18" x14ac:dyDescent="0.25">
      <c r="A13" s="35"/>
      <c r="B13" s="35" t="s">
        <v>26</v>
      </c>
      <c r="C13" s="35" t="s">
        <v>2564</v>
      </c>
      <c r="D13" s="35" t="s">
        <v>2565</v>
      </c>
      <c r="E13" s="35" t="s">
        <v>2566</v>
      </c>
      <c r="F13" s="36">
        <v>6</v>
      </c>
      <c r="G13" s="36">
        <v>515</v>
      </c>
      <c r="H13" s="36">
        <v>25</v>
      </c>
      <c r="I13" s="36">
        <f t="shared" si="0"/>
        <v>490</v>
      </c>
      <c r="J13" s="35" t="s">
        <v>2518</v>
      </c>
      <c r="K13" s="35" t="s">
        <v>31</v>
      </c>
      <c r="L13" s="35" t="s">
        <v>2511</v>
      </c>
      <c r="M13" s="35"/>
      <c r="N13" s="35"/>
      <c r="O13" s="35"/>
      <c r="P13" s="35"/>
      <c r="Q13" s="35">
        <v>1</v>
      </c>
    </row>
    <row r="14" spans="1:18" x14ac:dyDescent="0.25">
      <c r="A14" s="35"/>
      <c r="B14" s="35" t="s">
        <v>26</v>
      </c>
      <c r="C14" s="35" t="s">
        <v>2573</v>
      </c>
      <c r="D14" s="35" t="s">
        <v>2574</v>
      </c>
      <c r="E14" s="35" t="s">
        <v>1943</v>
      </c>
      <c r="F14" s="35" t="s">
        <v>77</v>
      </c>
      <c r="G14" s="36">
        <v>0</v>
      </c>
      <c r="H14" s="36">
        <v>30</v>
      </c>
      <c r="I14" s="36">
        <f t="shared" si="0"/>
        <v>-30</v>
      </c>
      <c r="J14" s="35" t="s">
        <v>2518</v>
      </c>
      <c r="K14" s="35" t="s">
        <v>31</v>
      </c>
      <c r="L14" s="35" t="s">
        <v>2511</v>
      </c>
      <c r="M14" s="35"/>
      <c r="N14" s="35"/>
      <c r="O14" s="35"/>
      <c r="P14" s="35"/>
      <c r="Q14" s="35">
        <v>1</v>
      </c>
      <c r="R14" s="25">
        <f>H14</f>
        <v>30</v>
      </c>
    </row>
    <row r="15" spans="1:18" x14ac:dyDescent="0.25">
      <c r="A15" s="35"/>
      <c r="B15" s="35" t="s">
        <v>26</v>
      </c>
      <c r="C15" s="35" t="s">
        <v>2575</v>
      </c>
      <c r="D15" s="35" t="s">
        <v>2576</v>
      </c>
      <c r="E15" s="35" t="s">
        <v>2577</v>
      </c>
      <c r="F15" s="36">
        <v>7</v>
      </c>
      <c r="G15" s="36">
        <v>30</v>
      </c>
      <c r="H15" s="36">
        <v>30</v>
      </c>
      <c r="I15" s="36">
        <f t="shared" si="0"/>
        <v>0</v>
      </c>
      <c r="J15" s="35" t="s">
        <v>2518</v>
      </c>
      <c r="K15" s="35" t="s">
        <v>31</v>
      </c>
      <c r="L15" s="35" t="s">
        <v>2511</v>
      </c>
      <c r="M15" s="35"/>
      <c r="N15" s="35"/>
      <c r="O15" s="35"/>
      <c r="P15" s="35"/>
      <c r="Q15" s="35">
        <v>1</v>
      </c>
    </row>
    <row r="16" spans="1:18" x14ac:dyDescent="0.25">
      <c r="A16" s="35"/>
      <c r="B16" s="35" t="s">
        <v>26</v>
      </c>
      <c r="C16" s="35" t="s">
        <v>2596</v>
      </c>
      <c r="D16" s="35" t="s">
        <v>2597</v>
      </c>
      <c r="E16" s="35" t="s">
        <v>2598</v>
      </c>
      <c r="F16" s="36">
        <v>8</v>
      </c>
      <c r="G16" s="36">
        <v>2220</v>
      </c>
      <c r="H16" s="36">
        <v>35</v>
      </c>
      <c r="I16" s="36">
        <f t="shared" si="0"/>
        <v>2185</v>
      </c>
      <c r="J16" s="35" t="s">
        <v>2518</v>
      </c>
      <c r="K16" s="35" t="s">
        <v>31</v>
      </c>
      <c r="L16" s="35" t="s">
        <v>2511</v>
      </c>
      <c r="M16" s="38" t="s">
        <v>59</v>
      </c>
      <c r="N16" s="35"/>
      <c r="O16" s="35"/>
      <c r="P16" s="35"/>
      <c r="Q16" s="35">
        <v>1</v>
      </c>
      <c r="R16" s="25">
        <f>H16</f>
        <v>35</v>
      </c>
    </row>
    <row r="17" spans="1:18" x14ac:dyDescent="0.25">
      <c r="A17" s="35"/>
      <c r="B17" s="35" t="s">
        <v>26</v>
      </c>
      <c r="C17" s="35" t="s">
        <v>2599</v>
      </c>
      <c r="D17" s="35" t="s">
        <v>2600</v>
      </c>
      <c r="E17" s="35" t="s">
        <v>2601</v>
      </c>
      <c r="F17" s="35" t="s">
        <v>77</v>
      </c>
      <c r="G17" s="36">
        <v>0</v>
      </c>
      <c r="H17" s="36">
        <v>30</v>
      </c>
      <c r="I17" s="36">
        <f t="shared" si="0"/>
        <v>-30</v>
      </c>
      <c r="J17" s="35" t="s">
        <v>2518</v>
      </c>
      <c r="K17" s="35" t="s">
        <v>31</v>
      </c>
      <c r="L17" s="35" t="s">
        <v>2511</v>
      </c>
      <c r="M17" s="35"/>
      <c r="N17" s="35"/>
      <c r="O17" s="35"/>
      <c r="P17" s="35"/>
      <c r="Q17" s="35">
        <v>1</v>
      </c>
      <c r="R17" s="25">
        <f>H17</f>
        <v>30</v>
      </c>
    </row>
    <row r="18" spans="1:18" s="41" customFormat="1" x14ac:dyDescent="0.25">
      <c r="A18" s="39"/>
      <c r="B18" s="39" t="s">
        <v>26</v>
      </c>
      <c r="C18" s="39" t="s">
        <v>2385</v>
      </c>
      <c r="D18" s="39" t="s">
        <v>2602</v>
      </c>
      <c r="E18" s="39" t="s">
        <v>2603</v>
      </c>
      <c r="F18" s="39" t="s">
        <v>45</v>
      </c>
      <c r="G18" s="40">
        <v>285</v>
      </c>
      <c r="H18" s="40">
        <v>25</v>
      </c>
      <c r="I18" s="40">
        <f t="shared" si="0"/>
        <v>260</v>
      </c>
      <c r="J18" s="39" t="s">
        <v>2518</v>
      </c>
      <c r="K18" s="39" t="s">
        <v>31</v>
      </c>
      <c r="L18" s="39" t="s">
        <v>2511</v>
      </c>
      <c r="M18" s="39" t="s">
        <v>37</v>
      </c>
      <c r="N18" s="39"/>
      <c r="O18" s="39"/>
      <c r="P18" s="39"/>
      <c r="Q18" s="39">
        <v>1</v>
      </c>
    </row>
    <row r="19" spans="1:18" x14ac:dyDescent="0.25">
      <c r="A19" s="35"/>
      <c r="B19" s="35" t="s">
        <v>26</v>
      </c>
      <c r="C19" s="35" t="s">
        <v>2604</v>
      </c>
      <c r="D19" s="35" t="s">
        <v>2605</v>
      </c>
      <c r="E19" s="35" t="s">
        <v>2606</v>
      </c>
      <c r="F19" s="35" t="s">
        <v>101</v>
      </c>
      <c r="G19" s="36">
        <v>0</v>
      </c>
      <c r="H19" s="36">
        <v>25</v>
      </c>
      <c r="I19" s="36">
        <f t="shared" si="0"/>
        <v>-25</v>
      </c>
      <c r="J19" s="35" t="s">
        <v>2518</v>
      </c>
      <c r="K19" s="35" t="s">
        <v>31</v>
      </c>
      <c r="L19" s="35" t="s">
        <v>2511</v>
      </c>
      <c r="M19" s="35"/>
      <c r="N19" s="35"/>
      <c r="O19" s="35"/>
      <c r="P19" s="35"/>
      <c r="Q19" s="35">
        <v>1</v>
      </c>
      <c r="R19" s="25">
        <f>H19</f>
        <v>25</v>
      </c>
    </row>
    <row r="20" spans="1:18" x14ac:dyDescent="0.25">
      <c r="A20" s="35"/>
      <c r="B20" s="35" t="s">
        <v>26</v>
      </c>
      <c r="C20" s="35" t="s">
        <v>2626</v>
      </c>
      <c r="D20" s="35" t="s">
        <v>2627</v>
      </c>
      <c r="E20" s="35" t="s">
        <v>2628</v>
      </c>
      <c r="F20" s="36">
        <v>6</v>
      </c>
      <c r="G20" s="36">
        <v>485</v>
      </c>
      <c r="H20" s="36">
        <v>25</v>
      </c>
      <c r="I20" s="36">
        <f t="shared" si="0"/>
        <v>460</v>
      </c>
      <c r="J20" s="35" t="s">
        <v>2518</v>
      </c>
      <c r="K20" s="35" t="s">
        <v>31</v>
      </c>
      <c r="L20" s="35" t="s">
        <v>2511</v>
      </c>
      <c r="M20" s="35"/>
      <c r="N20" s="35"/>
      <c r="O20" s="35"/>
      <c r="P20" s="35"/>
      <c r="Q20" s="35">
        <v>1</v>
      </c>
    </row>
    <row r="21" spans="1:18" x14ac:dyDescent="0.25">
      <c r="A21" s="35"/>
      <c r="B21" s="35" t="s">
        <v>26</v>
      </c>
      <c r="C21" s="35" t="s">
        <v>1434</v>
      </c>
      <c r="D21" s="35" t="s">
        <v>2630</v>
      </c>
      <c r="E21" s="35" t="s">
        <v>2631</v>
      </c>
      <c r="F21" s="36">
        <v>11</v>
      </c>
      <c r="G21" s="36">
        <v>0</v>
      </c>
      <c r="H21" s="36">
        <v>25</v>
      </c>
      <c r="I21" s="36">
        <f t="shared" si="0"/>
        <v>-25</v>
      </c>
      <c r="J21" s="35" t="s">
        <v>2518</v>
      </c>
      <c r="K21" s="35" t="s">
        <v>31</v>
      </c>
      <c r="L21" s="35" t="s">
        <v>2511</v>
      </c>
      <c r="M21" s="35"/>
      <c r="N21" s="35"/>
      <c r="O21" s="35"/>
      <c r="P21" s="35"/>
      <c r="Q21" s="35">
        <v>1</v>
      </c>
      <c r="R21" s="25">
        <f>H21</f>
        <v>25</v>
      </c>
    </row>
    <row r="22" spans="1:18" x14ac:dyDescent="0.25">
      <c r="A22" s="35"/>
      <c r="B22" s="35" t="s">
        <v>26</v>
      </c>
      <c r="C22" s="35" t="s">
        <v>2638</v>
      </c>
      <c r="D22" s="35" t="s">
        <v>2639</v>
      </c>
      <c r="E22" s="35" t="s">
        <v>2640</v>
      </c>
      <c r="F22" s="36">
        <v>6</v>
      </c>
      <c r="G22" s="36">
        <v>885</v>
      </c>
      <c r="H22" s="36">
        <v>25</v>
      </c>
      <c r="I22" s="36">
        <f t="shared" si="0"/>
        <v>860</v>
      </c>
      <c r="J22" s="35" t="s">
        <v>2518</v>
      </c>
      <c r="K22" s="35" t="s">
        <v>31</v>
      </c>
      <c r="L22" s="35" t="s">
        <v>2511</v>
      </c>
      <c r="M22" s="35"/>
      <c r="N22" s="35"/>
      <c r="O22" s="35"/>
      <c r="P22" s="35"/>
      <c r="Q22" s="35">
        <v>1</v>
      </c>
    </row>
    <row r="23" spans="1:18" x14ac:dyDescent="0.25">
      <c r="A23" s="35"/>
      <c r="B23" s="35" t="s">
        <v>26</v>
      </c>
      <c r="C23" s="35" t="s">
        <v>2125</v>
      </c>
      <c r="D23" s="35" t="s">
        <v>2647</v>
      </c>
      <c r="E23" s="35" t="s">
        <v>2127</v>
      </c>
      <c r="F23" s="35" t="s">
        <v>117</v>
      </c>
      <c r="G23" s="36">
        <v>1475</v>
      </c>
      <c r="H23" s="36">
        <v>35</v>
      </c>
      <c r="I23" s="36">
        <f t="shared" si="0"/>
        <v>1440</v>
      </c>
      <c r="J23" s="35" t="s">
        <v>2518</v>
      </c>
      <c r="K23" s="35" t="s">
        <v>31</v>
      </c>
      <c r="L23" s="35" t="s">
        <v>2511</v>
      </c>
      <c r="M23" s="35"/>
      <c r="N23" s="35"/>
      <c r="O23" s="35"/>
      <c r="P23" s="35"/>
      <c r="Q23" s="35">
        <v>1</v>
      </c>
    </row>
    <row r="24" spans="1:18" x14ac:dyDescent="0.25">
      <c r="A24" s="35"/>
      <c r="B24" s="35" t="s">
        <v>26</v>
      </c>
      <c r="C24" s="35" t="s">
        <v>2508</v>
      </c>
      <c r="D24" s="35" t="s">
        <v>2509</v>
      </c>
      <c r="E24" s="35" t="s">
        <v>2510</v>
      </c>
      <c r="F24" s="36">
        <v>12</v>
      </c>
      <c r="G24" s="36">
        <v>0</v>
      </c>
      <c r="H24" s="36">
        <v>30</v>
      </c>
      <c r="I24" s="36">
        <f t="shared" si="0"/>
        <v>-30</v>
      </c>
      <c r="J24" s="35" t="s">
        <v>31</v>
      </c>
      <c r="K24" s="35" t="s">
        <v>31</v>
      </c>
      <c r="L24" s="35" t="s">
        <v>2511</v>
      </c>
      <c r="M24" s="35"/>
      <c r="N24" s="35"/>
      <c r="O24" s="35"/>
      <c r="P24" s="35"/>
      <c r="Q24" s="35">
        <v>1</v>
      </c>
      <c r="R24" s="25">
        <f>H24</f>
        <v>30</v>
      </c>
    </row>
    <row r="25" spans="1:18" x14ac:dyDescent="0.25">
      <c r="A25" s="35"/>
      <c r="B25" s="35" t="s">
        <v>26</v>
      </c>
      <c r="C25" s="35" t="s">
        <v>2538</v>
      </c>
      <c r="D25" s="35" t="s">
        <v>2539</v>
      </c>
      <c r="E25" s="35" t="s">
        <v>2540</v>
      </c>
      <c r="F25" s="35" t="s">
        <v>36</v>
      </c>
      <c r="G25" s="36">
        <v>905</v>
      </c>
      <c r="H25" s="36">
        <v>25</v>
      </c>
      <c r="I25" s="36">
        <f t="shared" si="0"/>
        <v>880</v>
      </c>
      <c r="J25" s="35" t="s">
        <v>31</v>
      </c>
      <c r="K25" s="35" t="s">
        <v>31</v>
      </c>
      <c r="L25" s="35" t="s">
        <v>2511</v>
      </c>
      <c r="M25" s="35"/>
      <c r="N25" s="35"/>
      <c r="O25" s="35"/>
      <c r="P25" s="35"/>
      <c r="Q25" s="35">
        <v>1</v>
      </c>
    </row>
    <row r="26" spans="1:18" x14ac:dyDescent="0.25">
      <c r="A26" s="35"/>
      <c r="B26" s="35" t="s">
        <v>26</v>
      </c>
      <c r="C26" s="35" t="s">
        <v>2552</v>
      </c>
      <c r="D26" s="35" t="s">
        <v>2553</v>
      </c>
      <c r="E26" s="35" t="s">
        <v>2554</v>
      </c>
      <c r="F26" s="36">
        <v>2</v>
      </c>
      <c r="G26" s="36">
        <v>0</v>
      </c>
      <c r="H26" s="36">
        <v>30</v>
      </c>
      <c r="I26" s="36">
        <f t="shared" si="0"/>
        <v>-30</v>
      </c>
      <c r="J26" s="35" t="s">
        <v>31</v>
      </c>
      <c r="K26" s="35" t="s">
        <v>31</v>
      </c>
      <c r="L26" s="35" t="s">
        <v>2511</v>
      </c>
      <c r="M26" s="35"/>
      <c r="N26" s="35"/>
      <c r="O26" s="35"/>
      <c r="P26" s="35"/>
      <c r="Q26" s="35">
        <v>1</v>
      </c>
      <c r="R26" s="25">
        <f>H26</f>
        <v>30</v>
      </c>
    </row>
    <row r="27" spans="1:18" x14ac:dyDescent="0.25">
      <c r="A27" s="35"/>
      <c r="B27" s="35" t="s">
        <v>26</v>
      </c>
      <c r="C27" s="35" t="s">
        <v>2555</v>
      </c>
      <c r="D27" s="35" t="s">
        <v>2556</v>
      </c>
      <c r="E27" s="35" t="s">
        <v>2557</v>
      </c>
      <c r="F27" s="35" t="s">
        <v>58</v>
      </c>
      <c r="G27" s="36">
        <v>510</v>
      </c>
      <c r="H27" s="36">
        <v>20</v>
      </c>
      <c r="I27" s="36">
        <f t="shared" si="0"/>
        <v>490</v>
      </c>
      <c r="J27" s="35" t="s">
        <v>31</v>
      </c>
      <c r="K27" s="35" t="s">
        <v>31</v>
      </c>
      <c r="L27" s="35" t="s">
        <v>2511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2570</v>
      </c>
      <c r="D28" s="35" t="s">
        <v>2571</v>
      </c>
      <c r="E28" s="35" t="s">
        <v>2572</v>
      </c>
      <c r="F28" s="35" t="s">
        <v>36</v>
      </c>
      <c r="G28" s="36">
        <v>485</v>
      </c>
      <c r="H28" s="36">
        <v>25</v>
      </c>
      <c r="I28" s="36">
        <f t="shared" si="0"/>
        <v>460</v>
      </c>
      <c r="J28" s="35" t="s">
        <v>31</v>
      </c>
      <c r="K28" s="35" t="s">
        <v>31</v>
      </c>
      <c r="L28" s="35" t="s">
        <v>2511</v>
      </c>
      <c r="M28" s="35"/>
      <c r="N28" s="35"/>
      <c r="O28" s="35"/>
      <c r="P28" s="35"/>
      <c r="Q28" s="35">
        <v>1</v>
      </c>
    </row>
    <row r="29" spans="1:18" x14ac:dyDescent="0.25">
      <c r="A29" s="35"/>
      <c r="B29" s="35" t="s">
        <v>26</v>
      </c>
      <c r="C29" s="35" t="s">
        <v>2578</v>
      </c>
      <c r="D29" s="35" t="s">
        <v>2579</v>
      </c>
      <c r="E29" s="35" t="s">
        <v>2580</v>
      </c>
      <c r="F29" s="35" t="s">
        <v>36</v>
      </c>
      <c r="G29" s="36">
        <v>0</v>
      </c>
      <c r="H29" s="36">
        <v>25</v>
      </c>
      <c r="I29" s="36">
        <f t="shared" si="0"/>
        <v>-25</v>
      </c>
      <c r="J29" s="35" t="s">
        <v>31</v>
      </c>
      <c r="K29" s="35" t="s">
        <v>31</v>
      </c>
      <c r="L29" s="35" t="s">
        <v>2511</v>
      </c>
      <c r="M29" s="35"/>
      <c r="N29" s="35"/>
      <c r="O29" s="35"/>
      <c r="P29" s="35"/>
      <c r="Q29" s="35">
        <v>1</v>
      </c>
      <c r="R29" s="25">
        <f>H29</f>
        <v>25</v>
      </c>
    </row>
    <row r="30" spans="1:18" x14ac:dyDescent="0.25">
      <c r="A30" s="35"/>
      <c r="B30" s="35" t="s">
        <v>26</v>
      </c>
      <c r="C30" s="35" t="s">
        <v>2613</v>
      </c>
      <c r="D30" s="35" t="s">
        <v>2614</v>
      </c>
      <c r="E30" s="35" t="s">
        <v>2615</v>
      </c>
      <c r="F30" s="36">
        <v>9</v>
      </c>
      <c r="G30" s="36">
        <v>740</v>
      </c>
      <c r="H30" s="36">
        <v>30</v>
      </c>
      <c r="I30" s="36">
        <f t="shared" si="0"/>
        <v>710</v>
      </c>
      <c r="J30" s="35" t="s">
        <v>31</v>
      </c>
      <c r="K30" s="35" t="s">
        <v>31</v>
      </c>
      <c r="L30" s="35" t="s">
        <v>2511</v>
      </c>
      <c r="M30" s="35"/>
      <c r="N30" s="35"/>
      <c r="O30" s="35"/>
      <c r="P30" s="35"/>
      <c r="Q30" s="35">
        <v>1</v>
      </c>
    </row>
    <row r="31" spans="1:18" s="41" customFormat="1" x14ac:dyDescent="0.25">
      <c r="A31" s="39"/>
      <c r="B31" s="39" t="s">
        <v>26</v>
      </c>
      <c r="C31" s="39" t="s">
        <v>1775</v>
      </c>
      <c r="D31" s="39" t="s">
        <v>2629</v>
      </c>
      <c r="E31" s="39" t="s">
        <v>1777</v>
      </c>
      <c r="F31" s="39" t="s">
        <v>36</v>
      </c>
      <c r="G31" s="40">
        <v>0</v>
      </c>
      <c r="H31" s="40">
        <v>25</v>
      </c>
      <c r="I31" s="40">
        <f t="shared" si="0"/>
        <v>-25</v>
      </c>
      <c r="J31" s="39" t="s">
        <v>31</v>
      </c>
      <c r="K31" s="39" t="s">
        <v>31</v>
      </c>
      <c r="L31" s="39" t="s">
        <v>2511</v>
      </c>
      <c r="M31" s="39" t="s">
        <v>37</v>
      </c>
      <c r="N31" s="39"/>
      <c r="O31" s="39"/>
      <c r="P31" s="39"/>
      <c r="Q31" s="39">
        <v>1</v>
      </c>
      <c r="R31" s="42">
        <f>H31</f>
        <v>25</v>
      </c>
    </row>
    <row r="32" spans="1:18" x14ac:dyDescent="0.25">
      <c r="A32" s="35"/>
      <c r="B32" s="35" t="s">
        <v>26</v>
      </c>
      <c r="C32" s="35" t="s">
        <v>2632</v>
      </c>
      <c r="D32" s="35" t="s">
        <v>2633</v>
      </c>
      <c r="E32" s="35" t="s">
        <v>2634</v>
      </c>
      <c r="F32" s="35" t="s">
        <v>58</v>
      </c>
      <c r="G32" s="36">
        <v>670</v>
      </c>
      <c r="H32" s="36">
        <v>20</v>
      </c>
      <c r="I32" s="36">
        <f t="shared" si="0"/>
        <v>650</v>
      </c>
      <c r="J32" s="35" t="s">
        <v>31</v>
      </c>
      <c r="K32" s="35" t="s">
        <v>31</v>
      </c>
      <c r="L32" s="35" t="s">
        <v>2511</v>
      </c>
      <c r="M32" s="35"/>
      <c r="N32" s="35"/>
      <c r="O32" s="35"/>
      <c r="P32" s="35"/>
      <c r="Q32" s="35">
        <v>1</v>
      </c>
    </row>
    <row r="33" spans="1:18" x14ac:dyDescent="0.25">
      <c r="A33" s="35"/>
      <c r="B33" s="35" t="s">
        <v>26</v>
      </c>
      <c r="C33" s="35" t="s">
        <v>2641</v>
      </c>
      <c r="D33" s="35" t="s">
        <v>2642</v>
      </c>
      <c r="E33" s="35" t="s">
        <v>2643</v>
      </c>
      <c r="F33" s="35" t="s">
        <v>58</v>
      </c>
      <c r="G33" s="36">
        <v>1790</v>
      </c>
      <c r="H33" s="36">
        <v>20</v>
      </c>
      <c r="I33" s="36">
        <f t="shared" si="0"/>
        <v>1770</v>
      </c>
      <c r="J33" s="35" t="s">
        <v>31</v>
      </c>
      <c r="K33" s="35" t="s">
        <v>31</v>
      </c>
      <c r="L33" s="35" t="s">
        <v>2511</v>
      </c>
      <c r="M33" s="35"/>
      <c r="N33" s="35"/>
      <c r="O33" s="35"/>
      <c r="P33" s="35"/>
      <c r="Q33" s="35">
        <v>1</v>
      </c>
    </row>
    <row r="34" spans="1:18" x14ac:dyDescent="0.25">
      <c r="A34" s="35" t="s">
        <v>66</v>
      </c>
      <c r="B34" s="35" t="s">
        <v>26</v>
      </c>
      <c r="C34" s="35" t="s">
        <v>2648</v>
      </c>
      <c r="D34" s="35"/>
      <c r="E34" s="35" t="s">
        <v>2649</v>
      </c>
      <c r="F34" s="35" t="s">
        <v>101</v>
      </c>
      <c r="G34" s="36">
        <v>0</v>
      </c>
      <c r="H34" s="36">
        <v>50</v>
      </c>
      <c r="I34" s="36">
        <f t="shared" si="0"/>
        <v>-50</v>
      </c>
      <c r="J34" s="35" t="s">
        <v>31</v>
      </c>
      <c r="K34" s="35" t="s">
        <v>31</v>
      </c>
      <c r="L34" s="35" t="s">
        <v>2511</v>
      </c>
      <c r="M34" s="35"/>
      <c r="N34" s="35"/>
      <c r="O34" s="35"/>
      <c r="P34" s="35"/>
      <c r="Q34" s="35">
        <v>1</v>
      </c>
      <c r="R34" s="25">
        <f>H34</f>
        <v>50</v>
      </c>
    </row>
    <row r="35" spans="1:18" x14ac:dyDescent="0.25">
      <c r="A35" s="35" t="s">
        <v>66</v>
      </c>
      <c r="B35" s="35" t="s">
        <v>26</v>
      </c>
      <c r="C35" s="35" t="s">
        <v>2151</v>
      </c>
      <c r="D35" s="35"/>
      <c r="E35" s="35" t="s">
        <v>2152</v>
      </c>
      <c r="F35" s="36">
        <v>9</v>
      </c>
      <c r="G35" s="36">
        <v>1125</v>
      </c>
      <c r="H35" s="36">
        <v>35</v>
      </c>
      <c r="I35" s="36">
        <f t="shared" ref="I35:I62" si="1">G35-H35</f>
        <v>1090</v>
      </c>
      <c r="J35" s="35" t="s">
        <v>31</v>
      </c>
      <c r="K35" s="35" t="s">
        <v>31</v>
      </c>
      <c r="L35" s="35" t="s">
        <v>2511</v>
      </c>
      <c r="M35" s="35"/>
      <c r="N35" s="35"/>
      <c r="O35" s="35"/>
      <c r="P35" s="35"/>
      <c r="Q35" s="35">
        <v>1</v>
      </c>
    </row>
    <row r="36" spans="1:18" x14ac:dyDescent="0.25">
      <c r="A36" s="35" t="s">
        <v>66</v>
      </c>
      <c r="B36" s="35" t="s">
        <v>26</v>
      </c>
      <c r="C36" s="35" t="s">
        <v>1318</v>
      </c>
      <c r="D36" s="35"/>
      <c r="E36" s="35" t="s">
        <v>2651</v>
      </c>
      <c r="F36" s="35" t="s">
        <v>128</v>
      </c>
      <c r="G36" s="36">
        <v>1575</v>
      </c>
      <c r="H36" s="36">
        <v>35</v>
      </c>
      <c r="I36" s="36">
        <f t="shared" si="1"/>
        <v>1540</v>
      </c>
      <c r="J36" s="35" t="s">
        <v>31</v>
      </c>
      <c r="K36" s="35" t="s">
        <v>31</v>
      </c>
      <c r="L36" s="35" t="s">
        <v>2511</v>
      </c>
      <c r="M36" s="35"/>
      <c r="N36" s="35"/>
      <c r="O36" s="35"/>
      <c r="P36" s="35"/>
      <c r="Q36" s="35">
        <v>1</v>
      </c>
    </row>
    <row r="37" spans="1:18" x14ac:dyDescent="0.25">
      <c r="A37" s="35" t="s">
        <v>66</v>
      </c>
      <c r="B37" s="35" t="s">
        <v>26</v>
      </c>
      <c r="C37" s="35" t="s">
        <v>1053</v>
      </c>
      <c r="D37" s="35"/>
      <c r="E37" s="35" t="s">
        <v>1054</v>
      </c>
      <c r="F37" s="35" t="s">
        <v>36</v>
      </c>
      <c r="G37" s="36">
        <v>3660</v>
      </c>
      <c r="H37" s="36">
        <v>30</v>
      </c>
      <c r="I37" s="36">
        <f t="shared" si="1"/>
        <v>3630</v>
      </c>
      <c r="J37" s="35" t="s">
        <v>31</v>
      </c>
      <c r="K37" s="35" t="s">
        <v>31</v>
      </c>
      <c r="L37" s="35" t="s">
        <v>2511</v>
      </c>
      <c r="M37" s="35"/>
      <c r="N37" s="35"/>
      <c r="O37" s="35"/>
      <c r="P37" s="35"/>
      <c r="Q37" s="35">
        <v>1</v>
      </c>
    </row>
    <row r="38" spans="1:18" x14ac:dyDescent="0.25">
      <c r="A38" s="35"/>
      <c r="B38" s="35" t="s">
        <v>26</v>
      </c>
      <c r="C38" s="35" t="s">
        <v>2512</v>
      </c>
      <c r="D38" s="35" t="s">
        <v>2513</v>
      </c>
      <c r="E38" s="35" t="s">
        <v>2514</v>
      </c>
      <c r="F38" s="36">
        <v>1</v>
      </c>
      <c r="G38" s="36">
        <v>0</v>
      </c>
      <c r="H38" s="36">
        <v>25</v>
      </c>
      <c r="I38" s="36">
        <f t="shared" si="1"/>
        <v>-25</v>
      </c>
      <c r="J38" s="35" t="s">
        <v>41</v>
      </c>
      <c r="K38" s="35" t="s">
        <v>31</v>
      </c>
      <c r="L38" s="35" t="s">
        <v>2511</v>
      </c>
      <c r="M38" s="35"/>
      <c r="N38" s="35"/>
      <c r="O38" s="35"/>
      <c r="P38" s="35"/>
      <c r="Q38" s="35">
        <v>1</v>
      </c>
      <c r="R38" s="25">
        <f>H38</f>
        <v>25</v>
      </c>
    </row>
    <row r="39" spans="1:18" x14ac:dyDescent="0.25">
      <c r="A39" s="35"/>
      <c r="B39" s="35" t="s">
        <v>26</v>
      </c>
      <c r="C39" s="35" t="s">
        <v>2519</v>
      </c>
      <c r="D39" s="35" t="s">
        <v>2520</v>
      </c>
      <c r="E39" s="35" t="s">
        <v>2521</v>
      </c>
      <c r="F39" s="36">
        <v>8</v>
      </c>
      <c r="G39" s="36">
        <v>920</v>
      </c>
      <c r="H39" s="36">
        <v>30</v>
      </c>
      <c r="I39" s="36">
        <f t="shared" si="1"/>
        <v>890</v>
      </c>
      <c r="J39" s="35" t="s">
        <v>41</v>
      </c>
      <c r="K39" s="35" t="s">
        <v>31</v>
      </c>
      <c r="L39" s="35" t="s">
        <v>2511</v>
      </c>
      <c r="M39" s="35"/>
      <c r="N39" s="35"/>
      <c r="O39" s="35"/>
      <c r="P39" s="35"/>
      <c r="Q39" s="35">
        <v>1</v>
      </c>
    </row>
    <row r="40" spans="1:18" x14ac:dyDescent="0.25">
      <c r="A40" s="35"/>
      <c r="B40" s="35" t="s">
        <v>26</v>
      </c>
      <c r="C40" s="35" t="s">
        <v>1991</v>
      </c>
      <c r="D40" s="35" t="s">
        <v>2531</v>
      </c>
      <c r="E40" s="35" t="s">
        <v>2532</v>
      </c>
      <c r="F40" s="36">
        <v>5</v>
      </c>
      <c r="G40" s="36">
        <v>515</v>
      </c>
      <c r="H40" s="36">
        <v>25</v>
      </c>
      <c r="I40" s="36">
        <f t="shared" si="1"/>
        <v>490</v>
      </c>
      <c r="J40" s="35" t="s">
        <v>41</v>
      </c>
      <c r="K40" s="35" t="s">
        <v>31</v>
      </c>
      <c r="L40" s="35" t="s">
        <v>2511</v>
      </c>
      <c r="M40" s="35"/>
      <c r="N40" s="35"/>
      <c r="O40" s="35"/>
      <c r="P40" s="35"/>
      <c r="Q40" s="35">
        <v>1</v>
      </c>
    </row>
    <row r="41" spans="1:18" x14ac:dyDescent="0.25">
      <c r="A41" s="35"/>
      <c r="B41" s="35" t="s">
        <v>26</v>
      </c>
      <c r="C41" s="35" t="s">
        <v>2545</v>
      </c>
      <c r="D41" s="35" t="s">
        <v>2546</v>
      </c>
      <c r="E41" s="35" t="s">
        <v>2547</v>
      </c>
      <c r="F41" s="36">
        <v>7</v>
      </c>
      <c r="G41" s="36">
        <v>620</v>
      </c>
      <c r="H41" s="36">
        <v>30</v>
      </c>
      <c r="I41" s="36">
        <f t="shared" si="1"/>
        <v>590</v>
      </c>
      <c r="J41" s="35" t="s">
        <v>41</v>
      </c>
      <c r="K41" s="35" t="s">
        <v>31</v>
      </c>
      <c r="L41" s="35" t="s">
        <v>2511</v>
      </c>
      <c r="M41" s="35"/>
      <c r="N41" s="35"/>
      <c r="O41" s="35"/>
      <c r="P41" s="35"/>
      <c r="Q41" s="35">
        <v>1</v>
      </c>
    </row>
    <row r="42" spans="1:18" x14ac:dyDescent="0.25">
      <c r="A42" s="35"/>
      <c r="B42" s="35" t="s">
        <v>26</v>
      </c>
      <c r="C42" s="35" t="s">
        <v>2561</v>
      </c>
      <c r="D42" s="35" t="s">
        <v>2562</v>
      </c>
      <c r="E42" s="35" t="s">
        <v>2563</v>
      </c>
      <c r="F42" s="36">
        <v>7</v>
      </c>
      <c r="G42" s="36">
        <v>920</v>
      </c>
      <c r="H42" s="36">
        <v>30</v>
      </c>
      <c r="I42" s="36">
        <f t="shared" si="1"/>
        <v>890</v>
      </c>
      <c r="J42" s="35" t="s">
        <v>41</v>
      </c>
      <c r="K42" s="35" t="s">
        <v>31</v>
      </c>
      <c r="L42" s="35" t="s">
        <v>2511</v>
      </c>
      <c r="M42" s="35"/>
      <c r="N42" s="35"/>
      <c r="O42" s="35"/>
      <c r="P42" s="35"/>
      <c r="Q42" s="35">
        <v>1</v>
      </c>
    </row>
    <row r="43" spans="1:18" x14ac:dyDescent="0.25">
      <c r="A43" s="35"/>
      <c r="B43" s="35" t="s">
        <v>26</v>
      </c>
      <c r="C43" s="35" t="s">
        <v>2567</v>
      </c>
      <c r="D43" s="35" t="s">
        <v>2568</v>
      </c>
      <c r="E43" s="35" t="s">
        <v>2569</v>
      </c>
      <c r="F43" s="36">
        <v>1</v>
      </c>
      <c r="G43" s="36">
        <v>0</v>
      </c>
      <c r="H43" s="36">
        <v>25</v>
      </c>
      <c r="I43" s="36">
        <f t="shared" si="1"/>
        <v>-25</v>
      </c>
      <c r="J43" s="35" t="s">
        <v>41</v>
      </c>
      <c r="K43" s="35" t="s">
        <v>31</v>
      </c>
      <c r="L43" s="35" t="s">
        <v>2511</v>
      </c>
      <c r="M43" s="38" t="s">
        <v>2654</v>
      </c>
      <c r="N43" s="35"/>
      <c r="O43" s="35"/>
      <c r="P43" s="35"/>
      <c r="Q43" s="35">
        <v>1</v>
      </c>
      <c r="R43" s="25">
        <f>H43</f>
        <v>25</v>
      </c>
    </row>
    <row r="44" spans="1:18" x14ac:dyDescent="0.25">
      <c r="A44" s="35"/>
      <c r="B44" s="35" t="s">
        <v>26</v>
      </c>
      <c r="C44" s="35" t="s">
        <v>2567</v>
      </c>
      <c r="D44" s="35" t="s">
        <v>2624</v>
      </c>
      <c r="E44" s="35" t="s">
        <v>2625</v>
      </c>
      <c r="F44" s="36">
        <v>1</v>
      </c>
      <c r="G44" s="36">
        <v>0</v>
      </c>
      <c r="H44" s="36">
        <v>0</v>
      </c>
      <c r="I44" s="36">
        <f t="shared" si="1"/>
        <v>0</v>
      </c>
      <c r="J44" s="35" t="s">
        <v>41</v>
      </c>
      <c r="K44" s="35" t="s">
        <v>31</v>
      </c>
      <c r="L44" s="35" t="s">
        <v>2511</v>
      </c>
      <c r="M44" s="38" t="s">
        <v>423</v>
      </c>
      <c r="N44" s="35"/>
      <c r="O44" s="35"/>
      <c r="P44" s="35"/>
      <c r="Q44" s="35">
        <v>1</v>
      </c>
      <c r="R44" s="25">
        <f>H44</f>
        <v>0</v>
      </c>
    </row>
    <row r="45" spans="1:18" x14ac:dyDescent="0.25">
      <c r="A45" s="35"/>
      <c r="B45" s="35" t="s">
        <v>26</v>
      </c>
      <c r="C45" s="35" t="s">
        <v>2584</v>
      </c>
      <c r="D45" s="35" t="s">
        <v>2585</v>
      </c>
      <c r="E45" s="35" t="s">
        <v>2586</v>
      </c>
      <c r="F45" s="36">
        <v>3</v>
      </c>
      <c r="G45" s="36">
        <v>795</v>
      </c>
      <c r="H45" s="36">
        <v>25</v>
      </c>
      <c r="I45" s="36">
        <f t="shared" si="1"/>
        <v>770</v>
      </c>
      <c r="J45" s="35" t="s">
        <v>41</v>
      </c>
      <c r="K45" s="35" t="s">
        <v>31</v>
      </c>
      <c r="L45" s="35" t="s">
        <v>2511</v>
      </c>
      <c r="M45" s="35"/>
      <c r="N45" s="35"/>
      <c r="O45" s="35"/>
      <c r="P45" s="35"/>
      <c r="Q45" s="35">
        <v>1</v>
      </c>
    </row>
    <row r="46" spans="1:18" x14ac:dyDescent="0.25">
      <c r="A46" s="35"/>
      <c r="B46" s="35" t="s">
        <v>26</v>
      </c>
      <c r="C46" s="35" t="s">
        <v>2590</v>
      </c>
      <c r="D46" s="35" t="s">
        <v>2591</v>
      </c>
      <c r="E46" s="35" t="s">
        <v>2592</v>
      </c>
      <c r="F46" s="36">
        <v>7</v>
      </c>
      <c r="G46" s="36">
        <v>1540</v>
      </c>
      <c r="H46" s="36">
        <v>30</v>
      </c>
      <c r="I46" s="36">
        <f t="shared" si="1"/>
        <v>1510</v>
      </c>
      <c r="J46" s="35" t="s">
        <v>41</v>
      </c>
      <c r="K46" s="35" t="s">
        <v>31</v>
      </c>
      <c r="L46" s="35" t="s">
        <v>2511</v>
      </c>
      <c r="M46" s="35"/>
      <c r="N46" s="35"/>
      <c r="O46" s="35"/>
      <c r="P46" s="35"/>
      <c r="Q46" s="35">
        <v>1</v>
      </c>
    </row>
    <row r="47" spans="1:18" x14ac:dyDescent="0.25">
      <c r="A47" s="35"/>
      <c r="B47" s="35" t="s">
        <v>26</v>
      </c>
      <c r="C47" s="35" t="s">
        <v>2593</v>
      </c>
      <c r="D47" s="35" t="s">
        <v>2594</v>
      </c>
      <c r="E47" s="35" t="s">
        <v>2595</v>
      </c>
      <c r="F47" s="36">
        <v>7</v>
      </c>
      <c r="G47" s="36">
        <v>2730</v>
      </c>
      <c r="H47" s="36">
        <v>35</v>
      </c>
      <c r="I47" s="36">
        <f t="shared" si="1"/>
        <v>2695</v>
      </c>
      <c r="J47" s="35" t="s">
        <v>41</v>
      </c>
      <c r="K47" s="35" t="s">
        <v>31</v>
      </c>
      <c r="L47" s="35" t="s">
        <v>2511</v>
      </c>
      <c r="M47" s="38" t="s">
        <v>59</v>
      </c>
      <c r="N47" s="35"/>
      <c r="O47" s="35"/>
      <c r="P47" s="35"/>
      <c r="Q47" s="35">
        <v>1</v>
      </c>
      <c r="R47" s="25">
        <f>H47</f>
        <v>35</v>
      </c>
    </row>
    <row r="48" spans="1:18" x14ac:dyDescent="0.25">
      <c r="A48" s="35"/>
      <c r="B48" s="35" t="s">
        <v>26</v>
      </c>
      <c r="C48" s="35" t="s">
        <v>2607</v>
      </c>
      <c r="D48" s="35" t="s">
        <v>2608</v>
      </c>
      <c r="E48" s="35" t="s">
        <v>2609</v>
      </c>
      <c r="F48" s="36">
        <v>7</v>
      </c>
      <c r="G48" s="36">
        <v>30</v>
      </c>
      <c r="H48" s="36">
        <v>30</v>
      </c>
      <c r="I48" s="36">
        <f t="shared" si="1"/>
        <v>0</v>
      </c>
      <c r="J48" s="35" t="s">
        <v>41</v>
      </c>
      <c r="K48" s="35" t="s">
        <v>31</v>
      </c>
      <c r="L48" s="35" t="s">
        <v>2511</v>
      </c>
      <c r="M48" s="38" t="s">
        <v>2655</v>
      </c>
      <c r="N48" s="35"/>
      <c r="O48" s="35"/>
      <c r="P48" s="35"/>
      <c r="Q48" s="35">
        <v>1</v>
      </c>
    </row>
    <row r="49" spans="1:18" x14ac:dyDescent="0.25">
      <c r="A49" s="35"/>
      <c r="B49" s="35" t="s">
        <v>26</v>
      </c>
      <c r="C49" s="35" t="s">
        <v>2610</v>
      </c>
      <c r="D49" s="35" t="s">
        <v>2611</v>
      </c>
      <c r="E49" s="35" t="s">
        <v>2612</v>
      </c>
      <c r="F49" s="35" t="s">
        <v>101</v>
      </c>
      <c r="G49" s="36">
        <v>915</v>
      </c>
      <c r="H49" s="36">
        <v>25</v>
      </c>
      <c r="I49" s="36">
        <f t="shared" si="1"/>
        <v>890</v>
      </c>
      <c r="J49" s="35" t="s">
        <v>41</v>
      </c>
      <c r="K49" s="35" t="s">
        <v>31</v>
      </c>
      <c r="L49" s="35" t="s">
        <v>2511</v>
      </c>
      <c r="M49" s="35"/>
      <c r="N49" s="35"/>
      <c r="O49" s="35"/>
      <c r="P49" s="35"/>
      <c r="Q49" s="35">
        <v>1</v>
      </c>
    </row>
    <row r="50" spans="1:18" x14ac:dyDescent="0.25">
      <c r="A50" s="35"/>
      <c r="B50" s="35" t="s">
        <v>26</v>
      </c>
      <c r="C50" s="35" t="s">
        <v>2616</v>
      </c>
      <c r="D50" s="35" t="s">
        <v>2617</v>
      </c>
      <c r="E50" s="35" t="s">
        <v>2618</v>
      </c>
      <c r="F50" s="36">
        <v>7</v>
      </c>
      <c r="G50" s="36">
        <v>800</v>
      </c>
      <c r="H50" s="36">
        <v>30</v>
      </c>
      <c r="I50" s="36">
        <f t="shared" si="1"/>
        <v>770</v>
      </c>
      <c r="J50" s="35" t="s">
        <v>41</v>
      </c>
      <c r="K50" s="35" t="s">
        <v>31</v>
      </c>
      <c r="L50" s="35" t="s">
        <v>2511</v>
      </c>
      <c r="M50" s="35"/>
      <c r="N50" s="35"/>
      <c r="O50" s="35"/>
      <c r="P50" s="35"/>
      <c r="Q50" s="35">
        <v>1</v>
      </c>
    </row>
    <row r="51" spans="1:18" x14ac:dyDescent="0.25">
      <c r="A51" s="35"/>
      <c r="B51" s="35" t="s">
        <v>26</v>
      </c>
      <c r="C51" s="35" t="s">
        <v>2619</v>
      </c>
      <c r="D51" s="35" t="s">
        <v>2620</v>
      </c>
      <c r="E51" s="35" t="s">
        <v>2621</v>
      </c>
      <c r="F51" s="36">
        <v>8</v>
      </c>
      <c r="G51" s="36">
        <v>1600</v>
      </c>
      <c r="H51" s="36">
        <v>30</v>
      </c>
      <c r="I51" s="36">
        <f t="shared" si="1"/>
        <v>1570</v>
      </c>
      <c r="J51" s="35" t="s">
        <v>41</v>
      </c>
      <c r="K51" s="35" t="s">
        <v>31</v>
      </c>
      <c r="L51" s="35" t="s">
        <v>2511</v>
      </c>
      <c r="M51" s="35"/>
      <c r="N51" s="35"/>
      <c r="O51" s="35"/>
      <c r="P51" s="35"/>
      <c r="Q51" s="35">
        <v>1</v>
      </c>
    </row>
    <row r="52" spans="1:18" x14ac:dyDescent="0.25">
      <c r="A52" s="35"/>
      <c r="B52" s="35" t="s">
        <v>26</v>
      </c>
      <c r="C52" s="35" t="s">
        <v>738</v>
      </c>
      <c r="D52" s="35" t="s">
        <v>2622</v>
      </c>
      <c r="E52" s="35" t="s">
        <v>740</v>
      </c>
      <c r="F52" s="36">
        <v>7</v>
      </c>
      <c r="G52" s="36">
        <v>1210</v>
      </c>
      <c r="H52" s="36">
        <v>30</v>
      </c>
      <c r="I52" s="36">
        <f t="shared" si="1"/>
        <v>1180</v>
      </c>
      <c r="J52" s="35" t="s">
        <v>41</v>
      </c>
      <c r="K52" s="35" t="s">
        <v>31</v>
      </c>
      <c r="L52" s="35" t="s">
        <v>2511</v>
      </c>
      <c r="M52" s="35"/>
      <c r="N52" s="35"/>
      <c r="O52" s="35"/>
      <c r="P52" s="35"/>
      <c r="Q52" s="35">
        <v>1</v>
      </c>
    </row>
    <row r="53" spans="1:18" x14ac:dyDescent="0.25">
      <c r="A53" s="35"/>
      <c r="B53" s="35" t="s">
        <v>26</v>
      </c>
      <c r="C53" s="35" t="s">
        <v>1042</v>
      </c>
      <c r="D53" s="35" t="s">
        <v>2623</v>
      </c>
      <c r="E53" s="35" t="s">
        <v>1044</v>
      </c>
      <c r="F53" s="36">
        <v>7</v>
      </c>
      <c r="G53" s="36">
        <v>740</v>
      </c>
      <c r="H53" s="36">
        <v>30</v>
      </c>
      <c r="I53" s="36">
        <f t="shared" si="1"/>
        <v>710</v>
      </c>
      <c r="J53" s="35" t="s">
        <v>41</v>
      </c>
      <c r="K53" s="35" t="s">
        <v>31</v>
      </c>
      <c r="L53" s="35" t="s">
        <v>2511</v>
      </c>
      <c r="M53" s="35"/>
      <c r="N53" s="35"/>
      <c r="O53" s="35"/>
      <c r="P53" s="35"/>
      <c r="Q53" s="35">
        <v>1</v>
      </c>
    </row>
    <row r="54" spans="1:18" x14ac:dyDescent="0.25">
      <c r="A54" s="35"/>
      <c r="B54" s="35" t="s">
        <v>26</v>
      </c>
      <c r="C54" s="35" t="s">
        <v>2635</v>
      </c>
      <c r="D54" s="35" t="s">
        <v>2636</v>
      </c>
      <c r="E54" s="35" t="s">
        <v>2637</v>
      </c>
      <c r="F54" s="36">
        <v>1</v>
      </c>
      <c r="G54" s="36">
        <v>0</v>
      </c>
      <c r="H54" s="36">
        <v>25</v>
      </c>
      <c r="I54" s="36">
        <f t="shared" si="1"/>
        <v>-25</v>
      </c>
      <c r="J54" s="35" t="s">
        <v>41</v>
      </c>
      <c r="K54" s="35" t="s">
        <v>31</v>
      </c>
      <c r="L54" s="35" t="s">
        <v>2511</v>
      </c>
      <c r="M54" s="35"/>
      <c r="N54" s="35"/>
      <c r="O54" s="35"/>
      <c r="P54" s="35"/>
      <c r="Q54" s="35">
        <v>1</v>
      </c>
      <c r="R54" s="25">
        <f>H54</f>
        <v>25</v>
      </c>
    </row>
    <row r="55" spans="1:18" x14ac:dyDescent="0.25">
      <c r="A55" s="35"/>
      <c r="B55" s="35" t="s">
        <v>26</v>
      </c>
      <c r="C55" s="35" t="s">
        <v>2644</v>
      </c>
      <c r="D55" s="35" t="s">
        <v>2645</v>
      </c>
      <c r="E55" s="35" t="s">
        <v>2646</v>
      </c>
      <c r="F55" s="36">
        <v>3</v>
      </c>
      <c r="G55" s="36">
        <v>785</v>
      </c>
      <c r="H55" s="36">
        <v>25</v>
      </c>
      <c r="I55" s="36">
        <f t="shared" si="1"/>
        <v>760</v>
      </c>
      <c r="J55" s="35" t="s">
        <v>41</v>
      </c>
      <c r="K55" s="35" t="s">
        <v>31</v>
      </c>
      <c r="L55" s="35" t="s">
        <v>2511</v>
      </c>
      <c r="M55" s="35"/>
      <c r="N55" s="35"/>
      <c r="O55" s="35"/>
      <c r="P55" s="35"/>
      <c r="Q55" s="35">
        <v>1</v>
      </c>
    </row>
    <row r="56" spans="1:18" x14ac:dyDescent="0.25">
      <c r="A56" s="35" t="s">
        <v>66</v>
      </c>
      <c r="B56" s="35" t="s">
        <v>26</v>
      </c>
      <c r="C56" s="35" t="s">
        <v>2650</v>
      </c>
      <c r="D56" s="35"/>
      <c r="E56" s="35" t="s">
        <v>1529</v>
      </c>
      <c r="F56" s="35" t="s">
        <v>101</v>
      </c>
      <c r="G56" s="36">
        <v>990</v>
      </c>
      <c r="H56" s="36">
        <v>30</v>
      </c>
      <c r="I56" s="36">
        <f t="shared" si="1"/>
        <v>960</v>
      </c>
      <c r="J56" s="35" t="s">
        <v>41</v>
      </c>
      <c r="K56" s="35" t="s">
        <v>31</v>
      </c>
      <c r="L56" s="35" t="s">
        <v>2511</v>
      </c>
      <c r="M56" s="35"/>
      <c r="N56" s="35"/>
      <c r="O56" s="35"/>
      <c r="P56" s="35"/>
      <c r="Q56" s="35">
        <v>1</v>
      </c>
    </row>
    <row r="57" spans="1:18" s="30" customFormat="1" x14ac:dyDescent="0.25">
      <c r="A57" s="37"/>
      <c r="B57" s="37" t="s">
        <v>26</v>
      </c>
      <c r="C57" s="37" t="s">
        <v>2549</v>
      </c>
      <c r="D57" s="37" t="s">
        <v>2550</v>
      </c>
      <c r="E57" s="37" t="s">
        <v>2551</v>
      </c>
      <c r="F57" s="37" t="s">
        <v>377</v>
      </c>
      <c r="G57" s="43">
        <v>890</v>
      </c>
      <c r="H57" s="43">
        <v>0</v>
      </c>
      <c r="I57" s="43">
        <f t="shared" si="1"/>
        <v>890</v>
      </c>
      <c r="J57" s="37" t="s">
        <v>118</v>
      </c>
      <c r="K57" s="37" t="s">
        <v>31</v>
      </c>
      <c r="L57" s="37" t="s">
        <v>2511</v>
      </c>
      <c r="M57" s="37" t="s">
        <v>378</v>
      </c>
      <c r="N57" s="37" t="s">
        <v>316</v>
      </c>
      <c r="O57" s="37"/>
      <c r="P57" s="37" t="s">
        <v>317</v>
      </c>
      <c r="Q57" s="37">
        <v>1</v>
      </c>
    </row>
    <row r="58" spans="1:18" s="30" customFormat="1" x14ac:dyDescent="0.25">
      <c r="A58" s="37"/>
      <c r="B58" s="37" t="s">
        <v>26</v>
      </c>
      <c r="C58" s="37" t="s">
        <v>2581</v>
      </c>
      <c r="D58" s="37" t="s">
        <v>2582</v>
      </c>
      <c r="E58" s="37" t="s">
        <v>2583</v>
      </c>
      <c r="F58" s="37" t="s">
        <v>377</v>
      </c>
      <c r="G58" s="43">
        <v>750</v>
      </c>
      <c r="H58" s="43">
        <v>0</v>
      </c>
      <c r="I58" s="43">
        <f t="shared" si="1"/>
        <v>750</v>
      </c>
      <c r="J58" s="37" t="s">
        <v>118</v>
      </c>
      <c r="K58" s="37" t="s">
        <v>31</v>
      </c>
      <c r="L58" s="37" t="s">
        <v>2511</v>
      </c>
      <c r="M58" s="37" t="s">
        <v>378</v>
      </c>
      <c r="N58" s="37" t="s">
        <v>316</v>
      </c>
      <c r="O58" s="37"/>
      <c r="P58" s="37" t="s">
        <v>317</v>
      </c>
      <c r="Q58" s="37">
        <v>1</v>
      </c>
    </row>
    <row r="59" spans="1:18" s="30" customFormat="1" x14ac:dyDescent="0.25">
      <c r="A59" s="37"/>
      <c r="B59" s="37" t="s">
        <v>26</v>
      </c>
      <c r="C59" s="37" t="s">
        <v>2587</v>
      </c>
      <c r="D59" s="37" t="s">
        <v>2588</v>
      </c>
      <c r="E59" s="37" t="s">
        <v>2589</v>
      </c>
      <c r="F59" s="37" t="s">
        <v>377</v>
      </c>
      <c r="G59" s="43">
        <v>0</v>
      </c>
      <c r="H59" s="43">
        <v>0</v>
      </c>
      <c r="I59" s="43">
        <f t="shared" si="1"/>
        <v>0</v>
      </c>
      <c r="J59" s="37" t="s">
        <v>118</v>
      </c>
      <c r="K59" s="37" t="s">
        <v>31</v>
      </c>
      <c r="L59" s="37" t="s">
        <v>2511</v>
      </c>
      <c r="M59" s="37" t="s">
        <v>378</v>
      </c>
      <c r="N59" s="37" t="s">
        <v>316</v>
      </c>
      <c r="O59" s="37"/>
      <c r="P59" s="37" t="s">
        <v>317</v>
      </c>
      <c r="Q59" s="37">
        <v>1</v>
      </c>
    </row>
    <row r="60" spans="1:18" s="53" customFormat="1" x14ac:dyDescent="0.25">
      <c r="A60" s="54"/>
      <c r="B60" s="54" t="s">
        <v>26</v>
      </c>
      <c r="C60" s="54" t="s">
        <v>2499</v>
      </c>
      <c r="D60" s="54" t="s">
        <v>2500</v>
      </c>
      <c r="E60" s="54" t="s">
        <v>2501</v>
      </c>
      <c r="F60" s="55" t="s">
        <v>58</v>
      </c>
      <c r="G60" s="54">
        <v>1520</v>
      </c>
      <c r="H60" s="54">
        <v>0</v>
      </c>
      <c r="I60" s="54">
        <f t="shared" si="1"/>
        <v>1520</v>
      </c>
      <c r="J60" s="37" t="s">
        <v>118</v>
      </c>
      <c r="K60" s="54" t="s">
        <v>31</v>
      </c>
      <c r="L60" s="54" t="s">
        <v>2276</v>
      </c>
      <c r="M60" s="54" t="s">
        <v>94</v>
      </c>
      <c r="N60" s="54" t="s">
        <v>316</v>
      </c>
      <c r="O60" s="54" t="s">
        <v>316</v>
      </c>
      <c r="P60" s="54" t="s">
        <v>317</v>
      </c>
      <c r="Q60" s="54">
        <v>1</v>
      </c>
    </row>
    <row r="61" spans="1:18" s="30" customFormat="1" x14ac:dyDescent="0.25">
      <c r="A61" s="37"/>
      <c r="B61" s="37" t="s">
        <v>26</v>
      </c>
      <c r="C61" s="37" t="s">
        <v>2282</v>
      </c>
      <c r="D61" s="37" t="s">
        <v>2283</v>
      </c>
      <c r="E61" s="37" t="s">
        <v>2284</v>
      </c>
      <c r="F61" s="43">
        <v>12</v>
      </c>
      <c r="G61" s="43">
        <v>490</v>
      </c>
      <c r="H61" s="43">
        <v>30</v>
      </c>
      <c r="I61" s="43">
        <f t="shared" si="1"/>
        <v>460</v>
      </c>
      <c r="J61" s="37" t="s">
        <v>118</v>
      </c>
      <c r="K61" s="37" t="s">
        <v>31</v>
      </c>
      <c r="L61" s="37" t="s">
        <v>2276</v>
      </c>
      <c r="M61" s="37" t="s">
        <v>91</v>
      </c>
      <c r="N61" s="37" t="s">
        <v>316</v>
      </c>
      <c r="O61" s="37" t="s">
        <v>316</v>
      </c>
      <c r="P61" s="37" t="s">
        <v>317</v>
      </c>
      <c r="Q61" s="37">
        <v>1</v>
      </c>
    </row>
    <row r="62" spans="1:18" s="30" customFormat="1" x14ac:dyDescent="0.25">
      <c r="A62" s="37"/>
      <c r="B62" s="37" t="s">
        <v>26</v>
      </c>
      <c r="C62" s="37" t="s">
        <v>2417</v>
      </c>
      <c r="D62" s="37" t="s">
        <v>2418</v>
      </c>
      <c r="E62" s="37" t="s">
        <v>2419</v>
      </c>
      <c r="F62" s="43">
        <v>12</v>
      </c>
      <c r="G62" s="43">
        <v>1630</v>
      </c>
      <c r="H62" s="43">
        <v>30</v>
      </c>
      <c r="I62" s="43">
        <f t="shared" si="1"/>
        <v>1600</v>
      </c>
      <c r="J62" s="37" t="s">
        <v>118</v>
      </c>
      <c r="K62" s="37" t="s">
        <v>31</v>
      </c>
      <c r="L62" s="37" t="s">
        <v>2276</v>
      </c>
      <c r="M62" s="37" t="s">
        <v>91</v>
      </c>
      <c r="N62" s="37" t="s">
        <v>316</v>
      </c>
      <c r="O62" s="37" t="s">
        <v>316</v>
      </c>
      <c r="P62" s="37" t="s">
        <v>317</v>
      </c>
      <c r="Q62" s="37">
        <v>1</v>
      </c>
    </row>
    <row r="64" spans="1:18" x14ac:dyDescent="0.25">
      <c r="D64" s="26">
        <f>COUNTA(D3:D62)</f>
        <v>55</v>
      </c>
      <c r="G64" s="26">
        <f t="shared" ref="G64:Q64" si="2">SUBTOTAL(9,G3:G62)</f>
        <v>44495</v>
      </c>
      <c r="H64" s="26">
        <f t="shared" si="2"/>
        <v>1585</v>
      </c>
      <c r="I64" s="26">
        <f t="shared" si="2"/>
        <v>42910</v>
      </c>
      <c r="J64" s="26">
        <f t="shared" si="2"/>
        <v>0</v>
      </c>
      <c r="K64" s="26">
        <f t="shared" si="2"/>
        <v>0</v>
      </c>
      <c r="L64" s="26">
        <f t="shared" si="2"/>
        <v>0</v>
      </c>
      <c r="M64" s="26">
        <f t="shared" si="2"/>
        <v>0</v>
      </c>
      <c r="N64" s="26">
        <f t="shared" si="2"/>
        <v>0</v>
      </c>
      <c r="O64" s="26">
        <f t="shared" si="2"/>
        <v>0</v>
      </c>
      <c r="P64" s="26">
        <f t="shared" si="2"/>
        <v>0</v>
      </c>
      <c r="Q64" s="26">
        <f t="shared" si="2"/>
        <v>60</v>
      </c>
    </row>
    <row r="65" spans="1:16" x14ac:dyDescent="0.25">
      <c r="H65" s="24">
        <f>-12*17</f>
        <v>-204</v>
      </c>
      <c r="I65" s="24">
        <v>17</v>
      </c>
    </row>
    <row r="66" spans="1:16" x14ac:dyDescent="0.25">
      <c r="A66" s="26" t="s">
        <v>26</v>
      </c>
      <c r="C66" s="80" t="s">
        <v>78</v>
      </c>
      <c r="D66" s="80"/>
      <c r="E66" s="27" t="s">
        <v>79</v>
      </c>
      <c r="H66" s="24">
        <f>-4*25</f>
        <v>-100</v>
      </c>
      <c r="K66" s="28" t="s">
        <v>31</v>
      </c>
      <c r="L66" s="28" t="s">
        <v>80</v>
      </c>
      <c r="M66" s="28" t="s">
        <v>79</v>
      </c>
      <c r="O66" s="27" t="s">
        <v>81</v>
      </c>
    </row>
    <row r="67" spans="1:16" x14ac:dyDescent="0.25">
      <c r="A67" s="24" t="s">
        <v>2511</v>
      </c>
      <c r="B67" s="29" t="s">
        <v>82</v>
      </c>
      <c r="C67" s="81">
        <f>SUMIFS(I$3:I$62,B$3:B$62,A$66,L$3:L$62,A$67)</f>
        <v>39330</v>
      </c>
      <c r="D67" s="81"/>
      <c r="E67" s="29">
        <f>SUMIFS(Q$3:Q$62,B$3:B$62,A$66,L$3:L$62,A$67)</f>
        <v>57</v>
      </c>
      <c r="F67" s="24" t="s">
        <v>83</v>
      </c>
      <c r="H67" s="24">
        <f>-5*30</f>
        <v>-150</v>
      </c>
      <c r="K67" s="24" t="s">
        <v>84</v>
      </c>
      <c r="L67" s="24">
        <f>SUMIFS(G$3:G$62,J$3:J$62,K$66)</f>
        <v>11460</v>
      </c>
      <c r="M67" s="24">
        <f>SUMIFS(Q$3:Q$62,J$3:J$62,K$66)-INT(COUNTIFS(J$3:J$62,K$66,M$3:M$62,"*gộp*")/2)</f>
        <v>14</v>
      </c>
      <c r="O67" s="24" t="s">
        <v>31</v>
      </c>
      <c r="P67" s="24">
        <f>L72</f>
        <v>9043</v>
      </c>
    </row>
    <row r="68" spans="1:16" x14ac:dyDescent="0.25">
      <c r="B68" s="30" t="s">
        <v>86</v>
      </c>
      <c r="C68" s="82">
        <v>0</v>
      </c>
      <c r="D68" s="82"/>
      <c r="K68" s="24" t="s">
        <v>87</v>
      </c>
      <c r="L68" s="24">
        <f>-SUMIFS(H$3:H$62,J$3:J$62,K$66)+M68*5</f>
        <v>-330</v>
      </c>
      <c r="M68" s="24">
        <f>SUMIFS(Q$3:Q$62,J$3:J$62,K$66)-INT(COUNTIFS(J$3:J$62,K$66,M$3:M$62,"*gộp*")/2)</f>
        <v>14</v>
      </c>
      <c r="O68" s="24" t="s">
        <v>41</v>
      </c>
      <c r="P68" s="24">
        <f>L80</f>
        <v>14690</v>
      </c>
    </row>
    <row r="69" spans="1:16" x14ac:dyDescent="0.25">
      <c r="B69" s="30" t="s">
        <v>88</v>
      </c>
      <c r="C69" s="82">
        <f>-SUMIFS(I$3:I$62,B$3:B$62,A$66,P$3:P$62,"xx",N$3:N$62,"x")</f>
        <v>-5220</v>
      </c>
      <c r="D69" s="82"/>
      <c r="E69" s="30">
        <f>SUMIFS(Q$3:Q$62,B$3:B$62,A$66,P$3:P$62,"xx",N$3:N$62,"x")</f>
        <v>6</v>
      </c>
      <c r="K69" s="24" t="s">
        <v>89</v>
      </c>
      <c r="L69" s="24">
        <f>-M69*2</f>
        <v>-102</v>
      </c>
      <c r="M69" s="24">
        <f>COUNTIFS(K$3:K$62,K$66,L$3:L$62,A$67)-(COUNTIFS(K$3:K$62,K$66,M$3:M$62,"*gộp*")/2)-COUNTIFS(K$3:K$62,K$66,M$3:M$62,"*đơn trả*")-COUNTIFS(K$3:K$62,K$66,M$3:M$62,"*hàng tỉnh*")</f>
        <v>51</v>
      </c>
      <c r="O69" s="24" t="s">
        <v>2652</v>
      </c>
      <c r="P69" s="24">
        <f>L88</f>
        <v>10574</v>
      </c>
    </row>
    <row r="70" spans="1:16" x14ac:dyDescent="0.25">
      <c r="B70" s="27" t="s">
        <v>90</v>
      </c>
      <c r="C70" s="80">
        <f>SUBTOTAL(9,C67:C69)</f>
        <v>34110</v>
      </c>
      <c r="D70" s="80"/>
      <c r="E70" s="24">
        <f>E67</f>
        <v>57</v>
      </c>
      <c r="K70" s="31" t="s">
        <v>91</v>
      </c>
      <c r="L70" s="48">
        <v>-465</v>
      </c>
      <c r="M70" s="48" t="s">
        <v>590</v>
      </c>
      <c r="O70" s="24" t="s">
        <v>92</v>
      </c>
      <c r="P70" s="24">
        <f>-C74</f>
        <v>-34110</v>
      </c>
    </row>
    <row r="71" spans="1:16" x14ac:dyDescent="0.25">
      <c r="B71" s="30" t="s">
        <v>93</v>
      </c>
      <c r="C71" s="78"/>
      <c r="D71" s="78"/>
      <c r="K71" s="30" t="s">
        <v>94</v>
      </c>
      <c r="L71" s="48">
        <v>-1520</v>
      </c>
      <c r="M71" s="48" t="s">
        <v>590</v>
      </c>
      <c r="O71" s="27" t="s">
        <v>95</v>
      </c>
      <c r="P71" s="27">
        <f>SUBTOTAL(9,P67:P70)</f>
        <v>197</v>
      </c>
    </row>
    <row r="72" spans="1:16" x14ac:dyDescent="0.25">
      <c r="B72" s="32" t="s">
        <v>96</v>
      </c>
      <c r="C72" s="78"/>
      <c r="D72" s="78"/>
      <c r="L72" s="33">
        <f>SUBTOTAL(9,L67:L71)</f>
        <v>9043</v>
      </c>
      <c r="M72" s="33">
        <f>M67</f>
        <v>14</v>
      </c>
    </row>
    <row r="74" spans="1:16" x14ac:dyDescent="0.25">
      <c r="B74" s="26" t="s">
        <v>97</v>
      </c>
      <c r="C74" s="79">
        <f>C70+C71+C72</f>
        <v>34110</v>
      </c>
      <c r="D74" s="79"/>
      <c r="E74" s="26" t="s">
        <v>98</v>
      </c>
      <c r="K74" s="28" t="s">
        <v>41</v>
      </c>
      <c r="L74" s="28" t="s">
        <v>80</v>
      </c>
      <c r="M74" s="28" t="s">
        <v>79</v>
      </c>
    </row>
    <row r="75" spans="1:16" x14ac:dyDescent="0.25">
      <c r="K75" s="24" t="s">
        <v>84</v>
      </c>
      <c r="L75" s="24">
        <f>SUMIFS(G$3:G$62,J$3:J$62,K$74)</f>
        <v>15110</v>
      </c>
      <c r="M75" s="24">
        <f>SUMIFS(Q$3:Q$62,J$3:J$62,K$74)-INT(COUNTIFS(J$3:J$62,K$74,M$3:M$62,"*gộp*")/2)</f>
        <v>18</v>
      </c>
    </row>
    <row r="76" spans="1:16" x14ac:dyDescent="0.25">
      <c r="K76" s="24" t="s">
        <v>87</v>
      </c>
      <c r="L76" s="24">
        <f>-SUMIFS(H$3:H$62,J$3:J$62,K$74)+M76*5</f>
        <v>-420</v>
      </c>
      <c r="M76" s="24">
        <f>SUMIFS(Q$3:Q$62,J$3:J$62,K$74)-INT(COUNTIFS(J$3:J$62,K$74,M$3:M$62,"*gộp*")/2)</f>
        <v>18</v>
      </c>
    </row>
    <row r="77" spans="1:16" x14ac:dyDescent="0.25">
      <c r="K77" s="24" t="s">
        <v>89</v>
      </c>
      <c r="L77" s="24">
        <f>-M77*2</f>
        <v>0</v>
      </c>
      <c r="M77" s="24">
        <f>COUNTIFS(K$3:K$62,K$74,L$3:L$62,A$67)-(COUNTIFS(K$3:K$62,K$74,M$3:M$62,"*gộp*")/2)-COUNTIFS(K$3:K$62,K$74,M$3:M$62,"*đơn trả*")-COUNTIFS(K$3:K$62,K$74,M$3:M$62,"*hàng tỉnh*")</f>
        <v>0</v>
      </c>
    </row>
    <row r="78" spans="1:16" x14ac:dyDescent="0.25">
      <c r="K78" s="31" t="s">
        <v>91</v>
      </c>
    </row>
    <row r="79" spans="1:16" x14ac:dyDescent="0.25">
      <c r="K79" s="30" t="s">
        <v>94</v>
      </c>
    </row>
    <row r="80" spans="1:16" x14ac:dyDescent="0.25">
      <c r="L80" s="33">
        <f>SUBTOTAL(9,L75:L79)</f>
        <v>14690</v>
      </c>
      <c r="M80" s="33">
        <f>M75</f>
        <v>18</v>
      </c>
    </row>
    <row r="82" spans="11:13" x14ac:dyDescent="0.25">
      <c r="K82" s="28" t="s">
        <v>2518</v>
      </c>
      <c r="L82" s="28" t="s">
        <v>80</v>
      </c>
      <c r="M82" s="28" t="s">
        <v>79</v>
      </c>
    </row>
    <row r="83" spans="11:13" x14ac:dyDescent="0.25">
      <c r="K83" s="24" t="s">
        <v>84</v>
      </c>
      <c r="L83" s="24">
        <f>SUMIFS(G$3:G$62,J$3:J$62,K$82)</f>
        <v>12645</v>
      </c>
      <c r="M83" s="24">
        <f>SUMIFS(Q$3:Q$62,J$3:J$62,K$82)-INT(COUNTIFS(J$3:J$62,K$82,M$3:M$62,"*gộp*")/2)</f>
        <v>21</v>
      </c>
    </row>
    <row r="84" spans="11:13" x14ac:dyDescent="0.25">
      <c r="K84" s="24" t="s">
        <v>87</v>
      </c>
      <c r="L84" s="24">
        <f>SUM(H65:H67)</f>
        <v>-454</v>
      </c>
      <c r="M84" s="24">
        <f>SUMIFS(Q$3:Q$62,J$3:J$62,K$82)-INT(COUNTIFS(J$3:J$62,K$82,M$3:M$62,"*gộp*")/2)</f>
        <v>21</v>
      </c>
    </row>
    <row r="85" spans="11:13" x14ac:dyDescent="0.25">
      <c r="K85" s="24" t="s">
        <v>89</v>
      </c>
      <c r="L85" s="24">
        <f>-M85*2</f>
        <v>0</v>
      </c>
      <c r="M85" s="24">
        <f>COUNTIFS(K$3:K$62,K$82,L$3:L$62,A$67)-(COUNTIFS(K$3:K$62,K$82,M$3:M$62,"*gộp*")/2)-COUNTIFS(K$3:K$62,K$82,M$3:M$62,"*đơn trả*")-COUNTIFS(K$3:K$62,K$82,M$3:M$62,"*hàng tỉnh*")</f>
        <v>0</v>
      </c>
    </row>
    <row r="86" spans="11:13" x14ac:dyDescent="0.25">
      <c r="K86" s="31" t="s">
        <v>91</v>
      </c>
      <c r="L86" s="48">
        <v>-1617</v>
      </c>
      <c r="M86" s="48" t="s">
        <v>590</v>
      </c>
    </row>
    <row r="87" spans="11:13" x14ac:dyDescent="0.25">
      <c r="K87" s="30" t="s">
        <v>94</v>
      </c>
    </row>
    <row r="88" spans="11:13" x14ac:dyDescent="0.25">
      <c r="L88" s="33">
        <f>SUBTOTAL(9,L83:L87)</f>
        <v>10574</v>
      </c>
      <c r="M88" s="33">
        <f>M83</f>
        <v>21</v>
      </c>
    </row>
  </sheetData>
  <autoFilter ref="A2:P62" xr:uid="{00000000-0009-0000-0000-000000000000}">
    <sortState xmlns:xlrd2="http://schemas.microsoft.com/office/spreadsheetml/2017/richdata2" ref="A3:P62">
      <sortCondition ref="J2:J62"/>
    </sortState>
  </autoFilter>
  <mergeCells count="8">
    <mergeCell ref="C72:D72"/>
    <mergeCell ref="C74:D74"/>
    <mergeCell ref="C66:D66"/>
    <mergeCell ref="C67:D67"/>
    <mergeCell ref="C68:D68"/>
    <mergeCell ref="C69:D69"/>
    <mergeCell ref="C70:D70"/>
    <mergeCell ref="C71:D71"/>
  </mergeCells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C631-5165-428D-8D44-C94857EE749A}">
  <dimension ref="A1:R86"/>
  <sheetViews>
    <sheetView topLeftCell="A55" zoomScale="90" zoomScaleNormal="90" workbookViewId="0">
      <selection activeCell="M84" sqref="M84"/>
    </sheetView>
  </sheetViews>
  <sheetFormatPr defaultRowHeight="15" x14ac:dyDescent="0.25"/>
  <cols>
    <col min="1" max="1" width="12.7109375" style="24" customWidth="1"/>
    <col min="2" max="2" width="9.5703125" style="24" customWidth="1"/>
    <col min="3" max="3" width="47" style="24" customWidth="1"/>
    <col min="4" max="4" width="9.85546875" style="24" customWidth="1"/>
    <col min="5" max="5" width="78.42578125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2.5703125" style="24" bestFit="1" customWidth="1"/>
    <col min="13" max="13" width="16.28515625" style="24" bestFit="1" customWidth="1"/>
    <col min="14" max="14" width="9.7109375" style="24" customWidth="1"/>
    <col min="15" max="15" width="10.42578125" style="24" customWidth="1"/>
    <col min="16" max="16" width="7.28515625" style="24" bestFit="1" customWidth="1"/>
    <col min="17" max="16384" width="9.140625" style="24"/>
  </cols>
  <sheetData>
    <row r="1" spans="1:17" customFormat="1" x14ac:dyDescent="0.25">
      <c r="B1" s="4" t="s">
        <v>1306</v>
      </c>
      <c r="C1" s="4" t="s">
        <v>2735</v>
      </c>
      <c r="F1" s="65"/>
    </row>
    <row r="2" spans="1:17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7" x14ac:dyDescent="0.25">
      <c r="A3" s="35"/>
      <c r="B3" s="35" t="s">
        <v>26</v>
      </c>
      <c r="C3" s="35" t="s">
        <v>2667</v>
      </c>
      <c r="D3" s="35" t="s">
        <v>2668</v>
      </c>
      <c r="E3" s="35" t="s">
        <v>2669</v>
      </c>
      <c r="F3" s="35" t="s">
        <v>117</v>
      </c>
      <c r="G3" s="36">
        <v>795</v>
      </c>
      <c r="H3" s="36">
        <v>35</v>
      </c>
      <c r="I3" s="36">
        <f t="shared" ref="I3:I38" si="0">G3-H3</f>
        <v>760</v>
      </c>
      <c r="J3" s="35" t="s">
        <v>2670</v>
      </c>
      <c r="K3" s="35" t="s">
        <v>31</v>
      </c>
      <c r="L3" s="35" t="s">
        <v>2657</v>
      </c>
      <c r="M3" s="35"/>
      <c r="N3" s="35"/>
      <c r="O3" s="35"/>
      <c r="P3" s="35"/>
      <c r="Q3" s="35">
        <v>1</v>
      </c>
    </row>
    <row r="4" spans="1:17" x14ac:dyDescent="0.25">
      <c r="A4" s="35"/>
      <c r="B4" s="35" t="s">
        <v>26</v>
      </c>
      <c r="C4" s="35" t="s">
        <v>2671</v>
      </c>
      <c r="D4" s="35" t="s">
        <v>2672</v>
      </c>
      <c r="E4" s="35" t="s">
        <v>2673</v>
      </c>
      <c r="F4" s="36">
        <v>7</v>
      </c>
      <c r="G4" s="36">
        <v>520</v>
      </c>
      <c r="H4" s="36">
        <v>30</v>
      </c>
      <c r="I4" s="36">
        <f t="shared" si="0"/>
        <v>490</v>
      </c>
      <c r="J4" s="35" t="s">
        <v>2670</v>
      </c>
      <c r="K4" s="35" t="s">
        <v>31</v>
      </c>
      <c r="L4" s="35" t="s">
        <v>2657</v>
      </c>
      <c r="M4" s="35"/>
      <c r="N4" s="35"/>
      <c r="O4" s="35"/>
      <c r="P4" s="35"/>
      <c r="Q4" s="35">
        <v>1</v>
      </c>
    </row>
    <row r="5" spans="1:17" x14ac:dyDescent="0.25">
      <c r="A5" s="35"/>
      <c r="B5" s="35" t="s">
        <v>26</v>
      </c>
      <c r="C5" s="35" t="s">
        <v>2674</v>
      </c>
      <c r="D5" s="35" t="s">
        <v>2675</v>
      </c>
      <c r="E5" s="35" t="s">
        <v>2676</v>
      </c>
      <c r="F5" s="35" t="s">
        <v>77</v>
      </c>
      <c r="G5" s="36">
        <v>790</v>
      </c>
      <c r="H5" s="36">
        <v>30</v>
      </c>
      <c r="I5" s="36">
        <f t="shared" si="0"/>
        <v>760</v>
      </c>
      <c r="J5" s="35" t="s">
        <v>2670</v>
      </c>
      <c r="K5" s="35" t="s">
        <v>31</v>
      </c>
      <c r="L5" s="35" t="s">
        <v>2657</v>
      </c>
      <c r="M5" s="35"/>
      <c r="N5" s="35"/>
      <c r="O5" s="35"/>
      <c r="P5" s="35"/>
      <c r="Q5" s="35">
        <v>1</v>
      </c>
    </row>
    <row r="6" spans="1:17" x14ac:dyDescent="0.25">
      <c r="A6" s="35"/>
      <c r="B6" s="35" t="s">
        <v>26</v>
      </c>
      <c r="C6" s="35" t="s">
        <v>1834</v>
      </c>
      <c r="D6" s="35" t="s">
        <v>2680</v>
      </c>
      <c r="E6" s="35" t="s">
        <v>1836</v>
      </c>
      <c r="F6" s="35" t="s">
        <v>77</v>
      </c>
      <c r="G6" s="36">
        <v>320</v>
      </c>
      <c r="H6" s="36">
        <v>30</v>
      </c>
      <c r="I6" s="36">
        <f t="shared" si="0"/>
        <v>290</v>
      </c>
      <c r="J6" s="35" t="s">
        <v>2670</v>
      </c>
      <c r="K6" s="35" t="s">
        <v>31</v>
      </c>
      <c r="L6" s="35" t="s">
        <v>2657</v>
      </c>
      <c r="M6" s="35"/>
      <c r="N6" s="35"/>
      <c r="O6" s="35"/>
      <c r="P6" s="35"/>
      <c r="Q6" s="35">
        <v>1</v>
      </c>
    </row>
    <row r="7" spans="1:17" x14ac:dyDescent="0.25">
      <c r="A7" s="35"/>
      <c r="B7" s="35" t="s">
        <v>26</v>
      </c>
      <c r="C7" s="35" t="s">
        <v>2684</v>
      </c>
      <c r="D7" s="35" t="s">
        <v>2685</v>
      </c>
      <c r="E7" s="35" t="s">
        <v>2686</v>
      </c>
      <c r="F7" s="35" t="s">
        <v>45</v>
      </c>
      <c r="G7" s="36">
        <v>1505</v>
      </c>
      <c r="H7" s="36">
        <v>25</v>
      </c>
      <c r="I7" s="36">
        <f t="shared" si="0"/>
        <v>1480</v>
      </c>
      <c r="J7" s="35" t="s">
        <v>2670</v>
      </c>
      <c r="K7" s="35" t="s">
        <v>31</v>
      </c>
      <c r="L7" s="35" t="s">
        <v>2657</v>
      </c>
      <c r="M7" s="35"/>
      <c r="N7" s="35"/>
      <c r="O7" s="35"/>
      <c r="P7" s="35"/>
      <c r="Q7" s="35">
        <v>1</v>
      </c>
    </row>
    <row r="8" spans="1:17" x14ac:dyDescent="0.25">
      <c r="A8" s="35"/>
      <c r="B8" s="35" t="s">
        <v>26</v>
      </c>
      <c r="C8" s="35" t="s">
        <v>2687</v>
      </c>
      <c r="D8" s="35" t="s">
        <v>2688</v>
      </c>
      <c r="E8" s="35" t="s">
        <v>2689</v>
      </c>
      <c r="F8" s="36">
        <v>8</v>
      </c>
      <c r="G8" s="36">
        <v>520</v>
      </c>
      <c r="H8" s="36">
        <v>30</v>
      </c>
      <c r="I8" s="36">
        <f t="shared" si="0"/>
        <v>490</v>
      </c>
      <c r="J8" s="35" t="s">
        <v>2670</v>
      </c>
      <c r="K8" s="35" t="s">
        <v>31</v>
      </c>
      <c r="L8" s="35" t="s">
        <v>2657</v>
      </c>
      <c r="M8" s="35"/>
      <c r="N8" s="35"/>
      <c r="O8" s="35"/>
      <c r="P8" s="35"/>
      <c r="Q8" s="35">
        <v>1</v>
      </c>
    </row>
    <row r="9" spans="1:17" x14ac:dyDescent="0.25">
      <c r="A9" s="35"/>
      <c r="B9" s="35" t="s">
        <v>26</v>
      </c>
      <c r="C9" s="35" t="s">
        <v>2699</v>
      </c>
      <c r="D9" s="35" t="s">
        <v>2700</v>
      </c>
      <c r="E9" s="35" t="s">
        <v>2701</v>
      </c>
      <c r="F9" s="36">
        <v>8</v>
      </c>
      <c r="G9" s="36">
        <v>1780</v>
      </c>
      <c r="H9" s="36">
        <v>30</v>
      </c>
      <c r="I9" s="36">
        <f t="shared" si="0"/>
        <v>1750</v>
      </c>
      <c r="J9" s="35" t="s">
        <v>2670</v>
      </c>
      <c r="K9" s="35" t="s">
        <v>31</v>
      </c>
      <c r="L9" s="35" t="s">
        <v>2657</v>
      </c>
      <c r="M9" s="35"/>
      <c r="N9" s="35"/>
      <c r="O9" s="35"/>
      <c r="P9" s="35"/>
      <c r="Q9" s="35">
        <v>1</v>
      </c>
    </row>
    <row r="10" spans="1:17" x14ac:dyDescent="0.25">
      <c r="A10" s="35"/>
      <c r="B10" s="35" t="s">
        <v>26</v>
      </c>
      <c r="C10" s="35" t="s">
        <v>2702</v>
      </c>
      <c r="D10" s="35" t="s">
        <v>2703</v>
      </c>
      <c r="E10" s="35" t="s">
        <v>2704</v>
      </c>
      <c r="F10" s="35" t="s">
        <v>77</v>
      </c>
      <c r="G10" s="36">
        <v>490</v>
      </c>
      <c r="H10" s="36">
        <v>30</v>
      </c>
      <c r="I10" s="36">
        <f t="shared" si="0"/>
        <v>460</v>
      </c>
      <c r="J10" s="35" t="s">
        <v>2670</v>
      </c>
      <c r="K10" s="35" t="s">
        <v>31</v>
      </c>
      <c r="L10" s="35" t="s">
        <v>2657</v>
      </c>
      <c r="M10" s="35"/>
      <c r="N10" s="35"/>
      <c r="O10" s="35"/>
      <c r="P10" s="35"/>
      <c r="Q10" s="35">
        <v>1</v>
      </c>
    </row>
    <row r="11" spans="1:17" x14ac:dyDescent="0.25">
      <c r="A11" s="35"/>
      <c r="B11" s="35" t="s">
        <v>26</v>
      </c>
      <c r="C11" s="35" t="s">
        <v>2705</v>
      </c>
      <c r="D11" s="35" t="s">
        <v>2706</v>
      </c>
      <c r="E11" s="35" t="s">
        <v>2707</v>
      </c>
      <c r="F11" s="36">
        <v>8</v>
      </c>
      <c r="G11" s="36">
        <v>0</v>
      </c>
      <c r="H11" s="36">
        <v>30</v>
      </c>
      <c r="I11" s="36">
        <f t="shared" si="0"/>
        <v>-30</v>
      </c>
      <c r="J11" s="35" t="s">
        <v>2670</v>
      </c>
      <c r="K11" s="35" t="s">
        <v>31</v>
      </c>
      <c r="L11" s="35" t="s">
        <v>2657</v>
      </c>
      <c r="M11" s="35"/>
      <c r="N11" s="35"/>
      <c r="O11" s="35"/>
      <c r="P11" s="35"/>
      <c r="Q11" s="35">
        <v>1</v>
      </c>
    </row>
    <row r="12" spans="1:17" x14ac:dyDescent="0.25">
      <c r="A12" s="35"/>
      <c r="B12" s="35" t="s">
        <v>26</v>
      </c>
      <c r="C12" s="35" t="s">
        <v>2720</v>
      </c>
      <c r="D12" s="35" t="s">
        <v>2721</v>
      </c>
      <c r="E12" s="35" t="s">
        <v>2722</v>
      </c>
      <c r="F12" s="36">
        <v>7</v>
      </c>
      <c r="G12" s="36">
        <v>0</v>
      </c>
      <c r="H12" s="36">
        <v>30</v>
      </c>
      <c r="I12" s="36">
        <f t="shared" si="0"/>
        <v>-30</v>
      </c>
      <c r="J12" s="35" t="s">
        <v>2670</v>
      </c>
      <c r="K12" s="35" t="s">
        <v>31</v>
      </c>
      <c r="L12" s="35" t="s">
        <v>2657</v>
      </c>
      <c r="M12" s="35"/>
      <c r="N12" s="35"/>
      <c r="O12" s="35"/>
      <c r="P12" s="35"/>
      <c r="Q12" s="35">
        <v>1</v>
      </c>
    </row>
    <row r="13" spans="1:17" x14ac:dyDescent="0.25">
      <c r="A13" s="35"/>
      <c r="B13" s="35" t="s">
        <v>26</v>
      </c>
      <c r="C13" s="35" t="s">
        <v>2206</v>
      </c>
      <c r="D13" s="35" t="s">
        <v>2726</v>
      </c>
      <c r="E13" s="35" t="s">
        <v>2727</v>
      </c>
      <c r="F13" s="36">
        <v>6</v>
      </c>
      <c r="G13" s="36">
        <v>845</v>
      </c>
      <c r="H13" s="36">
        <v>25</v>
      </c>
      <c r="I13" s="36">
        <f t="shared" si="0"/>
        <v>820</v>
      </c>
      <c r="J13" s="35" t="s">
        <v>2670</v>
      </c>
      <c r="K13" s="35" t="s">
        <v>31</v>
      </c>
      <c r="L13" s="35" t="s">
        <v>2657</v>
      </c>
      <c r="M13" s="35"/>
      <c r="N13" s="35"/>
      <c r="O13" s="35"/>
      <c r="P13" s="35"/>
      <c r="Q13" s="35">
        <v>1</v>
      </c>
    </row>
    <row r="14" spans="1:17" x14ac:dyDescent="0.25">
      <c r="A14" s="35" t="s">
        <v>66</v>
      </c>
      <c r="B14" s="35" t="s">
        <v>26</v>
      </c>
      <c r="C14" s="35" t="s">
        <v>71</v>
      </c>
      <c r="D14" s="35"/>
      <c r="E14" s="35" t="s">
        <v>72</v>
      </c>
      <c r="F14" s="35" t="s">
        <v>58</v>
      </c>
      <c r="G14" s="36">
        <v>0</v>
      </c>
      <c r="H14" s="36">
        <v>25</v>
      </c>
      <c r="I14" s="36">
        <f t="shared" si="0"/>
        <v>-25</v>
      </c>
      <c r="J14" s="35" t="s">
        <v>31</v>
      </c>
      <c r="K14" s="35" t="s">
        <v>31</v>
      </c>
      <c r="L14" s="35" t="s">
        <v>2657</v>
      </c>
      <c r="M14" s="35"/>
      <c r="N14" s="35"/>
      <c r="O14" s="35"/>
      <c r="P14" s="35"/>
      <c r="Q14" s="35">
        <v>1</v>
      </c>
    </row>
    <row r="15" spans="1:17" x14ac:dyDescent="0.25">
      <c r="A15" s="35" t="s">
        <v>66</v>
      </c>
      <c r="B15" s="35" t="s">
        <v>26</v>
      </c>
      <c r="C15" s="35" t="s">
        <v>2658</v>
      </c>
      <c r="D15" s="35"/>
      <c r="E15" s="35" t="s">
        <v>2659</v>
      </c>
      <c r="F15" s="35" t="s">
        <v>101</v>
      </c>
      <c r="G15" s="36">
        <v>30</v>
      </c>
      <c r="H15" s="36">
        <v>30</v>
      </c>
      <c r="I15" s="36">
        <f t="shared" si="0"/>
        <v>0</v>
      </c>
      <c r="J15" s="35" t="s">
        <v>31</v>
      </c>
      <c r="K15" s="35" t="s">
        <v>31</v>
      </c>
      <c r="L15" s="35" t="s">
        <v>2657</v>
      </c>
      <c r="M15" s="35"/>
      <c r="N15" s="35"/>
      <c r="O15" s="35"/>
      <c r="P15" s="35"/>
      <c r="Q15" s="35">
        <v>1</v>
      </c>
    </row>
    <row r="16" spans="1:17" x14ac:dyDescent="0.25">
      <c r="A16" s="35" t="s">
        <v>66</v>
      </c>
      <c r="B16" s="35" t="s">
        <v>26</v>
      </c>
      <c r="C16" s="35" t="s">
        <v>2660</v>
      </c>
      <c r="D16" s="35"/>
      <c r="E16" s="35" t="s">
        <v>2661</v>
      </c>
      <c r="F16" s="36">
        <v>12</v>
      </c>
      <c r="G16" s="36">
        <v>0</v>
      </c>
      <c r="H16" s="36">
        <v>60</v>
      </c>
      <c r="I16" s="36">
        <f t="shared" si="0"/>
        <v>-60</v>
      </c>
      <c r="J16" s="35" t="s">
        <v>31</v>
      </c>
      <c r="K16" s="35" t="s">
        <v>31</v>
      </c>
      <c r="L16" s="35" t="s">
        <v>2657</v>
      </c>
      <c r="M16" s="35"/>
      <c r="N16" s="35"/>
      <c r="O16" s="35"/>
      <c r="P16" s="35"/>
      <c r="Q16" s="35">
        <v>1</v>
      </c>
    </row>
    <row r="17" spans="1:18" x14ac:dyDescent="0.25">
      <c r="A17" s="35" t="s">
        <v>66</v>
      </c>
      <c r="B17" s="35" t="s">
        <v>26</v>
      </c>
      <c r="C17" s="35" t="s">
        <v>1299</v>
      </c>
      <c r="D17" s="35"/>
      <c r="E17" s="35" t="s">
        <v>1300</v>
      </c>
      <c r="F17" s="35" t="s">
        <v>36</v>
      </c>
      <c r="G17" s="36">
        <v>0</v>
      </c>
      <c r="H17" s="36">
        <v>40</v>
      </c>
      <c r="I17" s="36">
        <f t="shared" si="0"/>
        <v>-40</v>
      </c>
      <c r="J17" s="35" t="s">
        <v>31</v>
      </c>
      <c r="K17" s="35" t="s">
        <v>31</v>
      </c>
      <c r="L17" s="35" t="s">
        <v>2657</v>
      </c>
      <c r="M17" s="35"/>
      <c r="N17" s="35"/>
      <c r="O17" s="35"/>
      <c r="P17" s="35"/>
      <c r="Q17" s="35">
        <v>1</v>
      </c>
    </row>
    <row r="18" spans="1:18" x14ac:dyDescent="0.25">
      <c r="A18" s="35" t="s">
        <v>66</v>
      </c>
      <c r="B18" s="35" t="s">
        <v>26</v>
      </c>
      <c r="C18" s="35" t="s">
        <v>1053</v>
      </c>
      <c r="D18" s="35"/>
      <c r="E18" s="35" t="s">
        <v>1054</v>
      </c>
      <c r="F18" s="35" t="s">
        <v>36</v>
      </c>
      <c r="G18" s="36">
        <v>920</v>
      </c>
      <c r="H18" s="36">
        <v>30</v>
      </c>
      <c r="I18" s="36">
        <f t="shared" si="0"/>
        <v>890</v>
      </c>
      <c r="J18" s="35" t="s">
        <v>31</v>
      </c>
      <c r="K18" s="35" t="s">
        <v>31</v>
      </c>
      <c r="L18" s="35" t="s">
        <v>2657</v>
      </c>
      <c r="M18" s="35"/>
      <c r="N18" s="35"/>
      <c r="O18" s="35"/>
      <c r="P18" s="35"/>
      <c r="Q18" s="35">
        <v>1</v>
      </c>
    </row>
    <row r="19" spans="1:18" x14ac:dyDescent="0.25">
      <c r="A19" s="35" t="s">
        <v>66</v>
      </c>
      <c r="B19" s="35" t="s">
        <v>26</v>
      </c>
      <c r="C19" s="35" t="s">
        <v>2151</v>
      </c>
      <c r="D19" s="35"/>
      <c r="E19" s="35" t="s">
        <v>2152</v>
      </c>
      <c r="F19" s="36">
        <v>9</v>
      </c>
      <c r="G19" s="36">
        <v>1345</v>
      </c>
      <c r="H19" s="36">
        <v>35</v>
      </c>
      <c r="I19" s="36">
        <f t="shared" si="0"/>
        <v>1310</v>
      </c>
      <c r="J19" s="35" t="s">
        <v>31</v>
      </c>
      <c r="K19" s="35" t="s">
        <v>31</v>
      </c>
      <c r="L19" s="35" t="s">
        <v>2657</v>
      </c>
      <c r="M19" s="35"/>
      <c r="N19" s="35"/>
      <c r="O19" s="35"/>
      <c r="P19" s="35"/>
      <c r="Q19" s="35">
        <v>1</v>
      </c>
    </row>
    <row r="20" spans="1:18" x14ac:dyDescent="0.25">
      <c r="A20" s="35"/>
      <c r="B20" s="35" t="s">
        <v>26</v>
      </c>
      <c r="C20" s="35" t="s">
        <v>2677</v>
      </c>
      <c r="D20" s="35" t="s">
        <v>2678</v>
      </c>
      <c r="E20" s="35" t="s">
        <v>2679</v>
      </c>
      <c r="F20" s="36">
        <v>12</v>
      </c>
      <c r="G20" s="36">
        <v>800</v>
      </c>
      <c r="H20" s="36">
        <v>30</v>
      </c>
      <c r="I20" s="36">
        <f t="shared" si="0"/>
        <v>770</v>
      </c>
      <c r="J20" s="35" t="s">
        <v>31</v>
      </c>
      <c r="K20" s="35" t="s">
        <v>31</v>
      </c>
      <c r="L20" s="35" t="s">
        <v>2657</v>
      </c>
      <c r="M20" s="35"/>
      <c r="N20" s="35"/>
      <c r="O20" s="35"/>
      <c r="P20" s="35"/>
      <c r="Q20" s="35">
        <v>1</v>
      </c>
    </row>
    <row r="21" spans="1:18" x14ac:dyDescent="0.25">
      <c r="A21" s="35"/>
      <c r="B21" s="35" t="s">
        <v>26</v>
      </c>
      <c r="C21" s="35" t="s">
        <v>2681</v>
      </c>
      <c r="D21" s="35" t="s">
        <v>2682</v>
      </c>
      <c r="E21" s="35" t="s">
        <v>2683</v>
      </c>
      <c r="F21" s="36">
        <v>12</v>
      </c>
      <c r="G21" s="36">
        <v>1970</v>
      </c>
      <c r="H21" s="36">
        <v>30</v>
      </c>
      <c r="I21" s="36">
        <f t="shared" si="0"/>
        <v>1940</v>
      </c>
      <c r="J21" s="35" t="s">
        <v>31</v>
      </c>
      <c r="K21" s="35" t="s">
        <v>31</v>
      </c>
      <c r="L21" s="35" t="s">
        <v>2657</v>
      </c>
      <c r="M21" s="35"/>
      <c r="N21" s="35"/>
      <c r="O21" s="35"/>
      <c r="P21" s="35"/>
      <c r="Q21" s="35">
        <v>1</v>
      </c>
    </row>
    <row r="22" spans="1:18" x14ac:dyDescent="0.25">
      <c r="A22" s="35"/>
      <c r="B22" s="35" t="s">
        <v>26</v>
      </c>
      <c r="C22" s="35" t="s">
        <v>2696</v>
      </c>
      <c r="D22" s="35" t="s">
        <v>2697</v>
      </c>
      <c r="E22" s="35" t="s">
        <v>2698</v>
      </c>
      <c r="F22" s="35" t="s">
        <v>36</v>
      </c>
      <c r="G22" s="36">
        <v>915</v>
      </c>
      <c r="H22" s="36">
        <v>25</v>
      </c>
      <c r="I22" s="36">
        <f t="shared" si="0"/>
        <v>890</v>
      </c>
      <c r="J22" s="35" t="s">
        <v>31</v>
      </c>
      <c r="K22" s="35" t="s">
        <v>31</v>
      </c>
      <c r="L22" s="35" t="s">
        <v>2657</v>
      </c>
      <c r="M22" s="35"/>
      <c r="N22" s="35"/>
      <c r="O22" s="35"/>
      <c r="P22" s="35"/>
      <c r="Q22" s="35">
        <v>1</v>
      </c>
    </row>
    <row r="23" spans="1:18" x14ac:dyDescent="0.25">
      <c r="A23" s="35"/>
      <c r="B23" s="35" t="s">
        <v>26</v>
      </c>
      <c r="C23" s="35" t="s">
        <v>1900</v>
      </c>
      <c r="D23" s="35" t="s">
        <v>2713</v>
      </c>
      <c r="E23" s="35" t="s">
        <v>1902</v>
      </c>
      <c r="F23" s="36">
        <v>12</v>
      </c>
      <c r="G23" s="36">
        <v>0</v>
      </c>
      <c r="H23" s="36">
        <v>30</v>
      </c>
      <c r="I23" s="36">
        <f t="shared" si="0"/>
        <v>-30</v>
      </c>
      <c r="J23" s="35" t="s">
        <v>31</v>
      </c>
      <c r="K23" s="35" t="s">
        <v>31</v>
      </c>
      <c r="L23" s="35" t="s">
        <v>2657</v>
      </c>
      <c r="M23" s="35"/>
      <c r="N23" s="35"/>
      <c r="O23" s="35"/>
      <c r="P23" s="35"/>
      <c r="Q23" s="35">
        <v>1</v>
      </c>
    </row>
    <row r="24" spans="1:18" x14ac:dyDescent="0.25">
      <c r="A24" s="35"/>
      <c r="B24" s="35" t="s">
        <v>26</v>
      </c>
      <c r="C24" s="35" t="s">
        <v>2731</v>
      </c>
      <c r="D24" s="35" t="s">
        <v>2732</v>
      </c>
      <c r="E24" s="35" t="s">
        <v>2733</v>
      </c>
      <c r="F24" s="35" t="s">
        <v>36</v>
      </c>
      <c r="G24" s="36">
        <v>955</v>
      </c>
      <c r="H24" s="36">
        <v>25</v>
      </c>
      <c r="I24" s="36">
        <f t="shared" si="0"/>
        <v>930</v>
      </c>
      <c r="J24" s="35" t="s">
        <v>31</v>
      </c>
      <c r="K24" s="35" t="s">
        <v>31</v>
      </c>
      <c r="L24" s="35" t="s">
        <v>2657</v>
      </c>
      <c r="M24" s="35"/>
      <c r="N24" s="35"/>
      <c r="O24" s="35"/>
      <c r="P24" s="35"/>
      <c r="Q24" s="35">
        <v>1</v>
      </c>
    </row>
    <row r="25" spans="1:18" x14ac:dyDescent="0.25">
      <c r="A25" s="35" t="s">
        <v>66</v>
      </c>
      <c r="B25" s="35" t="s">
        <v>26</v>
      </c>
      <c r="C25" s="35" t="s">
        <v>2662</v>
      </c>
      <c r="D25" s="35"/>
      <c r="E25" s="35" t="s">
        <v>2663</v>
      </c>
      <c r="F25" s="36">
        <v>1</v>
      </c>
      <c r="G25" s="36">
        <v>0</v>
      </c>
      <c r="H25" s="36">
        <v>30</v>
      </c>
      <c r="I25" s="36">
        <f t="shared" si="0"/>
        <v>-30</v>
      </c>
      <c r="J25" s="35" t="s">
        <v>41</v>
      </c>
      <c r="K25" s="35" t="s">
        <v>31</v>
      </c>
      <c r="L25" s="35" t="s">
        <v>2657</v>
      </c>
      <c r="M25" s="35"/>
      <c r="N25" s="35"/>
      <c r="O25" s="35"/>
      <c r="P25" s="35"/>
      <c r="Q25" s="35">
        <v>1</v>
      </c>
    </row>
    <row r="26" spans="1:18" x14ac:dyDescent="0.25">
      <c r="A26" s="35" t="s">
        <v>66</v>
      </c>
      <c r="B26" s="35" t="s">
        <v>26</v>
      </c>
      <c r="C26" s="35" t="s">
        <v>2650</v>
      </c>
      <c r="D26" s="35"/>
      <c r="E26" s="35" t="s">
        <v>2664</v>
      </c>
      <c r="F26" s="35" t="s">
        <v>101</v>
      </c>
      <c r="G26" s="36">
        <v>3680</v>
      </c>
      <c r="H26" s="36">
        <v>30</v>
      </c>
      <c r="I26" s="36">
        <f t="shared" si="0"/>
        <v>3650</v>
      </c>
      <c r="J26" s="35" t="s">
        <v>41</v>
      </c>
      <c r="K26" s="35" t="s">
        <v>31</v>
      </c>
      <c r="L26" s="35" t="s">
        <v>2657</v>
      </c>
      <c r="M26" s="35"/>
      <c r="N26" s="35"/>
      <c r="O26" s="35"/>
      <c r="P26" s="35"/>
      <c r="Q26" s="35">
        <v>1</v>
      </c>
    </row>
    <row r="27" spans="1:18" x14ac:dyDescent="0.25">
      <c r="A27" s="35" t="s">
        <v>66</v>
      </c>
      <c r="B27" s="35" t="s">
        <v>26</v>
      </c>
      <c r="C27" s="35" t="s">
        <v>2665</v>
      </c>
      <c r="D27" s="35"/>
      <c r="E27" s="35" t="s">
        <v>2666</v>
      </c>
      <c r="F27" s="36">
        <v>3</v>
      </c>
      <c r="G27" s="36">
        <v>1430</v>
      </c>
      <c r="H27" s="36">
        <v>30</v>
      </c>
      <c r="I27" s="36">
        <f t="shared" si="0"/>
        <v>1400</v>
      </c>
      <c r="J27" s="35" t="s">
        <v>41</v>
      </c>
      <c r="K27" s="35" t="s">
        <v>31</v>
      </c>
      <c r="L27" s="35" t="s">
        <v>2657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2690</v>
      </c>
      <c r="D28" s="35" t="s">
        <v>2691</v>
      </c>
      <c r="E28" s="35" t="s">
        <v>2692</v>
      </c>
      <c r="F28" s="36">
        <v>3</v>
      </c>
      <c r="G28" s="36">
        <v>735</v>
      </c>
      <c r="H28" s="36">
        <v>25</v>
      </c>
      <c r="I28" s="36">
        <f t="shared" si="0"/>
        <v>710</v>
      </c>
      <c r="J28" s="35" t="s">
        <v>41</v>
      </c>
      <c r="K28" s="35" t="s">
        <v>31</v>
      </c>
      <c r="L28" s="35" t="s">
        <v>2657</v>
      </c>
      <c r="M28" s="35"/>
      <c r="N28" s="35"/>
      <c r="O28" s="35"/>
      <c r="P28" s="35"/>
      <c r="Q28" s="35">
        <v>1</v>
      </c>
    </row>
    <row r="29" spans="1:18" x14ac:dyDescent="0.25">
      <c r="A29" s="35"/>
      <c r="B29" s="35" t="s">
        <v>26</v>
      </c>
      <c r="C29" s="35" t="s">
        <v>2693</v>
      </c>
      <c r="D29" s="35" t="s">
        <v>2694</v>
      </c>
      <c r="E29" s="35" t="s">
        <v>2695</v>
      </c>
      <c r="F29" s="36">
        <v>4</v>
      </c>
      <c r="G29" s="36">
        <v>885</v>
      </c>
      <c r="H29" s="36">
        <v>25</v>
      </c>
      <c r="I29" s="36">
        <f t="shared" si="0"/>
        <v>860</v>
      </c>
      <c r="J29" s="35" t="s">
        <v>41</v>
      </c>
      <c r="K29" s="35" t="s">
        <v>31</v>
      </c>
      <c r="L29" s="35" t="s">
        <v>2657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2710</v>
      </c>
      <c r="D30" s="35" t="s">
        <v>2711</v>
      </c>
      <c r="E30" s="35" t="s">
        <v>2712</v>
      </c>
      <c r="F30" s="35" t="s">
        <v>101</v>
      </c>
      <c r="G30" s="36">
        <v>1585</v>
      </c>
      <c r="H30" s="36">
        <v>25</v>
      </c>
      <c r="I30" s="36">
        <f t="shared" si="0"/>
        <v>1560</v>
      </c>
      <c r="J30" s="35" t="s">
        <v>41</v>
      </c>
      <c r="K30" s="35" t="s">
        <v>31</v>
      </c>
      <c r="L30" s="35" t="s">
        <v>2657</v>
      </c>
      <c r="M30" s="35"/>
      <c r="N30" s="35"/>
      <c r="O30" s="35"/>
      <c r="P30" s="35"/>
      <c r="Q30" s="35">
        <v>1</v>
      </c>
    </row>
    <row r="31" spans="1:18" x14ac:dyDescent="0.25">
      <c r="A31" s="35"/>
      <c r="B31" s="35" t="s">
        <v>26</v>
      </c>
      <c r="C31" s="35" t="s">
        <v>2714</v>
      </c>
      <c r="D31" s="35" t="s">
        <v>2715</v>
      </c>
      <c r="E31" s="35" t="s">
        <v>2716</v>
      </c>
      <c r="F31" s="36">
        <v>10</v>
      </c>
      <c r="G31" s="36">
        <v>0</v>
      </c>
      <c r="H31" s="36">
        <v>25</v>
      </c>
      <c r="I31" s="36">
        <f t="shared" si="0"/>
        <v>-25</v>
      </c>
      <c r="J31" s="35" t="s">
        <v>41</v>
      </c>
      <c r="K31" s="35" t="s">
        <v>31</v>
      </c>
      <c r="L31" s="35" t="s">
        <v>2657</v>
      </c>
      <c r="M31" s="66" t="s">
        <v>2737</v>
      </c>
      <c r="N31" s="35"/>
      <c r="O31" s="35"/>
      <c r="P31" s="35"/>
      <c r="Q31" s="35">
        <v>1</v>
      </c>
      <c r="R31" s="25">
        <f>H31</f>
        <v>25</v>
      </c>
    </row>
    <row r="32" spans="1:18" x14ac:dyDescent="0.25">
      <c r="A32" s="35"/>
      <c r="B32" s="35" t="s">
        <v>26</v>
      </c>
      <c r="C32" s="35" t="s">
        <v>2717</v>
      </c>
      <c r="D32" s="35" t="s">
        <v>2718</v>
      </c>
      <c r="E32" s="35" t="s">
        <v>2719</v>
      </c>
      <c r="F32" s="36">
        <v>5</v>
      </c>
      <c r="G32" s="36">
        <v>0</v>
      </c>
      <c r="H32" s="36">
        <v>25</v>
      </c>
      <c r="I32" s="36">
        <f t="shared" si="0"/>
        <v>-25</v>
      </c>
      <c r="J32" s="35" t="s">
        <v>41</v>
      </c>
      <c r="K32" s="35" t="s">
        <v>31</v>
      </c>
      <c r="L32" s="35" t="s">
        <v>2657</v>
      </c>
      <c r="M32" s="35"/>
      <c r="N32" s="35"/>
      <c r="O32" s="35"/>
      <c r="P32" s="35"/>
      <c r="Q32" s="35">
        <v>1</v>
      </c>
    </row>
    <row r="33" spans="1:17" x14ac:dyDescent="0.25">
      <c r="A33" s="35"/>
      <c r="B33" s="35" t="s">
        <v>26</v>
      </c>
      <c r="C33" s="35" t="s">
        <v>2723</v>
      </c>
      <c r="D33" s="35" t="s">
        <v>2724</v>
      </c>
      <c r="E33" s="35" t="s">
        <v>2725</v>
      </c>
      <c r="F33" s="36">
        <v>10</v>
      </c>
      <c r="G33" s="36">
        <v>0</v>
      </c>
      <c r="H33" s="36">
        <v>25</v>
      </c>
      <c r="I33" s="36">
        <f t="shared" si="0"/>
        <v>-25</v>
      </c>
      <c r="J33" s="35" t="s">
        <v>41</v>
      </c>
      <c r="K33" s="35" t="s">
        <v>31</v>
      </c>
      <c r="L33" s="35" t="s">
        <v>2657</v>
      </c>
      <c r="M33" s="35"/>
      <c r="N33" s="35"/>
      <c r="O33" s="35"/>
      <c r="P33" s="35"/>
      <c r="Q33" s="35">
        <v>1</v>
      </c>
    </row>
    <row r="34" spans="1:17" s="30" customFormat="1" x14ac:dyDescent="0.25">
      <c r="A34" s="37"/>
      <c r="B34" s="37" t="s">
        <v>26</v>
      </c>
      <c r="C34" s="37" t="s">
        <v>2708</v>
      </c>
      <c r="D34" s="37" t="s">
        <v>2709</v>
      </c>
      <c r="E34" s="37" t="s">
        <v>1946</v>
      </c>
      <c r="F34" s="37" t="s">
        <v>117</v>
      </c>
      <c r="G34" s="43">
        <v>0</v>
      </c>
      <c r="H34" s="43">
        <v>0</v>
      </c>
      <c r="I34" s="43">
        <f t="shared" si="0"/>
        <v>0</v>
      </c>
      <c r="J34" s="37" t="s">
        <v>118</v>
      </c>
      <c r="K34" s="37" t="s">
        <v>31</v>
      </c>
      <c r="L34" s="37" t="s">
        <v>2657</v>
      </c>
      <c r="M34" s="37" t="s">
        <v>1217</v>
      </c>
      <c r="N34" s="37" t="s">
        <v>316</v>
      </c>
      <c r="O34" s="37"/>
      <c r="P34" s="37" t="s">
        <v>317</v>
      </c>
      <c r="Q34" s="37">
        <v>1</v>
      </c>
    </row>
    <row r="35" spans="1:17" s="30" customFormat="1" x14ac:dyDescent="0.25">
      <c r="A35" s="37"/>
      <c r="B35" s="37" t="s">
        <v>26</v>
      </c>
      <c r="C35" s="37" t="s">
        <v>2728</v>
      </c>
      <c r="D35" s="37" t="s">
        <v>2729</v>
      </c>
      <c r="E35" s="37" t="s">
        <v>2730</v>
      </c>
      <c r="F35" s="37" t="s">
        <v>377</v>
      </c>
      <c r="G35" s="43">
        <v>790</v>
      </c>
      <c r="H35" s="43">
        <v>0</v>
      </c>
      <c r="I35" s="43">
        <f t="shared" si="0"/>
        <v>790</v>
      </c>
      <c r="J35" s="37" t="s">
        <v>118</v>
      </c>
      <c r="K35" s="37" t="s">
        <v>31</v>
      </c>
      <c r="L35" s="37" t="s">
        <v>2657</v>
      </c>
      <c r="M35" s="37" t="s">
        <v>378</v>
      </c>
      <c r="N35" s="37" t="s">
        <v>316</v>
      </c>
      <c r="O35" s="37"/>
      <c r="P35" s="37" t="s">
        <v>317</v>
      </c>
      <c r="Q35" s="37">
        <v>1</v>
      </c>
    </row>
    <row r="36" spans="1:17" s="30" customFormat="1" x14ac:dyDescent="0.25">
      <c r="A36" s="37"/>
      <c r="B36" s="37" t="s">
        <v>26</v>
      </c>
      <c r="C36" s="37" t="s">
        <v>1874</v>
      </c>
      <c r="D36" s="37" t="s">
        <v>1875</v>
      </c>
      <c r="E36" s="37" t="s">
        <v>1876</v>
      </c>
      <c r="F36" s="43">
        <v>7</v>
      </c>
      <c r="G36" s="43">
        <v>850</v>
      </c>
      <c r="H36" s="43">
        <v>30</v>
      </c>
      <c r="I36" s="43">
        <f t="shared" si="0"/>
        <v>820</v>
      </c>
      <c r="J36" s="37" t="s">
        <v>118</v>
      </c>
      <c r="K36" s="37" t="s">
        <v>31</v>
      </c>
      <c r="L36" s="37" t="s">
        <v>1822</v>
      </c>
      <c r="M36" s="37" t="s">
        <v>91</v>
      </c>
      <c r="N36" s="37" t="s">
        <v>316</v>
      </c>
      <c r="O36" s="37" t="s">
        <v>316</v>
      </c>
      <c r="P36" s="37" t="s">
        <v>317</v>
      </c>
      <c r="Q36" s="37">
        <v>1</v>
      </c>
    </row>
    <row r="37" spans="1:17" s="30" customFormat="1" x14ac:dyDescent="0.25">
      <c r="A37" s="37"/>
      <c r="B37" s="37" t="s">
        <v>26</v>
      </c>
      <c r="C37" s="37" t="s">
        <v>2007</v>
      </c>
      <c r="D37" s="37" t="s">
        <v>2008</v>
      </c>
      <c r="E37" s="37" t="s">
        <v>2009</v>
      </c>
      <c r="F37" s="43">
        <v>7</v>
      </c>
      <c r="G37" s="43">
        <v>320</v>
      </c>
      <c r="H37" s="43">
        <v>30</v>
      </c>
      <c r="I37" s="43">
        <f t="shared" si="0"/>
        <v>290</v>
      </c>
      <c r="J37" s="37" t="s">
        <v>118</v>
      </c>
      <c r="K37" s="37" t="s">
        <v>31</v>
      </c>
      <c r="L37" s="37" t="s">
        <v>2006</v>
      </c>
      <c r="M37" s="37" t="s">
        <v>91</v>
      </c>
      <c r="N37" s="37" t="s">
        <v>316</v>
      </c>
      <c r="O37" s="37" t="s">
        <v>316</v>
      </c>
      <c r="P37" s="37" t="s">
        <v>317</v>
      </c>
      <c r="Q37" s="37">
        <v>1</v>
      </c>
    </row>
    <row r="38" spans="1:17" s="30" customFormat="1" x14ac:dyDescent="0.25">
      <c r="A38" s="37"/>
      <c r="B38" s="37" t="s">
        <v>26</v>
      </c>
      <c r="C38" s="37" t="s">
        <v>119</v>
      </c>
      <c r="D38" s="37"/>
      <c r="E38" s="37" t="s">
        <v>120</v>
      </c>
      <c r="F38" s="37" t="s">
        <v>121</v>
      </c>
      <c r="G38" s="43">
        <v>0</v>
      </c>
      <c r="H38" s="43">
        <v>35</v>
      </c>
      <c r="I38" s="43">
        <f t="shared" si="0"/>
        <v>-35</v>
      </c>
      <c r="J38" s="37" t="s">
        <v>118</v>
      </c>
      <c r="K38" s="37" t="s">
        <v>31</v>
      </c>
      <c r="L38" s="37" t="s">
        <v>102</v>
      </c>
      <c r="M38" s="37" t="s">
        <v>91</v>
      </c>
      <c r="N38" s="37" t="s">
        <v>316</v>
      </c>
      <c r="O38" s="37" t="s">
        <v>316</v>
      </c>
      <c r="P38" s="37" t="s">
        <v>317</v>
      </c>
      <c r="Q38" s="37">
        <v>1</v>
      </c>
    </row>
    <row r="40" spans="1:17" x14ac:dyDescent="0.25">
      <c r="D40" s="26">
        <f>COUNTA(D3:D38)</f>
        <v>26</v>
      </c>
      <c r="G40" s="26">
        <f t="shared" ref="G40:Q40" si="1">SUBTOTAL(9,G3:G38)</f>
        <v>24775</v>
      </c>
      <c r="H40" s="26">
        <f t="shared" si="1"/>
        <v>1020</v>
      </c>
      <c r="I40" s="26">
        <f t="shared" si="1"/>
        <v>23755</v>
      </c>
      <c r="J40" s="26">
        <f t="shared" si="1"/>
        <v>0</v>
      </c>
      <c r="K40" s="26">
        <f t="shared" si="1"/>
        <v>0</v>
      </c>
      <c r="L40" s="26">
        <f t="shared" si="1"/>
        <v>0</v>
      </c>
      <c r="M40" s="26">
        <f t="shared" si="1"/>
        <v>0</v>
      </c>
      <c r="N40" s="26">
        <f t="shared" si="1"/>
        <v>0</v>
      </c>
      <c r="O40" s="26">
        <f t="shared" si="1"/>
        <v>0</v>
      </c>
      <c r="P40" s="26">
        <f t="shared" si="1"/>
        <v>0</v>
      </c>
      <c r="Q40" s="26">
        <f t="shared" si="1"/>
        <v>36</v>
      </c>
    </row>
    <row r="41" spans="1:17" x14ac:dyDescent="0.25">
      <c r="H41" s="24">
        <f>-7*17</f>
        <v>-119</v>
      </c>
      <c r="I41" s="24">
        <f>2*17</f>
        <v>34</v>
      </c>
    </row>
    <row r="42" spans="1:17" x14ac:dyDescent="0.25">
      <c r="A42" s="26" t="s">
        <v>26</v>
      </c>
      <c r="C42" s="80" t="s">
        <v>78</v>
      </c>
      <c r="D42" s="80"/>
      <c r="E42" s="27" t="s">
        <v>79</v>
      </c>
      <c r="H42" s="24">
        <f>-3*25</f>
        <v>-75</v>
      </c>
      <c r="I42" s="24">
        <f>-1*30</f>
        <v>-30</v>
      </c>
      <c r="K42" s="28" t="s">
        <v>31</v>
      </c>
      <c r="L42" s="28" t="s">
        <v>80</v>
      </c>
      <c r="M42" s="28" t="s">
        <v>79</v>
      </c>
      <c r="O42" s="27" t="s">
        <v>81</v>
      </c>
    </row>
    <row r="43" spans="1:17" x14ac:dyDescent="0.25">
      <c r="A43" s="24" t="s">
        <v>2657</v>
      </c>
      <c r="B43" s="29" t="s">
        <v>82</v>
      </c>
      <c r="C43" s="81">
        <f>SUMIFS(I$3:I$38,B$3:B$38,A$42,L$3:L$38,A$43)</f>
        <v>22680</v>
      </c>
      <c r="D43" s="81"/>
      <c r="E43" s="29">
        <f>SUMIFS(Q$3:Q$38,B$3:B$38,A$42,L$3:L$38,A$43)</f>
        <v>33</v>
      </c>
      <c r="F43" s="24" t="s">
        <v>83</v>
      </c>
      <c r="H43" s="24">
        <f>-1*30</f>
        <v>-30</v>
      </c>
      <c r="K43" s="24" t="s">
        <v>84</v>
      </c>
      <c r="L43" s="24">
        <f>SUMIFS(G$3:G$38,J$3:J$38,K$42)</f>
        <v>6935</v>
      </c>
      <c r="M43" s="24">
        <f>SUMIFS(Q$3:Q$38,J$3:J$38,K$42)-INT(COUNTIFS(J$3:J$38,K$42,M$3:M$38,"*gộp*")/2)</f>
        <v>11</v>
      </c>
      <c r="O43" s="24" t="s">
        <v>31</v>
      </c>
      <c r="P43" s="24">
        <f>L48</f>
        <v>6572</v>
      </c>
    </row>
    <row r="44" spans="1:17" x14ac:dyDescent="0.25">
      <c r="B44" s="30" t="s">
        <v>86</v>
      </c>
      <c r="C44" s="82">
        <v>0</v>
      </c>
      <c r="D44" s="82"/>
      <c r="K44" s="24" t="s">
        <v>87</v>
      </c>
      <c r="L44" s="24">
        <f>-SUMIFS(H$3:H$38,J$3:J$38,K$42)+M44*5</f>
        <v>-305</v>
      </c>
      <c r="M44" s="24">
        <f>SUMIFS(Q$3:Q$38,J$3:J$38,K$42)-INT(COUNTIFS(J$3:J$38,K$42,M$3:M$38,"*gộp*")/2)</f>
        <v>11</v>
      </c>
      <c r="O44" s="24" t="s">
        <v>41</v>
      </c>
      <c r="P44" s="24">
        <f>L56</f>
        <v>8120</v>
      </c>
    </row>
    <row r="45" spans="1:17" x14ac:dyDescent="0.25">
      <c r="B45" s="30" t="s">
        <v>88</v>
      </c>
      <c r="C45" s="82">
        <f>-SUMIFS(I$3:I$38,B$3:B$38,A$42,P$3:P$38,"xx",N$3:N$38,"x")</f>
        <v>-1865</v>
      </c>
      <c r="D45" s="82"/>
      <c r="E45" s="30">
        <f>SUMIFS(Q$3:Q$38,B$3:B$38,A$42,P$3:P$38,"xx",N$3:N$38,"x")</f>
        <v>5</v>
      </c>
      <c r="K45" s="24" t="s">
        <v>89</v>
      </c>
      <c r="L45" s="24">
        <f>-M45*2</f>
        <v>-58</v>
      </c>
      <c r="M45" s="24">
        <f>COUNTIFS(K$3:K$38,K$42,L$3:L$38,A$43)-(COUNTIFS(K$3:K$38,K$42,M$3:M$38,"*gộp*")/2)-COUNTIFS(K$3:K$38,K$42,M$3:M$38,"*đơn trả*")-COUNTIFS(K$3:K$38,K$42,M$3:M$38,"*hàng tỉnh*")</f>
        <v>29</v>
      </c>
      <c r="O45" s="24" t="s">
        <v>2734</v>
      </c>
      <c r="P45" s="24">
        <f>L64</f>
        <v>6227</v>
      </c>
    </row>
    <row r="46" spans="1:17" x14ac:dyDescent="0.25">
      <c r="B46" s="27" t="s">
        <v>90</v>
      </c>
      <c r="C46" s="80">
        <f>SUBTOTAL(9,C43:C45)</f>
        <v>20815</v>
      </c>
      <c r="D46" s="80"/>
      <c r="E46" s="24">
        <f>E43</f>
        <v>33</v>
      </c>
      <c r="K46" s="31" t="s">
        <v>91</v>
      </c>
      <c r="O46" s="24" t="s">
        <v>92</v>
      </c>
      <c r="P46" s="24">
        <f>-C50</f>
        <v>-20815</v>
      </c>
    </row>
    <row r="47" spans="1:17" x14ac:dyDescent="0.25">
      <c r="B47" s="30" t="s">
        <v>93</v>
      </c>
      <c r="C47" s="78"/>
      <c r="D47" s="78"/>
      <c r="K47" s="30" t="s">
        <v>94</v>
      </c>
      <c r="O47" s="27" t="s">
        <v>95</v>
      </c>
      <c r="P47" s="27">
        <f>SUBTOTAL(9,P43:P46)</f>
        <v>104</v>
      </c>
    </row>
    <row r="48" spans="1:17" x14ac:dyDescent="0.25">
      <c r="B48" s="32" t="s">
        <v>96</v>
      </c>
      <c r="C48" s="78"/>
      <c r="D48" s="78"/>
      <c r="L48" s="33">
        <f>SUBTOTAL(9,L43:L47)</f>
        <v>6572</v>
      </c>
      <c r="M48" s="33">
        <f>M43</f>
        <v>11</v>
      </c>
    </row>
    <row r="50" spans="2:13" x14ac:dyDescent="0.25">
      <c r="B50" s="26" t="s">
        <v>97</v>
      </c>
      <c r="C50" s="79">
        <f>C46+C47+C48</f>
        <v>20815</v>
      </c>
      <c r="D50" s="79"/>
      <c r="E50" s="26" t="s">
        <v>98</v>
      </c>
      <c r="K50" s="28" t="s">
        <v>41</v>
      </c>
      <c r="L50" s="28" t="s">
        <v>80</v>
      </c>
      <c r="M50" s="28" t="s">
        <v>79</v>
      </c>
    </row>
    <row r="51" spans="2:13" x14ac:dyDescent="0.25">
      <c r="K51" s="24" t="s">
        <v>84</v>
      </c>
      <c r="L51" s="24">
        <f>SUMIFS(G$3:G$38,J$3:J$38,K$50)</f>
        <v>8315</v>
      </c>
      <c r="M51" s="24">
        <f>SUMIFS(Q$3:Q$38,J$3:J$38,K$50)-INT(COUNTIFS(J$3:J$38,K$50,M$3:M$38,"*gộp*")/2)</f>
        <v>9</v>
      </c>
    </row>
    <row r="52" spans="2:13" x14ac:dyDescent="0.25">
      <c r="K52" s="24" t="s">
        <v>87</v>
      </c>
      <c r="L52" s="24">
        <f>-SUMIFS(H$3:H$38,J$3:J$38,K$50)+M52*5</f>
        <v>-195</v>
      </c>
      <c r="M52" s="24">
        <f>SUMIFS(Q$3:Q$38,J$3:J$38,K$50)-INT(COUNTIFS(J$3:J$38,K$50,M$3:M$38,"*gộp*")/2)</f>
        <v>9</v>
      </c>
    </row>
    <row r="53" spans="2:13" x14ac:dyDescent="0.25">
      <c r="K53" s="24" t="s">
        <v>89</v>
      </c>
      <c r="L53" s="24">
        <f>-M53*2</f>
        <v>0</v>
      </c>
      <c r="M53" s="24">
        <f>COUNTIFS(K$3:K$38,K$50,L$3:L$38,A$43)-(COUNTIFS(K$3:K$38,K$50,M$3:M$38,"*gộp*")/2)-COUNTIFS(K$3:K$38,K$50,M$3:M$38,"*đơn trả*")-COUNTIFS(K$3:K$38,K$50,M$3:M$38,"*hàng tỉnh*")</f>
        <v>0</v>
      </c>
    </row>
    <row r="54" spans="2:13" x14ac:dyDescent="0.25">
      <c r="K54" s="31" t="s">
        <v>91</v>
      </c>
    </row>
    <row r="55" spans="2:13" x14ac:dyDescent="0.25">
      <c r="K55" s="30" t="s">
        <v>94</v>
      </c>
    </row>
    <row r="56" spans="2:13" x14ac:dyDescent="0.25">
      <c r="L56" s="33">
        <f>SUBTOTAL(9,L51:L55)</f>
        <v>8120</v>
      </c>
      <c r="M56" s="33">
        <f>M51</f>
        <v>9</v>
      </c>
    </row>
    <row r="58" spans="2:13" x14ac:dyDescent="0.25">
      <c r="K58" s="28" t="s">
        <v>2670</v>
      </c>
      <c r="L58" s="28" t="s">
        <v>80</v>
      </c>
      <c r="M58" s="28" t="s">
        <v>79</v>
      </c>
    </row>
    <row r="59" spans="2:13" x14ac:dyDescent="0.25">
      <c r="K59" s="24" t="s">
        <v>84</v>
      </c>
      <c r="L59" s="24">
        <f>SUMIFS(G$3:G$38,J$3:J$38,K$58)</f>
        <v>7565</v>
      </c>
      <c r="M59" s="24">
        <f>SUMIFS(Q$3:Q$38,J$3:J$38,K$58)-INT(COUNTIFS(J$3:J$38,K$58,M$3:M$38,"*gộp*")/2)</f>
        <v>11</v>
      </c>
    </row>
    <row r="60" spans="2:13" x14ac:dyDescent="0.25">
      <c r="K60" s="24" t="s">
        <v>87</v>
      </c>
      <c r="L60" s="24">
        <f>SUM(H41:H43)</f>
        <v>-224</v>
      </c>
      <c r="M60" s="24">
        <f>SUMIFS(Q$3:Q$38,J$3:J$38,K$58)-INT(COUNTIFS(J$3:J$38,K$58,M$3:M$38,"*gộp*")/2)</f>
        <v>11</v>
      </c>
    </row>
    <row r="61" spans="2:13" x14ac:dyDescent="0.25">
      <c r="K61" s="24" t="s">
        <v>89</v>
      </c>
      <c r="L61" s="24">
        <f>-M61*2</f>
        <v>0</v>
      </c>
      <c r="M61" s="24">
        <f>COUNTIFS(K$3:K$38,K$58,L$3:L$38,A$43)-(COUNTIFS(K$3:K$38,K$58,M$3:M$38,"*gộp*")/2)-COUNTIFS(K$3:K$38,K$58,M$3:M$38,"*đơn trả*")-COUNTIFS(K$3:K$38,K$58,M$3:M$38,"*hàng tỉnh*")</f>
        <v>0</v>
      </c>
    </row>
    <row r="62" spans="2:13" x14ac:dyDescent="0.25">
      <c r="K62" s="31" t="s">
        <v>91</v>
      </c>
      <c r="L62" s="48">
        <v>-1114</v>
      </c>
      <c r="M62" s="48" t="s">
        <v>358</v>
      </c>
    </row>
    <row r="63" spans="2:13" x14ac:dyDescent="0.25">
      <c r="K63" s="30" t="s">
        <v>94</v>
      </c>
    </row>
    <row r="64" spans="2:13" x14ac:dyDescent="0.25">
      <c r="L64" s="33">
        <f>SUBTOTAL(9,L59:L63)</f>
        <v>6227</v>
      </c>
      <c r="M64" s="33">
        <f>M59</f>
        <v>11</v>
      </c>
    </row>
    <row r="66" spans="1:17" x14ac:dyDescent="0.25">
      <c r="A66"/>
      <c r="B66" s="4" t="s">
        <v>1306</v>
      </c>
      <c r="C66" s="4" t="s">
        <v>2735</v>
      </c>
      <c r="D66"/>
      <c r="E66"/>
      <c r="F66" s="65"/>
      <c r="G66"/>
      <c r="H66"/>
      <c r="I66"/>
      <c r="J66"/>
      <c r="K66"/>
      <c r="L66"/>
      <c r="M66"/>
      <c r="N66"/>
      <c r="O66"/>
      <c r="P66"/>
      <c r="Q66"/>
    </row>
    <row r="67" spans="1:17" x14ac:dyDescent="0.25">
      <c r="A67" s="34" t="s">
        <v>10</v>
      </c>
      <c r="B67" s="34" t="s">
        <v>11</v>
      </c>
      <c r="C67" s="34" t="s">
        <v>12</v>
      </c>
      <c r="D67" s="34" t="s">
        <v>13</v>
      </c>
      <c r="E67" s="34" t="s">
        <v>14</v>
      </c>
      <c r="F67" s="34" t="s">
        <v>15</v>
      </c>
      <c r="G67" s="34" t="s">
        <v>16</v>
      </c>
      <c r="H67" s="34" t="s">
        <v>17</v>
      </c>
      <c r="I67" s="34" t="s">
        <v>18</v>
      </c>
      <c r="J67" s="34" t="s">
        <v>19</v>
      </c>
      <c r="K67" s="34" t="s">
        <v>20</v>
      </c>
      <c r="L67" s="34" t="s">
        <v>21</v>
      </c>
      <c r="M67" s="34" t="s">
        <v>22</v>
      </c>
      <c r="N67" s="34" t="s">
        <v>23</v>
      </c>
      <c r="O67" s="34" t="s">
        <v>24</v>
      </c>
      <c r="P67" s="34" t="s">
        <v>25</v>
      </c>
      <c r="Q67" s="35"/>
    </row>
    <row r="68" spans="1:17" x14ac:dyDescent="0.25">
      <c r="A68" s="35"/>
      <c r="B68" s="35" t="s">
        <v>26</v>
      </c>
      <c r="C68" s="35" t="s">
        <v>2619</v>
      </c>
      <c r="D68" s="35" t="s">
        <v>2620</v>
      </c>
      <c r="E68" s="35" t="s">
        <v>2621</v>
      </c>
      <c r="F68" s="36">
        <v>8</v>
      </c>
      <c r="G68" s="36">
        <v>1600</v>
      </c>
      <c r="H68" s="36">
        <v>30</v>
      </c>
      <c r="I68" s="36">
        <f t="shared" ref="I68:I76" si="2">G68-H68</f>
        <v>1570</v>
      </c>
      <c r="J68" s="35" t="s">
        <v>2736</v>
      </c>
      <c r="K68" s="35" t="s">
        <v>31</v>
      </c>
      <c r="L68" s="35" t="s">
        <v>2657</v>
      </c>
      <c r="M68" s="35"/>
      <c r="N68" s="35"/>
      <c r="O68" s="35"/>
      <c r="P68" s="35"/>
      <c r="Q68" s="35">
        <v>1</v>
      </c>
    </row>
    <row r="69" spans="1:17" x14ac:dyDescent="0.25">
      <c r="A69" s="35"/>
      <c r="B69" s="35" t="s">
        <v>26</v>
      </c>
      <c r="C69" s="35" t="s">
        <v>2519</v>
      </c>
      <c r="D69" s="35" t="s">
        <v>2520</v>
      </c>
      <c r="E69" s="35" t="s">
        <v>2521</v>
      </c>
      <c r="F69" s="36">
        <v>8</v>
      </c>
      <c r="G69" s="36">
        <v>920</v>
      </c>
      <c r="H69" s="36">
        <v>30</v>
      </c>
      <c r="I69" s="36">
        <f t="shared" si="2"/>
        <v>890</v>
      </c>
      <c r="J69" s="35" t="s">
        <v>2736</v>
      </c>
      <c r="K69" s="35" t="s">
        <v>31</v>
      </c>
      <c r="L69" s="35" t="s">
        <v>2657</v>
      </c>
      <c r="M69" s="35"/>
      <c r="N69" s="35"/>
      <c r="O69" s="35"/>
      <c r="P69" s="35"/>
      <c r="Q69" s="35">
        <v>1</v>
      </c>
    </row>
    <row r="70" spans="1:17" x14ac:dyDescent="0.25">
      <c r="A70" s="35"/>
      <c r="B70" s="35" t="s">
        <v>26</v>
      </c>
      <c r="C70" s="35" t="s">
        <v>2291</v>
      </c>
      <c r="D70" s="35" t="s">
        <v>2292</v>
      </c>
      <c r="E70" s="35" t="s">
        <v>2293</v>
      </c>
      <c r="F70" s="36">
        <v>7</v>
      </c>
      <c r="G70" s="36">
        <v>680</v>
      </c>
      <c r="H70" s="36">
        <v>30</v>
      </c>
      <c r="I70" s="36">
        <f t="shared" si="2"/>
        <v>650</v>
      </c>
      <c r="J70" s="35" t="s">
        <v>2736</v>
      </c>
      <c r="K70" s="35" t="s">
        <v>31</v>
      </c>
      <c r="L70" s="35" t="s">
        <v>2657</v>
      </c>
      <c r="M70" s="35"/>
      <c r="N70" s="35"/>
      <c r="O70" s="35"/>
      <c r="P70" s="35"/>
      <c r="Q70" s="35">
        <v>1</v>
      </c>
    </row>
    <row r="71" spans="1:17" x14ac:dyDescent="0.25">
      <c r="A71" s="35"/>
      <c r="B71" s="35" t="s">
        <v>26</v>
      </c>
      <c r="C71" s="35" t="s">
        <v>2303</v>
      </c>
      <c r="D71" s="35" t="s">
        <v>2304</v>
      </c>
      <c r="E71" s="35" t="s">
        <v>2305</v>
      </c>
      <c r="F71" s="36">
        <v>8</v>
      </c>
      <c r="G71" s="36">
        <v>490</v>
      </c>
      <c r="H71" s="36">
        <v>30</v>
      </c>
      <c r="I71" s="36">
        <f t="shared" si="2"/>
        <v>460</v>
      </c>
      <c r="J71" s="35" t="s">
        <v>2736</v>
      </c>
      <c r="K71" s="35" t="s">
        <v>31</v>
      </c>
      <c r="L71" s="35" t="s">
        <v>2657</v>
      </c>
      <c r="M71" s="35"/>
      <c r="N71" s="35"/>
      <c r="O71" s="35"/>
      <c r="P71" s="35"/>
      <c r="Q71" s="35">
        <v>1</v>
      </c>
    </row>
    <row r="72" spans="1:17" x14ac:dyDescent="0.25">
      <c r="A72" s="35"/>
      <c r="B72" s="35" t="s">
        <v>26</v>
      </c>
      <c r="C72" s="35" t="s">
        <v>2438</v>
      </c>
      <c r="D72" s="35" t="s">
        <v>2439</v>
      </c>
      <c r="E72" s="35" t="s">
        <v>2440</v>
      </c>
      <c r="F72" s="36">
        <v>7</v>
      </c>
      <c r="G72" s="36">
        <v>920</v>
      </c>
      <c r="H72" s="36">
        <v>30</v>
      </c>
      <c r="I72" s="36">
        <f t="shared" si="2"/>
        <v>890</v>
      </c>
      <c r="J72" s="35" t="s">
        <v>2736</v>
      </c>
      <c r="K72" s="35" t="s">
        <v>31</v>
      </c>
      <c r="L72" s="35" t="s">
        <v>2657</v>
      </c>
      <c r="M72" s="35"/>
      <c r="N72" s="35"/>
      <c r="O72" s="35"/>
      <c r="P72" s="35"/>
      <c r="Q72" s="35">
        <v>1</v>
      </c>
    </row>
    <row r="73" spans="1:17" x14ac:dyDescent="0.25">
      <c r="A73" s="35"/>
      <c r="B73" s="35" t="s">
        <v>26</v>
      </c>
      <c r="C73" s="35" t="s">
        <v>2472</v>
      </c>
      <c r="D73" s="35" t="s">
        <v>2473</v>
      </c>
      <c r="E73" s="35" t="s">
        <v>2474</v>
      </c>
      <c r="F73" s="36">
        <v>7</v>
      </c>
      <c r="G73" s="36">
        <v>890</v>
      </c>
      <c r="H73" s="36">
        <v>30</v>
      </c>
      <c r="I73" s="36">
        <f t="shared" si="2"/>
        <v>860</v>
      </c>
      <c r="J73" s="35" t="s">
        <v>2736</v>
      </c>
      <c r="K73" s="35" t="s">
        <v>31</v>
      </c>
      <c r="L73" s="35" t="s">
        <v>2657</v>
      </c>
      <c r="M73" s="35"/>
      <c r="N73" s="35"/>
      <c r="O73" s="35"/>
      <c r="P73" s="35"/>
      <c r="Q73" s="35">
        <v>1</v>
      </c>
    </row>
    <row r="74" spans="1:17" x14ac:dyDescent="0.25">
      <c r="A74" s="35"/>
      <c r="B74" s="35" t="s">
        <v>26</v>
      </c>
      <c r="C74" s="35" t="s">
        <v>2590</v>
      </c>
      <c r="D74" s="35" t="s">
        <v>2591</v>
      </c>
      <c r="E74" s="35" t="s">
        <v>2592</v>
      </c>
      <c r="F74" s="36">
        <v>7</v>
      </c>
      <c r="G74" s="36">
        <v>1540</v>
      </c>
      <c r="H74" s="36">
        <v>30</v>
      </c>
      <c r="I74" s="36">
        <f t="shared" si="2"/>
        <v>1510</v>
      </c>
      <c r="J74" s="35" t="s">
        <v>2736</v>
      </c>
      <c r="K74" s="35" t="s">
        <v>31</v>
      </c>
      <c r="L74" s="35" t="s">
        <v>2657</v>
      </c>
      <c r="M74" s="35"/>
      <c r="N74" s="35"/>
      <c r="O74" s="35"/>
      <c r="P74" s="35"/>
      <c r="Q74" s="35">
        <v>1</v>
      </c>
    </row>
    <row r="75" spans="1:17" x14ac:dyDescent="0.25">
      <c r="A75" s="35"/>
      <c r="B75" s="35" t="s">
        <v>26</v>
      </c>
      <c r="C75" s="35" t="s">
        <v>2561</v>
      </c>
      <c r="D75" s="35" t="s">
        <v>2562</v>
      </c>
      <c r="E75" s="35" t="s">
        <v>2563</v>
      </c>
      <c r="F75" s="36">
        <v>7</v>
      </c>
      <c r="G75" s="36">
        <v>920</v>
      </c>
      <c r="H75" s="36">
        <v>30</v>
      </c>
      <c r="I75" s="36">
        <f t="shared" si="2"/>
        <v>890</v>
      </c>
      <c r="J75" s="35" t="s">
        <v>2736</v>
      </c>
      <c r="K75" s="35" t="s">
        <v>31</v>
      </c>
      <c r="L75" s="35" t="s">
        <v>2657</v>
      </c>
      <c r="M75" s="35"/>
      <c r="N75" s="35"/>
      <c r="O75" s="35"/>
      <c r="P75" s="35"/>
      <c r="Q75" s="35">
        <v>1</v>
      </c>
    </row>
    <row r="76" spans="1:17" x14ac:dyDescent="0.25">
      <c r="A76" s="35"/>
      <c r="B76" s="35" t="s">
        <v>26</v>
      </c>
      <c r="C76" s="35" t="s">
        <v>738</v>
      </c>
      <c r="D76" s="35" t="s">
        <v>2622</v>
      </c>
      <c r="E76" s="35" t="s">
        <v>740</v>
      </c>
      <c r="F76" s="36">
        <v>7</v>
      </c>
      <c r="G76" s="36">
        <v>1210</v>
      </c>
      <c r="H76" s="36">
        <v>30</v>
      </c>
      <c r="I76" s="36">
        <f t="shared" si="2"/>
        <v>1180</v>
      </c>
      <c r="J76" s="35" t="s">
        <v>2736</v>
      </c>
      <c r="K76" s="35" t="s">
        <v>31</v>
      </c>
      <c r="L76" s="35" t="s">
        <v>2657</v>
      </c>
      <c r="M76" s="35"/>
      <c r="N76" s="35"/>
      <c r="O76" s="35"/>
      <c r="P76" s="35"/>
      <c r="Q76" s="35">
        <v>1</v>
      </c>
    </row>
    <row r="78" spans="1:17" x14ac:dyDescent="0.25">
      <c r="D78" s="26">
        <f>COUNTA(D68:D76)</f>
        <v>9</v>
      </c>
      <c r="G78" s="26">
        <f t="shared" ref="G78:Q78" si="3">SUBTOTAL(9,G68:G76)</f>
        <v>9170</v>
      </c>
      <c r="H78" s="26">
        <f t="shared" si="3"/>
        <v>270</v>
      </c>
      <c r="I78" s="26">
        <f t="shared" si="3"/>
        <v>8900</v>
      </c>
      <c r="J78" s="26">
        <f t="shared" si="3"/>
        <v>0</v>
      </c>
      <c r="K78" s="26">
        <f t="shared" si="3"/>
        <v>0</v>
      </c>
      <c r="L78" s="26">
        <f t="shared" si="3"/>
        <v>0</v>
      </c>
      <c r="M78" s="26">
        <f t="shared" si="3"/>
        <v>0</v>
      </c>
      <c r="N78" s="26">
        <f t="shared" si="3"/>
        <v>0</v>
      </c>
      <c r="O78" s="26">
        <f t="shared" si="3"/>
        <v>0</v>
      </c>
      <c r="P78" s="26">
        <f t="shared" si="3"/>
        <v>0</v>
      </c>
      <c r="Q78" s="26">
        <f t="shared" si="3"/>
        <v>9</v>
      </c>
    </row>
    <row r="79" spans="1:17" x14ac:dyDescent="0.25">
      <c r="H79" s="24">
        <f>-7*17</f>
        <v>-119</v>
      </c>
      <c r="I79" s="24">
        <f>2*17</f>
        <v>34</v>
      </c>
    </row>
    <row r="80" spans="1:17" x14ac:dyDescent="0.25">
      <c r="A80" s="26" t="s">
        <v>26</v>
      </c>
      <c r="C80" s="80" t="s">
        <v>78</v>
      </c>
      <c r="D80" s="80"/>
      <c r="E80" s="27" t="s">
        <v>79</v>
      </c>
      <c r="H80" s="24">
        <f>-3*25</f>
        <v>-75</v>
      </c>
      <c r="I80" s="24">
        <f>1*30</f>
        <v>30</v>
      </c>
      <c r="K80" s="28" t="s">
        <v>2736</v>
      </c>
      <c r="L80" s="28" t="s">
        <v>80</v>
      </c>
      <c r="M80" s="28" t="s">
        <v>79</v>
      </c>
      <c r="O80" s="27"/>
    </row>
    <row r="81" spans="1:16" x14ac:dyDescent="0.25">
      <c r="A81" s="24" t="s">
        <v>2657</v>
      </c>
      <c r="B81" s="29" t="s">
        <v>82</v>
      </c>
      <c r="C81" s="81">
        <f>SUMIFS(I$68:I$76,B$68:B$76,A$80,L$68:L$76,A$81)</f>
        <v>8900</v>
      </c>
      <c r="D81" s="81"/>
      <c r="E81" s="29">
        <f>SUMIFS(Q$68:Q$76,B$68:B$76,A$80,L$68:L$76,A$81)</f>
        <v>9</v>
      </c>
      <c r="F81" s="24" t="s">
        <v>83</v>
      </c>
      <c r="H81" s="24">
        <f>-1*30</f>
        <v>-30</v>
      </c>
      <c r="K81" s="24" t="s">
        <v>84</v>
      </c>
      <c r="L81" s="24">
        <f>SUMIFS(G$68:G$76,J$68:J$76,K$80)</f>
        <v>9170</v>
      </c>
      <c r="M81" s="24">
        <f>SUMIFS(Q$68:Q$76,J$68:J$76,K$80)-INT(COUNTIFS(J$68:J$76,K$80,M$68:M$76,"*gộp*")/2)</f>
        <v>9</v>
      </c>
    </row>
    <row r="82" spans="1:16" x14ac:dyDescent="0.25">
      <c r="B82" s="30" t="s">
        <v>86</v>
      </c>
      <c r="C82" s="82">
        <v>0</v>
      </c>
      <c r="D82" s="82"/>
      <c r="K82" s="24" t="s">
        <v>87</v>
      </c>
      <c r="L82" s="24">
        <f>-SUMIFS(H$68:H$76,J$68:J$76,K$80)+M82*5</f>
        <v>-225</v>
      </c>
      <c r="M82" s="24">
        <f>SUMIFS(Q$68:Q$76,J$68:J$76,K$80)-INT(COUNTIFS(J$68:J$76,K$80,M$68:M$76,"*gộp*")/2)</f>
        <v>9</v>
      </c>
    </row>
    <row r="83" spans="1:16" x14ac:dyDescent="0.25">
      <c r="B83" s="30" t="s">
        <v>88</v>
      </c>
      <c r="C83" s="82">
        <f>-SUMIFS(I$68:I$76,B$68:B$76,A$80,P$68:P$76,"xx",N$68:N$76,"x")</f>
        <v>0</v>
      </c>
      <c r="D83" s="82"/>
      <c r="E83" s="30">
        <f>SUMIFS(Q$3:Q$38,B$3:B$38,A$42,P$3:P$38,"xx",N$3:N$38,"x")</f>
        <v>5</v>
      </c>
      <c r="K83" s="24" t="s">
        <v>89</v>
      </c>
      <c r="L83" s="24">
        <f>-M83*2</f>
        <v>0</v>
      </c>
      <c r="M83" s="24">
        <f>COUNTIFS(K$68:K$76,K$80,L$68:L$76,A$81)-(COUNTIFS(K$68:K$76,K$80,M$68:M$76,"*gộp*")/2)-COUNTIFS(K$68:K$76,K$80,M$68:M$76,"*đơn trả*")-COUNTIFS(K$68:K$76,K$80,M$68:M$76,"*hàng tỉnh*")</f>
        <v>0</v>
      </c>
    </row>
    <row r="84" spans="1:16" x14ac:dyDescent="0.25">
      <c r="B84" s="27" t="s">
        <v>90</v>
      </c>
      <c r="C84" s="80">
        <f>SUBTOTAL(9,C81:C83)</f>
        <v>8900</v>
      </c>
      <c r="D84" s="80"/>
      <c r="E84" s="24">
        <f>E81</f>
        <v>9</v>
      </c>
      <c r="K84" s="31" t="s">
        <v>91</v>
      </c>
    </row>
    <row r="85" spans="1:16" x14ac:dyDescent="0.25">
      <c r="B85" s="30" t="s">
        <v>93</v>
      </c>
      <c r="C85" s="78"/>
      <c r="D85" s="78"/>
      <c r="K85" s="30" t="s">
        <v>94</v>
      </c>
      <c r="O85" s="27"/>
      <c r="P85" s="27"/>
    </row>
    <row r="86" spans="1:16" x14ac:dyDescent="0.25">
      <c r="B86" s="32" t="s">
        <v>96</v>
      </c>
      <c r="C86" s="78"/>
      <c r="D86" s="78"/>
      <c r="L86" s="33">
        <f>SUBTOTAL(9,L81:L85)</f>
        <v>8945</v>
      </c>
      <c r="M86" s="33">
        <f>M81</f>
        <v>9</v>
      </c>
    </row>
  </sheetData>
  <autoFilter ref="A2:P38" xr:uid="{00000000-0009-0000-0000-000000000000}">
    <sortState xmlns:xlrd2="http://schemas.microsoft.com/office/spreadsheetml/2017/richdata2" ref="A3:P38">
      <sortCondition ref="J2:J38"/>
    </sortState>
  </autoFilter>
  <mergeCells count="15">
    <mergeCell ref="C47:D47"/>
    <mergeCell ref="C42:D42"/>
    <mergeCell ref="C43:D43"/>
    <mergeCell ref="C44:D44"/>
    <mergeCell ref="C45:D45"/>
    <mergeCell ref="C46:D46"/>
    <mergeCell ref="C84:D84"/>
    <mergeCell ref="C85:D85"/>
    <mergeCell ref="C86:D86"/>
    <mergeCell ref="C48:D48"/>
    <mergeCell ref="C50:D50"/>
    <mergeCell ref="C80:D80"/>
    <mergeCell ref="C81:D81"/>
    <mergeCell ref="C82:D82"/>
    <mergeCell ref="C83:D83"/>
  </mergeCells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F497-E7DA-413F-8BCD-DEF61E987103}">
  <dimension ref="A1:R80"/>
  <sheetViews>
    <sheetView topLeftCell="A32" workbookViewId="0">
      <selection activeCell="J48" sqref="J48"/>
    </sheetView>
  </sheetViews>
  <sheetFormatPr defaultRowHeight="15" x14ac:dyDescent="0.25"/>
  <cols>
    <col min="1" max="1" width="12.7109375" style="24" customWidth="1"/>
    <col min="2" max="2" width="9.140625" style="24" customWidth="1"/>
    <col min="3" max="3" width="26.140625" style="24" customWidth="1"/>
    <col min="4" max="4" width="9.85546875" style="24" customWidth="1"/>
    <col min="5" max="5" width="72.5703125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0.42578125" style="24" customWidth="1"/>
    <col min="13" max="13" width="13.85546875" style="24" customWidth="1"/>
    <col min="14" max="14" width="9.7109375" style="24" customWidth="1"/>
    <col min="15" max="15" width="10.42578125" style="24" customWidth="1"/>
    <col min="16" max="16" width="7" style="24" bestFit="1" customWidth="1"/>
    <col min="17" max="16384" width="9.140625" style="24"/>
  </cols>
  <sheetData>
    <row r="1" spans="1:18" customFormat="1" x14ac:dyDescent="0.25">
      <c r="B1" s="4" t="s">
        <v>1169</v>
      </c>
      <c r="C1" s="4" t="s">
        <v>2856</v>
      </c>
      <c r="F1" s="65"/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/>
      <c r="B3" s="35" t="s">
        <v>26</v>
      </c>
      <c r="C3" s="35" t="s">
        <v>2740</v>
      </c>
      <c r="D3" s="35" t="s">
        <v>2741</v>
      </c>
      <c r="E3" s="35" t="s">
        <v>2742</v>
      </c>
      <c r="F3" s="35" t="s">
        <v>45</v>
      </c>
      <c r="G3" s="36">
        <v>885</v>
      </c>
      <c r="H3" s="36">
        <v>25</v>
      </c>
      <c r="I3" s="36">
        <f t="shared" ref="I3:I34" si="0">G3-H3</f>
        <v>860</v>
      </c>
      <c r="J3" s="35" t="s">
        <v>2743</v>
      </c>
      <c r="K3" s="35" t="s">
        <v>31</v>
      </c>
      <c r="L3" s="35" t="s">
        <v>2739</v>
      </c>
      <c r="M3" s="35"/>
      <c r="N3" s="35"/>
      <c r="O3" s="35"/>
      <c r="P3" s="35"/>
      <c r="Q3" s="35">
        <v>1</v>
      </c>
    </row>
    <row r="4" spans="1:18" x14ac:dyDescent="0.25">
      <c r="A4" s="35"/>
      <c r="B4" s="35" t="s">
        <v>26</v>
      </c>
      <c r="C4" s="35" t="s">
        <v>2747</v>
      </c>
      <c r="D4" s="35" t="s">
        <v>2748</v>
      </c>
      <c r="E4" s="35" t="s">
        <v>2749</v>
      </c>
      <c r="F4" s="36">
        <v>12</v>
      </c>
      <c r="G4" s="36">
        <v>30</v>
      </c>
      <c r="H4" s="36">
        <v>30</v>
      </c>
      <c r="I4" s="36">
        <f t="shared" si="0"/>
        <v>0</v>
      </c>
      <c r="J4" s="35" t="s">
        <v>2743</v>
      </c>
      <c r="K4" s="35" t="s">
        <v>31</v>
      </c>
      <c r="L4" s="35" t="s">
        <v>2739</v>
      </c>
      <c r="M4" s="35"/>
      <c r="N4" s="35"/>
      <c r="O4" s="35"/>
      <c r="P4" s="35"/>
      <c r="Q4" s="35">
        <v>1</v>
      </c>
    </row>
    <row r="5" spans="1:18" x14ac:dyDescent="0.25">
      <c r="A5" s="35"/>
      <c r="B5" s="35" t="s">
        <v>26</v>
      </c>
      <c r="C5" s="35" t="s">
        <v>1710</v>
      </c>
      <c r="D5" s="35" t="s">
        <v>2755</v>
      </c>
      <c r="E5" s="35" t="s">
        <v>2756</v>
      </c>
      <c r="F5" s="35" t="s">
        <v>77</v>
      </c>
      <c r="G5" s="36">
        <v>0</v>
      </c>
      <c r="H5" s="36">
        <v>30</v>
      </c>
      <c r="I5" s="36">
        <f t="shared" si="0"/>
        <v>-30</v>
      </c>
      <c r="J5" s="35" t="s">
        <v>2743</v>
      </c>
      <c r="K5" s="35" t="s">
        <v>31</v>
      </c>
      <c r="L5" s="35" t="s">
        <v>2739</v>
      </c>
      <c r="M5" s="35"/>
      <c r="N5" s="35"/>
      <c r="O5" s="35"/>
      <c r="P5" s="35"/>
      <c r="Q5" s="35">
        <v>1</v>
      </c>
      <c r="R5" s="25">
        <f>H5</f>
        <v>30</v>
      </c>
    </row>
    <row r="6" spans="1:18" x14ac:dyDescent="0.25">
      <c r="A6" s="35"/>
      <c r="B6" s="35" t="s">
        <v>26</v>
      </c>
      <c r="C6" s="35" t="s">
        <v>2757</v>
      </c>
      <c r="D6" s="35" t="s">
        <v>2758</v>
      </c>
      <c r="E6" s="35" t="s">
        <v>2759</v>
      </c>
      <c r="F6" s="35" t="s">
        <v>117</v>
      </c>
      <c r="G6" s="36">
        <v>925</v>
      </c>
      <c r="H6" s="36">
        <v>35</v>
      </c>
      <c r="I6" s="36">
        <f t="shared" si="0"/>
        <v>890</v>
      </c>
      <c r="J6" s="35" t="s">
        <v>2743</v>
      </c>
      <c r="K6" s="35" t="s">
        <v>31</v>
      </c>
      <c r="L6" s="35" t="s">
        <v>2739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2763</v>
      </c>
      <c r="D7" s="35" t="s">
        <v>2764</v>
      </c>
      <c r="E7" s="35" t="s">
        <v>2765</v>
      </c>
      <c r="F7" s="35" t="s">
        <v>45</v>
      </c>
      <c r="G7" s="36">
        <v>0</v>
      </c>
      <c r="H7" s="36">
        <v>25</v>
      </c>
      <c r="I7" s="36">
        <f t="shared" si="0"/>
        <v>-25</v>
      </c>
      <c r="J7" s="35" t="s">
        <v>2743</v>
      </c>
      <c r="K7" s="35" t="s">
        <v>31</v>
      </c>
      <c r="L7" s="35" t="s">
        <v>2739</v>
      </c>
      <c r="M7" s="35"/>
      <c r="N7" s="35"/>
      <c r="O7" s="35"/>
      <c r="P7" s="35"/>
      <c r="Q7" s="35">
        <v>1</v>
      </c>
      <c r="R7" s="25">
        <f t="shared" ref="R7:R9" si="1">H7</f>
        <v>25</v>
      </c>
    </row>
    <row r="8" spans="1:18" x14ac:dyDescent="0.25">
      <c r="A8" s="35"/>
      <c r="B8" s="35" t="s">
        <v>26</v>
      </c>
      <c r="C8" s="35" t="s">
        <v>1642</v>
      </c>
      <c r="D8" s="35" t="s">
        <v>2767</v>
      </c>
      <c r="E8" s="35" t="s">
        <v>2768</v>
      </c>
      <c r="F8" s="36">
        <v>6</v>
      </c>
      <c r="G8" s="36">
        <v>0</v>
      </c>
      <c r="H8" s="36">
        <v>25</v>
      </c>
      <c r="I8" s="36">
        <f t="shared" si="0"/>
        <v>-25</v>
      </c>
      <c r="J8" s="35" t="s">
        <v>2743</v>
      </c>
      <c r="K8" s="35" t="s">
        <v>31</v>
      </c>
      <c r="L8" s="35" t="s">
        <v>2739</v>
      </c>
      <c r="M8" s="35"/>
      <c r="N8" s="35"/>
      <c r="O8" s="35"/>
      <c r="P8" s="35"/>
      <c r="Q8" s="35">
        <v>1</v>
      </c>
      <c r="R8" s="25">
        <f t="shared" si="1"/>
        <v>25</v>
      </c>
    </row>
    <row r="9" spans="1:18" x14ac:dyDescent="0.25">
      <c r="A9" s="35"/>
      <c r="B9" s="35" t="s">
        <v>26</v>
      </c>
      <c r="C9" s="35" t="s">
        <v>2769</v>
      </c>
      <c r="D9" s="35" t="s">
        <v>2770</v>
      </c>
      <c r="E9" s="35" t="s">
        <v>2771</v>
      </c>
      <c r="F9" s="35" t="s">
        <v>77</v>
      </c>
      <c r="G9" s="36">
        <v>0</v>
      </c>
      <c r="H9" s="36">
        <v>30</v>
      </c>
      <c r="I9" s="36">
        <f t="shared" si="0"/>
        <v>-30</v>
      </c>
      <c r="J9" s="35" t="s">
        <v>2743</v>
      </c>
      <c r="K9" s="35" t="s">
        <v>31</v>
      </c>
      <c r="L9" s="35" t="s">
        <v>2739</v>
      </c>
      <c r="M9" s="35"/>
      <c r="N9" s="35"/>
      <c r="O9" s="35"/>
      <c r="P9" s="35"/>
      <c r="Q9" s="35">
        <v>1</v>
      </c>
      <c r="R9" s="25">
        <f t="shared" si="1"/>
        <v>30</v>
      </c>
    </row>
    <row r="10" spans="1:18" x14ac:dyDescent="0.25">
      <c r="A10" s="35"/>
      <c r="B10" s="35" t="s">
        <v>26</v>
      </c>
      <c r="C10" s="35" t="s">
        <v>2772</v>
      </c>
      <c r="D10" s="35" t="s">
        <v>2773</v>
      </c>
      <c r="E10" s="35" t="s">
        <v>2774</v>
      </c>
      <c r="F10" s="35" t="s">
        <v>45</v>
      </c>
      <c r="G10" s="36">
        <v>915</v>
      </c>
      <c r="H10" s="36">
        <v>25</v>
      </c>
      <c r="I10" s="36">
        <f t="shared" si="0"/>
        <v>890</v>
      </c>
      <c r="J10" s="35" t="s">
        <v>2743</v>
      </c>
      <c r="K10" s="35" t="s">
        <v>31</v>
      </c>
      <c r="L10" s="35" t="s">
        <v>2739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2775</v>
      </c>
      <c r="D11" s="35" t="s">
        <v>2776</v>
      </c>
      <c r="E11" s="35" t="s">
        <v>2777</v>
      </c>
      <c r="F11" s="35" t="s">
        <v>77</v>
      </c>
      <c r="G11" s="36">
        <v>790</v>
      </c>
      <c r="H11" s="36">
        <v>30</v>
      </c>
      <c r="I11" s="36">
        <f t="shared" si="0"/>
        <v>760</v>
      </c>
      <c r="J11" s="35" t="s">
        <v>2743</v>
      </c>
      <c r="K11" s="35" t="s">
        <v>31</v>
      </c>
      <c r="L11" s="35" t="s">
        <v>2739</v>
      </c>
      <c r="M11" s="35"/>
      <c r="N11" s="35"/>
      <c r="O11" s="35"/>
      <c r="P11" s="35"/>
      <c r="Q11" s="35">
        <v>1</v>
      </c>
    </row>
    <row r="12" spans="1:18" x14ac:dyDescent="0.25">
      <c r="A12" s="35"/>
      <c r="B12" s="35" t="s">
        <v>26</v>
      </c>
      <c r="C12" s="35" t="s">
        <v>1880</v>
      </c>
      <c r="D12" s="35" t="s">
        <v>2778</v>
      </c>
      <c r="E12" s="35" t="s">
        <v>2479</v>
      </c>
      <c r="F12" s="35" t="s">
        <v>77</v>
      </c>
      <c r="G12" s="36">
        <v>1690</v>
      </c>
      <c r="H12" s="36">
        <v>30</v>
      </c>
      <c r="I12" s="36">
        <f t="shared" si="0"/>
        <v>1660</v>
      </c>
      <c r="J12" s="35" t="s">
        <v>2743</v>
      </c>
      <c r="K12" s="35" t="s">
        <v>31</v>
      </c>
      <c r="L12" s="35" t="s">
        <v>2739</v>
      </c>
      <c r="M12" s="35"/>
      <c r="N12" s="35"/>
      <c r="O12" s="35"/>
      <c r="P12" s="35"/>
      <c r="Q12" s="35">
        <v>1</v>
      </c>
    </row>
    <row r="13" spans="1:18" x14ac:dyDescent="0.25">
      <c r="A13" s="35"/>
      <c r="B13" s="35" t="s">
        <v>26</v>
      </c>
      <c r="C13" s="35" t="s">
        <v>1594</v>
      </c>
      <c r="D13" s="35" t="s">
        <v>2794</v>
      </c>
      <c r="E13" s="35" t="s">
        <v>758</v>
      </c>
      <c r="F13" s="35" t="s">
        <v>117</v>
      </c>
      <c r="G13" s="36">
        <v>825</v>
      </c>
      <c r="H13" s="36">
        <v>35</v>
      </c>
      <c r="I13" s="36">
        <f t="shared" si="0"/>
        <v>790</v>
      </c>
      <c r="J13" s="35" t="s">
        <v>2743</v>
      </c>
      <c r="K13" s="35" t="s">
        <v>31</v>
      </c>
      <c r="L13" s="35" t="s">
        <v>2739</v>
      </c>
      <c r="M13" s="35"/>
      <c r="N13" s="35"/>
      <c r="O13" s="35"/>
      <c r="P13" s="35"/>
      <c r="Q13" s="35">
        <v>1</v>
      </c>
    </row>
    <row r="14" spans="1:18" x14ac:dyDescent="0.25">
      <c r="A14" s="35"/>
      <c r="B14" s="35" t="s">
        <v>26</v>
      </c>
      <c r="C14" s="35" t="s">
        <v>2804</v>
      </c>
      <c r="D14" s="35" t="s">
        <v>2805</v>
      </c>
      <c r="E14" s="35" t="s">
        <v>2806</v>
      </c>
      <c r="F14" s="36">
        <v>11</v>
      </c>
      <c r="G14" s="36">
        <v>915</v>
      </c>
      <c r="H14" s="36">
        <v>25</v>
      </c>
      <c r="I14" s="36">
        <f t="shared" si="0"/>
        <v>890</v>
      </c>
      <c r="J14" s="35" t="s">
        <v>2743</v>
      </c>
      <c r="K14" s="35" t="s">
        <v>31</v>
      </c>
      <c r="L14" s="35" t="s">
        <v>2739</v>
      </c>
      <c r="M14" s="35"/>
      <c r="N14" s="35"/>
      <c r="O14" s="35"/>
      <c r="P14" s="35"/>
      <c r="Q14" s="35">
        <v>1</v>
      </c>
    </row>
    <row r="15" spans="1:18" x14ac:dyDescent="0.25">
      <c r="A15" s="35"/>
      <c r="B15" s="35" t="s">
        <v>26</v>
      </c>
      <c r="C15" s="35" t="s">
        <v>2809</v>
      </c>
      <c r="D15" s="35" t="s">
        <v>2810</v>
      </c>
      <c r="E15" s="35" t="s">
        <v>2811</v>
      </c>
      <c r="F15" s="36">
        <v>7</v>
      </c>
      <c r="G15" s="36">
        <v>1410</v>
      </c>
      <c r="H15" s="36">
        <v>30</v>
      </c>
      <c r="I15" s="36">
        <f t="shared" si="0"/>
        <v>1380</v>
      </c>
      <c r="J15" s="35" t="s">
        <v>2743</v>
      </c>
      <c r="K15" s="35" t="s">
        <v>31</v>
      </c>
      <c r="L15" s="35" t="s">
        <v>2739</v>
      </c>
      <c r="M15" s="35"/>
      <c r="N15" s="35"/>
      <c r="O15" s="35"/>
      <c r="P15" s="35"/>
      <c r="Q15" s="35">
        <v>1</v>
      </c>
    </row>
    <row r="16" spans="1:18" x14ac:dyDescent="0.25">
      <c r="A16" s="35"/>
      <c r="B16" s="35" t="s">
        <v>26</v>
      </c>
      <c r="C16" s="35" t="s">
        <v>2376</v>
      </c>
      <c r="D16" s="35" t="s">
        <v>2818</v>
      </c>
      <c r="E16" s="35" t="s">
        <v>2378</v>
      </c>
      <c r="F16" s="35" t="s">
        <v>121</v>
      </c>
      <c r="G16" s="36">
        <v>725</v>
      </c>
      <c r="H16" s="36">
        <v>35</v>
      </c>
      <c r="I16" s="36">
        <f t="shared" si="0"/>
        <v>690</v>
      </c>
      <c r="J16" s="35" t="s">
        <v>2743</v>
      </c>
      <c r="K16" s="35" t="s">
        <v>31</v>
      </c>
      <c r="L16" s="35" t="s">
        <v>2739</v>
      </c>
      <c r="M16" s="35"/>
      <c r="N16" s="35"/>
      <c r="O16" s="35"/>
      <c r="P16" s="35"/>
      <c r="Q16" s="35">
        <v>1</v>
      </c>
    </row>
    <row r="17" spans="1:18" x14ac:dyDescent="0.25">
      <c r="A17" s="35"/>
      <c r="B17" s="35" t="s">
        <v>26</v>
      </c>
      <c r="C17" s="35" t="s">
        <v>1350</v>
      </c>
      <c r="D17" s="35" t="s">
        <v>2823</v>
      </c>
      <c r="E17" s="35" t="s">
        <v>2824</v>
      </c>
      <c r="F17" s="36">
        <v>7</v>
      </c>
      <c r="G17" s="36">
        <v>790</v>
      </c>
      <c r="H17" s="36">
        <v>30</v>
      </c>
      <c r="I17" s="36">
        <f t="shared" si="0"/>
        <v>760</v>
      </c>
      <c r="J17" s="35" t="s">
        <v>2743</v>
      </c>
      <c r="K17" s="35" t="s">
        <v>31</v>
      </c>
      <c r="L17" s="35" t="s">
        <v>2739</v>
      </c>
      <c r="M17" s="35"/>
      <c r="N17" s="35"/>
      <c r="O17" s="35"/>
      <c r="P17" s="35"/>
      <c r="Q17" s="35">
        <v>1</v>
      </c>
    </row>
    <row r="18" spans="1:18" x14ac:dyDescent="0.25">
      <c r="A18" s="35"/>
      <c r="B18" s="35" t="s">
        <v>26</v>
      </c>
      <c r="C18" s="35" t="s">
        <v>2831</v>
      </c>
      <c r="D18" s="35" t="s">
        <v>2832</v>
      </c>
      <c r="E18" s="35" t="s">
        <v>2833</v>
      </c>
      <c r="F18" s="36">
        <v>8</v>
      </c>
      <c r="G18" s="36">
        <v>490</v>
      </c>
      <c r="H18" s="36">
        <v>30</v>
      </c>
      <c r="I18" s="36">
        <f t="shared" si="0"/>
        <v>460</v>
      </c>
      <c r="J18" s="35" t="s">
        <v>2743</v>
      </c>
      <c r="K18" s="35" t="s">
        <v>31</v>
      </c>
      <c r="L18" s="35" t="s">
        <v>2739</v>
      </c>
      <c r="M18" s="35"/>
      <c r="N18" s="35"/>
      <c r="O18" s="35"/>
      <c r="P18" s="35"/>
      <c r="Q18" s="35">
        <v>1</v>
      </c>
    </row>
    <row r="19" spans="1:18" x14ac:dyDescent="0.25">
      <c r="A19" s="35"/>
      <c r="B19" s="35" t="s">
        <v>26</v>
      </c>
      <c r="C19" s="35" t="s">
        <v>2525</v>
      </c>
      <c r="D19" s="35" t="s">
        <v>2834</v>
      </c>
      <c r="E19" s="35" t="s">
        <v>2527</v>
      </c>
      <c r="F19" s="36">
        <v>6</v>
      </c>
      <c r="G19" s="36">
        <v>1005</v>
      </c>
      <c r="H19" s="36">
        <v>25</v>
      </c>
      <c r="I19" s="36">
        <f t="shared" si="0"/>
        <v>980</v>
      </c>
      <c r="J19" s="35" t="s">
        <v>2743</v>
      </c>
      <c r="K19" s="35" t="s">
        <v>31</v>
      </c>
      <c r="L19" s="35" t="s">
        <v>2739</v>
      </c>
      <c r="M19" s="35"/>
      <c r="N19" s="35"/>
      <c r="O19" s="35"/>
      <c r="P19" s="35"/>
      <c r="Q19" s="35">
        <v>1</v>
      </c>
    </row>
    <row r="20" spans="1:18" x14ac:dyDescent="0.25">
      <c r="A20" s="35"/>
      <c r="B20" s="35" t="s">
        <v>26</v>
      </c>
      <c r="C20" s="35" t="s">
        <v>1353</v>
      </c>
      <c r="D20" s="35" t="s">
        <v>2838</v>
      </c>
      <c r="E20" s="35" t="s">
        <v>2839</v>
      </c>
      <c r="F20" s="36">
        <v>12</v>
      </c>
      <c r="G20" s="36">
        <v>790</v>
      </c>
      <c r="H20" s="36">
        <v>30</v>
      </c>
      <c r="I20" s="36">
        <f t="shared" si="0"/>
        <v>760</v>
      </c>
      <c r="J20" s="35" t="s">
        <v>2743</v>
      </c>
      <c r="K20" s="35" t="s">
        <v>31</v>
      </c>
      <c r="L20" s="35" t="s">
        <v>2739</v>
      </c>
      <c r="M20" s="35"/>
      <c r="N20" s="35"/>
      <c r="O20" s="35"/>
      <c r="P20" s="35"/>
      <c r="Q20" s="35">
        <v>1</v>
      </c>
    </row>
    <row r="21" spans="1:18" x14ac:dyDescent="0.25">
      <c r="A21" s="35"/>
      <c r="B21" s="35" t="s">
        <v>26</v>
      </c>
      <c r="C21" s="35" t="s">
        <v>2840</v>
      </c>
      <c r="D21" s="35" t="s">
        <v>2841</v>
      </c>
      <c r="E21" s="35" t="s">
        <v>2842</v>
      </c>
      <c r="F21" s="35" t="s">
        <v>45</v>
      </c>
      <c r="G21" s="36">
        <v>1965</v>
      </c>
      <c r="H21" s="36">
        <v>25</v>
      </c>
      <c r="I21" s="36">
        <f t="shared" si="0"/>
        <v>1940</v>
      </c>
      <c r="J21" s="35" t="s">
        <v>2743</v>
      </c>
      <c r="K21" s="35" t="s">
        <v>31</v>
      </c>
      <c r="L21" s="35" t="s">
        <v>2739</v>
      </c>
      <c r="M21" s="35"/>
      <c r="N21" s="35"/>
      <c r="O21" s="35"/>
      <c r="P21" s="35"/>
      <c r="Q21" s="35">
        <v>1</v>
      </c>
    </row>
    <row r="22" spans="1:18" x14ac:dyDescent="0.25">
      <c r="A22" s="35"/>
      <c r="B22" s="35" t="s">
        <v>26</v>
      </c>
      <c r="C22" s="35" t="s">
        <v>2843</v>
      </c>
      <c r="D22" s="35" t="s">
        <v>2844</v>
      </c>
      <c r="E22" s="35" t="s">
        <v>2845</v>
      </c>
      <c r="F22" s="35" t="s">
        <v>121</v>
      </c>
      <c r="G22" s="36">
        <v>3310</v>
      </c>
      <c r="H22" s="36">
        <v>45</v>
      </c>
      <c r="I22" s="36">
        <f t="shared" si="0"/>
        <v>3265</v>
      </c>
      <c r="J22" s="35" t="s">
        <v>2743</v>
      </c>
      <c r="K22" s="35" t="s">
        <v>31</v>
      </c>
      <c r="L22" s="35" t="s">
        <v>2739</v>
      </c>
      <c r="M22" s="38" t="s">
        <v>59</v>
      </c>
      <c r="N22" s="35"/>
      <c r="O22" s="35"/>
      <c r="P22" s="35"/>
      <c r="Q22" s="35">
        <v>1</v>
      </c>
      <c r="R22" s="25">
        <f>H22</f>
        <v>45</v>
      </c>
    </row>
    <row r="23" spans="1:18" x14ac:dyDescent="0.25">
      <c r="A23" s="35" t="s">
        <v>66</v>
      </c>
      <c r="B23" s="35" t="s">
        <v>26</v>
      </c>
      <c r="C23" s="35" t="s">
        <v>67</v>
      </c>
      <c r="D23" s="35"/>
      <c r="E23" s="35" t="s">
        <v>2846</v>
      </c>
      <c r="F23" s="36">
        <v>6</v>
      </c>
      <c r="G23" s="36">
        <v>0</v>
      </c>
      <c r="H23" s="36">
        <v>30</v>
      </c>
      <c r="I23" s="36">
        <f t="shared" si="0"/>
        <v>-30</v>
      </c>
      <c r="J23" s="35" t="s">
        <v>2743</v>
      </c>
      <c r="K23" s="35" t="s">
        <v>31</v>
      </c>
      <c r="L23" s="35" t="s">
        <v>2739</v>
      </c>
      <c r="M23" s="35"/>
      <c r="N23" s="35"/>
      <c r="O23" s="35"/>
      <c r="P23" s="35"/>
      <c r="Q23" s="35">
        <v>1</v>
      </c>
      <c r="R23" s="25">
        <f>H23</f>
        <v>30</v>
      </c>
    </row>
    <row r="24" spans="1:18" x14ac:dyDescent="0.25">
      <c r="A24" s="35"/>
      <c r="B24" s="35" t="s">
        <v>26</v>
      </c>
      <c r="C24" s="35" t="s">
        <v>2744</v>
      </c>
      <c r="D24" s="35" t="s">
        <v>2745</v>
      </c>
      <c r="E24" s="35" t="s">
        <v>2746</v>
      </c>
      <c r="F24" s="36">
        <v>2</v>
      </c>
      <c r="G24" s="36">
        <v>640</v>
      </c>
      <c r="H24" s="36">
        <v>30</v>
      </c>
      <c r="I24" s="36">
        <f t="shared" si="0"/>
        <v>610</v>
      </c>
      <c r="J24" s="35" t="s">
        <v>31</v>
      </c>
      <c r="K24" s="35" t="s">
        <v>31</v>
      </c>
      <c r="L24" s="35" t="s">
        <v>2739</v>
      </c>
      <c r="M24" s="35"/>
      <c r="N24" s="35"/>
      <c r="O24" s="35"/>
      <c r="P24" s="35"/>
      <c r="Q24" s="35">
        <v>1</v>
      </c>
    </row>
    <row r="25" spans="1:18" x14ac:dyDescent="0.25">
      <c r="A25" s="35"/>
      <c r="B25" s="35" t="s">
        <v>26</v>
      </c>
      <c r="C25" s="35" t="s">
        <v>2750</v>
      </c>
      <c r="D25" s="35" t="s">
        <v>2751</v>
      </c>
      <c r="E25" s="35" t="s">
        <v>1849</v>
      </c>
      <c r="F25" s="36">
        <v>12</v>
      </c>
      <c r="G25" s="36">
        <v>0</v>
      </c>
      <c r="H25" s="36">
        <v>30</v>
      </c>
      <c r="I25" s="36">
        <f t="shared" si="0"/>
        <v>-30</v>
      </c>
      <c r="J25" s="35" t="s">
        <v>31</v>
      </c>
      <c r="K25" s="35" t="s">
        <v>31</v>
      </c>
      <c r="L25" s="35" t="s">
        <v>2739</v>
      </c>
      <c r="M25" s="35"/>
      <c r="N25" s="35"/>
      <c r="O25" s="35"/>
      <c r="P25" s="35"/>
      <c r="Q25" s="35">
        <v>1</v>
      </c>
      <c r="R25" s="25">
        <f>H25</f>
        <v>30</v>
      </c>
    </row>
    <row r="26" spans="1:18" x14ac:dyDescent="0.25">
      <c r="A26" s="35"/>
      <c r="B26" s="35" t="s">
        <v>26</v>
      </c>
      <c r="C26" s="35" t="s">
        <v>2752</v>
      </c>
      <c r="D26" s="35" t="s">
        <v>2753</v>
      </c>
      <c r="E26" s="35" t="s">
        <v>2754</v>
      </c>
      <c r="F26" s="35" t="s">
        <v>58</v>
      </c>
      <c r="G26" s="36">
        <v>890</v>
      </c>
      <c r="H26" s="36">
        <v>20</v>
      </c>
      <c r="I26" s="36">
        <f t="shared" si="0"/>
        <v>870</v>
      </c>
      <c r="J26" s="35" t="s">
        <v>31</v>
      </c>
      <c r="K26" s="35" t="s">
        <v>31</v>
      </c>
      <c r="L26" s="35" t="s">
        <v>2739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2760</v>
      </c>
      <c r="D27" s="35" t="s">
        <v>2761</v>
      </c>
      <c r="E27" s="35" t="s">
        <v>2762</v>
      </c>
      <c r="F27" s="35" t="s">
        <v>36</v>
      </c>
      <c r="G27" s="36">
        <v>1525</v>
      </c>
      <c r="H27" s="36">
        <v>25</v>
      </c>
      <c r="I27" s="36">
        <f t="shared" si="0"/>
        <v>1500</v>
      </c>
      <c r="J27" s="35" t="s">
        <v>31</v>
      </c>
      <c r="K27" s="35" t="s">
        <v>31</v>
      </c>
      <c r="L27" s="35" t="s">
        <v>2739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1515</v>
      </c>
      <c r="D28" s="35" t="s">
        <v>2766</v>
      </c>
      <c r="E28" s="35" t="s">
        <v>57</v>
      </c>
      <c r="F28" s="35" t="s">
        <v>58</v>
      </c>
      <c r="G28" s="36">
        <v>1850</v>
      </c>
      <c r="H28" s="36">
        <v>20</v>
      </c>
      <c r="I28" s="36">
        <f t="shared" si="0"/>
        <v>1830</v>
      </c>
      <c r="J28" s="35" t="s">
        <v>31</v>
      </c>
      <c r="K28" s="35" t="s">
        <v>31</v>
      </c>
      <c r="L28" s="35" t="s">
        <v>2739</v>
      </c>
      <c r="M28" s="35"/>
      <c r="N28" s="35"/>
      <c r="O28" s="35"/>
      <c r="P28" s="35"/>
      <c r="Q28" s="35">
        <v>1</v>
      </c>
    </row>
    <row r="29" spans="1:18" x14ac:dyDescent="0.25">
      <c r="A29" s="35"/>
      <c r="B29" s="35" t="s">
        <v>26</v>
      </c>
      <c r="C29" s="35" t="s">
        <v>2779</v>
      </c>
      <c r="D29" s="35" t="s">
        <v>2780</v>
      </c>
      <c r="E29" s="35" t="s">
        <v>2781</v>
      </c>
      <c r="F29" s="35" t="s">
        <v>36</v>
      </c>
      <c r="G29" s="36">
        <v>935</v>
      </c>
      <c r="H29" s="36">
        <v>25</v>
      </c>
      <c r="I29" s="36">
        <f t="shared" si="0"/>
        <v>910</v>
      </c>
      <c r="J29" s="35" t="s">
        <v>31</v>
      </c>
      <c r="K29" s="35" t="s">
        <v>31</v>
      </c>
      <c r="L29" s="35" t="s">
        <v>2739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2785</v>
      </c>
      <c r="D30" s="35" t="s">
        <v>2786</v>
      </c>
      <c r="E30" s="35" t="s">
        <v>2787</v>
      </c>
      <c r="F30" s="35" t="s">
        <v>36</v>
      </c>
      <c r="G30" s="36">
        <v>705</v>
      </c>
      <c r="H30" s="36">
        <v>25</v>
      </c>
      <c r="I30" s="36">
        <f t="shared" si="0"/>
        <v>680</v>
      </c>
      <c r="J30" s="35" t="s">
        <v>31</v>
      </c>
      <c r="K30" s="35" t="s">
        <v>31</v>
      </c>
      <c r="L30" s="35" t="s">
        <v>2739</v>
      </c>
      <c r="M30" s="35"/>
      <c r="N30" s="35"/>
      <c r="O30" s="35"/>
      <c r="P30" s="35"/>
      <c r="Q30" s="35">
        <v>1</v>
      </c>
    </row>
    <row r="31" spans="1:18" x14ac:dyDescent="0.25">
      <c r="A31" s="35"/>
      <c r="B31" s="35" t="s">
        <v>26</v>
      </c>
      <c r="C31" s="35" t="s">
        <v>2795</v>
      </c>
      <c r="D31" s="35" t="s">
        <v>2796</v>
      </c>
      <c r="E31" s="35" t="s">
        <v>2797</v>
      </c>
      <c r="F31" s="35" t="s">
        <v>58</v>
      </c>
      <c r="G31" s="36">
        <v>1650</v>
      </c>
      <c r="H31" s="36">
        <v>20</v>
      </c>
      <c r="I31" s="36">
        <f t="shared" si="0"/>
        <v>1630</v>
      </c>
      <c r="J31" s="35" t="s">
        <v>31</v>
      </c>
      <c r="K31" s="35" t="s">
        <v>31</v>
      </c>
      <c r="L31" s="35" t="s">
        <v>2739</v>
      </c>
      <c r="M31" s="35"/>
      <c r="N31" s="35"/>
      <c r="O31" s="35"/>
      <c r="P31" s="35"/>
      <c r="Q31" s="35">
        <v>1</v>
      </c>
    </row>
    <row r="32" spans="1:18" x14ac:dyDescent="0.25">
      <c r="A32" s="35"/>
      <c r="B32" s="35" t="s">
        <v>26</v>
      </c>
      <c r="C32" s="35" t="s">
        <v>2798</v>
      </c>
      <c r="D32" s="35" t="s">
        <v>2799</v>
      </c>
      <c r="E32" s="35" t="s">
        <v>2800</v>
      </c>
      <c r="F32" s="36">
        <v>2</v>
      </c>
      <c r="G32" s="36">
        <v>790</v>
      </c>
      <c r="H32" s="36">
        <v>30</v>
      </c>
      <c r="I32" s="36">
        <f t="shared" si="0"/>
        <v>760</v>
      </c>
      <c r="J32" s="35" t="s">
        <v>31</v>
      </c>
      <c r="K32" s="35" t="s">
        <v>31</v>
      </c>
      <c r="L32" s="35" t="s">
        <v>2739</v>
      </c>
      <c r="M32" s="35"/>
      <c r="N32" s="35"/>
      <c r="O32" s="35"/>
      <c r="P32" s="35"/>
      <c r="Q32" s="35">
        <v>1</v>
      </c>
    </row>
    <row r="33" spans="1:18" x14ac:dyDescent="0.25">
      <c r="A33" s="35"/>
      <c r="B33" s="35" t="s">
        <v>26</v>
      </c>
      <c r="C33" s="35" t="s">
        <v>753</v>
      </c>
      <c r="D33" s="35" t="s">
        <v>2807</v>
      </c>
      <c r="E33" s="35" t="s">
        <v>2808</v>
      </c>
      <c r="F33" s="35" t="s">
        <v>58</v>
      </c>
      <c r="G33" s="36">
        <v>780</v>
      </c>
      <c r="H33" s="36">
        <v>20</v>
      </c>
      <c r="I33" s="36">
        <f t="shared" si="0"/>
        <v>760</v>
      </c>
      <c r="J33" s="35" t="s">
        <v>31</v>
      </c>
      <c r="K33" s="35" t="s">
        <v>31</v>
      </c>
      <c r="L33" s="35" t="s">
        <v>2739</v>
      </c>
      <c r="M33" s="35"/>
      <c r="N33" s="35"/>
      <c r="O33" s="35"/>
      <c r="P33" s="35"/>
      <c r="Q33" s="35">
        <v>1</v>
      </c>
    </row>
    <row r="34" spans="1:18" x14ac:dyDescent="0.25">
      <c r="A34" s="35"/>
      <c r="B34" s="35" t="s">
        <v>26</v>
      </c>
      <c r="C34" s="35" t="s">
        <v>2815</v>
      </c>
      <c r="D34" s="35" t="s">
        <v>2816</v>
      </c>
      <c r="E34" s="35" t="s">
        <v>2817</v>
      </c>
      <c r="F34" s="35" t="s">
        <v>36</v>
      </c>
      <c r="G34" s="36">
        <v>1315</v>
      </c>
      <c r="H34" s="36">
        <v>25</v>
      </c>
      <c r="I34" s="36">
        <f t="shared" si="0"/>
        <v>1290</v>
      </c>
      <c r="J34" s="35" t="s">
        <v>31</v>
      </c>
      <c r="K34" s="35" t="s">
        <v>31</v>
      </c>
      <c r="L34" s="35" t="s">
        <v>2739</v>
      </c>
      <c r="M34" s="35"/>
      <c r="N34" s="35"/>
      <c r="O34" s="35"/>
      <c r="P34" s="35"/>
      <c r="Q34" s="35">
        <v>1</v>
      </c>
    </row>
    <row r="35" spans="1:18" x14ac:dyDescent="0.25">
      <c r="A35" s="35"/>
      <c r="B35" s="35" t="s">
        <v>26</v>
      </c>
      <c r="C35" s="35" t="s">
        <v>717</v>
      </c>
      <c r="D35" s="35" t="s">
        <v>2822</v>
      </c>
      <c r="E35" s="35" t="s">
        <v>719</v>
      </c>
      <c r="F35" s="35" t="s">
        <v>128</v>
      </c>
      <c r="G35" s="36">
        <v>720</v>
      </c>
      <c r="H35" s="36">
        <v>30</v>
      </c>
      <c r="I35" s="36">
        <f t="shared" ref="I35:I54" si="2">G35-H35</f>
        <v>690</v>
      </c>
      <c r="J35" s="35" t="s">
        <v>31</v>
      </c>
      <c r="K35" s="35" t="s">
        <v>31</v>
      </c>
      <c r="L35" s="35" t="s">
        <v>2739</v>
      </c>
      <c r="M35" s="35"/>
      <c r="N35" s="35"/>
      <c r="O35" s="35"/>
      <c r="P35" s="35"/>
      <c r="Q35" s="35">
        <v>1</v>
      </c>
    </row>
    <row r="36" spans="1:18" x14ac:dyDescent="0.25">
      <c r="A36" s="35"/>
      <c r="B36" s="35" t="s">
        <v>26</v>
      </c>
      <c r="C36" s="35" t="s">
        <v>2835</v>
      </c>
      <c r="D36" s="35" t="s">
        <v>2836</v>
      </c>
      <c r="E36" s="35" t="s">
        <v>2837</v>
      </c>
      <c r="F36" s="35" t="s">
        <v>128</v>
      </c>
      <c r="G36" s="36">
        <v>850</v>
      </c>
      <c r="H36" s="36">
        <v>30</v>
      </c>
      <c r="I36" s="36">
        <f t="shared" si="2"/>
        <v>820</v>
      </c>
      <c r="J36" s="35" t="s">
        <v>31</v>
      </c>
      <c r="K36" s="35" t="s">
        <v>31</v>
      </c>
      <c r="L36" s="35" t="s">
        <v>2739</v>
      </c>
      <c r="M36" s="35"/>
      <c r="N36" s="35"/>
      <c r="O36" s="35"/>
      <c r="P36" s="35"/>
      <c r="Q36" s="35">
        <v>1</v>
      </c>
    </row>
    <row r="37" spans="1:18" x14ac:dyDescent="0.25">
      <c r="A37" s="35" t="s">
        <v>66</v>
      </c>
      <c r="B37" s="35" t="s">
        <v>26</v>
      </c>
      <c r="C37" s="35" t="s">
        <v>1398</v>
      </c>
      <c r="D37" s="35"/>
      <c r="E37" s="35" t="s">
        <v>1849</v>
      </c>
      <c r="F37" s="36">
        <v>12</v>
      </c>
      <c r="G37" s="36">
        <v>0</v>
      </c>
      <c r="H37" s="36">
        <v>35</v>
      </c>
      <c r="I37" s="36">
        <f t="shared" si="2"/>
        <v>-35</v>
      </c>
      <c r="J37" s="35" t="s">
        <v>31</v>
      </c>
      <c r="K37" s="35" t="s">
        <v>31</v>
      </c>
      <c r="L37" s="35" t="s">
        <v>2739</v>
      </c>
      <c r="M37" s="35"/>
      <c r="N37" s="35"/>
      <c r="O37" s="35"/>
      <c r="P37" s="35"/>
      <c r="Q37" s="35">
        <v>1</v>
      </c>
      <c r="R37" s="25">
        <f>H37</f>
        <v>35</v>
      </c>
    </row>
    <row r="38" spans="1:18" x14ac:dyDescent="0.25">
      <c r="A38" s="35" t="s">
        <v>66</v>
      </c>
      <c r="B38" s="35" t="s">
        <v>26</v>
      </c>
      <c r="C38" s="35" t="s">
        <v>1898</v>
      </c>
      <c r="D38" s="35"/>
      <c r="E38" s="35" t="s">
        <v>2847</v>
      </c>
      <c r="F38" s="36">
        <v>9</v>
      </c>
      <c r="G38" s="36">
        <v>1655</v>
      </c>
      <c r="H38" s="36">
        <v>35</v>
      </c>
      <c r="I38" s="36">
        <f t="shared" si="2"/>
        <v>1620</v>
      </c>
      <c r="J38" s="35" t="s">
        <v>31</v>
      </c>
      <c r="K38" s="35" t="s">
        <v>31</v>
      </c>
      <c r="L38" s="35" t="s">
        <v>2739</v>
      </c>
      <c r="M38" s="35"/>
      <c r="N38" s="35"/>
      <c r="O38" s="35"/>
      <c r="P38" s="35"/>
      <c r="Q38" s="35">
        <v>1</v>
      </c>
    </row>
    <row r="39" spans="1:18" x14ac:dyDescent="0.25">
      <c r="A39" s="35" t="s">
        <v>66</v>
      </c>
      <c r="B39" s="35" t="s">
        <v>26</v>
      </c>
      <c r="C39" s="35" t="s">
        <v>1053</v>
      </c>
      <c r="D39" s="35"/>
      <c r="E39" s="35" t="s">
        <v>796</v>
      </c>
      <c r="F39" s="35" t="s">
        <v>36</v>
      </c>
      <c r="G39" s="36">
        <v>2300</v>
      </c>
      <c r="H39" s="36">
        <v>30</v>
      </c>
      <c r="I39" s="36">
        <f t="shared" si="2"/>
        <v>2270</v>
      </c>
      <c r="J39" s="35" t="s">
        <v>31</v>
      </c>
      <c r="K39" s="35" t="s">
        <v>31</v>
      </c>
      <c r="L39" s="35" t="s">
        <v>2739</v>
      </c>
      <c r="M39" s="35"/>
      <c r="N39" s="35"/>
      <c r="O39" s="35"/>
      <c r="P39" s="35"/>
      <c r="Q39" s="35">
        <v>1</v>
      </c>
    </row>
    <row r="40" spans="1:18" x14ac:dyDescent="0.25">
      <c r="A40" s="35" t="s">
        <v>66</v>
      </c>
      <c r="B40" s="35" t="s">
        <v>26</v>
      </c>
      <c r="C40" s="35" t="s">
        <v>1478</v>
      </c>
      <c r="D40" s="35"/>
      <c r="E40" s="35" t="s">
        <v>2854</v>
      </c>
      <c r="F40" s="36">
        <v>12</v>
      </c>
      <c r="G40" s="36">
        <v>0</v>
      </c>
      <c r="H40" s="36">
        <v>50</v>
      </c>
      <c r="I40" s="36">
        <f t="shared" si="2"/>
        <v>-50</v>
      </c>
      <c r="J40" s="35" t="s">
        <v>31</v>
      </c>
      <c r="K40" s="35" t="s">
        <v>31</v>
      </c>
      <c r="L40" s="35" t="s">
        <v>2739</v>
      </c>
      <c r="M40" s="35"/>
      <c r="N40" s="35"/>
      <c r="O40" s="35"/>
      <c r="P40" s="35"/>
      <c r="Q40" s="35">
        <v>1</v>
      </c>
      <c r="R40" s="25">
        <f>H40</f>
        <v>50</v>
      </c>
    </row>
    <row r="41" spans="1:18" s="41" customFormat="1" x14ac:dyDescent="0.25">
      <c r="A41" s="39"/>
      <c r="B41" s="39" t="s">
        <v>26</v>
      </c>
      <c r="C41" s="39" t="s">
        <v>2485</v>
      </c>
      <c r="D41" s="39" t="s">
        <v>2738</v>
      </c>
      <c r="E41" s="39" t="s">
        <v>2487</v>
      </c>
      <c r="F41" s="39" t="s">
        <v>101</v>
      </c>
      <c r="G41" s="40">
        <v>25</v>
      </c>
      <c r="H41" s="40">
        <v>25</v>
      </c>
      <c r="I41" s="40">
        <f t="shared" si="2"/>
        <v>0</v>
      </c>
      <c r="J41" s="39" t="s">
        <v>41</v>
      </c>
      <c r="K41" s="39" t="s">
        <v>31</v>
      </c>
      <c r="L41" s="39" t="s">
        <v>2739</v>
      </c>
      <c r="M41" s="39" t="s">
        <v>37</v>
      </c>
      <c r="N41" s="39"/>
      <c r="O41" s="39"/>
      <c r="P41" s="39"/>
      <c r="Q41" s="39">
        <v>1</v>
      </c>
    </row>
    <row r="42" spans="1:18" x14ac:dyDescent="0.25">
      <c r="A42" s="35"/>
      <c r="B42" s="35" t="s">
        <v>26</v>
      </c>
      <c r="C42" s="35" t="s">
        <v>2782</v>
      </c>
      <c r="D42" s="35" t="s">
        <v>2783</v>
      </c>
      <c r="E42" s="35" t="s">
        <v>2784</v>
      </c>
      <c r="F42" s="36">
        <v>5</v>
      </c>
      <c r="G42" s="36">
        <v>885</v>
      </c>
      <c r="H42" s="36">
        <v>25</v>
      </c>
      <c r="I42" s="36">
        <f t="shared" si="2"/>
        <v>860</v>
      </c>
      <c r="J42" s="35" t="s">
        <v>41</v>
      </c>
      <c r="K42" s="35" t="s">
        <v>31</v>
      </c>
      <c r="L42" s="35" t="s">
        <v>2739</v>
      </c>
      <c r="M42" s="35"/>
      <c r="N42" s="35"/>
      <c r="O42" s="35"/>
      <c r="P42" s="35"/>
      <c r="Q42" s="35">
        <v>1</v>
      </c>
    </row>
    <row r="43" spans="1:18" x14ac:dyDescent="0.25">
      <c r="A43" s="35"/>
      <c r="B43" s="35" t="s">
        <v>26</v>
      </c>
      <c r="C43" s="35" t="s">
        <v>2788</v>
      </c>
      <c r="D43" s="35" t="s">
        <v>2789</v>
      </c>
      <c r="E43" s="35" t="s">
        <v>2790</v>
      </c>
      <c r="F43" s="36">
        <v>4</v>
      </c>
      <c r="G43" s="36">
        <v>1275</v>
      </c>
      <c r="H43" s="36">
        <v>25</v>
      </c>
      <c r="I43" s="36">
        <f t="shared" si="2"/>
        <v>1250</v>
      </c>
      <c r="J43" s="35" t="s">
        <v>41</v>
      </c>
      <c r="K43" s="35" t="s">
        <v>31</v>
      </c>
      <c r="L43" s="35" t="s">
        <v>2739</v>
      </c>
      <c r="M43" s="35"/>
      <c r="N43" s="35"/>
      <c r="O43" s="35"/>
      <c r="P43" s="35"/>
      <c r="Q43" s="35">
        <v>1</v>
      </c>
    </row>
    <row r="44" spans="1:18" x14ac:dyDescent="0.25">
      <c r="A44" s="35"/>
      <c r="B44" s="35" t="s">
        <v>26</v>
      </c>
      <c r="C44" s="35" t="s">
        <v>2791</v>
      </c>
      <c r="D44" s="35" t="s">
        <v>2792</v>
      </c>
      <c r="E44" s="35" t="s">
        <v>2793</v>
      </c>
      <c r="F44" s="36">
        <v>10</v>
      </c>
      <c r="G44" s="36">
        <v>705</v>
      </c>
      <c r="H44" s="36">
        <v>25</v>
      </c>
      <c r="I44" s="36">
        <f t="shared" si="2"/>
        <v>680</v>
      </c>
      <c r="J44" s="35" t="s">
        <v>41</v>
      </c>
      <c r="K44" s="35" t="s">
        <v>31</v>
      </c>
      <c r="L44" s="35" t="s">
        <v>2739</v>
      </c>
      <c r="M44" s="35"/>
      <c r="N44" s="35"/>
      <c r="O44" s="35"/>
      <c r="P44" s="35"/>
      <c r="Q44" s="35">
        <v>1</v>
      </c>
    </row>
    <row r="45" spans="1:18" x14ac:dyDescent="0.25">
      <c r="A45" s="35"/>
      <c r="B45" s="35" t="s">
        <v>26</v>
      </c>
      <c r="C45" s="35" t="s">
        <v>2801</v>
      </c>
      <c r="D45" s="35" t="s">
        <v>2802</v>
      </c>
      <c r="E45" s="35" t="s">
        <v>2803</v>
      </c>
      <c r="F45" s="36">
        <v>10</v>
      </c>
      <c r="G45" s="36">
        <v>0</v>
      </c>
      <c r="H45" s="36">
        <v>25</v>
      </c>
      <c r="I45" s="36">
        <f t="shared" si="2"/>
        <v>-25</v>
      </c>
      <c r="J45" s="35" t="s">
        <v>41</v>
      </c>
      <c r="K45" s="35" t="s">
        <v>31</v>
      </c>
      <c r="L45" s="35" t="s">
        <v>2739</v>
      </c>
      <c r="M45" s="35"/>
      <c r="N45" s="35"/>
      <c r="O45" s="35"/>
      <c r="P45" s="35"/>
      <c r="Q45" s="35">
        <v>1</v>
      </c>
      <c r="R45" s="25">
        <f t="shared" ref="R45:R46" si="3">H45</f>
        <v>25</v>
      </c>
    </row>
    <row r="46" spans="1:18" x14ac:dyDescent="0.25">
      <c r="A46" s="35"/>
      <c r="B46" s="35" t="s">
        <v>26</v>
      </c>
      <c r="C46" s="35" t="s">
        <v>2812</v>
      </c>
      <c r="D46" s="35" t="s">
        <v>2813</v>
      </c>
      <c r="E46" s="35" t="s">
        <v>2814</v>
      </c>
      <c r="F46" s="36">
        <v>5</v>
      </c>
      <c r="G46" s="36">
        <v>0</v>
      </c>
      <c r="H46" s="36">
        <v>25</v>
      </c>
      <c r="I46" s="36">
        <f t="shared" si="2"/>
        <v>-25</v>
      </c>
      <c r="J46" s="35" t="s">
        <v>41</v>
      </c>
      <c r="K46" s="35" t="s">
        <v>31</v>
      </c>
      <c r="L46" s="35" t="s">
        <v>2739</v>
      </c>
      <c r="M46" s="35"/>
      <c r="N46" s="35"/>
      <c r="O46" s="35"/>
      <c r="P46" s="35"/>
      <c r="Q46" s="35">
        <v>1</v>
      </c>
      <c r="R46" s="25">
        <f t="shared" si="3"/>
        <v>25</v>
      </c>
    </row>
    <row r="47" spans="1:18" x14ac:dyDescent="0.25">
      <c r="A47" s="35"/>
      <c r="B47" s="35" t="s">
        <v>26</v>
      </c>
      <c r="C47" s="35" t="s">
        <v>2819</v>
      </c>
      <c r="D47" s="35" t="s">
        <v>2820</v>
      </c>
      <c r="E47" s="35" t="s">
        <v>2821</v>
      </c>
      <c r="F47" s="36">
        <v>10</v>
      </c>
      <c r="G47" s="36">
        <v>845</v>
      </c>
      <c r="H47" s="36">
        <v>25</v>
      </c>
      <c r="I47" s="36">
        <f t="shared" si="2"/>
        <v>820</v>
      </c>
      <c r="J47" s="35" t="s">
        <v>41</v>
      </c>
      <c r="K47" s="35" t="s">
        <v>31</v>
      </c>
      <c r="L47" s="35" t="s">
        <v>2739</v>
      </c>
      <c r="M47" s="35"/>
      <c r="N47" s="35"/>
      <c r="O47" s="35"/>
      <c r="P47" s="35"/>
      <c r="Q47" s="35">
        <v>1</v>
      </c>
    </row>
    <row r="48" spans="1:18" x14ac:dyDescent="0.25">
      <c r="A48" s="35"/>
      <c r="B48" s="35" t="s">
        <v>26</v>
      </c>
      <c r="C48" s="35" t="s">
        <v>2825</v>
      </c>
      <c r="D48" s="35" t="s">
        <v>2826</v>
      </c>
      <c r="E48" s="35" t="s">
        <v>2827</v>
      </c>
      <c r="F48" s="35" t="s">
        <v>101</v>
      </c>
      <c r="G48" s="36">
        <v>0</v>
      </c>
      <c r="H48" s="36">
        <v>25</v>
      </c>
      <c r="I48" s="36">
        <f t="shared" si="2"/>
        <v>-25</v>
      </c>
      <c r="J48" s="35" t="s">
        <v>41</v>
      </c>
      <c r="K48" s="35" t="s">
        <v>31</v>
      </c>
      <c r="L48" s="35" t="s">
        <v>2739</v>
      </c>
      <c r="M48" s="35"/>
      <c r="N48" s="35"/>
      <c r="O48" s="35"/>
      <c r="P48" s="35"/>
      <c r="Q48" s="35">
        <v>1</v>
      </c>
      <c r="R48" s="25">
        <f>H48</f>
        <v>25</v>
      </c>
    </row>
    <row r="49" spans="1:17" x14ac:dyDescent="0.25">
      <c r="A49" s="35"/>
      <c r="B49" s="35" t="s">
        <v>26</v>
      </c>
      <c r="C49" s="35" t="s">
        <v>2828</v>
      </c>
      <c r="D49" s="35" t="s">
        <v>2829</v>
      </c>
      <c r="E49" s="35" t="s">
        <v>2830</v>
      </c>
      <c r="F49" s="36">
        <v>4</v>
      </c>
      <c r="G49" s="36">
        <v>615</v>
      </c>
      <c r="H49" s="36">
        <v>25</v>
      </c>
      <c r="I49" s="36">
        <f t="shared" si="2"/>
        <v>590</v>
      </c>
      <c r="J49" s="35" t="s">
        <v>41</v>
      </c>
      <c r="K49" s="35" t="s">
        <v>31</v>
      </c>
      <c r="L49" s="35" t="s">
        <v>2739</v>
      </c>
      <c r="M49" s="35"/>
      <c r="N49" s="35"/>
      <c r="O49" s="35"/>
      <c r="P49" s="35"/>
      <c r="Q49" s="35">
        <v>1</v>
      </c>
    </row>
    <row r="50" spans="1:17" x14ac:dyDescent="0.25">
      <c r="A50" s="35" t="s">
        <v>66</v>
      </c>
      <c r="B50" s="35" t="s">
        <v>26</v>
      </c>
      <c r="C50" s="35" t="s">
        <v>105</v>
      </c>
      <c r="D50" s="35"/>
      <c r="E50" s="35" t="s">
        <v>2848</v>
      </c>
      <c r="F50" s="35" t="s">
        <v>101</v>
      </c>
      <c r="G50" s="36">
        <v>1040</v>
      </c>
      <c r="H50" s="36">
        <v>30</v>
      </c>
      <c r="I50" s="36">
        <f t="shared" si="2"/>
        <v>1010</v>
      </c>
      <c r="J50" s="35" t="s">
        <v>41</v>
      </c>
      <c r="K50" s="35" t="s">
        <v>31</v>
      </c>
      <c r="L50" s="35" t="s">
        <v>2739</v>
      </c>
      <c r="M50" s="35"/>
      <c r="N50" s="35"/>
      <c r="O50" s="35"/>
      <c r="P50" s="35"/>
      <c r="Q50" s="35">
        <v>1</v>
      </c>
    </row>
    <row r="51" spans="1:17" x14ac:dyDescent="0.25">
      <c r="A51" s="35" t="s">
        <v>66</v>
      </c>
      <c r="B51" s="35" t="s">
        <v>26</v>
      </c>
      <c r="C51" s="35" t="s">
        <v>2849</v>
      </c>
      <c r="D51" s="35"/>
      <c r="E51" s="35" t="s">
        <v>2850</v>
      </c>
      <c r="F51" s="35" t="s">
        <v>155</v>
      </c>
      <c r="G51" s="36">
        <v>30</v>
      </c>
      <c r="H51" s="36">
        <v>30</v>
      </c>
      <c r="I51" s="36">
        <f t="shared" si="2"/>
        <v>0</v>
      </c>
      <c r="J51" s="35" t="s">
        <v>41</v>
      </c>
      <c r="K51" s="35" t="s">
        <v>31</v>
      </c>
      <c r="L51" s="35" t="s">
        <v>2739</v>
      </c>
      <c r="M51" s="35"/>
      <c r="N51" s="35"/>
      <c r="O51" s="35"/>
      <c r="P51" s="35"/>
      <c r="Q51" s="35">
        <v>1</v>
      </c>
    </row>
    <row r="52" spans="1:17" x14ac:dyDescent="0.25">
      <c r="A52" s="35"/>
      <c r="B52" s="35" t="s">
        <v>26</v>
      </c>
      <c r="C52" s="35" t="s">
        <v>2851</v>
      </c>
      <c r="D52" s="35" t="s">
        <v>2852</v>
      </c>
      <c r="E52" s="35" t="s">
        <v>2853</v>
      </c>
      <c r="F52" s="36">
        <v>5</v>
      </c>
      <c r="G52" s="36">
        <v>885</v>
      </c>
      <c r="H52" s="36">
        <v>25</v>
      </c>
      <c r="I52" s="36">
        <f t="shared" si="2"/>
        <v>860</v>
      </c>
      <c r="J52" s="35" t="s">
        <v>41</v>
      </c>
      <c r="K52" s="35" t="s">
        <v>31</v>
      </c>
      <c r="L52" s="35" t="s">
        <v>2739</v>
      </c>
      <c r="M52" s="35"/>
      <c r="N52" s="35"/>
      <c r="O52" s="35"/>
      <c r="P52" s="35"/>
      <c r="Q52" s="35">
        <v>1</v>
      </c>
    </row>
    <row r="53" spans="1:17" s="30" customFormat="1" x14ac:dyDescent="0.25">
      <c r="A53" s="37"/>
      <c r="B53" s="37" t="s">
        <v>26</v>
      </c>
      <c r="C53" s="37" t="s">
        <v>2596</v>
      </c>
      <c r="D53" s="37" t="s">
        <v>2597</v>
      </c>
      <c r="E53" s="37" t="s">
        <v>2598</v>
      </c>
      <c r="F53" s="43">
        <v>8</v>
      </c>
      <c r="G53" s="43">
        <v>2220</v>
      </c>
      <c r="H53" s="43">
        <v>35</v>
      </c>
      <c r="I53" s="43">
        <f t="shared" si="2"/>
        <v>2185</v>
      </c>
      <c r="J53" s="37" t="s">
        <v>118</v>
      </c>
      <c r="K53" s="37" t="s">
        <v>31</v>
      </c>
      <c r="L53" s="37" t="s">
        <v>2511</v>
      </c>
      <c r="M53" s="37" t="s">
        <v>91</v>
      </c>
      <c r="N53" s="37" t="s">
        <v>316</v>
      </c>
      <c r="O53" s="37" t="s">
        <v>316</v>
      </c>
      <c r="P53" s="37" t="s">
        <v>317</v>
      </c>
      <c r="Q53" s="37">
        <v>1</v>
      </c>
    </row>
    <row r="54" spans="1:17" s="30" customFormat="1" x14ac:dyDescent="0.25">
      <c r="A54" s="37"/>
      <c r="B54" s="37" t="s">
        <v>26</v>
      </c>
      <c r="C54" s="37" t="s">
        <v>2564</v>
      </c>
      <c r="D54" s="37" t="s">
        <v>2565</v>
      </c>
      <c r="E54" s="37" t="s">
        <v>2566</v>
      </c>
      <c r="F54" s="43">
        <v>6</v>
      </c>
      <c r="G54" s="43">
        <v>515</v>
      </c>
      <c r="H54" s="43">
        <v>25</v>
      </c>
      <c r="I54" s="43">
        <f t="shared" si="2"/>
        <v>490</v>
      </c>
      <c r="J54" s="37" t="s">
        <v>118</v>
      </c>
      <c r="K54" s="37" t="s">
        <v>31</v>
      </c>
      <c r="L54" s="37" t="s">
        <v>2511</v>
      </c>
      <c r="M54" s="37" t="s">
        <v>91</v>
      </c>
      <c r="N54" s="37" t="s">
        <v>316</v>
      </c>
      <c r="O54" s="37" t="s">
        <v>316</v>
      </c>
      <c r="P54" s="37" t="s">
        <v>317</v>
      </c>
      <c r="Q54" s="37">
        <v>1</v>
      </c>
    </row>
    <row r="56" spans="1:17" x14ac:dyDescent="0.25">
      <c r="D56" s="26">
        <f>COUNTA(D3:D54)</f>
        <v>45</v>
      </c>
      <c r="G56" s="26">
        <f t="shared" ref="G56:Q56" si="4">SUBTOTAL(9,G3:G54)</f>
        <v>43105</v>
      </c>
      <c r="H56" s="26">
        <f t="shared" si="4"/>
        <v>1475</v>
      </c>
      <c r="I56" s="26">
        <f t="shared" si="4"/>
        <v>41630</v>
      </c>
      <c r="J56" s="26">
        <f t="shared" si="4"/>
        <v>0</v>
      </c>
      <c r="K56" s="26">
        <f t="shared" si="4"/>
        <v>0</v>
      </c>
      <c r="L56" s="26">
        <f t="shared" si="4"/>
        <v>0</v>
      </c>
      <c r="M56" s="26">
        <f t="shared" si="4"/>
        <v>0</v>
      </c>
      <c r="N56" s="26">
        <f t="shared" si="4"/>
        <v>0</v>
      </c>
      <c r="O56" s="26">
        <f t="shared" si="4"/>
        <v>0</v>
      </c>
      <c r="P56" s="26">
        <f t="shared" si="4"/>
        <v>0</v>
      </c>
      <c r="Q56" s="26">
        <f t="shared" si="4"/>
        <v>52</v>
      </c>
    </row>
    <row r="57" spans="1:17" x14ac:dyDescent="0.25">
      <c r="H57" s="24">
        <f>-11*17</f>
        <v>-187</v>
      </c>
      <c r="I57" s="24">
        <f>2*17</f>
        <v>34</v>
      </c>
    </row>
    <row r="58" spans="1:17" x14ac:dyDescent="0.25">
      <c r="A58" s="26" t="s">
        <v>26</v>
      </c>
      <c r="C58" s="80" t="s">
        <v>78</v>
      </c>
      <c r="D58" s="80"/>
      <c r="E58" s="27" t="s">
        <v>79</v>
      </c>
      <c r="H58" s="24">
        <f>-6*25</f>
        <v>-150</v>
      </c>
      <c r="K58" s="28" t="s">
        <v>41</v>
      </c>
      <c r="L58" s="28" t="s">
        <v>80</v>
      </c>
      <c r="M58" s="28" t="s">
        <v>79</v>
      </c>
      <c r="O58" s="27" t="s">
        <v>81</v>
      </c>
    </row>
    <row r="59" spans="1:17" x14ac:dyDescent="0.25">
      <c r="A59" s="24" t="s">
        <v>2739</v>
      </c>
      <c r="B59" s="29" t="s">
        <v>82</v>
      </c>
      <c r="C59" s="81">
        <f>SUMIFS(I$3:I$54,B$3:B$54,A$58,L$3:L$54,A$59)</f>
        <v>38955</v>
      </c>
      <c r="D59" s="81"/>
      <c r="E59" s="29">
        <f>SUMIFS(Q$3:Q$54,B$3:B$54,A$58,L$3:L$54,A$59)</f>
        <v>50</v>
      </c>
      <c r="F59" s="24" t="s">
        <v>83</v>
      </c>
      <c r="H59" s="24">
        <f>-4*30</f>
        <v>-120</v>
      </c>
      <c r="K59" s="24" t="s">
        <v>84</v>
      </c>
      <c r="L59" s="24">
        <f>SUMIFS(G$3:G$54,J$3:J$54,K$58)</f>
        <v>6305</v>
      </c>
      <c r="M59" s="24">
        <f>SUMIFS(Q$3:Q$54,J$3:J$54,K$58)-INT(COUNTIFS(J$3:J$54,K$58,M$3:M$54,"*gộp*")/2)</f>
        <v>12</v>
      </c>
      <c r="O59" s="24" t="s">
        <v>41</v>
      </c>
      <c r="P59" s="24">
        <f>L64</f>
        <v>6055</v>
      </c>
    </row>
    <row r="60" spans="1:17" x14ac:dyDescent="0.25">
      <c r="B60" s="30" t="s">
        <v>86</v>
      </c>
      <c r="C60" s="82">
        <v>0</v>
      </c>
      <c r="D60" s="82"/>
      <c r="K60" s="24" t="s">
        <v>87</v>
      </c>
      <c r="L60" s="24">
        <f>-SUMIFS(H$3:H$54,J$3:J$54,K$58)+M60*5</f>
        <v>-250</v>
      </c>
      <c r="M60" s="24">
        <f>SUMIFS(Q$3:Q$54,J$3:J$54,K$58)-INT(COUNTIFS(J$3:J$54,K$58,M$3:M$54,"*gộp*")/2)</f>
        <v>12</v>
      </c>
      <c r="O60" s="24" t="s">
        <v>2855</v>
      </c>
      <c r="P60" s="24">
        <f>L72</f>
        <v>14294</v>
      </c>
    </row>
    <row r="61" spans="1:17" x14ac:dyDescent="0.25">
      <c r="B61" s="30" t="s">
        <v>88</v>
      </c>
      <c r="C61" s="82">
        <f>-SUMIFS(I$3:I$54,B$3:B$54,A$58,P$3:P$54,"xx",N$3:N$54,"x")</f>
        <v>-2675</v>
      </c>
      <c r="D61" s="82"/>
      <c r="E61" s="30">
        <f>SUMIFS(Q$3:Q$54,B$3:B$54,A$58,P$3:P$54,"xx",N$3:N$54,"x")</f>
        <v>2</v>
      </c>
      <c r="K61" s="24" t="s">
        <v>89</v>
      </c>
      <c r="L61" s="24">
        <f>-M61*2</f>
        <v>0</v>
      </c>
      <c r="M61" s="24">
        <f>COUNTIFS(K$3:K$54,K$58,L$3:L$54,A$59)-(COUNTIFS(K$3:K$54,K$58,M$3:M$54,"*gộp*")/2)-COUNTIFS(K$3:K$54,K$58,M$3:M$54,"*đơn trả*")-COUNTIFS(K$3:K$54,K$58,M$3:M$54,"*hàng tỉnh*")</f>
        <v>0</v>
      </c>
      <c r="O61" s="24" t="s">
        <v>31</v>
      </c>
      <c r="P61" s="24">
        <f>L80</f>
        <v>16114</v>
      </c>
    </row>
    <row r="62" spans="1:17" x14ac:dyDescent="0.25">
      <c r="B62" s="27" t="s">
        <v>90</v>
      </c>
      <c r="C62" s="80">
        <f>SUBTOTAL(9,C59:C61)</f>
        <v>36280</v>
      </c>
      <c r="D62" s="80"/>
      <c r="E62" s="24">
        <f>E59</f>
        <v>50</v>
      </c>
      <c r="K62" s="31" t="s">
        <v>91</v>
      </c>
      <c r="O62" s="24" t="s">
        <v>92</v>
      </c>
      <c r="P62" s="24">
        <f>-C66</f>
        <v>-36280</v>
      </c>
    </row>
    <row r="63" spans="1:17" x14ac:dyDescent="0.25">
      <c r="B63" s="30" t="s">
        <v>93</v>
      </c>
      <c r="C63" s="78"/>
      <c r="D63" s="78"/>
      <c r="K63" s="30" t="s">
        <v>94</v>
      </c>
      <c r="O63" s="27" t="s">
        <v>95</v>
      </c>
      <c r="P63" s="27">
        <f>SUBTOTAL(9,P59:P62)</f>
        <v>183</v>
      </c>
    </row>
    <row r="64" spans="1:17" x14ac:dyDescent="0.25">
      <c r="B64" s="32" t="s">
        <v>96</v>
      </c>
      <c r="C64" s="78"/>
      <c r="D64" s="78"/>
      <c r="L64" s="33">
        <f>SUBTOTAL(9,L59:L63)</f>
        <v>6055</v>
      </c>
      <c r="M64" s="33">
        <f>M59</f>
        <v>12</v>
      </c>
    </row>
    <row r="66" spans="2:13" x14ac:dyDescent="0.25">
      <c r="B66" s="26" t="s">
        <v>97</v>
      </c>
      <c r="C66" s="79">
        <f>C62+C63+C64</f>
        <v>36280</v>
      </c>
      <c r="D66" s="79"/>
      <c r="E66" s="26" t="s">
        <v>98</v>
      </c>
      <c r="K66" s="28" t="s">
        <v>2743</v>
      </c>
      <c r="L66" s="28" t="s">
        <v>80</v>
      </c>
      <c r="M66" s="28" t="s">
        <v>79</v>
      </c>
    </row>
    <row r="67" spans="2:13" x14ac:dyDescent="0.25">
      <c r="K67" s="24" t="s">
        <v>84</v>
      </c>
      <c r="L67" s="24">
        <f>SUMIFS(G$3:G$54,J$3:J$54,K$66)</f>
        <v>17460</v>
      </c>
      <c r="M67" s="24">
        <f>SUMIFS(Q$3:Q$54,J$3:J$54,K$66)-INT(COUNTIFS(J$3:J$54,K$66,M$3:M$54,"*gộp*")/2)</f>
        <v>21</v>
      </c>
    </row>
    <row r="68" spans="2:13" x14ac:dyDescent="0.25">
      <c r="K68" s="24" t="s">
        <v>87</v>
      </c>
      <c r="L68" s="24">
        <f>SUM(H57:H59)</f>
        <v>-457</v>
      </c>
      <c r="M68" s="24">
        <f>SUMIFS(Q$3:Q$54,J$3:J$54,K$66)-INT(COUNTIFS(J$3:J$54,K$66,M$3:M$54,"*gộp*")/2)</f>
        <v>21</v>
      </c>
    </row>
    <row r="69" spans="2:13" x14ac:dyDescent="0.25">
      <c r="K69" s="24" t="s">
        <v>89</v>
      </c>
      <c r="L69" s="24">
        <f>-M69*2</f>
        <v>0</v>
      </c>
      <c r="M69" s="24">
        <f>COUNTIFS(K$3:K$54,K$66,L$3:L$54,A$59)-(COUNTIFS(K$3:K$54,K$66,M$3:M$54,"*gộp*")/2)-COUNTIFS(K$3:K$54,K$66,M$3:M$54,"*đơn trả*")-COUNTIFS(K$3:K$54,K$66,M$3:M$54,"*hàng tỉnh*")</f>
        <v>0</v>
      </c>
    </row>
    <row r="70" spans="2:13" x14ac:dyDescent="0.25">
      <c r="K70" s="31" t="s">
        <v>91</v>
      </c>
      <c r="L70" s="48">
        <v>-2709</v>
      </c>
      <c r="M70" s="48" t="s">
        <v>589</v>
      </c>
    </row>
    <row r="71" spans="2:13" x14ac:dyDescent="0.25">
      <c r="K71" s="30" t="s">
        <v>94</v>
      </c>
    </row>
    <row r="72" spans="2:13" x14ac:dyDescent="0.25">
      <c r="L72" s="33">
        <f>SUBTOTAL(9,L67:L71)</f>
        <v>14294</v>
      </c>
      <c r="M72" s="33">
        <f>M67</f>
        <v>21</v>
      </c>
    </row>
    <row r="74" spans="2:13" x14ac:dyDescent="0.25">
      <c r="K74" s="28" t="s">
        <v>31</v>
      </c>
      <c r="L74" s="28" t="s">
        <v>80</v>
      </c>
      <c r="M74" s="28" t="s">
        <v>79</v>
      </c>
    </row>
    <row r="75" spans="2:13" x14ac:dyDescent="0.25">
      <c r="K75" s="24" t="s">
        <v>84</v>
      </c>
      <c r="L75" s="24">
        <f>SUMIFS(G$3:G$54,J$3:J$54,K$74)</f>
        <v>16605</v>
      </c>
      <c r="M75" s="24">
        <f>SUMIFS(Q$3:Q$54,J$3:J$54,K$74)-INT(COUNTIFS(J$3:J$54,K$74,M$3:M$54,"*gộp*")/2)</f>
        <v>17</v>
      </c>
    </row>
    <row r="76" spans="2:13" x14ac:dyDescent="0.25">
      <c r="K76" s="24" t="s">
        <v>87</v>
      </c>
      <c r="L76" s="24">
        <f>-SUMIFS(H$3:H$54,J$3:J$54,K$74)+M76*5</f>
        <v>-395</v>
      </c>
      <c r="M76" s="24">
        <f>SUMIFS(Q$3:Q$54,J$3:J$54,K$74)-INT(COUNTIFS(J$3:J$54,K$74,M$3:M$54,"*gộp*")/2)</f>
        <v>17</v>
      </c>
    </row>
    <row r="77" spans="2:13" x14ac:dyDescent="0.25">
      <c r="K77" s="24" t="s">
        <v>89</v>
      </c>
      <c r="L77" s="24">
        <f>-M77*2</f>
        <v>-96</v>
      </c>
      <c r="M77" s="24">
        <f>COUNTIFS(K$3:K$54,K$74,L$3:L$54,A$59)-(COUNTIFS(K$3:K$54,K$74,M$3:M$54,"*gộp*")/2)-COUNTIFS(K$3:K$54,K$74,M$3:M$54,"*đơn trả*")-COUNTIFS(K$3:K$54,K$74,M$3:M$54,"*hàng tỉnh*")</f>
        <v>48</v>
      </c>
    </row>
    <row r="78" spans="2:13" x14ac:dyDescent="0.25">
      <c r="K78" s="31" t="s">
        <v>91</v>
      </c>
    </row>
    <row r="79" spans="2:13" x14ac:dyDescent="0.25">
      <c r="K79" s="30" t="s">
        <v>94</v>
      </c>
    </row>
    <row r="80" spans="2:13" x14ac:dyDescent="0.25">
      <c r="L80" s="33">
        <f>SUBTOTAL(9,L75:L79)</f>
        <v>16114</v>
      </c>
      <c r="M80" s="33">
        <f>M75</f>
        <v>17</v>
      </c>
    </row>
  </sheetData>
  <autoFilter ref="A2:P54" xr:uid="{00000000-0009-0000-0000-000000000000}">
    <sortState xmlns:xlrd2="http://schemas.microsoft.com/office/spreadsheetml/2017/richdata2" ref="A3:P54">
      <sortCondition ref="J2:J54"/>
    </sortState>
  </autoFilter>
  <mergeCells count="8">
    <mergeCell ref="C64:D64"/>
    <mergeCell ref="C66:D66"/>
    <mergeCell ref="C58:D58"/>
    <mergeCell ref="C59:D59"/>
    <mergeCell ref="C60:D60"/>
    <mergeCell ref="C61:D61"/>
    <mergeCell ref="C62:D62"/>
    <mergeCell ref="C63:D63"/>
  </mergeCells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C6CA-698E-457E-B90C-949877162D12}">
  <dimension ref="A1:R80"/>
  <sheetViews>
    <sheetView workbookViewId="0"/>
  </sheetViews>
  <sheetFormatPr defaultRowHeight="15" x14ac:dyDescent="0.25"/>
  <cols>
    <col min="1" max="1" width="12.7109375" style="24" customWidth="1"/>
    <col min="2" max="2" width="9.140625" style="24" customWidth="1"/>
    <col min="3" max="3" width="26.85546875" style="24" customWidth="1"/>
    <col min="4" max="4" width="9.85546875" style="24" customWidth="1"/>
    <col min="5" max="5" width="78.7109375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0.42578125" style="24" customWidth="1"/>
    <col min="13" max="13" width="15.7109375" style="24" bestFit="1" customWidth="1"/>
    <col min="14" max="14" width="9.7109375" style="24" customWidth="1"/>
    <col min="15" max="15" width="10.42578125" style="24" customWidth="1"/>
    <col min="16" max="16" width="7" style="24" bestFit="1" customWidth="1"/>
    <col min="17" max="16384" width="9.140625" style="24"/>
  </cols>
  <sheetData>
    <row r="1" spans="1:18" customFormat="1" x14ac:dyDescent="0.25">
      <c r="B1" s="4" t="s">
        <v>1167</v>
      </c>
      <c r="C1" s="4" t="s">
        <v>2963</v>
      </c>
      <c r="F1" s="65"/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/>
      <c r="B3" s="35" t="s">
        <v>26</v>
      </c>
      <c r="C3" s="35" t="s">
        <v>2857</v>
      </c>
      <c r="D3" s="35" t="s">
        <v>2858</v>
      </c>
      <c r="E3" s="35" t="s">
        <v>1291</v>
      </c>
      <c r="F3" s="35" t="s">
        <v>45</v>
      </c>
      <c r="G3" s="36">
        <v>915</v>
      </c>
      <c r="H3" s="36">
        <v>25</v>
      </c>
      <c r="I3" s="36">
        <f t="shared" ref="I3:I34" si="0">G3-H3</f>
        <v>890</v>
      </c>
      <c r="J3" s="35" t="s">
        <v>2859</v>
      </c>
      <c r="K3" s="35" t="s">
        <v>31</v>
      </c>
      <c r="L3" s="35" t="s">
        <v>2860</v>
      </c>
      <c r="M3" s="35"/>
      <c r="N3" s="35"/>
      <c r="O3" s="35"/>
      <c r="P3" s="35"/>
      <c r="Q3" s="35">
        <v>1</v>
      </c>
    </row>
    <row r="4" spans="1:18" x14ac:dyDescent="0.25">
      <c r="A4" s="35"/>
      <c r="B4" s="35" t="s">
        <v>26</v>
      </c>
      <c r="C4" s="35" t="s">
        <v>2869</v>
      </c>
      <c r="D4" s="35" t="s">
        <v>2870</v>
      </c>
      <c r="E4" s="35" t="s">
        <v>2871</v>
      </c>
      <c r="F4" s="36">
        <v>11</v>
      </c>
      <c r="G4" s="36">
        <v>615</v>
      </c>
      <c r="H4" s="36">
        <v>25</v>
      </c>
      <c r="I4" s="36">
        <f t="shared" si="0"/>
        <v>590</v>
      </c>
      <c r="J4" s="35" t="s">
        <v>2859</v>
      </c>
      <c r="K4" s="35" t="s">
        <v>31</v>
      </c>
      <c r="L4" s="35" t="s">
        <v>2860</v>
      </c>
      <c r="M4" s="35"/>
      <c r="N4" s="35"/>
      <c r="O4" s="35"/>
      <c r="P4" s="35"/>
      <c r="Q4" s="35">
        <v>1</v>
      </c>
    </row>
    <row r="5" spans="1:18" x14ac:dyDescent="0.25">
      <c r="A5" s="35"/>
      <c r="B5" s="35" t="s">
        <v>26</v>
      </c>
      <c r="C5" s="35" t="s">
        <v>1005</v>
      </c>
      <c r="D5" s="35" t="s">
        <v>2872</v>
      </c>
      <c r="E5" s="35" t="s">
        <v>1007</v>
      </c>
      <c r="F5" s="36">
        <v>9</v>
      </c>
      <c r="G5" s="36">
        <v>1710</v>
      </c>
      <c r="H5" s="36">
        <v>30</v>
      </c>
      <c r="I5" s="36">
        <f t="shared" si="0"/>
        <v>1680</v>
      </c>
      <c r="J5" s="35" t="s">
        <v>2859</v>
      </c>
      <c r="K5" s="35" t="s">
        <v>31</v>
      </c>
      <c r="L5" s="35" t="s">
        <v>2860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1880</v>
      </c>
      <c r="D6" s="35" t="s">
        <v>2879</v>
      </c>
      <c r="E6" s="35" t="s">
        <v>2479</v>
      </c>
      <c r="F6" s="35" t="s">
        <v>77</v>
      </c>
      <c r="G6" s="36">
        <v>650</v>
      </c>
      <c r="H6" s="36">
        <v>30</v>
      </c>
      <c r="I6" s="36">
        <f t="shared" si="0"/>
        <v>620</v>
      </c>
      <c r="J6" s="35" t="s">
        <v>2859</v>
      </c>
      <c r="K6" s="35" t="s">
        <v>31</v>
      </c>
      <c r="L6" s="35" t="s">
        <v>2860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2883</v>
      </c>
      <c r="D7" s="35" t="s">
        <v>2884</v>
      </c>
      <c r="E7" s="35" t="s">
        <v>2885</v>
      </c>
      <c r="F7" s="36">
        <v>7</v>
      </c>
      <c r="G7" s="36">
        <v>910</v>
      </c>
      <c r="H7" s="36">
        <v>30</v>
      </c>
      <c r="I7" s="36">
        <f t="shared" si="0"/>
        <v>880</v>
      </c>
      <c r="J7" s="35" t="s">
        <v>2859</v>
      </c>
      <c r="K7" s="35" t="s">
        <v>31</v>
      </c>
      <c r="L7" s="35" t="s">
        <v>2860</v>
      </c>
      <c r="M7" s="35"/>
      <c r="N7" s="35"/>
      <c r="O7" s="35"/>
      <c r="P7" s="35"/>
      <c r="Q7" s="35">
        <v>1</v>
      </c>
    </row>
    <row r="8" spans="1:18" x14ac:dyDescent="0.25">
      <c r="A8" s="35"/>
      <c r="B8" s="35" t="s">
        <v>26</v>
      </c>
      <c r="C8" s="35" t="s">
        <v>2886</v>
      </c>
      <c r="D8" s="35" t="s">
        <v>2887</v>
      </c>
      <c r="E8" s="35" t="s">
        <v>2888</v>
      </c>
      <c r="F8" s="35" t="s">
        <v>45</v>
      </c>
      <c r="G8" s="36">
        <v>0</v>
      </c>
      <c r="H8" s="36">
        <v>25</v>
      </c>
      <c r="I8" s="36">
        <f t="shared" si="0"/>
        <v>-25</v>
      </c>
      <c r="J8" s="35" t="s">
        <v>2859</v>
      </c>
      <c r="K8" s="35" t="s">
        <v>31</v>
      </c>
      <c r="L8" s="35" t="s">
        <v>2860</v>
      </c>
      <c r="M8" s="35"/>
      <c r="N8" s="35"/>
      <c r="O8" s="35"/>
      <c r="P8" s="35"/>
      <c r="Q8" s="35">
        <v>1</v>
      </c>
      <c r="R8" s="25">
        <f>H8</f>
        <v>25</v>
      </c>
    </row>
    <row r="9" spans="1:18" x14ac:dyDescent="0.25">
      <c r="A9" s="35"/>
      <c r="B9" s="35" t="s">
        <v>26</v>
      </c>
      <c r="C9" s="35" t="s">
        <v>2906</v>
      </c>
      <c r="D9" s="35" t="s">
        <v>2907</v>
      </c>
      <c r="E9" s="35" t="s">
        <v>2908</v>
      </c>
      <c r="F9" s="36">
        <v>7</v>
      </c>
      <c r="G9" s="36">
        <v>950</v>
      </c>
      <c r="H9" s="36">
        <v>30</v>
      </c>
      <c r="I9" s="36">
        <f t="shared" si="0"/>
        <v>920</v>
      </c>
      <c r="J9" s="35" t="s">
        <v>2859</v>
      </c>
      <c r="K9" s="35" t="s">
        <v>31</v>
      </c>
      <c r="L9" s="35" t="s">
        <v>2860</v>
      </c>
      <c r="M9" s="35"/>
      <c r="N9" s="35"/>
      <c r="O9" s="35"/>
      <c r="P9" s="35"/>
      <c r="Q9" s="35">
        <v>1</v>
      </c>
    </row>
    <row r="10" spans="1:18" x14ac:dyDescent="0.25">
      <c r="A10" s="35"/>
      <c r="B10" s="35" t="s">
        <v>26</v>
      </c>
      <c r="C10" s="35" t="s">
        <v>688</v>
      </c>
      <c r="D10" s="35" t="s">
        <v>2909</v>
      </c>
      <c r="E10" s="35" t="s">
        <v>690</v>
      </c>
      <c r="F10" s="36">
        <v>11</v>
      </c>
      <c r="G10" s="36">
        <v>3565</v>
      </c>
      <c r="H10" s="36">
        <v>35</v>
      </c>
      <c r="I10" s="36">
        <f t="shared" si="0"/>
        <v>3530</v>
      </c>
      <c r="J10" s="35" t="s">
        <v>2859</v>
      </c>
      <c r="K10" s="35" t="s">
        <v>31</v>
      </c>
      <c r="L10" s="35" t="s">
        <v>2860</v>
      </c>
      <c r="M10" s="35"/>
      <c r="N10" s="35"/>
      <c r="O10" s="35"/>
      <c r="P10" s="35"/>
      <c r="Q10" s="35">
        <v>1</v>
      </c>
    </row>
    <row r="11" spans="1:18" s="41" customFormat="1" x14ac:dyDescent="0.25">
      <c r="A11" s="39"/>
      <c r="B11" s="39" t="s">
        <v>26</v>
      </c>
      <c r="C11" s="39" t="s">
        <v>2525</v>
      </c>
      <c r="D11" s="39" t="s">
        <v>2911</v>
      </c>
      <c r="E11" s="39" t="s">
        <v>2527</v>
      </c>
      <c r="F11" s="40">
        <v>6</v>
      </c>
      <c r="G11" s="40">
        <v>225</v>
      </c>
      <c r="H11" s="40">
        <v>25</v>
      </c>
      <c r="I11" s="40">
        <f t="shared" si="0"/>
        <v>200</v>
      </c>
      <c r="J11" s="39" t="s">
        <v>2859</v>
      </c>
      <c r="K11" s="39" t="s">
        <v>31</v>
      </c>
      <c r="L11" s="39" t="s">
        <v>2860</v>
      </c>
      <c r="M11" s="39" t="s">
        <v>37</v>
      </c>
      <c r="N11" s="39"/>
      <c r="O11" s="39"/>
      <c r="P11" s="39"/>
      <c r="Q11" s="39">
        <v>1</v>
      </c>
    </row>
    <row r="12" spans="1:18" x14ac:dyDescent="0.25">
      <c r="A12" s="35"/>
      <c r="B12" s="35" t="s">
        <v>26</v>
      </c>
      <c r="C12" s="35" t="s">
        <v>1410</v>
      </c>
      <c r="D12" s="35" t="s">
        <v>2919</v>
      </c>
      <c r="E12" s="35" t="s">
        <v>1412</v>
      </c>
      <c r="F12" s="35" t="s">
        <v>77</v>
      </c>
      <c r="G12" s="36">
        <v>0</v>
      </c>
      <c r="H12" s="36">
        <v>30</v>
      </c>
      <c r="I12" s="36">
        <f t="shared" si="0"/>
        <v>-30</v>
      </c>
      <c r="J12" s="35" t="s">
        <v>2859</v>
      </c>
      <c r="K12" s="35" t="s">
        <v>31</v>
      </c>
      <c r="L12" s="35" t="s">
        <v>2860</v>
      </c>
      <c r="M12" s="35"/>
      <c r="N12" s="35"/>
      <c r="O12" s="35"/>
      <c r="P12" s="35"/>
      <c r="Q12" s="35">
        <v>1</v>
      </c>
      <c r="R12" s="25">
        <f>H12</f>
        <v>30</v>
      </c>
    </row>
    <row r="13" spans="1:18" x14ac:dyDescent="0.25">
      <c r="A13" s="35"/>
      <c r="B13" s="35" t="s">
        <v>26</v>
      </c>
      <c r="C13" s="35" t="s">
        <v>2007</v>
      </c>
      <c r="D13" s="35" t="s">
        <v>2008</v>
      </c>
      <c r="E13" s="35" t="s">
        <v>2009</v>
      </c>
      <c r="F13" s="36">
        <v>7</v>
      </c>
      <c r="G13" s="36">
        <v>320</v>
      </c>
      <c r="H13" s="36">
        <v>30</v>
      </c>
      <c r="I13" s="36">
        <f t="shared" si="0"/>
        <v>290</v>
      </c>
      <c r="J13" s="35" t="s">
        <v>2859</v>
      </c>
      <c r="K13" s="35" t="s">
        <v>31</v>
      </c>
      <c r="L13" s="35" t="s">
        <v>2860</v>
      </c>
      <c r="M13" s="35"/>
      <c r="N13" s="35"/>
      <c r="O13" s="35"/>
      <c r="P13" s="35"/>
      <c r="Q13" s="35">
        <v>1</v>
      </c>
    </row>
    <row r="14" spans="1:18" x14ac:dyDescent="0.25">
      <c r="A14" s="35"/>
      <c r="B14" s="35" t="s">
        <v>26</v>
      </c>
      <c r="C14" s="35" t="s">
        <v>2920</v>
      </c>
      <c r="D14" s="35" t="s">
        <v>2921</v>
      </c>
      <c r="E14" s="35" t="s">
        <v>2922</v>
      </c>
      <c r="F14" s="35" t="s">
        <v>117</v>
      </c>
      <c r="G14" s="36">
        <v>495</v>
      </c>
      <c r="H14" s="36">
        <v>35</v>
      </c>
      <c r="I14" s="36">
        <f t="shared" si="0"/>
        <v>460</v>
      </c>
      <c r="J14" s="35" t="s">
        <v>2859</v>
      </c>
      <c r="K14" s="35" t="s">
        <v>31</v>
      </c>
      <c r="L14" s="35" t="s">
        <v>2860</v>
      </c>
      <c r="M14" s="35"/>
      <c r="N14" s="35"/>
      <c r="O14" s="35"/>
      <c r="P14" s="35"/>
      <c r="Q14" s="35">
        <v>1</v>
      </c>
    </row>
    <row r="15" spans="1:18" x14ac:dyDescent="0.25">
      <c r="A15" s="35"/>
      <c r="B15" s="35" t="s">
        <v>26</v>
      </c>
      <c r="C15" s="35" t="s">
        <v>2928</v>
      </c>
      <c r="D15" s="35" t="s">
        <v>2929</v>
      </c>
      <c r="E15" s="35" t="s">
        <v>2930</v>
      </c>
      <c r="F15" s="36">
        <v>9</v>
      </c>
      <c r="G15" s="36">
        <v>550</v>
      </c>
      <c r="H15" s="36">
        <v>30</v>
      </c>
      <c r="I15" s="36">
        <f t="shared" si="0"/>
        <v>520</v>
      </c>
      <c r="J15" s="35" t="s">
        <v>2859</v>
      </c>
      <c r="K15" s="35" t="s">
        <v>31</v>
      </c>
      <c r="L15" s="35" t="s">
        <v>2860</v>
      </c>
      <c r="M15" s="35"/>
      <c r="N15" s="35"/>
      <c r="O15" s="35"/>
      <c r="P15" s="35"/>
      <c r="Q15" s="35">
        <v>1</v>
      </c>
    </row>
    <row r="16" spans="1:18" x14ac:dyDescent="0.25">
      <c r="A16" s="35"/>
      <c r="B16" s="35" t="s">
        <v>26</v>
      </c>
      <c r="C16" s="35" t="s">
        <v>2933</v>
      </c>
      <c r="D16" s="35" t="s">
        <v>2934</v>
      </c>
      <c r="E16" s="35" t="s">
        <v>2935</v>
      </c>
      <c r="F16" s="35" t="s">
        <v>117</v>
      </c>
      <c r="G16" s="36">
        <v>0</v>
      </c>
      <c r="H16" s="36">
        <v>35</v>
      </c>
      <c r="I16" s="36">
        <f t="shared" si="0"/>
        <v>-35</v>
      </c>
      <c r="J16" s="35" t="s">
        <v>2859</v>
      </c>
      <c r="K16" s="35" t="s">
        <v>31</v>
      </c>
      <c r="L16" s="35" t="s">
        <v>2860</v>
      </c>
      <c r="M16" s="35"/>
      <c r="N16" s="35"/>
      <c r="O16" s="35"/>
      <c r="P16" s="35"/>
      <c r="Q16" s="35">
        <v>1</v>
      </c>
      <c r="R16" s="25">
        <f t="shared" ref="R16:R18" si="1">H16</f>
        <v>35</v>
      </c>
    </row>
    <row r="17" spans="1:18" x14ac:dyDescent="0.25">
      <c r="A17" s="35" t="s">
        <v>66</v>
      </c>
      <c r="B17" s="35" t="s">
        <v>26</v>
      </c>
      <c r="C17" s="35" t="s">
        <v>67</v>
      </c>
      <c r="D17" s="35"/>
      <c r="E17" s="35" t="s">
        <v>68</v>
      </c>
      <c r="F17" s="36">
        <v>6</v>
      </c>
      <c r="G17" s="36">
        <v>0</v>
      </c>
      <c r="H17" s="36">
        <v>30</v>
      </c>
      <c r="I17" s="36">
        <f t="shared" si="0"/>
        <v>-30</v>
      </c>
      <c r="J17" s="35" t="s">
        <v>2859</v>
      </c>
      <c r="K17" s="35" t="s">
        <v>31</v>
      </c>
      <c r="L17" s="35" t="s">
        <v>2860</v>
      </c>
      <c r="M17" s="35"/>
      <c r="N17" s="35"/>
      <c r="O17" s="35"/>
      <c r="P17" s="35"/>
      <c r="Q17" s="35">
        <v>1</v>
      </c>
      <c r="R17" s="25">
        <f t="shared" si="1"/>
        <v>30</v>
      </c>
    </row>
    <row r="18" spans="1:18" x14ac:dyDescent="0.25">
      <c r="A18" s="35" t="s">
        <v>66</v>
      </c>
      <c r="B18" s="35" t="s">
        <v>26</v>
      </c>
      <c r="C18" s="35" t="s">
        <v>75</v>
      </c>
      <c r="D18" s="35"/>
      <c r="E18" s="35" t="s">
        <v>76</v>
      </c>
      <c r="F18" s="35" t="s">
        <v>77</v>
      </c>
      <c r="G18" s="36">
        <v>0</v>
      </c>
      <c r="H18" s="36">
        <v>40</v>
      </c>
      <c r="I18" s="36">
        <f t="shared" si="0"/>
        <v>-40</v>
      </c>
      <c r="J18" s="35" t="s">
        <v>2859</v>
      </c>
      <c r="K18" s="35" t="s">
        <v>31</v>
      </c>
      <c r="L18" s="35" t="s">
        <v>2860</v>
      </c>
      <c r="M18" s="35"/>
      <c r="N18" s="35"/>
      <c r="O18" s="35"/>
      <c r="P18" s="35"/>
      <c r="Q18" s="35">
        <v>1</v>
      </c>
      <c r="R18" s="25">
        <f t="shared" si="1"/>
        <v>40</v>
      </c>
    </row>
    <row r="19" spans="1:18" x14ac:dyDescent="0.25">
      <c r="A19" s="35"/>
      <c r="B19" s="35" t="s">
        <v>26</v>
      </c>
      <c r="C19" s="35" t="s">
        <v>2861</v>
      </c>
      <c r="D19" s="35" t="s">
        <v>2862</v>
      </c>
      <c r="E19" s="35" t="s">
        <v>2863</v>
      </c>
      <c r="F19" s="35" t="s">
        <v>36</v>
      </c>
      <c r="G19" s="36">
        <v>915</v>
      </c>
      <c r="H19" s="36">
        <v>25</v>
      </c>
      <c r="I19" s="36">
        <f t="shared" si="0"/>
        <v>890</v>
      </c>
      <c r="J19" s="35" t="s">
        <v>31</v>
      </c>
      <c r="K19" s="35" t="s">
        <v>31</v>
      </c>
      <c r="L19" s="35" t="s">
        <v>2860</v>
      </c>
      <c r="M19" s="35"/>
      <c r="N19" s="35"/>
      <c r="O19" s="35"/>
      <c r="P19" s="35"/>
      <c r="Q19" s="35">
        <v>1</v>
      </c>
    </row>
    <row r="20" spans="1:18" x14ac:dyDescent="0.25">
      <c r="A20" s="35"/>
      <c r="B20" s="35" t="s">
        <v>26</v>
      </c>
      <c r="C20" s="35" t="s">
        <v>1781</v>
      </c>
      <c r="D20" s="35" t="s">
        <v>2867</v>
      </c>
      <c r="E20" s="35" t="s">
        <v>2868</v>
      </c>
      <c r="F20" s="35" t="s">
        <v>58</v>
      </c>
      <c r="G20" s="36">
        <v>0</v>
      </c>
      <c r="H20" s="36">
        <v>20</v>
      </c>
      <c r="I20" s="36">
        <f t="shared" si="0"/>
        <v>-20</v>
      </c>
      <c r="J20" s="35" t="s">
        <v>31</v>
      </c>
      <c r="K20" s="35" t="s">
        <v>31</v>
      </c>
      <c r="L20" s="35" t="s">
        <v>2860</v>
      </c>
      <c r="M20" s="35"/>
      <c r="N20" s="35"/>
      <c r="O20" s="35"/>
      <c r="P20" s="35"/>
      <c r="Q20" s="35">
        <v>1</v>
      </c>
      <c r="R20" s="25">
        <f>H20</f>
        <v>20</v>
      </c>
    </row>
    <row r="21" spans="1:18" x14ac:dyDescent="0.25">
      <c r="A21" s="35"/>
      <c r="B21" s="35" t="s">
        <v>26</v>
      </c>
      <c r="C21" s="35" t="s">
        <v>2876</v>
      </c>
      <c r="D21" s="35" t="s">
        <v>2877</v>
      </c>
      <c r="E21" s="35" t="s">
        <v>2878</v>
      </c>
      <c r="F21" s="36">
        <v>12</v>
      </c>
      <c r="G21" s="36">
        <v>800</v>
      </c>
      <c r="H21" s="36">
        <v>30</v>
      </c>
      <c r="I21" s="36">
        <f t="shared" si="0"/>
        <v>770</v>
      </c>
      <c r="J21" s="35" t="s">
        <v>31</v>
      </c>
      <c r="K21" s="35" t="s">
        <v>31</v>
      </c>
      <c r="L21" s="35" t="s">
        <v>2860</v>
      </c>
      <c r="M21" s="35"/>
      <c r="N21" s="35"/>
      <c r="O21" s="35"/>
      <c r="P21" s="35"/>
      <c r="Q21" s="35">
        <v>1</v>
      </c>
    </row>
    <row r="22" spans="1:18" x14ac:dyDescent="0.25">
      <c r="A22" s="35"/>
      <c r="B22" s="35" t="s">
        <v>26</v>
      </c>
      <c r="C22" s="35" t="s">
        <v>2880</v>
      </c>
      <c r="D22" s="35" t="s">
        <v>2881</v>
      </c>
      <c r="E22" s="35" t="s">
        <v>2882</v>
      </c>
      <c r="F22" s="35" t="s">
        <v>128</v>
      </c>
      <c r="G22" s="36">
        <v>2110</v>
      </c>
      <c r="H22" s="36">
        <v>35</v>
      </c>
      <c r="I22" s="36">
        <f t="shared" si="0"/>
        <v>2075</v>
      </c>
      <c r="J22" s="35" t="s">
        <v>31</v>
      </c>
      <c r="K22" s="35" t="s">
        <v>31</v>
      </c>
      <c r="L22" s="35" t="s">
        <v>2860</v>
      </c>
      <c r="M22" s="38" t="s">
        <v>59</v>
      </c>
      <c r="N22" s="35"/>
      <c r="O22" s="35"/>
      <c r="P22" s="35"/>
      <c r="Q22" s="35">
        <v>1</v>
      </c>
      <c r="R22" s="25">
        <f>H22</f>
        <v>35</v>
      </c>
    </row>
    <row r="23" spans="1:18" x14ac:dyDescent="0.25">
      <c r="A23" s="35"/>
      <c r="B23" s="35" t="s">
        <v>26</v>
      </c>
      <c r="C23" s="35" t="s">
        <v>2889</v>
      </c>
      <c r="D23" s="35" t="s">
        <v>2890</v>
      </c>
      <c r="E23" s="35" t="s">
        <v>2891</v>
      </c>
      <c r="F23" s="36">
        <v>12</v>
      </c>
      <c r="G23" s="36">
        <v>920</v>
      </c>
      <c r="H23" s="36">
        <v>30</v>
      </c>
      <c r="I23" s="36">
        <f t="shared" si="0"/>
        <v>890</v>
      </c>
      <c r="J23" s="35" t="s">
        <v>31</v>
      </c>
      <c r="K23" s="35" t="s">
        <v>31</v>
      </c>
      <c r="L23" s="35" t="s">
        <v>2860</v>
      </c>
      <c r="M23" s="35"/>
      <c r="N23" s="35"/>
      <c r="O23" s="35"/>
      <c r="P23" s="35"/>
      <c r="Q23" s="35">
        <v>1</v>
      </c>
    </row>
    <row r="24" spans="1:18" x14ac:dyDescent="0.25">
      <c r="A24" s="35"/>
      <c r="B24" s="35" t="s">
        <v>26</v>
      </c>
      <c r="C24" s="35" t="s">
        <v>2901</v>
      </c>
      <c r="D24" s="35" t="s">
        <v>2902</v>
      </c>
      <c r="E24" s="35" t="s">
        <v>606</v>
      </c>
      <c r="F24" s="36">
        <v>12</v>
      </c>
      <c r="G24" s="36">
        <v>0</v>
      </c>
      <c r="H24" s="36">
        <v>30</v>
      </c>
      <c r="I24" s="36">
        <f t="shared" si="0"/>
        <v>-30</v>
      </c>
      <c r="J24" s="35" t="s">
        <v>31</v>
      </c>
      <c r="K24" s="35" t="s">
        <v>31</v>
      </c>
      <c r="L24" s="35" t="s">
        <v>2860</v>
      </c>
      <c r="M24" s="35"/>
      <c r="N24" s="35"/>
      <c r="O24" s="35"/>
      <c r="P24" s="35"/>
      <c r="Q24" s="35">
        <v>1</v>
      </c>
      <c r="R24" s="25">
        <f>H24</f>
        <v>30</v>
      </c>
    </row>
    <row r="25" spans="1:18" x14ac:dyDescent="0.25">
      <c r="A25" s="35"/>
      <c r="B25" s="35" t="s">
        <v>26</v>
      </c>
      <c r="C25" s="35" t="s">
        <v>2912</v>
      </c>
      <c r="D25" s="35" t="s">
        <v>2913</v>
      </c>
      <c r="E25" s="35" t="s">
        <v>2914</v>
      </c>
      <c r="F25" s="35" t="s">
        <v>58</v>
      </c>
      <c r="G25" s="36">
        <v>1100</v>
      </c>
      <c r="H25" s="36">
        <v>20</v>
      </c>
      <c r="I25" s="36">
        <f t="shared" si="0"/>
        <v>1080</v>
      </c>
      <c r="J25" s="35" t="s">
        <v>31</v>
      </c>
      <c r="K25" s="35" t="s">
        <v>31</v>
      </c>
      <c r="L25" s="35" t="s">
        <v>2860</v>
      </c>
      <c r="M25" s="35"/>
      <c r="N25" s="35"/>
      <c r="O25" s="35"/>
      <c r="P25" s="35"/>
      <c r="Q25" s="35">
        <v>1</v>
      </c>
    </row>
    <row r="26" spans="1:18" x14ac:dyDescent="0.25">
      <c r="A26" s="35"/>
      <c r="B26" s="35" t="s">
        <v>26</v>
      </c>
      <c r="C26" s="35" t="s">
        <v>1478</v>
      </c>
      <c r="D26" s="35" t="s">
        <v>2915</v>
      </c>
      <c r="E26" s="35" t="s">
        <v>606</v>
      </c>
      <c r="F26" s="36">
        <v>12</v>
      </c>
      <c r="G26" s="36">
        <v>0</v>
      </c>
      <c r="H26" s="36">
        <v>50</v>
      </c>
      <c r="I26" s="36">
        <f t="shared" si="0"/>
        <v>-50</v>
      </c>
      <c r="J26" s="35" t="s">
        <v>31</v>
      </c>
      <c r="K26" s="35" t="s">
        <v>31</v>
      </c>
      <c r="L26" s="35" t="s">
        <v>2860</v>
      </c>
      <c r="M26" s="35"/>
      <c r="N26" s="35"/>
      <c r="O26" s="35"/>
      <c r="P26" s="35"/>
      <c r="Q26" s="35">
        <v>1</v>
      </c>
      <c r="R26" s="25">
        <f t="shared" ref="R26:R30" si="2">H26</f>
        <v>50</v>
      </c>
    </row>
    <row r="27" spans="1:18" x14ac:dyDescent="0.25">
      <c r="A27" s="35"/>
      <c r="B27" s="35" t="s">
        <v>26</v>
      </c>
      <c r="C27" s="35" t="s">
        <v>2931</v>
      </c>
      <c r="D27" s="35" t="s">
        <v>2932</v>
      </c>
      <c r="E27" s="35" t="s">
        <v>606</v>
      </c>
      <c r="F27" s="36">
        <v>12</v>
      </c>
      <c r="G27" s="36">
        <v>0</v>
      </c>
      <c r="H27" s="36">
        <v>30</v>
      </c>
      <c r="I27" s="36">
        <f t="shared" si="0"/>
        <v>-30</v>
      </c>
      <c r="J27" s="35" t="s">
        <v>31</v>
      </c>
      <c r="K27" s="35" t="s">
        <v>31</v>
      </c>
      <c r="L27" s="35" t="s">
        <v>2860</v>
      </c>
      <c r="M27" s="35"/>
      <c r="N27" s="35"/>
      <c r="O27" s="35"/>
      <c r="P27" s="35"/>
      <c r="Q27" s="35">
        <v>1</v>
      </c>
      <c r="R27" s="25">
        <f t="shared" si="2"/>
        <v>30</v>
      </c>
    </row>
    <row r="28" spans="1:18" x14ac:dyDescent="0.25">
      <c r="A28" s="35"/>
      <c r="B28" s="35" t="s">
        <v>26</v>
      </c>
      <c r="C28" s="35" t="s">
        <v>2105</v>
      </c>
      <c r="D28" s="35" t="s">
        <v>2936</v>
      </c>
      <c r="E28" s="35" t="s">
        <v>2107</v>
      </c>
      <c r="F28" s="35" t="s">
        <v>36</v>
      </c>
      <c r="G28" s="36">
        <v>0</v>
      </c>
      <c r="H28" s="36">
        <v>25</v>
      </c>
      <c r="I28" s="36">
        <f t="shared" si="0"/>
        <v>-25</v>
      </c>
      <c r="J28" s="35" t="s">
        <v>31</v>
      </c>
      <c r="K28" s="35" t="s">
        <v>31</v>
      </c>
      <c r="L28" s="35" t="s">
        <v>2860</v>
      </c>
      <c r="M28" s="35"/>
      <c r="N28" s="35"/>
      <c r="O28" s="35"/>
      <c r="P28" s="35"/>
      <c r="Q28" s="35">
        <v>1</v>
      </c>
      <c r="R28" s="25">
        <f t="shared" si="2"/>
        <v>25</v>
      </c>
    </row>
    <row r="29" spans="1:18" x14ac:dyDescent="0.25">
      <c r="A29" s="35"/>
      <c r="B29" s="35" t="s">
        <v>26</v>
      </c>
      <c r="C29" s="35" t="s">
        <v>2937</v>
      </c>
      <c r="D29" s="35" t="s">
        <v>2938</v>
      </c>
      <c r="E29" s="35" t="s">
        <v>2939</v>
      </c>
      <c r="F29" s="35" t="s">
        <v>58</v>
      </c>
      <c r="G29" s="36">
        <v>0</v>
      </c>
      <c r="H29" s="36">
        <v>20</v>
      </c>
      <c r="I29" s="36">
        <f t="shared" si="0"/>
        <v>-20</v>
      </c>
      <c r="J29" s="35" t="s">
        <v>31</v>
      </c>
      <c r="K29" s="35" t="s">
        <v>31</v>
      </c>
      <c r="L29" s="35" t="s">
        <v>2860</v>
      </c>
      <c r="M29" s="35"/>
      <c r="N29" s="35"/>
      <c r="O29" s="35"/>
      <c r="P29" s="35"/>
      <c r="Q29" s="35">
        <v>1</v>
      </c>
      <c r="R29" s="25">
        <f t="shared" si="2"/>
        <v>20</v>
      </c>
    </row>
    <row r="30" spans="1:18" x14ac:dyDescent="0.25">
      <c r="A30" s="35"/>
      <c r="B30" s="35" t="s">
        <v>26</v>
      </c>
      <c r="C30" s="35" t="s">
        <v>1125</v>
      </c>
      <c r="D30" s="35" t="s">
        <v>2940</v>
      </c>
      <c r="E30" s="35" t="s">
        <v>2941</v>
      </c>
      <c r="F30" s="35" t="s">
        <v>58</v>
      </c>
      <c r="G30" s="36">
        <v>0</v>
      </c>
      <c r="H30" s="36">
        <v>20</v>
      </c>
      <c r="I30" s="36">
        <f t="shared" si="0"/>
        <v>-20</v>
      </c>
      <c r="J30" s="35" t="s">
        <v>31</v>
      </c>
      <c r="K30" s="35" t="s">
        <v>31</v>
      </c>
      <c r="L30" s="35" t="s">
        <v>2860</v>
      </c>
      <c r="M30" s="35"/>
      <c r="N30" s="35"/>
      <c r="O30" s="35"/>
      <c r="P30" s="35"/>
      <c r="Q30" s="35">
        <v>1</v>
      </c>
      <c r="R30" s="25">
        <f t="shared" si="2"/>
        <v>20</v>
      </c>
    </row>
    <row r="31" spans="1:18" x14ac:dyDescent="0.25">
      <c r="A31" s="35"/>
      <c r="B31" s="35" t="s">
        <v>26</v>
      </c>
      <c r="C31" s="35" t="s">
        <v>2943</v>
      </c>
      <c r="D31" s="35" t="s">
        <v>2944</v>
      </c>
      <c r="E31" s="35" t="s">
        <v>2945</v>
      </c>
      <c r="F31" s="35" t="s">
        <v>58</v>
      </c>
      <c r="G31" s="36">
        <v>910</v>
      </c>
      <c r="H31" s="36">
        <v>20</v>
      </c>
      <c r="I31" s="36">
        <f t="shared" si="0"/>
        <v>890</v>
      </c>
      <c r="J31" s="35" t="s">
        <v>31</v>
      </c>
      <c r="K31" s="35" t="s">
        <v>31</v>
      </c>
      <c r="L31" s="35" t="s">
        <v>2860</v>
      </c>
      <c r="M31" s="35"/>
      <c r="N31" s="35"/>
      <c r="O31" s="35"/>
      <c r="P31" s="35"/>
      <c r="Q31" s="35">
        <v>1</v>
      </c>
    </row>
    <row r="32" spans="1:18" x14ac:dyDescent="0.25">
      <c r="A32" s="35"/>
      <c r="B32" s="35" t="s">
        <v>26</v>
      </c>
      <c r="C32" s="35" t="s">
        <v>2946</v>
      </c>
      <c r="D32" s="35" t="s">
        <v>2947</v>
      </c>
      <c r="E32" s="35" t="s">
        <v>2948</v>
      </c>
      <c r="F32" s="35" t="s">
        <v>36</v>
      </c>
      <c r="G32" s="36">
        <v>0</v>
      </c>
      <c r="H32" s="36">
        <v>25</v>
      </c>
      <c r="I32" s="36">
        <f t="shared" si="0"/>
        <v>-25</v>
      </c>
      <c r="J32" s="35" t="s">
        <v>31</v>
      </c>
      <c r="K32" s="35" t="s">
        <v>31</v>
      </c>
      <c r="L32" s="35" t="s">
        <v>2860</v>
      </c>
      <c r="M32" s="35"/>
      <c r="N32" s="35"/>
      <c r="O32" s="35"/>
      <c r="P32" s="35"/>
      <c r="Q32" s="35">
        <v>1</v>
      </c>
      <c r="R32" s="25">
        <f>H32</f>
        <v>25</v>
      </c>
    </row>
    <row r="33" spans="1:18" x14ac:dyDescent="0.25">
      <c r="A33" s="35"/>
      <c r="B33" s="35" t="s">
        <v>26</v>
      </c>
      <c r="C33" s="35" t="s">
        <v>2949</v>
      </c>
      <c r="D33" s="35" t="s">
        <v>2950</v>
      </c>
      <c r="E33" s="35" t="s">
        <v>2951</v>
      </c>
      <c r="F33" s="35" t="s">
        <v>128</v>
      </c>
      <c r="G33" s="36">
        <v>30</v>
      </c>
      <c r="H33" s="36">
        <v>30</v>
      </c>
      <c r="I33" s="36">
        <f t="shared" si="0"/>
        <v>0</v>
      </c>
      <c r="J33" s="35" t="s">
        <v>31</v>
      </c>
      <c r="K33" s="35" t="s">
        <v>31</v>
      </c>
      <c r="L33" s="35" t="s">
        <v>2860</v>
      </c>
      <c r="M33" s="35"/>
      <c r="N33" s="35"/>
      <c r="O33" s="35"/>
      <c r="P33" s="35"/>
      <c r="Q33" s="35">
        <v>1</v>
      </c>
    </row>
    <row r="34" spans="1:18" x14ac:dyDescent="0.25">
      <c r="A34" s="35" t="s">
        <v>66</v>
      </c>
      <c r="B34" s="35" t="s">
        <v>26</v>
      </c>
      <c r="C34" s="35" t="s">
        <v>2955</v>
      </c>
      <c r="D34" s="35"/>
      <c r="E34" s="35" t="s">
        <v>2956</v>
      </c>
      <c r="F34" s="36">
        <v>12</v>
      </c>
      <c r="G34" s="36">
        <v>0</v>
      </c>
      <c r="H34" s="36">
        <v>60</v>
      </c>
      <c r="I34" s="36">
        <f t="shared" si="0"/>
        <v>-60</v>
      </c>
      <c r="J34" s="35" t="s">
        <v>31</v>
      </c>
      <c r="K34" s="35" t="s">
        <v>31</v>
      </c>
      <c r="L34" s="35" t="s">
        <v>2860</v>
      </c>
      <c r="M34" s="35"/>
      <c r="N34" s="35"/>
      <c r="O34" s="35"/>
      <c r="P34" s="35"/>
      <c r="Q34" s="35">
        <v>1</v>
      </c>
      <c r="R34" s="25">
        <f>H34</f>
        <v>60</v>
      </c>
    </row>
    <row r="35" spans="1:18" x14ac:dyDescent="0.25">
      <c r="A35" s="35" t="s">
        <v>66</v>
      </c>
      <c r="B35" s="35" t="s">
        <v>26</v>
      </c>
      <c r="C35" s="35" t="s">
        <v>1053</v>
      </c>
      <c r="D35" s="35"/>
      <c r="E35" s="35" t="s">
        <v>796</v>
      </c>
      <c r="F35" s="35" t="s">
        <v>36</v>
      </c>
      <c r="G35" s="36">
        <v>1560</v>
      </c>
      <c r="H35" s="36">
        <v>30</v>
      </c>
      <c r="I35" s="36">
        <f t="shared" ref="I35:I54" si="3">G35-H35</f>
        <v>1530</v>
      </c>
      <c r="J35" s="35" t="s">
        <v>31</v>
      </c>
      <c r="K35" s="35" t="s">
        <v>31</v>
      </c>
      <c r="L35" s="35" t="s">
        <v>2860</v>
      </c>
      <c r="M35" s="35"/>
      <c r="N35" s="35"/>
      <c r="O35" s="35"/>
      <c r="P35" s="35"/>
      <c r="Q35" s="35">
        <v>1</v>
      </c>
    </row>
    <row r="36" spans="1:18" x14ac:dyDescent="0.25">
      <c r="A36" s="35"/>
      <c r="B36" s="35" t="s">
        <v>26</v>
      </c>
      <c r="C36" s="35" t="s">
        <v>2864</v>
      </c>
      <c r="D36" s="35" t="s">
        <v>2865</v>
      </c>
      <c r="E36" s="35" t="s">
        <v>2866</v>
      </c>
      <c r="F36" s="36">
        <v>1</v>
      </c>
      <c r="G36" s="36">
        <v>845</v>
      </c>
      <c r="H36" s="36">
        <v>25</v>
      </c>
      <c r="I36" s="36">
        <f t="shared" si="3"/>
        <v>820</v>
      </c>
      <c r="J36" s="35" t="s">
        <v>41</v>
      </c>
      <c r="K36" s="35" t="s">
        <v>31</v>
      </c>
      <c r="L36" s="35" t="s">
        <v>2860</v>
      </c>
      <c r="M36" s="35"/>
      <c r="N36" s="35"/>
      <c r="O36" s="35"/>
      <c r="P36" s="35"/>
      <c r="Q36" s="35">
        <v>1</v>
      </c>
    </row>
    <row r="37" spans="1:18" x14ac:dyDescent="0.25">
      <c r="A37" s="35"/>
      <c r="B37" s="35" t="s">
        <v>26</v>
      </c>
      <c r="C37" s="35" t="s">
        <v>2873</v>
      </c>
      <c r="D37" s="35" t="s">
        <v>2874</v>
      </c>
      <c r="E37" s="35" t="s">
        <v>2875</v>
      </c>
      <c r="F37" s="35" t="s">
        <v>101</v>
      </c>
      <c r="G37" s="36">
        <v>935</v>
      </c>
      <c r="H37" s="36">
        <v>25</v>
      </c>
      <c r="I37" s="36">
        <f t="shared" si="3"/>
        <v>910</v>
      </c>
      <c r="J37" s="35" t="s">
        <v>41</v>
      </c>
      <c r="K37" s="35" t="s">
        <v>31</v>
      </c>
      <c r="L37" s="35" t="s">
        <v>2860</v>
      </c>
      <c r="M37" s="35"/>
      <c r="N37" s="35"/>
      <c r="O37" s="35"/>
      <c r="P37" s="35"/>
      <c r="Q37" s="35">
        <v>1</v>
      </c>
    </row>
    <row r="38" spans="1:18" x14ac:dyDescent="0.25">
      <c r="A38" s="35"/>
      <c r="B38" s="35" t="s">
        <v>26</v>
      </c>
      <c r="C38" s="35" t="s">
        <v>2892</v>
      </c>
      <c r="D38" s="35" t="s">
        <v>2893</v>
      </c>
      <c r="E38" s="35" t="s">
        <v>2894</v>
      </c>
      <c r="F38" s="36">
        <v>10</v>
      </c>
      <c r="G38" s="36">
        <v>1545</v>
      </c>
      <c r="H38" s="36">
        <v>25</v>
      </c>
      <c r="I38" s="36">
        <f t="shared" si="3"/>
        <v>1520</v>
      </c>
      <c r="J38" s="35" t="s">
        <v>41</v>
      </c>
      <c r="K38" s="35" t="s">
        <v>31</v>
      </c>
      <c r="L38" s="35" t="s">
        <v>2860</v>
      </c>
      <c r="M38" s="35"/>
      <c r="N38" s="35"/>
      <c r="O38" s="35"/>
      <c r="P38" s="35"/>
      <c r="Q38" s="35">
        <v>1</v>
      </c>
    </row>
    <row r="39" spans="1:18" x14ac:dyDescent="0.25">
      <c r="A39" s="35"/>
      <c r="B39" s="35" t="s">
        <v>26</v>
      </c>
      <c r="C39" s="35" t="s">
        <v>2895</v>
      </c>
      <c r="D39" s="35" t="s">
        <v>2896</v>
      </c>
      <c r="E39" s="35" t="s">
        <v>2897</v>
      </c>
      <c r="F39" s="36">
        <v>3</v>
      </c>
      <c r="G39" s="36">
        <v>1175</v>
      </c>
      <c r="H39" s="36">
        <v>25</v>
      </c>
      <c r="I39" s="36">
        <f t="shared" si="3"/>
        <v>1150</v>
      </c>
      <c r="J39" s="35" t="s">
        <v>41</v>
      </c>
      <c r="K39" s="35" t="s">
        <v>31</v>
      </c>
      <c r="L39" s="35" t="s">
        <v>2860</v>
      </c>
      <c r="M39" s="35"/>
      <c r="N39" s="35"/>
      <c r="O39" s="35"/>
      <c r="P39" s="35"/>
      <c r="Q39" s="35">
        <v>1</v>
      </c>
    </row>
    <row r="40" spans="1:18" x14ac:dyDescent="0.25">
      <c r="A40" s="35"/>
      <c r="B40" s="35" t="s">
        <v>26</v>
      </c>
      <c r="C40" s="35" t="s">
        <v>2447</v>
      </c>
      <c r="D40" s="35" t="s">
        <v>2898</v>
      </c>
      <c r="E40" s="35" t="s">
        <v>2899</v>
      </c>
      <c r="F40" s="35" t="s">
        <v>101</v>
      </c>
      <c r="G40" s="36">
        <v>1535</v>
      </c>
      <c r="H40" s="36">
        <v>25</v>
      </c>
      <c r="I40" s="36">
        <f t="shared" si="3"/>
        <v>1510</v>
      </c>
      <c r="J40" s="35" t="s">
        <v>41</v>
      </c>
      <c r="K40" s="35" t="s">
        <v>31</v>
      </c>
      <c r="L40" s="35" t="s">
        <v>2860</v>
      </c>
      <c r="M40" s="35"/>
      <c r="N40" s="35"/>
      <c r="O40" s="35"/>
      <c r="P40" s="35"/>
      <c r="Q40" s="35">
        <v>1</v>
      </c>
    </row>
    <row r="41" spans="1:18" x14ac:dyDescent="0.25">
      <c r="A41" s="35"/>
      <c r="B41" s="35" t="s">
        <v>26</v>
      </c>
      <c r="C41" s="35" t="s">
        <v>481</v>
      </c>
      <c r="D41" s="35" t="s">
        <v>2900</v>
      </c>
      <c r="E41" s="35" t="s">
        <v>483</v>
      </c>
      <c r="F41" s="35" t="s">
        <v>101</v>
      </c>
      <c r="G41" s="36">
        <v>705</v>
      </c>
      <c r="H41" s="36">
        <v>25</v>
      </c>
      <c r="I41" s="36">
        <f t="shared" si="3"/>
        <v>680</v>
      </c>
      <c r="J41" s="35" t="s">
        <v>41</v>
      </c>
      <c r="K41" s="35" t="s">
        <v>31</v>
      </c>
      <c r="L41" s="35" t="s">
        <v>2860</v>
      </c>
      <c r="M41" s="35"/>
      <c r="N41" s="35"/>
      <c r="O41" s="35"/>
      <c r="P41" s="35"/>
      <c r="Q41" s="35">
        <v>1</v>
      </c>
    </row>
    <row r="42" spans="1:18" x14ac:dyDescent="0.25">
      <c r="A42" s="35"/>
      <c r="B42" s="35" t="s">
        <v>26</v>
      </c>
      <c r="C42" s="35" t="s">
        <v>2903</v>
      </c>
      <c r="D42" s="35" t="s">
        <v>2904</v>
      </c>
      <c r="E42" s="35" t="s">
        <v>2905</v>
      </c>
      <c r="F42" s="35" t="s">
        <v>101</v>
      </c>
      <c r="G42" s="36">
        <v>915</v>
      </c>
      <c r="H42" s="36">
        <v>25</v>
      </c>
      <c r="I42" s="36">
        <f t="shared" si="3"/>
        <v>890</v>
      </c>
      <c r="J42" s="35" t="s">
        <v>41</v>
      </c>
      <c r="K42" s="35" t="s">
        <v>31</v>
      </c>
      <c r="L42" s="35" t="s">
        <v>2860</v>
      </c>
      <c r="M42" s="35"/>
      <c r="N42" s="35"/>
      <c r="O42" s="35"/>
      <c r="P42" s="35"/>
      <c r="Q42" s="35">
        <v>1</v>
      </c>
    </row>
    <row r="43" spans="1:18" x14ac:dyDescent="0.25">
      <c r="A43" s="35"/>
      <c r="B43" s="35" t="s">
        <v>26</v>
      </c>
      <c r="C43" s="35" t="s">
        <v>1338</v>
      </c>
      <c r="D43" s="35" t="s">
        <v>2910</v>
      </c>
      <c r="E43" s="35" t="s">
        <v>1340</v>
      </c>
      <c r="F43" s="36">
        <v>10</v>
      </c>
      <c r="G43" s="36">
        <v>645</v>
      </c>
      <c r="H43" s="36">
        <v>25</v>
      </c>
      <c r="I43" s="36">
        <f t="shared" si="3"/>
        <v>620</v>
      </c>
      <c r="J43" s="35" t="s">
        <v>41</v>
      </c>
      <c r="K43" s="35" t="s">
        <v>31</v>
      </c>
      <c r="L43" s="35" t="s">
        <v>2860</v>
      </c>
      <c r="M43" s="35"/>
      <c r="N43" s="35"/>
      <c r="O43" s="35"/>
      <c r="P43" s="35"/>
      <c r="Q43" s="35">
        <v>1</v>
      </c>
    </row>
    <row r="44" spans="1:18" x14ac:dyDescent="0.25">
      <c r="A44" s="35"/>
      <c r="B44" s="35" t="s">
        <v>26</v>
      </c>
      <c r="C44" s="35" t="s">
        <v>2916</v>
      </c>
      <c r="D44" s="35" t="s">
        <v>2917</v>
      </c>
      <c r="E44" s="35" t="s">
        <v>2918</v>
      </c>
      <c r="F44" s="35" t="s">
        <v>101</v>
      </c>
      <c r="G44" s="36">
        <v>1545</v>
      </c>
      <c r="H44" s="36">
        <v>25</v>
      </c>
      <c r="I44" s="36">
        <f t="shared" si="3"/>
        <v>1520</v>
      </c>
      <c r="J44" s="35" t="s">
        <v>41</v>
      </c>
      <c r="K44" s="35" t="s">
        <v>31</v>
      </c>
      <c r="L44" s="35" t="s">
        <v>2860</v>
      </c>
      <c r="M44" s="35"/>
      <c r="N44" s="35"/>
      <c r="O44" s="35"/>
      <c r="P44" s="35"/>
      <c r="Q44" s="35">
        <v>1</v>
      </c>
    </row>
    <row r="45" spans="1:18" x14ac:dyDescent="0.25">
      <c r="A45" s="35"/>
      <c r="B45" s="35" t="s">
        <v>26</v>
      </c>
      <c r="C45" s="35" t="s">
        <v>1737</v>
      </c>
      <c r="D45" s="35" t="s">
        <v>2923</v>
      </c>
      <c r="E45" s="35" t="s">
        <v>2924</v>
      </c>
      <c r="F45" s="36">
        <v>10</v>
      </c>
      <c r="G45" s="36">
        <v>25</v>
      </c>
      <c r="H45" s="36">
        <v>25</v>
      </c>
      <c r="I45" s="36">
        <f t="shared" si="3"/>
        <v>0</v>
      </c>
      <c r="J45" s="35" t="s">
        <v>41</v>
      </c>
      <c r="K45" s="35" t="s">
        <v>31</v>
      </c>
      <c r="L45" s="35" t="s">
        <v>2860</v>
      </c>
      <c r="M45" s="35"/>
      <c r="N45" s="35"/>
      <c r="O45" s="35"/>
      <c r="P45" s="35"/>
      <c r="Q45" s="35">
        <v>1</v>
      </c>
    </row>
    <row r="46" spans="1:18" x14ac:dyDescent="0.25">
      <c r="A46" s="35"/>
      <c r="B46" s="35" t="s">
        <v>26</v>
      </c>
      <c r="C46" s="35" t="s">
        <v>2925</v>
      </c>
      <c r="D46" s="35" t="s">
        <v>2926</v>
      </c>
      <c r="E46" s="35" t="s">
        <v>2927</v>
      </c>
      <c r="F46" s="36">
        <v>4</v>
      </c>
      <c r="G46" s="36">
        <v>885</v>
      </c>
      <c r="H46" s="36">
        <v>25</v>
      </c>
      <c r="I46" s="36">
        <f t="shared" si="3"/>
        <v>860</v>
      </c>
      <c r="J46" s="35" t="s">
        <v>41</v>
      </c>
      <c r="K46" s="35" t="s">
        <v>31</v>
      </c>
      <c r="L46" s="35" t="s">
        <v>2860</v>
      </c>
      <c r="M46" s="35"/>
      <c r="N46" s="35"/>
      <c r="O46" s="35"/>
      <c r="P46" s="35"/>
      <c r="Q46" s="35">
        <v>1</v>
      </c>
    </row>
    <row r="47" spans="1:18" x14ac:dyDescent="0.25">
      <c r="A47" s="35"/>
      <c r="B47" s="35" t="s">
        <v>26</v>
      </c>
      <c r="C47" s="35" t="s">
        <v>2512</v>
      </c>
      <c r="D47" s="35" t="s">
        <v>2942</v>
      </c>
      <c r="E47" s="35" t="s">
        <v>2514</v>
      </c>
      <c r="F47" s="36">
        <v>1</v>
      </c>
      <c r="G47" s="36">
        <v>0</v>
      </c>
      <c r="H47" s="36">
        <v>25</v>
      </c>
      <c r="I47" s="36">
        <f t="shared" si="3"/>
        <v>-25</v>
      </c>
      <c r="J47" s="35" t="s">
        <v>41</v>
      </c>
      <c r="K47" s="35" t="s">
        <v>31</v>
      </c>
      <c r="L47" s="35" t="s">
        <v>2860</v>
      </c>
      <c r="M47" s="35"/>
      <c r="N47" s="35"/>
      <c r="O47" s="35"/>
      <c r="P47" s="35"/>
      <c r="Q47" s="35">
        <v>1</v>
      </c>
      <c r="R47" s="25">
        <f t="shared" ref="R47:R48" si="4">H47</f>
        <v>25</v>
      </c>
    </row>
    <row r="48" spans="1:18" x14ac:dyDescent="0.25">
      <c r="A48" s="35" t="s">
        <v>66</v>
      </c>
      <c r="B48" s="35" t="s">
        <v>26</v>
      </c>
      <c r="C48" s="35" t="s">
        <v>2957</v>
      </c>
      <c r="D48" s="35"/>
      <c r="E48" s="35" t="s">
        <v>2958</v>
      </c>
      <c r="F48" s="36">
        <v>5</v>
      </c>
      <c r="G48" s="36">
        <v>0</v>
      </c>
      <c r="H48" s="36">
        <v>30</v>
      </c>
      <c r="I48" s="36">
        <f t="shared" si="3"/>
        <v>-30</v>
      </c>
      <c r="J48" s="35" t="s">
        <v>41</v>
      </c>
      <c r="K48" s="35" t="s">
        <v>31</v>
      </c>
      <c r="L48" s="35" t="s">
        <v>2860</v>
      </c>
      <c r="M48" s="35"/>
      <c r="N48" s="35"/>
      <c r="O48" s="35"/>
      <c r="P48" s="35"/>
      <c r="Q48" s="35">
        <v>1</v>
      </c>
      <c r="R48" s="25">
        <f t="shared" si="4"/>
        <v>30</v>
      </c>
    </row>
    <row r="49" spans="1:17" x14ac:dyDescent="0.25">
      <c r="A49" s="35" t="s">
        <v>66</v>
      </c>
      <c r="B49" s="35" t="s">
        <v>26</v>
      </c>
      <c r="C49" s="35" t="s">
        <v>2959</v>
      </c>
      <c r="D49" s="35"/>
      <c r="E49" s="35" t="s">
        <v>2960</v>
      </c>
      <c r="F49" s="35" t="s">
        <v>101</v>
      </c>
      <c r="G49" s="36">
        <v>810</v>
      </c>
      <c r="H49" s="36">
        <v>30</v>
      </c>
      <c r="I49" s="36">
        <f t="shared" si="3"/>
        <v>780</v>
      </c>
      <c r="J49" s="35" t="s">
        <v>41</v>
      </c>
      <c r="K49" s="35" t="s">
        <v>31</v>
      </c>
      <c r="L49" s="35" t="s">
        <v>2860</v>
      </c>
      <c r="M49" s="35"/>
      <c r="N49" s="35"/>
      <c r="O49" s="35"/>
      <c r="P49" s="35"/>
      <c r="Q49" s="35">
        <v>1</v>
      </c>
    </row>
    <row r="50" spans="1:17" x14ac:dyDescent="0.25">
      <c r="A50" s="35" t="s">
        <v>66</v>
      </c>
      <c r="B50" s="35" t="s">
        <v>26</v>
      </c>
      <c r="C50" s="35" t="s">
        <v>1314</v>
      </c>
      <c r="D50" s="35"/>
      <c r="E50" s="35" t="s">
        <v>1315</v>
      </c>
      <c r="F50" s="35" t="s">
        <v>101</v>
      </c>
      <c r="G50" s="36">
        <v>810</v>
      </c>
      <c r="H50" s="36">
        <v>30</v>
      </c>
      <c r="I50" s="36">
        <f t="shared" si="3"/>
        <v>780</v>
      </c>
      <c r="J50" s="35" t="s">
        <v>41</v>
      </c>
      <c r="K50" s="35" t="s">
        <v>31</v>
      </c>
      <c r="L50" s="35" t="s">
        <v>2860</v>
      </c>
      <c r="M50" s="35"/>
      <c r="N50" s="35"/>
      <c r="O50" s="35"/>
      <c r="P50" s="35"/>
      <c r="Q50" s="35">
        <v>1</v>
      </c>
    </row>
    <row r="51" spans="1:17" s="30" customFormat="1" x14ac:dyDescent="0.25">
      <c r="A51" s="37"/>
      <c r="B51" s="37" t="s">
        <v>26</v>
      </c>
      <c r="C51" s="37" t="s">
        <v>2952</v>
      </c>
      <c r="D51" s="37" t="s">
        <v>2953</v>
      </c>
      <c r="E51" s="37" t="s">
        <v>2954</v>
      </c>
      <c r="F51" s="37" t="s">
        <v>377</v>
      </c>
      <c r="G51" s="43">
        <v>1880</v>
      </c>
      <c r="H51" s="43">
        <v>0</v>
      </c>
      <c r="I51" s="43">
        <f t="shared" si="3"/>
        <v>1880</v>
      </c>
      <c r="J51" s="37" t="s">
        <v>118</v>
      </c>
      <c r="K51" s="37" t="s">
        <v>31</v>
      </c>
      <c r="L51" s="37" t="s">
        <v>2860</v>
      </c>
      <c r="M51" s="37" t="s">
        <v>378</v>
      </c>
      <c r="N51" s="37" t="s">
        <v>316</v>
      </c>
      <c r="O51" s="37"/>
      <c r="P51" s="37" t="s">
        <v>317</v>
      </c>
      <c r="Q51" s="37">
        <v>1</v>
      </c>
    </row>
    <row r="52" spans="1:17" s="30" customFormat="1" x14ac:dyDescent="0.25">
      <c r="A52" s="37"/>
      <c r="B52" s="37" t="s">
        <v>26</v>
      </c>
      <c r="C52" s="37" t="s">
        <v>2752</v>
      </c>
      <c r="D52" s="37" t="s">
        <v>2753</v>
      </c>
      <c r="E52" s="37" t="s">
        <v>2754</v>
      </c>
      <c r="F52" s="37" t="s">
        <v>58</v>
      </c>
      <c r="G52" s="43">
        <v>890</v>
      </c>
      <c r="H52" s="43">
        <v>20</v>
      </c>
      <c r="I52" s="43">
        <f t="shared" si="3"/>
        <v>870</v>
      </c>
      <c r="J52" s="37" t="s">
        <v>118</v>
      </c>
      <c r="K52" s="37" t="s">
        <v>31</v>
      </c>
      <c r="L52" s="37" t="s">
        <v>2739</v>
      </c>
      <c r="M52" s="37" t="s">
        <v>91</v>
      </c>
      <c r="N52" s="37" t="s">
        <v>316</v>
      </c>
      <c r="O52" s="37" t="s">
        <v>316</v>
      </c>
      <c r="P52" s="37" t="s">
        <v>317</v>
      </c>
      <c r="Q52" s="37">
        <v>1</v>
      </c>
    </row>
    <row r="53" spans="1:17" s="30" customFormat="1" x14ac:dyDescent="0.25">
      <c r="A53" s="37"/>
      <c r="B53" s="37" t="s">
        <v>26</v>
      </c>
      <c r="C53" s="37" t="s">
        <v>2798</v>
      </c>
      <c r="D53" s="37" t="s">
        <v>2799</v>
      </c>
      <c r="E53" s="37" t="s">
        <v>2800</v>
      </c>
      <c r="F53" s="43">
        <v>2</v>
      </c>
      <c r="G53" s="43">
        <v>790</v>
      </c>
      <c r="H53" s="43">
        <v>30</v>
      </c>
      <c r="I53" s="43">
        <f t="shared" si="3"/>
        <v>760</v>
      </c>
      <c r="J53" s="37" t="s">
        <v>118</v>
      </c>
      <c r="K53" s="37" t="s">
        <v>31</v>
      </c>
      <c r="L53" s="37" t="s">
        <v>2739</v>
      </c>
      <c r="M53" s="37" t="s">
        <v>91</v>
      </c>
      <c r="N53" s="37" t="s">
        <v>316</v>
      </c>
      <c r="O53" s="37" t="s">
        <v>316</v>
      </c>
      <c r="P53" s="37" t="s">
        <v>317</v>
      </c>
      <c r="Q53" s="37">
        <v>1</v>
      </c>
    </row>
    <row r="54" spans="1:17" s="30" customFormat="1" x14ac:dyDescent="0.25">
      <c r="A54" s="37"/>
      <c r="B54" s="37" t="s">
        <v>26</v>
      </c>
      <c r="C54" s="37" t="s">
        <v>2840</v>
      </c>
      <c r="D54" s="37" t="s">
        <v>2841</v>
      </c>
      <c r="E54" s="37" t="s">
        <v>2842</v>
      </c>
      <c r="F54" s="37" t="s">
        <v>45</v>
      </c>
      <c r="G54" s="43">
        <v>1965</v>
      </c>
      <c r="H54" s="43">
        <v>25</v>
      </c>
      <c r="I54" s="43">
        <f t="shared" si="3"/>
        <v>1940</v>
      </c>
      <c r="J54" s="37" t="s">
        <v>118</v>
      </c>
      <c r="K54" s="37" t="s">
        <v>31</v>
      </c>
      <c r="L54" s="37" t="s">
        <v>2739</v>
      </c>
      <c r="M54" s="38" t="s">
        <v>2962</v>
      </c>
      <c r="N54" s="37" t="s">
        <v>316</v>
      </c>
      <c r="O54" s="37" t="s">
        <v>316</v>
      </c>
      <c r="P54" s="37" t="s">
        <v>317</v>
      </c>
      <c r="Q54" s="37">
        <v>1</v>
      </c>
    </row>
    <row r="56" spans="1:17" x14ac:dyDescent="0.25">
      <c r="D56" s="26">
        <f>COUNTA(D3:D54)</f>
        <v>45</v>
      </c>
      <c r="G56" s="26">
        <f t="shared" ref="G56:Q56" si="5">SUBTOTAL(9,G3:G54)</f>
        <v>37150</v>
      </c>
      <c r="H56" s="26">
        <f t="shared" si="5"/>
        <v>1450</v>
      </c>
      <c r="I56" s="26">
        <f t="shared" si="5"/>
        <v>35700</v>
      </c>
      <c r="J56" s="26">
        <f t="shared" si="5"/>
        <v>0</v>
      </c>
      <c r="K56" s="26">
        <f t="shared" si="5"/>
        <v>0</v>
      </c>
      <c r="L56" s="26">
        <f t="shared" si="5"/>
        <v>0</v>
      </c>
      <c r="M56" s="26">
        <f t="shared" si="5"/>
        <v>0</v>
      </c>
      <c r="N56" s="26">
        <f t="shared" si="5"/>
        <v>0</v>
      </c>
      <c r="O56" s="26">
        <f t="shared" si="5"/>
        <v>0</v>
      </c>
      <c r="P56" s="26">
        <f t="shared" si="5"/>
        <v>0</v>
      </c>
      <c r="Q56" s="26">
        <f t="shared" si="5"/>
        <v>52</v>
      </c>
    </row>
    <row r="57" spans="1:17" x14ac:dyDescent="0.25">
      <c r="H57" s="24">
        <f>-9*17</f>
        <v>-153</v>
      </c>
    </row>
    <row r="58" spans="1:17" x14ac:dyDescent="0.25">
      <c r="A58" s="26" t="s">
        <v>26</v>
      </c>
      <c r="C58" s="80" t="s">
        <v>78</v>
      </c>
      <c r="D58" s="80"/>
      <c r="E58" s="27" t="s">
        <v>79</v>
      </c>
      <c r="H58" s="24">
        <f>-5*25</f>
        <v>-125</v>
      </c>
      <c r="K58" s="28" t="s">
        <v>2859</v>
      </c>
      <c r="L58" s="28" t="s">
        <v>80</v>
      </c>
      <c r="M58" s="28" t="s">
        <v>79</v>
      </c>
      <c r="O58" s="27" t="s">
        <v>81</v>
      </c>
    </row>
    <row r="59" spans="1:17" x14ac:dyDescent="0.25">
      <c r="A59" s="24" t="s">
        <v>2860</v>
      </c>
      <c r="B59" s="29" t="s">
        <v>82</v>
      </c>
      <c r="C59" s="81">
        <f>SUMIFS(I$3:I$54,B$3:B$54,A$58,L$3:L$54,A$59)</f>
        <v>32130</v>
      </c>
      <c r="D59" s="81"/>
      <c r="E59" s="29">
        <f>SUMIFS(Q$3:Q$54,B$3:B$54,A$58,L$3:L$54,A$59)</f>
        <v>49</v>
      </c>
      <c r="F59" s="24" t="s">
        <v>83</v>
      </c>
      <c r="H59" s="24">
        <f>-2*30</f>
        <v>-60</v>
      </c>
      <c r="K59" s="24" t="s">
        <v>84</v>
      </c>
      <c r="L59" s="24">
        <f>SUMIFS(G$3:G$54,J$3:J$54,K$58)</f>
        <v>10905</v>
      </c>
      <c r="M59" s="24">
        <f>SUMIFS(Q$3:Q$54,J$3:J$54,K$58)-INT(COUNTIFS(J$3:J$54,K$58,M$3:M$54,"*gộp*")/2)</f>
        <v>16</v>
      </c>
      <c r="O59" s="24" t="s">
        <v>2961</v>
      </c>
      <c r="P59" s="24">
        <f>L64</f>
        <v>8627</v>
      </c>
    </row>
    <row r="60" spans="1:17" x14ac:dyDescent="0.25">
      <c r="B60" s="30" t="s">
        <v>86</v>
      </c>
      <c r="C60" s="82">
        <v>0</v>
      </c>
      <c r="D60" s="82"/>
      <c r="K60" s="24" t="s">
        <v>87</v>
      </c>
      <c r="L60" s="24">
        <f>SUM(H57:H59)</f>
        <v>-338</v>
      </c>
      <c r="M60" s="24">
        <f>SUMIFS(Q$3:Q$54,J$3:J$54,K$58)-INT(COUNTIFS(J$3:J$54,K$58,M$3:M$54,"*gộp*")/2)</f>
        <v>16</v>
      </c>
      <c r="O60" s="24" t="s">
        <v>31</v>
      </c>
      <c r="P60" s="24">
        <f>L72</f>
        <v>6198</v>
      </c>
    </row>
    <row r="61" spans="1:17" x14ac:dyDescent="0.25">
      <c r="B61" s="30" t="s">
        <v>88</v>
      </c>
      <c r="C61" s="82">
        <f>-SUMIFS(I$3:I$54,B$3:B$54,A$58,P$3:P$54,"xx",N$3:N$54,"x")</f>
        <v>-5450</v>
      </c>
      <c r="D61" s="82"/>
      <c r="E61" s="30">
        <f>SUMIFS(Q$3:Q$54,B$3:B$54,A$58,P$3:P$54,"xx",N$3:N$54,"x")</f>
        <v>4</v>
      </c>
      <c r="K61" s="24" t="s">
        <v>89</v>
      </c>
      <c r="L61" s="24">
        <f>-M61*2</f>
        <v>0</v>
      </c>
      <c r="M61" s="24">
        <f>COUNTIFS(K$3:K$54,K$58,L$3:L$54,A$59)-(COUNTIFS(K$3:K$54,K$58,M$3:M$54,"*gộp*")/2)-COUNTIFS(K$3:K$54,K$58,M$3:M$54,"*đơn trả*")-COUNTIFS(K$3:K$54,K$58,M$3:M$54,"*hàng tỉnh*")</f>
        <v>0</v>
      </c>
      <c r="O61" s="24" t="s">
        <v>41</v>
      </c>
      <c r="P61" s="24">
        <f>L80</f>
        <v>12060</v>
      </c>
    </row>
    <row r="62" spans="1:17" x14ac:dyDescent="0.25">
      <c r="B62" s="27" t="s">
        <v>90</v>
      </c>
      <c r="C62" s="80">
        <f>SUBTOTAL(9,C59:C61)</f>
        <v>26680</v>
      </c>
      <c r="D62" s="80"/>
      <c r="E62" s="24">
        <f>E59</f>
        <v>49</v>
      </c>
      <c r="K62" s="31" t="s">
        <v>91</v>
      </c>
      <c r="O62" s="24" t="s">
        <v>92</v>
      </c>
      <c r="P62" s="24">
        <f>-C66</f>
        <v>-26680</v>
      </c>
    </row>
    <row r="63" spans="1:17" x14ac:dyDescent="0.25">
      <c r="B63" s="30" t="s">
        <v>93</v>
      </c>
      <c r="C63" s="78"/>
      <c r="D63" s="78"/>
      <c r="K63" s="30" t="s">
        <v>94</v>
      </c>
      <c r="L63" s="48">
        <v>-1940</v>
      </c>
      <c r="M63" s="48" t="s">
        <v>590</v>
      </c>
      <c r="O63" s="27" t="s">
        <v>95</v>
      </c>
      <c r="P63" s="27">
        <f>SUBTOTAL(9,P59:P62)</f>
        <v>205</v>
      </c>
    </row>
    <row r="64" spans="1:17" x14ac:dyDescent="0.25">
      <c r="B64" s="32" t="s">
        <v>96</v>
      </c>
      <c r="C64" s="78"/>
      <c r="D64" s="78"/>
      <c r="L64" s="33">
        <f>SUBTOTAL(9,L59:L63)</f>
        <v>8627</v>
      </c>
      <c r="M64" s="33">
        <f>M59</f>
        <v>16</v>
      </c>
    </row>
    <row r="66" spans="2:13" x14ac:dyDescent="0.25">
      <c r="B66" s="26" t="s">
        <v>97</v>
      </c>
      <c r="C66" s="79">
        <f>C62+C63+C64</f>
        <v>26680</v>
      </c>
      <c r="D66" s="79"/>
      <c r="E66" s="26" t="s">
        <v>98</v>
      </c>
      <c r="K66" s="28" t="s">
        <v>31</v>
      </c>
      <c r="L66" s="28" t="s">
        <v>80</v>
      </c>
      <c r="M66" s="28" t="s">
        <v>79</v>
      </c>
    </row>
    <row r="67" spans="2:13" x14ac:dyDescent="0.25">
      <c r="K67" s="24" t="s">
        <v>84</v>
      </c>
      <c r="L67" s="24">
        <f>SUMIFS(G$3:G$54,J$3:J$54,K$66)</f>
        <v>8345</v>
      </c>
      <c r="M67" s="24">
        <f>SUMIFS(Q$3:Q$54,J$3:J$54,K$66)-INT(COUNTIFS(J$3:J$54,K$66,M$3:M$54,"*gộp*")/2)</f>
        <v>17</v>
      </c>
    </row>
    <row r="68" spans="2:13" x14ac:dyDescent="0.25">
      <c r="K68" s="24" t="s">
        <v>87</v>
      </c>
      <c r="L68" s="24">
        <f>-SUMIFS(H$3:H$54,J$3:J$54,K$66)+M68*5</f>
        <v>-415</v>
      </c>
      <c r="M68" s="24">
        <f>SUMIFS(Q$3:Q$54,J$3:J$54,K$66)-INT(COUNTIFS(J$3:J$54,K$66,M$3:M$54,"*gộp*")/2)</f>
        <v>17</v>
      </c>
    </row>
    <row r="69" spans="2:13" x14ac:dyDescent="0.25">
      <c r="K69" s="24" t="s">
        <v>89</v>
      </c>
      <c r="L69" s="24">
        <f>-M69*2</f>
        <v>-92</v>
      </c>
      <c r="M69" s="24">
        <f>COUNTIFS(K$3:K$54,K$66,L$3:L$54,A$59)-(COUNTIFS(K$3:K$54,K$66,M$3:M$54,"*gộp*")/2)-COUNTIFS(K$3:K$54,K$66,M$3:M$54,"*đơn trả*")-COUNTIFS(K$3:K$54,K$66,M$3:M$54,"*hàng tỉnh*")</f>
        <v>46</v>
      </c>
    </row>
    <row r="70" spans="2:13" x14ac:dyDescent="0.25">
      <c r="K70" s="31" t="s">
        <v>91</v>
      </c>
      <c r="L70" s="48">
        <v>-1640</v>
      </c>
      <c r="M70" s="48" t="s">
        <v>589</v>
      </c>
    </row>
    <row r="71" spans="2:13" x14ac:dyDescent="0.25">
      <c r="K71" s="30" t="s">
        <v>94</v>
      </c>
    </row>
    <row r="72" spans="2:13" x14ac:dyDescent="0.25">
      <c r="L72" s="33">
        <f>SUBTOTAL(9,L67:L71)</f>
        <v>6198</v>
      </c>
      <c r="M72" s="33">
        <f>M67</f>
        <v>17</v>
      </c>
    </row>
    <row r="74" spans="2:13" x14ac:dyDescent="0.25">
      <c r="K74" s="28" t="s">
        <v>41</v>
      </c>
      <c r="L74" s="28" t="s">
        <v>80</v>
      </c>
      <c r="M74" s="28" t="s">
        <v>79</v>
      </c>
    </row>
    <row r="75" spans="2:13" x14ac:dyDescent="0.25">
      <c r="K75" s="24" t="s">
        <v>84</v>
      </c>
      <c r="L75" s="24">
        <f>SUMIFS(G$3:G$54,J$3:J$54,K$74)</f>
        <v>12375</v>
      </c>
      <c r="M75" s="24">
        <f>SUMIFS(Q$3:Q$54,J$3:J$54,K$74)-INT(COUNTIFS(J$3:J$54,K$74,M$3:M$54,"*gộp*")/2)</f>
        <v>15</v>
      </c>
    </row>
    <row r="76" spans="2:13" x14ac:dyDescent="0.25">
      <c r="K76" s="24" t="s">
        <v>87</v>
      </c>
      <c r="L76" s="24">
        <f>-SUMIFS(H$3:H$54,J$3:J$54,K$74)+M76*5</f>
        <v>-315</v>
      </c>
      <c r="M76" s="24">
        <f>SUMIFS(Q$3:Q$54,J$3:J$54,K$74)-INT(COUNTIFS(J$3:J$54,K$74,M$3:M$54,"*gộp*")/2)</f>
        <v>15</v>
      </c>
    </row>
    <row r="77" spans="2:13" x14ac:dyDescent="0.25">
      <c r="K77" s="24" t="s">
        <v>89</v>
      </c>
      <c r="L77" s="24">
        <f>-M77*2</f>
        <v>0</v>
      </c>
      <c r="M77" s="24">
        <f>COUNTIFS(K$3:K$54,K$74,L$3:L$54,A$59)-(COUNTIFS(K$3:K$54,K$74,M$3:M$54,"*gộp*")/2)-COUNTIFS(K$3:K$54,K$74,M$3:M$54,"*đơn trả*")-COUNTIFS(K$3:K$54,K$74,M$3:M$54,"*hàng tỉnh*")</f>
        <v>0</v>
      </c>
    </row>
    <row r="78" spans="2:13" x14ac:dyDescent="0.25">
      <c r="K78" s="31" t="s">
        <v>91</v>
      </c>
    </row>
    <row r="79" spans="2:13" x14ac:dyDescent="0.25">
      <c r="K79" s="30" t="s">
        <v>94</v>
      </c>
    </row>
    <row r="80" spans="2:13" x14ac:dyDescent="0.25">
      <c r="L80" s="33">
        <f>SUBTOTAL(9,L75:L79)</f>
        <v>12060</v>
      </c>
      <c r="M80" s="33">
        <f>M75</f>
        <v>15</v>
      </c>
    </row>
  </sheetData>
  <autoFilter ref="A2:P54" xr:uid="{00000000-0009-0000-0000-000000000000}">
    <sortState xmlns:xlrd2="http://schemas.microsoft.com/office/spreadsheetml/2017/richdata2" ref="A3:P54">
      <sortCondition ref="J2:J54"/>
    </sortState>
  </autoFilter>
  <mergeCells count="8">
    <mergeCell ref="C64:D64"/>
    <mergeCell ref="C66:D66"/>
    <mergeCell ref="C58:D58"/>
    <mergeCell ref="C59:D59"/>
    <mergeCell ref="C60:D60"/>
    <mergeCell ref="C61:D61"/>
    <mergeCell ref="C62:D62"/>
    <mergeCell ref="C63:D63"/>
  </mergeCells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5248-4EC0-4CFB-8623-357B60AAB2AC}">
  <dimension ref="A1:R63"/>
  <sheetViews>
    <sheetView topLeftCell="A17" workbookViewId="0">
      <selection activeCell="A36" sqref="A3:XFD36"/>
    </sheetView>
  </sheetViews>
  <sheetFormatPr defaultRowHeight="15" x14ac:dyDescent="0.25"/>
  <cols>
    <col min="1" max="1" width="12.7109375" style="24" customWidth="1"/>
    <col min="2" max="2" width="9.140625" style="24" customWidth="1"/>
    <col min="3" max="3" width="29.42578125" style="24" customWidth="1"/>
    <col min="4" max="4" width="9.85546875" style="24" customWidth="1"/>
    <col min="5" max="5" width="74.85546875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0.42578125" style="24" customWidth="1"/>
    <col min="13" max="13" width="13.85546875" style="24" customWidth="1"/>
    <col min="14" max="14" width="9.7109375" style="24" customWidth="1"/>
    <col min="15" max="15" width="10.42578125" style="24" customWidth="1"/>
    <col min="16" max="16" width="7" style="24" bestFit="1" customWidth="1"/>
    <col min="17" max="16384" width="9.140625" style="24"/>
  </cols>
  <sheetData>
    <row r="1" spans="1:18" customFormat="1" x14ac:dyDescent="0.25">
      <c r="B1" s="4" t="s">
        <v>1165</v>
      </c>
      <c r="C1" s="4" t="s">
        <v>3032</v>
      </c>
      <c r="F1" s="65"/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 t="s">
        <v>66</v>
      </c>
      <c r="B3" s="35" t="s">
        <v>26</v>
      </c>
      <c r="C3" s="35" t="s">
        <v>1628</v>
      </c>
      <c r="D3" s="35"/>
      <c r="E3" s="35" t="s">
        <v>2965</v>
      </c>
      <c r="F3" s="36">
        <v>6</v>
      </c>
      <c r="G3" s="36">
        <v>30</v>
      </c>
      <c r="H3" s="36">
        <v>30</v>
      </c>
      <c r="I3" s="36">
        <f t="shared" ref="I3:I37" si="0">G3-H3</f>
        <v>0</v>
      </c>
      <c r="J3" s="35" t="s">
        <v>2966</v>
      </c>
      <c r="K3" s="35" t="s">
        <v>31</v>
      </c>
      <c r="L3" s="35" t="s">
        <v>2964</v>
      </c>
      <c r="M3" s="35"/>
      <c r="N3" s="35"/>
      <c r="O3" s="35"/>
      <c r="P3" s="35"/>
      <c r="Q3" s="35">
        <v>1</v>
      </c>
    </row>
    <row r="4" spans="1:18" x14ac:dyDescent="0.25">
      <c r="A4" s="35"/>
      <c r="B4" s="35" t="s">
        <v>26</v>
      </c>
      <c r="C4" s="35" t="s">
        <v>1749</v>
      </c>
      <c r="D4" s="35" t="s">
        <v>2970</v>
      </c>
      <c r="E4" s="35" t="s">
        <v>68</v>
      </c>
      <c r="F4" s="36">
        <v>6</v>
      </c>
      <c r="G4" s="36">
        <v>0</v>
      </c>
      <c r="H4" s="36">
        <v>25</v>
      </c>
      <c r="I4" s="36">
        <f t="shared" si="0"/>
        <v>-25</v>
      </c>
      <c r="J4" s="35" t="s">
        <v>2966</v>
      </c>
      <c r="K4" s="35" t="s">
        <v>31</v>
      </c>
      <c r="L4" s="35" t="s">
        <v>2964</v>
      </c>
      <c r="M4" s="35"/>
      <c r="N4" s="35"/>
      <c r="O4" s="35"/>
      <c r="P4" s="35"/>
      <c r="Q4" s="35">
        <v>1</v>
      </c>
      <c r="R4" s="25">
        <f>H4</f>
        <v>25</v>
      </c>
    </row>
    <row r="5" spans="1:18" x14ac:dyDescent="0.25">
      <c r="A5" s="35"/>
      <c r="B5" s="35" t="s">
        <v>26</v>
      </c>
      <c r="C5" s="35" t="s">
        <v>1254</v>
      </c>
      <c r="D5" s="35" t="s">
        <v>2974</v>
      </c>
      <c r="E5" s="35" t="s">
        <v>1256</v>
      </c>
      <c r="F5" s="35" t="s">
        <v>121</v>
      </c>
      <c r="G5" s="36">
        <v>2260</v>
      </c>
      <c r="H5" s="36">
        <v>40</v>
      </c>
      <c r="I5" s="36">
        <f t="shared" si="0"/>
        <v>2220</v>
      </c>
      <c r="J5" s="35" t="s">
        <v>2966</v>
      </c>
      <c r="K5" s="35" t="s">
        <v>31</v>
      </c>
      <c r="L5" s="35" t="s">
        <v>2964</v>
      </c>
      <c r="M5" s="38" t="s">
        <v>59</v>
      </c>
      <c r="N5" s="35"/>
      <c r="O5" s="35"/>
      <c r="P5" s="35"/>
      <c r="Q5" s="35">
        <v>1</v>
      </c>
      <c r="R5" s="25">
        <f>H5</f>
        <v>40</v>
      </c>
    </row>
    <row r="6" spans="1:18" s="41" customFormat="1" x14ac:dyDescent="0.25">
      <c r="A6" s="39"/>
      <c r="B6" s="39" t="s">
        <v>26</v>
      </c>
      <c r="C6" s="39" t="s">
        <v>2300</v>
      </c>
      <c r="D6" s="39" t="s">
        <v>2975</v>
      </c>
      <c r="E6" s="39" t="s">
        <v>2302</v>
      </c>
      <c r="F6" s="39" t="s">
        <v>121</v>
      </c>
      <c r="G6" s="40">
        <v>35</v>
      </c>
      <c r="H6" s="40">
        <v>35</v>
      </c>
      <c r="I6" s="40">
        <f t="shared" si="0"/>
        <v>0</v>
      </c>
      <c r="J6" s="39" t="s">
        <v>2966</v>
      </c>
      <c r="K6" s="39" t="s">
        <v>31</v>
      </c>
      <c r="L6" s="39" t="s">
        <v>2964</v>
      </c>
      <c r="M6" s="39" t="s">
        <v>37</v>
      </c>
      <c r="N6" s="39"/>
      <c r="O6" s="39"/>
      <c r="P6" s="39"/>
      <c r="Q6" s="39">
        <v>1</v>
      </c>
    </row>
    <row r="7" spans="1:18" s="41" customFormat="1" x14ac:dyDescent="0.25">
      <c r="A7" s="39"/>
      <c r="B7" s="39" t="s">
        <v>26</v>
      </c>
      <c r="C7" s="39" t="s">
        <v>2291</v>
      </c>
      <c r="D7" s="39" t="s">
        <v>2979</v>
      </c>
      <c r="E7" s="39" t="s">
        <v>2293</v>
      </c>
      <c r="F7" s="40">
        <v>7</v>
      </c>
      <c r="G7" s="40">
        <v>0</v>
      </c>
      <c r="H7" s="40">
        <v>30</v>
      </c>
      <c r="I7" s="40">
        <f t="shared" si="0"/>
        <v>-30</v>
      </c>
      <c r="J7" s="39" t="s">
        <v>2966</v>
      </c>
      <c r="K7" s="39" t="s">
        <v>31</v>
      </c>
      <c r="L7" s="39" t="s">
        <v>2964</v>
      </c>
      <c r="M7" s="39" t="s">
        <v>37</v>
      </c>
      <c r="N7" s="39"/>
      <c r="O7" s="39"/>
      <c r="P7" s="39"/>
      <c r="Q7" s="39">
        <v>1</v>
      </c>
      <c r="R7" s="42">
        <f>H7</f>
        <v>30</v>
      </c>
    </row>
    <row r="8" spans="1:18" x14ac:dyDescent="0.25">
      <c r="A8" s="35"/>
      <c r="B8" s="35" t="s">
        <v>26</v>
      </c>
      <c r="C8" s="35" t="s">
        <v>2980</v>
      </c>
      <c r="D8" s="35" t="s">
        <v>2981</v>
      </c>
      <c r="E8" s="35" t="s">
        <v>2982</v>
      </c>
      <c r="F8" s="35" t="s">
        <v>77</v>
      </c>
      <c r="G8" s="36">
        <v>850</v>
      </c>
      <c r="H8" s="36">
        <v>30</v>
      </c>
      <c r="I8" s="36">
        <f t="shared" si="0"/>
        <v>820</v>
      </c>
      <c r="J8" s="35" t="s">
        <v>2966</v>
      </c>
      <c r="K8" s="35" t="s">
        <v>31</v>
      </c>
      <c r="L8" s="35" t="s">
        <v>2964</v>
      </c>
      <c r="M8" s="35"/>
      <c r="N8" s="35"/>
      <c r="O8" s="35"/>
      <c r="P8" s="35"/>
      <c r="Q8" s="35">
        <v>1</v>
      </c>
    </row>
    <row r="9" spans="1:18" x14ac:dyDescent="0.25">
      <c r="A9" s="35"/>
      <c r="B9" s="35" t="s">
        <v>26</v>
      </c>
      <c r="C9" s="35" t="s">
        <v>1617</v>
      </c>
      <c r="D9" s="35" t="s">
        <v>2983</v>
      </c>
      <c r="E9" s="35" t="s">
        <v>1619</v>
      </c>
      <c r="F9" s="36">
        <v>7</v>
      </c>
      <c r="G9" s="36">
        <v>790</v>
      </c>
      <c r="H9" s="36">
        <v>30</v>
      </c>
      <c r="I9" s="36">
        <f t="shared" si="0"/>
        <v>760</v>
      </c>
      <c r="J9" s="35" t="s">
        <v>2966</v>
      </c>
      <c r="K9" s="35" t="s">
        <v>31</v>
      </c>
      <c r="L9" s="35" t="s">
        <v>2964</v>
      </c>
      <c r="M9" s="35"/>
      <c r="N9" s="35"/>
      <c r="O9" s="35"/>
      <c r="P9" s="35"/>
      <c r="Q9" s="35">
        <v>1</v>
      </c>
    </row>
    <row r="10" spans="1:18" s="41" customFormat="1" x14ac:dyDescent="0.25">
      <c r="A10" s="39"/>
      <c r="B10" s="39" t="s">
        <v>26</v>
      </c>
      <c r="C10" s="39" t="s">
        <v>1594</v>
      </c>
      <c r="D10" s="39" t="s">
        <v>2984</v>
      </c>
      <c r="E10" s="39" t="s">
        <v>758</v>
      </c>
      <c r="F10" s="39" t="s">
        <v>117</v>
      </c>
      <c r="G10" s="40">
        <v>35</v>
      </c>
      <c r="H10" s="40">
        <v>35</v>
      </c>
      <c r="I10" s="40">
        <f t="shared" si="0"/>
        <v>0</v>
      </c>
      <c r="J10" s="39" t="s">
        <v>2966</v>
      </c>
      <c r="K10" s="39" t="s">
        <v>31</v>
      </c>
      <c r="L10" s="39" t="s">
        <v>2964</v>
      </c>
      <c r="M10" s="39" t="s">
        <v>37</v>
      </c>
      <c r="N10" s="39"/>
      <c r="O10" s="39"/>
      <c r="P10" s="39"/>
      <c r="Q10" s="39">
        <v>1</v>
      </c>
    </row>
    <row r="11" spans="1:18" s="41" customFormat="1" x14ac:dyDescent="0.25">
      <c r="A11" s="39"/>
      <c r="B11" s="39" t="s">
        <v>26</v>
      </c>
      <c r="C11" s="39" t="s">
        <v>2522</v>
      </c>
      <c r="D11" s="39" t="s">
        <v>2988</v>
      </c>
      <c r="E11" s="39" t="s">
        <v>2524</v>
      </c>
      <c r="F11" s="39" t="s">
        <v>121</v>
      </c>
      <c r="G11" s="40">
        <v>35</v>
      </c>
      <c r="H11" s="40">
        <v>35</v>
      </c>
      <c r="I11" s="40">
        <f t="shared" si="0"/>
        <v>0</v>
      </c>
      <c r="J11" s="39" t="s">
        <v>2966</v>
      </c>
      <c r="K11" s="39" t="s">
        <v>31</v>
      </c>
      <c r="L11" s="39" t="s">
        <v>2964</v>
      </c>
      <c r="M11" s="39" t="s">
        <v>37</v>
      </c>
      <c r="N11" s="39"/>
      <c r="O11" s="39"/>
      <c r="P11" s="39"/>
      <c r="Q11" s="39">
        <v>1</v>
      </c>
    </row>
    <row r="12" spans="1:18" x14ac:dyDescent="0.25">
      <c r="A12" s="35"/>
      <c r="B12" s="35" t="s">
        <v>26</v>
      </c>
      <c r="C12" s="35" t="s">
        <v>2992</v>
      </c>
      <c r="D12" s="35" t="s">
        <v>2993</v>
      </c>
      <c r="E12" s="35" t="s">
        <v>2994</v>
      </c>
      <c r="F12" s="36">
        <v>8</v>
      </c>
      <c r="G12" s="36">
        <v>920</v>
      </c>
      <c r="H12" s="36">
        <v>30</v>
      </c>
      <c r="I12" s="36">
        <f t="shared" si="0"/>
        <v>890</v>
      </c>
      <c r="J12" s="35" t="s">
        <v>2966</v>
      </c>
      <c r="K12" s="35" t="s">
        <v>31</v>
      </c>
      <c r="L12" s="35" t="s">
        <v>2964</v>
      </c>
      <c r="M12" s="35"/>
      <c r="N12" s="35"/>
      <c r="O12" s="35"/>
      <c r="P12" s="35"/>
      <c r="Q12" s="35">
        <v>1</v>
      </c>
    </row>
    <row r="13" spans="1:18" x14ac:dyDescent="0.25">
      <c r="A13" s="35"/>
      <c r="B13" s="35" t="s">
        <v>26</v>
      </c>
      <c r="C13" s="35" t="s">
        <v>2995</v>
      </c>
      <c r="D13" s="35" t="s">
        <v>2996</v>
      </c>
      <c r="E13" s="35" t="s">
        <v>1491</v>
      </c>
      <c r="F13" s="35" t="s">
        <v>77</v>
      </c>
      <c r="G13" s="36">
        <v>0</v>
      </c>
      <c r="H13" s="36">
        <v>30</v>
      </c>
      <c r="I13" s="36">
        <f t="shared" si="0"/>
        <v>-30</v>
      </c>
      <c r="J13" s="35" t="s">
        <v>2966</v>
      </c>
      <c r="K13" s="35" t="s">
        <v>31</v>
      </c>
      <c r="L13" s="35" t="s">
        <v>2964</v>
      </c>
      <c r="M13" s="35"/>
      <c r="N13" s="35"/>
      <c r="O13" s="35"/>
      <c r="P13" s="35"/>
      <c r="Q13" s="35">
        <v>1</v>
      </c>
      <c r="R13" s="25">
        <f>H13</f>
        <v>30</v>
      </c>
    </row>
    <row r="14" spans="1:18" x14ac:dyDescent="0.25">
      <c r="A14" s="35"/>
      <c r="B14" s="35" t="s">
        <v>26</v>
      </c>
      <c r="C14" s="35" t="s">
        <v>2997</v>
      </c>
      <c r="D14" s="35" t="s">
        <v>2998</v>
      </c>
      <c r="E14" s="35" t="s">
        <v>2999</v>
      </c>
      <c r="F14" s="35" t="s">
        <v>77</v>
      </c>
      <c r="G14" s="36">
        <v>30</v>
      </c>
      <c r="H14" s="36">
        <v>30</v>
      </c>
      <c r="I14" s="36">
        <f t="shared" si="0"/>
        <v>0</v>
      </c>
      <c r="J14" s="35" t="s">
        <v>2966</v>
      </c>
      <c r="K14" s="35" t="s">
        <v>31</v>
      </c>
      <c r="L14" s="35" t="s">
        <v>2964</v>
      </c>
      <c r="M14" s="35"/>
      <c r="N14" s="35"/>
      <c r="O14" s="35"/>
      <c r="P14" s="35"/>
      <c r="Q14" s="35">
        <v>1</v>
      </c>
    </row>
    <row r="15" spans="1:18" x14ac:dyDescent="0.25">
      <c r="A15" s="35"/>
      <c r="B15" s="35" t="s">
        <v>26</v>
      </c>
      <c r="C15" s="35" t="s">
        <v>3012</v>
      </c>
      <c r="D15" s="35" t="s">
        <v>3013</v>
      </c>
      <c r="E15" s="35" t="s">
        <v>3014</v>
      </c>
      <c r="F15" s="36">
        <v>12</v>
      </c>
      <c r="G15" s="36">
        <v>850</v>
      </c>
      <c r="H15" s="36">
        <v>30</v>
      </c>
      <c r="I15" s="36">
        <f t="shared" si="0"/>
        <v>820</v>
      </c>
      <c r="J15" s="35" t="s">
        <v>2966</v>
      </c>
      <c r="K15" s="35" t="s">
        <v>31</v>
      </c>
      <c r="L15" s="35" t="s">
        <v>2964</v>
      </c>
      <c r="M15" s="35"/>
      <c r="N15" s="35"/>
      <c r="O15" s="35"/>
      <c r="P15" s="35"/>
      <c r="Q15" s="35">
        <v>1</v>
      </c>
    </row>
    <row r="16" spans="1:18" x14ac:dyDescent="0.25">
      <c r="A16" s="35"/>
      <c r="B16" s="35" t="s">
        <v>26</v>
      </c>
      <c r="C16" s="35" t="s">
        <v>2883</v>
      </c>
      <c r="D16" s="35" t="s">
        <v>3015</v>
      </c>
      <c r="E16" s="35" t="s">
        <v>2885</v>
      </c>
      <c r="F16" s="36">
        <v>7</v>
      </c>
      <c r="G16" s="36">
        <v>30</v>
      </c>
      <c r="H16" s="36">
        <v>30</v>
      </c>
      <c r="I16" s="36">
        <f t="shared" si="0"/>
        <v>0</v>
      </c>
      <c r="J16" s="35" t="s">
        <v>2966</v>
      </c>
      <c r="K16" s="35" t="s">
        <v>31</v>
      </c>
      <c r="L16" s="35" t="s">
        <v>2964</v>
      </c>
      <c r="M16" s="35"/>
      <c r="N16" s="35"/>
      <c r="O16" s="35"/>
      <c r="P16" s="35"/>
      <c r="Q16" s="35">
        <v>1</v>
      </c>
    </row>
    <row r="17" spans="1:18" x14ac:dyDescent="0.25">
      <c r="A17" s="35"/>
      <c r="B17" s="35" t="s">
        <v>26</v>
      </c>
      <c r="C17" s="35" t="s">
        <v>3016</v>
      </c>
      <c r="D17" s="35" t="s">
        <v>3017</v>
      </c>
      <c r="E17" s="35" t="s">
        <v>3018</v>
      </c>
      <c r="F17" s="35" t="s">
        <v>117</v>
      </c>
      <c r="G17" s="36">
        <v>0</v>
      </c>
      <c r="H17" s="36">
        <v>35</v>
      </c>
      <c r="I17" s="36">
        <f t="shared" si="0"/>
        <v>-35</v>
      </c>
      <c r="J17" s="35" t="s">
        <v>2966</v>
      </c>
      <c r="K17" s="35" t="s">
        <v>31</v>
      </c>
      <c r="L17" s="35" t="s">
        <v>2964</v>
      </c>
      <c r="M17" s="35"/>
      <c r="N17" s="35"/>
      <c r="O17" s="35"/>
      <c r="P17" s="35"/>
      <c r="Q17" s="35">
        <v>1</v>
      </c>
      <c r="R17" s="25">
        <f>H17</f>
        <v>35</v>
      </c>
    </row>
    <row r="18" spans="1:18" x14ac:dyDescent="0.25">
      <c r="A18" s="35"/>
      <c r="B18" s="35" t="s">
        <v>26</v>
      </c>
      <c r="C18" s="35" t="s">
        <v>3019</v>
      </c>
      <c r="D18" s="35" t="s">
        <v>3020</v>
      </c>
      <c r="E18" s="35" t="s">
        <v>3021</v>
      </c>
      <c r="F18" s="35" t="s">
        <v>45</v>
      </c>
      <c r="G18" s="36">
        <v>615</v>
      </c>
      <c r="H18" s="36">
        <v>25</v>
      </c>
      <c r="I18" s="36">
        <f t="shared" si="0"/>
        <v>590</v>
      </c>
      <c r="J18" s="35" t="s">
        <v>2966</v>
      </c>
      <c r="K18" s="35" t="s">
        <v>31</v>
      </c>
      <c r="L18" s="35" t="s">
        <v>2964</v>
      </c>
      <c r="M18" s="35"/>
      <c r="N18" s="35"/>
      <c r="O18" s="35"/>
      <c r="P18" s="35"/>
      <c r="Q18" s="35">
        <v>1</v>
      </c>
    </row>
    <row r="19" spans="1:18" x14ac:dyDescent="0.25">
      <c r="A19" s="35"/>
      <c r="B19" s="35" t="s">
        <v>26</v>
      </c>
      <c r="C19" s="35" t="s">
        <v>1128</v>
      </c>
      <c r="D19" s="35" t="s">
        <v>3025</v>
      </c>
      <c r="E19" s="35" t="s">
        <v>3026</v>
      </c>
      <c r="F19" s="36">
        <v>12</v>
      </c>
      <c r="G19" s="36">
        <v>1150</v>
      </c>
      <c r="H19" s="36">
        <v>30</v>
      </c>
      <c r="I19" s="36">
        <f t="shared" si="0"/>
        <v>1120</v>
      </c>
      <c r="J19" s="35" t="s">
        <v>2966</v>
      </c>
      <c r="K19" s="35" t="s">
        <v>31</v>
      </c>
      <c r="L19" s="35" t="s">
        <v>2964</v>
      </c>
      <c r="M19" s="35"/>
      <c r="N19" s="35"/>
      <c r="O19" s="35"/>
      <c r="P19" s="35"/>
      <c r="Q19" s="35">
        <v>1</v>
      </c>
    </row>
    <row r="20" spans="1:18" x14ac:dyDescent="0.25">
      <c r="A20" s="35" t="s">
        <v>66</v>
      </c>
      <c r="B20" s="35" t="s">
        <v>26</v>
      </c>
      <c r="C20" s="35" t="s">
        <v>1299</v>
      </c>
      <c r="D20" s="35"/>
      <c r="E20" s="35" t="s">
        <v>1300</v>
      </c>
      <c r="F20" s="35" t="s">
        <v>36</v>
      </c>
      <c r="G20" s="36">
        <v>0</v>
      </c>
      <c r="H20" s="36">
        <v>40</v>
      </c>
      <c r="I20" s="36">
        <f t="shared" si="0"/>
        <v>-40</v>
      </c>
      <c r="J20" s="35" t="s">
        <v>31</v>
      </c>
      <c r="K20" s="35" t="s">
        <v>31</v>
      </c>
      <c r="L20" s="35" t="s">
        <v>2964</v>
      </c>
      <c r="M20" s="35"/>
      <c r="N20" s="35"/>
      <c r="O20" s="35"/>
      <c r="P20" s="35"/>
      <c r="Q20" s="35">
        <v>1</v>
      </c>
      <c r="R20" s="25">
        <f t="shared" ref="R20:R21" si="1">H20</f>
        <v>40</v>
      </c>
    </row>
    <row r="21" spans="1:18" x14ac:dyDescent="0.25">
      <c r="A21" s="35" t="s">
        <v>66</v>
      </c>
      <c r="B21" s="35" t="s">
        <v>26</v>
      </c>
      <c r="C21" s="35" t="s">
        <v>1398</v>
      </c>
      <c r="D21" s="35"/>
      <c r="E21" s="35" t="s">
        <v>1849</v>
      </c>
      <c r="F21" s="36">
        <v>12</v>
      </c>
      <c r="G21" s="36">
        <v>0</v>
      </c>
      <c r="H21" s="36">
        <v>35</v>
      </c>
      <c r="I21" s="36">
        <f t="shared" si="0"/>
        <v>-35</v>
      </c>
      <c r="J21" s="35" t="s">
        <v>31</v>
      </c>
      <c r="K21" s="35" t="s">
        <v>31</v>
      </c>
      <c r="L21" s="35" t="s">
        <v>2964</v>
      </c>
      <c r="M21" s="35"/>
      <c r="N21" s="35"/>
      <c r="O21" s="35"/>
      <c r="P21" s="35"/>
      <c r="Q21" s="35">
        <v>1</v>
      </c>
      <c r="R21" s="25">
        <f t="shared" si="1"/>
        <v>35</v>
      </c>
    </row>
    <row r="22" spans="1:18" x14ac:dyDescent="0.25">
      <c r="A22" s="35" t="s">
        <v>66</v>
      </c>
      <c r="B22" s="35" t="s">
        <v>26</v>
      </c>
      <c r="C22" s="35" t="s">
        <v>1053</v>
      </c>
      <c r="D22" s="35"/>
      <c r="E22" s="35" t="s">
        <v>1054</v>
      </c>
      <c r="F22" s="35" t="s">
        <v>36</v>
      </c>
      <c r="G22" s="36">
        <v>2370</v>
      </c>
      <c r="H22" s="36">
        <v>30</v>
      </c>
      <c r="I22" s="36">
        <f t="shared" si="0"/>
        <v>2340</v>
      </c>
      <c r="J22" s="35" t="s">
        <v>31</v>
      </c>
      <c r="K22" s="35" t="s">
        <v>31</v>
      </c>
      <c r="L22" s="35" t="s">
        <v>2964</v>
      </c>
      <c r="M22" s="35"/>
      <c r="N22" s="35"/>
      <c r="O22" s="35"/>
      <c r="P22" s="35"/>
      <c r="Q22" s="35">
        <v>1</v>
      </c>
    </row>
    <row r="23" spans="1:18" x14ac:dyDescent="0.25">
      <c r="A23" s="35" t="s">
        <v>66</v>
      </c>
      <c r="B23" s="35" t="s">
        <v>26</v>
      </c>
      <c r="C23" s="35" t="s">
        <v>1895</v>
      </c>
      <c r="D23" s="35"/>
      <c r="E23" s="35" t="s">
        <v>1896</v>
      </c>
      <c r="F23" s="35" t="s">
        <v>36</v>
      </c>
      <c r="G23" s="36">
        <v>30</v>
      </c>
      <c r="H23" s="36">
        <v>30</v>
      </c>
      <c r="I23" s="36">
        <f t="shared" si="0"/>
        <v>0</v>
      </c>
      <c r="J23" s="35" t="s">
        <v>31</v>
      </c>
      <c r="K23" s="35" t="s">
        <v>31</v>
      </c>
      <c r="L23" s="35" t="s">
        <v>2964</v>
      </c>
      <c r="M23" s="35"/>
      <c r="N23" s="35"/>
      <c r="O23" s="35"/>
      <c r="P23" s="35"/>
      <c r="Q23" s="35">
        <v>1</v>
      </c>
    </row>
    <row r="24" spans="1:18" x14ac:dyDescent="0.25">
      <c r="A24" s="35" t="s">
        <v>66</v>
      </c>
      <c r="B24" s="35" t="s">
        <v>26</v>
      </c>
      <c r="C24" s="35" t="s">
        <v>99</v>
      </c>
      <c r="D24" s="35"/>
      <c r="E24" s="35" t="s">
        <v>100</v>
      </c>
      <c r="F24" s="35" t="s">
        <v>101</v>
      </c>
      <c r="G24" s="36">
        <v>0</v>
      </c>
      <c r="H24" s="36">
        <v>30</v>
      </c>
      <c r="I24" s="36">
        <f t="shared" si="0"/>
        <v>-30</v>
      </c>
      <c r="J24" s="35" t="s">
        <v>31</v>
      </c>
      <c r="K24" s="35" t="s">
        <v>31</v>
      </c>
      <c r="L24" s="35" t="s">
        <v>2964</v>
      </c>
      <c r="M24" s="35"/>
      <c r="N24" s="35"/>
      <c r="O24" s="35"/>
      <c r="P24" s="35"/>
      <c r="Q24" s="35">
        <v>1</v>
      </c>
      <c r="R24" s="25">
        <f t="shared" ref="R24:R25" si="2">H24</f>
        <v>30</v>
      </c>
    </row>
    <row r="25" spans="1:18" x14ac:dyDescent="0.25">
      <c r="A25" s="35"/>
      <c r="B25" s="35" t="s">
        <v>26</v>
      </c>
      <c r="C25" s="35" t="s">
        <v>2967</v>
      </c>
      <c r="D25" s="35" t="s">
        <v>2968</v>
      </c>
      <c r="E25" s="35" t="s">
        <v>2969</v>
      </c>
      <c r="F25" s="36">
        <v>9</v>
      </c>
      <c r="G25" s="36">
        <v>0</v>
      </c>
      <c r="H25" s="36">
        <v>30</v>
      </c>
      <c r="I25" s="36">
        <f t="shared" si="0"/>
        <v>-30</v>
      </c>
      <c r="J25" s="35" t="s">
        <v>31</v>
      </c>
      <c r="K25" s="35" t="s">
        <v>31</v>
      </c>
      <c r="L25" s="35" t="s">
        <v>2964</v>
      </c>
      <c r="M25" s="35"/>
      <c r="N25" s="35"/>
      <c r="O25" s="35"/>
      <c r="P25" s="35"/>
      <c r="Q25" s="35">
        <v>1</v>
      </c>
      <c r="R25" s="25">
        <f t="shared" si="2"/>
        <v>30</v>
      </c>
    </row>
    <row r="26" spans="1:18" x14ac:dyDescent="0.25">
      <c r="A26" s="35"/>
      <c r="B26" s="35" t="s">
        <v>26</v>
      </c>
      <c r="C26" s="35" t="s">
        <v>2971</v>
      </c>
      <c r="D26" s="35" t="s">
        <v>2972</v>
      </c>
      <c r="E26" s="35" t="s">
        <v>2973</v>
      </c>
      <c r="F26" s="35" t="s">
        <v>36</v>
      </c>
      <c r="G26" s="36">
        <v>975</v>
      </c>
      <c r="H26" s="36">
        <v>25</v>
      </c>
      <c r="I26" s="36">
        <f t="shared" si="0"/>
        <v>950</v>
      </c>
      <c r="J26" s="35" t="s">
        <v>31</v>
      </c>
      <c r="K26" s="35" t="s">
        <v>31</v>
      </c>
      <c r="L26" s="35" t="s">
        <v>2964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2985</v>
      </c>
      <c r="D27" s="35" t="s">
        <v>2986</v>
      </c>
      <c r="E27" s="35" t="s">
        <v>2987</v>
      </c>
      <c r="F27" s="35" t="s">
        <v>36</v>
      </c>
      <c r="G27" s="36">
        <v>1545</v>
      </c>
      <c r="H27" s="36">
        <v>25</v>
      </c>
      <c r="I27" s="36">
        <f t="shared" si="0"/>
        <v>1520</v>
      </c>
      <c r="J27" s="35" t="s">
        <v>31</v>
      </c>
      <c r="K27" s="35" t="s">
        <v>31</v>
      </c>
      <c r="L27" s="35" t="s">
        <v>2964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3000</v>
      </c>
      <c r="D28" s="35" t="s">
        <v>3001</v>
      </c>
      <c r="E28" s="35" t="s">
        <v>3002</v>
      </c>
      <c r="F28" s="35" t="s">
        <v>36</v>
      </c>
      <c r="G28" s="36">
        <v>1985</v>
      </c>
      <c r="H28" s="36">
        <v>25</v>
      </c>
      <c r="I28" s="36">
        <f t="shared" si="0"/>
        <v>1960</v>
      </c>
      <c r="J28" s="35" t="s">
        <v>31</v>
      </c>
      <c r="K28" s="35" t="s">
        <v>31</v>
      </c>
      <c r="L28" s="35" t="s">
        <v>2964</v>
      </c>
      <c r="M28" s="35"/>
      <c r="N28" s="35"/>
      <c r="O28" s="35"/>
      <c r="P28" s="35"/>
      <c r="Q28" s="35">
        <v>1</v>
      </c>
    </row>
    <row r="29" spans="1:18" x14ac:dyDescent="0.25">
      <c r="A29" s="35"/>
      <c r="B29" s="35" t="s">
        <v>26</v>
      </c>
      <c r="C29" s="35" t="s">
        <v>360</v>
      </c>
      <c r="D29" s="35" t="s">
        <v>3030</v>
      </c>
      <c r="E29" s="35" t="s">
        <v>362</v>
      </c>
      <c r="F29" s="36">
        <v>2</v>
      </c>
      <c r="G29" s="36">
        <v>1040</v>
      </c>
      <c r="H29" s="36">
        <v>30</v>
      </c>
      <c r="I29" s="36">
        <f t="shared" si="0"/>
        <v>1010</v>
      </c>
      <c r="J29" s="35" t="s">
        <v>31</v>
      </c>
      <c r="K29" s="35" t="s">
        <v>31</v>
      </c>
      <c r="L29" s="35" t="s">
        <v>2964</v>
      </c>
      <c r="M29" s="35"/>
      <c r="N29" s="35"/>
      <c r="O29" s="35"/>
      <c r="P29" s="35"/>
      <c r="Q29" s="35">
        <v>1</v>
      </c>
    </row>
    <row r="30" spans="1:18" x14ac:dyDescent="0.25">
      <c r="A30" s="35"/>
      <c r="B30" s="35" t="s">
        <v>26</v>
      </c>
      <c r="C30" s="35" t="s">
        <v>2976</v>
      </c>
      <c r="D30" s="35" t="s">
        <v>2977</v>
      </c>
      <c r="E30" s="35" t="s">
        <v>2978</v>
      </c>
      <c r="F30" s="36">
        <v>5</v>
      </c>
      <c r="G30" s="36">
        <v>845</v>
      </c>
      <c r="H30" s="36">
        <v>25</v>
      </c>
      <c r="I30" s="36">
        <f t="shared" si="0"/>
        <v>820</v>
      </c>
      <c r="J30" s="35" t="s">
        <v>41</v>
      </c>
      <c r="K30" s="35" t="s">
        <v>31</v>
      </c>
      <c r="L30" s="35" t="s">
        <v>2964</v>
      </c>
      <c r="M30" s="35"/>
      <c r="N30" s="35"/>
      <c r="O30" s="35"/>
      <c r="P30" s="35"/>
      <c r="Q30" s="35">
        <v>1</v>
      </c>
    </row>
    <row r="31" spans="1:18" x14ac:dyDescent="0.25">
      <c r="A31" s="35"/>
      <c r="B31" s="35" t="s">
        <v>26</v>
      </c>
      <c r="C31" s="35" t="s">
        <v>2989</v>
      </c>
      <c r="D31" s="35" t="s">
        <v>2990</v>
      </c>
      <c r="E31" s="35" t="s">
        <v>2991</v>
      </c>
      <c r="F31" s="36">
        <v>5</v>
      </c>
      <c r="G31" s="36">
        <v>1775</v>
      </c>
      <c r="H31" s="36">
        <v>25</v>
      </c>
      <c r="I31" s="36">
        <f t="shared" si="0"/>
        <v>1750</v>
      </c>
      <c r="J31" s="35" t="s">
        <v>41</v>
      </c>
      <c r="K31" s="35" t="s">
        <v>31</v>
      </c>
      <c r="L31" s="35" t="s">
        <v>2964</v>
      </c>
      <c r="M31" s="35"/>
      <c r="N31" s="35"/>
      <c r="O31" s="35"/>
      <c r="P31" s="35"/>
      <c r="Q31" s="35">
        <v>1</v>
      </c>
    </row>
    <row r="32" spans="1:18" x14ac:dyDescent="0.25">
      <c r="A32" s="35"/>
      <c r="B32" s="35" t="s">
        <v>26</v>
      </c>
      <c r="C32" s="35" t="s">
        <v>3003</v>
      </c>
      <c r="D32" s="35" t="s">
        <v>3004</v>
      </c>
      <c r="E32" s="35" t="s">
        <v>3005</v>
      </c>
      <c r="F32" s="36">
        <v>1</v>
      </c>
      <c r="G32" s="36">
        <v>775</v>
      </c>
      <c r="H32" s="36">
        <v>25</v>
      </c>
      <c r="I32" s="36">
        <f t="shared" si="0"/>
        <v>750</v>
      </c>
      <c r="J32" s="35" t="s">
        <v>41</v>
      </c>
      <c r="K32" s="35" t="s">
        <v>31</v>
      </c>
      <c r="L32" s="35" t="s">
        <v>2964</v>
      </c>
      <c r="M32" s="35"/>
      <c r="N32" s="35"/>
      <c r="O32" s="35"/>
      <c r="P32" s="35"/>
      <c r="Q32" s="35">
        <v>1</v>
      </c>
    </row>
    <row r="33" spans="1:17" x14ac:dyDescent="0.25">
      <c r="A33" s="35"/>
      <c r="B33" s="35" t="s">
        <v>26</v>
      </c>
      <c r="C33" s="35" t="s">
        <v>3006</v>
      </c>
      <c r="D33" s="35" t="s">
        <v>3007</v>
      </c>
      <c r="E33" s="35" t="s">
        <v>3008</v>
      </c>
      <c r="F33" s="35" t="s">
        <v>101</v>
      </c>
      <c r="G33" s="36">
        <v>795</v>
      </c>
      <c r="H33" s="36">
        <v>25</v>
      </c>
      <c r="I33" s="36">
        <f t="shared" si="0"/>
        <v>770</v>
      </c>
      <c r="J33" s="35" t="s">
        <v>41</v>
      </c>
      <c r="K33" s="35" t="s">
        <v>31</v>
      </c>
      <c r="L33" s="35" t="s">
        <v>2964</v>
      </c>
      <c r="M33" s="35"/>
      <c r="N33" s="35"/>
      <c r="O33" s="35"/>
      <c r="P33" s="35"/>
      <c r="Q33" s="35">
        <v>1</v>
      </c>
    </row>
    <row r="34" spans="1:17" x14ac:dyDescent="0.25">
      <c r="A34" s="35"/>
      <c r="B34" s="35" t="s">
        <v>26</v>
      </c>
      <c r="C34" s="35" t="s">
        <v>3009</v>
      </c>
      <c r="D34" s="35" t="s">
        <v>3010</v>
      </c>
      <c r="E34" s="35" t="s">
        <v>3011</v>
      </c>
      <c r="F34" s="36">
        <v>3</v>
      </c>
      <c r="G34" s="36">
        <v>845</v>
      </c>
      <c r="H34" s="36">
        <v>25</v>
      </c>
      <c r="I34" s="36">
        <f t="shared" si="0"/>
        <v>820</v>
      </c>
      <c r="J34" s="35" t="s">
        <v>41</v>
      </c>
      <c r="K34" s="35" t="s">
        <v>31</v>
      </c>
      <c r="L34" s="35" t="s">
        <v>2964</v>
      </c>
      <c r="M34" s="35"/>
      <c r="N34" s="35"/>
      <c r="O34" s="35"/>
      <c r="P34" s="35"/>
      <c r="Q34" s="35">
        <v>1</v>
      </c>
    </row>
    <row r="35" spans="1:17" x14ac:dyDescent="0.25">
      <c r="A35" s="35"/>
      <c r="B35" s="35" t="s">
        <v>26</v>
      </c>
      <c r="C35" s="35" t="s">
        <v>3022</v>
      </c>
      <c r="D35" s="35" t="s">
        <v>3023</v>
      </c>
      <c r="E35" s="35" t="s">
        <v>3024</v>
      </c>
      <c r="F35" s="36">
        <v>10</v>
      </c>
      <c r="G35" s="36">
        <v>615</v>
      </c>
      <c r="H35" s="36">
        <v>25</v>
      </c>
      <c r="I35" s="36">
        <f t="shared" si="0"/>
        <v>590</v>
      </c>
      <c r="J35" s="35" t="s">
        <v>41</v>
      </c>
      <c r="K35" s="35" t="s">
        <v>31</v>
      </c>
      <c r="L35" s="35" t="s">
        <v>2964</v>
      </c>
      <c r="M35" s="35"/>
      <c r="N35" s="35"/>
      <c r="O35" s="35"/>
      <c r="P35" s="35"/>
      <c r="Q35" s="35">
        <v>1</v>
      </c>
    </row>
    <row r="36" spans="1:17" x14ac:dyDescent="0.25">
      <c r="A36" s="35"/>
      <c r="B36" s="35" t="s">
        <v>26</v>
      </c>
      <c r="C36" s="35" t="s">
        <v>3027</v>
      </c>
      <c r="D36" s="35" t="s">
        <v>3028</v>
      </c>
      <c r="E36" s="35" t="s">
        <v>3029</v>
      </c>
      <c r="F36" s="36">
        <v>1</v>
      </c>
      <c r="G36" s="36">
        <v>515</v>
      </c>
      <c r="H36" s="36">
        <v>25</v>
      </c>
      <c r="I36" s="36">
        <f t="shared" si="0"/>
        <v>490</v>
      </c>
      <c r="J36" s="35" t="s">
        <v>41</v>
      </c>
      <c r="K36" s="35" t="s">
        <v>31</v>
      </c>
      <c r="L36" s="35" t="s">
        <v>2964</v>
      </c>
      <c r="M36" s="35"/>
      <c r="N36" s="35"/>
      <c r="O36" s="35"/>
      <c r="P36" s="35"/>
      <c r="Q36" s="35">
        <v>1</v>
      </c>
    </row>
    <row r="37" spans="1:17" s="30" customFormat="1" x14ac:dyDescent="0.25">
      <c r="A37" s="37" t="s">
        <v>66</v>
      </c>
      <c r="B37" s="37" t="s">
        <v>26</v>
      </c>
      <c r="C37" s="37" t="s">
        <v>2650</v>
      </c>
      <c r="D37" s="37"/>
      <c r="E37" s="37" t="s">
        <v>2664</v>
      </c>
      <c r="F37" s="37" t="s">
        <v>101</v>
      </c>
      <c r="G37" s="43">
        <v>3680</v>
      </c>
      <c r="H37" s="43">
        <v>30</v>
      </c>
      <c r="I37" s="43">
        <f t="shared" si="0"/>
        <v>3650</v>
      </c>
      <c r="J37" s="37" t="s">
        <v>118</v>
      </c>
      <c r="K37" s="37" t="s">
        <v>31</v>
      </c>
      <c r="L37" s="37" t="s">
        <v>2657</v>
      </c>
      <c r="M37" s="37" t="s">
        <v>91</v>
      </c>
      <c r="N37" s="37" t="s">
        <v>316</v>
      </c>
      <c r="O37" s="37" t="s">
        <v>316</v>
      </c>
      <c r="P37" s="37" t="s">
        <v>317</v>
      </c>
      <c r="Q37" s="37">
        <v>1</v>
      </c>
    </row>
    <row r="39" spans="1:17" x14ac:dyDescent="0.25">
      <c r="D39" s="26">
        <f>COUNTA(D3:D37)</f>
        <v>28</v>
      </c>
      <c r="G39" s="26">
        <f t="shared" ref="G39:Q39" si="3">SUBTOTAL(9,G3:G37)</f>
        <v>25420</v>
      </c>
      <c r="H39" s="26">
        <f t="shared" si="3"/>
        <v>1035</v>
      </c>
      <c r="I39" s="26">
        <f>SUBTOTAL(9,I3:I37)</f>
        <v>24385</v>
      </c>
      <c r="J39" s="26">
        <f t="shared" si="3"/>
        <v>0</v>
      </c>
      <c r="K39" s="26">
        <f t="shared" si="3"/>
        <v>0</v>
      </c>
      <c r="L39" s="26">
        <f t="shared" si="3"/>
        <v>0</v>
      </c>
      <c r="M39" s="26">
        <f t="shared" si="3"/>
        <v>0</v>
      </c>
      <c r="N39" s="26">
        <f t="shared" si="3"/>
        <v>0</v>
      </c>
      <c r="O39" s="26">
        <f t="shared" si="3"/>
        <v>0</v>
      </c>
      <c r="P39" s="26">
        <f t="shared" si="3"/>
        <v>0</v>
      </c>
      <c r="Q39" s="26">
        <f t="shared" si="3"/>
        <v>35</v>
      </c>
    </row>
    <row r="40" spans="1:17" x14ac:dyDescent="0.25">
      <c r="H40" s="24">
        <f>-7*17</f>
        <v>-119</v>
      </c>
    </row>
    <row r="41" spans="1:17" x14ac:dyDescent="0.25">
      <c r="A41" s="26" t="s">
        <v>26</v>
      </c>
      <c r="C41" s="80" t="s">
        <v>78</v>
      </c>
      <c r="D41" s="80"/>
      <c r="E41" s="27" t="s">
        <v>79</v>
      </c>
      <c r="H41" s="24">
        <f>-5*25</f>
        <v>-125</v>
      </c>
      <c r="K41" s="28" t="s">
        <v>31</v>
      </c>
      <c r="L41" s="28" t="s">
        <v>80</v>
      </c>
      <c r="M41" s="28" t="s">
        <v>79</v>
      </c>
      <c r="O41" s="27" t="s">
        <v>81</v>
      </c>
    </row>
    <row r="42" spans="1:17" x14ac:dyDescent="0.25">
      <c r="A42" s="24" t="s">
        <v>2964</v>
      </c>
      <c r="B42" s="29" t="s">
        <v>82</v>
      </c>
      <c r="C42" s="81">
        <f>SUMIFS(I$3:I$37,B$3:B$37,A$41,L$3:L$37,A$42)</f>
        <v>20735</v>
      </c>
      <c r="D42" s="81"/>
      <c r="E42" s="29">
        <f>SUMIFS(Q$3:Q$37,B$3:B$37,A$41,L$3:L$37,A$42)</f>
        <v>34</v>
      </c>
      <c r="F42" s="24" t="s">
        <v>83</v>
      </c>
      <c r="H42" s="24">
        <f>-5*30</f>
        <v>-150</v>
      </c>
      <c r="K42" s="24" t="s">
        <v>84</v>
      </c>
      <c r="L42" s="24">
        <f>SUMIFS(G$3:G$37,J$3:J$37,K$41)</f>
        <v>7945</v>
      </c>
      <c r="M42" s="24">
        <f>SUMIFS(Q$3:Q$37,J$3:J$37,K$41)-INT(COUNTIFS(J$3:J$37,K$41,M$3:M$37,"*gộp*")/2)</f>
        <v>10</v>
      </c>
      <c r="O42" s="24" t="s">
        <v>31</v>
      </c>
      <c r="P42" s="24">
        <f>L47</f>
        <v>7629</v>
      </c>
    </row>
    <row r="43" spans="1:17" x14ac:dyDescent="0.25">
      <c r="B43" s="30" t="s">
        <v>86</v>
      </c>
      <c r="C43" s="82">
        <v>0</v>
      </c>
      <c r="D43" s="82"/>
      <c r="K43" s="24" t="s">
        <v>87</v>
      </c>
      <c r="L43" s="24">
        <f>-SUMIFS(H$3:H$37,J$3:J$37,K$41)+M43*5</f>
        <v>-250</v>
      </c>
      <c r="M43" s="24">
        <f>SUMIFS(Q$3:Q$37,J$3:J$37,K$41)-INT(COUNTIFS(J$3:J$37,K$41,M$3:M$37,"*gộp*")/2)</f>
        <v>10</v>
      </c>
      <c r="O43" s="24" t="s">
        <v>3031</v>
      </c>
      <c r="P43" s="24">
        <f>L55</f>
        <v>7236</v>
      </c>
    </row>
    <row r="44" spans="1:17" x14ac:dyDescent="0.25">
      <c r="B44" s="30" t="s">
        <v>88</v>
      </c>
      <c r="C44" s="82">
        <f>-SUMIFS(I$3:I$37,B$3:B$37,A$41,P$3:P$37,"xx",N$3:N$37,"x")</f>
        <v>-3650</v>
      </c>
      <c r="D44" s="82"/>
      <c r="E44" s="30">
        <f>SUMIFS(Q$3:Q$37,B$3:B$37,A$41,P$3:P$37,"xx",N$3:N$37,"x")</f>
        <v>1</v>
      </c>
      <c r="K44" s="24" t="s">
        <v>89</v>
      </c>
      <c r="L44" s="24">
        <f>-M44*2</f>
        <v>-66</v>
      </c>
      <c r="M44" s="24">
        <f>COUNTIFS(K$3:K$37,K$41,L$3:L$37,A$42)-(COUNTIFS(K$3:K$37,K$41,M$3:M$37,"*gộp*")/2)-COUNTIFS(K$3:K$37,K$41,M$3:M$37,"*đơn trả*")-COUNTIFS(K$3:K$37,K$41,M$3:M$37,"*hàng tỉnh*")</f>
        <v>33</v>
      </c>
      <c r="O44" s="24" t="s">
        <v>41</v>
      </c>
      <c r="P44" s="24">
        <f>L63</f>
        <v>2370</v>
      </c>
    </row>
    <row r="45" spans="1:17" x14ac:dyDescent="0.25">
      <c r="B45" s="27" t="s">
        <v>90</v>
      </c>
      <c r="C45" s="80">
        <f>SUBTOTAL(9,C42:C44)</f>
        <v>17085</v>
      </c>
      <c r="D45" s="80"/>
      <c r="E45" s="24">
        <f>E42</f>
        <v>34</v>
      </c>
      <c r="K45" s="31" t="s">
        <v>91</v>
      </c>
      <c r="O45" s="24" t="s">
        <v>92</v>
      </c>
      <c r="P45" s="24">
        <f>-C49</f>
        <v>-17085</v>
      </c>
    </row>
    <row r="46" spans="1:17" x14ac:dyDescent="0.25">
      <c r="B46" s="30" t="s">
        <v>93</v>
      </c>
      <c r="C46" s="78"/>
      <c r="D46" s="78"/>
      <c r="K46" s="30" t="s">
        <v>94</v>
      </c>
      <c r="O46" s="27" t="s">
        <v>95</v>
      </c>
      <c r="P46" s="27">
        <f>SUBTOTAL(9,P42:P45)</f>
        <v>150</v>
      </c>
    </row>
    <row r="47" spans="1:17" x14ac:dyDescent="0.25">
      <c r="B47" s="32" t="s">
        <v>96</v>
      </c>
      <c r="C47" s="78"/>
      <c r="D47" s="78"/>
      <c r="L47" s="33">
        <f>SUBTOTAL(9,L42:L46)</f>
        <v>7629</v>
      </c>
      <c r="M47" s="33">
        <f>M42</f>
        <v>10</v>
      </c>
    </row>
    <row r="49" spans="2:13" x14ac:dyDescent="0.25">
      <c r="B49" s="26" t="s">
        <v>97</v>
      </c>
      <c r="C49" s="79">
        <f>C45+C46+C47</f>
        <v>17085</v>
      </c>
      <c r="D49" s="79"/>
      <c r="E49" s="26" t="s">
        <v>98</v>
      </c>
      <c r="K49" s="28" t="s">
        <v>2966</v>
      </c>
      <c r="L49" s="28" t="s">
        <v>80</v>
      </c>
      <c r="M49" s="28" t="s">
        <v>79</v>
      </c>
    </row>
    <row r="50" spans="2:13" x14ac:dyDescent="0.25">
      <c r="K50" s="24" t="s">
        <v>84</v>
      </c>
      <c r="L50" s="24">
        <f>SUMIFS(G$3:G$37,J$3:J$37,K$49)</f>
        <v>7630</v>
      </c>
      <c r="M50" s="24">
        <f>SUMIFS(Q$3:Q$37,J$3:J$37,K$49)-INT(COUNTIFS(J$3:J$37,K$49,M$3:M$37,"*gộp*")/2)</f>
        <v>17</v>
      </c>
    </row>
    <row r="51" spans="2:13" x14ac:dyDescent="0.25">
      <c r="K51" s="24" t="s">
        <v>87</v>
      </c>
      <c r="L51" s="24">
        <f>SUM(H40:H42)</f>
        <v>-394</v>
      </c>
      <c r="M51" s="24">
        <f>SUMIFS(Q$3:Q$37,J$3:J$37,K$49)-INT(COUNTIFS(J$3:J$37,K$49,M$3:M$37,"*gộp*")/2)</f>
        <v>17</v>
      </c>
    </row>
    <row r="52" spans="2:13" x14ac:dyDescent="0.25">
      <c r="K52" s="24" t="s">
        <v>89</v>
      </c>
      <c r="L52" s="24">
        <f>-M52*2</f>
        <v>0</v>
      </c>
      <c r="M52" s="24">
        <f>COUNTIFS(K$3:K$37,K$49,L$3:L$37,A$42)-(COUNTIFS(K$3:K$37,K$49,M$3:M$37,"*gộp*")/2)-COUNTIFS(K$3:K$37,K$49,M$3:M$37,"*đơn trả*")-COUNTIFS(K$3:K$37,K$49,M$3:M$37,"*hàng tỉnh*")</f>
        <v>0</v>
      </c>
    </row>
    <row r="53" spans="2:13" x14ac:dyDescent="0.25">
      <c r="K53" s="31" t="s">
        <v>91</v>
      </c>
    </row>
    <row r="54" spans="2:13" x14ac:dyDescent="0.25">
      <c r="K54" s="30" t="s">
        <v>94</v>
      </c>
    </row>
    <row r="55" spans="2:13" x14ac:dyDescent="0.25">
      <c r="L55" s="33">
        <f>SUBTOTAL(9,L50:L54)</f>
        <v>7236</v>
      </c>
      <c r="M55" s="33">
        <f>M50</f>
        <v>17</v>
      </c>
    </row>
    <row r="57" spans="2:13" x14ac:dyDescent="0.25">
      <c r="K57" s="28" t="s">
        <v>41</v>
      </c>
      <c r="L57" s="28" t="s">
        <v>80</v>
      </c>
      <c r="M57" s="28" t="s">
        <v>79</v>
      </c>
    </row>
    <row r="58" spans="2:13" x14ac:dyDescent="0.25">
      <c r="K58" s="24" t="s">
        <v>84</v>
      </c>
      <c r="L58" s="24">
        <f>SUMIFS(G$3:G$37,J$3:J$37,K$57)</f>
        <v>6165</v>
      </c>
      <c r="M58" s="24">
        <f>SUMIFS(Q$3:Q$37,J$3:J$37,K$57)-INT(COUNTIFS(J$3:J$37,K$57,M$3:M$37,"*gộp*")/2)</f>
        <v>7</v>
      </c>
    </row>
    <row r="59" spans="2:13" x14ac:dyDescent="0.25">
      <c r="K59" s="24" t="s">
        <v>87</v>
      </c>
      <c r="L59" s="24">
        <f>-SUMIFS(H$3:H$37,J$3:J$37,K$57)+M59*5</f>
        <v>-140</v>
      </c>
      <c r="M59" s="24">
        <f>SUMIFS(Q$3:Q$37,J$3:J$37,K$57)-INT(COUNTIFS(J$3:J$37,K$57,M$3:M$37,"*gộp*")/2)</f>
        <v>7</v>
      </c>
    </row>
    <row r="60" spans="2:13" x14ac:dyDescent="0.25">
      <c r="K60" s="24" t="s">
        <v>89</v>
      </c>
      <c r="L60" s="24">
        <f>-M60*2</f>
        <v>0</v>
      </c>
      <c r="M60" s="24">
        <f>COUNTIFS(K$3:K$37,K$57,L$3:L$37,A$42)-(COUNTIFS(K$3:K$37,K$57,M$3:M$37,"*gộp*")/2)-COUNTIFS(K$3:K$37,K$57,M$3:M$37,"*đơn trả*")-COUNTIFS(K$3:K$37,K$57,M$3:M$37,"*hàng tỉnh*")</f>
        <v>0</v>
      </c>
    </row>
    <row r="61" spans="2:13" x14ac:dyDescent="0.25">
      <c r="K61" s="31" t="s">
        <v>91</v>
      </c>
      <c r="L61" s="48">
        <v>-3655</v>
      </c>
      <c r="M61" s="48" t="s">
        <v>590</v>
      </c>
    </row>
    <row r="62" spans="2:13" x14ac:dyDescent="0.25">
      <c r="K62" s="30" t="s">
        <v>94</v>
      </c>
    </row>
    <row r="63" spans="2:13" x14ac:dyDescent="0.25">
      <c r="L63" s="33">
        <f>SUBTOTAL(9,L58:L62)</f>
        <v>2370</v>
      </c>
      <c r="M63" s="33">
        <f>M58</f>
        <v>7</v>
      </c>
    </row>
  </sheetData>
  <autoFilter ref="A2:P37" xr:uid="{00000000-0009-0000-0000-000000000000}">
    <sortState xmlns:xlrd2="http://schemas.microsoft.com/office/spreadsheetml/2017/richdata2" ref="A3:P37">
      <sortCondition ref="J2:J37"/>
    </sortState>
  </autoFilter>
  <mergeCells count="8">
    <mergeCell ref="C47:D47"/>
    <mergeCell ref="C49:D49"/>
    <mergeCell ref="C41:D41"/>
    <mergeCell ref="C42:D42"/>
    <mergeCell ref="C43:D43"/>
    <mergeCell ref="C44:D44"/>
    <mergeCell ref="C45:D45"/>
    <mergeCell ref="C46:D46"/>
  </mergeCells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2615-2FDC-415D-B5FE-CA77C86C59FB}">
  <dimension ref="A1:R96"/>
  <sheetViews>
    <sheetView topLeftCell="A6" zoomScale="90" zoomScaleNormal="90" workbookViewId="0">
      <selection activeCell="A6" sqref="A6:XFD6"/>
    </sheetView>
  </sheetViews>
  <sheetFormatPr defaultRowHeight="15" x14ac:dyDescent="0.25"/>
  <cols>
    <col min="1" max="1" width="12.7109375" style="24" customWidth="1"/>
    <col min="2" max="2" width="9" style="24" customWidth="1"/>
    <col min="3" max="3" width="43.28515625" style="24" customWidth="1"/>
    <col min="4" max="4" width="9.85546875" style="24" customWidth="1"/>
    <col min="5" max="5" width="79.7109375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2.5703125" style="24" bestFit="1" customWidth="1"/>
    <col min="13" max="13" width="18.42578125" style="24" customWidth="1"/>
    <col min="14" max="14" width="9.7109375" style="24" customWidth="1"/>
    <col min="15" max="15" width="10.42578125" style="24" customWidth="1"/>
    <col min="16" max="16" width="7.28515625" style="24" bestFit="1" customWidth="1"/>
    <col min="17" max="16384" width="9.140625" style="24"/>
  </cols>
  <sheetData>
    <row r="1" spans="1:18" customFormat="1" x14ac:dyDescent="0.25">
      <c r="B1" s="4" t="s">
        <v>1163</v>
      </c>
      <c r="C1" s="4" t="s">
        <v>3198</v>
      </c>
      <c r="F1" s="65"/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 t="s">
        <v>66</v>
      </c>
      <c r="B3" s="35" t="s">
        <v>26</v>
      </c>
      <c r="C3" s="35" t="s">
        <v>3035</v>
      </c>
      <c r="D3" s="35"/>
      <c r="E3" s="35" t="s">
        <v>3036</v>
      </c>
      <c r="F3" s="36">
        <v>7</v>
      </c>
      <c r="G3" s="36">
        <v>545</v>
      </c>
      <c r="H3" s="36">
        <v>35</v>
      </c>
      <c r="I3" s="36">
        <f t="shared" ref="I3:I34" si="0">G3-H3</f>
        <v>510</v>
      </c>
      <c r="J3" s="35" t="s">
        <v>3037</v>
      </c>
      <c r="K3" s="35" t="s">
        <v>31</v>
      </c>
      <c r="L3" s="35" t="s">
        <v>3034</v>
      </c>
      <c r="M3" s="35"/>
      <c r="N3" s="35"/>
      <c r="O3" s="35"/>
      <c r="P3" s="35"/>
      <c r="Q3" s="35">
        <v>1</v>
      </c>
    </row>
    <row r="4" spans="1:18" x14ac:dyDescent="0.25">
      <c r="A4" s="35" t="s">
        <v>66</v>
      </c>
      <c r="B4" s="35" t="s">
        <v>26</v>
      </c>
      <c r="C4" s="35" t="s">
        <v>67</v>
      </c>
      <c r="D4" s="35"/>
      <c r="E4" s="35" t="s">
        <v>68</v>
      </c>
      <c r="F4" s="36">
        <v>6</v>
      </c>
      <c r="G4" s="36">
        <v>0</v>
      </c>
      <c r="H4" s="36">
        <v>30</v>
      </c>
      <c r="I4" s="36">
        <f t="shared" si="0"/>
        <v>-30</v>
      </c>
      <c r="J4" s="35" t="s">
        <v>3037</v>
      </c>
      <c r="K4" s="35" t="s">
        <v>31</v>
      </c>
      <c r="L4" s="35" t="s">
        <v>3034</v>
      </c>
      <c r="M4" s="35"/>
      <c r="N4" s="35"/>
      <c r="O4" s="35"/>
      <c r="P4" s="35"/>
      <c r="Q4" s="35">
        <v>1</v>
      </c>
      <c r="R4" s="25">
        <f>H4</f>
        <v>30</v>
      </c>
    </row>
    <row r="5" spans="1:18" x14ac:dyDescent="0.25">
      <c r="A5" s="35"/>
      <c r="B5" s="35" t="s">
        <v>26</v>
      </c>
      <c r="C5" s="35" t="s">
        <v>3047</v>
      </c>
      <c r="D5" s="35" t="s">
        <v>3048</v>
      </c>
      <c r="E5" s="35" t="s">
        <v>3049</v>
      </c>
      <c r="F5" s="36">
        <v>12</v>
      </c>
      <c r="G5" s="36">
        <v>840</v>
      </c>
      <c r="H5" s="36">
        <v>30</v>
      </c>
      <c r="I5" s="36">
        <f t="shared" si="0"/>
        <v>810</v>
      </c>
      <c r="J5" s="35" t="s">
        <v>3037</v>
      </c>
      <c r="K5" s="35" t="s">
        <v>31</v>
      </c>
      <c r="L5" s="35" t="s">
        <v>3034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3053</v>
      </c>
      <c r="D6" s="35" t="s">
        <v>3054</v>
      </c>
      <c r="E6" s="35" t="s">
        <v>3055</v>
      </c>
      <c r="F6" s="35" t="s">
        <v>117</v>
      </c>
      <c r="G6" s="36">
        <v>0</v>
      </c>
      <c r="H6" s="36">
        <v>35</v>
      </c>
      <c r="I6" s="36">
        <f t="shared" si="0"/>
        <v>-35</v>
      </c>
      <c r="J6" s="35" t="s">
        <v>3037</v>
      </c>
      <c r="K6" s="35" t="s">
        <v>31</v>
      </c>
      <c r="L6" s="35" t="s">
        <v>3034</v>
      </c>
      <c r="M6" s="35"/>
      <c r="N6" s="35"/>
      <c r="O6" s="35"/>
      <c r="P6" s="35"/>
      <c r="Q6" s="35">
        <v>1</v>
      </c>
      <c r="R6" s="25">
        <f t="shared" ref="R6:R7" si="1">H6</f>
        <v>35</v>
      </c>
    </row>
    <row r="7" spans="1:18" x14ac:dyDescent="0.25">
      <c r="A7" s="35"/>
      <c r="B7" s="35" t="s">
        <v>26</v>
      </c>
      <c r="C7" s="35" t="s">
        <v>1089</v>
      </c>
      <c r="D7" s="35" t="s">
        <v>3062</v>
      </c>
      <c r="E7" s="35" t="s">
        <v>68</v>
      </c>
      <c r="F7" s="36">
        <v>6</v>
      </c>
      <c r="G7" s="36">
        <v>0</v>
      </c>
      <c r="H7" s="36">
        <v>25</v>
      </c>
      <c r="I7" s="36">
        <f t="shared" si="0"/>
        <v>-25</v>
      </c>
      <c r="J7" s="35" t="s">
        <v>3037</v>
      </c>
      <c r="K7" s="35" t="s">
        <v>31</v>
      </c>
      <c r="L7" s="35" t="s">
        <v>3034</v>
      </c>
      <c r="M7" s="35"/>
      <c r="N7" s="35"/>
      <c r="O7" s="35"/>
      <c r="P7" s="35"/>
      <c r="Q7" s="35">
        <v>1</v>
      </c>
      <c r="R7" s="25">
        <f t="shared" si="1"/>
        <v>25</v>
      </c>
    </row>
    <row r="8" spans="1:18" x14ac:dyDescent="0.25">
      <c r="A8" s="35"/>
      <c r="B8" s="35" t="s">
        <v>26</v>
      </c>
      <c r="C8" s="35" t="s">
        <v>3066</v>
      </c>
      <c r="D8" s="35" t="s">
        <v>3067</v>
      </c>
      <c r="E8" s="35" t="s">
        <v>3068</v>
      </c>
      <c r="F8" s="35" t="s">
        <v>77</v>
      </c>
      <c r="G8" s="36">
        <v>920</v>
      </c>
      <c r="H8" s="36">
        <v>30</v>
      </c>
      <c r="I8" s="36">
        <f t="shared" si="0"/>
        <v>890</v>
      </c>
      <c r="J8" s="35" t="s">
        <v>3037</v>
      </c>
      <c r="K8" s="35" t="s">
        <v>31</v>
      </c>
      <c r="L8" s="35" t="s">
        <v>3034</v>
      </c>
      <c r="M8" s="35"/>
      <c r="N8" s="35"/>
      <c r="O8" s="35"/>
      <c r="P8" s="35"/>
      <c r="Q8" s="35">
        <v>1</v>
      </c>
    </row>
    <row r="9" spans="1:18" x14ac:dyDescent="0.25">
      <c r="A9" s="35"/>
      <c r="B9" s="35" t="s">
        <v>26</v>
      </c>
      <c r="C9" s="35" t="s">
        <v>1941</v>
      </c>
      <c r="D9" s="35" t="s">
        <v>3072</v>
      </c>
      <c r="E9" s="35" t="s">
        <v>1943</v>
      </c>
      <c r="F9" s="35" t="s">
        <v>77</v>
      </c>
      <c r="G9" s="36">
        <v>0</v>
      </c>
      <c r="H9" s="36">
        <v>30</v>
      </c>
      <c r="I9" s="36">
        <f t="shared" si="0"/>
        <v>-30</v>
      </c>
      <c r="J9" s="35" t="s">
        <v>3037</v>
      </c>
      <c r="K9" s="35" t="s">
        <v>31</v>
      </c>
      <c r="L9" s="35" t="s">
        <v>3034</v>
      </c>
      <c r="M9" s="35"/>
      <c r="N9" s="35"/>
      <c r="O9" s="35"/>
      <c r="P9" s="35"/>
      <c r="Q9" s="35">
        <v>1</v>
      </c>
      <c r="R9" s="25">
        <f>H9</f>
        <v>30</v>
      </c>
    </row>
    <row r="10" spans="1:18" x14ac:dyDescent="0.25">
      <c r="A10" s="35"/>
      <c r="B10" s="35" t="s">
        <v>26</v>
      </c>
      <c r="C10" s="35" t="s">
        <v>2674</v>
      </c>
      <c r="D10" s="35" t="s">
        <v>3073</v>
      </c>
      <c r="E10" s="35" t="s">
        <v>2676</v>
      </c>
      <c r="F10" s="35" t="s">
        <v>77</v>
      </c>
      <c r="G10" s="36">
        <v>920</v>
      </c>
      <c r="H10" s="36">
        <v>30</v>
      </c>
      <c r="I10" s="36">
        <f t="shared" si="0"/>
        <v>890</v>
      </c>
      <c r="J10" s="35" t="s">
        <v>3037</v>
      </c>
      <c r="K10" s="35" t="s">
        <v>31</v>
      </c>
      <c r="L10" s="35" t="s">
        <v>3034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3084</v>
      </c>
      <c r="D11" s="35" t="s">
        <v>3085</v>
      </c>
      <c r="E11" s="35" t="s">
        <v>3086</v>
      </c>
      <c r="F11" s="35" t="s">
        <v>117</v>
      </c>
      <c r="G11" s="36">
        <v>1075</v>
      </c>
      <c r="H11" s="36">
        <v>35</v>
      </c>
      <c r="I11" s="36">
        <f t="shared" si="0"/>
        <v>1040</v>
      </c>
      <c r="J11" s="35" t="s">
        <v>3037</v>
      </c>
      <c r="K11" s="35" t="s">
        <v>31</v>
      </c>
      <c r="L11" s="35" t="s">
        <v>3034</v>
      </c>
      <c r="M11" s="35"/>
      <c r="N11" s="35"/>
      <c r="O11" s="35"/>
      <c r="P11" s="35"/>
      <c r="Q11" s="35">
        <v>1</v>
      </c>
    </row>
    <row r="12" spans="1:18" x14ac:dyDescent="0.25">
      <c r="A12" s="35"/>
      <c r="B12" s="35" t="s">
        <v>26</v>
      </c>
      <c r="C12" s="35" t="s">
        <v>3097</v>
      </c>
      <c r="D12" s="35" t="s">
        <v>3098</v>
      </c>
      <c r="E12" s="35" t="s">
        <v>3099</v>
      </c>
      <c r="F12" s="36">
        <v>7</v>
      </c>
      <c r="G12" s="36">
        <v>0</v>
      </c>
      <c r="H12" s="36">
        <v>30</v>
      </c>
      <c r="I12" s="36">
        <f t="shared" si="0"/>
        <v>-30</v>
      </c>
      <c r="J12" s="35" t="s">
        <v>3037</v>
      </c>
      <c r="K12" s="35" t="s">
        <v>31</v>
      </c>
      <c r="L12" s="35" t="s">
        <v>3034</v>
      </c>
      <c r="M12" s="35"/>
      <c r="N12" s="35"/>
      <c r="O12" s="35"/>
      <c r="P12" s="35"/>
      <c r="Q12" s="35">
        <v>1</v>
      </c>
      <c r="R12" s="25">
        <f>H12</f>
        <v>30</v>
      </c>
    </row>
    <row r="13" spans="1:18" x14ac:dyDescent="0.25">
      <c r="A13" s="35"/>
      <c r="B13" s="35" t="s">
        <v>26</v>
      </c>
      <c r="C13" s="35" t="s">
        <v>3100</v>
      </c>
      <c r="D13" s="35" t="s">
        <v>3101</v>
      </c>
      <c r="E13" s="35" t="s">
        <v>3102</v>
      </c>
      <c r="F13" s="35" t="s">
        <v>77</v>
      </c>
      <c r="G13" s="36">
        <v>920</v>
      </c>
      <c r="H13" s="36">
        <v>30</v>
      </c>
      <c r="I13" s="36">
        <f t="shared" si="0"/>
        <v>890</v>
      </c>
      <c r="J13" s="35" t="s">
        <v>3037</v>
      </c>
      <c r="K13" s="35" t="s">
        <v>31</v>
      </c>
      <c r="L13" s="35" t="s">
        <v>3034</v>
      </c>
      <c r="M13" s="35"/>
      <c r="N13" s="35"/>
      <c r="O13" s="35"/>
      <c r="P13" s="35"/>
      <c r="Q13" s="35">
        <v>1</v>
      </c>
    </row>
    <row r="14" spans="1:18" x14ac:dyDescent="0.25">
      <c r="A14" s="35"/>
      <c r="B14" s="35" t="s">
        <v>26</v>
      </c>
      <c r="C14" s="35" t="s">
        <v>3111</v>
      </c>
      <c r="D14" s="35" t="s">
        <v>3112</v>
      </c>
      <c r="E14" s="35" t="s">
        <v>3113</v>
      </c>
      <c r="F14" s="36">
        <v>8</v>
      </c>
      <c r="G14" s="36">
        <v>570</v>
      </c>
      <c r="H14" s="36">
        <v>30</v>
      </c>
      <c r="I14" s="36">
        <f t="shared" si="0"/>
        <v>540</v>
      </c>
      <c r="J14" s="35" t="s">
        <v>3037</v>
      </c>
      <c r="K14" s="35" t="s">
        <v>31</v>
      </c>
      <c r="L14" s="35" t="s">
        <v>3034</v>
      </c>
      <c r="M14" s="35"/>
      <c r="N14" s="35"/>
      <c r="O14" s="35"/>
      <c r="P14" s="35"/>
      <c r="Q14" s="35">
        <v>1</v>
      </c>
    </row>
    <row r="15" spans="1:18" x14ac:dyDescent="0.25">
      <c r="A15" s="35"/>
      <c r="B15" s="35" t="s">
        <v>26</v>
      </c>
      <c r="C15" s="35" t="s">
        <v>3123</v>
      </c>
      <c r="D15" s="35" t="s">
        <v>3124</v>
      </c>
      <c r="E15" s="35" t="s">
        <v>3125</v>
      </c>
      <c r="F15" s="36">
        <v>7</v>
      </c>
      <c r="G15" s="36">
        <v>1440</v>
      </c>
      <c r="H15" s="36">
        <v>30</v>
      </c>
      <c r="I15" s="36">
        <f t="shared" si="0"/>
        <v>1410</v>
      </c>
      <c r="J15" s="35" t="s">
        <v>3037</v>
      </c>
      <c r="K15" s="35" t="s">
        <v>31</v>
      </c>
      <c r="L15" s="35" t="s">
        <v>3034</v>
      </c>
      <c r="M15" s="35"/>
      <c r="N15" s="35"/>
      <c r="O15" s="35"/>
      <c r="P15" s="35"/>
      <c r="Q15" s="35">
        <v>1</v>
      </c>
    </row>
    <row r="16" spans="1:18" x14ac:dyDescent="0.25">
      <c r="A16" s="35"/>
      <c r="B16" s="35" t="s">
        <v>26</v>
      </c>
      <c r="C16" s="35" t="s">
        <v>3133</v>
      </c>
      <c r="D16" s="35" t="s">
        <v>3134</v>
      </c>
      <c r="E16" s="35" t="s">
        <v>3135</v>
      </c>
      <c r="F16" s="35" t="s">
        <v>117</v>
      </c>
      <c r="G16" s="36">
        <v>2210</v>
      </c>
      <c r="H16" s="36">
        <v>50</v>
      </c>
      <c r="I16" s="36">
        <f t="shared" si="0"/>
        <v>2160</v>
      </c>
      <c r="J16" s="35" t="s">
        <v>3037</v>
      </c>
      <c r="K16" s="35" t="s">
        <v>31</v>
      </c>
      <c r="L16" s="35" t="s">
        <v>3034</v>
      </c>
      <c r="M16" s="38" t="s">
        <v>906</v>
      </c>
      <c r="N16" s="35"/>
      <c r="O16" s="35"/>
      <c r="P16" s="35"/>
      <c r="Q16" s="35">
        <v>1</v>
      </c>
      <c r="R16" s="25">
        <f>H16</f>
        <v>50</v>
      </c>
    </row>
    <row r="17" spans="1:18" x14ac:dyDescent="0.25">
      <c r="A17" s="35"/>
      <c r="B17" s="35" t="s">
        <v>26</v>
      </c>
      <c r="C17" s="35" t="s">
        <v>3133</v>
      </c>
      <c r="D17" s="35" t="s">
        <v>3134</v>
      </c>
      <c r="E17" s="35" t="s">
        <v>3135</v>
      </c>
      <c r="F17" s="35" t="s">
        <v>117</v>
      </c>
      <c r="G17" s="36">
        <v>2400</v>
      </c>
      <c r="H17" s="36">
        <v>0</v>
      </c>
      <c r="I17" s="36">
        <f t="shared" si="0"/>
        <v>2400</v>
      </c>
      <c r="J17" s="35" t="s">
        <v>3037</v>
      </c>
      <c r="K17" s="35" t="s">
        <v>31</v>
      </c>
      <c r="L17" s="35" t="s">
        <v>3034</v>
      </c>
      <c r="M17" s="38" t="s">
        <v>423</v>
      </c>
      <c r="N17" s="35"/>
      <c r="O17" s="35"/>
      <c r="P17" s="35"/>
      <c r="Q17" s="35">
        <v>1</v>
      </c>
    </row>
    <row r="18" spans="1:18" x14ac:dyDescent="0.25">
      <c r="A18" s="35"/>
      <c r="B18" s="35" t="s">
        <v>26</v>
      </c>
      <c r="C18" s="35" t="s">
        <v>3145</v>
      </c>
      <c r="D18" s="35" t="s">
        <v>3146</v>
      </c>
      <c r="E18" s="35" t="s">
        <v>3147</v>
      </c>
      <c r="F18" s="35" t="s">
        <v>45</v>
      </c>
      <c r="G18" s="36">
        <v>855</v>
      </c>
      <c r="H18" s="36">
        <v>25</v>
      </c>
      <c r="I18" s="36">
        <f t="shared" si="0"/>
        <v>830</v>
      </c>
      <c r="J18" s="35" t="s">
        <v>3037</v>
      </c>
      <c r="K18" s="35" t="s">
        <v>31</v>
      </c>
      <c r="L18" s="35" t="s">
        <v>3034</v>
      </c>
      <c r="M18" s="35"/>
      <c r="N18" s="35"/>
      <c r="O18" s="35"/>
      <c r="P18" s="35"/>
      <c r="Q18" s="35">
        <v>1</v>
      </c>
    </row>
    <row r="19" spans="1:18" x14ac:dyDescent="0.25">
      <c r="A19" s="35"/>
      <c r="B19" s="35" t="s">
        <v>26</v>
      </c>
      <c r="C19" s="35" t="s">
        <v>1935</v>
      </c>
      <c r="D19" s="35" t="s">
        <v>3171</v>
      </c>
      <c r="E19" s="35" t="s">
        <v>1937</v>
      </c>
      <c r="F19" s="35" t="s">
        <v>117</v>
      </c>
      <c r="G19" s="36">
        <v>0</v>
      </c>
      <c r="H19" s="36">
        <v>35</v>
      </c>
      <c r="I19" s="36">
        <f t="shared" si="0"/>
        <v>-35</v>
      </c>
      <c r="J19" s="35" t="s">
        <v>3037</v>
      </c>
      <c r="K19" s="35" t="s">
        <v>31</v>
      </c>
      <c r="L19" s="35" t="s">
        <v>3034</v>
      </c>
      <c r="M19" s="35"/>
      <c r="N19" s="35"/>
      <c r="O19" s="35"/>
      <c r="P19" s="35"/>
      <c r="Q19" s="35">
        <v>1</v>
      </c>
      <c r="R19" s="25">
        <f>H19</f>
        <v>35</v>
      </c>
    </row>
    <row r="20" spans="1:18" x14ac:dyDescent="0.25">
      <c r="A20" s="35"/>
      <c r="B20" s="35" t="s">
        <v>26</v>
      </c>
      <c r="C20" s="35" t="s">
        <v>3175</v>
      </c>
      <c r="D20" s="35" t="s">
        <v>3176</v>
      </c>
      <c r="E20" s="35" t="s">
        <v>3177</v>
      </c>
      <c r="F20" s="36">
        <v>7</v>
      </c>
      <c r="G20" s="36">
        <v>950</v>
      </c>
      <c r="H20" s="36">
        <v>30</v>
      </c>
      <c r="I20" s="36">
        <f t="shared" si="0"/>
        <v>920</v>
      </c>
      <c r="J20" s="35" t="s">
        <v>3037</v>
      </c>
      <c r="K20" s="35" t="s">
        <v>31</v>
      </c>
      <c r="L20" s="35" t="s">
        <v>3034</v>
      </c>
      <c r="M20" s="35"/>
      <c r="N20" s="35"/>
      <c r="O20" s="35"/>
      <c r="P20" s="35"/>
      <c r="Q20" s="35">
        <v>1</v>
      </c>
    </row>
    <row r="21" spans="1:18" x14ac:dyDescent="0.25">
      <c r="A21" s="35"/>
      <c r="B21" s="35" t="s">
        <v>26</v>
      </c>
      <c r="C21" s="35" t="s">
        <v>3179</v>
      </c>
      <c r="D21" s="35" t="s">
        <v>3180</v>
      </c>
      <c r="E21" s="35" t="s">
        <v>3181</v>
      </c>
      <c r="F21" s="36">
        <v>7</v>
      </c>
      <c r="G21" s="36">
        <v>1960</v>
      </c>
      <c r="H21" s="36">
        <v>30</v>
      </c>
      <c r="I21" s="36">
        <f t="shared" si="0"/>
        <v>1930</v>
      </c>
      <c r="J21" s="35" t="s">
        <v>3037</v>
      </c>
      <c r="K21" s="35" t="s">
        <v>31</v>
      </c>
      <c r="L21" s="35" t="s">
        <v>3034</v>
      </c>
      <c r="M21" s="35"/>
      <c r="N21" s="35"/>
      <c r="O21" s="35"/>
      <c r="P21" s="35"/>
      <c r="Q21" s="35">
        <v>1</v>
      </c>
    </row>
    <row r="22" spans="1:18" x14ac:dyDescent="0.25">
      <c r="A22" s="35"/>
      <c r="B22" s="35" t="s">
        <v>26</v>
      </c>
      <c r="C22" s="35" t="s">
        <v>3191</v>
      </c>
      <c r="D22" s="35" t="s">
        <v>3192</v>
      </c>
      <c r="E22" s="35" t="s">
        <v>3193</v>
      </c>
      <c r="F22" s="35" t="s">
        <v>45</v>
      </c>
      <c r="G22" s="36">
        <v>1775</v>
      </c>
      <c r="H22" s="36">
        <v>25</v>
      </c>
      <c r="I22" s="36">
        <f t="shared" si="0"/>
        <v>1750</v>
      </c>
      <c r="J22" s="35" t="s">
        <v>3037</v>
      </c>
      <c r="K22" s="35" t="s">
        <v>31</v>
      </c>
      <c r="L22" s="35" t="s">
        <v>3034</v>
      </c>
      <c r="M22" s="35"/>
      <c r="N22" s="35"/>
      <c r="O22" s="35"/>
      <c r="P22" s="35"/>
      <c r="Q22" s="35">
        <v>1</v>
      </c>
    </row>
    <row r="23" spans="1:18" x14ac:dyDescent="0.25">
      <c r="A23" s="35" t="s">
        <v>66</v>
      </c>
      <c r="B23" s="35" t="s">
        <v>26</v>
      </c>
      <c r="C23" s="35" t="s">
        <v>3033</v>
      </c>
      <c r="D23" s="35"/>
      <c r="E23" s="35" t="s">
        <v>796</v>
      </c>
      <c r="F23" s="35" t="s">
        <v>36</v>
      </c>
      <c r="G23" s="36">
        <v>7800</v>
      </c>
      <c r="H23" s="36">
        <v>30</v>
      </c>
      <c r="I23" s="36">
        <f t="shared" si="0"/>
        <v>7770</v>
      </c>
      <c r="J23" s="35" t="s">
        <v>31</v>
      </c>
      <c r="K23" s="35" t="s">
        <v>31</v>
      </c>
      <c r="L23" s="35" t="s">
        <v>3034</v>
      </c>
      <c r="M23" s="35"/>
      <c r="N23" s="35"/>
      <c r="O23" s="35"/>
      <c r="P23" s="35"/>
      <c r="Q23" s="35">
        <v>1</v>
      </c>
    </row>
    <row r="24" spans="1:18" x14ac:dyDescent="0.25">
      <c r="A24" s="35" t="s">
        <v>66</v>
      </c>
      <c r="B24" s="35" t="s">
        <v>26</v>
      </c>
      <c r="C24" s="35" t="s">
        <v>3042</v>
      </c>
      <c r="D24" s="35"/>
      <c r="E24" s="35" t="s">
        <v>3043</v>
      </c>
      <c r="F24" s="35" t="s">
        <v>58</v>
      </c>
      <c r="G24" s="36">
        <v>685</v>
      </c>
      <c r="H24" s="36">
        <v>25</v>
      </c>
      <c r="I24" s="36">
        <f t="shared" si="0"/>
        <v>660</v>
      </c>
      <c r="J24" s="35" t="s">
        <v>31</v>
      </c>
      <c r="K24" s="35" t="s">
        <v>31</v>
      </c>
      <c r="L24" s="35" t="s">
        <v>3034</v>
      </c>
      <c r="M24" s="35"/>
      <c r="N24" s="35"/>
      <c r="O24" s="35"/>
      <c r="P24" s="35"/>
      <c r="Q24" s="35">
        <v>1</v>
      </c>
    </row>
    <row r="25" spans="1:18" x14ac:dyDescent="0.25">
      <c r="A25" s="35"/>
      <c r="B25" s="35" t="s">
        <v>26</v>
      </c>
      <c r="C25" s="35" t="s">
        <v>3044</v>
      </c>
      <c r="D25" s="35" t="s">
        <v>3045</v>
      </c>
      <c r="E25" s="35" t="s">
        <v>3046</v>
      </c>
      <c r="F25" s="35" t="s">
        <v>58</v>
      </c>
      <c r="G25" s="36">
        <v>910</v>
      </c>
      <c r="H25" s="36">
        <v>20</v>
      </c>
      <c r="I25" s="36">
        <f t="shared" si="0"/>
        <v>890</v>
      </c>
      <c r="J25" s="35" t="s">
        <v>31</v>
      </c>
      <c r="K25" s="35" t="s">
        <v>31</v>
      </c>
      <c r="L25" s="35" t="s">
        <v>3034</v>
      </c>
      <c r="M25" s="35"/>
      <c r="N25" s="35"/>
      <c r="O25" s="35"/>
      <c r="P25" s="35"/>
      <c r="Q25" s="35">
        <v>1</v>
      </c>
    </row>
    <row r="26" spans="1:18" x14ac:dyDescent="0.25">
      <c r="A26" s="35"/>
      <c r="B26" s="35" t="s">
        <v>26</v>
      </c>
      <c r="C26" s="35" t="s">
        <v>3050</v>
      </c>
      <c r="D26" s="35" t="s">
        <v>3051</v>
      </c>
      <c r="E26" s="35" t="s">
        <v>3052</v>
      </c>
      <c r="F26" s="35" t="s">
        <v>36</v>
      </c>
      <c r="G26" s="36">
        <v>1675</v>
      </c>
      <c r="H26" s="36">
        <v>25</v>
      </c>
      <c r="I26" s="36">
        <f t="shared" si="0"/>
        <v>1650</v>
      </c>
      <c r="J26" s="35" t="s">
        <v>31</v>
      </c>
      <c r="K26" s="35" t="s">
        <v>31</v>
      </c>
      <c r="L26" s="35" t="s">
        <v>3034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3056</v>
      </c>
      <c r="D27" s="35" t="s">
        <v>3057</v>
      </c>
      <c r="E27" s="35" t="s">
        <v>3058</v>
      </c>
      <c r="F27" s="35" t="s">
        <v>36</v>
      </c>
      <c r="G27" s="36">
        <v>715</v>
      </c>
      <c r="H27" s="36">
        <v>25</v>
      </c>
      <c r="I27" s="36">
        <f t="shared" si="0"/>
        <v>690</v>
      </c>
      <c r="J27" s="35" t="s">
        <v>31</v>
      </c>
      <c r="K27" s="35" t="s">
        <v>31</v>
      </c>
      <c r="L27" s="35" t="s">
        <v>3034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3059</v>
      </c>
      <c r="D28" s="35" t="s">
        <v>3060</v>
      </c>
      <c r="E28" s="35" t="s">
        <v>3061</v>
      </c>
      <c r="F28" s="36">
        <v>9</v>
      </c>
      <c r="G28" s="36">
        <v>490</v>
      </c>
      <c r="H28" s="36">
        <v>30</v>
      </c>
      <c r="I28" s="36">
        <f t="shared" si="0"/>
        <v>460</v>
      </c>
      <c r="J28" s="35" t="s">
        <v>31</v>
      </c>
      <c r="K28" s="35" t="s">
        <v>31</v>
      </c>
      <c r="L28" s="35" t="s">
        <v>3034</v>
      </c>
      <c r="M28" s="35"/>
      <c r="N28" s="35"/>
      <c r="O28" s="35"/>
      <c r="P28" s="35"/>
      <c r="Q28" s="35">
        <v>1</v>
      </c>
    </row>
    <row r="29" spans="1:18" x14ac:dyDescent="0.25">
      <c r="A29" s="35"/>
      <c r="B29" s="35" t="s">
        <v>26</v>
      </c>
      <c r="C29" s="35" t="s">
        <v>3063</v>
      </c>
      <c r="D29" s="35" t="s">
        <v>3064</v>
      </c>
      <c r="E29" s="35" t="s">
        <v>3065</v>
      </c>
      <c r="F29" s="36">
        <v>9</v>
      </c>
      <c r="G29" s="36">
        <v>0</v>
      </c>
      <c r="H29" s="36">
        <v>30</v>
      </c>
      <c r="I29" s="36">
        <f t="shared" si="0"/>
        <v>-30</v>
      </c>
      <c r="J29" s="35" t="s">
        <v>31</v>
      </c>
      <c r="K29" s="35" t="s">
        <v>31</v>
      </c>
      <c r="L29" s="35" t="s">
        <v>3034</v>
      </c>
      <c r="M29" s="35"/>
      <c r="N29" s="35"/>
      <c r="O29" s="35"/>
      <c r="P29" s="35"/>
      <c r="Q29" s="35">
        <v>1</v>
      </c>
      <c r="R29" s="25">
        <f>H29</f>
        <v>30</v>
      </c>
    </row>
    <row r="30" spans="1:18" x14ac:dyDescent="0.25">
      <c r="A30" s="35"/>
      <c r="B30" s="35" t="s">
        <v>26</v>
      </c>
      <c r="C30" s="35" t="s">
        <v>3074</v>
      </c>
      <c r="D30" s="35" t="s">
        <v>3075</v>
      </c>
      <c r="E30" s="35" t="s">
        <v>3076</v>
      </c>
      <c r="F30" s="35" t="s">
        <v>58</v>
      </c>
      <c r="G30" s="36">
        <v>810</v>
      </c>
      <c r="H30" s="36">
        <v>20</v>
      </c>
      <c r="I30" s="36">
        <f t="shared" si="0"/>
        <v>790</v>
      </c>
      <c r="J30" s="35" t="s">
        <v>31</v>
      </c>
      <c r="K30" s="35" t="s">
        <v>31</v>
      </c>
      <c r="L30" s="35" t="s">
        <v>3034</v>
      </c>
      <c r="M30" s="35"/>
      <c r="N30" s="35"/>
      <c r="O30" s="35"/>
      <c r="P30" s="35"/>
      <c r="Q30" s="35">
        <v>1</v>
      </c>
    </row>
    <row r="31" spans="1:18" x14ac:dyDescent="0.25">
      <c r="A31" s="35"/>
      <c r="B31" s="35" t="s">
        <v>26</v>
      </c>
      <c r="C31" s="35" t="s">
        <v>3077</v>
      </c>
      <c r="D31" s="35" t="s">
        <v>3078</v>
      </c>
      <c r="E31" s="35" t="s">
        <v>3079</v>
      </c>
      <c r="F31" s="36">
        <v>2</v>
      </c>
      <c r="G31" s="36">
        <v>0</v>
      </c>
      <c r="H31" s="36">
        <v>30</v>
      </c>
      <c r="I31" s="36">
        <f t="shared" si="0"/>
        <v>-30</v>
      </c>
      <c r="J31" s="35" t="s">
        <v>31</v>
      </c>
      <c r="K31" s="35" t="s">
        <v>31</v>
      </c>
      <c r="L31" s="35" t="s">
        <v>3034</v>
      </c>
      <c r="M31" s="35"/>
      <c r="N31" s="35"/>
      <c r="O31" s="35"/>
      <c r="P31" s="35"/>
      <c r="Q31" s="35">
        <v>1</v>
      </c>
      <c r="R31" s="25">
        <f>H31</f>
        <v>30</v>
      </c>
    </row>
    <row r="32" spans="1:18" x14ac:dyDescent="0.25">
      <c r="A32" s="35"/>
      <c r="B32" s="35" t="s">
        <v>26</v>
      </c>
      <c r="C32" s="35" t="s">
        <v>3080</v>
      </c>
      <c r="D32" s="35" t="s">
        <v>3081</v>
      </c>
      <c r="E32" s="35" t="s">
        <v>3082</v>
      </c>
      <c r="F32" s="36">
        <v>9</v>
      </c>
      <c r="G32" s="36">
        <v>1290</v>
      </c>
      <c r="H32" s="36">
        <v>30</v>
      </c>
      <c r="I32" s="36">
        <f t="shared" si="0"/>
        <v>1260</v>
      </c>
      <c r="J32" s="35" t="s">
        <v>31</v>
      </c>
      <c r="K32" s="35" t="s">
        <v>31</v>
      </c>
      <c r="L32" s="35" t="s">
        <v>3034</v>
      </c>
      <c r="M32" s="35"/>
      <c r="N32" s="35"/>
      <c r="O32" s="35"/>
      <c r="P32" s="35"/>
      <c r="Q32" s="35">
        <v>1</v>
      </c>
    </row>
    <row r="33" spans="1:18" x14ac:dyDescent="0.25">
      <c r="A33" s="35"/>
      <c r="B33" s="35" t="s">
        <v>26</v>
      </c>
      <c r="C33" s="35" t="s">
        <v>2861</v>
      </c>
      <c r="D33" s="35" t="s">
        <v>3083</v>
      </c>
      <c r="E33" s="35" t="s">
        <v>2863</v>
      </c>
      <c r="F33" s="35" t="s">
        <v>36</v>
      </c>
      <c r="G33" s="36">
        <v>795</v>
      </c>
      <c r="H33" s="36">
        <v>25</v>
      </c>
      <c r="I33" s="36">
        <f t="shared" si="0"/>
        <v>770</v>
      </c>
      <c r="J33" s="35" t="s">
        <v>31</v>
      </c>
      <c r="K33" s="35" t="s">
        <v>31</v>
      </c>
      <c r="L33" s="35" t="s">
        <v>3034</v>
      </c>
      <c r="M33" s="35"/>
      <c r="N33" s="35"/>
      <c r="O33" s="35"/>
      <c r="P33" s="35"/>
      <c r="Q33" s="35">
        <v>1</v>
      </c>
    </row>
    <row r="34" spans="1:18" x14ac:dyDescent="0.25">
      <c r="A34" s="35"/>
      <c r="B34" s="35" t="s">
        <v>26</v>
      </c>
      <c r="C34" s="35" t="s">
        <v>3087</v>
      </c>
      <c r="D34" s="35" t="s">
        <v>3088</v>
      </c>
      <c r="E34" s="35" t="s">
        <v>3089</v>
      </c>
      <c r="F34" s="36">
        <v>9</v>
      </c>
      <c r="G34" s="36">
        <v>800</v>
      </c>
      <c r="H34" s="36">
        <v>30</v>
      </c>
      <c r="I34" s="36">
        <f t="shared" si="0"/>
        <v>770</v>
      </c>
      <c r="J34" s="35" t="s">
        <v>31</v>
      </c>
      <c r="K34" s="35" t="s">
        <v>31</v>
      </c>
      <c r="L34" s="35" t="s">
        <v>3034</v>
      </c>
      <c r="M34" s="35"/>
      <c r="N34" s="35"/>
      <c r="O34" s="35"/>
      <c r="P34" s="35"/>
      <c r="Q34" s="35">
        <v>1</v>
      </c>
    </row>
    <row r="35" spans="1:18" x14ac:dyDescent="0.25">
      <c r="A35" s="35"/>
      <c r="B35" s="35" t="s">
        <v>26</v>
      </c>
      <c r="C35" s="35" t="s">
        <v>3091</v>
      </c>
      <c r="D35" s="35" t="s">
        <v>3092</v>
      </c>
      <c r="E35" s="35" t="s">
        <v>3093</v>
      </c>
      <c r="F35" s="35" t="s">
        <v>58</v>
      </c>
      <c r="G35" s="36">
        <v>940</v>
      </c>
      <c r="H35" s="36">
        <v>20</v>
      </c>
      <c r="I35" s="36">
        <f t="shared" ref="I35:I66" si="2">G35-H35</f>
        <v>920</v>
      </c>
      <c r="J35" s="35" t="s">
        <v>31</v>
      </c>
      <c r="K35" s="35" t="s">
        <v>31</v>
      </c>
      <c r="L35" s="35" t="s">
        <v>3034</v>
      </c>
      <c r="M35" s="35"/>
      <c r="N35" s="35"/>
      <c r="O35" s="35"/>
      <c r="P35" s="35"/>
      <c r="Q35" s="35">
        <v>1</v>
      </c>
    </row>
    <row r="36" spans="1:18" x14ac:dyDescent="0.25">
      <c r="A36" s="35"/>
      <c r="B36" s="35" t="s">
        <v>26</v>
      </c>
      <c r="C36" s="35" t="s">
        <v>3094</v>
      </c>
      <c r="D36" s="35" t="s">
        <v>3095</v>
      </c>
      <c r="E36" s="35" t="s">
        <v>3096</v>
      </c>
      <c r="F36" s="36">
        <v>2</v>
      </c>
      <c r="G36" s="36">
        <v>890</v>
      </c>
      <c r="H36" s="36">
        <v>30</v>
      </c>
      <c r="I36" s="36">
        <f t="shared" si="2"/>
        <v>860</v>
      </c>
      <c r="J36" s="35" t="s">
        <v>31</v>
      </c>
      <c r="K36" s="35" t="s">
        <v>31</v>
      </c>
      <c r="L36" s="35" t="s">
        <v>3034</v>
      </c>
      <c r="M36" s="35"/>
      <c r="N36" s="35"/>
      <c r="O36" s="35"/>
      <c r="P36" s="35"/>
      <c r="Q36" s="35">
        <v>1</v>
      </c>
    </row>
    <row r="37" spans="1:18" x14ac:dyDescent="0.25">
      <c r="A37" s="35"/>
      <c r="B37" s="35" t="s">
        <v>26</v>
      </c>
      <c r="C37" s="35" t="s">
        <v>3117</v>
      </c>
      <c r="D37" s="35" t="s">
        <v>3118</v>
      </c>
      <c r="E37" s="35" t="s">
        <v>3119</v>
      </c>
      <c r="F37" s="35" t="s">
        <v>58</v>
      </c>
      <c r="G37" s="36">
        <v>880</v>
      </c>
      <c r="H37" s="36">
        <v>20</v>
      </c>
      <c r="I37" s="36">
        <f t="shared" si="2"/>
        <v>860</v>
      </c>
      <c r="J37" s="35" t="s">
        <v>31</v>
      </c>
      <c r="K37" s="35" t="s">
        <v>31</v>
      </c>
      <c r="L37" s="35" t="s">
        <v>3034</v>
      </c>
      <c r="M37" s="35"/>
      <c r="N37" s="35"/>
      <c r="O37" s="35"/>
      <c r="P37" s="35"/>
      <c r="Q37" s="35">
        <v>1</v>
      </c>
    </row>
    <row r="38" spans="1:18" x14ac:dyDescent="0.25">
      <c r="A38" s="35"/>
      <c r="B38" s="35" t="s">
        <v>26</v>
      </c>
      <c r="C38" s="35" t="s">
        <v>3120</v>
      </c>
      <c r="D38" s="35" t="s">
        <v>3121</v>
      </c>
      <c r="E38" s="35" t="s">
        <v>3122</v>
      </c>
      <c r="F38" s="35" t="s">
        <v>36</v>
      </c>
      <c r="G38" s="36">
        <v>0</v>
      </c>
      <c r="H38" s="36">
        <v>25</v>
      </c>
      <c r="I38" s="36">
        <f t="shared" si="2"/>
        <v>-25</v>
      </c>
      <c r="J38" s="35" t="s">
        <v>31</v>
      </c>
      <c r="K38" s="35" t="s">
        <v>31</v>
      </c>
      <c r="L38" s="35" t="s">
        <v>3034</v>
      </c>
      <c r="M38" s="35"/>
      <c r="N38" s="35"/>
      <c r="O38" s="35"/>
      <c r="P38" s="35"/>
      <c r="Q38" s="35">
        <v>1</v>
      </c>
      <c r="R38" s="25">
        <f>H38</f>
        <v>25</v>
      </c>
    </row>
    <row r="39" spans="1:18" x14ac:dyDescent="0.25">
      <c r="A39" s="35"/>
      <c r="B39" s="35" t="s">
        <v>26</v>
      </c>
      <c r="C39" s="35" t="s">
        <v>1515</v>
      </c>
      <c r="D39" s="35" t="s">
        <v>3136</v>
      </c>
      <c r="E39" s="35" t="s">
        <v>1774</v>
      </c>
      <c r="F39" s="35" t="s">
        <v>58</v>
      </c>
      <c r="G39" s="36">
        <v>1910</v>
      </c>
      <c r="H39" s="36">
        <v>20</v>
      </c>
      <c r="I39" s="36">
        <f t="shared" si="2"/>
        <v>1890</v>
      </c>
      <c r="J39" s="35" t="s">
        <v>31</v>
      </c>
      <c r="K39" s="35" t="s">
        <v>31</v>
      </c>
      <c r="L39" s="35" t="s">
        <v>3034</v>
      </c>
      <c r="M39" s="35"/>
      <c r="N39" s="35"/>
      <c r="O39" s="35"/>
      <c r="P39" s="35"/>
      <c r="Q39" s="35">
        <v>1</v>
      </c>
    </row>
    <row r="40" spans="1:18" x14ac:dyDescent="0.25">
      <c r="A40" s="35"/>
      <c r="B40" s="35" t="s">
        <v>26</v>
      </c>
      <c r="C40" s="35" t="s">
        <v>3157</v>
      </c>
      <c r="D40" s="35" t="s">
        <v>3158</v>
      </c>
      <c r="E40" s="35" t="s">
        <v>3159</v>
      </c>
      <c r="F40" s="36">
        <v>2</v>
      </c>
      <c r="G40" s="36">
        <v>490</v>
      </c>
      <c r="H40" s="36">
        <v>30</v>
      </c>
      <c r="I40" s="36">
        <f t="shared" si="2"/>
        <v>460</v>
      </c>
      <c r="J40" s="35" t="s">
        <v>31</v>
      </c>
      <c r="K40" s="35" t="s">
        <v>31</v>
      </c>
      <c r="L40" s="35" t="s">
        <v>3034</v>
      </c>
      <c r="M40" s="35"/>
      <c r="N40" s="35"/>
      <c r="O40" s="35"/>
      <c r="P40" s="35"/>
      <c r="Q40" s="35">
        <v>1</v>
      </c>
    </row>
    <row r="41" spans="1:18" x14ac:dyDescent="0.25">
      <c r="A41" s="35"/>
      <c r="B41" s="35" t="s">
        <v>26</v>
      </c>
      <c r="C41" s="35" t="s">
        <v>3163</v>
      </c>
      <c r="D41" s="35" t="s">
        <v>3164</v>
      </c>
      <c r="E41" s="35" t="s">
        <v>913</v>
      </c>
      <c r="F41" s="35" t="s">
        <v>58</v>
      </c>
      <c r="G41" s="36">
        <v>0</v>
      </c>
      <c r="H41" s="36">
        <v>20</v>
      </c>
      <c r="I41" s="36">
        <f t="shared" si="2"/>
        <v>-20</v>
      </c>
      <c r="J41" s="35" t="s">
        <v>31</v>
      </c>
      <c r="K41" s="35" t="s">
        <v>31</v>
      </c>
      <c r="L41" s="35" t="s">
        <v>3034</v>
      </c>
      <c r="M41" s="35"/>
      <c r="N41" s="35"/>
      <c r="O41" s="35"/>
      <c r="P41" s="35"/>
      <c r="Q41" s="35">
        <v>1</v>
      </c>
      <c r="R41" s="25">
        <f>H41</f>
        <v>20</v>
      </c>
    </row>
    <row r="42" spans="1:18" x14ac:dyDescent="0.25">
      <c r="A42" s="35"/>
      <c r="B42" s="35" t="s">
        <v>26</v>
      </c>
      <c r="C42" s="35" t="s">
        <v>3165</v>
      </c>
      <c r="D42" s="35" t="s">
        <v>3166</v>
      </c>
      <c r="E42" s="35" t="s">
        <v>3167</v>
      </c>
      <c r="F42" s="35" t="s">
        <v>58</v>
      </c>
      <c r="G42" s="36">
        <v>1000</v>
      </c>
      <c r="H42" s="36">
        <v>20</v>
      </c>
      <c r="I42" s="36">
        <f t="shared" si="2"/>
        <v>980</v>
      </c>
      <c r="J42" s="35" t="s">
        <v>31</v>
      </c>
      <c r="K42" s="35" t="s">
        <v>31</v>
      </c>
      <c r="L42" s="35" t="s">
        <v>3034</v>
      </c>
      <c r="M42" s="35"/>
      <c r="N42" s="35"/>
      <c r="O42" s="35"/>
      <c r="P42" s="35"/>
      <c r="Q42" s="35">
        <v>1</v>
      </c>
    </row>
    <row r="43" spans="1:18" x14ac:dyDescent="0.25">
      <c r="A43" s="35"/>
      <c r="B43" s="35" t="s">
        <v>26</v>
      </c>
      <c r="C43" s="35" t="s">
        <v>2901</v>
      </c>
      <c r="D43" s="35" t="s">
        <v>3178</v>
      </c>
      <c r="E43" s="35" t="s">
        <v>606</v>
      </c>
      <c r="F43" s="36">
        <v>12</v>
      </c>
      <c r="G43" s="36">
        <v>0</v>
      </c>
      <c r="H43" s="36">
        <v>30</v>
      </c>
      <c r="I43" s="36">
        <f t="shared" si="2"/>
        <v>-30</v>
      </c>
      <c r="J43" s="35" t="s">
        <v>31</v>
      </c>
      <c r="K43" s="35" t="s">
        <v>31</v>
      </c>
      <c r="L43" s="35" t="s">
        <v>3034</v>
      </c>
      <c r="M43" s="35"/>
      <c r="N43" s="35"/>
      <c r="O43" s="35"/>
      <c r="P43" s="35"/>
      <c r="Q43" s="35">
        <v>1</v>
      </c>
      <c r="R43" s="25">
        <f>H43</f>
        <v>30</v>
      </c>
    </row>
    <row r="44" spans="1:18" x14ac:dyDescent="0.25">
      <c r="A44" s="35"/>
      <c r="B44" s="35" t="s">
        <v>26</v>
      </c>
      <c r="C44" s="35" t="s">
        <v>3182</v>
      </c>
      <c r="D44" s="35" t="s">
        <v>3183</v>
      </c>
      <c r="E44" s="35" t="s">
        <v>3184</v>
      </c>
      <c r="F44" s="35" t="s">
        <v>36</v>
      </c>
      <c r="G44" s="36">
        <v>445</v>
      </c>
      <c r="H44" s="36">
        <v>25</v>
      </c>
      <c r="I44" s="36">
        <f t="shared" si="2"/>
        <v>420</v>
      </c>
      <c r="J44" s="35" t="s">
        <v>31</v>
      </c>
      <c r="K44" s="35" t="s">
        <v>31</v>
      </c>
      <c r="L44" s="35" t="s">
        <v>3034</v>
      </c>
      <c r="M44" s="35"/>
      <c r="N44" s="35"/>
      <c r="O44" s="35"/>
      <c r="P44" s="35"/>
      <c r="Q44" s="35">
        <v>1</v>
      </c>
    </row>
    <row r="45" spans="1:18" x14ac:dyDescent="0.25">
      <c r="A45" s="35"/>
      <c r="B45" s="35" t="s">
        <v>26</v>
      </c>
      <c r="C45" s="35" t="s">
        <v>3185</v>
      </c>
      <c r="D45" s="35" t="s">
        <v>3186</v>
      </c>
      <c r="E45" s="35" t="s">
        <v>3187</v>
      </c>
      <c r="F45" s="35" t="s">
        <v>128</v>
      </c>
      <c r="G45" s="36">
        <v>2070</v>
      </c>
      <c r="H45" s="36">
        <v>35</v>
      </c>
      <c r="I45" s="36">
        <f t="shared" si="2"/>
        <v>2035</v>
      </c>
      <c r="J45" s="35" t="s">
        <v>31</v>
      </c>
      <c r="K45" s="35" t="s">
        <v>31</v>
      </c>
      <c r="L45" s="35" t="s">
        <v>3034</v>
      </c>
      <c r="M45" s="38" t="s">
        <v>59</v>
      </c>
      <c r="N45" s="35"/>
      <c r="O45" s="35"/>
      <c r="P45" s="35"/>
      <c r="Q45" s="35">
        <v>1</v>
      </c>
      <c r="R45" s="25">
        <f>H45</f>
        <v>35</v>
      </c>
    </row>
    <row r="46" spans="1:18" x14ac:dyDescent="0.25">
      <c r="A46" s="35"/>
      <c r="B46" s="35" t="s">
        <v>26</v>
      </c>
      <c r="C46" s="35" t="s">
        <v>3188</v>
      </c>
      <c r="D46" s="35" t="s">
        <v>3189</v>
      </c>
      <c r="E46" s="35" t="s">
        <v>3190</v>
      </c>
      <c r="F46" s="35" t="s">
        <v>128</v>
      </c>
      <c r="G46" s="36">
        <v>960</v>
      </c>
      <c r="H46" s="36">
        <v>30</v>
      </c>
      <c r="I46" s="36">
        <f t="shared" si="2"/>
        <v>930</v>
      </c>
      <c r="J46" s="35" t="s">
        <v>31</v>
      </c>
      <c r="K46" s="35" t="s">
        <v>31</v>
      </c>
      <c r="L46" s="35" t="s">
        <v>3034</v>
      </c>
      <c r="M46" s="35"/>
      <c r="N46" s="35"/>
      <c r="O46" s="35"/>
      <c r="P46" s="35"/>
      <c r="Q46" s="35">
        <v>1</v>
      </c>
    </row>
    <row r="47" spans="1:18" x14ac:dyDescent="0.25">
      <c r="A47" s="35" t="s">
        <v>66</v>
      </c>
      <c r="B47" s="35" t="s">
        <v>26</v>
      </c>
      <c r="C47" s="35" t="s">
        <v>1537</v>
      </c>
      <c r="D47" s="35"/>
      <c r="E47" s="35" t="s">
        <v>1313</v>
      </c>
      <c r="F47" s="35" t="s">
        <v>101</v>
      </c>
      <c r="G47" s="36">
        <v>0</v>
      </c>
      <c r="H47" s="36">
        <v>35</v>
      </c>
      <c r="I47" s="36">
        <f t="shared" si="2"/>
        <v>-35</v>
      </c>
      <c r="J47" s="35" t="s">
        <v>41</v>
      </c>
      <c r="K47" s="35" t="s">
        <v>31</v>
      </c>
      <c r="L47" s="35" t="s">
        <v>3034</v>
      </c>
      <c r="M47" s="35"/>
      <c r="N47" s="35"/>
      <c r="O47" s="35"/>
      <c r="P47" s="35"/>
      <c r="Q47" s="35">
        <v>1</v>
      </c>
      <c r="R47" s="25">
        <f>H47</f>
        <v>35</v>
      </c>
    </row>
    <row r="48" spans="1:18" x14ac:dyDescent="0.25">
      <c r="A48" s="35" t="s">
        <v>66</v>
      </c>
      <c r="B48" s="35" t="s">
        <v>26</v>
      </c>
      <c r="C48" s="35" t="s">
        <v>3038</v>
      </c>
      <c r="D48" s="35"/>
      <c r="E48" s="35" t="s">
        <v>3039</v>
      </c>
      <c r="F48" s="36">
        <v>4</v>
      </c>
      <c r="G48" s="36">
        <v>1555</v>
      </c>
      <c r="H48" s="36">
        <v>35</v>
      </c>
      <c r="I48" s="36">
        <f t="shared" si="2"/>
        <v>1520</v>
      </c>
      <c r="J48" s="35" t="s">
        <v>41</v>
      </c>
      <c r="K48" s="35" t="s">
        <v>31</v>
      </c>
      <c r="L48" s="35" t="s">
        <v>3034</v>
      </c>
      <c r="M48" s="35"/>
      <c r="N48" s="35"/>
      <c r="O48" s="35"/>
      <c r="P48" s="35"/>
      <c r="Q48" s="35">
        <v>1</v>
      </c>
    </row>
    <row r="49" spans="1:18" x14ac:dyDescent="0.25">
      <c r="A49" s="35" t="s">
        <v>66</v>
      </c>
      <c r="B49" s="35" t="s">
        <v>26</v>
      </c>
      <c r="C49" s="35" t="s">
        <v>3040</v>
      </c>
      <c r="D49" s="35"/>
      <c r="E49" s="35" t="s">
        <v>3041</v>
      </c>
      <c r="F49" s="35" t="s">
        <v>101</v>
      </c>
      <c r="G49" s="36">
        <v>600</v>
      </c>
      <c r="H49" s="36">
        <v>30</v>
      </c>
      <c r="I49" s="36">
        <f t="shared" si="2"/>
        <v>570</v>
      </c>
      <c r="J49" s="35" t="s">
        <v>41</v>
      </c>
      <c r="K49" s="35" t="s">
        <v>31</v>
      </c>
      <c r="L49" s="35" t="s">
        <v>3034</v>
      </c>
      <c r="M49" s="35"/>
      <c r="N49" s="35"/>
      <c r="O49" s="35"/>
      <c r="P49" s="35"/>
      <c r="Q49" s="35">
        <v>1</v>
      </c>
    </row>
    <row r="50" spans="1:18" x14ac:dyDescent="0.25">
      <c r="A50" s="35"/>
      <c r="B50" s="35" t="s">
        <v>26</v>
      </c>
      <c r="C50" s="35" t="s">
        <v>3069</v>
      </c>
      <c r="D50" s="35" t="s">
        <v>3070</v>
      </c>
      <c r="E50" s="35" t="s">
        <v>3071</v>
      </c>
      <c r="F50" s="36">
        <v>4</v>
      </c>
      <c r="G50" s="36">
        <v>945</v>
      </c>
      <c r="H50" s="36">
        <v>25</v>
      </c>
      <c r="I50" s="36">
        <f t="shared" si="2"/>
        <v>920</v>
      </c>
      <c r="J50" s="35" t="s">
        <v>41</v>
      </c>
      <c r="K50" s="35" t="s">
        <v>31</v>
      </c>
      <c r="L50" s="35" t="s">
        <v>3034</v>
      </c>
      <c r="M50" s="35"/>
      <c r="N50" s="35"/>
      <c r="O50" s="35"/>
      <c r="P50" s="35"/>
      <c r="Q50" s="35">
        <v>1</v>
      </c>
    </row>
    <row r="51" spans="1:18" x14ac:dyDescent="0.25">
      <c r="A51" s="35"/>
      <c r="B51" s="35" t="s">
        <v>26</v>
      </c>
      <c r="C51" s="35" t="s">
        <v>1338</v>
      </c>
      <c r="D51" s="35" t="s">
        <v>3090</v>
      </c>
      <c r="E51" s="35" t="s">
        <v>1340</v>
      </c>
      <c r="F51" s="36">
        <v>10</v>
      </c>
      <c r="G51" s="36">
        <v>945</v>
      </c>
      <c r="H51" s="36">
        <v>25</v>
      </c>
      <c r="I51" s="36">
        <f t="shared" si="2"/>
        <v>920</v>
      </c>
      <c r="J51" s="35" t="s">
        <v>41</v>
      </c>
      <c r="K51" s="35" t="s">
        <v>31</v>
      </c>
      <c r="L51" s="35" t="s">
        <v>3034</v>
      </c>
      <c r="M51" s="35"/>
      <c r="N51" s="35"/>
      <c r="O51" s="35"/>
      <c r="P51" s="35"/>
      <c r="Q51" s="35">
        <v>1</v>
      </c>
    </row>
    <row r="52" spans="1:18" x14ac:dyDescent="0.25">
      <c r="A52" s="35"/>
      <c r="B52" s="35" t="s">
        <v>26</v>
      </c>
      <c r="C52" s="35" t="s">
        <v>3103</v>
      </c>
      <c r="D52" s="35" t="s">
        <v>3104</v>
      </c>
      <c r="E52" s="35" t="s">
        <v>3105</v>
      </c>
      <c r="F52" s="36">
        <v>5</v>
      </c>
      <c r="G52" s="36">
        <v>945</v>
      </c>
      <c r="H52" s="36">
        <v>25</v>
      </c>
      <c r="I52" s="36">
        <f t="shared" si="2"/>
        <v>920</v>
      </c>
      <c r="J52" s="35" t="s">
        <v>41</v>
      </c>
      <c r="K52" s="35" t="s">
        <v>31</v>
      </c>
      <c r="L52" s="35" t="s">
        <v>3034</v>
      </c>
      <c r="M52" s="35"/>
      <c r="N52" s="35"/>
      <c r="O52" s="35"/>
      <c r="P52" s="35"/>
      <c r="Q52" s="35">
        <v>1</v>
      </c>
    </row>
    <row r="53" spans="1:18" x14ac:dyDescent="0.25">
      <c r="A53" s="35"/>
      <c r="B53" s="35" t="s">
        <v>26</v>
      </c>
      <c r="C53" s="35" t="s">
        <v>1812</v>
      </c>
      <c r="D53" s="35" t="s">
        <v>3106</v>
      </c>
      <c r="E53" s="35" t="s">
        <v>3107</v>
      </c>
      <c r="F53" s="36">
        <v>1</v>
      </c>
      <c r="G53" s="36">
        <v>1375</v>
      </c>
      <c r="H53" s="36">
        <v>25</v>
      </c>
      <c r="I53" s="36">
        <f t="shared" si="2"/>
        <v>1350</v>
      </c>
      <c r="J53" s="35" t="s">
        <v>41</v>
      </c>
      <c r="K53" s="35" t="s">
        <v>31</v>
      </c>
      <c r="L53" s="35" t="s">
        <v>3034</v>
      </c>
      <c r="M53" s="35"/>
      <c r="N53" s="35"/>
      <c r="O53" s="35"/>
      <c r="P53" s="35"/>
      <c r="Q53" s="35">
        <v>1</v>
      </c>
    </row>
    <row r="54" spans="1:18" x14ac:dyDescent="0.25">
      <c r="A54" s="35"/>
      <c r="B54" s="35" t="s">
        <v>26</v>
      </c>
      <c r="C54" s="35" t="s">
        <v>3108</v>
      </c>
      <c r="D54" s="35" t="s">
        <v>3109</v>
      </c>
      <c r="E54" s="35" t="s">
        <v>3110</v>
      </c>
      <c r="F54" s="36">
        <v>3</v>
      </c>
      <c r="G54" s="36">
        <v>0</v>
      </c>
      <c r="H54" s="36">
        <v>25</v>
      </c>
      <c r="I54" s="36">
        <f t="shared" si="2"/>
        <v>-25</v>
      </c>
      <c r="J54" s="35" t="s">
        <v>41</v>
      </c>
      <c r="K54" s="35" t="s">
        <v>31</v>
      </c>
      <c r="L54" s="35" t="s">
        <v>3034</v>
      </c>
      <c r="M54" s="35"/>
      <c r="N54" s="35"/>
      <c r="O54" s="35"/>
      <c r="P54" s="35"/>
      <c r="Q54" s="35">
        <v>1</v>
      </c>
      <c r="R54" s="25">
        <f t="shared" ref="R54:R55" si="3">H54</f>
        <v>25</v>
      </c>
    </row>
    <row r="55" spans="1:18" x14ac:dyDescent="0.25">
      <c r="A55" s="35"/>
      <c r="B55" s="35" t="s">
        <v>26</v>
      </c>
      <c r="C55" s="35" t="s">
        <v>3114</v>
      </c>
      <c r="D55" s="35" t="s">
        <v>3115</v>
      </c>
      <c r="E55" s="35" t="s">
        <v>3116</v>
      </c>
      <c r="F55" s="36">
        <v>1</v>
      </c>
      <c r="G55" s="36">
        <v>0</v>
      </c>
      <c r="H55" s="36">
        <v>25</v>
      </c>
      <c r="I55" s="36">
        <f t="shared" si="2"/>
        <v>-25</v>
      </c>
      <c r="J55" s="35" t="s">
        <v>41</v>
      </c>
      <c r="K55" s="35" t="s">
        <v>31</v>
      </c>
      <c r="L55" s="35" t="s">
        <v>3034</v>
      </c>
      <c r="M55" s="35"/>
      <c r="N55" s="35"/>
      <c r="O55" s="35"/>
      <c r="P55" s="35"/>
      <c r="Q55" s="35">
        <v>1</v>
      </c>
      <c r="R55" s="25">
        <f t="shared" si="3"/>
        <v>25</v>
      </c>
    </row>
    <row r="56" spans="1:18" x14ac:dyDescent="0.25">
      <c r="A56" s="35"/>
      <c r="B56" s="35" t="s">
        <v>26</v>
      </c>
      <c r="C56" s="35" t="s">
        <v>3126</v>
      </c>
      <c r="D56" s="35" t="s">
        <v>3127</v>
      </c>
      <c r="E56" s="35" t="s">
        <v>3128</v>
      </c>
      <c r="F56" s="36">
        <v>5</v>
      </c>
      <c r="G56" s="36">
        <v>795</v>
      </c>
      <c r="H56" s="36">
        <v>25</v>
      </c>
      <c r="I56" s="36">
        <f t="shared" si="2"/>
        <v>770</v>
      </c>
      <c r="J56" s="35" t="s">
        <v>41</v>
      </c>
      <c r="K56" s="35" t="s">
        <v>31</v>
      </c>
      <c r="L56" s="35" t="s">
        <v>3034</v>
      </c>
      <c r="M56" s="35"/>
      <c r="N56" s="35"/>
      <c r="O56" s="35"/>
      <c r="P56" s="35"/>
      <c r="Q56" s="35">
        <v>1</v>
      </c>
    </row>
    <row r="57" spans="1:18" x14ac:dyDescent="0.25">
      <c r="A57" s="35"/>
      <c r="B57" s="35" t="s">
        <v>26</v>
      </c>
      <c r="C57" s="35" t="s">
        <v>1496</v>
      </c>
      <c r="D57" s="35" t="s">
        <v>3129</v>
      </c>
      <c r="E57" s="35" t="s">
        <v>1498</v>
      </c>
      <c r="F57" s="36">
        <v>1</v>
      </c>
      <c r="G57" s="36">
        <v>0</v>
      </c>
      <c r="H57" s="36">
        <v>25</v>
      </c>
      <c r="I57" s="36">
        <f t="shared" si="2"/>
        <v>-25</v>
      </c>
      <c r="J57" s="35" t="s">
        <v>41</v>
      </c>
      <c r="K57" s="35" t="s">
        <v>31</v>
      </c>
      <c r="L57" s="35" t="s">
        <v>3034</v>
      </c>
      <c r="M57" s="35"/>
      <c r="N57" s="35"/>
      <c r="O57" s="35"/>
      <c r="P57" s="35"/>
      <c r="Q57" s="35">
        <v>1</v>
      </c>
      <c r="R57" s="25">
        <f>H57</f>
        <v>25</v>
      </c>
    </row>
    <row r="58" spans="1:18" x14ac:dyDescent="0.25">
      <c r="A58" s="35"/>
      <c r="B58" s="35" t="s">
        <v>26</v>
      </c>
      <c r="C58" s="35" t="s">
        <v>3130</v>
      </c>
      <c r="D58" s="35" t="s">
        <v>3131</v>
      </c>
      <c r="E58" s="35" t="s">
        <v>3132</v>
      </c>
      <c r="F58" s="36">
        <v>10</v>
      </c>
      <c r="G58" s="36">
        <v>705</v>
      </c>
      <c r="H58" s="36">
        <v>25</v>
      </c>
      <c r="I58" s="36">
        <f t="shared" si="2"/>
        <v>680</v>
      </c>
      <c r="J58" s="35" t="s">
        <v>41</v>
      </c>
      <c r="K58" s="35" t="s">
        <v>31</v>
      </c>
      <c r="L58" s="35" t="s">
        <v>3034</v>
      </c>
      <c r="M58" s="35"/>
      <c r="N58" s="35"/>
      <c r="O58" s="35"/>
      <c r="P58" s="35"/>
      <c r="Q58" s="35">
        <v>1</v>
      </c>
    </row>
    <row r="59" spans="1:18" x14ac:dyDescent="0.25">
      <c r="A59" s="35"/>
      <c r="B59" s="35" t="s">
        <v>26</v>
      </c>
      <c r="C59" s="35" t="s">
        <v>3137</v>
      </c>
      <c r="D59" s="35" t="s">
        <v>3138</v>
      </c>
      <c r="E59" s="35" t="s">
        <v>3139</v>
      </c>
      <c r="F59" s="36">
        <v>4</v>
      </c>
      <c r="G59" s="36">
        <v>0</v>
      </c>
      <c r="H59" s="36">
        <v>25</v>
      </c>
      <c r="I59" s="36">
        <f t="shared" si="2"/>
        <v>-25</v>
      </c>
      <c r="J59" s="35" t="s">
        <v>41</v>
      </c>
      <c r="K59" s="35" t="s">
        <v>31</v>
      </c>
      <c r="L59" s="35" t="s">
        <v>3034</v>
      </c>
      <c r="M59" s="38" t="s">
        <v>3140</v>
      </c>
      <c r="N59" s="35"/>
      <c r="O59" s="35"/>
      <c r="P59" s="35"/>
      <c r="Q59" s="35">
        <v>1</v>
      </c>
      <c r="R59" s="25">
        <f>H59</f>
        <v>25</v>
      </c>
    </row>
    <row r="60" spans="1:18" x14ac:dyDescent="0.25">
      <c r="A60" s="35"/>
      <c r="B60" s="35" t="s">
        <v>26</v>
      </c>
      <c r="C60" s="35" t="s">
        <v>3141</v>
      </c>
      <c r="D60" s="35" t="s">
        <v>3142</v>
      </c>
      <c r="E60" s="35" t="s">
        <v>3143</v>
      </c>
      <c r="F60" s="36">
        <v>1</v>
      </c>
      <c r="G60" s="36">
        <v>945</v>
      </c>
      <c r="H60" s="36">
        <v>25</v>
      </c>
      <c r="I60" s="36">
        <f t="shared" si="2"/>
        <v>920</v>
      </c>
      <c r="J60" s="35" t="s">
        <v>41</v>
      </c>
      <c r="K60" s="35" t="s">
        <v>31</v>
      </c>
      <c r="L60" s="35" t="s">
        <v>3034</v>
      </c>
      <c r="M60" s="35"/>
      <c r="N60" s="35"/>
      <c r="O60" s="35"/>
      <c r="P60" s="35"/>
      <c r="Q60" s="35">
        <v>1</v>
      </c>
    </row>
    <row r="61" spans="1:18" x14ac:dyDescent="0.25">
      <c r="A61" s="35"/>
      <c r="B61" s="35" t="s">
        <v>26</v>
      </c>
      <c r="C61" s="35" t="s">
        <v>1679</v>
      </c>
      <c r="D61" s="35" t="s">
        <v>3144</v>
      </c>
      <c r="E61" s="35" t="s">
        <v>1681</v>
      </c>
      <c r="F61" s="35" t="s">
        <v>101</v>
      </c>
      <c r="G61" s="36">
        <v>945</v>
      </c>
      <c r="H61" s="36">
        <v>25</v>
      </c>
      <c r="I61" s="36">
        <f t="shared" si="2"/>
        <v>920</v>
      </c>
      <c r="J61" s="35" t="s">
        <v>41</v>
      </c>
      <c r="K61" s="35" t="s">
        <v>31</v>
      </c>
      <c r="L61" s="35" t="s">
        <v>3034</v>
      </c>
      <c r="M61" s="35"/>
      <c r="N61" s="35"/>
      <c r="O61" s="35"/>
      <c r="P61" s="35"/>
      <c r="Q61" s="35">
        <v>1</v>
      </c>
    </row>
    <row r="62" spans="1:18" x14ac:dyDescent="0.25">
      <c r="A62" s="35"/>
      <c r="B62" s="35" t="s">
        <v>26</v>
      </c>
      <c r="C62" s="35" t="s">
        <v>3148</v>
      </c>
      <c r="D62" s="35" t="s">
        <v>3149</v>
      </c>
      <c r="E62" s="35" t="s">
        <v>3150</v>
      </c>
      <c r="F62" s="36">
        <v>10</v>
      </c>
      <c r="G62" s="36">
        <v>955</v>
      </c>
      <c r="H62" s="36">
        <v>25</v>
      </c>
      <c r="I62" s="36">
        <f t="shared" si="2"/>
        <v>930</v>
      </c>
      <c r="J62" s="35" t="s">
        <v>41</v>
      </c>
      <c r="K62" s="35" t="s">
        <v>31</v>
      </c>
      <c r="L62" s="35" t="s">
        <v>3034</v>
      </c>
      <c r="M62" s="35"/>
      <c r="N62" s="35"/>
      <c r="O62" s="35"/>
      <c r="P62" s="35"/>
      <c r="Q62" s="35">
        <v>1</v>
      </c>
    </row>
    <row r="63" spans="1:18" x14ac:dyDescent="0.25">
      <c r="A63" s="35"/>
      <c r="B63" s="35" t="s">
        <v>26</v>
      </c>
      <c r="C63" s="35" t="s">
        <v>3151</v>
      </c>
      <c r="D63" s="35" t="s">
        <v>3152</v>
      </c>
      <c r="E63" s="35" t="s">
        <v>3153</v>
      </c>
      <c r="F63" s="36">
        <v>3</v>
      </c>
      <c r="G63" s="36">
        <v>0</v>
      </c>
      <c r="H63" s="36">
        <v>25</v>
      </c>
      <c r="I63" s="36">
        <f t="shared" si="2"/>
        <v>-25</v>
      </c>
      <c r="J63" s="35" t="s">
        <v>41</v>
      </c>
      <c r="K63" s="35" t="s">
        <v>31</v>
      </c>
      <c r="L63" s="35" t="s">
        <v>3034</v>
      </c>
      <c r="M63" s="35"/>
      <c r="N63" s="35"/>
      <c r="O63" s="35"/>
      <c r="P63" s="35"/>
      <c r="Q63" s="35">
        <v>1</v>
      </c>
      <c r="R63" s="25">
        <f>H63</f>
        <v>25</v>
      </c>
    </row>
    <row r="64" spans="1:18" x14ac:dyDescent="0.25">
      <c r="A64" s="35"/>
      <c r="B64" s="35" t="s">
        <v>26</v>
      </c>
      <c r="C64" s="35" t="s">
        <v>3154</v>
      </c>
      <c r="D64" s="35" t="s">
        <v>3155</v>
      </c>
      <c r="E64" s="35" t="s">
        <v>3156</v>
      </c>
      <c r="F64" s="36">
        <v>10</v>
      </c>
      <c r="G64" s="36">
        <v>3660</v>
      </c>
      <c r="H64" s="36">
        <v>35</v>
      </c>
      <c r="I64" s="36">
        <f t="shared" si="2"/>
        <v>3625</v>
      </c>
      <c r="J64" s="35" t="s">
        <v>41</v>
      </c>
      <c r="K64" s="35" t="s">
        <v>31</v>
      </c>
      <c r="L64" s="35" t="s">
        <v>3034</v>
      </c>
      <c r="M64" s="38" t="s">
        <v>59</v>
      </c>
      <c r="N64" s="35"/>
      <c r="O64" s="35"/>
      <c r="P64" s="35"/>
      <c r="Q64" s="35">
        <v>1</v>
      </c>
      <c r="R64" s="25">
        <f>H64</f>
        <v>35</v>
      </c>
    </row>
    <row r="65" spans="1:18" x14ac:dyDescent="0.25">
      <c r="A65" s="35"/>
      <c r="B65" s="35" t="s">
        <v>26</v>
      </c>
      <c r="C65" s="35" t="s">
        <v>3160</v>
      </c>
      <c r="D65" s="35" t="s">
        <v>3161</v>
      </c>
      <c r="E65" s="35" t="s">
        <v>3162</v>
      </c>
      <c r="F65" s="36">
        <v>10</v>
      </c>
      <c r="G65" s="36">
        <v>1335</v>
      </c>
      <c r="H65" s="36">
        <v>25</v>
      </c>
      <c r="I65" s="36">
        <f t="shared" si="2"/>
        <v>1310</v>
      </c>
      <c r="J65" s="35" t="s">
        <v>41</v>
      </c>
      <c r="K65" s="35" t="s">
        <v>31</v>
      </c>
      <c r="L65" s="35" t="s">
        <v>3034</v>
      </c>
      <c r="M65" s="35"/>
      <c r="N65" s="35"/>
      <c r="O65" s="35"/>
      <c r="P65" s="35"/>
      <c r="Q65" s="35">
        <v>1</v>
      </c>
    </row>
    <row r="66" spans="1:18" x14ac:dyDescent="0.25">
      <c r="A66" s="35"/>
      <c r="B66" s="35" t="s">
        <v>26</v>
      </c>
      <c r="C66" s="35" t="s">
        <v>3168</v>
      </c>
      <c r="D66" s="35" t="s">
        <v>3169</v>
      </c>
      <c r="E66" s="35" t="s">
        <v>3170</v>
      </c>
      <c r="F66" s="36">
        <v>4</v>
      </c>
      <c r="G66" s="36">
        <v>1785</v>
      </c>
      <c r="H66" s="36">
        <v>25</v>
      </c>
      <c r="I66" s="36">
        <f t="shared" si="2"/>
        <v>1760</v>
      </c>
      <c r="J66" s="35" t="s">
        <v>41</v>
      </c>
      <c r="K66" s="35" t="s">
        <v>31</v>
      </c>
      <c r="L66" s="35" t="s">
        <v>3034</v>
      </c>
      <c r="M66" s="35"/>
      <c r="N66" s="35"/>
      <c r="O66" s="35"/>
      <c r="P66" s="35"/>
      <c r="Q66" s="35">
        <v>1</v>
      </c>
    </row>
    <row r="67" spans="1:18" x14ac:dyDescent="0.25">
      <c r="A67" s="35"/>
      <c r="B67" s="35" t="s">
        <v>26</v>
      </c>
      <c r="C67" s="35" t="s">
        <v>3172</v>
      </c>
      <c r="D67" s="35" t="s">
        <v>3173</v>
      </c>
      <c r="E67" s="35" t="s">
        <v>3174</v>
      </c>
      <c r="F67" s="36">
        <v>5</v>
      </c>
      <c r="G67" s="36">
        <v>0</v>
      </c>
      <c r="H67" s="36">
        <v>25</v>
      </c>
      <c r="I67" s="36">
        <f t="shared" ref="I67:I70" si="4">G67-H67</f>
        <v>-25</v>
      </c>
      <c r="J67" s="35" t="s">
        <v>41</v>
      </c>
      <c r="K67" s="35" t="s">
        <v>31</v>
      </c>
      <c r="L67" s="35" t="s">
        <v>3034</v>
      </c>
      <c r="M67" s="35"/>
      <c r="N67" s="35"/>
      <c r="O67" s="35"/>
      <c r="P67" s="35"/>
      <c r="Q67" s="35">
        <v>1</v>
      </c>
      <c r="R67" s="25">
        <f>H67</f>
        <v>25</v>
      </c>
    </row>
    <row r="68" spans="1:18" x14ac:dyDescent="0.25">
      <c r="A68" s="35"/>
      <c r="B68" s="35" t="s">
        <v>26</v>
      </c>
      <c r="C68" s="35" t="s">
        <v>3194</v>
      </c>
      <c r="D68" s="35" t="s">
        <v>3195</v>
      </c>
      <c r="E68" s="35" t="s">
        <v>3196</v>
      </c>
      <c r="F68" s="36">
        <v>5</v>
      </c>
      <c r="G68" s="36">
        <v>795</v>
      </c>
      <c r="H68" s="36">
        <v>25</v>
      </c>
      <c r="I68" s="36">
        <f t="shared" si="4"/>
        <v>770</v>
      </c>
      <c r="J68" s="35" t="s">
        <v>41</v>
      </c>
      <c r="K68" s="35" t="s">
        <v>31</v>
      </c>
      <c r="L68" s="35" t="s">
        <v>3034</v>
      </c>
      <c r="M68" s="35"/>
      <c r="N68" s="35"/>
      <c r="O68" s="35"/>
      <c r="P68" s="35"/>
      <c r="Q68" s="35">
        <v>1</v>
      </c>
    </row>
    <row r="69" spans="1:18" s="30" customFormat="1" x14ac:dyDescent="0.25">
      <c r="A69" s="37" t="s">
        <v>66</v>
      </c>
      <c r="B69" s="37" t="s">
        <v>26</v>
      </c>
      <c r="C69" s="37" t="s">
        <v>2959</v>
      </c>
      <c r="D69" s="37"/>
      <c r="E69" s="37" t="s">
        <v>2960</v>
      </c>
      <c r="F69" s="37" t="s">
        <v>101</v>
      </c>
      <c r="G69" s="43">
        <v>810</v>
      </c>
      <c r="H69" s="43">
        <v>0</v>
      </c>
      <c r="I69" s="43">
        <f t="shared" si="4"/>
        <v>810</v>
      </c>
      <c r="J69" s="37" t="s">
        <v>118</v>
      </c>
      <c r="K69" s="37" t="s">
        <v>31</v>
      </c>
      <c r="L69" s="37" t="s">
        <v>2860</v>
      </c>
      <c r="M69" s="37" t="s">
        <v>94</v>
      </c>
      <c r="N69" s="37" t="s">
        <v>316</v>
      </c>
      <c r="O69" s="37" t="s">
        <v>316</v>
      </c>
      <c r="P69" s="37" t="s">
        <v>317</v>
      </c>
      <c r="Q69" s="37">
        <v>1</v>
      </c>
    </row>
    <row r="70" spans="1:18" s="30" customFormat="1" x14ac:dyDescent="0.25">
      <c r="A70" s="37"/>
      <c r="B70" s="37" t="s">
        <v>26</v>
      </c>
      <c r="C70" s="37" t="s">
        <v>2791</v>
      </c>
      <c r="D70" s="37" t="s">
        <v>2792</v>
      </c>
      <c r="E70" s="37" t="s">
        <v>2793</v>
      </c>
      <c r="F70" s="43">
        <v>10</v>
      </c>
      <c r="G70" s="43">
        <v>705</v>
      </c>
      <c r="H70" s="43">
        <v>25</v>
      </c>
      <c r="I70" s="43">
        <f t="shared" si="4"/>
        <v>680</v>
      </c>
      <c r="J70" s="37" t="s">
        <v>118</v>
      </c>
      <c r="K70" s="37" t="s">
        <v>31</v>
      </c>
      <c r="L70" s="37" t="s">
        <v>2739</v>
      </c>
      <c r="M70" s="37" t="s">
        <v>91</v>
      </c>
      <c r="N70" s="37" t="s">
        <v>316</v>
      </c>
      <c r="O70" s="37" t="s">
        <v>316</v>
      </c>
      <c r="P70" s="37" t="s">
        <v>317</v>
      </c>
      <c r="Q70" s="37">
        <v>1</v>
      </c>
    </row>
    <row r="72" spans="1:18" x14ac:dyDescent="0.25">
      <c r="D72" s="26">
        <f>COUNTA(D3:D70)</f>
        <v>60</v>
      </c>
      <c r="G72" s="26">
        <f t="shared" ref="G72:Q72" si="5">SUBTOTAL(9,G3:G70)</f>
        <v>62735</v>
      </c>
      <c r="H72" s="26">
        <f t="shared" si="5"/>
        <v>1830</v>
      </c>
      <c r="I72" s="26">
        <f t="shared" si="5"/>
        <v>60905</v>
      </c>
      <c r="J72" s="26">
        <f t="shared" si="5"/>
        <v>0</v>
      </c>
      <c r="K72" s="26">
        <f t="shared" si="5"/>
        <v>0</v>
      </c>
      <c r="L72" s="26">
        <f t="shared" si="5"/>
        <v>0</v>
      </c>
      <c r="M72" s="26">
        <f t="shared" si="5"/>
        <v>0</v>
      </c>
      <c r="N72" s="26">
        <f t="shared" si="5"/>
        <v>0</v>
      </c>
      <c r="O72" s="26">
        <f t="shared" si="5"/>
        <v>0</v>
      </c>
      <c r="P72" s="26">
        <f t="shared" si="5"/>
        <v>0</v>
      </c>
      <c r="Q72" s="26">
        <f t="shared" si="5"/>
        <v>68</v>
      </c>
    </row>
    <row r="73" spans="1:18" x14ac:dyDescent="0.25">
      <c r="H73" s="24">
        <f>-10*17</f>
        <v>-170</v>
      </c>
    </row>
    <row r="74" spans="1:18" x14ac:dyDescent="0.25">
      <c r="A74" s="26" t="s">
        <v>26</v>
      </c>
      <c r="C74" s="80" t="s">
        <v>78</v>
      </c>
      <c r="D74" s="80"/>
      <c r="E74" s="27" t="s">
        <v>79</v>
      </c>
      <c r="H74" s="24">
        <f>-5*25</f>
        <v>-125</v>
      </c>
      <c r="K74" s="28" t="s">
        <v>31</v>
      </c>
      <c r="L74" s="28" t="s">
        <v>80</v>
      </c>
      <c r="M74" s="28" t="s">
        <v>79</v>
      </c>
      <c r="O74" s="27" t="s">
        <v>81</v>
      </c>
    </row>
    <row r="75" spans="1:18" x14ac:dyDescent="0.25">
      <c r="A75" s="24" t="s">
        <v>3034</v>
      </c>
      <c r="B75" s="29" t="s">
        <v>82</v>
      </c>
      <c r="C75" s="81">
        <f>SUMIFS(I$3:I$70,B$3:B$70,A$74,L$3:L$70,A$75)</f>
        <v>59415</v>
      </c>
      <c r="D75" s="81"/>
      <c r="E75" s="29">
        <f>SUMIFS(Q$3:Q$70,B$3:B$70,A$74,L$3:L$70,A$75)</f>
        <v>66</v>
      </c>
      <c r="F75" s="24" t="s">
        <v>83</v>
      </c>
      <c r="H75" s="24">
        <f>-4*30</f>
        <v>-120</v>
      </c>
      <c r="K75" s="24" t="s">
        <v>84</v>
      </c>
      <c r="L75" s="24">
        <f>SUMIFS(G$3:G$70,J$3:J$70,K$74)</f>
        <v>25555</v>
      </c>
      <c r="M75" s="24">
        <f>SUMIFS(Q$3:Q$70,J$3:J$70,K$74)-INT(COUNTIFS(J$3:J$70,K$74,M$3:M$70,"*gộp*")/2)</f>
        <v>24</v>
      </c>
      <c r="O75" s="24" t="s">
        <v>31</v>
      </c>
      <c r="P75" s="24">
        <f>L80</f>
        <v>24922</v>
      </c>
    </row>
    <row r="76" spans="1:18" x14ac:dyDescent="0.25">
      <c r="B76" s="30" t="s">
        <v>86</v>
      </c>
      <c r="C76" s="82">
        <v>0</v>
      </c>
      <c r="D76" s="82"/>
      <c r="K76" s="24" t="s">
        <v>87</v>
      </c>
      <c r="L76" s="24">
        <f>-SUMIFS(H$3:H$70,J$3:J$70,K$74)+M76*5</f>
        <v>-505</v>
      </c>
      <c r="M76" s="24">
        <f>SUMIFS(Q$3:Q$70,J$3:J$70,K$74)-INT(COUNTIFS(J$3:J$70,K$74,M$3:M$70,"*gộp*")/2)</f>
        <v>24</v>
      </c>
      <c r="O76" s="24" t="s">
        <v>41</v>
      </c>
      <c r="P76" s="24">
        <f>L88</f>
        <v>16315</v>
      </c>
    </row>
    <row r="77" spans="1:18" x14ac:dyDescent="0.25">
      <c r="B77" s="30" t="s">
        <v>88</v>
      </c>
      <c r="C77" s="82">
        <f>-SUMIFS(I$3:I$70,B$3:B$70,A$74,P$3:P$70,"xx",N$3:N$70,"x")</f>
        <v>-1490</v>
      </c>
      <c r="D77" s="82"/>
      <c r="E77" s="30">
        <f>SUMIFS(Q$3:Q$70,B$3:B$70,A$74,P$3:P$70,"xx",N$3:N$70,"x")</f>
        <v>2</v>
      </c>
      <c r="K77" s="24" t="s">
        <v>89</v>
      </c>
      <c r="L77" s="24">
        <f>-M77*2</f>
        <v>-128</v>
      </c>
      <c r="M77" s="24">
        <f>COUNTIFS(K$3:K$70,K$74,L$3:L$70,A$75)-(COUNTIFS(K$3:K$70,K$74,M$3:M$70,"*gộp*")/2)-COUNTIFS(K$3:K$70,K$74,M$3:M$70,"*đơn trả*")-COUNTIFS(K$3:K$70,K$74,M$3:M$70,"*hàng tỉnh*")</f>
        <v>64</v>
      </c>
      <c r="O77" s="24" t="s">
        <v>3197</v>
      </c>
      <c r="P77" s="24">
        <f>L96</f>
        <v>16965</v>
      </c>
    </row>
    <row r="78" spans="1:18" x14ac:dyDescent="0.25">
      <c r="B78" s="27" t="s">
        <v>90</v>
      </c>
      <c r="C78" s="80">
        <f>SUBTOTAL(9,C75:C77)</f>
        <v>57925</v>
      </c>
      <c r="D78" s="80"/>
      <c r="E78" s="24">
        <f>E75</f>
        <v>66</v>
      </c>
      <c r="K78" s="31" t="s">
        <v>91</v>
      </c>
      <c r="O78" s="24" t="s">
        <v>92</v>
      </c>
      <c r="P78" s="24">
        <f>-C82</f>
        <v>-57925</v>
      </c>
    </row>
    <row r="79" spans="1:18" x14ac:dyDescent="0.25">
      <c r="B79" s="30" t="s">
        <v>93</v>
      </c>
      <c r="C79" s="78"/>
      <c r="D79" s="78"/>
      <c r="K79" s="30" t="s">
        <v>94</v>
      </c>
      <c r="O79" s="27" t="s">
        <v>95</v>
      </c>
      <c r="P79" s="27">
        <f>SUBTOTAL(9,P75:P78)</f>
        <v>277</v>
      </c>
    </row>
    <row r="80" spans="1:18" x14ac:dyDescent="0.25">
      <c r="B80" s="32" t="s">
        <v>96</v>
      </c>
      <c r="C80" s="78"/>
      <c r="D80" s="78"/>
      <c r="L80" s="33">
        <f>SUBTOTAL(9,L75:L79)</f>
        <v>24922</v>
      </c>
      <c r="M80" s="33">
        <f>M75</f>
        <v>24</v>
      </c>
    </row>
    <row r="82" spans="2:13" x14ac:dyDescent="0.25">
      <c r="B82" s="26" t="s">
        <v>97</v>
      </c>
      <c r="C82" s="79">
        <f>C78+C79+C80</f>
        <v>57925</v>
      </c>
      <c r="D82" s="79"/>
      <c r="E82" s="26" t="s">
        <v>98</v>
      </c>
      <c r="K82" s="28" t="s">
        <v>41</v>
      </c>
      <c r="L82" s="28" t="s">
        <v>80</v>
      </c>
      <c r="M82" s="28" t="s">
        <v>79</v>
      </c>
    </row>
    <row r="83" spans="2:13" x14ac:dyDescent="0.25">
      <c r="K83" s="24" t="s">
        <v>84</v>
      </c>
      <c r="L83" s="24">
        <f>SUMIFS(G$3:G$70,J$3:J$70,K$82)</f>
        <v>18285</v>
      </c>
      <c r="M83" s="24">
        <f>SUMIFS(Q$3:Q$70,J$3:J$70,K$82)-INT(COUNTIFS(J$3:J$70,K$82,M$3:M$70,"*gộp*")/2)</f>
        <v>22</v>
      </c>
    </row>
    <row r="84" spans="2:13" x14ac:dyDescent="0.25">
      <c r="K84" s="24" t="s">
        <v>87</v>
      </c>
      <c r="L84" s="24">
        <f>-SUMIFS(H$3:H$70,J$3:J$70,K$82)+M84*5</f>
        <v>-475</v>
      </c>
      <c r="M84" s="24">
        <f>SUMIFS(Q$3:Q$70,J$3:J$70,K$82)-INT(COUNTIFS(J$3:J$70,K$82,M$3:M$70,"*gộp*")/2)</f>
        <v>22</v>
      </c>
    </row>
    <row r="85" spans="2:13" x14ac:dyDescent="0.25">
      <c r="K85" s="24" t="s">
        <v>89</v>
      </c>
      <c r="L85" s="24">
        <f>-M85*2</f>
        <v>0</v>
      </c>
      <c r="M85" s="24">
        <f>COUNTIFS(K$3:K$70,K$82,L$3:L$70,A$75)-(COUNTIFS(K$3:K$70,K$82,M$3:M$70,"*gộp*")/2)-COUNTIFS(K$3:K$70,K$82,M$3:M$70,"*đơn trả*")-COUNTIFS(K$3:K$70,K$82,M$3:M$70,"*hàng tỉnh*")</f>
        <v>0</v>
      </c>
    </row>
    <row r="86" spans="2:13" x14ac:dyDescent="0.25">
      <c r="K86" s="31" t="s">
        <v>91</v>
      </c>
      <c r="L86" s="48">
        <v>-685</v>
      </c>
      <c r="M86" s="48" t="s">
        <v>590</v>
      </c>
    </row>
    <row r="87" spans="2:13" x14ac:dyDescent="0.25">
      <c r="K87" s="30" t="s">
        <v>94</v>
      </c>
      <c r="L87" s="48">
        <v>-810</v>
      </c>
      <c r="M87" s="48" t="s">
        <v>590</v>
      </c>
    </row>
    <row r="88" spans="2:13" x14ac:dyDescent="0.25">
      <c r="L88" s="33">
        <f>SUBTOTAL(9,L83:L87)</f>
        <v>16315</v>
      </c>
      <c r="M88" s="33">
        <f>M83</f>
        <v>22</v>
      </c>
    </row>
    <row r="90" spans="2:13" x14ac:dyDescent="0.25">
      <c r="K90" s="28" t="s">
        <v>3037</v>
      </c>
      <c r="L90" s="28" t="s">
        <v>80</v>
      </c>
      <c r="M90" s="28" t="s">
        <v>79</v>
      </c>
    </row>
    <row r="91" spans="2:13" x14ac:dyDescent="0.25">
      <c r="K91" s="24" t="s">
        <v>84</v>
      </c>
      <c r="L91" s="24">
        <f>SUMIFS(G$3:G$70,J$3:J$70,K$90)</f>
        <v>17380</v>
      </c>
      <c r="M91" s="24">
        <f>SUMIFS(Q$3:Q$70,J$3:J$70,K$90)-INT(COUNTIFS(J$3:J$70,K$90,M$3:M$70,"*gộp*")/2)</f>
        <v>19</v>
      </c>
    </row>
    <row r="92" spans="2:13" x14ac:dyDescent="0.25">
      <c r="K92" s="24" t="s">
        <v>87</v>
      </c>
      <c r="L92" s="24">
        <f>SUM(H73:H75)</f>
        <v>-415</v>
      </c>
      <c r="M92" s="24">
        <f>SUMIFS(Q$3:Q$70,J$3:J$70,K$90)-INT(COUNTIFS(J$3:J$70,K$90,M$3:M$70,"*gộp*")/2)</f>
        <v>19</v>
      </c>
    </row>
    <row r="93" spans="2:13" x14ac:dyDescent="0.25">
      <c r="K93" s="24" t="s">
        <v>89</v>
      </c>
      <c r="L93" s="24">
        <f>-M93*2</f>
        <v>0</v>
      </c>
      <c r="M93" s="24">
        <f>COUNTIFS(K$3:K$70,K$90,L$3:L$70,A$75)-(COUNTIFS(K$3:K$70,K$90,M$3:M$70,"*gộp*")/2)-COUNTIFS(K$3:K$70,K$90,M$3:M$70,"*đơn trả*")-COUNTIFS(K$3:K$70,K$90,M$3:M$70,"*hàng tỉnh*")</f>
        <v>0</v>
      </c>
    </row>
    <row r="94" spans="2:13" x14ac:dyDescent="0.25">
      <c r="K94" s="31" t="s">
        <v>91</v>
      </c>
    </row>
    <row r="95" spans="2:13" x14ac:dyDescent="0.25">
      <c r="K95" s="30" t="s">
        <v>94</v>
      </c>
    </row>
    <row r="96" spans="2:13" x14ac:dyDescent="0.25">
      <c r="L96" s="33">
        <f>SUBTOTAL(9,L91:L95)</f>
        <v>16965</v>
      </c>
      <c r="M96" s="33">
        <f>M91</f>
        <v>19</v>
      </c>
    </row>
  </sheetData>
  <autoFilter ref="A2:P70" xr:uid="{00000000-0009-0000-0000-000000000000}">
    <sortState xmlns:xlrd2="http://schemas.microsoft.com/office/spreadsheetml/2017/richdata2" ref="A3:P70">
      <sortCondition ref="J2:J70"/>
    </sortState>
  </autoFilter>
  <mergeCells count="8">
    <mergeCell ref="C80:D80"/>
    <mergeCell ref="C82:D82"/>
    <mergeCell ref="C74:D74"/>
    <mergeCell ref="C75:D75"/>
    <mergeCell ref="C76:D76"/>
    <mergeCell ref="C77:D77"/>
    <mergeCell ref="C78:D78"/>
    <mergeCell ref="C79:D79"/>
  </mergeCells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1805-BC78-44FA-A787-FF5E72560754}">
  <dimension ref="A1:R73"/>
  <sheetViews>
    <sheetView zoomScale="80" zoomScaleNormal="80" workbookViewId="0">
      <selection activeCell="A15" sqref="A15:XFD15"/>
    </sheetView>
  </sheetViews>
  <sheetFormatPr defaultRowHeight="15" x14ac:dyDescent="0.25"/>
  <cols>
    <col min="1" max="1" width="12.7109375" style="24" customWidth="1"/>
    <col min="2" max="2" width="9.28515625" style="24" customWidth="1"/>
    <col min="3" max="3" width="44.5703125" style="24" customWidth="1"/>
    <col min="4" max="4" width="9.85546875" style="24" customWidth="1"/>
    <col min="5" max="5" width="116.42578125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2.5703125" style="24" bestFit="1" customWidth="1"/>
    <col min="13" max="13" width="17.42578125" style="24" bestFit="1" customWidth="1"/>
    <col min="14" max="14" width="9.7109375" style="24" customWidth="1"/>
    <col min="15" max="15" width="10.42578125" style="24" customWidth="1"/>
    <col min="16" max="16" width="7.85546875" style="24" bestFit="1" customWidth="1"/>
    <col min="17" max="16384" width="9.140625" style="24"/>
  </cols>
  <sheetData>
    <row r="1" spans="1:18" customFormat="1" x14ac:dyDescent="0.25">
      <c r="B1" s="4" t="s">
        <v>1160</v>
      </c>
      <c r="C1" s="4" t="s">
        <v>3302</v>
      </c>
      <c r="F1" s="65"/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 t="s">
        <v>66</v>
      </c>
      <c r="B3" s="35" t="s">
        <v>26</v>
      </c>
      <c r="C3" s="35" t="s">
        <v>1628</v>
      </c>
      <c r="D3" s="35"/>
      <c r="E3" s="35" t="s">
        <v>2965</v>
      </c>
      <c r="F3" s="36">
        <v>6</v>
      </c>
      <c r="G3" s="36">
        <v>30</v>
      </c>
      <c r="H3" s="36">
        <v>30</v>
      </c>
      <c r="I3" s="36">
        <f t="shared" ref="I3:I45" si="0">G3-H3</f>
        <v>0</v>
      </c>
      <c r="J3" s="35" t="s">
        <v>3206</v>
      </c>
      <c r="K3" s="35" t="s">
        <v>31</v>
      </c>
      <c r="L3" s="35" t="s">
        <v>3199</v>
      </c>
      <c r="M3" s="35"/>
      <c r="N3" s="35"/>
      <c r="O3" s="35"/>
      <c r="P3" s="35"/>
      <c r="Q3" s="35">
        <v>1</v>
      </c>
    </row>
    <row r="4" spans="1:18" x14ac:dyDescent="0.25">
      <c r="A4" s="35"/>
      <c r="B4" s="35" t="s">
        <v>26</v>
      </c>
      <c r="C4" s="35" t="s">
        <v>3210</v>
      </c>
      <c r="D4" s="35" t="s">
        <v>3211</v>
      </c>
      <c r="E4" s="35" t="s">
        <v>3212</v>
      </c>
      <c r="F4" s="35" t="s">
        <v>117</v>
      </c>
      <c r="G4" s="36">
        <v>955</v>
      </c>
      <c r="H4" s="36">
        <v>35</v>
      </c>
      <c r="I4" s="36">
        <f t="shared" si="0"/>
        <v>920</v>
      </c>
      <c r="J4" s="35" t="s">
        <v>3206</v>
      </c>
      <c r="K4" s="35" t="s">
        <v>31</v>
      </c>
      <c r="L4" s="35" t="s">
        <v>3199</v>
      </c>
      <c r="M4" s="35"/>
      <c r="N4" s="35"/>
      <c r="O4" s="35"/>
      <c r="P4" s="35"/>
      <c r="Q4" s="35">
        <v>1</v>
      </c>
    </row>
    <row r="5" spans="1:18" x14ac:dyDescent="0.25">
      <c r="A5" s="35"/>
      <c r="B5" s="35" t="s">
        <v>26</v>
      </c>
      <c r="C5" s="35" t="s">
        <v>3066</v>
      </c>
      <c r="D5" s="35" t="s">
        <v>3217</v>
      </c>
      <c r="E5" s="35" t="s">
        <v>3218</v>
      </c>
      <c r="F5" s="35" t="s">
        <v>77</v>
      </c>
      <c r="G5" s="36">
        <v>920</v>
      </c>
      <c r="H5" s="36">
        <v>30</v>
      </c>
      <c r="I5" s="36">
        <f t="shared" si="0"/>
        <v>890</v>
      </c>
      <c r="J5" s="35" t="s">
        <v>3206</v>
      </c>
      <c r="K5" s="35" t="s">
        <v>31</v>
      </c>
      <c r="L5" s="35" t="s">
        <v>3199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3219</v>
      </c>
      <c r="D6" s="35" t="s">
        <v>3220</v>
      </c>
      <c r="E6" s="35" t="s">
        <v>3221</v>
      </c>
      <c r="F6" s="36">
        <v>7</v>
      </c>
      <c r="G6" s="36">
        <v>820</v>
      </c>
      <c r="H6" s="36">
        <v>30</v>
      </c>
      <c r="I6" s="36">
        <f t="shared" si="0"/>
        <v>790</v>
      </c>
      <c r="J6" s="35" t="s">
        <v>3206</v>
      </c>
      <c r="K6" s="35" t="s">
        <v>31</v>
      </c>
      <c r="L6" s="35" t="s">
        <v>3199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3222</v>
      </c>
      <c r="D7" s="35" t="s">
        <v>3223</v>
      </c>
      <c r="E7" s="35" t="s">
        <v>3224</v>
      </c>
      <c r="F7" s="36">
        <v>7</v>
      </c>
      <c r="G7" s="36">
        <v>860</v>
      </c>
      <c r="H7" s="36">
        <v>30</v>
      </c>
      <c r="I7" s="36">
        <f t="shared" si="0"/>
        <v>830</v>
      </c>
      <c r="J7" s="35" t="s">
        <v>3206</v>
      </c>
      <c r="K7" s="35" t="s">
        <v>31</v>
      </c>
      <c r="L7" s="35" t="s">
        <v>3199</v>
      </c>
      <c r="M7" s="35"/>
      <c r="N7" s="35"/>
      <c r="O7" s="35"/>
      <c r="P7" s="35"/>
      <c r="Q7" s="35">
        <v>1</v>
      </c>
    </row>
    <row r="8" spans="1:18" x14ac:dyDescent="0.25">
      <c r="A8" s="35"/>
      <c r="B8" s="35" t="s">
        <v>26</v>
      </c>
      <c r="C8" s="35" t="s">
        <v>3236</v>
      </c>
      <c r="D8" s="35" t="s">
        <v>3237</v>
      </c>
      <c r="E8" s="35" t="s">
        <v>3238</v>
      </c>
      <c r="F8" s="35" t="s">
        <v>121</v>
      </c>
      <c r="G8" s="36">
        <v>0</v>
      </c>
      <c r="H8" s="36">
        <v>35</v>
      </c>
      <c r="I8" s="36">
        <f t="shared" si="0"/>
        <v>-35</v>
      </c>
      <c r="J8" s="35" t="s">
        <v>3206</v>
      </c>
      <c r="K8" s="35" t="s">
        <v>31</v>
      </c>
      <c r="L8" s="35" t="s">
        <v>3199</v>
      </c>
      <c r="M8" s="66" t="s">
        <v>3305</v>
      </c>
      <c r="N8" s="35"/>
      <c r="O8" s="35"/>
      <c r="P8" s="35"/>
      <c r="Q8" s="35">
        <v>1</v>
      </c>
      <c r="R8" s="25">
        <f>H8</f>
        <v>35</v>
      </c>
    </row>
    <row r="9" spans="1:18" s="41" customFormat="1" x14ac:dyDescent="0.25">
      <c r="A9" s="39"/>
      <c r="B9" s="39" t="s">
        <v>26</v>
      </c>
      <c r="C9" s="39" t="s">
        <v>3244</v>
      </c>
      <c r="D9" s="39" t="s">
        <v>3245</v>
      </c>
      <c r="E9" s="39" t="s">
        <v>3193</v>
      </c>
      <c r="F9" s="39" t="s">
        <v>45</v>
      </c>
      <c r="G9" s="40">
        <v>25</v>
      </c>
      <c r="H9" s="40">
        <v>25</v>
      </c>
      <c r="I9" s="40">
        <f t="shared" si="0"/>
        <v>0</v>
      </c>
      <c r="J9" s="39" t="s">
        <v>3206</v>
      </c>
      <c r="K9" s="39" t="s">
        <v>31</v>
      </c>
      <c r="L9" s="39" t="s">
        <v>3199</v>
      </c>
      <c r="M9" s="39" t="s">
        <v>37</v>
      </c>
      <c r="N9" s="39"/>
      <c r="O9" s="39"/>
      <c r="P9" s="39"/>
      <c r="Q9" s="39">
        <v>1</v>
      </c>
    </row>
    <row r="10" spans="1:18" s="41" customFormat="1" x14ac:dyDescent="0.25">
      <c r="A10" s="39"/>
      <c r="B10" s="39" t="s">
        <v>26</v>
      </c>
      <c r="C10" s="39" t="s">
        <v>3249</v>
      </c>
      <c r="D10" s="39" t="s">
        <v>3250</v>
      </c>
      <c r="E10" s="39" t="s">
        <v>3251</v>
      </c>
      <c r="F10" s="39" t="s">
        <v>45</v>
      </c>
      <c r="G10" s="40">
        <v>295</v>
      </c>
      <c r="H10" s="40">
        <v>25</v>
      </c>
      <c r="I10" s="40">
        <f t="shared" si="0"/>
        <v>270</v>
      </c>
      <c r="J10" s="39" t="s">
        <v>3206</v>
      </c>
      <c r="K10" s="39" t="s">
        <v>31</v>
      </c>
      <c r="L10" s="39" t="s">
        <v>3199</v>
      </c>
      <c r="M10" s="39" t="s">
        <v>37</v>
      </c>
      <c r="N10" s="39"/>
      <c r="O10" s="39"/>
      <c r="P10" s="39"/>
      <c r="Q10" s="39">
        <v>1</v>
      </c>
    </row>
    <row r="11" spans="1:18" x14ac:dyDescent="0.25">
      <c r="A11" s="35"/>
      <c r="B11" s="35" t="s">
        <v>26</v>
      </c>
      <c r="C11" s="35" t="s">
        <v>3255</v>
      </c>
      <c r="D11" s="35" t="s">
        <v>3256</v>
      </c>
      <c r="E11" s="35" t="s">
        <v>3257</v>
      </c>
      <c r="F11" s="35" t="s">
        <v>121</v>
      </c>
      <c r="G11" s="36">
        <v>925</v>
      </c>
      <c r="H11" s="36">
        <v>35</v>
      </c>
      <c r="I11" s="36">
        <f t="shared" si="0"/>
        <v>890</v>
      </c>
      <c r="J11" s="35" t="s">
        <v>3206</v>
      </c>
      <c r="K11" s="35" t="s">
        <v>31</v>
      </c>
      <c r="L11" s="35" t="s">
        <v>3199</v>
      </c>
      <c r="M11" s="35"/>
      <c r="N11" s="35"/>
      <c r="O11" s="35"/>
      <c r="P11" s="35"/>
      <c r="Q11" s="35">
        <v>1</v>
      </c>
    </row>
    <row r="12" spans="1:18" x14ac:dyDescent="0.25">
      <c r="A12" s="35"/>
      <c r="B12" s="35" t="s">
        <v>26</v>
      </c>
      <c r="C12" s="35" t="s">
        <v>3259</v>
      </c>
      <c r="D12" s="35" t="s">
        <v>3260</v>
      </c>
      <c r="E12" s="35" t="s">
        <v>3261</v>
      </c>
      <c r="F12" s="35" t="s">
        <v>77</v>
      </c>
      <c r="G12" s="36">
        <v>720</v>
      </c>
      <c r="H12" s="36">
        <v>30</v>
      </c>
      <c r="I12" s="36">
        <f t="shared" si="0"/>
        <v>690</v>
      </c>
      <c r="J12" s="35" t="s">
        <v>3206</v>
      </c>
      <c r="K12" s="35" t="s">
        <v>31</v>
      </c>
      <c r="L12" s="35" t="s">
        <v>3199</v>
      </c>
      <c r="M12" s="35"/>
      <c r="N12" s="35"/>
      <c r="O12" s="35"/>
      <c r="P12" s="35"/>
      <c r="Q12" s="35">
        <v>1</v>
      </c>
    </row>
    <row r="13" spans="1:18" x14ac:dyDescent="0.25">
      <c r="A13" s="35"/>
      <c r="B13" s="35" t="s">
        <v>26</v>
      </c>
      <c r="C13" s="35" t="s">
        <v>1341</v>
      </c>
      <c r="D13" s="35" t="s">
        <v>3272</v>
      </c>
      <c r="E13" s="35" t="s">
        <v>1343</v>
      </c>
      <c r="F13" s="35" t="s">
        <v>121</v>
      </c>
      <c r="G13" s="36">
        <v>895</v>
      </c>
      <c r="H13" s="36">
        <v>35</v>
      </c>
      <c r="I13" s="36">
        <f t="shared" si="0"/>
        <v>860</v>
      </c>
      <c r="J13" s="35" t="s">
        <v>3206</v>
      </c>
      <c r="K13" s="35" t="s">
        <v>31</v>
      </c>
      <c r="L13" s="35" t="s">
        <v>3199</v>
      </c>
      <c r="M13" s="35"/>
      <c r="N13" s="35"/>
      <c r="O13" s="35"/>
      <c r="P13" s="35"/>
      <c r="Q13" s="35">
        <v>1</v>
      </c>
    </row>
    <row r="14" spans="1:18" x14ac:dyDescent="0.25">
      <c r="A14" s="35"/>
      <c r="B14" s="35" t="s">
        <v>26</v>
      </c>
      <c r="C14" s="35" t="s">
        <v>3277</v>
      </c>
      <c r="D14" s="35" t="s">
        <v>3278</v>
      </c>
      <c r="E14" s="35" t="s">
        <v>3279</v>
      </c>
      <c r="F14" s="36">
        <v>6</v>
      </c>
      <c r="G14" s="36">
        <v>0</v>
      </c>
      <c r="H14" s="36">
        <v>25</v>
      </c>
      <c r="I14" s="36">
        <f t="shared" si="0"/>
        <v>-25</v>
      </c>
      <c r="J14" s="35" t="s">
        <v>3206</v>
      </c>
      <c r="K14" s="35" t="s">
        <v>31</v>
      </c>
      <c r="L14" s="35" t="s">
        <v>3199</v>
      </c>
      <c r="M14" s="35"/>
      <c r="N14" s="35"/>
      <c r="O14" s="35"/>
      <c r="P14" s="35"/>
      <c r="Q14" s="35">
        <v>1</v>
      </c>
      <c r="R14" s="25">
        <f>H14</f>
        <v>25</v>
      </c>
    </row>
    <row r="15" spans="1:18" x14ac:dyDescent="0.25">
      <c r="A15" s="35"/>
      <c r="B15" s="35" t="s">
        <v>26</v>
      </c>
      <c r="C15" s="35" t="s">
        <v>1761</v>
      </c>
      <c r="D15" s="35" t="s">
        <v>3280</v>
      </c>
      <c r="E15" s="35" t="s">
        <v>3281</v>
      </c>
      <c r="F15" s="35" t="s">
        <v>77</v>
      </c>
      <c r="G15" s="36">
        <v>0</v>
      </c>
      <c r="H15" s="36">
        <v>30</v>
      </c>
      <c r="I15" s="36">
        <f t="shared" si="0"/>
        <v>-30</v>
      </c>
      <c r="J15" s="35" t="s">
        <v>3206</v>
      </c>
      <c r="K15" s="35" t="s">
        <v>31</v>
      </c>
      <c r="L15" s="35" t="s">
        <v>3199</v>
      </c>
      <c r="M15" s="35"/>
      <c r="N15" s="35"/>
      <c r="O15" s="35"/>
      <c r="P15" s="35"/>
      <c r="Q15" s="35">
        <v>1</v>
      </c>
      <c r="R15" s="25">
        <f t="shared" ref="R15:R16" si="1">H15</f>
        <v>30</v>
      </c>
    </row>
    <row r="16" spans="1:18" x14ac:dyDescent="0.25">
      <c r="A16" s="35"/>
      <c r="B16" s="35" t="s">
        <v>26</v>
      </c>
      <c r="C16" s="35" t="s">
        <v>3282</v>
      </c>
      <c r="D16" s="35" t="s">
        <v>3283</v>
      </c>
      <c r="E16" s="35" t="s">
        <v>3284</v>
      </c>
      <c r="F16" s="36">
        <v>6</v>
      </c>
      <c r="G16" s="36">
        <v>0</v>
      </c>
      <c r="H16" s="36">
        <v>25</v>
      </c>
      <c r="I16" s="36">
        <f t="shared" si="0"/>
        <v>-25</v>
      </c>
      <c r="J16" s="35" t="s">
        <v>3206</v>
      </c>
      <c r="K16" s="35" t="s">
        <v>31</v>
      </c>
      <c r="L16" s="35" t="s">
        <v>3199</v>
      </c>
      <c r="M16" s="35"/>
      <c r="N16" s="35"/>
      <c r="O16" s="35"/>
      <c r="P16" s="35"/>
      <c r="Q16" s="35">
        <v>1</v>
      </c>
      <c r="R16" s="25">
        <f t="shared" si="1"/>
        <v>25</v>
      </c>
    </row>
    <row r="17" spans="1:18" x14ac:dyDescent="0.25">
      <c r="A17" s="35"/>
      <c r="B17" s="35" t="s">
        <v>26</v>
      </c>
      <c r="C17" s="35" t="s">
        <v>3291</v>
      </c>
      <c r="D17" s="35" t="s">
        <v>3292</v>
      </c>
      <c r="E17" s="35" t="s">
        <v>3293</v>
      </c>
      <c r="F17" s="35" t="s">
        <v>77</v>
      </c>
      <c r="G17" s="36">
        <v>2390</v>
      </c>
      <c r="H17" s="36">
        <v>35</v>
      </c>
      <c r="I17" s="36">
        <f t="shared" si="0"/>
        <v>2355</v>
      </c>
      <c r="J17" s="35" t="s">
        <v>3206</v>
      </c>
      <c r="K17" s="35" t="s">
        <v>31</v>
      </c>
      <c r="L17" s="35" t="s">
        <v>3199</v>
      </c>
      <c r="M17" s="38" t="s">
        <v>59</v>
      </c>
      <c r="N17" s="35"/>
      <c r="O17" s="35"/>
      <c r="P17" s="35"/>
      <c r="Q17" s="35">
        <v>1</v>
      </c>
      <c r="R17" s="25">
        <f>H17</f>
        <v>35</v>
      </c>
    </row>
    <row r="18" spans="1:18" x14ac:dyDescent="0.25">
      <c r="A18" s="35" t="s">
        <v>66</v>
      </c>
      <c r="B18" s="35" t="s">
        <v>26</v>
      </c>
      <c r="C18" s="35" t="s">
        <v>1299</v>
      </c>
      <c r="D18" s="35"/>
      <c r="E18" s="35" t="s">
        <v>1300</v>
      </c>
      <c r="F18" s="35" t="s">
        <v>36</v>
      </c>
      <c r="G18" s="36">
        <v>0</v>
      </c>
      <c r="H18" s="36">
        <v>30</v>
      </c>
      <c r="I18" s="36">
        <f t="shared" si="0"/>
        <v>-30</v>
      </c>
      <c r="J18" s="35" t="s">
        <v>31</v>
      </c>
      <c r="K18" s="35" t="s">
        <v>31</v>
      </c>
      <c r="L18" s="35" t="s">
        <v>3199</v>
      </c>
      <c r="M18" s="35"/>
      <c r="N18" s="35"/>
      <c r="O18" s="35"/>
      <c r="P18" s="35"/>
      <c r="Q18" s="35">
        <v>1</v>
      </c>
      <c r="R18" s="25">
        <f t="shared" ref="R18:R22" si="2">H18</f>
        <v>30</v>
      </c>
    </row>
    <row r="19" spans="1:18" x14ac:dyDescent="0.25">
      <c r="A19" s="35" t="s">
        <v>66</v>
      </c>
      <c r="B19" s="35" t="s">
        <v>26</v>
      </c>
      <c r="C19" s="35" t="s">
        <v>3202</v>
      </c>
      <c r="D19" s="35"/>
      <c r="E19" s="35" t="s">
        <v>3203</v>
      </c>
      <c r="F19" s="36">
        <v>12</v>
      </c>
      <c r="G19" s="36">
        <v>0</v>
      </c>
      <c r="H19" s="36">
        <v>35</v>
      </c>
      <c r="I19" s="36">
        <f t="shared" si="0"/>
        <v>-35</v>
      </c>
      <c r="J19" s="35" t="s">
        <v>31</v>
      </c>
      <c r="K19" s="35" t="s">
        <v>31</v>
      </c>
      <c r="L19" s="35" t="s">
        <v>3199</v>
      </c>
      <c r="M19" s="35"/>
      <c r="N19" s="35"/>
      <c r="O19" s="35"/>
      <c r="P19" s="35"/>
      <c r="Q19" s="35">
        <v>1</v>
      </c>
      <c r="R19" s="25">
        <f t="shared" si="2"/>
        <v>35</v>
      </c>
    </row>
    <row r="20" spans="1:18" x14ac:dyDescent="0.25">
      <c r="A20" s="35" t="s">
        <v>66</v>
      </c>
      <c r="B20" s="35" t="s">
        <v>26</v>
      </c>
      <c r="C20" s="35" t="s">
        <v>3204</v>
      </c>
      <c r="D20" s="35"/>
      <c r="E20" s="35" t="s">
        <v>3205</v>
      </c>
      <c r="F20" s="35" t="s">
        <v>58</v>
      </c>
      <c r="G20" s="36">
        <v>0</v>
      </c>
      <c r="H20" s="36">
        <v>35</v>
      </c>
      <c r="I20" s="36">
        <f t="shared" si="0"/>
        <v>-35</v>
      </c>
      <c r="J20" s="35" t="s">
        <v>31</v>
      </c>
      <c r="K20" s="35" t="s">
        <v>31</v>
      </c>
      <c r="L20" s="35" t="s">
        <v>3199</v>
      </c>
      <c r="M20" s="35"/>
      <c r="N20" s="35"/>
      <c r="O20" s="35"/>
      <c r="P20" s="35"/>
      <c r="Q20" s="35">
        <v>1</v>
      </c>
      <c r="R20" s="25">
        <f t="shared" si="2"/>
        <v>35</v>
      </c>
    </row>
    <row r="21" spans="1:18" x14ac:dyDescent="0.25">
      <c r="A21" s="35"/>
      <c r="B21" s="35" t="s">
        <v>26</v>
      </c>
      <c r="C21" s="35" t="s">
        <v>3225</v>
      </c>
      <c r="D21" s="35" t="s">
        <v>3226</v>
      </c>
      <c r="E21" s="35" t="s">
        <v>3227</v>
      </c>
      <c r="F21" s="36">
        <v>12</v>
      </c>
      <c r="G21" s="36">
        <v>0</v>
      </c>
      <c r="H21" s="36">
        <v>30</v>
      </c>
      <c r="I21" s="36">
        <f t="shared" si="0"/>
        <v>-30</v>
      </c>
      <c r="J21" s="35" t="s">
        <v>31</v>
      </c>
      <c r="K21" s="35" t="s">
        <v>31</v>
      </c>
      <c r="L21" s="35" t="s">
        <v>3199</v>
      </c>
      <c r="M21" s="35"/>
      <c r="N21" s="35"/>
      <c r="O21" s="35"/>
      <c r="P21" s="35"/>
      <c r="Q21" s="35">
        <v>1</v>
      </c>
      <c r="R21" s="25">
        <f t="shared" si="2"/>
        <v>30</v>
      </c>
    </row>
    <row r="22" spans="1:18" x14ac:dyDescent="0.25">
      <c r="A22" s="35"/>
      <c r="B22" s="35" t="s">
        <v>26</v>
      </c>
      <c r="C22" s="36">
        <v>2429</v>
      </c>
      <c r="D22" s="35" t="s">
        <v>3231</v>
      </c>
      <c r="E22" s="35" t="s">
        <v>429</v>
      </c>
      <c r="F22" s="36">
        <v>12</v>
      </c>
      <c r="G22" s="36">
        <v>0</v>
      </c>
      <c r="H22" s="36">
        <v>30</v>
      </c>
      <c r="I22" s="36">
        <f t="shared" si="0"/>
        <v>-30</v>
      </c>
      <c r="J22" s="35" t="s">
        <v>31</v>
      </c>
      <c r="K22" s="35" t="s">
        <v>31</v>
      </c>
      <c r="L22" s="35" t="s">
        <v>3199</v>
      </c>
      <c r="M22" s="35"/>
      <c r="N22" s="35"/>
      <c r="O22" s="35"/>
      <c r="P22" s="35"/>
      <c r="Q22" s="35">
        <v>1</v>
      </c>
      <c r="R22" s="25">
        <f t="shared" si="2"/>
        <v>30</v>
      </c>
    </row>
    <row r="23" spans="1:18" x14ac:dyDescent="0.25">
      <c r="A23" s="35"/>
      <c r="B23" s="35" t="s">
        <v>26</v>
      </c>
      <c r="C23" s="35" t="s">
        <v>3091</v>
      </c>
      <c r="D23" s="35" t="s">
        <v>3232</v>
      </c>
      <c r="E23" s="35" t="s">
        <v>3093</v>
      </c>
      <c r="F23" s="35" t="s">
        <v>58</v>
      </c>
      <c r="G23" s="36">
        <v>880</v>
      </c>
      <c r="H23" s="36">
        <v>20</v>
      </c>
      <c r="I23" s="36">
        <f t="shared" si="0"/>
        <v>860</v>
      </c>
      <c r="J23" s="35" t="s">
        <v>31</v>
      </c>
      <c r="K23" s="35" t="s">
        <v>31</v>
      </c>
      <c r="L23" s="35" t="s">
        <v>3199</v>
      </c>
      <c r="M23" s="35"/>
      <c r="N23" s="35"/>
      <c r="O23" s="35"/>
      <c r="P23" s="35"/>
      <c r="Q23" s="35">
        <v>1</v>
      </c>
    </row>
    <row r="24" spans="1:18" x14ac:dyDescent="0.25">
      <c r="A24" s="35"/>
      <c r="B24" s="35" t="s">
        <v>26</v>
      </c>
      <c r="C24" s="35" t="s">
        <v>3233</v>
      </c>
      <c r="D24" s="35" t="s">
        <v>3234</v>
      </c>
      <c r="E24" s="35" t="s">
        <v>3235</v>
      </c>
      <c r="F24" s="35" t="s">
        <v>36</v>
      </c>
      <c r="G24" s="36">
        <v>3480</v>
      </c>
      <c r="H24" s="36">
        <v>35</v>
      </c>
      <c r="I24" s="36">
        <f t="shared" si="0"/>
        <v>3445</v>
      </c>
      <c r="J24" s="35" t="s">
        <v>31</v>
      </c>
      <c r="K24" s="35" t="s">
        <v>31</v>
      </c>
      <c r="L24" s="35" t="s">
        <v>3199</v>
      </c>
      <c r="M24" s="38" t="s">
        <v>59</v>
      </c>
      <c r="N24" s="35"/>
      <c r="O24" s="35"/>
      <c r="P24" s="35"/>
      <c r="Q24" s="35">
        <v>1</v>
      </c>
      <c r="R24" s="25">
        <f>H24</f>
        <v>35</v>
      </c>
    </row>
    <row r="25" spans="1:18" x14ac:dyDescent="0.25">
      <c r="A25" s="35"/>
      <c r="B25" s="35" t="s">
        <v>26</v>
      </c>
      <c r="C25" s="35" t="s">
        <v>3080</v>
      </c>
      <c r="D25" s="35" t="s">
        <v>3239</v>
      </c>
      <c r="E25" s="35" t="s">
        <v>3240</v>
      </c>
      <c r="F25" s="36">
        <v>9</v>
      </c>
      <c r="G25" s="36">
        <v>1010</v>
      </c>
      <c r="H25" s="36">
        <v>30</v>
      </c>
      <c r="I25" s="36">
        <f t="shared" si="0"/>
        <v>980</v>
      </c>
      <c r="J25" s="35" t="s">
        <v>31</v>
      </c>
      <c r="K25" s="35" t="s">
        <v>31</v>
      </c>
      <c r="L25" s="35" t="s">
        <v>3199</v>
      </c>
      <c r="M25" s="35"/>
      <c r="N25" s="35"/>
      <c r="O25" s="35"/>
      <c r="P25" s="35"/>
      <c r="Q25" s="35">
        <v>1</v>
      </c>
    </row>
    <row r="26" spans="1:18" x14ac:dyDescent="0.25">
      <c r="A26" s="35"/>
      <c r="B26" s="35" t="s">
        <v>26</v>
      </c>
      <c r="C26" s="35" t="s">
        <v>3252</v>
      </c>
      <c r="D26" s="35" t="s">
        <v>3253</v>
      </c>
      <c r="E26" s="35" t="s">
        <v>3254</v>
      </c>
      <c r="F26" s="35" t="s">
        <v>101</v>
      </c>
      <c r="G26" s="36">
        <v>815</v>
      </c>
      <c r="H26" s="36">
        <v>25</v>
      </c>
      <c r="I26" s="36">
        <f t="shared" si="0"/>
        <v>790</v>
      </c>
      <c r="J26" s="35" t="s">
        <v>31</v>
      </c>
      <c r="K26" s="35" t="s">
        <v>31</v>
      </c>
      <c r="L26" s="35" t="s">
        <v>3199</v>
      </c>
      <c r="M26" s="35"/>
      <c r="N26" s="35"/>
      <c r="O26" s="35"/>
      <c r="P26" s="35"/>
      <c r="Q26" s="35">
        <v>1</v>
      </c>
    </row>
    <row r="27" spans="1:18" x14ac:dyDescent="0.25">
      <c r="A27" s="35"/>
      <c r="B27" s="35" t="s">
        <v>26</v>
      </c>
      <c r="C27" s="35" t="s">
        <v>3268</v>
      </c>
      <c r="D27" s="35" t="s">
        <v>3269</v>
      </c>
      <c r="E27" s="35" t="s">
        <v>3270</v>
      </c>
      <c r="F27" s="36">
        <v>12</v>
      </c>
      <c r="G27" s="36">
        <v>920</v>
      </c>
      <c r="H27" s="36">
        <v>30</v>
      </c>
      <c r="I27" s="36">
        <f t="shared" si="0"/>
        <v>890</v>
      </c>
      <c r="J27" s="35" t="s">
        <v>31</v>
      </c>
      <c r="K27" s="35" t="s">
        <v>31</v>
      </c>
      <c r="L27" s="35" t="s">
        <v>3199</v>
      </c>
      <c r="M27" s="35"/>
      <c r="N27" s="35"/>
      <c r="O27" s="35"/>
      <c r="P27" s="35"/>
      <c r="Q27" s="35">
        <v>1</v>
      </c>
    </row>
    <row r="28" spans="1:18" x14ac:dyDescent="0.25">
      <c r="A28" s="35"/>
      <c r="B28" s="35" t="s">
        <v>26</v>
      </c>
      <c r="C28" s="35" t="s">
        <v>2901</v>
      </c>
      <c r="D28" s="35" t="s">
        <v>3271</v>
      </c>
      <c r="E28" s="35" t="s">
        <v>606</v>
      </c>
      <c r="F28" s="36">
        <v>12</v>
      </c>
      <c r="G28" s="36">
        <v>0</v>
      </c>
      <c r="H28" s="36">
        <v>30</v>
      </c>
      <c r="I28" s="36">
        <f t="shared" si="0"/>
        <v>-30</v>
      </c>
      <c r="J28" s="35" t="s">
        <v>31</v>
      </c>
      <c r="K28" s="35" t="s">
        <v>31</v>
      </c>
      <c r="L28" s="35" t="s">
        <v>3199</v>
      </c>
      <c r="M28" s="35"/>
      <c r="N28" s="35"/>
      <c r="O28" s="35"/>
      <c r="P28" s="35"/>
      <c r="Q28" s="35">
        <v>1</v>
      </c>
      <c r="R28" s="25">
        <f>H28</f>
        <v>30</v>
      </c>
    </row>
    <row r="29" spans="1:18" s="41" customFormat="1" x14ac:dyDescent="0.25">
      <c r="A29" s="39"/>
      <c r="B29" s="39" t="s">
        <v>26</v>
      </c>
      <c r="C29" s="39" t="s">
        <v>2971</v>
      </c>
      <c r="D29" s="39" t="s">
        <v>3276</v>
      </c>
      <c r="E29" s="39" t="s">
        <v>2973</v>
      </c>
      <c r="F29" s="39" t="s">
        <v>36</v>
      </c>
      <c r="G29" s="40">
        <v>25</v>
      </c>
      <c r="H29" s="40">
        <v>25</v>
      </c>
      <c r="I29" s="40">
        <f t="shared" si="0"/>
        <v>0</v>
      </c>
      <c r="J29" s="39" t="s">
        <v>31</v>
      </c>
      <c r="K29" s="39" t="s">
        <v>31</v>
      </c>
      <c r="L29" s="39" t="s">
        <v>3199</v>
      </c>
      <c r="M29" s="39" t="s">
        <v>37</v>
      </c>
      <c r="N29" s="39"/>
      <c r="O29" s="39"/>
      <c r="P29" s="39"/>
      <c r="Q29" s="39">
        <v>1</v>
      </c>
    </row>
    <row r="30" spans="1:18" x14ac:dyDescent="0.25">
      <c r="A30" s="35"/>
      <c r="B30" s="35" t="s">
        <v>26</v>
      </c>
      <c r="C30" s="35" t="s">
        <v>3288</v>
      </c>
      <c r="D30" s="35" t="s">
        <v>3289</v>
      </c>
      <c r="E30" s="35" t="s">
        <v>3290</v>
      </c>
      <c r="F30" s="36">
        <v>2</v>
      </c>
      <c r="G30" s="36">
        <v>920</v>
      </c>
      <c r="H30" s="36">
        <v>30</v>
      </c>
      <c r="I30" s="36">
        <f t="shared" si="0"/>
        <v>890</v>
      </c>
      <c r="J30" s="35" t="s">
        <v>31</v>
      </c>
      <c r="K30" s="35" t="s">
        <v>31</v>
      </c>
      <c r="L30" s="35" t="s">
        <v>3199</v>
      </c>
      <c r="M30" s="35"/>
      <c r="N30" s="35"/>
      <c r="O30" s="35"/>
      <c r="P30" s="35"/>
      <c r="Q30" s="35">
        <v>1</v>
      </c>
    </row>
    <row r="31" spans="1:18" x14ac:dyDescent="0.25">
      <c r="A31" s="35"/>
      <c r="B31" s="35" t="s">
        <v>26</v>
      </c>
      <c r="C31" s="35" t="s">
        <v>3297</v>
      </c>
      <c r="D31" s="35" t="s">
        <v>3298</v>
      </c>
      <c r="E31" s="35" t="s">
        <v>3299</v>
      </c>
      <c r="F31" s="36">
        <v>2</v>
      </c>
      <c r="G31" s="36">
        <v>890</v>
      </c>
      <c r="H31" s="36">
        <v>30</v>
      </c>
      <c r="I31" s="36">
        <f t="shared" si="0"/>
        <v>860</v>
      </c>
      <c r="J31" s="35" t="s">
        <v>31</v>
      </c>
      <c r="K31" s="35" t="s">
        <v>31</v>
      </c>
      <c r="L31" s="35" t="s">
        <v>3199</v>
      </c>
      <c r="M31" s="35"/>
      <c r="N31" s="35"/>
      <c r="O31" s="35"/>
      <c r="P31" s="35"/>
      <c r="Q31" s="35">
        <v>1</v>
      </c>
    </row>
    <row r="32" spans="1:18" x14ac:dyDescent="0.25">
      <c r="A32" s="35" t="s">
        <v>66</v>
      </c>
      <c r="B32" s="35" t="s">
        <v>26</v>
      </c>
      <c r="C32" s="35" t="s">
        <v>73</v>
      </c>
      <c r="D32" s="35"/>
      <c r="E32" s="35" t="s">
        <v>3300</v>
      </c>
      <c r="F32" s="35" t="s">
        <v>36</v>
      </c>
      <c r="G32" s="36">
        <v>50</v>
      </c>
      <c r="H32" s="36">
        <v>50</v>
      </c>
      <c r="I32" s="36">
        <f t="shared" si="0"/>
        <v>0</v>
      </c>
      <c r="J32" s="35" t="s">
        <v>31</v>
      </c>
      <c r="K32" s="35" t="s">
        <v>31</v>
      </c>
      <c r="L32" s="35" t="s">
        <v>3199</v>
      </c>
      <c r="M32" s="35"/>
      <c r="N32" s="35"/>
      <c r="O32" s="35"/>
      <c r="P32" s="35"/>
      <c r="Q32" s="35">
        <v>1</v>
      </c>
    </row>
    <row r="33" spans="1:18" x14ac:dyDescent="0.25">
      <c r="A33" s="35" t="s">
        <v>66</v>
      </c>
      <c r="B33" s="35" t="s">
        <v>26</v>
      </c>
      <c r="C33" s="35" t="s">
        <v>3200</v>
      </c>
      <c r="D33" s="35"/>
      <c r="E33" s="35" t="s">
        <v>3201</v>
      </c>
      <c r="F33" s="36">
        <v>5</v>
      </c>
      <c r="G33" s="36">
        <v>0</v>
      </c>
      <c r="H33" s="36">
        <v>30</v>
      </c>
      <c r="I33" s="36">
        <f t="shared" si="0"/>
        <v>-30</v>
      </c>
      <c r="J33" s="35" t="s">
        <v>41</v>
      </c>
      <c r="K33" s="35" t="s">
        <v>31</v>
      </c>
      <c r="L33" s="35" t="s">
        <v>3199</v>
      </c>
      <c r="M33" s="35"/>
      <c r="N33" s="35"/>
      <c r="O33" s="35"/>
      <c r="P33" s="35"/>
      <c r="Q33" s="35">
        <v>1</v>
      </c>
      <c r="R33" s="25">
        <f>H33</f>
        <v>30</v>
      </c>
    </row>
    <row r="34" spans="1:18" x14ac:dyDescent="0.25">
      <c r="A34" s="35"/>
      <c r="B34" s="35" t="s">
        <v>26</v>
      </c>
      <c r="C34" s="35" t="s">
        <v>3207</v>
      </c>
      <c r="D34" s="35" t="s">
        <v>3208</v>
      </c>
      <c r="E34" s="35" t="s">
        <v>3209</v>
      </c>
      <c r="F34" s="36">
        <v>4</v>
      </c>
      <c r="G34" s="36">
        <v>1895</v>
      </c>
      <c r="H34" s="36">
        <v>25</v>
      </c>
      <c r="I34" s="36">
        <f t="shared" si="0"/>
        <v>1870</v>
      </c>
      <c r="J34" s="35" t="s">
        <v>41</v>
      </c>
      <c r="K34" s="35" t="s">
        <v>31</v>
      </c>
      <c r="L34" s="35" t="s">
        <v>3199</v>
      </c>
      <c r="M34" s="35"/>
      <c r="N34" s="35"/>
      <c r="O34" s="35"/>
      <c r="P34" s="35"/>
      <c r="Q34" s="35">
        <v>1</v>
      </c>
    </row>
    <row r="35" spans="1:18" x14ac:dyDescent="0.25">
      <c r="A35" s="35"/>
      <c r="B35" s="35" t="s">
        <v>26</v>
      </c>
      <c r="C35" s="35" t="s">
        <v>1778</v>
      </c>
      <c r="D35" s="35" t="s">
        <v>3213</v>
      </c>
      <c r="E35" s="35" t="s">
        <v>3214</v>
      </c>
      <c r="F35" s="36">
        <v>1</v>
      </c>
      <c r="G35" s="36">
        <v>865</v>
      </c>
      <c r="H35" s="36">
        <v>25</v>
      </c>
      <c r="I35" s="36">
        <f t="shared" si="0"/>
        <v>840</v>
      </c>
      <c r="J35" s="35" t="s">
        <v>41</v>
      </c>
      <c r="K35" s="35" t="s">
        <v>31</v>
      </c>
      <c r="L35" s="35" t="s">
        <v>3199</v>
      </c>
      <c r="M35" s="35"/>
      <c r="N35" s="35"/>
      <c r="O35" s="35"/>
      <c r="P35" s="35"/>
      <c r="Q35" s="35">
        <v>1</v>
      </c>
    </row>
    <row r="36" spans="1:18" x14ac:dyDescent="0.25">
      <c r="A36" s="35"/>
      <c r="B36" s="35" t="s">
        <v>26</v>
      </c>
      <c r="C36" s="35" t="s">
        <v>788</v>
      </c>
      <c r="D36" s="35" t="s">
        <v>3215</v>
      </c>
      <c r="E36" s="35" t="s">
        <v>3216</v>
      </c>
      <c r="F36" s="36">
        <v>5</v>
      </c>
      <c r="G36" s="36">
        <v>0</v>
      </c>
      <c r="H36" s="36">
        <v>25</v>
      </c>
      <c r="I36" s="36">
        <f t="shared" si="0"/>
        <v>-25</v>
      </c>
      <c r="J36" s="35" t="s">
        <v>41</v>
      </c>
      <c r="K36" s="35" t="s">
        <v>31</v>
      </c>
      <c r="L36" s="35" t="s">
        <v>3199</v>
      </c>
      <c r="M36" s="66" t="s">
        <v>3304</v>
      </c>
      <c r="N36" s="35"/>
      <c r="O36" s="35"/>
      <c r="P36" s="35"/>
      <c r="Q36" s="35">
        <v>1</v>
      </c>
      <c r="R36" s="25">
        <f>H36</f>
        <v>25</v>
      </c>
    </row>
    <row r="37" spans="1:18" x14ac:dyDescent="0.25">
      <c r="A37" s="35"/>
      <c r="B37" s="35" t="s">
        <v>26</v>
      </c>
      <c r="C37" s="35" t="s">
        <v>3228</v>
      </c>
      <c r="D37" s="35" t="s">
        <v>3229</v>
      </c>
      <c r="E37" s="35" t="s">
        <v>3230</v>
      </c>
      <c r="F37" s="36">
        <v>4</v>
      </c>
      <c r="G37" s="36">
        <v>975</v>
      </c>
      <c r="H37" s="36">
        <v>25</v>
      </c>
      <c r="I37" s="36">
        <f t="shared" si="0"/>
        <v>950</v>
      </c>
      <c r="J37" s="35" t="s">
        <v>41</v>
      </c>
      <c r="K37" s="35" t="s">
        <v>31</v>
      </c>
      <c r="L37" s="35" t="s">
        <v>3199</v>
      </c>
      <c r="M37" s="35"/>
      <c r="N37" s="35"/>
      <c r="O37" s="35"/>
      <c r="P37" s="35"/>
      <c r="Q37" s="35">
        <v>1</v>
      </c>
    </row>
    <row r="38" spans="1:18" x14ac:dyDescent="0.25">
      <c r="A38" s="35"/>
      <c r="B38" s="35" t="s">
        <v>26</v>
      </c>
      <c r="C38" s="35" t="s">
        <v>3241</v>
      </c>
      <c r="D38" s="35" t="s">
        <v>3242</v>
      </c>
      <c r="E38" s="35" t="s">
        <v>3243</v>
      </c>
      <c r="F38" s="36">
        <v>5</v>
      </c>
      <c r="G38" s="36">
        <v>0</v>
      </c>
      <c r="H38" s="36">
        <v>25</v>
      </c>
      <c r="I38" s="36">
        <f t="shared" si="0"/>
        <v>-25</v>
      </c>
      <c r="J38" s="35" t="s">
        <v>41</v>
      </c>
      <c r="K38" s="35" t="s">
        <v>31</v>
      </c>
      <c r="L38" s="35" t="s">
        <v>3199</v>
      </c>
      <c r="M38" s="35"/>
      <c r="N38" s="35"/>
      <c r="O38" s="35"/>
      <c r="P38" s="35"/>
      <c r="Q38" s="35">
        <v>1</v>
      </c>
      <c r="R38" s="25">
        <f t="shared" ref="R38:R39" si="3">H38</f>
        <v>25</v>
      </c>
    </row>
    <row r="39" spans="1:18" x14ac:dyDescent="0.25">
      <c r="A39" s="35"/>
      <c r="B39" s="35" t="s">
        <v>26</v>
      </c>
      <c r="C39" s="35" t="s">
        <v>3246</v>
      </c>
      <c r="D39" s="35" t="s">
        <v>3247</v>
      </c>
      <c r="E39" s="35" t="s">
        <v>3248</v>
      </c>
      <c r="F39" s="36">
        <v>10</v>
      </c>
      <c r="G39" s="36">
        <v>0</v>
      </c>
      <c r="H39" s="36">
        <v>25</v>
      </c>
      <c r="I39" s="36">
        <f t="shared" si="0"/>
        <v>-25</v>
      </c>
      <c r="J39" s="35" t="s">
        <v>41</v>
      </c>
      <c r="K39" s="35" t="s">
        <v>31</v>
      </c>
      <c r="L39" s="35" t="s">
        <v>3199</v>
      </c>
      <c r="M39" s="35"/>
      <c r="N39" s="35"/>
      <c r="O39" s="35"/>
      <c r="P39" s="35"/>
      <c r="Q39" s="35">
        <v>1</v>
      </c>
      <c r="R39" s="25">
        <f t="shared" si="3"/>
        <v>25</v>
      </c>
    </row>
    <row r="40" spans="1:18" s="41" customFormat="1" x14ac:dyDescent="0.25">
      <c r="A40" s="39"/>
      <c r="B40" s="39" t="s">
        <v>26</v>
      </c>
      <c r="C40" s="39" t="s">
        <v>1812</v>
      </c>
      <c r="D40" s="39" t="s">
        <v>3258</v>
      </c>
      <c r="E40" s="39" t="s">
        <v>3107</v>
      </c>
      <c r="F40" s="40">
        <v>1</v>
      </c>
      <c r="G40" s="40">
        <v>25</v>
      </c>
      <c r="H40" s="40">
        <v>25</v>
      </c>
      <c r="I40" s="40">
        <f t="shared" si="0"/>
        <v>0</v>
      </c>
      <c r="J40" s="39" t="s">
        <v>41</v>
      </c>
      <c r="K40" s="39" t="s">
        <v>31</v>
      </c>
      <c r="L40" s="39" t="s">
        <v>3199</v>
      </c>
      <c r="M40" s="39" t="s">
        <v>37</v>
      </c>
      <c r="N40" s="39"/>
      <c r="O40" s="39"/>
      <c r="P40" s="39"/>
      <c r="Q40" s="39">
        <v>1</v>
      </c>
    </row>
    <row r="41" spans="1:18" x14ac:dyDescent="0.25">
      <c r="A41" s="35"/>
      <c r="B41" s="35" t="s">
        <v>26</v>
      </c>
      <c r="C41" s="35" t="s">
        <v>3262</v>
      </c>
      <c r="D41" s="35" t="s">
        <v>3263</v>
      </c>
      <c r="E41" s="35" t="s">
        <v>3264</v>
      </c>
      <c r="F41" s="35" t="s">
        <v>101</v>
      </c>
      <c r="G41" s="36">
        <v>845</v>
      </c>
      <c r="H41" s="36">
        <v>25</v>
      </c>
      <c r="I41" s="36">
        <f t="shared" si="0"/>
        <v>820</v>
      </c>
      <c r="J41" s="35" t="s">
        <v>41</v>
      </c>
      <c r="K41" s="35" t="s">
        <v>31</v>
      </c>
      <c r="L41" s="35" t="s">
        <v>3199</v>
      </c>
      <c r="M41" s="35"/>
      <c r="N41" s="35"/>
      <c r="O41" s="35"/>
      <c r="P41" s="35"/>
      <c r="Q41" s="35">
        <v>1</v>
      </c>
    </row>
    <row r="42" spans="1:18" x14ac:dyDescent="0.25">
      <c r="A42" s="35"/>
      <c r="B42" s="35" t="s">
        <v>26</v>
      </c>
      <c r="C42" s="35" t="s">
        <v>3265</v>
      </c>
      <c r="D42" s="35" t="s">
        <v>3266</v>
      </c>
      <c r="E42" s="35" t="s">
        <v>3267</v>
      </c>
      <c r="F42" s="35" t="s">
        <v>101</v>
      </c>
      <c r="G42" s="36">
        <v>845</v>
      </c>
      <c r="H42" s="36">
        <v>25</v>
      </c>
      <c r="I42" s="36">
        <f t="shared" si="0"/>
        <v>820</v>
      </c>
      <c r="J42" s="35" t="s">
        <v>41</v>
      </c>
      <c r="K42" s="35" t="s">
        <v>31</v>
      </c>
      <c r="L42" s="35" t="s">
        <v>3199</v>
      </c>
      <c r="M42" s="35"/>
      <c r="N42" s="35"/>
      <c r="O42" s="35"/>
      <c r="P42" s="35"/>
      <c r="Q42" s="35">
        <v>1</v>
      </c>
    </row>
    <row r="43" spans="1:18" x14ac:dyDescent="0.25">
      <c r="A43" s="35"/>
      <c r="B43" s="35" t="s">
        <v>26</v>
      </c>
      <c r="C43" s="35" t="s">
        <v>3273</v>
      </c>
      <c r="D43" s="35" t="s">
        <v>3274</v>
      </c>
      <c r="E43" s="35" t="s">
        <v>3275</v>
      </c>
      <c r="F43" s="36">
        <v>5</v>
      </c>
      <c r="G43" s="36">
        <v>601</v>
      </c>
      <c r="H43" s="36">
        <v>25</v>
      </c>
      <c r="I43" s="36">
        <f t="shared" si="0"/>
        <v>576</v>
      </c>
      <c r="J43" s="35" t="s">
        <v>41</v>
      </c>
      <c r="K43" s="35" t="s">
        <v>31</v>
      </c>
      <c r="L43" s="35" t="s">
        <v>3199</v>
      </c>
      <c r="M43" s="35"/>
      <c r="N43" s="35"/>
      <c r="O43" s="35"/>
      <c r="P43" s="35"/>
      <c r="Q43" s="35">
        <v>1</v>
      </c>
    </row>
    <row r="44" spans="1:18" x14ac:dyDescent="0.25">
      <c r="A44" s="35"/>
      <c r="B44" s="35" t="s">
        <v>26</v>
      </c>
      <c r="C44" s="35" t="s">
        <v>3285</v>
      </c>
      <c r="D44" s="35" t="s">
        <v>3286</v>
      </c>
      <c r="E44" s="35" t="s">
        <v>3287</v>
      </c>
      <c r="F44" s="36">
        <v>3</v>
      </c>
      <c r="G44" s="36">
        <v>0</v>
      </c>
      <c r="H44" s="36">
        <v>25</v>
      </c>
      <c r="I44" s="36">
        <f t="shared" si="0"/>
        <v>-25</v>
      </c>
      <c r="J44" s="35" t="s">
        <v>41</v>
      </c>
      <c r="K44" s="35" t="s">
        <v>31</v>
      </c>
      <c r="L44" s="35" t="s">
        <v>3199</v>
      </c>
      <c r="M44" s="35"/>
      <c r="N44" s="35"/>
      <c r="O44" s="35"/>
      <c r="P44" s="35"/>
      <c r="Q44" s="35">
        <v>1</v>
      </c>
      <c r="R44" s="25">
        <f>H44</f>
        <v>25</v>
      </c>
    </row>
    <row r="45" spans="1:18" x14ac:dyDescent="0.25">
      <c r="A45" s="35"/>
      <c r="B45" s="35" t="s">
        <v>26</v>
      </c>
      <c r="C45" s="35" t="s">
        <v>3294</v>
      </c>
      <c r="D45" s="35" t="s">
        <v>3295</v>
      </c>
      <c r="E45" s="35" t="s">
        <v>3296</v>
      </c>
      <c r="F45" s="36">
        <v>4</v>
      </c>
      <c r="G45" s="36">
        <v>945</v>
      </c>
      <c r="H45" s="36">
        <v>25</v>
      </c>
      <c r="I45" s="36">
        <f t="shared" si="0"/>
        <v>920</v>
      </c>
      <c r="J45" s="35" t="s">
        <v>41</v>
      </c>
      <c r="K45" s="35" t="s">
        <v>31</v>
      </c>
      <c r="L45" s="35" t="s">
        <v>3199</v>
      </c>
      <c r="M45" s="35"/>
      <c r="N45" s="35"/>
      <c r="O45" s="35"/>
      <c r="P45" s="35"/>
      <c r="Q45" s="35">
        <v>1</v>
      </c>
    </row>
    <row r="46" spans="1:18" s="53" customFormat="1" x14ac:dyDescent="0.25">
      <c r="A46" s="54"/>
      <c r="B46" s="54" t="s">
        <v>26</v>
      </c>
      <c r="C46" s="54" t="s">
        <v>3179</v>
      </c>
      <c r="D46" s="54" t="s">
        <v>3180</v>
      </c>
      <c r="E46" s="54" t="s">
        <v>3181</v>
      </c>
      <c r="F46" s="55" t="s">
        <v>3303</v>
      </c>
      <c r="G46" s="54">
        <v>1960</v>
      </c>
      <c r="H46" s="54">
        <v>0</v>
      </c>
      <c r="I46" s="54">
        <f t="shared" ref="I46" si="4">G46-H46</f>
        <v>1960</v>
      </c>
      <c r="J46" s="37" t="s">
        <v>118</v>
      </c>
      <c r="K46" s="54" t="s">
        <v>31</v>
      </c>
      <c r="L46" s="54" t="s">
        <v>3034</v>
      </c>
      <c r="M46" s="54" t="s">
        <v>94</v>
      </c>
      <c r="N46" s="54" t="s">
        <v>316</v>
      </c>
      <c r="O46" s="54" t="s">
        <v>316</v>
      </c>
      <c r="P46" s="54" t="s">
        <v>317</v>
      </c>
      <c r="Q46" s="54">
        <v>1</v>
      </c>
    </row>
    <row r="47" spans="1:18" s="30" customFormat="1" x14ac:dyDescent="0.25">
      <c r="A47" s="37"/>
      <c r="B47" s="37" t="s">
        <v>26</v>
      </c>
      <c r="C47" s="37" t="s">
        <v>3185</v>
      </c>
      <c r="D47" s="37" t="s">
        <v>3186</v>
      </c>
      <c r="E47" s="37" t="s">
        <v>3187</v>
      </c>
      <c r="F47" s="37" t="s">
        <v>128</v>
      </c>
      <c r="G47" s="43">
        <v>2070</v>
      </c>
      <c r="H47" s="43">
        <v>0</v>
      </c>
      <c r="I47" s="43">
        <f>G47-H47</f>
        <v>2070</v>
      </c>
      <c r="J47" s="37" t="s">
        <v>118</v>
      </c>
      <c r="K47" s="37" t="s">
        <v>31</v>
      </c>
      <c r="L47" s="37" t="s">
        <v>3034</v>
      </c>
      <c r="M47" s="37" t="s">
        <v>94</v>
      </c>
      <c r="N47" s="37" t="s">
        <v>316</v>
      </c>
      <c r="O47" s="37" t="s">
        <v>316</v>
      </c>
      <c r="P47" s="37" t="s">
        <v>317</v>
      </c>
      <c r="Q47" s="37">
        <v>1</v>
      </c>
    </row>
    <row r="49" spans="1:17" x14ac:dyDescent="0.25">
      <c r="D49" s="26">
        <f>COUNTA(D3:D47)</f>
        <v>39</v>
      </c>
      <c r="G49" s="26">
        <f t="shared" ref="G49:Q49" si="5">SUBTOTAL(9,G3:G47)</f>
        <v>28851</v>
      </c>
      <c r="H49" s="26">
        <f t="shared" si="5"/>
        <v>1250</v>
      </c>
      <c r="I49" s="26">
        <f t="shared" si="5"/>
        <v>27601</v>
      </c>
      <c r="J49" s="26">
        <f t="shared" si="5"/>
        <v>0</v>
      </c>
      <c r="K49" s="26">
        <f t="shared" si="5"/>
        <v>0</v>
      </c>
      <c r="L49" s="26">
        <f t="shared" si="5"/>
        <v>0</v>
      </c>
      <c r="M49" s="26">
        <f t="shared" si="5"/>
        <v>0</v>
      </c>
      <c r="N49" s="26">
        <f t="shared" si="5"/>
        <v>0</v>
      </c>
      <c r="O49" s="26">
        <f t="shared" si="5"/>
        <v>0</v>
      </c>
      <c r="P49" s="26">
        <f t="shared" si="5"/>
        <v>0</v>
      </c>
      <c r="Q49" s="26">
        <f t="shared" si="5"/>
        <v>45</v>
      </c>
    </row>
    <row r="50" spans="1:17" x14ac:dyDescent="0.25">
      <c r="H50" s="24">
        <f>-7*17</f>
        <v>-119</v>
      </c>
    </row>
    <row r="51" spans="1:17" x14ac:dyDescent="0.25">
      <c r="A51" s="26" t="s">
        <v>26</v>
      </c>
      <c r="C51" s="80" t="s">
        <v>78</v>
      </c>
      <c r="D51" s="80"/>
      <c r="E51" s="27" t="s">
        <v>79</v>
      </c>
      <c r="H51" s="24">
        <f>-4*25</f>
        <v>-100</v>
      </c>
      <c r="K51" s="28" t="s">
        <v>31</v>
      </c>
      <c r="L51" s="28" t="s">
        <v>80</v>
      </c>
      <c r="M51" s="28" t="s">
        <v>79</v>
      </c>
      <c r="O51" s="27" t="s">
        <v>81</v>
      </c>
    </row>
    <row r="52" spans="1:17" x14ac:dyDescent="0.25">
      <c r="A52" s="24" t="s">
        <v>3199</v>
      </c>
      <c r="B52" s="29" t="s">
        <v>82</v>
      </c>
      <c r="C52" s="81">
        <f>SUMIFS(I$3:I$47,B$3:B$47,A$51,L$3:L$47,A$52)</f>
        <v>23571</v>
      </c>
      <c r="D52" s="81"/>
      <c r="E52" s="29">
        <f>SUMIFS(Q$3:Q$47,B$3:B$47,A$51,L$3:L$47,A$52)</f>
        <v>43</v>
      </c>
      <c r="F52" s="24" t="s">
        <v>83</v>
      </c>
      <c r="H52" s="24">
        <f>-4*30</f>
        <v>-120</v>
      </c>
      <c r="K52" s="24" t="s">
        <v>84</v>
      </c>
      <c r="L52" s="24">
        <f>SUMIFS(G$3:G$47,J$3:J$47,K$51)</f>
        <v>8990</v>
      </c>
      <c r="M52" s="24">
        <f>SUMIFS(Q$3:Q$47,J$3:J$47,K$51)-INT(COUNTIFS(J$3:J$47,K$51,M$3:M$47,"*gộp*")/2)</f>
        <v>15</v>
      </c>
      <c r="O52" s="24" t="s">
        <v>31</v>
      </c>
      <c r="P52" s="24">
        <f>L57</f>
        <v>6449</v>
      </c>
    </row>
    <row r="53" spans="1:17" x14ac:dyDescent="0.25">
      <c r="B53" s="30" t="s">
        <v>86</v>
      </c>
      <c r="C53" s="82">
        <v>0</v>
      </c>
      <c r="D53" s="82"/>
      <c r="K53" s="24" t="s">
        <v>87</v>
      </c>
      <c r="L53" s="24">
        <f>-SUMIFS(H$3:H$47,J$3:J$47,K$51)+M53*5</f>
        <v>-390</v>
      </c>
      <c r="M53" s="24">
        <f>SUMIFS(Q$3:Q$47,J$3:J$47,K$51)-INT(COUNTIFS(J$3:J$47,K$51,M$3:M$47,"*gộp*")/2)</f>
        <v>15</v>
      </c>
      <c r="O53" s="24" t="s">
        <v>41</v>
      </c>
      <c r="P53" s="24">
        <f>L65</f>
        <v>6731</v>
      </c>
    </row>
    <row r="54" spans="1:17" x14ac:dyDescent="0.25">
      <c r="B54" s="30" t="s">
        <v>88</v>
      </c>
      <c r="C54" s="82">
        <f>-SUMIFS(I$3:I$47,B$3:B$47,A$51,P$3:P$47,"xx",N$3:N$47,"x")</f>
        <v>-4030</v>
      </c>
      <c r="D54" s="82"/>
      <c r="E54" s="30">
        <f>SUMIFS(Q$3:Q$47,B$3:B$47,A$51,P$3:P$47,"xx",N$3:N$47,"x")</f>
        <v>2</v>
      </c>
      <c r="K54" s="24" t="s">
        <v>89</v>
      </c>
      <c r="L54" s="24">
        <f>-M54*2</f>
        <v>-86</v>
      </c>
      <c r="M54" s="24">
        <f>COUNTIFS(K$3:K$47,K$51,L$3:L$47,A$52)-(COUNTIFS(K$3:K$47,K$51,M$3:M$47,"*gộp*")/2)-COUNTIFS(K$3:K$47,K$51,M$3:M$47,"*đơn trả*")-COUNTIFS(K$3:K$47,K$51,M$3:M$47,"*hàng tỉnh*")</f>
        <v>43</v>
      </c>
      <c r="O54" s="24" t="s">
        <v>3301</v>
      </c>
      <c r="P54" s="24">
        <f>L73</f>
        <v>6536</v>
      </c>
    </row>
    <row r="55" spans="1:17" x14ac:dyDescent="0.25">
      <c r="B55" s="27" t="s">
        <v>90</v>
      </c>
      <c r="C55" s="80">
        <f>SUBTOTAL(9,C52:C54)</f>
        <v>19541</v>
      </c>
      <c r="D55" s="80"/>
      <c r="E55" s="24">
        <f>E52</f>
        <v>43</v>
      </c>
      <c r="K55" s="31" t="s">
        <v>91</v>
      </c>
      <c r="L55" s="48"/>
      <c r="M55" s="48"/>
      <c r="O55" s="24" t="s">
        <v>92</v>
      </c>
      <c r="P55" s="24">
        <f>-C59</f>
        <v>-19541</v>
      </c>
    </row>
    <row r="56" spans="1:17" x14ac:dyDescent="0.25">
      <c r="B56" s="30" t="s">
        <v>93</v>
      </c>
      <c r="C56" s="78"/>
      <c r="D56" s="78"/>
      <c r="K56" s="30" t="s">
        <v>94</v>
      </c>
      <c r="L56" s="48">
        <v>-2065</v>
      </c>
      <c r="M56" s="48" t="s">
        <v>590</v>
      </c>
      <c r="O56" s="27" t="s">
        <v>95</v>
      </c>
      <c r="P56" s="27">
        <f>SUBTOTAL(9,P52:P55)</f>
        <v>175</v>
      </c>
    </row>
    <row r="57" spans="1:17" x14ac:dyDescent="0.25">
      <c r="B57" s="32" t="s">
        <v>96</v>
      </c>
      <c r="C57" s="78"/>
      <c r="D57" s="78"/>
      <c r="L57" s="33">
        <f>SUBTOTAL(9,L52:L56)</f>
        <v>6449</v>
      </c>
      <c r="M57" s="33">
        <f>M52</f>
        <v>15</v>
      </c>
    </row>
    <row r="59" spans="1:17" x14ac:dyDescent="0.25">
      <c r="B59" s="26" t="s">
        <v>97</v>
      </c>
      <c r="C59" s="79">
        <f>C55+C56+C57</f>
        <v>19541</v>
      </c>
      <c r="D59" s="79"/>
      <c r="E59" s="26" t="s">
        <v>98</v>
      </c>
      <c r="K59" s="28" t="s">
        <v>41</v>
      </c>
      <c r="L59" s="28" t="s">
        <v>80</v>
      </c>
      <c r="M59" s="28" t="s">
        <v>79</v>
      </c>
    </row>
    <row r="60" spans="1:17" x14ac:dyDescent="0.25">
      <c r="K60" s="24" t="s">
        <v>84</v>
      </c>
      <c r="L60" s="24">
        <f>SUMIFS(G$3:G$47,J$3:J$47,K$59)</f>
        <v>6996</v>
      </c>
      <c r="M60" s="24">
        <f>SUMIFS(Q$3:Q$47,J$3:J$47,K$59)-INT(COUNTIFS(J$3:J$47,K$59,M$3:M$47,"*gộp*")/2)</f>
        <v>13</v>
      </c>
    </row>
    <row r="61" spans="1:17" x14ac:dyDescent="0.25">
      <c r="K61" s="24" t="s">
        <v>87</v>
      </c>
      <c r="L61" s="24">
        <f>-SUMIFS(H$3:H$47,J$3:J$47,K$59)+M61*5</f>
        <v>-265</v>
      </c>
      <c r="M61" s="24">
        <f>SUMIFS(Q$3:Q$47,J$3:J$47,K$59)-INT(COUNTIFS(J$3:J$47,K$59,M$3:M$47,"*gộp*")/2)</f>
        <v>13</v>
      </c>
    </row>
    <row r="62" spans="1:17" x14ac:dyDescent="0.25">
      <c r="K62" s="24" t="s">
        <v>89</v>
      </c>
      <c r="L62" s="24">
        <f>-M62*2</f>
        <v>0</v>
      </c>
      <c r="M62" s="24">
        <f>COUNTIFS(K$3:K$47,K$59,L$3:L$47,A$52)-(COUNTIFS(K$3:K$47,K$59,M$3:M$47,"*gộp*")/2)-COUNTIFS(K$3:K$47,K$59,M$3:M$47,"*đơn trả*")-COUNTIFS(K$3:K$47,K$59,M$3:M$47,"*hàng tỉnh*")</f>
        <v>0</v>
      </c>
    </row>
    <row r="63" spans="1:17" x14ac:dyDescent="0.25">
      <c r="K63" s="31" t="s">
        <v>91</v>
      </c>
    </row>
    <row r="64" spans="1:17" x14ac:dyDescent="0.25">
      <c r="K64" s="30" t="s">
        <v>94</v>
      </c>
    </row>
    <row r="65" spans="11:13" x14ac:dyDescent="0.25">
      <c r="L65" s="33">
        <f>SUBTOTAL(9,L60:L64)</f>
        <v>6731</v>
      </c>
      <c r="M65" s="33">
        <f>M60</f>
        <v>13</v>
      </c>
    </row>
    <row r="67" spans="11:13" x14ac:dyDescent="0.25">
      <c r="K67" s="28" t="s">
        <v>3206</v>
      </c>
      <c r="L67" s="28" t="s">
        <v>80</v>
      </c>
      <c r="M67" s="28" t="s">
        <v>79</v>
      </c>
    </row>
    <row r="68" spans="11:13" x14ac:dyDescent="0.25">
      <c r="K68" s="24" t="s">
        <v>84</v>
      </c>
      <c r="L68" s="24">
        <f>SUMIFS(G$3:G$47,J$3:J$47,K$67)</f>
        <v>8835</v>
      </c>
      <c r="M68" s="24">
        <f>SUMIFS(Q$3:Q$47,J$3:J$47,K$67)-INT(COUNTIFS(J$3:J$47,K$67,M$3:M$47,"*gộp*")/2)</f>
        <v>15</v>
      </c>
    </row>
    <row r="69" spans="11:13" x14ac:dyDescent="0.25">
      <c r="K69" s="24" t="s">
        <v>87</v>
      </c>
      <c r="L69" s="24">
        <f>SUM(H50:H52)</f>
        <v>-339</v>
      </c>
      <c r="M69" s="24">
        <f>SUMIFS(Q$3:Q$47,J$3:J$47,K$67)-INT(COUNTIFS(J$3:J$47,K$67,M$3:M$47,"*gộp*")/2)</f>
        <v>15</v>
      </c>
    </row>
    <row r="70" spans="11:13" x14ac:dyDescent="0.25">
      <c r="K70" s="24" t="s">
        <v>89</v>
      </c>
      <c r="L70" s="24">
        <f>-M70*2</f>
        <v>0</v>
      </c>
      <c r="M70" s="24">
        <f>COUNTIFS(K$3:K$47,K$67,L$3:L$47,A$52)-(COUNTIFS(K$3:K$47,K$67,M$3:M$47,"*gộp*")/2)-COUNTIFS(K$3:K$47,K$67,M$3:M$47,"*đơn trả*")-COUNTIFS(K$3:K$47,K$67,M$3:M$47,"*hàng tỉnh*")</f>
        <v>0</v>
      </c>
    </row>
    <row r="71" spans="11:13" x14ac:dyDescent="0.25">
      <c r="K71" s="31" t="s">
        <v>91</v>
      </c>
    </row>
    <row r="72" spans="11:13" x14ac:dyDescent="0.25">
      <c r="K72" s="30" t="s">
        <v>94</v>
      </c>
      <c r="L72" s="48">
        <v>-1960</v>
      </c>
      <c r="M72" s="48" t="s">
        <v>590</v>
      </c>
    </row>
    <row r="73" spans="11:13" x14ac:dyDescent="0.25">
      <c r="L73" s="33">
        <f>SUBTOTAL(9,L68:L72)</f>
        <v>6536</v>
      </c>
      <c r="M73" s="33">
        <f>M68</f>
        <v>15</v>
      </c>
    </row>
  </sheetData>
  <autoFilter ref="A2:P47" xr:uid="{00000000-0009-0000-0000-000000000000}">
    <sortState xmlns:xlrd2="http://schemas.microsoft.com/office/spreadsheetml/2017/richdata2" ref="A3:P47">
      <sortCondition ref="J2:J47"/>
    </sortState>
  </autoFilter>
  <mergeCells count="8">
    <mergeCell ref="C57:D57"/>
    <mergeCell ref="C59:D59"/>
    <mergeCell ref="C51:D51"/>
    <mergeCell ref="C52:D52"/>
    <mergeCell ref="C53:D53"/>
    <mergeCell ref="C54:D54"/>
    <mergeCell ref="C55:D55"/>
    <mergeCell ref="C56:D56"/>
  </mergeCells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27ED-5C49-4647-9486-4AD7821DC095}">
  <dimension ref="A1:R82"/>
  <sheetViews>
    <sheetView topLeftCell="A55" zoomScale="90" zoomScaleNormal="90" workbookViewId="0">
      <selection activeCell="I69" sqref="I69"/>
    </sheetView>
  </sheetViews>
  <sheetFormatPr defaultRowHeight="15" x14ac:dyDescent="0.25"/>
  <cols>
    <col min="1" max="1" width="12.7109375" style="24" customWidth="1"/>
    <col min="2" max="2" width="8.28515625" style="24" customWidth="1"/>
    <col min="3" max="3" width="30.85546875" style="24" customWidth="1"/>
    <col min="4" max="4" width="26.140625" style="24" customWidth="1"/>
    <col min="5" max="5" width="78.140625" style="24" customWidth="1"/>
    <col min="6" max="6" width="10.85546875" style="24" customWidth="1"/>
    <col min="7" max="7" width="9.140625" style="24" customWidth="1"/>
    <col min="8" max="8" width="9.5703125" style="24" customWidth="1"/>
    <col min="9" max="9" width="10.5703125" style="24" customWidth="1"/>
    <col min="10" max="10" width="9.7109375" style="24" customWidth="1"/>
    <col min="11" max="11" width="10.85546875" style="24" customWidth="1"/>
    <col min="12" max="12" width="12.5703125" style="24" bestFit="1" customWidth="1"/>
    <col min="13" max="13" width="18.42578125" style="24" customWidth="1"/>
    <col min="14" max="14" width="9.7109375" style="24" customWidth="1"/>
    <col min="15" max="15" width="10.42578125" style="24" customWidth="1"/>
    <col min="16" max="16" width="7.28515625" style="24" bestFit="1" customWidth="1"/>
    <col min="17" max="16384" width="9.140625" style="24"/>
  </cols>
  <sheetData>
    <row r="1" spans="1:18" customFormat="1" x14ac:dyDescent="0.25">
      <c r="B1" s="4" t="s">
        <v>1306</v>
      </c>
      <c r="C1" s="4" t="s">
        <v>3423</v>
      </c>
      <c r="F1" s="65"/>
    </row>
    <row r="2" spans="1:18" x14ac:dyDescent="0.25">
      <c r="A2" s="34" t="s">
        <v>10</v>
      </c>
      <c r="B2" s="34" t="s">
        <v>11</v>
      </c>
      <c r="C2" s="34" t="s">
        <v>12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34" t="s">
        <v>19</v>
      </c>
      <c r="K2" s="34" t="s">
        <v>20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35"/>
    </row>
    <row r="3" spans="1:18" x14ac:dyDescent="0.25">
      <c r="A3" s="35"/>
      <c r="B3" s="35" t="s">
        <v>26</v>
      </c>
      <c r="C3" s="35" t="s">
        <v>3318</v>
      </c>
      <c r="D3" s="35" t="s">
        <v>3319</v>
      </c>
      <c r="E3" s="35" t="s">
        <v>3320</v>
      </c>
      <c r="F3" s="36">
        <v>9</v>
      </c>
      <c r="G3" s="36">
        <v>5100</v>
      </c>
      <c r="H3" s="36">
        <v>50</v>
      </c>
      <c r="I3" s="36">
        <f t="shared" ref="I3:I34" si="0">G3-H3</f>
        <v>5050</v>
      </c>
      <c r="J3" s="35" t="s">
        <v>3321</v>
      </c>
      <c r="K3" s="35" t="s">
        <v>31</v>
      </c>
      <c r="L3" s="35" t="s">
        <v>3309</v>
      </c>
      <c r="M3" s="38" t="s">
        <v>59</v>
      </c>
      <c r="N3" s="35"/>
      <c r="O3" s="35"/>
      <c r="P3" s="35"/>
      <c r="Q3" s="35">
        <v>1</v>
      </c>
      <c r="R3" s="25">
        <f>H3</f>
        <v>50</v>
      </c>
    </row>
    <row r="4" spans="1:18" x14ac:dyDescent="0.25">
      <c r="A4" s="35"/>
      <c r="B4" s="35" t="s">
        <v>26</v>
      </c>
      <c r="C4" s="35" t="s">
        <v>3330</v>
      </c>
      <c r="D4" s="35" t="s">
        <v>3331</v>
      </c>
      <c r="E4" s="35" t="s">
        <v>3332</v>
      </c>
      <c r="F4" s="35" t="s">
        <v>45</v>
      </c>
      <c r="G4" s="36">
        <v>745</v>
      </c>
      <c r="H4" s="36">
        <v>25</v>
      </c>
      <c r="I4" s="36">
        <f t="shared" si="0"/>
        <v>720</v>
      </c>
      <c r="J4" s="35" t="s">
        <v>3321</v>
      </c>
      <c r="K4" s="35" t="s">
        <v>31</v>
      </c>
      <c r="L4" s="35" t="s">
        <v>3309</v>
      </c>
      <c r="M4" s="35"/>
      <c r="N4" s="35"/>
      <c r="O4" s="35"/>
      <c r="P4" s="35"/>
      <c r="Q4" s="35">
        <v>1</v>
      </c>
    </row>
    <row r="5" spans="1:18" x14ac:dyDescent="0.25">
      <c r="A5" s="35"/>
      <c r="B5" s="35" t="s">
        <v>26</v>
      </c>
      <c r="C5" s="35" t="s">
        <v>2906</v>
      </c>
      <c r="D5" s="35" t="s">
        <v>3333</v>
      </c>
      <c r="E5" s="35" t="s">
        <v>2908</v>
      </c>
      <c r="F5" s="36">
        <v>7</v>
      </c>
      <c r="G5" s="36">
        <v>950</v>
      </c>
      <c r="H5" s="36">
        <v>30</v>
      </c>
      <c r="I5" s="36">
        <f t="shared" si="0"/>
        <v>920</v>
      </c>
      <c r="J5" s="35" t="s">
        <v>3321</v>
      </c>
      <c r="K5" s="35" t="s">
        <v>31</v>
      </c>
      <c r="L5" s="35" t="s">
        <v>3309</v>
      </c>
      <c r="M5" s="35"/>
      <c r="N5" s="35"/>
      <c r="O5" s="35"/>
      <c r="P5" s="35"/>
      <c r="Q5" s="35">
        <v>1</v>
      </c>
    </row>
    <row r="6" spans="1:18" x14ac:dyDescent="0.25">
      <c r="A6" s="35"/>
      <c r="B6" s="35" t="s">
        <v>26</v>
      </c>
      <c r="C6" s="35" t="s">
        <v>3334</v>
      </c>
      <c r="D6" s="35" t="s">
        <v>3335</v>
      </c>
      <c r="E6" s="35" t="s">
        <v>3336</v>
      </c>
      <c r="F6" s="35" t="s">
        <v>45</v>
      </c>
      <c r="G6" s="36">
        <v>815</v>
      </c>
      <c r="H6" s="36">
        <v>25</v>
      </c>
      <c r="I6" s="36">
        <f t="shared" si="0"/>
        <v>790</v>
      </c>
      <c r="J6" s="35" t="s">
        <v>3321</v>
      </c>
      <c r="K6" s="35" t="s">
        <v>31</v>
      </c>
      <c r="L6" s="35" t="s">
        <v>3309</v>
      </c>
      <c r="M6" s="35"/>
      <c r="N6" s="35"/>
      <c r="O6" s="35"/>
      <c r="P6" s="35"/>
      <c r="Q6" s="35">
        <v>1</v>
      </c>
    </row>
    <row r="7" spans="1:18" x14ac:dyDescent="0.25">
      <c r="A7" s="35"/>
      <c r="B7" s="35" t="s">
        <v>26</v>
      </c>
      <c r="C7" s="35" t="s">
        <v>3348</v>
      </c>
      <c r="D7" s="35" t="s">
        <v>3349</v>
      </c>
      <c r="E7" s="35" t="s">
        <v>3350</v>
      </c>
      <c r="F7" s="35" t="s">
        <v>77</v>
      </c>
      <c r="G7" s="36">
        <v>520</v>
      </c>
      <c r="H7" s="36">
        <v>30</v>
      </c>
      <c r="I7" s="36">
        <f t="shared" si="0"/>
        <v>490</v>
      </c>
      <c r="J7" s="35" t="s">
        <v>3321</v>
      </c>
      <c r="K7" s="35" t="s">
        <v>31</v>
      </c>
      <c r="L7" s="35" t="s">
        <v>3309</v>
      </c>
      <c r="M7" s="35"/>
      <c r="N7" s="35"/>
      <c r="O7" s="35"/>
      <c r="P7" s="35"/>
      <c r="Q7" s="35">
        <v>1</v>
      </c>
    </row>
    <row r="8" spans="1:18" x14ac:dyDescent="0.25">
      <c r="A8" s="35"/>
      <c r="B8" s="35" t="s">
        <v>26</v>
      </c>
      <c r="C8" s="35" t="s">
        <v>3354</v>
      </c>
      <c r="D8" s="35" t="s">
        <v>3355</v>
      </c>
      <c r="E8" s="35" t="s">
        <v>3356</v>
      </c>
      <c r="F8" s="36">
        <v>8</v>
      </c>
      <c r="G8" s="36">
        <v>810</v>
      </c>
      <c r="H8" s="36">
        <v>30</v>
      </c>
      <c r="I8" s="36">
        <f t="shared" si="0"/>
        <v>780</v>
      </c>
      <c r="J8" s="35" t="s">
        <v>3321</v>
      </c>
      <c r="K8" s="35" t="s">
        <v>31</v>
      </c>
      <c r="L8" s="35" t="s">
        <v>3309</v>
      </c>
      <c r="M8" s="35"/>
      <c r="N8" s="35"/>
      <c r="O8" s="35"/>
      <c r="P8" s="35"/>
      <c r="Q8" s="35">
        <v>1</v>
      </c>
    </row>
    <row r="9" spans="1:18" x14ac:dyDescent="0.25">
      <c r="A9" s="35"/>
      <c r="B9" s="35" t="s">
        <v>26</v>
      </c>
      <c r="C9" s="35" t="s">
        <v>1761</v>
      </c>
      <c r="D9" s="35" t="s">
        <v>3357</v>
      </c>
      <c r="E9" s="35" t="s">
        <v>3358</v>
      </c>
      <c r="F9" s="35" t="s">
        <v>77</v>
      </c>
      <c r="G9" s="36">
        <v>0</v>
      </c>
      <c r="H9" s="36">
        <v>45</v>
      </c>
      <c r="I9" s="36">
        <f t="shared" si="0"/>
        <v>-45</v>
      </c>
      <c r="J9" s="35" t="s">
        <v>3321</v>
      </c>
      <c r="K9" s="35" t="s">
        <v>31</v>
      </c>
      <c r="L9" s="35" t="s">
        <v>3309</v>
      </c>
      <c r="M9" s="35"/>
      <c r="N9" s="35"/>
      <c r="O9" s="35"/>
      <c r="P9" s="35"/>
      <c r="Q9" s="35">
        <v>1</v>
      </c>
      <c r="R9" s="25">
        <f>H9</f>
        <v>45</v>
      </c>
    </row>
    <row r="10" spans="1:18" x14ac:dyDescent="0.25">
      <c r="A10" s="35"/>
      <c r="B10" s="35" t="s">
        <v>26</v>
      </c>
      <c r="C10" s="35" t="s">
        <v>3362</v>
      </c>
      <c r="D10" s="35" t="s">
        <v>3363</v>
      </c>
      <c r="E10" s="35" t="s">
        <v>3364</v>
      </c>
      <c r="F10" s="35" t="s">
        <v>45</v>
      </c>
      <c r="G10" s="36">
        <v>1955</v>
      </c>
      <c r="H10" s="36">
        <v>25</v>
      </c>
      <c r="I10" s="36">
        <f t="shared" si="0"/>
        <v>1930</v>
      </c>
      <c r="J10" s="35" t="s">
        <v>3321</v>
      </c>
      <c r="K10" s="35" t="s">
        <v>31</v>
      </c>
      <c r="L10" s="35" t="s">
        <v>3309</v>
      </c>
      <c r="M10" s="35"/>
      <c r="N10" s="35"/>
      <c r="O10" s="35"/>
      <c r="P10" s="35"/>
      <c r="Q10" s="35">
        <v>1</v>
      </c>
    </row>
    <row r="11" spans="1:18" x14ac:dyDescent="0.25">
      <c r="A11" s="35"/>
      <c r="B11" s="35" t="s">
        <v>26</v>
      </c>
      <c r="C11" s="35" t="s">
        <v>3366</v>
      </c>
      <c r="D11" s="35" t="s">
        <v>3367</v>
      </c>
      <c r="E11" s="35" t="s">
        <v>3368</v>
      </c>
      <c r="F11" s="35" t="s">
        <v>117</v>
      </c>
      <c r="G11" s="36">
        <v>1215</v>
      </c>
      <c r="H11" s="36">
        <v>35</v>
      </c>
      <c r="I11" s="36">
        <f t="shared" si="0"/>
        <v>1180</v>
      </c>
      <c r="J11" s="35" t="s">
        <v>3321</v>
      </c>
      <c r="K11" s="35" t="s">
        <v>31</v>
      </c>
      <c r="L11" s="35" t="s">
        <v>3309</v>
      </c>
      <c r="M11" s="35"/>
      <c r="N11" s="35"/>
      <c r="O11" s="35"/>
      <c r="P11" s="35"/>
      <c r="Q11" s="35">
        <v>1</v>
      </c>
    </row>
    <row r="12" spans="1:18" x14ac:dyDescent="0.25">
      <c r="A12" s="35"/>
      <c r="B12" s="35" t="s">
        <v>26</v>
      </c>
      <c r="C12" s="35" t="s">
        <v>3375</v>
      </c>
      <c r="D12" s="35" t="s">
        <v>3376</v>
      </c>
      <c r="E12" s="35" t="s">
        <v>3377</v>
      </c>
      <c r="F12" s="35" t="s">
        <v>77</v>
      </c>
      <c r="G12" s="36">
        <v>0</v>
      </c>
      <c r="H12" s="36">
        <v>30</v>
      </c>
      <c r="I12" s="36">
        <f t="shared" si="0"/>
        <v>-30</v>
      </c>
      <c r="J12" s="35" t="s">
        <v>3321</v>
      </c>
      <c r="K12" s="35" t="s">
        <v>31</v>
      </c>
      <c r="L12" s="35" t="s">
        <v>3309</v>
      </c>
      <c r="M12" s="35"/>
      <c r="N12" s="35"/>
      <c r="O12" s="35"/>
      <c r="P12" s="35"/>
      <c r="Q12" s="35">
        <v>1</v>
      </c>
      <c r="R12" s="25">
        <f>H12</f>
        <v>30</v>
      </c>
    </row>
    <row r="13" spans="1:18" x14ac:dyDescent="0.25">
      <c r="A13" s="35"/>
      <c r="B13" s="35" t="s">
        <v>26</v>
      </c>
      <c r="C13" s="35" t="s">
        <v>3378</v>
      </c>
      <c r="D13" s="35" t="s">
        <v>3379</v>
      </c>
      <c r="E13" s="35" t="s">
        <v>1412</v>
      </c>
      <c r="F13" s="35" t="s">
        <v>77</v>
      </c>
      <c r="G13" s="36">
        <v>570</v>
      </c>
      <c r="H13" s="36">
        <v>30</v>
      </c>
      <c r="I13" s="36">
        <f t="shared" si="0"/>
        <v>540</v>
      </c>
      <c r="J13" s="35" t="s">
        <v>3321</v>
      </c>
      <c r="K13" s="35" t="s">
        <v>31</v>
      </c>
      <c r="L13" s="35" t="s">
        <v>3309</v>
      </c>
      <c r="M13" s="35"/>
      <c r="N13" s="35"/>
      <c r="O13" s="35"/>
      <c r="P13" s="35"/>
      <c r="Q13" s="35">
        <v>1</v>
      </c>
    </row>
    <row r="14" spans="1:18" x14ac:dyDescent="0.25">
      <c r="A14" s="35"/>
      <c r="B14" s="35" t="s">
        <v>26</v>
      </c>
      <c r="C14" s="35" t="s">
        <v>3389</v>
      </c>
      <c r="D14" s="35" t="s">
        <v>3390</v>
      </c>
      <c r="E14" s="35" t="s">
        <v>3391</v>
      </c>
      <c r="F14" s="35" t="s">
        <v>45</v>
      </c>
      <c r="G14" s="36">
        <v>855</v>
      </c>
      <c r="H14" s="36">
        <v>25</v>
      </c>
      <c r="I14" s="36">
        <f t="shared" si="0"/>
        <v>830</v>
      </c>
      <c r="J14" s="35" t="s">
        <v>3321</v>
      </c>
      <c r="K14" s="35" t="s">
        <v>31</v>
      </c>
      <c r="L14" s="35" t="s">
        <v>3309</v>
      </c>
      <c r="M14" s="35"/>
      <c r="N14" s="35"/>
      <c r="O14" s="35"/>
      <c r="P14" s="35"/>
      <c r="Q14" s="35">
        <v>1</v>
      </c>
    </row>
    <row r="15" spans="1:18" x14ac:dyDescent="0.25">
      <c r="A15" s="35"/>
      <c r="B15" s="35" t="s">
        <v>26</v>
      </c>
      <c r="C15" s="35" t="s">
        <v>2687</v>
      </c>
      <c r="D15" s="35" t="s">
        <v>3392</v>
      </c>
      <c r="E15" s="35" t="s">
        <v>2689</v>
      </c>
      <c r="F15" s="36">
        <v>8</v>
      </c>
      <c r="G15" s="36">
        <v>750</v>
      </c>
      <c r="H15" s="36">
        <v>30</v>
      </c>
      <c r="I15" s="36">
        <f t="shared" si="0"/>
        <v>720</v>
      </c>
      <c r="J15" s="35" t="s">
        <v>3321</v>
      </c>
      <c r="K15" s="35" t="s">
        <v>31</v>
      </c>
      <c r="L15" s="35" t="s">
        <v>3309</v>
      </c>
      <c r="M15" s="35"/>
      <c r="N15" s="35"/>
      <c r="O15" s="35"/>
      <c r="P15" s="35"/>
      <c r="Q15" s="35">
        <v>1</v>
      </c>
    </row>
    <row r="16" spans="1:18" x14ac:dyDescent="0.25">
      <c r="A16" s="35"/>
      <c r="B16" s="35" t="s">
        <v>26</v>
      </c>
      <c r="C16" s="35" t="s">
        <v>3412</v>
      </c>
      <c r="D16" s="35" t="s">
        <v>3413</v>
      </c>
      <c r="E16" s="35" t="s">
        <v>3414</v>
      </c>
      <c r="F16" s="35" t="s">
        <v>77</v>
      </c>
      <c r="G16" s="36">
        <v>920</v>
      </c>
      <c r="H16" s="36">
        <v>30</v>
      </c>
      <c r="I16" s="36">
        <f t="shared" si="0"/>
        <v>890</v>
      </c>
      <c r="J16" s="35" t="s">
        <v>3321</v>
      </c>
      <c r="K16" s="35" t="s">
        <v>31</v>
      </c>
      <c r="L16" s="35" t="s">
        <v>3309</v>
      </c>
      <c r="M16" s="35"/>
      <c r="N16" s="35"/>
      <c r="O16" s="35"/>
      <c r="P16" s="35"/>
      <c r="Q16" s="35">
        <v>1</v>
      </c>
    </row>
    <row r="17" spans="1:18" x14ac:dyDescent="0.25">
      <c r="A17" s="35"/>
      <c r="B17" s="35" t="s">
        <v>26</v>
      </c>
      <c r="C17" s="35" t="s">
        <v>3416</v>
      </c>
      <c r="D17" s="35" t="s">
        <v>3417</v>
      </c>
      <c r="E17" s="35" t="s">
        <v>3418</v>
      </c>
      <c r="F17" s="36">
        <v>7</v>
      </c>
      <c r="G17" s="36">
        <v>1660</v>
      </c>
      <c r="H17" s="36">
        <v>30</v>
      </c>
      <c r="I17" s="36">
        <f t="shared" si="0"/>
        <v>1630</v>
      </c>
      <c r="J17" s="35" t="s">
        <v>3321</v>
      </c>
      <c r="K17" s="35" t="s">
        <v>31</v>
      </c>
      <c r="L17" s="35" t="s">
        <v>3309</v>
      </c>
      <c r="M17" s="35"/>
      <c r="N17" s="35"/>
      <c r="O17" s="35"/>
      <c r="P17" s="35"/>
      <c r="Q17" s="35">
        <v>1</v>
      </c>
    </row>
    <row r="18" spans="1:18" x14ac:dyDescent="0.25">
      <c r="A18" s="35"/>
      <c r="B18" s="35" t="s">
        <v>26</v>
      </c>
      <c r="C18" s="35" t="s">
        <v>3316</v>
      </c>
      <c r="D18" s="35" t="s">
        <v>3317</v>
      </c>
      <c r="E18" s="35" t="s">
        <v>1331</v>
      </c>
      <c r="F18" s="35" t="s">
        <v>101</v>
      </c>
      <c r="G18" s="36">
        <v>1305</v>
      </c>
      <c r="H18" s="36">
        <v>25</v>
      </c>
      <c r="I18" s="36">
        <f t="shared" si="0"/>
        <v>1280</v>
      </c>
      <c r="J18" s="35" t="s">
        <v>31</v>
      </c>
      <c r="K18" s="35" t="s">
        <v>31</v>
      </c>
      <c r="L18" s="35" t="s">
        <v>3309</v>
      </c>
      <c r="M18" s="35"/>
      <c r="N18" s="35"/>
      <c r="O18" s="35"/>
      <c r="P18" s="35"/>
      <c r="Q18" s="35">
        <v>1</v>
      </c>
    </row>
    <row r="19" spans="1:18" x14ac:dyDescent="0.25">
      <c r="A19" s="35"/>
      <c r="B19" s="35" t="s">
        <v>26</v>
      </c>
      <c r="C19" s="35" t="s">
        <v>1865</v>
      </c>
      <c r="D19" s="35" t="s">
        <v>3322</v>
      </c>
      <c r="E19" s="35" t="s">
        <v>3323</v>
      </c>
      <c r="F19" s="35" t="s">
        <v>58</v>
      </c>
      <c r="G19" s="36">
        <v>1580</v>
      </c>
      <c r="H19" s="36">
        <v>25</v>
      </c>
      <c r="I19" s="36">
        <f t="shared" si="0"/>
        <v>1555</v>
      </c>
      <c r="J19" s="35" t="s">
        <v>31</v>
      </c>
      <c r="K19" s="35" t="s">
        <v>31</v>
      </c>
      <c r="L19" s="35" t="s">
        <v>3309</v>
      </c>
      <c r="M19" s="38" t="s">
        <v>906</v>
      </c>
      <c r="N19" s="35"/>
      <c r="O19" s="35"/>
      <c r="P19" s="35"/>
      <c r="Q19" s="35">
        <v>1</v>
      </c>
      <c r="R19" s="25">
        <f>H19</f>
        <v>25</v>
      </c>
    </row>
    <row r="20" spans="1:18" x14ac:dyDescent="0.25">
      <c r="A20" s="35"/>
      <c r="B20" s="35" t="s">
        <v>26</v>
      </c>
      <c r="C20" s="35" t="s">
        <v>1865</v>
      </c>
      <c r="D20" s="35" t="s">
        <v>3385</v>
      </c>
      <c r="E20" s="35" t="s">
        <v>3323</v>
      </c>
      <c r="F20" s="35" t="s">
        <v>58</v>
      </c>
      <c r="G20" s="36">
        <v>490</v>
      </c>
      <c r="H20" s="36">
        <v>0</v>
      </c>
      <c r="I20" s="36">
        <f t="shared" si="0"/>
        <v>490</v>
      </c>
      <c r="J20" s="35" t="s">
        <v>31</v>
      </c>
      <c r="K20" s="35" t="s">
        <v>31</v>
      </c>
      <c r="L20" s="35" t="s">
        <v>3309</v>
      </c>
      <c r="M20" s="38" t="s">
        <v>423</v>
      </c>
      <c r="N20" s="35"/>
      <c r="O20" s="35"/>
      <c r="P20" s="35"/>
      <c r="Q20" s="35">
        <v>1</v>
      </c>
    </row>
    <row r="21" spans="1:18" x14ac:dyDescent="0.25">
      <c r="A21" s="35"/>
      <c r="B21" s="35" t="s">
        <v>26</v>
      </c>
      <c r="C21" s="35" t="s">
        <v>3337</v>
      </c>
      <c r="D21" s="35" t="s">
        <v>3338</v>
      </c>
      <c r="E21" s="35" t="s">
        <v>3339</v>
      </c>
      <c r="F21" s="35" t="s">
        <v>58</v>
      </c>
      <c r="G21" s="36">
        <v>0</v>
      </c>
      <c r="H21" s="36">
        <v>20</v>
      </c>
      <c r="I21" s="36">
        <f t="shared" si="0"/>
        <v>-20</v>
      </c>
      <c r="J21" s="35" t="s">
        <v>31</v>
      </c>
      <c r="K21" s="35" t="s">
        <v>31</v>
      </c>
      <c r="L21" s="35" t="s">
        <v>3309</v>
      </c>
      <c r="M21" s="35"/>
      <c r="N21" s="35"/>
      <c r="O21" s="35"/>
      <c r="P21" s="35"/>
      <c r="Q21" s="35">
        <v>1</v>
      </c>
      <c r="R21" s="25">
        <f>H21</f>
        <v>20</v>
      </c>
    </row>
    <row r="22" spans="1:18" ht="0.75" customHeight="1" x14ac:dyDescent="0.25">
      <c r="A22" s="35"/>
      <c r="B22" s="35" t="s">
        <v>26</v>
      </c>
      <c r="C22" s="35" t="s">
        <v>3340</v>
      </c>
      <c r="D22" s="35" t="s">
        <v>3341</v>
      </c>
      <c r="E22" s="35" t="s">
        <v>3342</v>
      </c>
      <c r="F22" s="35" t="s">
        <v>36</v>
      </c>
      <c r="G22" s="36">
        <v>695</v>
      </c>
      <c r="H22" s="36">
        <v>25</v>
      </c>
      <c r="I22" s="36">
        <f t="shared" si="0"/>
        <v>670</v>
      </c>
      <c r="J22" s="35" t="s">
        <v>31</v>
      </c>
      <c r="K22" s="35" t="s">
        <v>31</v>
      </c>
      <c r="L22" s="35" t="s">
        <v>3309</v>
      </c>
      <c r="M22" s="35"/>
      <c r="N22" s="35"/>
      <c r="O22" s="35"/>
      <c r="P22" s="35"/>
      <c r="Q22" s="35">
        <v>1</v>
      </c>
    </row>
    <row r="23" spans="1:18" s="41" customFormat="1" x14ac:dyDescent="0.25">
      <c r="A23" s="39"/>
      <c r="B23" s="39" t="s">
        <v>26</v>
      </c>
      <c r="C23" s="39" t="s">
        <v>2876</v>
      </c>
      <c r="D23" s="39" t="s">
        <v>3346</v>
      </c>
      <c r="E23" s="39" t="s">
        <v>3347</v>
      </c>
      <c r="F23" s="40">
        <v>12</v>
      </c>
      <c r="G23" s="40">
        <v>0</v>
      </c>
      <c r="H23" s="40">
        <v>30</v>
      </c>
      <c r="I23" s="40">
        <f t="shared" si="0"/>
        <v>-30</v>
      </c>
      <c r="J23" s="39" t="s">
        <v>31</v>
      </c>
      <c r="K23" s="39" t="s">
        <v>31</v>
      </c>
      <c r="L23" s="39" t="s">
        <v>3309</v>
      </c>
      <c r="M23" s="39" t="s">
        <v>37</v>
      </c>
      <c r="N23" s="39"/>
      <c r="O23" s="39"/>
      <c r="P23" s="39"/>
      <c r="Q23" s="39">
        <v>1</v>
      </c>
      <c r="R23" s="42">
        <f>H23</f>
        <v>30</v>
      </c>
    </row>
    <row r="24" spans="1:18" s="41" customFormat="1" x14ac:dyDescent="0.25">
      <c r="A24" s="39"/>
      <c r="B24" s="39" t="s">
        <v>26</v>
      </c>
      <c r="C24" s="39" t="s">
        <v>3380</v>
      </c>
      <c r="D24" s="39" t="s">
        <v>3381</v>
      </c>
      <c r="E24" s="39" t="s">
        <v>3270</v>
      </c>
      <c r="F24" s="40">
        <v>12</v>
      </c>
      <c r="G24" s="40">
        <v>30</v>
      </c>
      <c r="H24" s="40">
        <v>30</v>
      </c>
      <c r="I24" s="40">
        <f t="shared" si="0"/>
        <v>0</v>
      </c>
      <c r="J24" s="39" t="s">
        <v>31</v>
      </c>
      <c r="K24" s="39" t="s">
        <v>31</v>
      </c>
      <c r="L24" s="39" t="s">
        <v>3309</v>
      </c>
      <c r="M24" s="39" t="s">
        <v>37</v>
      </c>
      <c r="N24" s="39"/>
      <c r="O24" s="39"/>
      <c r="P24" s="39"/>
      <c r="Q24" s="39">
        <v>1</v>
      </c>
    </row>
    <row r="25" spans="1:18" x14ac:dyDescent="0.25">
      <c r="A25" s="35"/>
      <c r="B25" s="35" t="s">
        <v>26</v>
      </c>
      <c r="C25" s="35" t="s">
        <v>3386</v>
      </c>
      <c r="D25" s="35" t="s">
        <v>3387</v>
      </c>
      <c r="E25" s="35" t="s">
        <v>3388</v>
      </c>
      <c r="F25" s="35" t="s">
        <v>58</v>
      </c>
      <c r="G25" s="36">
        <v>740</v>
      </c>
      <c r="H25" s="36">
        <v>20</v>
      </c>
      <c r="I25" s="36">
        <f t="shared" si="0"/>
        <v>720</v>
      </c>
      <c r="J25" s="35" t="s">
        <v>31</v>
      </c>
      <c r="K25" s="35" t="s">
        <v>31</v>
      </c>
      <c r="L25" s="35" t="s">
        <v>3309</v>
      </c>
      <c r="M25" s="35"/>
      <c r="N25" s="35"/>
      <c r="O25" s="35"/>
      <c r="P25" s="35"/>
      <c r="Q25" s="35">
        <v>1</v>
      </c>
    </row>
    <row r="26" spans="1:18" x14ac:dyDescent="0.25">
      <c r="A26" s="35"/>
      <c r="B26" s="35" t="s">
        <v>26</v>
      </c>
      <c r="C26" s="35" t="s">
        <v>3402</v>
      </c>
      <c r="D26" s="35" t="s">
        <v>3403</v>
      </c>
      <c r="E26" s="35" t="s">
        <v>3404</v>
      </c>
      <c r="F26" s="35" t="s">
        <v>58</v>
      </c>
      <c r="G26" s="36">
        <v>0</v>
      </c>
      <c r="H26" s="36">
        <v>20</v>
      </c>
      <c r="I26" s="36">
        <f t="shared" si="0"/>
        <v>-20</v>
      </c>
      <c r="J26" s="35" t="s">
        <v>31</v>
      </c>
      <c r="K26" s="35" t="s">
        <v>31</v>
      </c>
      <c r="L26" s="35" t="s">
        <v>3309</v>
      </c>
      <c r="M26" s="35"/>
      <c r="N26" s="35"/>
      <c r="O26" s="35"/>
      <c r="P26" s="35"/>
      <c r="Q26" s="35">
        <v>1</v>
      </c>
      <c r="R26" s="25">
        <f>H26</f>
        <v>20</v>
      </c>
    </row>
    <row r="27" spans="1:18" x14ac:dyDescent="0.25">
      <c r="A27" s="35"/>
      <c r="B27" s="35" t="s">
        <v>26</v>
      </c>
      <c r="C27" s="35" t="s">
        <v>3408</v>
      </c>
      <c r="D27" s="35" t="s">
        <v>3409</v>
      </c>
      <c r="E27" s="35" t="s">
        <v>3410</v>
      </c>
      <c r="F27" s="36">
        <v>12</v>
      </c>
      <c r="G27" s="36">
        <v>1010</v>
      </c>
      <c r="H27" s="36">
        <v>30</v>
      </c>
      <c r="I27" s="36">
        <f t="shared" si="0"/>
        <v>980</v>
      </c>
      <c r="J27" s="35" t="s">
        <v>31</v>
      </c>
      <c r="K27" s="35" t="s">
        <v>31</v>
      </c>
      <c r="L27" s="35" t="s">
        <v>3309</v>
      </c>
      <c r="M27" s="35"/>
      <c r="N27" s="35"/>
      <c r="O27" s="35"/>
      <c r="P27" s="35"/>
      <c r="Q27" s="35">
        <v>1</v>
      </c>
    </row>
    <row r="28" spans="1:18" x14ac:dyDescent="0.25">
      <c r="A28" s="35" t="s">
        <v>66</v>
      </c>
      <c r="B28" s="35" t="s">
        <v>26</v>
      </c>
      <c r="C28" s="35" t="s">
        <v>3419</v>
      </c>
      <c r="D28" s="35"/>
      <c r="E28" s="35" t="s">
        <v>70</v>
      </c>
      <c r="F28" s="35" t="s">
        <v>58</v>
      </c>
      <c r="G28" s="36">
        <v>0</v>
      </c>
      <c r="H28" s="36">
        <v>25</v>
      </c>
      <c r="I28" s="36">
        <f t="shared" si="0"/>
        <v>-25</v>
      </c>
      <c r="J28" s="35" t="s">
        <v>31</v>
      </c>
      <c r="K28" s="35" t="s">
        <v>31</v>
      </c>
      <c r="L28" s="35" t="s">
        <v>3309</v>
      </c>
      <c r="M28" s="35"/>
      <c r="N28" s="35"/>
      <c r="O28" s="35"/>
      <c r="P28" s="35"/>
      <c r="Q28" s="35">
        <v>1</v>
      </c>
      <c r="R28" s="25">
        <f>H28</f>
        <v>25</v>
      </c>
    </row>
    <row r="29" spans="1:18" x14ac:dyDescent="0.25">
      <c r="A29" s="35" t="s">
        <v>66</v>
      </c>
      <c r="B29" s="35" t="s">
        <v>26</v>
      </c>
      <c r="C29" s="35" t="s">
        <v>1053</v>
      </c>
      <c r="D29" s="35"/>
      <c r="E29" s="35" t="s">
        <v>1054</v>
      </c>
      <c r="F29" s="35" t="s">
        <v>36</v>
      </c>
      <c r="G29" s="36">
        <v>4310</v>
      </c>
      <c r="H29" s="36">
        <v>30</v>
      </c>
      <c r="I29" s="36">
        <f t="shared" si="0"/>
        <v>4280</v>
      </c>
      <c r="J29" s="35" t="s">
        <v>31</v>
      </c>
      <c r="K29" s="35" t="s">
        <v>31</v>
      </c>
      <c r="L29" s="35" t="s">
        <v>3309</v>
      </c>
      <c r="M29" s="35"/>
      <c r="N29" s="35"/>
      <c r="O29" s="35"/>
      <c r="P29" s="35"/>
      <c r="Q29" s="35">
        <v>1</v>
      </c>
    </row>
    <row r="30" spans="1:18" s="41" customFormat="1" x14ac:dyDescent="0.25">
      <c r="A30" s="39" t="s">
        <v>66</v>
      </c>
      <c r="B30" s="39" t="s">
        <v>26</v>
      </c>
      <c r="C30" s="39" t="s">
        <v>3420</v>
      </c>
      <c r="D30" s="39"/>
      <c r="E30" s="39" t="s">
        <v>3421</v>
      </c>
      <c r="F30" s="39" t="s">
        <v>36</v>
      </c>
      <c r="G30" s="40">
        <v>0</v>
      </c>
      <c r="H30" s="40">
        <v>30</v>
      </c>
      <c r="I30" s="40">
        <f t="shared" si="0"/>
        <v>-30</v>
      </c>
      <c r="J30" s="39" t="s">
        <v>31</v>
      </c>
      <c r="K30" s="39" t="s">
        <v>31</v>
      </c>
      <c r="L30" s="39" t="s">
        <v>3309</v>
      </c>
      <c r="M30" s="39" t="s">
        <v>37</v>
      </c>
      <c r="N30" s="39"/>
      <c r="O30" s="39"/>
      <c r="P30" s="39"/>
      <c r="Q30" s="39">
        <v>1</v>
      </c>
      <c r="R30" s="42">
        <f>H30</f>
        <v>30</v>
      </c>
    </row>
    <row r="31" spans="1:18" x14ac:dyDescent="0.25">
      <c r="A31" s="35"/>
      <c r="B31" s="35" t="s">
        <v>26</v>
      </c>
      <c r="C31" s="35" t="s">
        <v>3306</v>
      </c>
      <c r="D31" s="35" t="s">
        <v>3307</v>
      </c>
      <c r="E31" s="35" t="s">
        <v>3308</v>
      </c>
      <c r="F31" s="36">
        <v>5</v>
      </c>
      <c r="G31" s="36">
        <v>515</v>
      </c>
      <c r="H31" s="36">
        <v>25</v>
      </c>
      <c r="I31" s="36">
        <f t="shared" si="0"/>
        <v>490</v>
      </c>
      <c r="J31" s="35" t="s">
        <v>41</v>
      </c>
      <c r="K31" s="35" t="s">
        <v>31</v>
      </c>
      <c r="L31" s="35" t="s">
        <v>3309</v>
      </c>
      <c r="M31" s="35"/>
      <c r="N31" s="35"/>
      <c r="O31" s="35"/>
      <c r="P31" s="35"/>
      <c r="Q31" s="35">
        <v>1</v>
      </c>
    </row>
    <row r="32" spans="1:18" x14ac:dyDescent="0.25">
      <c r="A32" s="35"/>
      <c r="B32" s="35" t="s">
        <v>26</v>
      </c>
      <c r="C32" s="35" t="s">
        <v>3310</v>
      </c>
      <c r="D32" s="35" t="s">
        <v>3311</v>
      </c>
      <c r="E32" s="35" t="s">
        <v>3312</v>
      </c>
      <c r="F32" s="35" t="s">
        <v>101</v>
      </c>
      <c r="G32" s="36">
        <v>1055</v>
      </c>
      <c r="H32" s="36">
        <v>25</v>
      </c>
      <c r="I32" s="36">
        <f t="shared" si="0"/>
        <v>1030</v>
      </c>
      <c r="J32" s="35" t="s">
        <v>41</v>
      </c>
      <c r="K32" s="35" t="s">
        <v>31</v>
      </c>
      <c r="L32" s="35" t="s">
        <v>3309</v>
      </c>
      <c r="M32" s="35"/>
      <c r="N32" s="35"/>
      <c r="O32" s="35"/>
      <c r="P32" s="35"/>
      <c r="Q32" s="35">
        <v>1</v>
      </c>
    </row>
    <row r="33" spans="1:18" x14ac:dyDescent="0.25">
      <c r="A33" s="35"/>
      <c r="B33" s="35" t="s">
        <v>26</v>
      </c>
      <c r="C33" s="35" t="s">
        <v>3313</v>
      </c>
      <c r="D33" s="35" t="s">
        <v>3314</v>
      </c>
      <c r="E33" s="35" t="s">
        <v>3315</v>
      </c>
      <c r="F33" s="36">
        <v>10</v>
      </c>
      <c r="G33" s="36">
        <v>0</v>
      </c>
      <c r="H33" s="36">
        <v>25</v>
      </c>
      <c r="I33" s="36">
        <f t="shared" si="0"/>
        <v>-25</v>
      </c>
      <c r="J33" s="35" t="s">
        <v>41</v>
      </c>
      <c r="K33" s="35" t="s">
        <v>31</v>
      </c>
      <c r="L33" s="35" t="s">
        <v>3309</v>
      </c>
      <c r="M33" s="35"/>
      <c r="N33" s="35"/>
      <c r="O33" s="35"/>
      <c r="P33" s="35"/>
      <c r="Q33" s="35">
        <v>1</v>
      </c>
      <c r="R33" s="25">
        <f>H33</f>
        <v>25</v>
      </c>
    </row>
    <row r="34" spans="1:18" x14ac:dyDescent="0.25">
      <c r="A34" s="35"/>
      <c r="B34" s="35" t="s">
        <v>26</v>
      </c>
      <c r="C34" s="35" t="s">
        <v>3324</v>
      </c>
      <c r="D34" s="35" t="s">
        <v>3325</v>
      </c>
      <c r="E34" s="35" t="s">
        <v>3326</v>
      </c>
      <c r="F34" s="36">
        <v>3</v>
      </c>
      <c r="G34" s="36">
        <v>815</v>
      </c>
      <c r="H34" s="36">
        <v>25</v>
      </c>
      <c r="I34" s="36">
        <f t="shared" si="0"/>
        <v>790</v>
      </c>
      <c r="J34" s="35" t="s">
        <v>41</v>
      </c>
      <c r="K34" s="35" t="s">
        <v>31</v>
      </c>
      <c r="L34" s="35" t="s">
        <v>3309</v>
      </c>
      <c r="M34" s="35"/>
      <c r="N34" s="35"/>
      <c r="O34" s="35"/>
      <c r="P34" s="35"/>
      <c r="Q34" s="35">
        <v>1</v>
      </c>
    </row>
    <row r="35" spans="1:18" x14ac:dyDescent="0.25">
      <c r="A35" s="35"/>
      <c r="B35" s="35" t="s">
        <v>26</v>
      </c>
      <c r="C35" s="35" t="s">
        <v>3327</v>
      </c>
      <c r="D35" s="35" t="s">
        <v>3328</v>
      </c>
      <c r="E35" s="35" t="s">
        <v>3329</v>
      </c>
      <c r="F35" s="35" t="s">
        <v>155</v>
      </c>
      <c r="G35" s="36">
        <v>0</v>
      </c>
      <c r="H35" s="36">
        <v>20</v>
      </c>
      <c r="I35" s="36">
        <f t="shared" ref="I35:I55" si="1">G35-H35</f>
        <v>-20</v>
      </c>
      <c r="J35" s="35" t="s">
        <v>41</v>
      </c>
      <c r="K35" s="35" t="s">
        <v>31</v>
      </c>
      <c r="L35" s="35" t="s">
        <v>3309</v>
      </c>
      <c r="M35" s="35"/>
      <c r="N35" s="35"/>
      <c r="O35" s="35"/>
      <c r="P35" s="35"/>
      <c r="Q35" s="35">
        <v>1</v>
      </c>
      <c r="R35" s="25">
        <f>H35</f>
        <v>20</v>
      </c>
    </row>
    <row r="36" spans="1:18" x14ac:dyDescent="0.25">
      <c r="A36" s="35"/>
      <c r="B36" s="35" t="s">
        <v>26</v>
      </c>
      <c r="C36" s="35" t="s">
        <v>3343</v>
      </c>
      <c r="D36" s="35" t="s">
        <v>3344</v>
      </c>
      <c r="E36" s="35" t="s">
        <v>3345</v>
      </c>
      <c r="F36" s="36">
        <v>3</v>
      </c>
      <c r="G36" s="36">
        <v>315</v>
      </c>
      <c r="H36" s="36">
        <v>25</v>
      </c>
      <c r="I36" s="36">
        <f t="shared" si="1"/>
        <v>290</v>
      </c>
      <c r="J36" s="35" t="s">
        <v>41</v>
      </c>
      <c r="K36" s="35" t="s">
        <v>31</v>
      </c>
      <c r="L36" s="35" t="s">
        <v>3309</v>
      </c>
      <c r="M36" s="35"/>
      <c r="N36" s="35"/>
      <c r="O36" s="35"/>
      <c r="P36" s="35"/>
      <c r="Q36" s="35">
        <v>1</v>
      </c>
    </row>
    <row r="37" spans="1:18" x14ac:dyDescent="0.25">
      <c r="A37" s="35"/>
      <c r="B37" s="35" t="s">
        <v>26</v>
      </c>
      <c r="C37" s="35" t="s">
        <v>3351</v>
      </c>
      <c r="D37" s="35" t="s">
        <v>3352</v>
      </c>
      <c r="E37" s="35" t="s">
        <v>3353</v>
      </c>
      <c r="F37" s="36">
        <v>4</v>
      </c>
      <c r="G37" s="36">
        <v>0</v>
      </c>
      <c r="H37" s="36">
        <v>25</v>
      </c>
      <c r="I37" s="36">
        <f t="shared" si="1"/>
        <v>-25</v>
      </c>
      <c r="J37" s="35" t="s">
        <v>41</v>
      </c>
      <c r="K37" s="35" t="s">
        <v>31</v>
      </c>
      <c r="L37" s="35" t="s">
        <v>3309</v>
      </c>
      <c r="M37" s="35"/>
      <c r="N37" s="35"/>
      <c r="O37" s="35"/>
      <c r="P37" s="35"/>
      <c r="Q37" s="35">
        <v>1</v>
      </c>
      <c r="R37" s="25">
        <f>H37</f>
        <v>25</v>
      </c>
    </row>
    <row r="38" spans="1:18" x14ac:dyDescent="0.25">
      <c r="A38" s="35"/>
      <c r="B38" s="35" t="s">
        <v>26</v>
      </c>
      <c r="C38" s="35" t="s">
        <v>3359</v>
      </c>
      <c r="D38" s="35" t="s">
        <v>3360</v>
      </c>
      <c r="E38" s="35" t="s">
        <v>3361</v>
      </c>
      <c r="F38" s="36">
        <v>10</v>
      </c>
      <c r="G38" s="36">
        <v>1055</v>
      </c>
      <c r="H38" s="36">
        <v>25</v>
      </c>
      <c r="I38" s="36">
        <f t="shared" si="1"/>
        <v>1030</v>
      </c>
      <c r="J38" s="35" t="s">
        <v>41</v>
      </c>
      <c r="K38" s="35" t="s">
        <v>31</v>
      </c>
      <c r="L38" s="35" t="s">
        <v>3309</v>
      </c>
      <c r="M38" s="35"/>
      <c r="N38" s="35"/>
      <c r="O38" s="35"/>
      <c r="P38" s="35"/>
      <c r="Q38" s="35">
        <v>1</v>
      </c>
    </row>
    <row r="39" spans="1:18" x14ac:dyDescent="0.25">
      <c r="A39" s="35"/>
      <c r="B39" s="35" t="s">
        <v>26</v>
      </c>
      <c r="C39" s="35" t="s">
        <v>1274</v>
      </c>
      <c r="D39" s="35" t="s">
        <v>3365</v>
      </c>
      <c r="E39" s="35" t="s">
        <v>1276</v>
      </c>
      <c r="F39" s="36">
        <v>1</v>
      </c>
      <c r="G39" s="36">
        <v>815</v>
      </c>
      <c r="H39" s="36">
        <v>25</v>
      </c>
      <c r="I39" s="36">
        <f t="shared" si="1"/>
        <v>790</v>
      </c>
      <c r="J39" s="35" t="s">
        <v>41</v>
      </c>
      <c r="K39" s="35" t="s">
        <v>31</v>
      </c>
      <c r="L39" s="35" t="s">
        <v>3309</v>
      </c>
      <c r="M39" s="35"/>
      <c r="N39" s="35"/>
      <c r="O39" s="35"/>
      <c r="P39" s="35"/>
      <c r="Q39" s="35">
        <v>1</v>
      </c>
    </row>
    <row r="40" spans="1:18" x14ac:dyDescent="0.25">
      <c r="A40" s="35"/>
      <c r="B40" s="35" t="s">
        <v>26</v>
      </c>
      <c r="C40" s="35" t="s">
        <v>3369</v>
      </c>
      <c r="D40" s="35" t="s">
        <v>3370</v>
      </c>
      <c r="E40" s="35" t="s">
        <v>3371</v>
      </c>
      <c r="F40" s="35" t="s">
        <v>101</v>
      </c>
      <c r="G40" s="36">
        <v>0</v>
      </c>
      <c r="H40" s="36">
        <v>25</v>
      </c>
      <c r="I40" s="36">
        <f t="shared" si="1"/>
        <v>-25</v>
      </c>
      <c r="J40" s="35" t="s">
        <v>41</v>
      </c>
      <c r="K40" s="35" t="s">
        <v>31</v>
      </c>
      <c r="L40" s="35" t="s">
        <v>3309</v>
      </c>
      <c r="M40" s="35"/>
      <c r="N40" s="35"/>
      <c r="O40" s="35"/>
      <c r="P40" s="35"/>
      <c r="Q40" s="35">
        <v>1</v>
      </c>
      <c r="R40" s="25">
        <f>H40</f>
        <v>25</v>
      </c>
    </row>
    <row r="41" spans="1:18" x14ac:dyDescent="0.25">
      <c r="A41" s="35"/>
      <c r="B41" s="35" t="s">
        <v>26</v>
      </c>
      <c r="C41" s="35" t="s">
        <v>3372</v>
      </c>
      <c r="D41" s="35" t="s">
        <v>3373</v>
      </c>
      <c r="E41" s="35" t="s">
        <v>3374</v>
      </c>
      <c r="F41" s="36">
        <v>1</v>
      </c>
      <c r="G41" s="36">
        <v>985</v>
      </c>
      <c r="H41" s="36">
        <v>25</v>
      </c>
      <c r="I41" s="36">
        <f t="shared" si="1"/>
        <v>960</v>
      </c>
      <c r="J41" s="35" t="s">
        <v>41</v>
      </c>
      <c r="K41" s="35" t="s">
        <v>31</v>
      </c>
      <c r="L41" s="35" t="s">
        <v>3309</v>
      </c>
      <c r="M41" s="35"/>
      <c r="N41" s="35"/>
      <c r="O41" s="35"/>
      <c r="P41" s="35"/>
      <c r="Q41" s="35">
        <v>1</v>
      </c>
    </row>
    <row r="42" spans="1:18" x14ac:dyDescent="0.25">
      <c r="A42" s="35"/>
      <c r="B42" s="35" t="s">
        <v>26</v>
      </c>
      <c r="C42" s="35" t="s">
        <v>3382</v>
      </c>
      <c r="D42" s="35" t="s">
        <v>3383</v>
      </c>
      <c r="E42" s="35" t="s">
        <v>3384</v>
      </c>
      <c r="F42" s="36">
        <v>3</v>
      </c>
      <c r="G42" s="36">
        <v>955</v>
      </c>
      <c r="H42" s="36">
        <v>25</v>
      </c>
      <c r="I42" s="36">
        <f t="shared" si="1"/>
        <v>930</v>
      </c>
      <c r="J42" s="35" t="s">
        <v>41</v>
      </c>
      <c r="K42" s="35" t="s">
        <v>31</v>
      </c>
      <c r="L42" s="35" t="s">
        <v>3309</v>
      </c>
      <c r="M42" s="35"/>
      <c r="N42" s="35"/>
      <c r="O42" s="35"/>
      <c r="P42" s="35"/>
      <c r="Q42" s="35">
        <v>1</v>
      </c>
    </row>
    <row r="43" spans="1:18" x14ac:dyDescent="0.25">
      <c r="A43" s="35"/>
      <c r="B43" s="35" t="s">
        <v>26</v>
      </c>
      <c r="C43" s="35" t="s">
        <v>3393</v>
      </c>
      <c r="D43" s="35" t="s">
        <v>3394</v>
      </c>
      <c r="E43" s="35" t="s">
        <v>3395</v>
      </c>
      <c r="F43" s="35" t="s">
        <v>101</v>
      </c>
      <c r="G43" s="36">
        <v>0</v>
      </c>
      <c r="H43" s="36">
        <v>25</v>
      </c>
      <c r="I43" s="36">
        <f t="shared" si="1"/>
        <v>-25</v>
      </c>
      <c r="J43" s="35" t="s">
        <v>41</v>
      </c>
      <c r="K43" s="35" t="s">
        <v>31</v>
      </c>
      <c r="L43" s="35" t="s">
        <v>3309</v>
      </c>
      <c r="M43" s="35"/>
      <c r="N43" s="35"/>
      <c r="O43" s="35"/>
      <c r="P43" s="35"/>
      <c r="Q43" s="35">
        <v>1</v>
      </c>
      <c r="R43" s="25">
        <f t="shared" ref="R43:R44" si="2">H43</f>
        <v>25</v>
      </c>
    </row>
    <row r="44" spans="1:18" x14ac:dyDescent="0.25">
      <c r="A44" s="35"/>
      <c r="B44" s="35" t="s">
        <v>26</v>
      </c>
      <c r="C44" s="35" t="s">
        <v>3396</v>
      </c>
      <c r="D44" s="35" t="s">
        <v>3397</v>
      </c>
      <c r="E44" s="35" t="s">
        <v>3398</v>
      </c>
      <c r="F44" s="36">
        <v>10</v>
      </c>
      <c r="G44" s="36">
        <v>0</v>
      </c>
      <c r="H44" s="36">
        <v>25</v>
      </c>
      <c r="I44" s="36">
        <f t="shared" si="1"/>
        <v>-25</v>
      </c>
      <c r="J44" s="35" t="s">
        <v>41</v>
      </c>
      <c r="K44" s="35" t="s">
        <v>31</v>
      </c>
      <c r="L44" s="35" t="s">
        <v>3309</v>
      </c>
      <c r="M44" s="35"/>
      <c r="N44" s="35"/>
      <c r="O44" s="35"/>
      <c r="P44" s="35"/>
      <c r="Q44" s="35">
        <v>1</v>
      </c>
      <c r="R44" s="25">
        <f t="shared" si="2"/>
        <v>25</v>
      </c>
    </row>
    <row r="45" spans="1:18" x14ac:dyDescent="0.25">
      <c r="A45" s="35"/>
      <c r="B45" s="35" t="s">
        <v>26</v>
      </c>
      <c r="C45" s="35" t="s">
        <v>3399</v>
      </c>
      <c r="D45" s="35" t="s">
        <v>3400</v>
      </c>
      <c r="E45" s="35" t="s">
        <v>3401</v>
      </c>
      <c r="F45" s="35" t="s">
        <v>101</v>
      </c>
      <c r="G45" s="36">
        <v>485</v>
      </c>
      <c r="H45" s="36">
        <v>25</v>
      </c>
      <c r="I45" s="36">
        <f t="shared" si="1"/>
        <v>460</v>
      </c>
      <c r="J45" s="35" t="s">
        <v>41</v>
      </c>
      <c r="K45" s="35" t="s">
        <v>31</v>
      </c>
      <c r="L45" s="35" t="s">
        <v>3309</v>
      </c>
      <c r="M45" s="35"/>
      <c r="N45" s="35"/>
      <c r="O45" s="35"/>
      <c r="P45" s="35"/>
      <c r="Q45" s="35">
        <v>1</v>
      </c>
    </row>
    <row r="46" spans="1:18" x14ac:dyDescent="0.25">
      <c r="A46" s="35"/>
      <c r="B46" s="35" t="s">
        <v>26</v>
      </c>
      <c r="C46" s="35" t="s">
        <v>3405</v>
      </c>
      <c r="D46" s="35" t="s">
        <v>3406</v>
      </c>
      <c r="E46" s="35" t="s">
        <v>3407</v>
      </c>
      <c r="F46" s="36">
        <v>1</v>
      </c>
      <c r="G46" s="36">
        <v>1405</v>
      </c>
      <c r="H46" s="36">
        <v>25</v>
      </c>
      <c r="I46" s="36">
        <f t="shared" si="1"/>
        <v>1380</v>
      </c>
      <c r="J46" s="35" t="s">
        <v>41</v>
      </c>
      <c r="K46" s="35" t="s">
        <v>31</v>
      </c>
      <c r="L46" s="35" t="s">
        <v>3309</v>
      </c>
      <c r="M46" s="35"/>
      <c r="N46" s="35"/>
      <c r="O46" s="35"/>
      <c r="P46" s="35"/>
      <c r="Q46" s="35">
        <v>1</v>
      </c>
    </row>
    <row r="47" spans="1:18" x14ac:dyDescent="0.25">
      <c r="A47" s="35"/>
      <c r="B47" s="35" t="s">
        <v>26</v>
      </c>
      <c r="C47" s="35" t="s">
        <v>2447</v>
      </c>
      <c r="D47" s="35" t="s">
        <v>3411</v>
      </c>
      <c r="E47" s="35" t="s">
        <v>2899</v>
      </c>
      <c r="F47" s="35" t="s">
        <v>101</v>
      </c>
      <c r="G47" s="36">
        <v>515</v>
      </c>
      <c r="H47" s="36">
        <v>25</v>
      </c>
      <c r="I47" s="36">
        <f t="shared" si="1"/>
        <v>490</v>
      </c>
      <c r="J47" s="35" t="s">
        <v>41</v>
      </c>
      <c r="K47" s="35" t="s">
        <v>31</v>
      </c>
      <c r="L47" s="35" t="s">
        <v>3309</v>
      </c>
      <c r="M47" s="35"/>
      <c r="N47" s="35"/>
      <c r="O47" s="35"/>
      <c r="P47" s="35"/>
      <c r="Q47" s="35">
        <v>1</v>
      </c>
    </row>
    <row r="48" spans="1:18" x14ac:dyDescent="0.25">
      <c r="A48" s="35"/>
      <c r="B48" s="35" t="s">
        <v>26</v>
      </c>
      <c r="C48" s="35" t="s">
        <v>1335</v>
      </c>
      <c r="D48" s="35" t="s">
        <v>3415</v>
      </c>
      <c r="E48" s="35" t="s">
        <v>1337</v>
      </c>
      <c r="F48" s="36">
        <v>10</v>
      </c>
      <c r="G48" s="36">
        <v>715</v>
      </c>
      <c r="H48" s="36">
        <v>25</v>
      </c>
      <c r="I48" s="36">
        <f t="shared" si="1"/>
        <v>690</v>
      </c>
      <c r="J48" s="35" t="s">
        <v>41</v>
      </c>
      <c r="K48" s="35" t="s">
        <v>31</v>
      </c>
      <c r="L48" s="35" t="s">
        <v>3309</v>
      </c>
      <c r="M48" s="35"/>
      <c r="N48" s="35"/>
      <c r="O48" s="35"/>
      <c r="P48" s="35"/>
      <c r="Q48" s="35">
        <v>1</v>
      </c>
    </row>
    <row r="49" spans="1:18" s="53" customFormat="1" x14ac:dyDescent="0.25">
      <c r="A49" s="71" t="s">
        <v>66</v>
      </c>
      <c r="B49" s="71" t="s">
        <v>26</v>
      </c>
      <c r="C49" s="71" t="s">
        <v>2959</v>
      </c>
      <c r="D49" s="71"/>
      <c r="E49" s="71" t="s">
        <v>2960</v>
      </c>
      <c r="F49" s="72" t="s">
        <v>101</v>
      </c>
      <c r="G49" s="71">
        <v>810</v>
      </c>
      <c r="H49" s="71">
        <v>30</v>
      </c>
      <c r="I49" s="71">
        <f t="shared" si="1"/>
        <v>780</v>
      </c>
      <c r="J49" s="71"/>
      <c r="K49" s="71" t="s">
        <v>31</v>
      </c>
      <c r="L49" s="70" t="s">
        <v>3309</v>
      </c>
      <c r="M49" s="71"/>
      <c r="N49" s="71"/>
      <c r="O49" s="71"/>
      <c r="P49" s="71"/>
      <c r="Q49" s="71">
        <v>1</v>
      </c>
    </row>
    <row r="50" spans="1:18" s="30" customFormat="1" x14ac:dyDescent="0.25">
      <c r="A50" s="37"/>
      <c r="B50" s="37" t="s">
        <v>26</v>
      </c>
      <c r="C50" s="37" t="s">
        <v>42</v>
      </c>
      <c r="D50" s="37" t="s">
        <v>43</v>
      </c>
      <c r="E50" s="37" t="s">
        <v>44</v>
      </c>
      <c r="F50" s="37" t="s">
        <v>45</v>
      </c>
      <c r="G50" s="43">
        <v>435</v>
      </c>
      <c r="H50" s="43">
        <v>25</v>
      </c>
      <c r="I50" s="43">
        <f t="shared" si="1"/>
        <v>410</v>
      </c>
      <c r="J50" s="37" t="s">
        <v>118</v>
      </c>
      <c r="K50" s="37" t="s">
        <v>31</v>
      </c>
      <c r="L50" s="37" t="s">
        <v>32</v>
      </c>
      <c r="M50" s="37" t="s">
        <v>91</v>
      </c>
      <c r="N50" s="37" t="s">
        <v>316</v>
      </c>
      <c r="O50" s="37" t="s">
        <v>316</v>
      </c>
      <c r="P50" s="37" t="s">
        <v>317</v>
      </c>
      <c r="Q50" s="37">
        <v>1</v>
      </c>
    </row>
    <row r="51" spans="1:18" s="30" customFormat="1" x14ac:dyDescent="0.25">
      <c r="A51" s="37"/>
      <c r="B51" s="37" t="s">
        <v>26</v>
      </c>
      <c r="C51" s="37" t="s">
        <v>2350</v>
      </c>
      <c r="D51" s="37" t="s">
        <v>2351</v>
      </c>
      <c r="E51" s="37" t="s">
        <v>2352</v>
      </c>
      <c r="F51" s="37" t="s">
        <v>121</v>
      </c>
      <c r="G51" s="43">
        <v>615</v>
      </c>
      <c r="H51" s="43">
        <v>35</v>
      </c>
      <c r="I51" s="43">
        <f t="shared" si="1"/>
        <v>580</v>
      </c>
      <c r="J51" s="37" t="s">
        <v>118</v>
      </c>
      <c r="K51" s="37" t="s">
        <v>31</v>
      </c>
      <c r="L51" s="37" t="s">
        <v>2276</v>
      </c>
      <c r="M51" s="37" t="s">
        <v>91</v>
      </c>
      <c r="N51" s="37" t="s">
        <v>316</v>
      </c>
      <c r="O51" s="37" t="s">
        <v>316</v>
      </c>
      <c r="P51" s="37" t="s">
        <v>317</v>
      </c>
      <c r="Q51" s="37">
        <v>1</v>
      </c>
    </row>
    <row r="52" spans="1:18" s="30" customFormat="1" x14ac:dyDescent="0.25">
      <c r="A52" s="37"/>
      <c r="B52" s="37" t="s">
        <v>26</v>
      </c>
      <c r="C52" s="37" t="s">
        <v>2429</v>
      </c>
      <c r="D52" s="37" t="s">
        <v>2430</v>
      </c>
      <c r="E52" s="37" t="s">
        <v>2431</v>
      </c>
      <c r="F52" s="43">
        <v>7</v>
      </c>
      <c r="G52" s="43">
        <v>960</v>
      </c>
      <c r="H52" s="43">
        <v>30</v>
      </c>
      <c r="I52" s="43">
        <f t="shared" si="1"/>
        <v>930</v>
      </c>
      <c r="J52" s="37" t="s">
        <v>118</v>
      </c>
      <c r="K52" s="37" t="s">
        <v>31</v>
      </c>
      <c r="L52" s="37" t="s">
        <v>2276</v>
      </c>
      <c r="M52" s="37" t="s">
        <v>91</v>
      </c>
      <c r="N52" s="37" t="s">
        <v>316</v>
      </c>
      <c r="O52" s="37" t="s">
        <v>316</v>
      </c>
      <c r="P52" s="37" t="s">
        <v>317</v>
      </c>
      <c r="Q52" s="37">
        <v>1</v>
      </c>
    </row>
    <row r="53" spans="1:18" s="30" customFormat="1" x14ac:dyDescent="0.25">
      <c r="A53" s="37"/>
      <c r="B53" s="37" t="s">
        <v>26</v>
      </c>
      <c r="C53" s="37" t="s">
        <v>2976</v>
      </c>
      <c r="D53" s="37" t="s">
        <v>2977</v>
      </c>
      <c r="E53" s="37" t="s">
        <v>2978</v>
      </c>
      <c r="F53" s="43">
        <v>5</v>
      </c>
      <c r="G53" s="43">
        <v>845</v>
      </c>
      <c r="H53" s="43">
        <v>0</v>
      </c>
      <c r="I53" s="43">
        <f t="shared" si="1"/>
        <v>845</v>
      </c>
      <c r="J53" s="37" t="s">
        <v>118</v>
      </c>
      <c r="K53" s="37" t="s">
        <v>31</v>
      </c>
      <c r="L53" s="37" t="s">
        <v>2964</v>
      </c>
      <c r="M53" s="37" t="s">
        <v>91</v>
      </c>
      <c r="N53" s="37" t="s">
        <v>316</v>
      </c>
      <c r="O53" s="37" t="s">
        <v>316</v>
      </c>
      <c r="P53" s="37" t="s">
        <v>317</v>
      </c>
      <c r="Q53" s="37">
        <v>1</v>
      </c>
    </row>
    <row r="54" spans="1:18" s="30" customFormat="1" x14ac:dyDescent="0.25">
      <c r="A54" s="37"/>
      <c r="B54" s="37" t="s">
        <v>26</v>
      </c>
      <c r="C54" s="37" t="s">
        <v>1761</v>
      </c>
      <c r="D54" s="37" t="s">
        <v>3280</v>
      </c>
      <c r="E54" s="37" t="s">
        <v>3281</v>
      </c>
      <c r="F54" s="37" t="s">
        <v>77</v>
      </c>
      <c r="G54" s="43">
        <v>15</v>
      </c>
      <c r="H54" s="43">
        <v>0</v>
      </c>
      <c r="I54" s="43">
        <f t="shared" si="1"/>
        <v>15</v>
      </c>
      <c r="J54" s="37" t="s">
        <v>118</v>
      </c>
      <c r="K54" s="37" t="s">
        <v>31</v>
      </c>
      <c r="L54" s="37" t="s">
        <v>3199</v>
      </c>
      <c r="M54" s="37" t="s">
        <v>3425</v>
      </c>
      <c r="N54" s="37" t="s">
        <v>316</v>
      </c>
      <c r="O54" s="37" t="s">
        <v>316</v>
      </c>
      <c r="P54" s="37" t="s">
        <v>317</v>
      </c>
      <c r="Q54" s="37">
        <v>1</v>
      </c>
      <c r="R54" s="44"/>
    </row>
    <row r="55" spans="1:18" s="30" customFormat="1" x14ac:dyDescent="0.25">
      <c r="A55" s="37"/>
      <c r="B55" s="37" t="s">
        <v>26</v>
      </c>
      <c r="C55" s="37" t="s">
        <v>3053</v>
      </c>
      <c r="D55" s="37" t="s">
        <v>3054</v>
      </c>
      <c r="E55" s="37" t="s">
        <v>3055</v>
      </c>
      <c r="F55" s="37" t="s">
        <v>117</v>
      </c>
      <c r="G55" s="43">
        <v>15</v>
      </c>
      <c r="H55" s="43">
        <v>0</v>
      </c>
      <c r="I55" s="43">
        <f t="shared" si="1"/>
        <v>15</v>
      </c>
      <c r="J55" s="37" t="s">
        <v>118</v>
      </c>
      <c r="K55" s="37" t="s">
        <v>31</v>
      </c>
      <c r="L55" s="37" t="s">
        <v>3034</v>
      </c>
      <c r="M55" s="37" t="s">
        <v>3425</v>
      </c>
      <c r="N55" s="37" t="s">
        <v>316</v>
      </c>
      <c r="O55" s="37" t="s">
        <v>316</v>
      </c>
      <c r="P55" s="37" t="s">
        <v>317</v>
      </c>
      <c r="Q55" s="37">
        <v>1</v>
      </c>
      <c r="R55" s="44"/>
    </row>
    <row r="57" spans="1:18" x14ac:dyDescent="0.25">
      <c r="D57" s="26">
        <f>COUNTA(D3:D53)</f>
        <v>47</v>
      </c>
      <c r="G57" s="26">
        <f>SUBTOTAL(9,G3:G53)</f>
        <v>40320</v>
      </c>
      <c r="H57" s="26">
        <f t="shared" ref="H57:Q57" si="3">SUBTOTAL(9,H3:H53)</f>
        <v>1345</v>
      </c>
      <c r="I57" s="26">
        <f t="shared" si="3"/>
        <v>38975</v>
      </c>
      <c r="J57" s="26">
        <f t="shared" si="3"/>
        <v>0</v>
      </c>
      <c r="K57" s="26">
        <f t="shared" si="3"/>
        <v>0</v>
      </c>
      <c r="L57" s="26">
        <f t="shared" si="3"/>
        <v>0</v>
      </c>
      <c r="M57" s="26">
        <f t="shared" si="3"/>
        <v>0</v>
      </c>
      <c r="N57" s="26">
        <f t="shared" si="3"/>
        <v>0</v>
      </c>
      <c r="O57" s="26">
        <f t="shared" si="3"/>
        <v>0</v>
      </c>
      <c r="P57" s="26">
        <f t="shared" si="3"/>
        <v>0</v>
      </c>
      <c r="Q57" s="26">
        <f t="shared" si="3"/>
        <v>51</v>
      </c>
    </row>
    <row r="58" spans="1:18" x14ac:dyDescent="0.25">
      <c r="H58" s="24">
        <f>-8*17</f>
        <v>-136</v>
      </c>
      <c r="I58" s="24">
        <f>1*30</f>
        <v>30</v>
      </c>
    </row>
    <row r="59" spans="1:18" x14ac:dyDescent="0.25">
      <c r="A59" s="26" t="s">
        <v>26</v>
      </c>
      <c r="C59" s="80" t="s">
        <v>78</v>
      </c>
      <c r="D59" s="80"/>
      <c r="E59" s="27" t="s">
        <v>79</v>
      </c>
      <c r="H59" s="24">
        <f>-6*25</f>
        <v>-150</v>
      </c>
      <c r="I59" s="24">
        <f>2*17</f>
        <v>34</v>
      </c>
      <c r="K59" s="28" t="s">
        <v>41</v>
      </c>
      <c r="L59" s="28" t="s">
        <v>80</v>
      </c>
      <c r="M59" s="28" t="s">
        <v>79</v>
      </c>
      <c r="O59" s="27" t="s">
        <v>81</v>
      </c>
    </row>
    <row r="60" spans="1:18" x14ac:dyDescent="0.25">
      <c r="A60" s="24" t="s">
        <v>3309</v>
      </c>
      <c r="B60" s="29" t="s">
        <v>82</v>
      </c>
      <c r="C60" s="81">
        <f>SUMIFS(I$3:I$53,B$3:B$53,A$59,L$3:L$53,A$60)</f>
        <v>36210</v>
      </c>
      <c r="D60" s="81"/>
      <c r="E60" s="29">
        <f>SUMIFS(Q$3:Q$53,B$3:B$53,A$59,L$3:L$53,A$60)</f>
        <v>47</v>
      </c>
      <c r="F60" s="24" t="s">
        <v>83</v>
      </c>
      <c r="H60" s="24">
        <f>-1*30</f>
        <v>-30</v>
      </c>
      <c r="K60" s="24" t="s">
        <v>84</v>
      </c>
      <c r="L60" s="24">
        <f>SUMIFS(G$3:G$53,J$3:J$53,K$59)</f>
        <v>9630</v>
      </c>
      <c r="M60" s="24">
        <f>SUMIFS(Q$3:Q$53,J$3:J$53,K$59)-INT(COUNTIFS(J$3:J$53,K$59,M$3:M$53,"*gộp*")/2)</f>
        <v>18</v>
      </c>
      <c r="O60" s="24" t="s">
        <v>41</v>
      </c>
      <c r="P60" s="24">
        <f>L65</f>
        <v>8430</v>
      </c>
    </row>
    <row r="61" spans="1:18" x14ac:dyDescent="0.25">
      <c r="B61" s="30" t="s">
        <v>86</v>
      </c>
      <c r="C61" s="82">
        <v>0</v>
      </c>
      <c r="D61" s="82"/>
      <c r="K61" s="24" t="s">
        <v>87</v>
      </c>
      <c r="L61" s="24">
        <f>-SUMIFS(H$3:H$53,J$3:J$53,K$59)+M61*5</f>
        <v>-355</v>
      </c>
      <c r="M61" s="24">
        <f>SUMIFS(Q$3:Q$53,J$3:J$53,K$59)-INT(COUNTIFS(J$3:J$53,K$59,M$3:M$53,"*gộp*")/2)</f>
        <v>18</v>
      </c>
      <c r="O61" s="24" t="s">
        <v>31</v>
      </c>
      <c r="P61" s="24">
        <f>L73</f>
        <v>9826</v>
      </c>
    </row>
    <row r="62" spans="1:18" x14ac:dyDescent="0.25">
      <c r="B62" s="30" t="s">
        <v>88</v>
      </c>
      <c r="C62" s="82">
        <f>-SUMIFS(I$3:I$55,B$3:B$55,A$59,P$3:P$55,"xx",N$3:N$55,"x")</f>
        <v>-2795</v>
      </c>
      <c r="D62" s="82"/>
      <c r="E62" s="30">
        <f>SUMIFS(Q$3:Q$53,B$3:B$53,A$59,P$3:P$53,"xx",N$3:N$53,"x")</f>
        <v>4</v>
      </c>
      <c r="K62" s="24" t="s">
        <v>89</v>
      </c>
      <c r="L62" s="24">
        <f>-M62*2</f>
        <v>0</v>
      </c>
      <c r="M62" s="24">
        <f>COUNTIFS(K$3:K$53,K$59,L$3:L$53,A$60)-(COUNTIFS(K$3:K$53,K$59,M$3:M$53,"*gộp*")/2)-COUNTIFS(K$3:K$53,K$59,M$3:M$53,"*đơn trả*")-COUNTIFS(K$3:K$53,K$59,M$3:M$53,"*hàng tỉnh*")</f>
        <v>0</v>
      </c>
      <c r="O62" s="24" t="s">
        <v>3422</v>
      </c>
      <c r="P62" s="24">
        <f>L82</f>
        <v>14535</v>
      </c>
    </row>
    <row r="63" spans="1:18" x14ac:dyDescent="0.25">
      <c r="B63" s="27" t="s">
        <v>90</v>
      </c>
      <c r="C63" s="80">
        <f>SUBTOTAL(9,C60:C62)</f>
        <v>33415</v>
      </c>
      <c r="D63" s="80"/>
      <c r="E63" s="24">
        <f>E60</f>
        <v>47</v>
      </c>
      <c r="K63" s="31" t="s">
        <v>91</v>
      </c>
      <c r="L63" s="48">
        <v>-845</v>
      </c>
      <c r="M63" s="48" t="s">
        <v>590</v>
      </c>
      <c r="O63" s="24" t="s">
        <v>92</v>
      </c>
      <c r="P63" s="24">
        <f>-C67</f>
        <v>-33415</v>
      </c>
    </row>
    <row r="64" spans="1:18" x14ac:dyDescent="0.25">
      <c r="B64" s="30" t="s">
        <v>93</v>
      </c>
      <c r="C64" s="78"/>
      <c r="D64" s="78"/>
      <c r="K64" s="30" t="s">
        <v>94</v>
      </c>
      <c r="O64" s="24" t="s">
        <v>3424</v>
      </c>
      <c r="P64" s="24">
        <v>780</v>
      </c>
    </row>
    <row r="65" spans="2:16" x14ac:dyDescent="0.25">
      <c r="B65" s="32" t="s">
        <v>96</v>
      </c>
      <c r="C65" s="78"/>
      <c r="D65" s="78"/>
      <c r="L65" s="33">
        <f>SUBTOTAL(9,L60:L64)</f>
        <v>8430</v>
      </c>
      <c r="M65" s="33">
        <f>M60</f>
        <v>18</v>
      </c>
      <c r="O65" s="27" t="s">
        <v>95</v>
      </c>
      <c r="P65" s="27">
        <f>SUBTOTAL(9,P60:P64)</f>
        <v>156</v>
      </c>
    </row>
    <row r="67" spans="2:16" x14ac:dyDescent="0.25">
      <c r="B67" s="26" t="s">
        <v>97</v>
      </c>
      <c r="C67" s="79">
        <f>C63+C64+C65</f>
        <v>33415</v>
      </c>
      <c r="D67" s="79"/>
      <c r="E67" s="26" t="s">
        <v>98</v>
      </c>
      <c r="K67" s="28" t="s">
        <v>31</v>
      </c>
      <c r="L67" s="28" t="s">
        <v>80</v>
      </c>
      <c r="M67" s="28" t="s">
        <v>79</v>
      </c>
    </row>
    <row r="68" spans="2:16" x14ac:dyDescent="0.25">
      <c r="K68" s="24" t="s">
        <v>84</v>
      </c>
      <c r="L68" s="24">
        <f>SUMIFS(G$3:G$53,J$3:J$53,K$67)</f>
        <v>10160</v>
      </c>
      <c r="M68" s="24">
        <f>SUMIFS(Q$3:Q$53,J$3:J$53,K$67)-INT(COUNTIFS(J$3:J$53,K$67,M$3:M$53,"*gộp*")/2)</f>
        <v>12</v>
      </c>
    </row>
    <row r="69" spans="2:16" x14ac:dyDescent="0.25">
      <c r="K69" s="24" t="s">
        <v>87</v>
      </c>
      <c r="L69" s="24">
        <f>-SUMIFS(H$3:H$53,J$3:J$53,K$67)+M69*5</f>
        <v>-250</v>
      </c>
      <c r="M69" s="24">
        <f>SUMIFS(Q$3:Q$53,J$3:J$53,K$67)-INT(COUNTIFS(J$3:J$53,K$67,M$3:M$53,"*gộp*")/2)</f>
        <v>12</v>
      </c>
    </row>
    <row r="70" spans="2:16" x14ac:dyDescent="0.25">
      <c r="K70" s="24" t="s">
        <v>89</v>
      </c>
      <c r="L70" s="24">
        <f>-M70*2</f>
        <v>-84</v>
      </c>
      <c r="M70" s="24">
        <f>COUNTIFS(K$3:K$53,K$67,L$3:L$53,A$60)-(COUNTIFS(K$3:K$53,K$67,M$3:M$53,"*gộp*")/2)-COUNTIFS(K$3:K$53,K$67,M$3:M$53,"*đơn trả*")-COUNTIFS(K$3:K$53,K$67,M$3:M$53,"*hàng tỉnh*")</f>
        <v>42</v>
      </c>
    </row>
    <row r="71" spans="2:16" x14ac:dyDescent="0.25">
      <c r="K71" s="31" t="s">
        <v>91</v>
      </c>
    </row>
    <row r="72" spans="2:16" x14ac:dyDescent="0.25">
      <c r="K72" s="30" t="s">
        <v>94</v>
      </c>
    </row>
    <row r="73" spans="2:16" x14ac:dyDescent="0.25">
      <c r="L73" s="33">
        <f>SUBTOTAL(9,L68:L72)</f>
        <v>9826</v>
      </c>
      <c r="M73" s="33">
        <f>M68</f>
        <v>12</v>
      </c>
    </row>
    <row r="75" spans="2:16" x14ac:dyDescent="0.25">
      <c r="K75" s="28" t="s">
        <v>3321</v>
      </c>
      <c r="L75" s="28" t="s">
        <v>80</v>
      </c>
      <c r="M75" s="28" t="s">
        <v>79</v>
      </c>
    </row>
    <row r="76" spans="2:16" x14ac:dyDescent="0.25">
      <c r="K76" s="24" t="s">
        <v>84</v>
      </c>
      <c r="L76" s="24">
        <f>SUMIFS(G$3:G$53,J$3:J$53,K$75)</f>
        <v>16865</v>
      </c>
      <c r="M76" s="24">
        <f>SUMIFS(Q$3:Q$53,J$3:J$53,K$75)-INT(COUNTIFS(J$3:J$53,K$75,M$3:M$53,"*gộp*")/2)</f>
        <v>15</v>
      </c>
    </row>
    <row r="77" spans="2:16" x14ac:dyDescent="0.25">
      <c r="K77" s="24" t="s">
        <v>87</v>
      </c>
      <c r="L77" s="24">
        <f>SUM(H58:H60)</f>
        <v>-316</v>
      </c>
      <c r="M77" s="24">
        <f>SUMIFS(Q$3:Q$53,J$3:J$53,K$75)-INT(COUNTIFS(J$3:J$53,K$75,M$3:M$53,"*gộp*")/2)</f>
        <v>15</v>
      </c>
    </row>
    <row r="78" spans="2:16" x14ac:dyDescent="0.25">
      <c r="K78" s="24" t="s">
        <v>89</v>
      </c>
      <c r="L78" s="24">
        <f>-M78*2</f>
        <v>0</v>
      </c>
      <c r="M78" s="24">
        <f>COUNTIFS(K$3:K$53,K$75,L$3:L$53,A$60)-(COUNTIFS(K$3:K$53,K$75,M$3:M$53,"*gộp*")/2)-COUNTIFS(K$3:K$53,K$75,M$3:M$53,"*đơn trả*")-COUNTIFS(K$3:K$53,K$75,M$3:M$53,"*hàng tỉnh*")</f>
        <v>0</v>
      </c>
    </row>
    <row r="79" spans="2:16" x14ac:dyDescent="0.25">
      <c r="K79" s="31" t="s">
        <v>91</v>
      </c>
      <c r="L79" s="48">
        <v>-1984</v>
      </c>
      <c r="M79" s="48" t="s">
        <v>358</v>
      </c>
    </row>
    <row r="80" spans="2:16" x14ac:dyDescent="0.25">
      <c r="K80" s="30" t="s">
        <v>94</v>
      </c>
    </row>
    <row r="81" spans="11:13" x14ac:dyDescent="0.25">
      <c r="K81" s="30" t="s">
        <v>3426</v>
      </c>
      <c r="L81" s="48">
        <v>-30</v>
      </c>
      <c r="M81" s="48" t="s">
        <v>589</v>
      </c>
    </row>
    <row r="82" spans="11:13" x14ac:dyDescent="0.25">
      <c r="L82" s="33">
        <f>SUBTOTAL(9,L76:L81)</f>
        <v>14535</v>
      </c>
      <c r="M82" s="33">
        <f>M76</f>
        <v>15</v>
      </c>
    </row>
  </sheetData>
  <autoFilter ref="A2:P55" xr:uid="{00000000-0009-0000-0000-000000000000}">
    <sortState xmlns:xlrd2="http://schemas.microsoft.com/office/spreadsheetml/2017/richdata2" ref="A3:P53">
      <sortCondition ref="J2:J53"/>
    </sortState>
  </autoFilter>
  <mergeCells count="8">
    <mergeCell ref="C65:D65"/>
    <mergeCell ref="C67:D67"/>
    <mergeCell ref="C59:D59"/>
    <mergeCell ref="C60:D60"/>
    <mergeCell ref="C61:D61"/>
    <mergeCell ref="C62:D62"/>
    <mergeCell ref="C63:D63"/>
    <mergeCell ref="C64:D64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Sheet1</vt:lpstr>
      <vt:lpstr>03-09</vt:lpstr>
      <vt:lpstr>04-09</vt:lpstr>
      <vt:lpstr>05-09</vt:lpstr>
      <vt:lpstr>06-09</vt:lpstr>
      <vt:lpstr>07-09</vt:lpstr>
      <vt:lpstr>08-09</vt:lpstr>
      <vt:lpstr>09-09</vt:lpstr>
      <vt:lpstr>10-09</vt:lpstr>
      <vt:lpstr>11-09</vt:lpstr>
      <vt:lpstr>12-09</vt:lpstr>
      <vt:lpstr>14-09</vt:lpstr>
      <vt:lpstr>15-09</vt:lpstr>
      <vt:lpstr>16-09</vt:lpstr>
      <vt:lpstr>17-09</vt:lpstr>
      <vt:lpstr>18-09</vt:lpstr>
      <vt:lpstr>19-09</vt:lpstr>
      <vt:lpstr>21-09</vt:lpstr>
      <vt:lpstr>22-09</vt:lpstr>
      <vt:lpstr>23-09</vt:lpstr>
      <vt:lpstr>24-09</vt:lpstr>
      <vt:lpstr>25-09</vt:lpstr>
      <vt:lpstr>26-09</vt:lpstr>
      <vt:lpstr>28-09</vt:lpstr>
      <vt:lpstr>29-09</vt:lpstr>
      <vt:lpstr>30-09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2026-10-07T06:35:11Z</dcterms:modified>
</cp:coreProperties>
</file>