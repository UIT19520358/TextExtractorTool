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Work\Freelance\TextInputter\data\Sep\"/>
    </mc:Choice>
  </mc:AlternateContent>
  <xr:revisionPtr revIDLastSave="0" documentId="13_ncr:1_{A9700BC7-DBE1-4195-BAEA-0A1A1D64CD62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3-9" sheetId="4" r:id="rId1"/>
    <sheet name="4-9" sheetId="5" r:id="rId2"/>
    <sheet name="5-9" sheetId="6" r:id="rId3"/>
    <sheet name="6-9" sheetId="7" r:id="rId4"/>
    <sheet name="7-9" sheetId="8" r:id="rId5"/>
    <sheet name="8-9" sheetId="9" r:id="rId6"/>
  </sheets>
  <definedNames>
    <definedName name="_xlnm._FilterDatabase" localSheetId="0" hidden="1">'3-9'!$A$2:$P$17</definedName>
    <definedName name="_xlnm._FilterDatabase" localSheetId="1" hidden="1">'4-9'!$A$2:$P$73</definedName>
    <definedName name="_xlnm._FilterDatabase" localSheetId="2" hidden="1">'5-9'!$A$2:$P$79</definedName>
    <definedName name="_xlnm._FilterDatabase" localSheetId="3" hidden="1">'6-9'!$A$2:$P$72</definedName>
    <definedName name="_xlnm._FilterDatabase" localSheetId="4" hidden="1">'7-9'!$A$2:$P$55</definedName>
    <definedName name="_xlnm._FilterDatabase" localSheetId="5" hidden="1">'8-9'!$A$2:$P$39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4" i="9" l="1"/>
  <c r="H58" i="9" l="1"/>
  <c r="I43" i="9"/>
  <c r="H57" i="9"/>
  <c r="R41" i="9"/>
  <c r="I47" i="9"/>
  <c r="H55" i="9"/>
  <c r="I41" i="9"/>
  <c r="N55" i="9"/>
  <c r="H56" i="9"/>
  <c r="I39" i="9"/>
  <c r="I38" i="9"/>
  <c r="I37" i="9"/>
  <c r="I36" i="9"/>
  <c r="I35" i="9"/>
  <c r="I34" i="9"/>
  <c r="R33" i="9"/>
  <c r="I33" i="9"/>
  <c r="I32" i="9"/>
  <c r="I31" i="9"/>
  <c r="I30" i="9"/>
  <c r="I29" i="9"/>
  <c r="I28" i="9"/>
  <c r="R27" i="9"/>
  <c r="I27" i="9"/>
  <c r="I26" i="9"/>
  <c r="I25" i="9"/>
  <c r="R24" i="9"/>
  <c r="I24" i="9"/>
  <c r="I23" i="9"/>
  <c r="I22" i="9"/>
  <c r="I21" i="9"/>
  <c r="I20" i="9"/>
  <c r="I19" i="9"/>
  <c r="I18" i="9"/>
  <c r="I17" i="9"/>
  <c r="I16" i="9"/>
  <c r="I15" i="9"/>
  <c r="I14" i="9"/>
  <c r="I13" i="9"/>
  <c r="R12" i="9"/>
  <c r="I12" i="9"/>
  <c r="I11" i="9"/>
  <c r="I10" i="9"/>
  <c r="R9" i="9"/>
  <c r="I9" i="9"/>
  <c r="R8" i="9"/>
  <c r="I8" i="9"/>
  <c r="I7" i="9"/>
  <c r="I46" i="9" s="1"/>
  <c r="I6" i="9"/>
  <c r="I5" i="9"/>
  <c r="R4" i="9"/>
  <c r="I4" i="9"/>
  <c r="I3" i="9"/>
  <c r="I50" i="9"/>
  <c r="I49" i="9"/>
  <c r="I48" i="9"/>
  <c r="Q41" i="9"/>
  <c r="J46" i="9" s="1"/>
  <c r="J53" i="9" s="1"/>
  <c r="P41" i="9"/>
  <c r="O41" i="9"/>
  <c r="N41" i="9"/>
  <c r="M41" i="9"/>
  <c r="L41" i="9"/>
  <c r="K41" i="9"/>
  <c r="J41" i="9"/>
  <c r="H41" i="9"/>
  <c r="G41" i="9"/>
  <c r="I53" i="9" l="1"/>
  <c r="H71" i="8" l="1"/>
  <c r="I55" i="8"/>
  <c r="I54" i="8"/>
  <c r="R53" i="8"/>
  <c r="I53" i="8"/>
  <c r="I52" i="8"/>
  <c r="I51" i="8"/>
  <c r="R50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R31" i="8"/>
  <c r="I31" i="8"/>
  <c r="R30" i="8"/>
  <c r="I30" i="8"/>
  <c r="I29" i="8"/>
  <c r="I28" i="8"/>
  <c r="R27" i="8"/>
  <c r="I27" i="8"/>
  <c r="I26" i="8"/>
  <c r="I25" i="8"/>
  <c r="I24" i="8"/>
  <c r="I23" i="8"/>
  <c r="I22" i="8"/>
  <c r="I21" i="8"/>
  <c r="I20" i="8"/>
  <c r="I19" i="8"/>
  <c r="I18" i="8"/>
  <c r="I17" i="8"/>
  <c r="I16" i="8"/>
  <c r="R15" i="8"/>
  <c r="I15" i="8"/>
  <c r="R14" i="8"/>
  <c r="I14" i="8"/>
  <c r="I13" i="8"/>
  <c r="I12" i="8"/>
  <c r="I11" i="8"/>
  <c r="I10" i="8"/>
  <c r="I9" i="8"/>
  <c r="I8" i="8"/>
  <c r="R7" i="8"/>
  <c r="I7" i="8"/>
  <c r="I6" i="8"/>
  <c r="I5" i="8"/>
  <c r="I4" i="8"/>
  <c r="R3" i="8"/>
  <c r="I3" i="8"/>
  <c r="I66" i="8"/>
  <c r="I65" i="8"/>
  <c r="I64" i="8"/>
  <c r="Q57" i="8"/>
  <c r="J62" i="8" s="1"/>
  <c r="J69" i="8" s="1"/>
  <c r="P57" i="8"/>
  <c r="O57" i="8"/>
  <c r="N57" i="8"/>
  <c r="M57" i="8"/>
  <c r="L57" i="8"/>
  <c r="K57" i="8"/>
  <c r="J57" i="8"/>
  <c r="H57" i="8"/>
  <c r="G57" i="8"/>
  <c r="I75" i="7"/>
  <c r="H120" i="7"/>
  <c r="H119" i="7"/>
  <c r="H118" i="7"/>
  <c r="H117" i="7"/>
  <c r="H116" i="7"/>
  <c r="H115" i="7"/>
  <c r="H114" i="7"/>
  <c r="H113" i="7"/>
  <c r="H112" i="7"/>
  <c r="H111" i="7"/>
  <c r="H110" i="7"/>
  <c r="H109" i="7"/>
  <c r="H108" i="7"/>
  <c r="H107" i="7"/>
  <c r="H106" i="7"/>
  <c r="H105" i="7"/>
  <c r="H104" i="7"/>
  <c r="H103" i="7"/>
  <c r="H102" i="7"/>
  <c r="H101" i="7"/>
  <c r="H100" i="7"/>
  <c r="H99" i="7"/>
  <c r="H98" i="7"/>
  <c r="H97" i="7"/>
  <c r="H96" i="7"/>
  <c r="H95" i="7"/>
  <c r="H94" i="7"/>
  <c r="H93" i="7"/>
  <c r="H92" i="7"/>
  <c r="H91" i="7"/>
  <c r="H90" i="7"/>
  <c r="H89" i="7"/>
  <c r="H88" i="7"/>
  <c r="I82" i="6"/>
  <c r="H99" i="6"/>
  <c r="H98" i="6"/>
  <c r="H97" i="6"/>
  <c r="H96" i="6"/>
  <c r="H95" i="6"/>
  <c r="I7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0" i="5"/>
  <c r="R28" i="5"/>
  <c r="R28" i="6"/>
  <c r="I72" i="7"/>
  <c r="I71" i="7"/>
  <c r="R70" i="7"/>
  <c r="I70" i="7"/>
  <c r="I69" i="7"/>
  <c r="I68" i="7"/>
  <c r="I67" i="7"/>
  <c r="I66" i="7"/>
  <c r="I65" i="7"/>
  <c r="I64" i="7"/>
  <c r="I63" i="7"/>
  <c r="I62" i="7"/>
  <c r="I61" i="7"/>
  <c r="I60" i="7"/>
  <c r="I59" i="7"/>
  <c r="I58" i="7"/>
  <c r="I57" i="7"/>
  <c r="I56" i="7"/>
  <c r="R55" i="7"/>
  <c r="I55" i="7"/>
  <c r="I54" i="7"/>
  <c r="I53" i="7"/>
  <c r="I52" i="7"/>
  <c r="I51" i="7"/>
  <c r="I50" i="7"/>
  <c r="R49" i="7"/>
  <c r="I49" i="7"/>
  <c r="R48" i="7"/>
  <c r="I48" i="7"/>
  <c r="I47" i="7"/>
  <c r="R46" i="7"/>
  <c r="I46" i="7"/>
  <c r="I45" i="7"/>
  <c r="I44" i="7"/>
  <c r="I43" i="7"/>
  <c r="I42" i="7"/>
  <c r="I41" i="7"/>
  <c r="I40" i="7"/>
  <c r="I39" i="7"/>
  <c r="I38" i="7"/>
  <c r="I37" i="7"/>
  <c r="R36" i="7"/>
  <c r="I36" i="7"/>
  <c r="I35" i="7"/>
  <c r="I34" i="7"/>
  <c r="I33" i="7"/>
  <c r="I32" i="7"/>
  <c r="I31" i="7"/>
  <c r="I30" i="7"/>
  <c r="I29" i="7"/>
  <c r="I28" i="7"/>
  <c r="I27" i="7"/>
  <c r="I26" i="7"/>
  <c r="I25" i="7"/>
  <c r="I24" i="7"/>
  <c r="R23" i="7"/>
  <c r="I23" i="7"/>
  <c r="I22" i="7"/>
  <c r="I21" i="7"/>
  <c r="R20" i="7"/>
  <c r="I20" i="7"/>
  <c r="I19" i="7"/>
  <c r="R18" i="7"/>
  <c r="I18" i="7"/>
  <c r="I17" i="7"/>
  <c r="I16" i="7"/>
  <c r="I15" i="7"/>
  <c r="I14" i="7"/>
  <c r="I13" i="7"/>
  <c r="I12" i="7"/>
  <c r="I11" i="7"/>
  <c r="R10" i="7"/>
  <c r="I10" i="7"/>
  <c r="R9" i="7"/>
  <c r="I9" i="7"/>
  <c r="I8" i="7"/>
  <c r="R7" i="7"/>
  <c r="I7" i="7"/>
  <c r="I6" i="7"/>
  <c r="I5" i="7"/>
  <c r="I4" i="7"/>
  <c r="R3" i="7"/>
  <c r="I3" i="7"/>
  <c r="I83" i="7"/>
  <c r="I82" i="7"/>
  <c r="I81" i="7"/>
  <c r="Q74" i="7"/>
  <c r="J79" i="7" s="1"/>
  <c r="J86" i="7" s="1"/>
  <c r="P74" i="7"/>
  <c r="O74" i="7"/>
  <c r="N74" i="7"/>
  <c r="M74" i="7"/>
  <c r="L74" i="7"/>
  <c r="K74" i="7"/>
  <c r="J74" i="7"/>
  <c r="H74" i="7"/>
  <c r="G74" i="7"/>
  <c r="I79" i="6"/>
  <c r="I78" i="6"/>
  <c r="R77" i="6"/>
  <c r="I77" i="6"/>
  <c r="I76" i="6"/>
  <c r="I75" i="6"/>
  <c r="I74" i="6"/>
  <c r="I73" i="6"/>
  <c r="I72" i="6"/>
  <c r="I71" i="6"/>
  <c r="I70" i="6"/>
  <c r="I69" i="6"/>
  <c r="I68" i="6"/>
  <c r="I67" i="6"/>
  <c r="R66" i="6"/>
  <c r="I66" i="6"/>
  <c r="I65" i="6"/>
  <c r="R64" i="6"/>
  <c r="I64" i="6"/>
  <c r="I63" i="6"/>
  <c r="I62" i="6"/>
  <c r="I61" i="6"/>
  <c r="I60" i="6"/>
  <c r="R59" i="6"/>
  <c r="I59" i="6"/>
  <c r="R58" i="6"/>
  <c r="I58" i="6"/>
  <c r="R57" i="6"/>
  <c r="I57" i="6"/>
  <c r="I56" i="6"/>
  <c r="I55" i="6"/>
  <c r="I54" i="6"/>
  <c r="I53" i="6"/>
  <c r="I52" i="6"/>
  <c r="R51" i="6"/>
  <c r="I51" i="6"/>
  <c r="I50" i="6"/>
  <c r="I49" i="6"/>
  <c r="I48" i="6"/>
  <c r="I47" i="6"/>
  <c r="I46" i="6"/>
  <c r="I45" i="6"/>
  <c r="R44" i="6"/>
  <c r="I44" i="6"/>
  <c r="R43" i="6"/>
  <c r="I43" i="6"/>
  <c r="I42" i="6"/>
  <c r="I41" i="6"/>
  <c r="I40" i="6"/>
  <c r="R39" i="6"/>
  <c r="I39" i="6"/>
  <c r="I38" i="6"/>
  <c r="I37" i="6"/>
  <c r="I36" i="6"/>
  <c r="R35" i="6"/>
  <c r="I35" i="6"/>
  <c r="I34" i="6"/>
  <c r="R33" i="6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R19" i="6"/>
  <c r="I19" i="6"/>
  <c r="R18" i="6"/>
  <c r="I18" i="6"/>
  <c r="I17" i="6"/>
  <c r="I16" i="6"/>
  <c r="R15" i="6"/>
  <c r="I15" i="6"/>
  <c r="I14" i="6"/>
  <c r="R13" i="6"/>
  <c r="I13" i="6"/>
  <c r="I12" i="6"/>
  <c r="I11" i="6"/>
  <c r="I10" i="6"/>
  <c r="I9" i="6"/>
  <c r="I8" i="6"/>
  <c r="I7" i="6"/>
  <c r="I6" i="6"/>
  <c r="I5" i="6"/>
  <c r="I4" i="6"/>
  <c r="I3" i="6"/>
  <c r="I90" i="6"/>
  <c r="I89" i="6"/>
  <c r="I88" i="6"/>
  <c r="Q81" i="6"/>
  <c r="J86" i="6" s="1"/>
  <c r="J93" i="6" s="1"/>
  <c r="P81" i="6"/>
  <c r="O81" i="6"/>
  <c r="N81" i="6"/>
  <c r="M81" i="6"/>
  <c r="L81" i="6"/>
  <c r="K81" i="6"/>
  <c r="J81" i="6"/>
  <c r="H81" i="6"/>
  <c r="G81" i="6"/>
  <c r="R81" i="6"/>
  <c r="I87" i="6" s="1"/>
  <c r="R44" i="5"/>
  <c r="R12" i="5"/>
  <c r="I73" i="5"/>
  <c r="R72" i="5"/>
  <c r="I72" i="5"/>
  <c r="R71" i="5"/>
  <c r="I71" i="5"/>
  <c r="I70" i="5"/>
  <c r="I69" i="5"/>
  <c r="I68" i="5"/>
  <c r="I67" i="5"/>
  <c r="R66" i="5"/>
  <c r="I66" i="5"/>
  <c r="I65" i="5"/>
  <c r="I64" i="5"/>
  <c r="R63" i="5"/>
  <c r="I63" i="5"/>
  <c r="I62" i="5"/>
  <c r="R61" i="5"/>
  <c r="I61" i="5"/>
  <c r="I60" i="5"/>
  <c r="I59" i="5"/>
  <c r="I58" i="5"/>
  <c r="I57" i="5"/>
  <c r="R56" i="5"/>
  <c r="I56" i="5"/>
  <c r="I55" i="5"/>
  <c r="I54" i="5"/>
  <c r="R53" i="5"/>
  <c r="I53" i="5"/>
  <c r="I52" i="5"/>
  <c r="R51" i="5"/>
  <c r="I51" i="5"/>
  <c r="R50" i="5"/>
  <c r="I50" i="5"/>
  <c r="I49" i="5"/>
  <c r="I48" i="5"/>
  <c r="I47" i="5"/>
  <c r="I46" i="5"/>
  <c r="I45" i="5"/>
  <c r="I44" i="5"/>
  <c r="I43" i="5"/>
  <c r="I42" i="5"/>
  <c r="I41" i="5"/>
  <c r="R40" i="5"/>
  <c r="I40" i="5"/>
  <c r="I39" i="5"/>
  <c r="I38" i="5"/>
  <c r="R37" i="5"/>
  <c r="I37" i="5"/>
  <c r="I36" i="5"/>
  <c r="I35" i="5"/>
  <c r="I34" i="5"/>
  <c r="I33" i="5"/>
  <c r="R32" i="5"/>
  <c r="I32" i="5"/>
  <c r="I31" i="5"/>
  <c r="I30" i="5"/>
  <c r="R29" i="5"/>
  <c r="I29" i="5"/>
  <c r="I28" i="5"/>
  <c r="R27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R13" i="5"/>
  <c r="I13" i="5"/>
  <c r="I12" i="5"/>
  <c r="I11" i="5"/>
  <c r="R10" i="5"/>
  <c r="I10" i="5"/>
  <c r="I9" i="5"/>
  <c r="I8" i="5"/>
  <c r="R7" i="5"/>
  <c r="I7" i="5"/>
  <c r="I6" i="5"/>
  <c r="I5" i="5"/>
  <c r="R4" i="5"/>
  <c r="I4" i="5"/>
  <c r="R3" i="5"/>
  <c r="I3" i="5"/>
  <c r="I84" i="5"/>
  <c r="I83" i="5"/>
  <c r="I82" i="5"/>
  <c r="Q75" i="5"/>
  <c r="J80" i="5" s="1"/>
  <c r="J87" i="5" s="1"/>
  <c r="P75" i="5"/>
  <c r="O75" i="5"/>
  <c r="N75" i="5"/>
  <c r="M75" i="5"/>
  <c r="L75" i="5"/>
  <c r="K75" i="5"/>
  <c r="J75" i="5"/>
  <c r="H75" i="5"/>
  <c r="G75" i="5"/>
  <c r="I57" i="8" l="1"/>
  <c r="R57" i="8"/>
  <c r="I63" i="8" s="1"/>
  <c r="R74" i="7"/>
  <c r="I80" i="7" s="1"/>
  <c r="I74" i="7"/>
  <c r="I79" i="7" s="1"/>
  <c r="I86" i="7" s="1"/>
  <c r="I81" i="6"/>
  <c r="I86" i="6" s="1"/>
  <c r="I93" i="6" s="1"/>
  <c r="R75" i="5"/>
  <c r="I81" i="5" s="1"/>
  <c r="I75" i="5"/>
  <c r="I80" i="5" s="1"/>
  <c r="I62" i="8" l="1"/>
  <c r="I69" i="8" s="1"/>
  <c r="I87" i="5"/>
  <c r="R17" i="4" l="1"/>
  <c r="I17" i="4"/>
  <c r="I16" i="4"/>
  <c r="I15" i="4"/>
  <c r="I14" i="4"/>
  <c r="I13" i="4"/>
  <c r="R12" i="4"/>
  <c r="I12" i="4"/>
  <c r="I11" i="4"/>
  <c r="R10" i="4"/>
  <c r="I10" i="4"/>
  <c r="R9" i="4"/>
  <c r="I9" i="4"/>
  <c r="R8" i="4"/>
  <c r="I8" i="4"/>
  <c r="R7" i="4"/>
  <c r="I7" i="4"/>
  <c r="I6" i="4"/>
  <c r="I5" i="4"/>
  <c r="I4" i="4"/>
  <c r="I3" i="4"/>
  <c r="I28" i="4" l="1"/>
  <c r="I27" i="4"/>
  <c r="I26" i="4"/>
  <c r="R19" i="4"/>
  <c r="I25" i="4" s="1"/>
  <c r="Q19" i="4"/>
  <c r="J24" i="4" s="1"/>
  <c r="J31" i="4" s="1"/>
  <c r="P19" i="4"/>
  <c r="O19" i="4"/>
  <c r="N19" i="4"/>
  <c r="M19" i="4"/>
  <c r="L19" i="4"/>
  <c r="K19" i="4"/>
  <c r="J19" i="4"/>
  <c r="I19" i="4"/>
  <c r="I24" i="4" s="1"/>
  <c r="H19" i="4"/>
  <c r="G19" i="4"/>
  <c r="I31" i="4" l="1"/>
</calcChain>
</file>

<file path=xl/sharedStrings.xml><?xml version="1.0" encoding="utf-8"?>
<sst xmlns="http://schemas.openxmlformats.org/spreadsheetml/2006/main" count="3104" uniqueCount="1144">
  <si>
    <t>Tình trạng TT</t>
  </si>
  <si>
    <t>SHOP</t>
  </si>
  <si>
    <t>TÊN KH</t>
  </si>
  <si>
    <t>MÃ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</si>
  <si>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</si>
  <si>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</si>
  <si>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</si>
  <si>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</si>
  <si>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</si>
  <si>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</si>
  <si>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</si>
  <si>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</si>
  <si>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</si>
  <si>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</si>
  <si>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</si>
  <si>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Tiền</t>
  </si>
  <si>
    <t>Số đơn</t>
  </si>
  <si>
    <t>Tiền hàng Thanh Toán</t>
  </si>
  <si>
    <t>Trừ Ship</t>
  </si>
  <si>
    <t>Cước xe</t>
  </si>
  <si>
    <t>Khách C.khoản</t>
  </si>
  <si>
    <t>Giảm tiền thu Khách</t>
  </si>
  <si>
    <t xml:space="preserve">Hàng Boom Trả </t>
  </si>
  <si>
    <t>Trừ đơn củ đã ck</t>
  </si>
  <si>
    <t xml:space="preserve">Tổng Tiền Hàng </t>
  </si>
  <si>
    <t>ĐỊA CHỈ</t>
  </si>
  <si>
    <t>THU 5</t>
  </si>
  <si>
    <t>NGAY 3-9</t>
  </si>
  <si>
    <t>T5.3.9.2026</t>
  </si>
  <si>
    <t>ĐOÀN NGÂN CHÂU</t>
  </si>
  <si>
    <t>Thuy An Dao sale</t>
  </si>
  <si>
    <t>HD054680</t>
  </si>
  <si>
    <t>Sảnh B2 chung cư Emerald phường Sơn Kỳ</t>
  </si>
  <si>
    <t>tan phu</t>
  </si>
  <si>
    <t>AT 03-09</t>
  </si>
  <si>
    <t>c.cuong</t>
  </si>
  <si>
    <t>03-09-2026</t>
  </si>
  <si>
    <t>Như Ý Nguyen sale</t>
  </si>
  <si>
    <t>HD054733</t>
  </si>
  <si>
    <t>4 đào trí phường Phú thuận</t>
  </si>
  <si>
    <t>Khánh Băng sale</t>
  </si>
  <si>
    <t>HD054696</t>
  </si>
  <si>
    <t>số 1 dương bá trạc p1</t>
  </si>
  <si>
    <t>hàng sỉ</t>
  </si>
  <si>
    <t>MIE</t>
  </si>
  <si>
    <t>275/14B1 Đặng Nguyên Cẩn, Phường Phú Lâm</t>
  </si>
  <si>
    <t>Minh Hai (Zalo: Shirley Woo)</t>
  </si>
  <si>
    <t>17 Street No. 13, Binh Hung Hoa Ward</t>
  </si>
  <si>
    <t>binh tan</t>
  </si>
  <si>
    <t>Trang nguyen-sale</t>
  </si>
  <si>
    <t>HD054669</t>
  </si>
  <si>
    <t>114/95/3 Tô Ngọc Vân, P. An Hội Đông</t>
  </si>
  <si>
    <t>go vap</t>
  </si>
  <si>
    <t>đổi hàng</t>
  </si>
  <si>
    <t>Phạm Dung sale</t>
  </si>
  <si>
    <t>HD054736</t>
  </si>
  <si>
    <t>208 nguyễn hữu cảnh phường 22 chung cư vinhome toà landmark 5</t>
  </si>
  <si>
    <t>binh thanh</t>
  </si>
  <si>
    <t>shop chịu ship</t>
  </si>
  <si>
    <t>Lam Van-sale</t>
  </si>
  <si>
    <t>HD054697</t>
  </si>
  <si>
    <t>3/4 nguyễn văn thương p thạnh mỹ tây</t>
  </si>
  <si>
    <t>lấy đồ về</t>
  </si>
  <si>
    <t>Tòa Landmark4 208 Nguyễn Hữu Cảnh p22</t>
  </si>
  <si>
    <t>Lê Thảo</t>
  </si>
  <si>
    <t>225 Thống Nhất, An Hội Đông (Trà sữa Tam Hảo)</t>
  </si>
  <si>
    <t>Nguyet</t>
  </si>
  <si>
    <t>HD054670</t>
  </si>
  <si>
    <t>Toà nhà lux 6...Vinhomes Gollen River (Bason), 2 Nguyễn Hữu Cảnh, P. Bến Nghé</t>
  </si>
  <si>
    <t>c.hieu</t>
  </si>
  <si>
    <t>Ngọc Thanh sale</t>
  </si>
  <si>
    <t>HD054686</t>
  </si>
  <si>
    <t>177/27 đường 3/2 phường vườn lài</t>
  </si>
  <si>
    <t>Thu Thảo</t>
  </si>
  <si>
    <t>HD054744</t>
  </si>
  <si>
    <t>34/14 Trần minh quyền Phường vườn lài</t>
  </si>
  <si>
    <t>Đỗ Thúy sale</t>
  </si>
  <si>
    <t>HD054719</t>
  </si>
  <si>
    <t>540 lê văn sỹ</t>
  </si>
  <si>
    <t>MINZZY</t>
  </si>
  <si>
    <t>XE TOÀN THẮNG VỀ CÀ PHÊ PHONG LONG THÀNH ĐỒNG NAI</t>
  </si>
  <si>
    <t>T6.4.9.2026</t>
  </si>
  <si>
    <t>THU 6</t>
  </si>
  <si>
    <t>NGAY 4-9</t>
  </si>
  <si>
    <t>Lê Kim Khoẻ</t>
  </si>
  <si>
    <t>HD054891</t>
  </si>
  <si>
    <t>block C . Chung cư Conic Đông Nam Á. Đường số 2. Xã Bình Hưng (Xã Phong Phú cũ)</t>
  </si>
  <si>
    <t>binh chanh</t>
  </si>
  <si>
    <t>AT 04-09</t>
  </si>
  <si>
    <t>04-09-2026</t>
  </si>
  <si>
    <t>Thảo Ken</t>
  </si>
  <si>
    <t>26 Lê Văn Lương, Phước Kiểng</t>
  </si>
  <si>
    <t>nha be</t>
  </si>
  <si>
    <t>Quỳnh Hương sale</t>
  </si>
  <si>
    <t>HD054692</t>
  </si>
  <si>
    <t>70/21 đình nghi xuân, p bình rị đông</t>
  </si>
  <si>
    <t>Nguyễn Thị Thanh Quyên SALE WED T8</t>
  </si>
  <si>
    <t>HD054827</t>
  </si>
  <si>
    <t>57/7 Ấp Nam Lân, Bà Điểm</t>
  </si>
  <si>
    <t>hoc mon</t>
  </si>
  <si>
    <t>Nguyên Châu Phương Uyên sale</t>
  </si>
  <si>
    <t>HD054710</t>
  </si>
  <si>
    <t>84A1 Dương Đình Hội, P.Phước Long B</t>
  </si>
  <si>
    <t>Kim Tiên sale</t>
  </si>
  <si>
    <t>HD054848</t>
  </si>
  <si>
    <t>Chung cư emerald số 2 đường n4 phường sơn kỳ</t>
  </si>
  <si>
    <t>Di Ngân sale</t>
  </si>
  <si>
    <t>HD055074</t>
  </si>
  <si>
    <t>Toà Bs7 Vinhome Gread Grand Park Phường Long Bình</t>
  </si>
  <si>
    <t>Yến Yến</t>
  </si>
  <si>
    <t>HD054889</t>
  </si>
  <si>
    <t>108 dương bá trạc p2</t>
  </si>
  <si>
    <t>Dượng 9_FB: Kathy Nguyen sale</t>
  </si>
  <si>
    <t>HD054769</t>
  </si>
  <si>
    <t>so nha 300, Nguyễn duy, phường Chánh Hưng</t>
  </si>
  <si>
    <t>Ngoc My sale</t>
  </si>
  <si>
    <t>HD054906</t>
  </si>
  <si>
    <t>296 Hoà Bình</t>
  </si>
  <si>
    <t>Lucy paypy</t>
  </si>
  <si>
    <t>HD045055</t>
  </si>
  <si>
    <t>66 Đường số 17, phường 10</t>
  </si>
  <si>
    <t>Gia Mỹ sale</t>
  </si>
  <si>
    <t>HD055081</t>
  </si>
  <si>
    <t>85/35 Nguyễn Thị Xiếu, phường Tân Thuận ( Quẹo hẻm 85/29 rồi quẹo phải sẽ thấy số nhà 85/35 )</t>
  </si>
  <si>
    <t>Phương Trâm</t>
  </si>
  <si>
    <t>78/6u4 17 Lâm Văn Bền Tân Thuận</t>
  </si>
  <si>
    <t>Ngoc Venus SALE</t>
  </si>
  <si>
    <t>HD054645</t>
  </si>
  <si>
    <t>69 phổ tiểu nam, p Tân Phú</t>
  </si>
  <si>
    <t>Trân sale</t>
  </si>
  <si>
    <t>HD054727</t>
  </si>
  <si>
    <t>536/43/18/23 Âu Cơ P.10</t>
  </si>
  <si>
    <t>tan binh</t>
  </si>
  <si>
    <t>Nguyễn Duyên sale</t>
  </si>
  <si>
    <t>HD055071</t>
  </si>
  <si>
    <t>72 đường 339 phước long B</t>
  </si>
  <si>
    <t>Mỹ Nhiên</t>
  </si>
  <si>
    <t>HD055021</t>
  </si>
  <si>
    <t>26 đường 11 phường an lạc</t>
  </si>
  <si>
    <t>Khánh Ngọc SALE WED T8</t>
  </si>
  <si>
    <t>HD054977</t>
  </si>
  <si>
    <t>297/1 Đặng Thúc Vịnh xã Đông Thạnh</t>
  </si>
  <si>
    <t>Jolly Ngô sale</t>
  </si>
  <si>
    <t>HD054995</t>
  </si>
  <si>
    <t>214/90 hàn hải nguyên, f9</t>
  </si>
  <si>
    <t>Christy Lương sale</t>
  </si>
  <si>
    <t>HD054854</t>
  </si>
  <si>
    <t>1079 tạ quang bửu phường bình đông</t>
  </si>
  <si>
    <t>Lyn Trần</t>
  </si>
  <si>
    <t>HD054779</t>
  </si>
  <si>
    <t>124 đường 24b. Bình Trị Đông B</t>
  </si>
  <si>
    <t>Trang Hồ Vĩnh Như-sale</t>
  </si>
  <si>
    <t>HD054829</t>
  </si>
  <si>
    <t>35 đặng đức thuật, chung cư RIVERPARK PREMIER Block A, p.Tân Hưng</t>
  </si>
  <si>
    <t>Mỹ Trâm-sale</t>
  </si>
  <si>
    <t>HD054846</t>
  </si>
  <si>
    <t>A8/18 tổ 8 ấp 1 xã tân quý tây</t>
  </si>
  <si>
    <t>Chloe D fb Dương Diệu Linh</t>
  </si>
  <si>
    <t>HD055059</t>
  </si>
  <si>
    <t>Chung cư Sunshine diamond river (noble crystal riverside) - 422 Đào Trí</t>
  </si>
  <si>
    <t>Mai Trinh sale</t>
  </si>
  <si>
    <t>HD054984</t>
  </si>
  <si>
    <t>432A/40/2G Dương Bá Trạc, Phường Rạch Ông</t>
  </si>
  <si>
    <t>FB An An</t>
  </si>
  <si>
    <t>17 Đường số 13, Bình Hưng Hòa</t>
  </si>
  <si>
    <t>Phương Thêu Đoàn sale</t>
  </si>
  <si>
    <t>HD054785</t>
  </si>
  <si>
    <t>32/33/9 Ông ích khiêm.p14</t>
  </si>
  <si>
    <t>Yến Yến- sale</t>
  </si>
  <si>
    <t>HD055024</t>
  </si>
  <si>
    <t>104-102 đường số 28 p bình trị đông b</t>
  </si>
  <si>
    <t>Trúc Linhh sale</t>
  </si>
  <si>
    <t>HD054845</t>
  </si>
  <si>
    <t>S10.06 Origami, Vinhomes grand park, phường long bình</t>
  </si>
  <si>
    <t>Thu Huong-sale</t>
  </si>
  <si>
    <t>HD054850</t>
  </si>
  <si>
    <t>29/2A đô đốc long, phú thọ hoà</t>
  </si>
  <si>
    <t>Vân MyMy</t>
  </si>
  <si>
    <t>HD054780</t>
  </si>
  <si>
    <t>107 nguyễn văn linh chung cư eco green lock H</t>
  </si>
  <si>
    <t>Diễm Hiền sale</t>
  </si>
  <si>
    <t>HD054759</t>
  </si>
  <si>
    <t>635/8 hương lộ 2 bình trị đông</t>
  </si>
  <si>
    <t>kim hoàng 0</t>
  </si>
  <si>
    <t>282/56 bùi hữu nghĩa p2</t>
  </si>
  <si>
    <t>Hoa Nguyen sale</t>
  </si>
  <si>
    <t>HD054789</t>
  </si>
  <si>
    <t>72 đường số 11, khu dân cư cityland, phường 10</t>
  </si>
  <si>
    <t>Vân Anh (SALE WEB)</t>
  </si>
  <si>
    <t>HD054740</t>
  </si>
  <si>
    <t>25 Võ Văn Ngân Phường Thủ Đức</t>
  </si>
  <si>
    <t>thu duc</t>
  </si>
  <si>
    <t>Chi MeiMei-sale</t>
  </si>
  <si>
    <t>HD054852</t>
  </si>
  <si>
    <t>124/67/21B Xô Viết Nghệ Tĩnh phường Thạnh Mỹ Tây</t>
  </si>
  <si>
    <t>Nguyễn Thị Phương Thảo sale</t>
  </si>
  <si>
    <t>HD054892</t>
  </si>
  <si>
    <t>villa pearl, đường Đ9, saigon pearl, 92 nguyễn hữu cảnh</t>
  </si>
  <si>
    <t>Nguyễn thị minh thảo fb Tram Le-sale</t>
  </si>
  <si>
    <t>HD054805</t>
  </si>
  <si>
    <t>14/2 trần quang long,p19</t>
  </si>
  <si>
    <t>Võ Thùy Linh sale</t>
  </si>
  <si>
    <t>HD054695</t>
  </si>
  <si>
    <t>269/8 phan huy ích p. An Hội Tây</t>
  </si>
  <si>
    <t>Nguyễn Hàn Thiên Nhi sale</t>
  </si>
  <si>
    <t>HD055004</t>
  </si>
  <si>
    <t>136D Mai chí thọ, phường An Phú (Note: quẹo hẻm Tú Lam chạy thẳng gặp ngã 3 queo phải chạy qua cầu là đến)</t>
  </si>
  <si>
    <t>Jenny Nguyen sale</t>
  </si>
  <si>
    <t>HD054800</t>
  </si>
  <si>
    <t>377/43 lê quang định, phường bình lợi trung</t>
  </si>
  <si>
    <t>Nguyen Minh Nguyet sale</t>
  </si>
  <si>
    <t>HD054687</t>
  </si>
  <si>
    <t>2c/37 bình quới f27</t>
  </si>
  <si>
    <t>Mai Ngọc Thuỷ Tiên sale</t>
  </si>
  <si>
    <t>HD054771</t>
  </si>
  <si>
    <t>58/20b Thống Nhất</t>
  </si>
  <si>
    <t>Gia Ngọc</t>
  </si>
  <si>
    <t>HD054732</t>
  </si>
  <si>
    <t>90/13/15 đường số 4.kp6.phường Hiệp Bình</t>
  </si>
  <si>
    <t>Vũ Ngọc Huyền sale</t>
  </si>
  <si>
    <t>HD054647</t>
  </si>
  <si>
    <t>111/34 đường 16 hiệp bình chánh</t>
  </si>
  <si>
    <t>Nguyen Mimi sale</t>
  </si>
  <si>
    <t>HD054962</t>
  </si>
  <si>
    <t>577/9 J, đường Quốc lộ 13, Hiệp Bình</t>
  </si>
  <si>
    <t>Trần Thu Thuỷ sale</t>
  </si>
  <si>
    <t>HD054773</t>
  </si>
  <si>
    <t>101/3/2a. Đường số 21 phường Thông Tây</t>
  </si>
  <si>
    <t>Nguyễn Thị Tú SALE</t>
  </si>
  <si>
    <t>HD054655</t>
  </si>
  <si>
    <t>11 bùi đình tuý, phường bình thạnh</t>
  </si>
  <si>
    <t>Đoan Trang sale</t>
  </si>
  <si>
    <t>HD054729</t>
  </si>
  <si>
    <t>Topaz 2 Saigon Pearl 92 Ng Hữu Cảnh p22</t>
  </si>
  <si>
    <t>Ngọc Thao Bui sale</t>
  </si>
  <si>
    <t>HD054796</t>
  </si>
  <si>
    <t>383 nguyễn duy trinh</t>
  </si>
  <si>
    <t>Mr Thế (Zalo: Minh Tuệ)</t>
  </si>
  <si>
    <t>27/5 Quách Văn Tuấn, F12</t>
  </si>
  <si>
    <t>Hoà Lê</t>
  </si>
  <si>
    <t>số 42/43-45 Nguyễn Minh Hoàng, phường 12</t>
  </si>
  <si>
    <t>Bình Trần</t>
  </si>
  <si>
    <t>41/8 Mai Lão Bạng, Phường 13</t>
  </si>
  <si>
    <t>Minea</t>
  </si>
  <si>
    <t>363 Hùng Vương, Phường 9</t>
  </si>
  <si>
    <t>Khanh Dii</t>
  </si>
  <si>
    <t>HD054603</t>
  </si>
  <si>
    <t>số 1 Đinh Lễ, phường 13</t>
  </si>
  <si>
    <t>giảm kh 99k</t>
  </si>
  <si>
    <t>Pon Nis</t>
  </si>
  <si>
    <t>HD042369</t>
  </si>
  <si>
    <t>82/23 đg` Ng~ Công Hoan, P. Cầu Kiệu</t>
  </si>
  <si>
    <t>phu nhuan</t>
  </si>
  <si>
    <t>Viên Trương</t>
  </si>
  <si>
    <t>HD054777</t>
  </si>
  <si>
    <t>Xi Grand Court Block C. 258 lý thường kiệt phường 14</t>
  </si>
  <si>
    <t>Thuỳ Dung sale</t>
  </si>
  <si>
    <t>HD054708</t>
  </si>
  <si>
    <t>391/33 sư vạn hạnh, phường hoà hưng</t>
  </si>
  <si>
    <t>Nguyệt Quế</t>
  </si>
  <si>
    <t>HD054792</t>
  </si>
  <si>
    <t>346 bến vân đồn, phường vĩnh hội</t>
  </si>
  <si>
    <t>Sakithya_Ya</t>
  </si>
  <si>
    <t>HD054748</t>
  </si>
  <si>
    <t>363 Đ. Hùng Vương, Phường 9</t>
  </si>
  <si>
    <t>Mỹ Giàu sale</t>
  </si>
  <si>
    <t>HD054722</t>
  </si>
  <si>
    <t>83/30 hồ hảo hớn</t>
  </si>
  <si>
    <t>Thúy Tờ Rần</t>
  </si>
  <si>
    <t>HD055048</t>
  </si>
  <si>
    <t>68 nguyễn lâm f6</t>
  </si>
  <si>
    <t>Tiễu Shi sale</t>
  </si>
  <si>
    <t>HD054793</t>
  </si>
  <si>
    <t>149/14 lê thị riêng</t>
  </si>
  <si>
    <t>Ken Nguyen sale</t>
  </si>
  <si>
    <t>HD054560</t>
  </si>
  <si>
    <t>120/43 trường chinh p12</t>
  </si>
  <si>
    <t>Nhi Tuyết</t>
  </si>
  <si>
    <t>68 đường A4, P. Bảy Hiền</t>
  </si>
  <si>
    <t>Thanh Hương sale</t>
  </si>
  <si>
    <t>HD054847</t>
  </si>
  <si>
    <t>254 Điện Biên Phủ, phường Xuân Hoà (nha khoa TRUE DENTAL)</t>
  </si>
  <si>
    <t>Đàm Hiền</t>
  </si>
  <si>
    <t>HD054916</t>
  </si>
  <si>
    <t>108/69a trần quang diệu</t>
  </si>
  <si>
    <t>Do Huyen sale</t>
  </si>
  <si>
    <t>HD055087</t>
  </si>
  <si>
    <t>3 hoa lan phường cầu kiệu</t>
  </si>
  <si>
    <t>Ngọc Ánh Trần sale</t>
  </si>
  <si>
    <t>HD054634</t>
  </si>
  <si>
    <t>196 hoàng diệu phường 8</t>
  </si>
  <si>
    <t>Võ Như Quỳnh SALE</t>
  </si>
  <si>
    <t>HD054919</t>
  </si>
  <si>
    <t>133C Nguyễn Đình Chính Phường 8</t>
  </si>
  <si>
    <t>Kelly Phan</t>
  </si>
  <si>
    <t>HD054762</t>
  </si>
  <si>
    <t>240/6A lê thánh tôn bến thành</t>
  </si>
  <si>
    <t>đơn trả 5.9</t>
  </si>
  <si>
    <t>T7.5.9.2026</t>
  </si>
  <si>
    <t>THU 7</t>
  </si>
  <si>
    <t>NGAY 5-9</t>
  </si>
  <si>
    <t>Nguyễn Thúy Ái sale</t>
  </si>
  <si>
    <t>HD055275</t>
  </si>
  <si>
    <t>4949 nguyễn cửu phú, tân tạo a</t>
  </si>
  <si>
    <t>AT 05-09</t>
  </si>
  <si>
    <t>05-09-2026</t>
  </si>
  <si>
    <t>Phạm Phú Tâm sale wed t8</t>
  </si>
  <si>
    <t>HD055240</t>
  </si>
  <si>
    <t>25 Nguyễn Hữu Thọ, phường Tân Hưng, Sunrise Central ( tháp w2 )</t>
  </si>
  <si>
    <t>Nguyễn Ngọc Anh Thi sale wed t8</t>
  </si>
  <si>
    <t>HD055215</t>
  </si>
  <si>
    <t>Chung cư Sài Gòn MIA block A, đường 9A, KDC Trung Sơn Bình Hưng</t>
  </si>
  <si>
    <t>Thien fb May Nguyen</t>
  </si>
  <si>
    <t>HD055211</t>
  </si>
  <si>
    <t>Chung cư topaz city Khu A2 . Duong cao lo . P4</t>
  </si>
  <si>
    <t>Châu Đinh</t>
  </si>
  <si>
    <t>HD055168</t>
  </si>
  <si>
    <t>19/5 Nguyễn Cửu Đàm f Tân Sơn Nhì</t>
  </si>
  <si>
    <t>Bình An sale</t>
  </si>
  <si>
    <t>HD055327</t>
  </si>
  <si>
    <t>269 âu dương lân phương chánh hưng</t>
  </si>
  <si>
    <t>Chị Nhi Fb lee le</t>
  </si>
  <si>
    <t>1/1A Cầu xéo Tân Sơn Nhì</t>
  </si>
  <si>
    <t>Tina Nguyễn</t>
  </si>
  <si>
    <t>HD055245</t>
  </si>
  <si>
    <t>78 đường số 7 phường Bình Hưng Hòa</t>
  </si>
  <si>
    <t>Sang</t>
  </si>
  <si>
    <t>HD050977</t>
  </si>
  <si>
    <t>349/175 Lê Đại Hành, P. Phú Thọ</t>
  </si>
  <si>
    <t>Cindy Thúy sale</t>
  </si>
  <si>
    <t>HD055149</t>
  </si>
  <si>
    <t>Chung cư Topaz Garden, số 4 Trịnh Đình Thảo, Hòa Thạnh</t>
  </si>
  <si>
    <t>Dương Hằng sale</t>
  </si>
  <si>
    <t>HD055157</t>
  </si>
  <si>
    <t>45b đường 28,long thanh my</t>
  </si>
  <si>
    <t>Hồng Diễm</t>
  </si>
  <si>
    <t>HD054770</t>
  </si>
  <si>
    <t>502/61 Huỳnh tấn phát . Bình thuận</t>
  </si>
  <si>
    <t>Như Ý</t>
  </si>
  <si>
    <t>4 Đào Trí - Phú Thuận</t>
  </si>
  <si>
    <t>nguyên Minh Vương - fb Marianna Ngo sale</t>
  </si>
  <si>
    <t>HD054774</t>
  </si>
  <si>
    <t>77/28/63 đường so 9, phường Bình Hưng Hòa</t>
  </si>
  <si>
    <t>Khánh Băng-sale</t>
  </si>
  <si>
    <t>HD055222</t>
  </si>
  <si>
    <t>304/10/1g, Hẻm 304 Đường Số 8, Khu Phố 6, Phường Bình Hưng Hòa</t>
  </si>
  <si>
    <t>HD054993</t>
  </si>
  <si>
    <t>904/19 Nguyễn Duy P12</t>
  </si>
  <si>
    <t>TrỢ LÍ ZISHAN – Ngọc A2.19.10</t>
  </si>
  <si>
    <t>HD055123</t>
  </si>
  <si>
    <t>lock A2 căn A2.19.10 Chung cư SG Riverside, Block A2- U2, 04 Đào Trí, Phú Thuận</t>
  </si>
  <si>
    <t>Lisa Ng sale - SALE WEB</t>
  </si>
  <si>
    <t>HD055352</t>
  </si>
  <si>
    <t>59 Phạm Nhữ Tăng, phường Chánh Hưng</t>
  </si>
  <si>
    <t>Trần Thị Mỹ Xuân sale web</t>
  </si>
  <si>
    <t>HD055299</t>
  </si>
  <si>
    <t>A3-21 đường 76,p16</t>
  </si>
  <si>
    <t>Nguyễn Ngọc sale</t>
  </si>
  <si>
    <t>HD054814</t>
  </si>
  <si>
    <t>1305/9 nguyễn duy trinh .long truong</t>
  </si>
  <si>
    <t>Đỗ Hoài Nhi sale wed t8</t>
  </si>
  <si>
    <t>HD055244</t>
  </si>
  <si>
    <t>165/12 TL41, phường an phú đông (phường thạnh lộc cũ)</t>
  </si>
  <si>
    <t>Yến Phương - SALE WEB</t>
  </si>
  <si>
    <t>HD055408</t>
  </si>
  <si>
    <t>78 đường số 3 phường tân hưng</t>
  </si>
  <si>
    <t>Tiểu Phụng</t>
  </si>
  <si>
    <t>HD055229</t>
  </si>
  <si>
    <t>10/4 thoại Ngọc hầu, f hoà thạnh</t>
  </si>
  <si>
    <t>Huong Corn</t>
  </si>
  <si>
    <t>HD055362</t>
  </si>
  <si>
    <t>88/73A Nguyễn Văn Quỳ, phường Phú Thuận</t>
  </si>
  <si>
    <t>Vayouly Souksaiyalath sale</t>
  </si>
  <si>
    <t>HD055363</t>
  </si>
  <si>
    <t>ký túc xá đại học tôn đức thắng cổng 7</t>
  </si>
  <si>
    <t>Quỳnh Châu SALE</t>
  </si>
  <si>
    <t>HD050307</t>
  </si>
  <si>
    <t>296 Thái Phiên f8</t>
  </si>
  <si>
    <t>Thúy Vy fb Thủy Heri</t>
  </si>
  <si>
    <t>HD055235</t>
  </si>
  <si>
    <t>93/38 đường bờ bao thắng</t>
  </si>
  <si>
    <t>Lê Thị Kim Chi-sale</t>
  </si>
  <si>
    <t>HD054986</t>
  </si>
  <si>
    <t>20/45 đường số 1, bình Hưng hòa a</t>
  </si>
  <si>
    <t>Yến Như sale web</t>
  </si>
  <si>
    <t>HD055227</t>
  </si>
  <si>
    <t>213 Bưng Ông Thoàn, Tăng Nhơn Phú B</t>
  </si>
  <si>
    <t>Hà Thư (fb Anh Chau) sale</t>
  </si>
  <si>
    <t>HD055336</t>
  </si>
  <si>
    <t>128/65 Huỳnh Tấn Phát, Phường Tân Thuận Tây</t>
  </si>
  <si>
    <t>Ji Young</t>
  </si>
  <si>
    <t>HD055161</t>
  </si>
  <si>
    <t>18 A Tân Thới Nhất, phường Tân Thới Nhất</t>
  </si>
  <si>
    <t>Lam Ngọc sale wed t8</t>
  </si>
  <si>
    <t>HD055216</t>
  </si>
  <si>
    <t>103/1 nam lân bà điểm thị trấn hốc môn</t>
  </si>
  <si>
    <t>Lan</t>
  </si>
  <si>
    <t>HD054541</t>
  </si>
  <si>
    <t>58 Đường 36 Phường Bình Trưng</t>
  </si>
  <si>
    <t>kh ck shop 980k</t>
  </si>
  <si>
    <t>Thii Ha Hoan-sale</t>
  </si>
  <si>
    <t>HD054933</t>
  </si>
  <si>
    <t>33, đường số 8,kp4, phường Hiệp Bình Phước</t>
  </si>
  <si>
    <t>Ngọc Thuỷ sale - SALE WEB</t>
  </si>
  <si>
    <t>HD055163</t>
  </si>
  <si>
    <t>B125.01 block B The Opera, 5 Đ. D6, KP 27, p An Khánh</t>
  </si>
  <si>
    <t>Lê Thái An (SALE WEB)</t>
  </si>
  <si>
    <t>HD055027</t>
  </si>
  <si>
    <t>153/7 Nguyễn Thượng Hiền, P. Bình Lợi Trung</t>
  </si>
  <si>
    <t>tên Lan giao hàng cho Chị Hân Kha sale t8</t>
  </si>
  <si>
    <t>HD055073</t>
  </si>
  <si>
    <t>189 Đ. Nguyễn Văn Công, Hạnh Thông</t>
  </si>
  <si>
    <t>kh ck shop 1455k</t>
  </si>
  <si>
    <t>Tâm Vũ</t>
  </si>
  <si>
    <t>HD055176</t>
  </si>
  <si>
    <t>80/38 đường số 4, khu phố 32, phường Tam Bình (địa chỉ mới)</t>
  </si>
  <si>
    <t>Huyền Mini sale - SALE WEB</t>
  </si>
  <si>
    <t>HD055187</t>
  </si>
  <si>
    <t>141 tam hà phường tam phú</t>
  </si>
  <si>
    <t>Anh Thư Crystal sale - ĐƠN THƯỜNG WEBSITE</t>
  </si>
  <si>
    <t>HD055305</t>
  </si>
  <si>
    <t>48/22 Nguyễn Thị Kiểu, phường Tân Thới Hiệp</t>
  </si>
  <si>
    <t>HD055368</t>
  </si>
  <si>
    <t>269/8 phan huy ích p. An hội tây</t>
  </si>
  <si>
    <t>W3520 - Jajaa</t>
  </si>
  <si>
    <t>HD055237</t>
  </si>
  <si>
    <t>624 Lê thị riêng thới an</t>
  </si>
  <si>
    <t>Chloe Nguyen-sale</t>
  </si>
  <si>
    <t>HD055156</t>
  </si>
  <si>
    <t>88, Đường 29, Khu Phố 2, Linh Đông</t>
  </si>
  <si>
    <t>Thuỷ Tiên</t>
  </si>
  <si>
    <t>HD055146</t>
  </si>
  <si>
    <t>353/4 Đinh Bộ Lĩnh, P.26</t>
  </si>
  <si>
    <t>Tran Thi Thuy Trang sale web</t>
  </si>
  <si>
    <t>HD055300</t>
  </si>
  <si>
    <t>184 nguyễn xí- cc Bắc Đinh Bộ Lĩnh - lô A82 căn cầu thang cuối cùng, Phường 26</t>
  </si>
  <si>
    <t>Quyên Huỳnh (SALE WEB)</t>
  </si>
  <si>
    <t>HD055080</t>
  </si>
  <si>
    <t>Block P3, CityLand Park Hills, Phường Gò Vấp</t>
  </si>
  <si>
    <t>Trang Phan sale</t>
  </si>
  <si>
    <t>HD051819</t>
  </si>
  <si>
    <t>162/25, Đường Nguyễn Văn Khối, Phường 8</t>
  </si>
  <si>
    <t>Hoàng Anh Thu sale</t>
  </si>
  <si>
    <t>HD055141</t>
  </si>
  <si>
    <t>33 đường 44 phường An Hội Tây</t>
  </si>
  <si>
    <t>Phạm Thị Như Ý (SALE WEB)</t>
  </si>
  <si>
    <t>HD055169</t>
  </si>
  <si>
    <t>1264a Kha Vạn Cân Linh Xuân</t>
  </si>
  <si>
    <t>Hương Nguyên sale - SALE WEB</t>
  </si>
  <si>
    <t>HD055351</t>
  </si>
  <si>
    <t>thap S4,the sun avenue 28 mai chí thọ, phường bình trưng</t>
  </si>
  <si>
    <t>Quách thanh fb Trinh Dang sale</t>
  </si>
  <si>
    <t>HD055103</t>
  </si>
  <si>
    <t>193/2/22 đường số 20 p 5</t>
  </si>
  <si>
    <t>Trần Thị Thu Linh sale</t>
  </si>
  <si>
    <t>HD055101</t>
  </si>
  <si>
    <t>23, Đường 37, Phường Hiệp Bình Phước, Khu Đô Thị Vạn Phúc</t>
  </si>
  <si>
    <t>Trinh (SALE WEB) - GIAO SAU 12H TRƯA</t>
  </si>
  <si>
    <t>HD055414</t>
  </si>
  <si>
    <t>117 ung văn khiêm,p25</t>
  </si>
  <si>
    <t>Thảo (SALE WEB)</t>
  </si>
  <si>
    <t>HD055238</t>
  </si>
  <si>
    <t>1/12/19 Võ Oanh, Phường 25</t>
  </si>
  <si>
    <t>Tố Tâm sale</t>
  </si>
  <si>
    <t>HD055202</t>
  </si>
  <si>
    <t>331 nguyễn trãi, p. Nguyễn Cư Trinh</t>
  </si>
  <si>
    <t>VIP-SREYEGNEGN NOEUN (Insta dalissd) - VIP</t>
  </si>
  <si>
    <t>HD052201</t>
  </si>
  <si>
    <t>Nhà xe Khải Nam</t>
  </si>
  <si>
    <t>gộp</t>
  </si>
  <si>
    <t>HD048349</t>
  </si>
  <si>
    <t>Trần Hương Giang</t>
  </si>
  <si>
    <t>HD055220</t>
  </si>
  <si>
    <t>Căn hộ tresor Sành OT3, 39 bến văn đồn</t>
  </si>
  <si>
    <t>Trần Thị Kim Yến sale</t>
  </si>
  <si>
    <t>HD051882</t>
  </si>
  <si>
    <t>bida ox, lý chính thắng</t>
  </si>
  <si>
    <t>Nguyễn Chi sale</t>
  </si>
  <si>
    <t>HD055013</t>
  </si>
  <si>
    <t>295 Trường Chinh, p14</t>
  </si>
  <si>
    <t>Đặng Hiếu Giang sale web</t>
  </si>
  <si>
    <t>HD055243</t>
  </si>
  <si>
    <t>84/11 Nguyễn biểu phường một</t>
  </si>
  <si>
    <t>Đào Ngọc Trân</t>
  </si>
  <si>
    <t>HD054963</t>
  </si>
  <si>
    <t>221/7/2 đường đất thánh p6</t>
  </si>
  <si>
    <t>ng huu duc zalo havy havy</t>
  </si>
  <si>
    <t>HD055145</t>
  </si>
  <si>
    <t>Quỳnh Anh Lưu sale</t>
  </si>
  <si>
    <t>HD055266</t>
  </si>
  <si>
    <t>tk14/27 nguyễn cảnh chân</t>
  </si>
  <si>
    <t>tran hang my(X391)</t>
  </si>
  <si>
    <t>HD055295</t>
  </si>
  <si>
    <t>5/5 Nguyễn Văn Vĩnh, phường Tân Sơn Nhất</t>
  </si>
  <si>
    <t>Kieu Le</t>
  </si>
  <si>
    <t>HD055347</t>
  </si>
  <si>
    <t>3/1 Thành Thái, phường Diên Hồng</t>
  </si>
  <si>
    <t>Kym Pu sale -SALE WEB</t>
  </si>
  <si>
    <t>HD055037</t>
  </si>
  <si>
    <t>68 cô bắc f cầu ông lãnh</t>
  </si>
  <si>
    <t>Tâm Tâm sale</t>
  </si>
  <si>
    <t>HD055302</t>
  </si>
  <si>
    <t>76/9 Xuân diệu f4</t>
  </si>
  <si>
    <t>Tuyet Nhung Nguyen</t>
  </si>
  <si>
    <t>HD055239</t>
  </si>
  <si>
    <t>36 Lê lai phuong bảy hiền</t>
  </si>
  <si>
    <t>Thuỷ Nguyễn sale</t>
  </si>
  <si>
    <t>HD055191</t>
  </si>
  <si>
    <t>Lô K, Cc Bàu Cát 2, P.10</t>
  </si>
  <si>
    <t>PS My sale</t>
  </si>
  <si>
    <t>HD055196</t>
  </si>
  <si>
    <t>120/98/44 Thích Quảng Đức P5</t>
  </si>
  <si>
    <t>Hương Chuột sale</t>
  </si>
  <si>
    <t>HD055028</t>
  </si>
  <si>
    <t>84A Bà Huyện Thanh Quan, Phường 09</t>
  </si>
  <si>
    <t>Đỗ Nguyệt (SALE WEB)</t>
  </si>
  <si>
    <t>HD055177</t>
  </si>
  <si>
    <t>Diamond Plaza 34 Lê Duẩn, P. Bến Nghé</t>
  </si>
  <si>
    <t>băng (SALE WEB)</t>
  </si>
  <si>
    <t>HD055274</t>
  </si>
  <si>
    <t>số 1 định lễ phường xóm chiếu</t>
  </si>
  <si>
    <t>Trương Nguyễn Tường Vi sale</t>
  </si>
  <si>
    <t>HD054943</t>
  </si>
  <si>
    <t>Hà đô centrosa, Iris 2, p12</t>
  </si>
  <si>
    <t>Tiểu Vy</t>
  </si>
  <si>
    <t>HD054831</t>
  </si>
  <si>
    <t>Chung cư millennium- 132 bến vận đồn, p6</t>
  </si>
  <si>
    <t>Hoài Anh sale</t>
  </si>
  <si>
    <t>HD055137</t>
  </si>
  <si>
    <t>Tổ 4 khối tân thành phường hội an tây</t>
  </si>
  <si>
    <t>tinh</t>
  </si>
  <si>
    <t>luu tra</t>
  </si>
  <si>
    <t>hàng tỉnh</t>
  </si>
  <si>
    <t>x</t>
  </si>
  <si>
    <t>xx</t>
  </si>
  <si>
    <t>đơn trả 7.9</t>
  </si>
  <si>
    <t>NGAY 6-9</t>
  </si>
  <si>
    <t>CHU NHAT</t>
  </si>
  <si>
    <t>CN.6.9.2026</t>
  </si>
  <si>
    <t>HoangMy Nguyen sale</t>
  </si>
  <si>
    <t>HD055008</t>
  </si>
  <si>
    <t>Số 10 đường S5, Tây Thạnh</t>
  </si>
  <si>
    <t>a.tri</t>
  </si>
  <si>
    <t>06-09-2026</t>
  </si>
  <si>
    <t>Tiến Nam</t>
  </si>
  <si>
    <t>HD055547</t>
  </si>
  <si>
    <t>737/90/3 lạc long quân p10</t>
  </si>
  <si>
    <t>Duyen Park</t>
  </si>
  <si>
    <t>HD055676</t>
  </si>
  <si>
    <t>688/23/1C Hương Lộ 2, phường Bình Trị Đông A</t>
  </si>
  <si>
    <t>Vũ My</t>
  </si>
  <si>
    <t>HD055657</t>
  </si>
  <si>
    <t>270 TTH21</t>
  </si>
  <si>
    <t>Hồng Đỗ</t>
  </si>
  <si>
    <t>HD055733</t>
  </si>
  <si>
    <t>98/3 phan chu trinh, xã xuân thới sơn</t>
  </si>
  <si>
    <t>gộp, shop chịu ship</t>
  </si>
  <si>
    <t>HD055461</t>
  </si>
  <si>
    <t>Mai Mai</t>
  </si>
  <si>
    <t>HD055564</t>
  </si>
  <si>
    <t>Chung cư 8X Plus số 163A, đường Trường Chinh, phường Tân Thới Nhất</t>
  </si>
  <si>
    <t>Phương 3</t>
  </si>
  <si>
    <t>số 262/26/3 Lũy Bán Bích, phường Tân Phú</t>
  </si>
  <si>
    <t>Huyền Trinh</t>
  </si>
  <si>
    <t>HD055392</t>
  </si>
  <si>
    <t>69 phố tiểu nam, phường tân phú</t>
  </si>
  <si>
    <t>AT 06-09</t>
  </si>
  <si>
    <t>Nguyên Ngọc sale - SALE WEB</t>
  </si>
  <si>
    <t>HD055180</t>
  </si>
  <si>
    <t>1305/9 nguyễn duy trinh long truong</t>
  </si>
  <si>
    <t>Kim Quyên sale - SALE WEB</t>
  </si>
  <si>
    <t>HD055529</t>
  </si>
  <si>
    <t>336/70 nguyễn văn luông Phi ông Phú lâm</t>
  </si>
  <si>
    <t>Trúc Quỳnh</t>
  </si>
  <si>
    <t>HD055524</t>
  </si>
  <si>
    <t>119/7 Nguyễn thị thập Tân Phú</t>
  </si>
  <si>
    <t>Phan Thị Thùy Dương sale</t>
  </si>
  <si>
    <t>HD055105</t>
  </si>
  <si>
    <t>160/84/45 đường số 1 p long trường</t>
  </si>
  <si>
    <t>lilgiesther Nguyễn Thị Thuỳ Trang</t>
  </si>
  <si>
    <t>HD055632</t>
  </si>
  <si>
    <t>2B59/8 ấp 2, xã Phạm Văn Hai</t>
  </si>
  <si>
    <t>Phạm Khánh Băng</t>
  </si>
  <si>
    <t>HD055711</t>
  </si>
  <si>
    <t>85/6 bình tây, phường 1</t>
  </si>
  <si>
    <t>VTS-25885MUN</t>
  </si>
  <si>
    <t>HD055375</t>
  </si>
  <si>
    <t>129 Đ. Trần Đại Nghĩa, Ấp 2, Tân Kiên</t>
  </si>
  <si>
    <t>Sang - fb Ivy Thuy Pham sale</t>
  </si>
  <si>
    <t>HD055691</t>
  </si>
  <si>
    <t>349/175 Lê Đại Hành Phường Phú Thọ</t>
  </si>
  <si>
    <t>Ngọc Hoàng (sale web)</t>
  </si>
  <si>
    <t>HD054878</t>
  </si>
  <si>
    <t>Lô C, Green Valley, Nguyễn Đổng Chi</t>
  </si>
  <si>
    <t>Pé Thỏ</t>
  </si>
  <si>
    <t>HD055643</t>
  </si>
  <si>
    <t>547-549 tạ quang bửu, phường chánh hưng, Topaz Elite – Block Phoenix 1B</t>
  </si>
  <si>
    <t>quỳnh anh - fb Anh Nguyen</t>
  </si>
  <si>
    <t>HD055627</t>
  </si>
  <si>
    <t>110 Tân Mỹ, P. Tân Thuận</t>
  </si>
  <si>
    <t>Hoàng Quỳnh</t>
  </si>
  <si>
    <t>HD055664</t>
  </si>
  <si>
    <t>14/9b đường 12, tăng nhơn phú B</t>
  </si>
  <si>
    <t>Maria Nguyen</t>
  </si>
  <si>
    <t>HD055507</t>
  </si>
  <si>
    <t>33D1 Khu dân cư Senturia, Vườn Lài, An Phú Đông</t>
  </si>
  <si>
    <t>chị hà</t>
  </si>
  <si>
    <t>HD055690</t>
  </si>
  <si>
    <t>chung cư boulevard toà B2, 600 nguyễn lương bằng phường phú mỹ</t>
  </si>
  <si>
    <t>Gia Hân</t>
  </si>
  <si>
    <t>HD055525</t>
  </si>
  <si>
    <t>Bs16 Vinhomegrandpark long bình</t>
  </si>
  <si>
    <t>Luu Quynh Trang</t>
  </si>
  <si>
    <t>HD055626</t>
  </si>
  <si>
    <t>B67 nội khu nam thông 2D, phường tân phú</t>
  </si>
  <si>
    <t>Gia Mỹ sale wed t8</t>
  </si>
  <si>
    <t>HD055290</t>
  </si>
  <si>
    <t>85/35 Nguyễn Thị Xiếu, phường Tân Thuận (Quẹo hẻm 85/29 rồi quẹo phải sẽ thấy số nhà 85/35)</t>
  </si>
  <si>
    <t>Hương Lê sale t8</t>
  </si>
  <si>
    <t>HD054911</t>
  </si>
  <si>
    <t>Hem 153 đuong nam cao p tân phú</t>
  </si>
  <si>
    <t>Truong Nhi</t>
  </si>
  <si>
    <t>HD055592</t>
  </si>
  <si>
    <t>Toà s202,vinhomes Grand Park, phường long bình</t>
  </si>
  <si>
    <t>Nguyễn Huyền Trang Sale</t>
  </si>
  <si>
    <t>HD055314</t>
  </si>
  <si>
    <t>67 duong 14 khu lovera khang điền phong phú 4</t>
  </si>
  <si>
    <t>HD055574</t>
  </si>
  <si>
    <t>Cát Tường sale wed t8</t>
  </si>
  <si>
    <t>HD055301</t>
  </si>
  <si>
    <t>71 đường 13, phường tân thuận tây</t>
  </si>
  <si>
    <t>Hoà Phúc</t>
  </si>
  <si>
    <t>HD055685</t>
  </si>
  <si>
    <t>52, đường 24, P Long Bình</t>
  </si>
  <si>
    <t>Thi Thi</t>
  </si>
  <si>
    <t>HD055405</t>
  </si>
  <si>
    <t>545 trần hưng đạo b phường 14</t>
  </si>
  <si>
    <t>BN1443</t>
  </si>
  <si>
    <t>HD055561</t>
  </si>
  <si>
    <t>163 Đường Trương Thị Hoa, phường Tân Thới Hiệp</t>
  </si>
  <si>
    <t>Hoa Ban Mai sale</t>
  </si>
  <si>
    <t>HD054768</t>
  </si>
  <si>
    <t>Số 12 đường 51 Bình Trưng Đông cũ</t>
  </si>
  <si>
    <t>Huong (SALE WEB)</t>
  </si>
  <si>
    <t>HD055181</t>
  </si>
  <si>
    <t>156 bình lợi p13</t>
  </si>
  <si>
    <t>Anh Thư (SALE WEB)</t>
  </si>
  <si>
    <t>HD055609</t>
  </si>
  <si>
    <t>39/32 đường số 8, phường Linh Xuân</t>
  </si>
  <si>
    <t>Trúc Nguyễn</t>
  </si>
  <si>
    <t>HD055716</t>
  </si>
  <si>
    <t>496/46 Dương Quảng Hàm, P6</t>
  </si>
  <si>
    <t>HD055478</t>
  </si>
  <si>
    <t>thap S4, the sun avenue 28 mal chí thọ, phường bình trưng</t>
  </si>
  <si>
    <t>Ngọc Oanh sale t8</t>
  </si>
  <si>
    <t>HD055122</t>
  </si>
  <si>
    <t>52, đường tam bình, hiệp bình chánh</t>
  </si>
  <si>
    <t>Kiều Trân SALE</t>
  </si>
  <si>
    <t>HD055536</t>
  </si>
  <si>
    <t>11 đường số 5 khu phố 7 hiệp bình chánh</t>
  </si>
  <si>
    <t>Đinh Huyền Trang sale</t>
  </si>
  <si>
    <t>HD055492</t>
  </si>
  <si>
    <t>566/72/63F Nguyễn Thái Sơn, P An Nhơn</t>
  </si>
  <si>
    <t>Võ tiến phát (mai) SALE WEB</t>
  </si>
  <si>
    <t>HD055324</t>
  </si>
  <si>
    <t>176/10 đường số 2 an hội đông</t>
  </si>
  <si>
    <t>Mộng Cầm</t>
  </si>
  <si>
    <t>HD055597</t>
  </si>
  <si>
    <t>222 nguyễn văn đậu p bình lợi trung</t>
  </si>
  <si>
    <t>Ngoc Nina-sale</t>
  </si>
  <si>
    <t>HD055501</t>
  </si>
  <si>
    <t>86 Tô Ngọc Vân, Linh Tây</t>
  </si>
  <si>
    <t>W24130 Miki Chou</t>
  </si>
  <si>
    <t>HD055692</t>
  </si>
  <si>
    <t>624 Lê Thị Riêng</t>
  </si>
  <si>
    <t>BN7123</t>
  </si>
  <si>
    <t>163 Trương Thị Hoa</t>
  </si>
  <si>
    <t>HD055210</t>
  </si>
  <si>
    <t>Dương Triệu Mẫn</t>
  </si>
  <si>
    <t>HD055705</t>
  </si>
  <si>
    <t>730/126 lê đức thọ</t>
  </si>
  <si>
    <t>Pham Jenny</t>
  </si>
  <si>
    <t>HD055684</t>
  </si>
  <si>
    <t>208 nguyễn hữu cảnh p22</t>
  </si>
  <si>
    <t>Phan Nhi sale - SALE WEB</t>
  </si>
  <si>
    <t>HD055292</t>
  </si>
  <si>
    <t>C note chú Cường 107/189 quang trung, f.10</t>
  </si>
  <si>
    <t>My Tú</t>
  </si>
  <si>
    <t>HD055428</t>
  </si>
  <si>
    <t>130/4 gò dưa tam bình</t>
  </si>
  <si>
    <t>em na</t>
  </si>
  <si>
    <t>467/26 Lê Đức Thọ Phường 16</t>
  </si>
  <si>
    <t>jenny boubi</t>
  </si>
  <si>
    <t>401 Quang Trung f10</t>
  </si>
  <si>
    <t>Vy (SALE WEB)</t>
  </si>
  <si>
    <t>HD055188</t>
  </si>
  <si>
    <t>013 lô E chung cư nguyen thiện thuat, phường bàn cờ</t>
  </si>
  <si>
    <t>Linh Nguyễn sale wed t8</t>
  </si>
  <si>
    <t>HD055688</t>
  </si>
  <si>
    <t>20 Hoàng Minh Giám Phường Đức Nhuận</t>
  </si>
  <si>
    <t>Vân Vân sale</t>
  </si>
  <si>
    <t>HD055599</t>
  </si>
  <si>
    <t>132 bến vân đồn, khánh hội</t>
  </si>
  <si>
    <t>Uyen pham ib thao nguyen</t>
  </si>
  <si>
    <t>HD055540</t>
  </si>
  <si>
    <t>117 thích quảng đức, p.4</t>
  </si>
  <si>
    <t>Tina Thao</t>
  </si>
  <si>
    <t>HD055694</t>
  </si>
  <si>
    <t>số 3, Cộng Hoà, F. Tân Sơn Nhất</t>
  </si>
  <si>
    <t>Ngoc Le</t>
  </si>
  <si>
    <t>HD055526</t>
  </si>
  <si>
    <t>7/4 Kỳ Đồng, Phường 9</t>
  </si>
  <si>
    <t>Tran Nguyen Huyen My sale</t>
  </si>
  <si>
    <t>HD055715</t>
  </si>
  <si>
    <t>Chung cư Nguyễn Kim khu B, Nhật Tảo, phường Diên Hồng</t>
  </si>
  <si>
    <t>tuyền sale wed t8 - SALE WEB</t>
  </si>
  <si>
    <t>HD055407</t>
  </si>
  <si>
    <t>1/12A calmette phường nguyễn thái bình</t>
  </si>
  <si>
    <t>Hồng Nhiên sale</t>
  </si>
  <si>
    <t>HD055144</t>
  </si>
  <si>
    <t>115/54a Trần Đình Xu, phường Cầu Ông Lãnh</t>
  </si>
  <si>
    <t>Hà (SALE WEB)</t>
  </si>
  <si>
    <t>HD055249</t>
  </si>
  <si>
    <t>7a/68 Thành Thái, p14, Tòa nhà Trung Nam</t>
  </si>
  <si>
    <t>Nguyên Lê sale cọc 200 - SALE WEB 0 CỌC</t>
  </si>
  <si>
    <t>HD055399</t>
  </si>
  <si>
    <t>Toà nhà Alpha Tower, 151-153 Nguyễn Đình Chiểu</t>
  </si>
  <si>
    <t>HD055628</t>
  </si>
  <si>
    <t>Xi Grand Court Block C 258 lý thường kiệt phường 14</t>
  </si>
  <si>
    <t>Lê Tuyền sale</t>
  </si>
  <si>
    <t>HD055555</t>
  </si>
  <si>
    <t>412 Phan Xích Long, Cầu Kiệu</t>
  </si>
  <si>
    <t>Thuy Anh Ngo</t>
  </si>
  <si>
    <t>HD055348</t>
  </si>
  <si>
    <t>45, đường Sầm Sơn, phường 4</t>
  </si>
  <si>
    <t>Trân (SALE WEB)</t>
  </si>
  <si>
    <t>HD055272</t>
  </si>
  <si>
    <t>1025/1H, cách mạng tháng 8, p7</t>
  </si>
  <si>
    <t>Ốc Em sale - SALE WEB</t>
  </si>
  <si>
    <t>HD055424</t>
  </si>
  <si>
    <t>Chung Cư Delasol Block C, Số 1 Tôn Thất Thuyết, Phường Vĩnh Hội</t>
  </si>
  <si>
    <t>đơn trả 6.9</t>
  </si>
  <si>
    <t>đổi hàng, kh ck shop 390k</t>
  </si>
  <si>
    <t>đơn ck</t>
  </si>
  <si>
    <t>đơn trả</t>
  </si>
  <si>
    <t>Ngọc Ngọc Sale</t>
  </si>
  <si>
    <t>HD054095</t>
  </si>
  <si>
    <t>156/5/27 tô hiến thành</t>
  </si>
  <si>
    <t>31-08-2026</t>
  </si>
  <si>
    <t>HD053149</t>
  </si>
  <si>
    <t>29-08-2026</t>
  </si>
  <si>
    <t>Ngọc Anh Can Vu sale</t>
  </si>
  <si>
    <t>HD054578</t>
  </si>
  <si>
    <t>291 doan van bo p Xom Chieu</t>
  </si>
  <si>
    <t>quỳnh anh fbCatherine Phạm -sale</t>
  </si>
  <si>
    <t>HD053138</t>
  </si>
  <si>
    <t>91/18/5 Lê Văn Duyệt, P.1</t>
  </si>
  <si>
    <t>30-08-2026</t>
  </si>
  <si>
    <t>Thu Hằng sale</t>
  </si>
  <si>
    <t>HD051847</t>
  </si>
  <si>
    <t>71 nguyễn văn lượng, P.17</t>
  </si>
  <si>
    <t>28-08-2026</t>
  </si>
  <si>
    <t>Lan Thanh sale</t>
  </si>
  <si>
    <t>HD051649</t>
  </si>
  <si>
    <t>92 nguyễn hữu cảnh, p22</t>
  </si>
  <si>
    <t>Phạm Thủy-sale</t>
  </si>
  <si>
    <t>HD050988</t>
  </si>
  <si>
    <t>74/14 nguyễn thái sơn, phường hạnh thông</t>
  </si>
  <si>
    <t>27-08-2026</t>
  </si>
  <si>
    <t>Trang nguyên-sale</t>
  </si>
  <si>
    <t>HD052077</t>
  </si>
  <si>
    <t>29/1a2 đường 36 p hiệp bình chánh</t>
  </si>
  <si>
    <t>Lê Phương Chuyên sale</t>
  </si>
  <si>
    <t>HD052237</t>
  </si>
  <si>
    <t>362A Nguyễn Văn Nghi</t>
  </si>
  <si>
    <t>Thể Phụng sale</t>
  </si>
  <si>
    <t>HD054059</t>
  </si>
  <si>
    <t>Chung cư Tecco Felice home đường Lê Thị Trung Phường An Phú</t>
  </si>
  <si>
    <t>Nguyễn Kim</t>
  </si>
  <si>
    <t>HD049193</t>
  </si>
  <si>
    <t>118/43 bạch đằng p24</t>
  </si>
  <si>
    <t>fb Phan Thanh Thúy Vân sale</t>
  </si>
  <si>
    <t>HD051245</t>
  </si>
  <si>
    <t>535 điện biên phủ, phường 25</t>
  </si>
  <si>
    <t>Mai Nguyen sale</t>
  </si>
  <si>
    <t>HD049938</t>
  </si>
  <si>
    <t>Ship số 76 đường 52ap khu văn minh phường an phú</t>
  </si>
  <si>
    <t>Nguyen Thanh Yen Nhi-sale</t>
  </si>
  <si>
    <t>HD048895</t>
  </si>
  <si>
    <t>215 hồng bàng (bệnh viện đại học y dược tphcm)</t>
  </si>
  <si>
    <t>25-08-2026</t>
  </si>
  <si>
    <t>Kim Quyên sale</t>
  </si>
  <si>
    <t>HD050426</t>
  </si>
  <si>
    <t>336/20 nguyen van luong</t>
  </si>
  <si>
    <t>Nguyễn Bích Trâm SALE</t>
  </si>
  <si>
    <t>HD053875</t>
  </si>
  <si>
    <t>22/6 tân thuận tây phường Tân Thuận Tây</t>
  </si>
  <si>
    <t>Hanh Truong sale</t>
  </si>
  <si>
    <t>HD051904</t>
  </si>
  <si>
    <t>E26, đường Phú Thuận, Khu dân cư Nam Long, Phường Phú Thuận</t>
  </si>
  <si>
    <t>Thuỳ Nguyễn sale</t>
  </si>
  <si>
    <t>HD049839</t>
  </si>
  <si>
    <t>Cty sb Sài Gòn đường số 8, khu chế xuất tân thuận, phường tân thuận đông</t>
  </si>
  <si>
    <t>Loan (Trân) sale</t>
  </si>
  <si>
    <t>HD052835</t>
  </si>
  <si>
    <t>Chung Cư Hoàng Kim, Số 573, Đường Huỳnh Tấn Phát &gt; Phường Tân Thuận</t>
  </si>
  <si>
    <t>Loan Anla sale</t>
  </si>
  <si>
    <t>HD049671</t>
  </si>
  <si>
    <t>chung cư viva plaza 15b nguyễn lương bằng phú mỹ</t>
  </si>
  <si>
    <t>My SoNa sale</t>
  </si>
  <si>
    <t>HD053989</t>
  </si>
  <si>
    <t>345 Minh phụng p2</t>
  </si>
  <si>
    <t>Kiến Dương sale</t>
  </si>
  <si>
    <t>HD049535</t>
  </si>
  <si>
    <t>117 Trịnh Đình Trọng, Phú Trung</t>
  </si>
  <si>
    <t>Hồng Nhung</t>
  </si>
  <si>
    <t>HD051528</t>
  </si>
  <si>
    <t>17 nguyễn văn tăng, Long Bình</t>
  </si>
  <si>
    <t>Thùy Võ sale</t>
  </si>
  <si>
    <t>HD052712</t>
  </si>
  <si>
    <t>49 Lê Văn Việt, Tăng Nhơn Phú</t>
  </si>
  <si>
    <t>Cẩm Nhung sale</t>
  </si>
  <si>
    <t>HD051716</t>
  </si>
  <si>
    <t>26/24/5 thạnh lộc 26, thạnh lộc</t>
  </si>
  <si>
    <t>Phụng Nguyễn sale</t>
  </si>
  <si>
    <t>HD050044</t>
  </si>
  <si>
    <t>33/4 đường tx52 phường thới an</t>
  </si>
  <si>
    <t>Khánh Linh (SALE WEB)</t>
  </si>
  <si>
    <t>HD052018</t>
  </si>
  <si>
    <t>224/4/1 Hà Huy Giáp, Phường Thạnh Lộc (Phường An Phú Đông mới)</t>
  </si>
  <si>
    <t>Trúc Thanh Võ sale</t>
  </si>
  <si>
    <t>HD050479</t>
  </si>
  <si>
    <t>4/6/29 đường tân thới nhất 1 phường tân thới nhất</t>
  </si>
  <si>
    <t>Nhân sale wed t8</t>
  </si>
  <si>
    <t>HD050989</t>
  </si>
  <si>
    <t>Hẻm 54/64 Tân Thới Hiệp 29, p, tân thới hiệp</t>
  </si>
  <si>
    <t>Ngọc hân</t>
  </si>
  <si>
    <t>HD048361</t>
  </si>
  <si>
    <t>42d thạnh xuân 37</t>
  </si>
  <si>
    <t>Thanh Yến sale</t>
  </si>
  <si>
    <t>HD049350</t>
  </si>
  <si>
    <t>188/4 đường thới an 16 phường thới an</t>
  </si>
  <si>
    <t>26-08-2026</t>
  </si>
  <si>
    <t>Ngọc Thuý sale</t>
  </si>
  <si>
    <t>HD050153</t>
  </si>
  <si>
    <t>822/89 Hương Lộ 2</t>
  </si>
  <si>
    <t>Tú sale wed t8</t>
  </si>
  <si>
    <t>HD052588</t>
  </si>
  <si>
    <t>45/11 lê cơ An lạc</t>
  </si>
  <si>
    <t>Kim Ngọc</t>
  </si>
  <si>
    <t>64 đường số 1A bình hưng hòa a</t>
  </si>
  <si>
    <t>Thu Hang Pham</t>
  </si>
  <si>
    <t>HD050750</t>
  </si>
  <si>
    <t>160/29/19D đs 11,Bình Hưng Hoà</t>
  </si>
  <si>
    <t>Ánh Thư Trịnh Trương sale</t>
  </si>
  <si>
    <t>HD050055</t>
  </si>
  <si>
    <t>Căn TM05 block A Lavita garden số 17 đường số 3 phường Trường Thọ</t>
  </si>
  <si>
    <t>Hạ fb Kathy Nhung-sale</t>
  </si>
  <si>
    <t>HD052810</t>
  </si>
  <si>
    <t>38 Đ. Kha Vạn Cân, Hiệp Bình Chánh</t>
  </si>
  <si>
    <t>HD052006</t>
  </si>
  <si>
    <t>11 đường số 6 khu phố 7 hiệp bình chánh</t>
  </si>
  <si>
    <t>Bảo Trân sale</t>
  </si>
  <si>
    <t>HD050429</t>
  </si>
  <si>
    <t>2348 Huỳnh Tấn Phát</t>
  </si>
  <si>
    <t>Hoàng Oanh sale</t>
  </si>
  <si>
    <t>HD050484</t>
  </si>
  <si>
    <t>125/11D ấp Tân Thới 2</t>
  </si>
  <si>
    <t>Dung Vo</t>
  </si>
  <si>
    <t>HD048801</t>
  </si>
  <si>
    <t>50 đường 18 khu dân cư phong Phú 4 xã Phong Phú</t>
  </si>
  <si>
    <t>ThuHa Dang-sale</t>
  </si>
  <si>
    <t>HD052730</t>
  </si>
  <si>
    <t>Cc skyway lock G, 13B Nguyễn Văn Linh, Xã Phong Phú</t>
  </si>
  <si>
    <t>Trân Huỳnh sale WED</t>
  </si>
  <si>
    <t>H0049331</t>
  </si>
  <si>
    <t>C8/17t2 bờ xe lam tân kiên</t>
  </si>
  <si>
    <t>hương phạm - fb Tổng Dạ Uyên sale</t>
  </si>
  <si>
    <t>HD052234</t>
  </si>
  <si>
    <t>Mp7 căn 8-11 Mizuki park, Bình Hưng</t>
  </si>
  <si>
    <t>Thu Ngân sale</t>
  </si>
  <si>
    <t>HD050619</t>
  </si>
  <si>
    <t>D3/22 Nguyễn Thị Tú, Ấp 4, Xã Tân Vĩnh Lộc</t>
  </si>
  <si>
    <t>NGAY 7-9</t>
  </si>
  <si>
    <t>THU 2</t>
  </si>
  <si>
    <t>T2.7.9.2026</t>
  </si>
  <si>
    <t>hương phạm</t>
  </si>
  <si>
    <t>HD055749</t>
  </si>
  <si>
    <t>Chung cư M-one bế văn cấm, phường tân kiểng, Block T2</t>
  </si>
  <si>
    <t>AT 07-09</t>
  </si>
  <si>
    <t>07-09-2026</t>
  </si>
  <si>
    <t>Li Ly</t>
  </si>
  <si>
    <t>HD055899</t>
  </si>
  <si>
    <t>677/9 Vĩnh viễn f7</t>
  </si>
  <si>
    <t>Thuy Nguyen</t>
  </si>
  <si>
    <t>HD055800</t>
  </si>
  <si>
    <t>17/57 đường số 1 khu phố 2 Bình hưng hòa</t>
  </si>
  <si>
    <t>Thuy Ngoc</t>
  </si>
  <si>
    <t>HD055717</t>
  </si>
  <si>
    <t>103/7 Ao Đôi, Bình Trị Đông A</t>
  </si>
  <si>
    <t>A Linh - fb Mak Mak Lyza (Diễm)</t>
  </si>
  <si>
    <t>HD055875</t>
  </si>
  <si>
    <t>937d/11/16 tạ quang bửu p. Bình Đông</t>
  </si>
  <si>
    <t>Chi Miu-sale</t>
  </si>
  <si>
    <t>HD055682</t>
  </si>
  <si>
    <t>cc Riviera point p. tân phú</t>
  </si>
  <si>
    <t>Thanh Xuan sale wed t8</t>
  </si>
  <si>
    <t>HD055254</t>
  </si>
  <si>
    <t>Nhôm kính Toàn Phát 160 Nguyễn Ảnh Thủ, Thới Tam Thôn</t>
  </si>
  <si>
    <t>Yến Yến sale</t>
  </si>
  <si>
    <t>HD056002</t>
  </si>
  <si>
    <t>Chung cư Topaz elite phoenix 1A</t>
  </si>
  <si>
    <t>Hiền Nguyễn-sale wed t8</t>
  </si>
  <si>
    <t>HD055253</t>
  </si>
  <si>
    <t>30/1e tô ký xã đông thạnh</t>
  </si>
  <si>
    <t>My Sona sale</t>
  </si>
  <si>
    <t>345 Minh Phụng p2</t>
  </si>
  <si>
    <t>Phạm ChucOanh sale t8</t>
  </si>
  <si>
    <t>HD055720</t>
  </si>
  <si>
    <t>số 34a, Đường 13a, Khu Phố 7, Phường Bình Hưng Hòa</t>
  </si>
  <si>
    <t>cammy.nggg</t>
  </si>
  <si>
    <t>HD055814</t>
  </si>
  <si>
    <t>256/40 pham van chi phuong 1</t>
  </si>
  <si>
    <t>Trần Lê Thi Thiên slae wed t8</t>
  </si>
  <si>
    <t>HD055723</t>
  </si>
  <si>
    <t>380/16/9 lê văn lương</t>
  </si>
  <si>
    <t>Harley</t>
  </si>
  <si>
    <t>HD055815</t>
  </si>
  <si>
    <t>Tòa S7.01, Khu The Origami, Phường Long Bình</t>
  </si>
  <si>
    <t>Lương Trà An sale wed t8</t>
  </si>
  <si>
    <t>HD055281</t>
  </si>
  <si>
    <t>Chung cư emerald 2 đường n4 phường Sơn Kỳ</t>
  </si>
  <si>
    <t>CherryHoang Johor</t>
  </si>
  <si>
    <t>HD055932</t>
  </si>
  <si>
    <t>66 đường số 17, p10</t>
  </si>
  <si>
    <t>Phuong Quynh Nguyen sale</t>
  </si>
  <si>
    <t>HD055458</t>
  </si>
  <si>
    <t>Qua chung cư Fullhouse số 1 đường 34 p.bình trị đông b</t>
  </si>
  <si>
    <t>Truong Ngoc Sale - SALE WEB</t>
  </si>
  <si>
    <t>HD055666</t>
  </si>
  <si>
    <t>454b tân sơn nhì, p phú thọ hoà</t>
  </si>
  <si>
    <t>Phạm T.Thảo</t>
  </si>
  <si>
    <t>HD055751</t>
  </si>
  <si>
    <t>63 dương bá trạc p.rạch ông</t>
  </si>
  <si>
    <t>Hiếu Lee</t>
  </si>
  <si>
    <t>HD055801</t>
  </si>
  <si>
    <t>Chung cu folita him lam</t>
  </si>
  <si>
    <t>Thúy Quyên</t>
  </si>
  <si>
    <t>HD055804</t>
  </si>
  <si>
    <t>137/18 âu dương lân</t>
  </si>
  <si>
    <t>Yến Như</t>
  </si>
  <si>
    <t>HD055779</t>
  </si>
  <si>
    <t>Quỳnh Giao (SALE WEB)</t>
  </si>
  <si>
    <t>HD055581</t>
  </si>
  <si>
    <t>2783/11A Quốc lộ 1A, Đông Hưng Thuận, Cũ là phường Tân Thới Nhất</t>
  </si>
  <si>
    <t>Nguyễn Trương Phương Danh</t>
  </si>
  <si>
    <t>HD055942</t>
  </si>
  <si>
    <t>125/42/2 Bùi Đình Tuý, phường 14</t>
  </si>
  <si>
    <t>Endny/ HOÀNG MÈO</t>
  </si>
  <si>
    <t>HD055545</t>
  </si>
  <si>
    <t>22, ĐƯỜNG TÂN THỚI NHẤT 1B, PHƯỜNG TÂN THỚI NHẤT</t>
  </si>
  <si>
    <t>Nguyễn Thảo Vi sale</t>
  </si>
  <si>
    <t>HD054602</t>
  </si>
  <si>
    <t>Chung cư Saigon pearl số 92 nguyễn hữu cảnh</t>
  </si>
  <si>
    <t>Fb: Đỗ Thị Bích Trâm</t>
  </si>
  <si>
    <t>HD055882</t>
  </si>
  <si>
    <t>Thu Viên</t>
  </si>
  <si>
    <t>278 Lê Văn Thọ, P11</t>
  </si>
  <si>
    <t>Bích Ngọc sale wed t8</t>
  </si>
  <si>
    <t>HD055223</t>
  </si>
  <si>
    <t>729/5 nguyễn kiệm phường ba</t>
  </si>
  <si>
    <t>Nguyễn Anh Thy</t>
  </si>
  <si>
    <t>HD055725</t>
  </si>
  <si>
    <t>158/48 Xô viết nghệ tĩnh, phường 21</t>
  </si>
  <si>
    <t>Nhi Hồ (SALE WEB)</t>
  </si>
  <si>
    <t>HD055790</t>
  </si>
  <si>
    <t>466/30 xô viết nghệ tĩnh</t>
  </si>
  <si>
    <t>Linh Linh</t>
  </si>
  <si>
    <t>HD055996</t>
  </si>
  <si>
    <t>Số 2 nguyễn minh hoàng, phường bảy hiền</t>
  </si>
  <si>
    <t>Trần Hải Nam (SALE WEB)</t>
  </si>
  <si>
    <t>HD055935</t>
  </si>
  <si>
    <t>Chung Cư Bộ Đội Biên Phòng Phường Hạnh Thông</t>
  </si>
  <si>
    <t>Thiên Nhi</t>
  </si>
  <si>
    <t>HD055681</t>
  </si>
  <si>
    <t>41/6 Đường số 9 phường Linh Xuân</t>
  </si>
  <si>
    <t>Mỹ Ngọc</t>
  </si>
  <si>
    <t>HD055944</t>
  </si>
  <si>
    <t>242 nguyễn oanh, phường gò vấp</t>
  </si>
  <si>
    <t>Thu Phương</t>
  </si>
  <si>
    <t>HD055952</t>
  </si>
  <si>
    <t>120 Lê Quang Định P. Bình Thạnh</t>
  </si>
  <si>
    <t>Bao nhi (SALE WEB)</t>
  </si>
  <si>
    <t>HD055659</t>
  </si>
  <si>
    <t>63/2a, Đường Số 36, P. Linh Đông</t>
  </si>
  <si>
    <t>HD055797</t>
  </si>
  <si>
    <t>Lisa Nguyen-sale</t>
  </si>
  <si>
    <t>HD055622</t>
  </si>
  <si>
    <t>1122/23/2F Quang Trung p.8</t>
  </si>
  <si>
    <t>jenny bouti</t>
  </si>
  <si>
    <t>401 Quang trung f10</t>
  </si>
  <si>
    <t>Huyền Linh sale</t>
  </si>
  <si>
    <t>HD055713</t>
  </si>
  <si>
    <t>38 Trương Quốc Dung</t>
  </si>
  <si>
    <t>Trần Ngọc Bích</t>
  </si>
  <si>
    <t>HD055905</t>
  </si>
  <si>
    <t>43/3 Cửu Long p2</t>
  </si>
  <si>
    <t>huyền nguyễn</t>
  </si>
  <si>
    <t>HD055678</t>
  </si>
  <si>
    <t>243/44/12 tôn đản p15</t>
  </si>
  <si>
    <t>CHỊ TRANG (SALE WEB)</t>
  </si>
  <si>
    <t>HD055400</t>
  </si>
  <si>
    <t>178 D Võ Thị Sáu Phường 7</t>
  </si>
  <si>
    <t>Dinh Luong</t>
  </si>
  <si>
    <t>HD055989</t>
  </si>
  <si>
    <t>246 nguyễn duy dương f4</t>
  </si>
  <si>
    <t>Veriska Room 102 Saigon Europe Hotel</t>
  </si>
  <si>
    <t>HD055740</t>
  </si>
  <si>
    <t>207 Đề Thám, Phường Phạm Ngũ Lão</t>
  </si>
  <si>
    <t>Van Tran sale wed t8</t>
  </si>
  <si>
    <t>HD055661</t>
  </si>
  <si>
    <t>03 Trần Nhật Duật, P. Tân Định</t>
  </si>
  <si>
    <t>Tuyết Tây</t>
  </si>
  <si>
    <t>HD055931</t>
  </si>
  <si>
    <t>323 Hùng Vương, p9</t>
  </si>
  <si>
    <t>Bích Ngọc - fb Hà Trần</t>
  </si>
  <si>
    <t>HD055967</t>
  </si>
  <si>
    <t>28 rạch bùng binh, p nhiều lộc gửi lễ tân, Cactusland Boutique Hotel</t>
  </si>
  <si>
    <t>My Ngô</t>
  </si>
  <si>
    <t>HD055945</t>
  </si>
  <si>
    <t>233/17 Nguyễn Trãi, phường Nguyễn Cư Trinh</t>
  </si>
  <si>
    <t>Lưu Huyền</t>
  </si>
  <si>
    <t>HD055758</t>
  </si>
  <si>
    <t>285/136 cmt8 phường Hòa Hưng</t>
  </si>
  <si>
    <t>đơn cũ ck</t>
  </si>
  <si>
    <t>2</t>
  </si>
  <si>
    <t>kh ck shop 210k</t>
  </si>
  <si>
    <t>THU 3</t>
  </si>
  <si>
    <t>NGAY 8-9</t>
  </si>
  <si>
    <t>Tuyết Nhi ZL2</t>
  </si>
  <si>
    <t>170F Tân Hoà Đông f14</t>
  </si>
  <si>
    <t>AT 08-09</t>
  </si>
  <si>
    <t>08-09-2026</t>
  </si>
  <si>
    <t>Thanh Ngọc</t>
  </si>
  <si>
    <t>HD056199</t>
  </si>
  <si>
    <t>10A đường 44 Hồ Bá Phấn Phước Long A</t>
  </si>
  <si>
    <t>Hợp Vũ (SALE WEB)</t>
  </si>
  <si>
    <t>HD056102</t>
  </si>
  <si>
    <t>2A Phan Chu Trinh, P Hiệp Phú</t>
  </si>
  <si>
    <t>Trần Thúy</t>
  </si>
  <si>
    <t>HD056132</t>
  </si>
  <si>
    <t>406 lê văn quới, bình trị đông</t>
  </si>
  <si>
    <t>Kiều Thu</t>
  </si>
  <si>
    <t>HD056024</t>
  </si>
  <si>
    <t>89 Bùi Thanh Khiết- Tân Túc</t>
  </si>
  <si>
    <t>Charisa0909</t>
  </si>
  <si>
    <t>HD056203</t>
  </si>
  <si>
    <t>275/14B1 Đặng Nguyên Cẩn, Phường Phú Lâm (phường 14 cũ)</t>
  </si>
  <si>
    <t>Kim Dung (Malaysia)</t>
  </si>
  <si>
    <t>HD056247</t>
  </si>
  <si>
    <t>24/5F Ấp Đông Lân, Xã Bà Điểm</t>
  </si>
  <si>
    <t>Van Pham</t>
  </si>
  <si>
    <t>HD056006</t>
  </si>
  <si>
    <t>38 đường số 4 khu dân cư 2 Thành phường Tân Tạo</t>
  </si>
  <si>
    <t>HD056044</t>
  </si>
  <si>
    <t>1305/9 nguyễn duy trình long truong</t>
  </si>
  <si>
    <t>MeyMey EV28641</t>
  </si>
  <si>
    <t>HD056117</t>
  </si>
  <si>
    <t>315/18/6 Nguyễn Thị Tú Bình Hưng Hòa B</t>
  </si>
  <si>
    <t>Lý Hán Thành - Nguyen Thi Mong</t>
  </si>
  <si>
    <t>HD056099</t>
  </si>
  <si>
    <t>85/6 bình tây p1</t>
  </si>
  <si>
    <t>T Trần</t>
  </si>
  <si>
    <t>59/2/15R Tx22, phường Thới An</t>
  </si>
  <si>
    <t>Ngọc Trang</t>
  </si>
  <si>
    <t>HD056225</t>
  </si>
  <si>
    <t>FOXSHOP 28 Lê Văn Duyệt, P1</t>
  </si>
  <si>
    <t>HD055959</t>
  </si>
  <si>
    <t>Nguyễn Kim Tuyến</t>
  </si>
  <si>
    <t>HD056045</t>
  </si>
  <si>
    <t>616/8 lê đức thọ, p an hội đông</t>
  </si>
  <si>
    <t>Châu Hồng Sâm</t>
  </si>
  <si>
    <t>HD056070</t>
  </si>
  <si>
    <t>38/3 chế lan viên, phường tây thạnh</t>
  </si>
  <si>
    <t>Hồng Kim</t>
  </si>
  <si>
    <t>HD055884</t>
  </si>
  <si>
    <t>5/16 đường số 11 phường thông tây hội</t>
  </si>
  <si>
    <t>Kim Oanh Pham</t>
  </si>
  <si>
    <t>HD056040</t>
  </si>
  <si>
    <t>Mình ở 220/A14 nguyễn oanh p17</t>
  </si>
  <si>
    <t>Nhi</t>
  </si>
  <si>
    <t>HD056110</t>
  </si>
  <si>
    <t>chung cư 8x plus số 163A Trường Chinh, Đông Hưng Thuận</t>
  </si>
  <si>
    <t>Meo Meo</t>
  </si>
  <si>
    <t>HD056217</t>
  </si>
  <si>
    <t>29 đường 58-p binh trưng</t>
  </si>
  <si>
    <t>HD056029</t>
  </si>
  <si>
    <t>Hồng Hoa</t>
  </si>
  <si>
    <t>HD056119</t>
  </si>
  <si>
    <t>Căn 98 đường A5, Palm Residence, phường Bình Trưng</t>
  </si>
  <si>
    <t>Hân CM- Mia Dinh sale</t>
  </si>
  <si>
    <t>HD056005</t>
  </si>
  <si>
    <t>4 Đường Số 05, Khu phố 4, Hiệp Bình (Cty Vau Trans Logistics, Hiệp Bình Chánh)</t>
  </si>
  <si>
    <t>Hoàng Thuy Nguyễn sale</t>
  </si>
  <si>
    <t>HD056191</t>
  </si>
  <si>
    <t>922 Trường Sa phường 12</t>
  </si>
  <si>
    <t>Mai Thi</t>
  </si>
  <si>
    <t>HD056208</t>
  </si>
  <si>
    <t>Chung cư topaz dragon 2B 102 - cao lỗ - p4</t>
  </si>
  <si>
    <t>Lan Hương (SALE WEB)</t>
  </si>
  <si>
    <t>HD056114</t>
  </si>
  <si>
    <t>206/10 Đồng đen</t>
  </si>
  <si>
    <t>HD056220</t>
  </si>
  <si>
    <t>110 tân mỹ tân thuận tây</t>
  </si>
  <si>
    <t>An Nhiên</t>
  </si>
  <si>
    <t>HD056181</t>
  </si>
  <si>
    <t>Chung cư sunrise riverside toà H</t>
  </si>
  <si>
    <t>HD056242</t>
  </si>
  <si>
    <t>BDOS hotel, 222 Ng~ Cư Trinh, p. Cầu Ông Lãnh</t>
  </si>
  <si>
    <t>Nguyễn Thị Quỳnh Hương</t>
  </si>
  <si>
    <t>HD056240</t>
  </si>
  <si>
    <t>42 Nguyễn Đình Khơi phường 4</t>
  </si>
  <si>
    <t>Trần Thục Quỳnh (Website)</t>
  </si>
  <si>
    <t>HD056153</t>
  </si>
  <si>
    <t>6/18 cách mạng tháng tám, phường Bến Thành</t>
  </si>
  <si>
    <t>Thanh Ngân-sale</t>
  </si>
  <si>
    <t>HD056166</t>
  </si>
  <si>
    <t>Tầng 2 tòa nhà M Building, số 9 đường số 8, Khu A, Đô Thị Mới Nam Thành Phố, Phường Tân Mỹ</t>
  </si>
  <si>
    <t>Nguyễn Thị Bảo Loan</t>
  </si>
  <si>
    <t>HD056245</t>
  </si>
  <si>
    <t>tòa b2 chung cư lavida plus số 1181 nguyễn văn linh tân phong</t>
  </si>
  <si>
    <t>Phạm Trang-sale</t>
  </si>
  <si>
    <t>HD056184</t>
  </si>
  <si>
    <t>CC Delasd, Số 1 Tôn Thất Thuyết</t>
  </si>
  <si>
    <t>Trang-sale</t>
  </si>
  <si>
    <t>HD056180</t>
  </si>
  <si>
    <t>129A Nguyễn Chí Thanh Phường An Đông</t>
  </si>
  <si>
    <t>đơn trả 9.9</t>
  </si>
  <si>
    <t>kh ck shop 6355k, shop chịu ship</t>
  </si>
  <si>
    <t>không có hàng đổi trả về</t>
  </si>
  <si>
    <t>đơn không có hàng trả về</t>
  </si>
  <si>
    <t>Thiên An</t>
  </si>
  <si>
    <t>HD023605</t>
  </si>
  <si>
    <t>D aqua 301 bình động, phú định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</si>
</sst>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b/>
      <sz val="14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FF0000"/>
      <name val="Calibri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0" fontId="10" fillId="0" borderId="0" applyBorder="0"/>
  </cellStyleXfs>
  <cellXfs count="49">
    <xf numFmtId="0" fontId="0" fillId="0" borderId="0" xfId="0"/>
    <xf numFmtId="0" fontId="2" fillId="0" borderId="0" xfId="1"/>
    <xf numFmtId="0" fontId="1" fillId="2" borderId="1" xfId="1" applyFont="1" applyFill="1" applyBorder="1"/>
    <xf numFmtId="0" fontId="2" fillId="0" borderId="1" xfId="1" applyBorder="1"/>
    <xf numFmtId="0" fontId="3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right"/>
    </xf>
    <xf numFmtId="0" fontId="1" fillId="4" borderId="1" xfId="1" applyFont="1" applyFill="1" applyBorder="1" applyAlignment="1">
      <alignment horizontal="left"/>
    </xf>
    <xf numFmtId="0" fontId="4" fillId="4" borderId="1" xfId="1" applyFont="1" applyFill="1" applyBorder="1" applyAlignment="1">
      <alignment horizontal="right"/>
    </xf>
    <xf numFmtId="0" fontId="1" fillId="5" borderId="1" xfId="1" applyFont="1" applyFill="1" applyBorder="1" applyAlignment="1">
      <alignment horizontal="left"/>
    </xf>
    <xf numFmtId="0" fontId="5" fillId="5" borderId="1" xfId="1" applyFont="1" applyFill="1" applyBorder="1" applyAlignment="1">
      <alignment horizontal="right"/>
    </xf>
    <xf numFmtId="0" fontId="1" fillId="5" borderId="1" xfId="1" applyFont="1" applyFill="1" applyBorder="1"/>
    <xf numFmtId="0" fontId="1" fillId="6" borderId="1" xfId="1" applyFont="1" applyFill="1" applyBorder="1" applyAlignment="1">
      <alignment horizontal="left"/>
    </xf>
    <xf numFmtId="0" fontId="6" fillId="6" borderId="1" xfId="1" applyFont="1" applyFill="1" applyBorder="1"/>
    <xf numFmtId="0" fontId="5" fillId="6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right"/>
    </xf>
    <xf numFmtId="0" fontId="0" fillId="8" borderId="1" xfId="0" applyFill="1" applyBorder="1"/>
    <xf numFmtId="3" fontId="0" fillId="8" borderId="1" xfId="0" applyNumberFormat="1" applyFill="1" applyBorder="1"/>
    <xf numFmtId="0" fontId="0" fillId="8" borderId="0" xfId="0" applyFill="1"/>
    <xf numFmtId="3" fontId="0" fillId="8" borderId="0" xfId="0" applyNumberFormat="1" applyFill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0" fillId="9" borderId="1" xfId="0" applyFill="1" applyBorder="1"/>
    <xf numFmtId="3" fontId="0" fillId="9" borderId="1" xfId="0" applyNumberFormat="1" applyFill="1" applyBorder="1"/>
    <xf numFmtId="3" fontId="0" fillId="9" borderId="0" xfId="0" applyNumberFormat="1" applyFill="1"/>
    <xf numFmtId="0" fontId="0" fillId="9" borderId="0" xfId="0" applyFill="1"/>
    <xf numFmtId="0" fontId="8" fillId="2" borderId="1" xfId="0" applyFont="1" applyFill="1" applyBorder="1"/>
    <xf numFmtId="0" fontId="9" fillId="2" borderId="1" xfId="0" applyFont="1" applyFill="1" applyBorder="1"/>
    <xf numFmtId="0" fontId="9" fillId="10" borderId="0" xfId="0" applyFont="1" applyFill="1"/>
    <xf numFmtId="0" fontId="10" fillId="0" borderId="1" xfId="2" applyBorder="1"/>
    <xf numFmtId="3" fontId="10" fillId="0" borderId="1" xfId="2" applyNumberFormat="1" applyBorder="1"/>
    <xf numFmtId="0" fontId="10" fillId="0" borderId="0" xfId="2"/>
    <xf numFmtId="0" fontId="10" fillId="9" borderId="1" xfId="2" applyFill="1" applyBorder="1"/>
    <xf numFmtId="3" fontId="10" fillId="9" borderId="1" xfId="2" applyNumberFormat="1" applyFill="1" applyBorder="1"/>
    <xf numFmtId="3" fontId="10" fillId="9" borderId="0" xfId="2" applyNumberFormat="1" applyFill="1"/>
    <xf numFmtId="0" fontId="10" fillId="9" borderId="0" xfId="2" applyFill="1"/>
    <xf numFmtId="3" fontId="10" fillId="0" borderId="0" xfId="2" applyNumberFormat="1"/>
    <xf numFmtId="0" fontId="8" fillId="2" borderId="1" xfId="2" applyFont="1" applyFill="1" applyBorder="1"/>
    <xf numFmtId="0" fontId="8" fillId="0" borderId="1" xfId="2" applyFont="1" applyBorder="1"/>
    <xf numFmtId="3" fontId="8" fillId="0" borderId="1" xfId="2" applyNumberFormat="1" applyFont="1" applyBorder="1"/>
    <xf numFmtId="0" fontId="8" fillId="0" borderId="0" xfId="2" applyFont="1"/>
    <xf numFmtId="0" fontId="9" fillId="8" borderId="1" xfId="0" applyFont="1" applyFill="1" applyBorder="1"/>
    <xf numFmtId="3" fontId="9" fillId="8" borderId="1" xfId="0" applyNumberFormat="1" applyFont="1" applyFill="1" applyBorder="1"/>
    <xf numFmtId="0" fontId="9" fillId="10" borderId="1" xfId="0" applyFont="1" applyFill="1" applyBorder="1"/>
    <xf numFmtId="49" fontId="9" fillId="8" borderId="1" xfId="0" applyNumberFormat="1" applyFont="1" applyFill="1" applyBorder="1"/>
    <xf numFmtId="0" fontId="8" fillId="8" borderId="0" xfId="2" applyFont="1" applyFill="1" applyBorder="1"/>
    <xf numFmtId="3" fontId="2" fillId="0" borderId="0" xfId="1" applyNumberFormat="1"/>
  </cellXfs>
  <cellStyles count="3">
    <cellStyle name="Normal" xfId="0" builtinId="0"/>
    <cellStyle name="Normal 2" xfId="1" xr:uid="{D1AD9FCC-7941-4EA1-A803-F399CA3A662E}"/>
    <cellStyle name="Normal 3" xfId="2" xr:uid="{18C41E08-F1AF-47CD-A621-8645C0A639A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166D-647F-4247-A049-709567A97092}">
  <dimension ref="A1:R31"/>
  <sheetViews>
    <sheetView zoomScale="82" zoomScaleNormal="80" workbookViewId="0"/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</v>
      </c>
      <c r="C1" s="1" t="s">
        <v>27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1"/>
      <c r="B3" s="21" t="s">
        <v>29</v>
      </c>
      <c r="C3" s="21" t="s">
        <v>30</v>
      </c>
      <c r="D3" s="21" t="s">
        <v>31</v>
      </c>
      <c r="E3" s="21" t="s">
        <v>32</v>
      </c>
      <c r="F3" s="21" t="s">
        <v>33</v>
      </c>
      <c r="G3" s="22">
        <v>435</v>
      </c>
      <c r="H3" s="22">
        <v>25</v>
      </c>
      <c r="I3" s="22">
        <f t="shared" ref="I3:I17" si="0">G3-H3</f>
        <v>410</v>
      </c>
      <c r="J3" s="21" t="s">
        <v>34</v>
      </c>
      <c r="K3" s="21" t="s">
        <v>35</v>
      </c>
      <c r="L3" s="21" t="s">
        <v>36</v>
      </c>
      <c r="M3" s="21"/>
      <c r="N3" s="21"/>
      <c r="O3" s="21"/>
      <c r="P3" s="21"/>
      <c r="Q3" s="21">
        <v>1</v>
      </c>
    </row>
    <row r="4" spans="1:18" customFormat="1" x14ac:dyDescent="0.25">
      <c r="A4" s="21"/>
      <c r="B4" s="21" t="s">
        <v>29</v>
      </c>
      <c r="C4" s="21" t="s">
        <v>37</v>
      </c>
      <c r="D4" s="21" t="s">
        <v>38</v>
      </c>
      <c r="E4" s="21" t="s">
        <v>39</v>
      </c>
      <c r="F4" s="22">
        <v>7</v>
      </c>
      <c r="G4" s="22">
        <v>260</v>
      </c>
      <c r="H4" s="22">
        <v>30</v>
      </c>
      <c r="I4" s="22">
        <f t="shared" si="0"/>
        <v>230</v>
      </c>
      <c r="J4" s="21" t="s">
        <v>34</v>
      </c>
      <c r="K4" s="21" t="s">
        <v>35</v>
      </c>
      <c r="L4" s="21" t="s">
        <v>36</v>
      </c>
      <c r="M4" s="21"/>
      <c r="N4" s="21"/>
      <c r="O4" s="21"/>
      <c r="P4" s="21"/>
      <c r="Q4" s="21">
        <v>1</v>
      </c>
    </row>
    <row r="5" spans="1:18" customFormat="1" x14ac:dyDescent="0.25">
      <c r="A5" s="21"/>
      <c r="B5" s="21" t="s">
        <v>29</v>
      </c>
      <c r="C5" s="21" t="s">
        <v>40</v>
      </c>
      <c r="D5" s="21" t="s">
        <v>41</v>
      </c>
      <c r="E5" s="21" t="s">
        <v>42</v>
      </c>
      <c r="F5" s="22">
        <v>8</v>
      </c>
      <c r="G5" s="22">
        <v>370</v>
      </c>
      <c r="H5" s="22">
        <v>30</v>
      </c>
      <c r="I5" s="22">
        <f t="shared" si="0"/>
        <v>340</v>
      </c>
      <c r="J5" s="21" t="s">
        <v>34</v>
      </c>
      <c r="K5" s="21" t="s">
        <v>35</v>
      </c>
      <c r="L5" s="21" t="s">
        <v>36</v>
      </c>
      <c r="M5" s="21"/>
      <c r="N5" s="21"/>
      <c r="O5" s="21"/>
      <c r="P5" s="21"/>
      <c r="Q5" s="21">
        <v>1</v>
      </c>
    </row>
    <row r="6" spans="1:18" customFormat="1" x14ac:dyDescent="0.25">
      <c r="A6" s="21" t="s">
        <v>43</v>
      </c>
      <c r="B6" s="21" t="s">
        <v>29</v>
      </c>
      <c r="C6" s="21" t="s">
        <v>44</v>
      </c>
      <c r="D6" s="21"/>
      <c r="E6" s="21" t="s">
        <v>45</v>
      </c>
      <c r="F6" s="22">
        <v>6</v>
      </c>
      <c r="G6" s="22">
        <v>0</v>
      </c>
      <c r="H6" s="22">
        <v>30</v>
      </c>
      <c r="I6" s="22">
        <f t="shared" si="0"/>
        <v>-30</v>
      </c>
      <c r="J6" s="21" t="s">
        <v>34</v>
      </c>
      <c r="K6" s="21" t="s">
        <v>35</v>
      </c>
      <c r="L6" s="21" t="s">
        <v>36</v>
      </c>
      <c r="M6" s="21"/>
      <c r="N6" s="21"/>
      <c r="O6" s="21"/>
      <c r="P6" s="21"/>
      <c r="Q6" s="21">
        <v>1</v>
      </c>
    </row>
    <row r="7" spans="1:18" customFormat="1" x14ac:dyDescent="0.25">
      <c r="A7" s="21" t="s">
        <v>43</v>
      </c>
      <c r="B7" s="21" t="s">
        <v>29</v>
      </c>
      <c r="C7" s="21" t="s">
        <v>46</v>
      </c>
      <c r="D7" s="21"/>
      <c r="E7" s="21" t="s">
        <v>47</v>
      </c>
      <c r="F7" s="21" t="s">
        <v>48</v>
      </c>
      <c r="G7" s="22">
        <v>0</v>
      </c>
      <c r="H7" s="22">
        <v>50</v>
      </c>
      <c r="I7" s="22">
        <f t="shared" si="0"/>
        <v>-50</v>
      </c>
      <c r="J7" s="21" t="s">
        <v>34</v>
      </c>
      <c r="K7" s="21" t="s">
        <v>35</v>
      </c>
      <c r="L7" s="21" t="s">
        <v>36</v>
      </c>
      <c r="M7" s="21"/>
      <c r="N7" s="21"/>
      <c r="O7" s="21"/>
      <c r="P7" s="21"/>
      <c r="Q7" s="21">
        <v>1</v>
      </c>
      <c r="R7" s="23">
        <f>H7</f>
        <v>50</v>
      </c>
    </row>
    <row r="8" spans="1:18" s="27" customFormat="1" x14ac:dyDescent="0.25">
      <c r="A8" s="24"/>
      <c r="B8" s="24" t="s">
        <v>29</v>
      </c>
      <c r="C8" s="24" t="s">
        <v>49</v>
      </c>
      <c r="D8" s="24" t="s">
        <v>50</v>
      </c>
      <c r="E8" s="24" t="s">
        <v>51</v>
      </c>
      <c r="F8" s="24" t="s">
        <v>52</v>
      </c>
      <c r="G8" s="25">
        <v>0</v>
      </c>
      <c r="H8" s="25">
        <v>25</v>
      </c>
      <c r="I8" s="25">
        <f t="shared" si="0"/>
        <v>-25</v>
      </c>
      <c r="J8" s="24" t="s">
        <v>35</v>
      </c>
      <c r="K8" s="24" t="s">
        <v>35</v>
      </c>
      <c r="L8" s="24" t="s">
        <v>36</v>
      </c>
      <c r="M8" s="24" t="s">
        <v>53</v>
      </c>
      <c r="N8" s="24"/>
      <c r="O8" s="24"/>
      <c r="P8" s="24"/>
      <c r="Q8" s="24">
        <v>1</v>
      </c>
      <c r="R8" s="26">
        <f>H8</f>
        <v>25</v>
      </c>
    </row>
    <row r="9" spans="1:18" s="19" customFormat="1" x14ac:dyDescent="0.25">
      <c r="A9" s="17"/>
      <c r="B9" s="17" t="s">
        <v>29</v>
      </c>
      <c r="C9" s="17" t="s">
        <v>54</v>
      </c>
      <c r="D9" s="17" t="s">
        <v>55</v>
      </c>
      <c r="E9" s="17" t="s">
        <v>56</v>
      </c>
      <c r="F9" s="17" t="s">
        <v>57</v>
      </c>
      <c r="G9" s="18">
        <v>2870</v>
      </c>
      <c r="H9" s="18">
        <v>25</v>
      </c>
      <c r="I9" s="18">
        <f t="shared" si="0"/>
        <v>2845</v>
      </c>
      <c r="J9" s="17" t="s">
        <v>35</v>
      </c>
      <c r="K9" s="17" t="s">
        <v>35</v>
      </c>
      <c r="L9" s="17" t="s">
        <v>36</v>
      </c>
      <c r="M9" s="28" t="s">
        <v>58</v>
      </c>
      <c r="N9" s="17"/>
      <c r="O9" s="17"/>
      <c r="P9" s="17"/>
      <c r="Q9" s="17">
        <v>1</v>
      </c>
      <c r="R9" s="20">
        <f>H9</f>
        <v>25</v>
      </c>
    </row>
    <row r="10" spans="1:18" customFormat="1" x14ac:dyDescent="0.25">
      <c r="A10" s="21"/>
      <c r="B10" s="21" t="s">
        <v>29</v>
      </c>
      <c r="C10" s="21" t="s">
        <v>59</v>
      </c>
      <c r="D10" s="21" t="s">
        <v>60</v>
      </c>
      <c r="E10" s="21" t="s">
        <v>61</v>
      </c>
      <c r="F10" s="21" t="s">
        <v>57</v>
      </c>
      <c r="G10" s="22">
        <v>600</v>
      </c>
      <c r="H10" s="22">
        <v>20</v>
      </c>
      <c r="I10" s="22">
        <f t="shared" si="0"/>
        <v>580</v>
      </c>
      <c r="J10" s="21" t="s">
        <v>35</v>
      </c>
      <c r="K10" s="21" t="s">
        <v>35</v>
      </c>
      <c r="L10" s="21" t="s">
        <v>36</v>
      </c>
      <c r="M10" s="21"/>
      <c r="N10" s="21"/>
      <c r="O10" s="21"/>
      <c r="P10" s="21"/>
      <c r="Q10" s="21">
        <v>1</v>
      </c>
      <c r="R10" s="23">
        <f>H10</f>
        <v>20</v>
      </c>
    </row>
    <row r="11" spans="1:18" customFormat="1" x14ac:dyDescent="0.25">
      <c r="A11" s="21" t="s">
        <v>43</v>
      </c>
      <c r="B11" s="21" t="s">
        <v>29</v>
      </c>
      <c r="C11" s="21" t="s">
        <v>62</v>
      </c>
      <c r="D11" s="21"/>
      <c r="E11" s="21" t="s">
        <v>63</v>
      </c>
      <c r="F11" s="21" t="s">
        <v>57</v>
      </c>
      <c r="G11" s="22">
        <v>0</v>
      </c>
      <c r="H11" s="22">
        <v>25</v>
      </c>
      <c r="I11" s="22">
        <f t="shared" si="0"/>
        <v>-25</v>
      </c>
      <c r="J11" s="21" t="s">
        <v>35</v>
      </c>
      <c r="K11" s="21" t="s">
        <v>35</v>
      </c>
      <c r="L11" s="21" t="s">
        <v>36</v>
      </c>
      <c r="M11" s="21"/>
      <c r="N11" s="21"/>
      <c r="O11" s="21"/>
      <c r="P11" s="21"/>
      <c r="Q11" s="21">
        <v>1</v>
      </c>
    </row>
    <row r="12" spans="1:18" customFormat="1" x14ac:dyDescent="0.25">
      <c r="A12" s="21" t="s">
        <v>43</v>
      </c>
      <c r="B12" s="21" t="s">
        <v>29</v>
      </c>
      <c r="C12" s="21" t="s">
        <v>64</v>
      </c>
      <c r="D12" s="21"/>
      <c r="E12" s="21" t="s">
        <v>65</v>
      </c>
      <c r="F12" s="21" t="s">
        <v>52</v>
      </c>
      <c r="G12" s="22">
        <v>35</v>
      </c>
      <c r="H12" s="22">
        <v>35</v>
      </c>
      <c r="I12" s="22">
        <f t="shared" si="0"/>
        <v>0</v>
      </c>
      <c r="J12" s="21" t="s">
        <v>35</v>
      </c>
      <c r="K12" s="21" t="s">
        <v>35</v>
      </c>
      <c r="L12" s="21" t="s">
        <v>36</v>
      </c>
      <c r="M12" s="21"/>
      <c r="N12" s="21"/>
      <c r="O12" s="21"/>
      <c r="P12" s="21"/>
      <c r="Q12" s="21">
        <v>1</v>
      </c>
      <c r="R12" s="23">
        <f>H12</f>
        <v>35</v>
      </c>
    </row>
    <row r="13" spans="1:18" customFormat="1" x14ac:dyDescent="0.25">
      <c r="A13" s="21"/>
      <c r="B13" s="21" t="s">
        <v>29</v>
      </c>
      <c r="C13" s="21" t="s">
        <v>66</v>
      </c>
      <c r="D13" s="21" t="s">
        <v>67</v>
      </c>
      <c r="E13" s="21" t="s">
        <v>68</v>
      </c>
      <c r="F13" s="22">
        <v>1</v>
      </c>
      <c r="G13" s="22">
        <v>1365</v>
      </c>
      <c r="H13" s="22">
        <v>25</v>
      </c>
      <c r="I13" s="22">
        <f t="shared" si="0"/>
        <v>1340</v>
      </c>
      <c r="J13" s="21" t="s">
        <v>69</v>
      </c>
      <c r="K13" s="21" t="s">
        <v>35</v>
      </c>
      <c r="L13" s="21" t="s">
        <v>36</v>
      </c>
      <c r="M13" s="21"/>
      <c r="N13" s="21"/>
      <c r="O13" s="21"/>
      <c r="P13" s="21"/>
      <c r="Q13" s="21">
        <v>1</v>
      </c>
    </row>
    <row r="14" spans="1:18" customFormat="1" x14ac:dyDescent="0.25">
      <c r="A14" s="21"/>
      <c r="B14" s="21" t="s">
        <v>29</v>
      </c>
      <c r="C14" s="21" t="s">
        <v>70</v>
      </c>
      <c r="D14" s="21" t="s">
        <v>71</v>
      </c>
      <c r="E14" s="21" t="s">
        <v>72</v>
      </c>
      <c r="F14" s="22">
        <v>10</v>
      </c>
      <c r="G14" s="22">
        <v>715</v>
      </c>
      <c r="H14" s="22">
        <v>25</v>
      </c>
      <c r="I14" s="22">
        <f t="shared" si="0"/>
        <v>690</v>
      </c>
      <c r="J14" s="21" t="s">
        <v>69</v>
      </c>
      <c r="K14" s="21" t="s">
        <v>35</v>
      </c>
      <c r="L14" s="21" t="s">
        <v>36</v>
      </c>
      <c r="M14" s="21"/>
      <c r="N14" s="21"/>
      <c r="O14" s="21"/>
      <c r="P14" s="21"/>
      <c r="Q14" s="21">
        <v>1</v>
      </c>
    </row>
    <row r="15" spans="1:18" customFormat="1" x14ac:dyDescent="0.25">
      <c r="A15" s="21"/>
      <c r="B15" s="21" t="s">
        <v>29</v>
      </c>
      <c r="C15" s="21" t="s">
        <v>73</v>
      </c>
      <c r="D15" s="21" t="s">
        <v>74</v>
      </c>
      <c r="E15" s="21" t="s">
        <v>75</v>
      </c>
      <c r="F15" s="22">
        <v>10</v>
      </c>
      <c r="G15" s="22">
        <v>915</v>
      </c>
      <c r="H15" s="22">
        <v>25</v>
      </c>
      <c r="I15" s="22">
        <f t="shared" si="0"/>
        <v>890</v>
      </c>
      <c r="J15" s="21" t="s">
        <v>69</v>
      </c>
      <c r="K15" s="21" t="s">
        <v>35</v>
      </c>
      <c r="L15" s="21" t="s">
        <v>36</v>
      </c>
      <c r="M15" s="21"/>
      <c r="N15" s="21"/>
      <c r="O15" s="21"/>
      <c r="P15" s="21"/>
      <c r="Q15" s="21">
        <v>1</v>
      </c>
    </row>
    <row r="16" spans="1:18" customFormat="1" x14ac:dyDescent="0.25">
      <c r="A16" s="21"/>
      <c r="B16" s="21" t="s">
        <v>29</v>
      </c>
      <c r="C16" s="21" t="s">
        <v>76</v>
      </c>
      <c r="D16" s="21" t="s">
        <v>77</v>
      </c>
      <c r="E16" s="21" t="s">
        <v>78</v>
      </c>
      <c r="F16" s="22">
        <v>3</v>
      </c>
      <c r="G16" s="22">
        <v>465</v>
      </c>
      <c r="H16" s="22">
        <v>25</v>
      </c>
      <c r="I16" s="22">
        <f t="shared" si="0"/>
        <v>440</v>
      </c>
      <c r="J16" s="21" t="s">
        <v>69</v>
      </c>
      <c r="K16" s="21" t="s">
        <v>35</v>
      </c>
      <c r="L16" s="21" t="s">
        <v>36</v>
      </c>
      <c r="M16" s="21"/>
      <c r="N16" s="21"/>
      <c r="O16" s="21"/>
      <c r="P16" s="21"/>
      <c r="Q16" s="21">
        <v>1</v>
      </c>
    </row>
    <row r="17" spans="1:18" customFormat="1" x14ac:dyDescent="0.25">
      <c r="A17" s="21" t="s">
        <v>43</v>
      </c>
      <c r="B17" s="21" t="s">
        <v>29</v>
      </c>
      <c r="C17" s="21" t="s">
        <v>79</v>
      </c>
      <c r="D17" s="21"/>
      <c r="E17" s="21" t="s">
        <v>80</v>
      </c>
      <c r="F17" s="21" t="s">
        <v>57</v>
      </c>
      <c r="G17" s="22">
        <v>0</v>
      </c>
      <c r="H17" s="22">
        <v>25</v>
      </c>
      <c r="I17" s="22">
        <f t="shared" si="0"/>
        <v>-25</v>
      </c>
      <c r="J17" s="21" t="s">
        <v>69</v>
      </c>
      <c r="K17" s="21" t="s">
        <v>35</v>
      </c>
      <c r="L17" s="21" t="s">
        <v>36</v>
      </c>
      <c r="M17" s="21"/>
      <c r="N17" s="21"/>
      <c r="O17" s="21"/>
      <c r="P17" s="21"/>
      <c r="Q17" s="21">
        <v>1</v>
      </c>
      <c r="R17" s="23">
        <f>H17</f>
        <v>25</v>
      </c>
    </row>
    <row r="19" spans="1:18" x14ac:dyDescent="0.25">
      <c r="G19" s="1">
        <f t="shared" ref="G19:R19" si="1">SUBTOTAL(9,G3:G18)</f>
        <v>8030</v>
      </c>
      <c r="H19" s="1">
        <f t="shared" si="1"/>
        <v>420</v>
      </c>
      <c r="I19" s="1">
        <f t="shared" si="1"/>
        <v>7610</v>
      </c>
      <c r="J19" s="1">
        <f t="shared" si="1"/>
        <v>0</v>
      </c>
      <c r="K19" s="1">
        <f t="shared" si="1"/>
        <v>0</v>
      </c>
      <c r="L19" s="1">
        <f t="shared" si="1"/>
        <v>0</v>
      </c>
      <c r="M19" s="1">
        <f t="shared" si="1"/>
        <v>0</v>
      </c>
      <c r="N19" s="1">
        <f t="shared" si="1"/>
        <v>0</v>
      </c>
      <c r="O19" s="1">
        <f t="shared" si="1"/>
        <v>0</v>
      </c>
      <c r="P19" s="1">
        <f t="shared" si="1"/>
        <v>0</v>
      </c>
      <c r="Q19" s="1">
        <f t="shared" si="1"/>
        <v>15</v>
      </c>
      <c r="R19" s="1">
        <f t="shared" si="1"/>
        <v>180</v>
      </c>
    </row>
    <row r="23" spans="1:18" ht="20.25" customHeight="1" x14ac:dyDescent="0.3">
      <c r="H23" s="4" t="s">
        <v>28</v>
      </c>
      <c r="I23" s="5" t="s">
        <v>15</v>
      </c>
      <c r="J23" s="6" t="s">
        <v>16</v>
      </c>
    </row>
    <row r="24" spans="1:18" ht="15.75" customHeight="1" x14ac:dyDescent="0.25">
      <c r="H24" s="7" t="s">
        <v>17</v>
      </c>
      <c r="I24" s="8">
        <f>SUM(I18:I22)</f>
        <v>7610</v>
      </c>
      <c r="J24" s="8">
        <f>Q19</f>
        <v>15</v>
      </c>
    </row>
    <row r="25" spans="1:18" x14ac:dyDescent="0.25">
      <c r="H25" s="9" t="s">
        <v>18</v>
      </c>
      <c r="I25" s="10">
        <f>R19</f>
        <v>180</v>
      </c>
      <c r="J25" s="11"/>
    </row>
    <row r="26" spans="1:18" x14ac:dyDescent="0.25">
      <c r="H26" s="9" t="s">
        <v>19</v>
      </c>
      <c r="I26" s="10">
        <f>S18</f>
        <v>0</v>
      </c>
      <c r="J26" s="11"/>
    </row>
    <row r="27" spans="1:18" x14ac:dyDescent="0.25">
      <c r="H27" s="9" t="s">
        <v>20</v>
      </c>
      <c r="I27" s="10">
        <f>T18</f>
        <v>0</v>
      </c>
      <c r="J27" s="11"/>
    </row>
    <row r="28" spans="1:18" x14ac:dyDescent="0.25">
      <c r="H28" s="9" t="s">
        <v>21</v>
      </c>
      <c r="I28" s="10">
        <f>U18</f>
        <v>0</v>
      </c>
      <c r="J28" s="11"/>
    </row>
    <row r="29" spans="1:18" ht="15.75" customHeight="1" x14ac:dyDescent="0.25">
      <c r="H29" s="12" t="s">
        <v>22</v>
      </c>
      <c r="I29" s="13"/>
      <c r="J29" s="13"/>
    </row>
    <row r="30" spans="1:18" ht="15.75" customHeight="1" x14ac:dyDescent="0.25">
      <c r="H30" s="14" t="s">
        <v>23</v>
      </c>
      <c r="I30" s="13"/>
      <c r="J30" s="13"/>
    </row>
    <row r="31" spans="1:18" ht="21" customHeight="1" x14ac:dyDescent="0.35">
      <c r="H31" s="15" t="s">
        <v>24</v>
      </c>
      <c r="I31" s="16">
        <f>SUM(I24:I30)</f>
        <v>7790</v>
      </c>
      <c r="J31" s="16">
        <f>SUM(J24:J28)</f>
        <v>15</v>
      </c>
    </row>
  </sheetData>
  <autoFilter ref="A2:P17" xr:uid="{00000000-0009-0000-0000-000006000000}">
    <sortState xmlns:xlrd2="http://schemas.microsoft.com/office/spreadsheetml/2017/richdata2" ref="A3:P17">
      <sortCondition ref="J2:J17"/>
    </sortState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AEEEF-50AA-4C33-802E-F7E8AA9BC0BC}">
  <dimension ref="A1:R105"/>
  <sheetViews>
    <sheetView topLeftCell="A49" zoomScale="82" zoomScaleNormal="80" workbookViewId="0">
      <selection activeCell="D90" sqref="D90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25.7109375" style="1" bestFit="1" customWidth="1"/>
    <col min="14" max="16384" width="9.140625" style="1"/>
  </cols>
  <sheetData>
    <row r="1" spans="1:18" x14ac:dyDescent="0.25">
      <c r="B1" s="1" t="s">
        <v>82</v>
      </c>
      <c r="C1" s="1" t="s">
        <v>83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1"/>
      <c r="B3" s="21" t="s">
        <v>29</v>
      </c>
      <c r="C3" s="21" t="s">
        <v>84</v>
      </c>
      <c r="D3" s="21" t="s">
        <v>85</v>
      </c>
      <c r="E3" s="21" t="s">
        <v>86</v>
      </c>
      <c r="F3" s="21" t="s">
        <v>87</v>
      </c>
      <c r="G3" s="22">
        <v>945</v>
      </c>
      <c r="H3" s="22">
        <v>35</v>
      </c>
      <c r="I3" s="22">
        <f t="shared" ref="I3:I72" si="0">G3-H3</f>
        <v>910</v>
      </c>
      <c r="J3" s="21" t="s">
        <v>88</v>
      </c>
      <c r="K3" s="21" t="s">
        <v>35</v>
      </c>
      <c r="L3" s="21" t="s">
        <v>89</v>
      </c>
      <c r="M3" s="21"/>
      <c r="N3" s="21"/>
      <c r="O3" s="21"/>
      <c r="P3" s="21"/>
      <c r="Q3" s="21">
        <v>1</v>
      </c>
      <c r="R3" s="23">
        <f>H3</f>
        <v>35</v>
      </c>
    </row>
    <row r="4" spans="1:18" s="27" customFormat="1" x14ac:dyDescent="0.25">
      <c r="A4" s="24"/>
      <c r="B4" s="24" t="s">
        <v>29</v>
      </c>
      <c r="C4" s="24" t="s">
        <v>90</v>
      </c>
      <c r="D4" s="24"/>
      <c r="E4" s="24" t="s">
        <v>91</v>
      </c>
      <c r="F4" s="24" t="s">
        <v>92</v>
      </c>
      <c r="G4" s="25">
        <v>0</v>
      </c>
      <c r="H4" s="25">
        <v>35</v>
      </c>
      <c r="I4" s="25">
        <f t="shared" si="0"/>
        <v>-35</v>
      </c>
      <c r="J4" s="24" t="s">
        <v>88</v>
      </c>
      <c r="K4" s="24" t="s">
        <v>35</v>
      </c>
      <c r="L4" s="24" t="s">
        <v>89</v>
      </c>
      <c r="M4" s="24" t="s">
        <v>53</v>
      </c>
      <c r="N4" s="24"/>
      <c r="O4" s="24"/>
      <c r="P4" s="24"/>
      <c r="Q4" s="24">
        <v>1</v>
      </c>
      <c r="R4" s="26">
        <f>H4</f>
        <v>35</v>
      </c>
    </row>
    <row r="5" spans="1:18" s="27" customFormat="1" x14ac:dyDescent="0.25">
      <c r="A5" s="24"/>
      <c r="B5" s="24" t="s">
        <v>29</v>
      </c>
      <c r="C5" s="24" t="s">
        <v>93</v>
      </c>
      <c r="D5" s="24" t="s">
        <v>94</v>
      </c>
      <c r="E5" s="24" t="s">
        <v>95</v>
      </c>
      <c r="F5" s="24" t="s">
        <v>48</v>
      </c>
      <c r="G5" s="25">
        <v>30</v>
      </c>
      <c r="H5" s="25">
        <v>30</v>
      </c>
      <c r="I5" s="25">
        <f t="shared" si="0"/>
        <v>0</v>
      </c>
      <c r="J5" s="24" t="s">
        <v>88</v>
      </c>
      <c r="K5" s="24" t="s">
        <v>35</v>
      </c>
      <c r="L5" s="24" t="s">
        <v>89</v>
      </c>
      <c r="M5" s="24" t="s">
        <v>53</v>
      </c>
      <c r="N5" s="24"/>
      <c r="O5" s="24"/>
      <c r="P5" s="24"/>
      <c r="Q5" s="24">
        <v>1</v>
      </c>
    </row>
    <row r="6" spans="1:18" s="27" customFormat="1" x14ac:dyDescent="0.25">
      <c r="A6" s="24"/>
      <c r="B6" s="24" t="s">
        <v>29</v>
      </c>
      <c r="C6" s="24" t="s">
        <v>96</v>
      </c>
      <c r="D6" s="24" t="s">
        <v>97</v>
      </c>
      <c r="E6" s="24" t="s">
        <v>98</v>
      </c>
      <c r="F6" s="24" t="s">
        <v>99</v>
      </c>
      <c r="G6" s="25">
        <v>0</v>
      </c>
      <c r="H6" s="25">
        <v>35</v>
      </c>
      <c r="I6" s="25">
        <f t="shared" si="0"/>
        <v>-35</v>
      </c>
      <c r="J6" s="24" t="s">
        <v>88</v>
      </c>
      <c r="K6" s="24" t="s">
        <v>35</v>
      </c>
      <c r="L6" s="24" t="s">
        <v>89</v>
      </c>
      <c r="M6" s="24" t="s">
        <v>53</v>
      </c>
      <c r="N6" s="24"/>
      <c r="O6" s="24"/>
      <c r="P6" s="24"/>
      <c r="Q6" s="24">
        <v>1</v>
      </c>
    </row>
    <row r="7" spans="1:18" customFormat="1" x14ac:dyDescent="0.25">
      <c r="A7" s="21"/>
      <c r="B7" s="21" t="s">
        <v>29</v>
      </c>
      <c r="C7" s="21" t="s">
        <v>100</v>
      </c>
      <c r="D7" s="21" t="s">
        <v>101</v>
      </c>
      <c r="E7" s="21" t="s">
        <v>102</v>
      </c>
      <c r="F7" s="22">
        <v>9</v>
      </c>
      <c r="G7" s="22">
        <v>770</v>
      </c>
      <c r="H7" s="22">
        <v>30</v>
      </c>
      <c r="I7" s="22">
        <f t="shared" si="0"/>
        <v>740</v>
      </c>
      <c r="J7" s="21" t="s">
        <v>88</v>
      </c>
      <c r="K7" s="21" t="s">
        <v>35</v>
      </c>
      <c r="L7" s="21" t="s">
        <v>89</v>
      </c>
      <c r="M7" s="21"/>
      <c r="N7" s="21"/>
      <c r="O7" s="21"/>
      <c r="P7" s="21"/>
      <c r="Q7" s="21">
        <v>1</v>
      </c>
      <c r="R7" s="23">
        <f>H7</f>
        <v>30</v>
      </c>
    </row>
    <row r="8" spans="1:18" customFormat="1" x14ac:dyDescent="0.25">
      <c r="A8" s="21"/>
      <c r="B8" s="21" t="s">
        <v>29</v>
      </c>
      <c r="C8" s="21" t="s">
        <v>103</v>
      </c>
      <c r="D8" s="21" t="s">
        <v>104</v>
      </c>
      <c r="E8" s="21" t="s">
        <v>105</v>
      </c>
      <c r="F8" s="21" t="s">
        <v>33</v>
      </c>
      <c r="G8" s="22">
        <v>695</v>
      </c>
      <c r="H8" s="22">
        <v>25</v>
      </c>
      <c r="I8" s="22">
        <f t="shared" si="0"/>
        <v>670</v>
      </c>
      <c r="J8" s="21" t="s">
        <v>88</v>
      </c>
      <c r="K8" s="21" t="s">
        <v>35</v>
      </c>
      <c r="L8" s="21" t="s">
        <v>89</v>
      </c>
      <c r="M8" s="21"/>
      <c r="N8" s="21"/>
      <c r="O8" s="21"/>
      <c r="P8" s="21"/>
      <c r="Q8" s="21">
        <v>1</v>
      </c>
    </row>
    <row r="9" spans="1:18" customFormat="1" x14ac:dyDescent="0.25">
      <c r="A9" s="21"/>
      <c r="B9" s="21" t="s">
        <v>29</v>
      </c>
      <c r="C9" s="21" t="s">
        <v>106</v>
      </c>
      <c r="D9" s="21" t="s">
        <v>107</v>
      </c>
      <c r="E9" s="21" t="s">
        <v>108</v>
      </c>
      <c r="F9" s="22">
        <v>9</v>
      </c>
      <c r="G9" s="22">
        <v>270</v>
      </c>
      <c r="H9" s="22">
        <v>30</v>
      </c>
      <c r="I9" s="22">
        <f t="shared" si="0"/>
        <v>240</v>
      </c>
      <c r="J9" s="21" t="s">
        <v>88</v>
      </c>
      <c r="K9" s="21" t="s">
        <v>35</v>
      </c>
      <c r="L9" s="21" t="s">
        <v>89</v>
      </c>
      <c r="M9" s="21"/>
      <c r="N9" s="21"/>
      <c r="O9" s="21"/>
      <c r="P9" s="21"/>
      <c r="Q9" s="21">
        <v>1</v>
      </c>
    </row>
    <row r="10" spans="1:18" customFormat="1" x14ac:dyDescent="0.25">
      <c r="A10" s="21"/>
      <c r="B10" s="21" t="s">
        <v>29</v>
      </c>
      <c r="C10" s="21" t="s">
        <v>109</v>
      </c>
      <c r="D10" s="21" t="s">
        <v>110</v>
      </c>
      <c r="E10" s="21" t="s">
        <v>111</v>
      </c>
      <c r="F10" s="22">
        <v>8</v>
      </c>
      <c r="G10" s="22">
        <v>790</v>
      </c>
      <c r="H10" s="22">
        <v>30</v>
      </c>
      <c r="I10" s="22">
        <f t="shared" si="0"/>
        <v>760</v>
      </c>
      <c r="J10" s="21" t="s">
        <v>88</v>
      </c>
      <c r="K10" s="21" t="s">
        <v>35</v>
      </c>
      <c r="L10" s="21" t="s">
        <v>89</v>
      </c>
      <c r="M10" s="21"/>
      <c r="N10" s="21"/>
      <c r="O10" s="21"/>
      <c r="P10" s="21"/>
      <c r="Q10" s="21">
        <v>1</v>
      </c>
      <c r="R10" s="23">
        <f>H10</f>
        <v>30</v>
      </c>
    </row>
    <row r="11" spans="1:18" customFormat="1" x14ac:dyDescent="0.25">
      <c r="A11" s="21"/>
      <c r="B11" s="21" t="s">
        <v>29</v>
      </c>
      <c r="C11" s="21" t="s">
        <v>112</v>
      </c>
      <c r="D11" s="21" t="s">
        <v>113</v>
      </c>
      <c r="E11" s="21" t="s">
        <v>114</v>
      </c>
      <c r="F11" s="22">
        <v>8</v>
      </c>
      <c r="G11" s="22">
        <v>490</v>
      </c>
      <c r="H11" s="22">
        <v>30</v>
      </c>
      <c r="I11" s="22">
        <f t="shared" si="0"/>
        <v>460</v>
      </c>
      <c r="J11" s="21" t="s">
        <v>88</v>
      </c>
      <c r="K11" s="21" t="s">
        <v>35</v>
      </c>
      <c r="L11" s="21" t="s">
        <v>89</v>
      </c>
      <c r="M11" s="21"/>
      <c r="N11" s="21"/>
      <c r="O11" s="21"/>
      <c r="P11" s="21"/>
      <c r="Q11" s="21">
        <v>1</v>
      </c>
    </row>
    <row r="12" spans="1:18" customFormat="1" x14ac:dyDescent="0.25">
      <c r="A12" s="21"/>
      <c r="B12" s="21" t="s">
        <v>29</v>
      </c>
      <c r="C12" s="21" t="s">
        <v>115</v>
      </c>
      <c r="D12" s="21" t="s">
        <v>116</v>
      </c>
      <c r="E12" s="21" t="s">
        <v>117</v>
      </c>
      <c r="F12" s="21" t="s">
        <v>33</v>
      </c>
      <c r="G12" s="22">
        <v>418</v>
      </c>
      <c r="H12" s="22">
        <v>25</v>
      </c>
      <c r="I12" s="22">
        <f t="shared" si="0"/>
        <v>393</v>
      </c>
      <c r="J12" s="21" t="s">
        <v>88</v>
      </c>
      <c r="K12" s="21" t="s">
        <v>35</v>
      </c>
      <c r="L12" s="21" t="s">
        <v>89</v>
      </c>
      <c r="M12" s="29" t="s">
        <v>58</v>
      </c>
      <c r="N12" s="21"/>
      <c r="O12" s="21"/>
      <c r="P12" s="21"/>
      <c r="Q12" s="21">
        <v>1</v>
      </c>
      <c r="R12" s="23">
        <f>H12</f>
        <v>25</v>
      </c>
    </row>
    <row r="13" spans="1:18" customFormat="1" x14ac:dyDescent="0.25">
      <c r="A13" s="21"/>
      <c r="B13" s="21" t="s">
        <v>29</v>
      </c>
      <c r="C13" s="21" t="s">
        <v>118</v>
      </c>
      <c r="D13" s="21" t="s">
        <v>119</v>
      </c>
      <c r="E13" s="21" t="s">
        <v>120</v>
      </c>
      <c r="F13" s="22">
        <v>6</v>
      </c>
      <c r="G13" s="22">
        <v>1190</v>
      </c>
      <c r="H13" s="22">
        <v>25</v>
      </c>
      <c r="I13" s="22">
        <f t="shared" si="0"/>
        <v>1165</v>
      </c>
      <c r="J13" s="21" t="s">
        <v>88</v>
      </c>
      <c r="K13" s="21" t="s">
        <v>35</v>
      </c>
      <c r="L13" s="21" t="s">
        <v>89</v>
      </c>
      <c r="M13" s="21"/>
      <c r="N13" s="21"/>
      <c r="O13" s="21"/>
      <c r="P13" s="21"/>
      <c r="Q13" s="21">
        <v>1</v>
      </c>
      <c r="R13" s="23">
        <f>H13</f>
        <v>25</v>
      </c>
    </row>
    <row r="14" spans="1:18" s="27" customFormat="1" x14ac:dyDescent="0.25">
      <c r="A14" s="24"/>
      <c r="B14" s="24" t="s">
        <v>29</v>
      </c>
      <c r="C14" s="24" t="s">
        <v>121</v>
      </c>
      <c r="D14" s="24" t="s">
        <v>122</v>
      </c>
      <c r="E14" s="24" t="s">
        <v>123</v>
      </c>
      <c r="F14" s="25">
        <v>7</v>
      </c>
      <c r="G14" s="25">
        <v>2585</v>
      </c>
      <c r="H14" s="25">
        <v>35</v>
      </c>
      <c r="I14" s="25">
        <f t="shared" si="0"/>
        <v>2550</v>
      </c>
      <c r="J14" s="24" t="s">
        <v>88</v>
      </c>
      <c r="K14" s="24" t="s">
        <v>35</v>
      </c>
      <c r="L14" s="24" t="s">
        <v>89</v>
      </c>
      <c r="M14" s="24" t="s">
        <v>53</v>
      </c>
      <c r="N14" s="24"/>
      <c r="O14" s="24"/>
      <c r="P14" s="24"/>
      <c r="Q14" s="24">
        <v>1</v>
      </c>
    </row>
    <row r="15" spans="1:18" s="27" customFormat="1" x14ac:dyDescent="0.25">
      <c r="A15" s="24"/>
      <c r="B15" s="24" t="s">
        <v>29</v>
      </c>
      <c r="C15" s="24" t="s">
        <v>124</v>
      </c>
      <c r="D15" s="24"/>
      <c r="E15" s="24" t="s">
        <v>125</v>
      </c>
      <c r="F15" s="25">
        <v>7</v>
      </c>
      <c r="G15" s="25">
        <v>0</v>
      </c>
      <c r="H15" s="25">
        <v>30</v>
      </c>
      <c r="I15" s="25">
        <f t="shared" si="0"/>
        <v>-30</v>
      </c>
      <c r="J15" s="24" t="s">
        <v>88</v>
      </c>
      <c r="K15" s="24" t="s">
        <v>35</v>
      </c>
      <c r="L15" s="24" t="s">
        <v>89</v>
      </c>
      <c r="M15" s="24" t="s">
        <v>53</v>
      </c>
      <c r="N15" s="24"/>
      <c r="O15" s="24"/>
      <c r="P15" s="24"/>
      <c r="Q15" s="24">
        <v>1</v>
      </c>
    </row>
    <row r="16" spans="1:18" customFormat="1" x14ac:dyDescent="0.25">
      <c r="A16" s="21"/>
      <c r="B16" s="21" t="s">
        <v>29</v>
      </c>
      <c r="C16" s="21" t="s">
        <v>126</v>
      </c>
      <c r="D16" s="21" t="s">
        <v>127</v>
      </c>
      <c r="E16" s="21" t="s">
        <v>128</v>
      </c>
      <c r="F16" s="22">
        <v>7</v>
      </c>
      <c r="G16" s="22">
        <v>930</v>
      </c>
      <c r="H16" s="22">
        <v>30</v>
      </c>
      <c r="I16" s="22">
        <f t="shared" si="0"/>
        <v>900</v>
      </c>
      <c r="J16" s="21" t="s">
        <v>88</v>
      </c>
      <c r="K16" s="21" t="s">
        <v>35</v>
      </c>
      <c r="L16" s="21" t="s">
        <v>89</v>
      </c>
      <c r="M16" s="21"/>
      <c r="N16" s="21"/>
      <c r="O16" s="21"/>
      <c r="P16" s="21"/>
      <c r="Q16" s="21">
        <v>1</v>
      </c>
    </row>
    <row r="17" spans="1:18" customFormat="1" x14ac:dyDescent="0.25">
      <c r="A17" s="21"/>
      <c r="B17" s="21" t="s">
        <v>29</v>
      </c>
      <c r="C17" s="21" t="s">
        <v>129</v>
      </c>
      <c r="D17" s="21" t="s">
        <v>130</v>
      </c>
      <c r="E17" s="21" t="s">
        <v>131</v>
      </c>
      <c r="F17" s="21" t="s">
        <v>132</v>
      </c>
      <c r="G17" s="22">
        <v>775</v>
      </c>
      <c r="H17" s="22">
        <v>25</v>
      </c>
      <c r="I17" s="22">
        <f t="shared" si="0"/>
        <v>750</v>
      </c>
      <c r="J17" s="21" t="s">
        <v>88</v>
      </c>
      <c r="K17" s="21" t="s">
        <v>35</v>
      </c>
      <c r="L17" s="21" t="s">
        <v>89</v>
      </c>
      <c r="M17" s="21"/>
      <c r="N17" s="21"/>
      <c r="O17" s="21"/>
      <c r="P17" s="21"/>
      <c r="Q17" s="21">
        <v>1</v>
      </c>
    </row>
    <row r="18" spans="1:18" customFormat="1" x14ac:dyDescent="0.25">
      <c r="A18" s="21"/>
      <c r="B18" s="21" t="s">
        <v>29</v>
      </c>
      <c r="C18" s="21" t="s">
        <v>133</v>
      </c>
      <c r="D18" s="21" t="s">
        <v>134</v>
      </c>
      <c r="E18" s="21" t="s">
        <v>135</v>
      </c>
      <c r="F18" s="22">
        <v>9</v>
      </c>
      <c r="G18" s="22">
        <v>440</v>
      </c>
      <c r="H18" s="22">
        <v>30</v>
      </c>
      <c r="I18" s="22">
        <f t="shared" si="0"/>
        <v>410</v>
      </c>
      <c r="J18" s="21" t="s">
        <v>88</v>
      </c>
      <c r="K18" s="21" t="s">
        <v>35</v>
      </c>
      <c r="L18" s="21" t="s">
        <v>89</v>
      </c>
      <c r="M18" s="21"/>
      <c r="N18" s="21"/>
      <c r="O18" s="21"/>
      <c r="P18" s="21"/>
      <c r="Q18" s="21">
        <v>1</v>
      </c>
    </row>
    <row r="19" spans="1:18" customFormat="1" x14ac:dyDescent="0.25">
      <c r="A19" s="21"/>
      <c r="B19" s="21" t="s">
        <v>29</v>
      </c>
      <c r="C19" s="21" t="s">
        <v>136</v>
      </c>
      <c r="D19" s="21" t="s">
        <v>137</v>
      </c>
      <c r="E19" s="21" t="s">
        <v>138</v>
      </c>
      <c r="F19" s="21" t="s">
        <v>48</v>
      </c>
      <c r="G19" s="22">
        <v>440</v>
      </c>
      <c r="H19" s="22">
        <v>30</v>
      </c>
      <c r="I19" s="22">
        <f t="shared" si="0"/>
        <v>410</v>
      </c>
      <c r="J19" s="21" t="s">
        <v>88</v>
      </c>
      <c r="K19" s="21" t="s">
        <v>35</v>
      </c>
      <c r="L19" s="21" t="s">
        <v>89</v>
      </c>
      <c r="M19" s="21"/>
      <c r="N19" s="21"/>
      <c r="O19" s="21"/>
      <c r="P19" s="21"/>
      <c r="Q19" s="21">
        <v>1</v>
      </c>
    </row>
    <row r="20" spans="1:18" customFormat="1" x14ac:dyDescent="0.25">
      <c r="A20" s="21"/>
      <c r="B20" s="21" t="s">
        <v>29</v>
      </c>
      <c r="C20" s="21" t="s">
        <v>139</v>
      </c>
      <c r="D20" s="21" t="s">
        <v>140</v>
      </c>
      <c r="E20" s="21" t="s">
        <v>141</v>
      </c>
      <c r="F20" s="21" t="s">
        <v>99</v>
      </c>
      <c r="G20" s="22">
        <v>425</v>
      </c>
      <c r="H20" s="22">
        <v>35</v>
      </c>
      <c r="I20" s="22">
        <f t="shared" si="0"/>
        <v>390</v>
      </c>
      <c r="J20" s="21" t="s">
        <v>88</v>
      </c>
      <c r="K20" s="21" t="s">
        <v>35</v>
      </c>
      <c r="L20" s="21" t="s">
        <v>89</v>
      </c>
      <c r="M20" s="21"/>
      <c r="N20" s="21"/>
      <c r="O20" s="21"/>
      <c r="P20" s="21"/>
      <c r="Q20" s="21">
        <v>1</v>
      </c>
    </row>
    <row r="21" spans="1:18" customFormat="1" x14ac:dyDescent="0.25">
      <c r="A21" s="21"/>
      <c r="B21" s="21" t="s">
        <v>29</v>
      </c>
      <c r="C21" s="21" t="s">
        <v>142</v>
      </c>
      <c r="D21" s="21" t="s">
        <v>143</v>
      </c>
      <c r="E21" s="21" t="s">
        <v>144</v>
      </c>
      <c r="F21" s="22">
        <v>11</v>
      </c>
      <c r="G21" s="22">
        <v>375</v>
      </c>
      <c r="H21" s="22">
        <v>25</v>
      </c>
      <c r="I21" s="22">
        <f t="shared" si="0"/>
        <v>350</v>
      </c>
      <c r="J21" s="21" t="s">
        <v>88</v>
      </c>
      <c r="K21" s="21" t="s">
        <v>35</v>
      </c>
      <c r="L21" s="21" t="s">
        <v>89</v>
      </c>
      <c r="M21" s="21"/>
      <c r="N21" s="21"/>
      <c r="O21" s="21"/>
      <c r="P21" s="21"/>
      <c r="Q21" s="21">
        <v>1</v>
      </c>
    </row>
    <row r="22" spans="1:18" customFormat="1" x14ac:dyDescent="0.25">
      <c r="A22" s="21"/>
      <c r="B22" s="21" t="s">
        <v>29</v>
      </c>
      <c r="C22" s="21" t="s">
        <v>145</v>
      </c>
      <c r="D22" s="21" t="s">
        <v>146</v>
      </c>
      <c r="E22" s="21" t="s">
        <v>147</v>
      </c>
      <c r="F22" s="22">
        <v>8</v>
      </c>
      <c r="G22" s="22">
        <v>1480</v>
      </c>
      <c r="H22" s="22">
        <v>30</v>
      </c>
      <c r="I22" s="22">
        <f t="shared" si="0"/>
        <v>1450</v>
      </c>
      <c r="J22" s="21" t="s">
        <v>88</v>
      </c>
      <c r="K22" s="21" t="s">
        <v>35</v>
      </c>
      <c r="L22" s="21" t="s">
        <v>89</v>
      </c>
      <c r="M22" s="21"/>
      <c r="N22" s="21"/>
      <c r="O22" s="21"/>
      <c r="P22" s="21"/>
      <c r="Q22" s="21">
        <v>1</v>
      </c>
    </row>
    <row r="23" spans="1:18" customFormat="1" x14ac:dyDescent="0.25">
      <c r="A23" s="21"/>
      <c r="B23" s="21" t="s">
        <v>29</v>
      </c>
      <c r="C23" s="21" t="s">
        <v>148</v>
      </c>
      <c r="D23" s="21" t="s">
        <v>149</v>
      </c>
      <c r="E23" s="21" t="s">
        <v>150</v>
      </c>
      <c r="F23" s="21" t="s">
        <v>48</v>
      </c>
      <c r="G23" s="22">
        <v>0</v>
      </c>
      <c r="H23" s="22">
        <v>30</v>
      </c>
      <c r="I23" s="22">
        <f t="shared" si="0"/>
        <v>-30</v>
      </c>
      <c r="J23" s="21" t="s">
        <v>88</v>
      </c>
      <c r="K23" s="21" t="s">
        <v>35</v>
      </c>
      <c r="L23" s="21" t="s">
        <v>89</v>
      </c>
      <c r="M23" s="21"/>
      <c r="N23" s="21"/>
      <c r="O23" s="21"/>
      <c r="P23" s="21"/>
      <c r="Q23" s="21">
        <v>1</v>
      </c>
    </row>
    <row r="24" spans="1:18" customFormat="1" x14ac:dyDescent="0.25">
      <c r="A24" s="21"/>
      <c r="B24" s="21" t="s">
        <v>29</v>
      </c>
      <c r="C24" s="21" t="s">
        <v>151</v>
      </c>
      <c r="D24" s="21" t="s">
        <v>152</v>
      </c>
      <c r="E24" s="21" t="s">
        <v>153</v>
      </c>
      <c r="F24" s="22">
        <v>7</v>
      </c>
      <c r="G24" s="22">
        <v>0</v>
      </c>
      <c r="H24" s="22">
        <v>30</v>
      </c>
      <c r="I24" s="22">
        <f t="shared" si="0"/>
        <v>-30</v>
      </c>
      <c r="J24" s="21" t="s">
        <v>88</v>
      </c>
      <c r="K24" s="21" t="s">
        <v>35</v>
      </c>
      <c r="L24" s="21" t="s">
        <v>89</v>
      </c>
      <c r="M24" s="21"/>
      <c r="N24" s="21"/>
      <c r="O24" s="21"/>
      <c r="P24" s="21"/>
      <c r="Q24" s="21">
        <v>1</v>
      </c>
    </row>
    <row r="25" spans="1:18" customFormat="1" x14ac:dyDescent="0.25">
      <c r="A25" s="21"/>
      <c r="B25" s="21" t="s">
        <v>29</v>
      </c>
      <c r="C25" s="21" t="s">
        <v>154</v>
      </c>
      <c r="D25" s="21" t="s">
        <v>155</v>
      </c>
      <c r="E25" s="21" t="s">
        <v>156</v>
      </c>
      <c r="F25" s="21" t="s">
        <v>87</v>
      </c>
      <c r="G25" s="22">
        <v>325</v>
      </c>
      <c r="H25" s="22">
        <v>35</v>
      </c>
      <c r="I25" s="22">
        <f t="shared" si="0"/>
        <v>290</v>
      </c>
      <c r="J25" s="21" t="s">
        <v>88</v>
      </c>
      <c r="K25" s="21" t="s">
        <v>35</v>
      </c>
      <c r="L25" s="21" t="s">
        <v>89</v>
      </c>
      <c r="M25" s="21"/>
      <c r="N25" s="21"/>
      <c r="O25" s="21"/>
      <c r="P25" s="21"/>
      <c r="Q25" s="21">
        <v>1</v>
      </c>
    </row>
    <row r="26" spans="1:18" customFormat="1" x14ac:dyDescent="0.25">
      <c r="A26" s="21"/>
      <c r="B26" s="21" t="s">
        <v>29</v>
      </c>
      <c r="C26" s="21" t="s">
        <v>157</v>
      </c>
      <c r="D26" s="21" t="s">
        <v>158</v>
      </c>
      <c r="E26" s="21" t="s">
        <v>159</v>
      </c>
      <c r="F26" s="22">
        <v>7</v>
      </c>
      <c r="G26" s="22">
        <v>860</v>
      </c>
      <c r="H26" s="22">
        <v>30</v>
      </c>
      <c r="I26" s="22">
        <f t="shared" si="0"/>
        <v>830</v>
      </c>
      <c r="J26" s="21" t="s">
        <v>88</v>
      </c>
      <c r="K26" s="21" t="s">
        <v>35</v>
      </c>
      <c r="L26" s="21" t="s">
        <v>89</v>
      </c>
      <c r="M26" s="21"/>
      <c r="N26" s="21"/>
      <c r="O26" s="21"/>
      <c r="P26" s="21"/>
      <c r="Q26" s="21">
        <v>1</v>
      </c>
    </row>
    <row r="27" spans="1:18" s="27" customFormat="1" x14ac:dyDescent="0.25">
      <c r="A27" s="24"/>
      <c r="B27" s="24" t="s">
        <v>29</v>
      </c>
      <c r="C27" s="24" t="s">
        <v>160</v>
      </c>
      <c r="D27" s="24" t="s">
        <v>161</v>
      </c>
      <c r="E27" s="24" t="s">
        <v>162</v>
      </c>
      <c r="F27" s="25">
        <v>8</v>
      </c>
      <c r="G27" s="25">
        <v>0</v>
      </c>
      <c r="H27" s="25">
        <v>30</v>
      </c>
      <c r="I27" s="25">
        <f t="shared" si="0"/>
        <v>-30</v>
      </c>
      <c r="J27" s="24" t="s">
        <v>88</v>
      </c>
      <c r="K27" s="24" t="s">
        <v>35</v>
      </c>
      <c r="L27" s="24" t="s">
        <v>89</v>
      </c>
      <c r="M27" s="30" t="s">
        <v>742</v>
      </c>
      <c r="N27" s="24"/>
      <c r="O27" s="24"/>
      <c r="P27" s="24"/>
      <c r="Q27" s="24">
        <v>1</v>
      </c>
      <c r="R27" s="26">
        <f>H27</f>
        <v>30</v>
      </c>
    </row>
    <row r="28" spans="1:18" s="27" customFormat="1" x14ac:dyDescent="0.25">
      <c r="A28" s="24"/>
      <c r="B28" s="24" t="s">
        <v>29</v>
      </c>
      <c r="C28" s="24" t="s">
        <v>163</v>
      </c>
      <c r="D28" s="24"/>
      <c r="E28" s="24" t="s">
        <v>164</v>
      </c>
      <c r="F28" s="24" t="s">
        <v>48</v>
      </c>
      <c r="G28" s="25">
        <v>0</v>
      </c>
      <c r="H28" s="25">
        <v>30</v>
      </c>
      <c r="I28" s="25">
        <f t="shared" si="0"/>
        <v>-30</v>
      </c>
      <c r="J28" s="24" t="s">
        <v>88</v>
      </c>
      <c r="K28" s="24" t="s">
        <v>35</v>
      </c>
      <c r="L28" s="24" t="s">
        <v>89</v>
      </c>
      <c r="M28" s="24" t="s">
        <v>53</v>
      </c>
      <c r="N28" s="24"/>
      <c r="O28" s="24"/>
      <c r="P28" s="24"/>
      <c r="Q28" s="24">
        <v>1</v>
      </c>
      <c r="R28" s="26">
        <f>H28</f>
        <v>30</v>
      </c>
    </row>
    <row r="29" spans="1:18" customFormat="1" x14ac:dyDescent="0.25">
      <c r="A29" s="21"/>
      <c r="B29" s="21" t="s">
        <v>29</v>
      </c>
      <c r="C29" s="21" t="s">
        <v>165</v>
      </c>
      <c r="D29" s="21" t="s">
        <v>166</v>
      </c>
      <c r="E29" s="21" t="s">
        <v>167</v>
      </c>
      <c r="F29" s="22">
        <v>11</v>
      </c>
      <c r="G29" s="22">
        <v>315</v>
      </c>
      <c r="H29" s="22">
        <v>25</v>
      </c>
      <c r="I29" s="22">
        <f t="shared" si="0"/>
        <v>290</v>
      </c>
      <c r="J29" s="21" t="s">
        <v>88</v>
      </c>
      <c r="K29" s="21" t="s">
        <v>35</v>
      </c>
      <c r="L29" s="21" t="s">
        <v>89</v>
      </c>
      <c r="M29" s="21"/>
      <c r="N29" s="21"/>
      <c r="O29" s="21"/>
      <c r="P29" s="21"/>
      <c r="Q29" s="21">
        <v>1</v>
      </c>
      <c r="R29" s="23">
        <f>H29</f>
        <v>25</v>
      </c>
    </row>
    <row r="30" spans="1:18" customFormat="1" x14ac:dyDescent="0.25">
      <c r="A30" s="21"/>
      <c r="B30" s="21" t="s">
        <v>29</v>
      </c>
      <c r="C30" s="21" t="s">
        <v>168</v>
      </c>
      <c r="D30" s="21" t="s">
        <v>169</v>
      </c>
      <c r="E30" s="21" t="s">
        <v>170</v>
      </c>
      <c r="F30" s="21" t="s">
        <v>48</v>
      </c>
      <c r="G30" s="22">
        <v>450</v>
      </c>
      <c r="H30" s="22">
        <v>30</v>
      </c>
      <c r="I30" s="22">
        <f t="shared" si="0"/>
        <v>420</v>
      </c>
      <c r="J30" s="21" t="s">
        <v>88</v>
      </c>
      <c r="K30" s="21" t="s">
        <v>35</v>
      </c>
      <c r="L30" s="21" t="s">
        <v>89</v>
      </c>
      <c r="M30" s="21"/>
      <c r="N30" s="21"/>
      <c r="O30" s="21"/>
      <c r="P30" s="21"/>
      <c r="Q30" s="21">
        <v>1</v>
      </c>
    </row>
    <row r="31" spans="1:18" customFormat="1" x14ac:dyDescent="0.25">
      <c r="A31" s="21"/>
      <c r="B31" s="21" t="s">
        <v>29</v>
      </c>
      <c r="C31" s="21" t="s">
        <v>171</v>
      </c>
      <c r="D31" s="21" t="s">
        <v>172</v>
      </c>
      <c r="E31" s="21" t="s">
        <v>173</v>
      </c>
      <c r="F31" s="22">
        <v>9</v>
      </c>
      <c r="G31" s="22">
        <v>610</v>
      </c>
      <c r="H31" s="22">
        <v>30</v>
      </c>
      <c r="I31" s="22">
        <f t="shared" si="0"/>
        <v>580</v>
      </c>
      <c r="J31" s="21" t="s">
        <v>88</v>
      </c>
      <c r="K31" s="21" t="s">
        <v>35</v>
      </c>
      <c r="L31" s="21" t="s">
        <v>89</v>
      </c>
      <c r="M31" s="21"/>
      <c r="N31" s="21"/>
      <c r="O31" s="21"/>
      <c r="P31" s="21"/>
      <c r="Q31" s="21">
        <v>1</v>
      </c>
    </row>
    <row r="32" spans="1:18" customFormat="1" x14ac:dyDescent="0.25">
      <c r="A32" s="21"/>
      <c r="B32" s="21" t="s">
        <v>29</v>
      </c>
      <c r="C32" s="21" t="s">
        <v>174</v>
      </c>
      <c r="D32" s="21" t="s">
        <v>175</v>
      </c>
      <c r="E32" s="21" t="s">
        <v>176</v>
      </c>
      <c r="F32" s="21" t="s">
        <v>33</v>
      </c>
      <c r="G32" s="22">
        <v>0</v>
      </c>
      <c r="H32" s="22">
        <v>25</v>
      </c>
      <c r="I32" s="22">
        <f t="shared" si="0"/>
        <v>-25</v>
      </c>
      <c r="J32" s="21" t="s">
        <v>88</v>
      </c>
      <c r="K32" s="21" t="s">
        <v>35</v>
      </c>
      <c r="L32" s="21" t="s">
        <v>89</v>
      </c>
      <c r="M32" s="21"/>
      <c r="N32" s="21"/>
      <c r="O32" s="21"/>
      <c r="P32" s="21"/>
      <c r="Q32" s="21">
        <v>1</v>
      </c>
      <c r="R32" s="23">
        <f>H32</f>
        <v>25</v>
      </c>
    </row>
    <row r="33" spans="1:18" s="27" customFormat="1" x14ac:dyDescent="0.25">
      <c r="A33" s="24"/>
      <c r="B33" s="24" t="s">
        <v>29</v>
      </c>
      <c r="C33" s="24" t="s">
        <v>177</v>
      </c>
      <c r="D33" s="24" t="s">
        <v>178</v>
      </c>
      <c r="E33" s="24" t="s">
        <v>179</v>
      </c>
      <c r="F33" s="25">
        <v>7</v>
      </c>
      <c r="G33" s="25">
        <v>0</v>
      </c>
      <c r="H33" s="25">
        <v>30</v>
      </c>
      <c r="I33" s="25">
        <f t="shared" si="0"/>
        <v>-30</v>
      </c>
      <c r="J33" s="24" t="s">
        <v>88</v>
      </c>
      <c r="K33" s="24" t="s">
        <v>35</v>
      </c>
      <c r="L33" s="24" t="s">
        <v>89</v>
      </c>
      <c r="M33" s="24" t="s">
        <v>53</v>
      </c>
      <c r="N33" s="24"/>
      <c r="O33" s="24"/>
      <c r="P33" s="24"/>
      <c r="Q33" s="24">
        <v>1</v>
      </c>
    </row>
    <row r="34" spans="1:18" customFormat="1" x14ac:dyDescent="0.25">
      <c r="A34" s="21"/>
      <c r="B34" s="21" t="s">
        <v>29</v>
      </c>
      <c r="C34" s="21" t="s">
        <v>180</v>
      </c>
      <c r="D34" s="21" t="s">
        <v>181</v>
      </c>
      <c r="E34" s="21" t="s">
        <v>182</v>
      </c>
      <c r="F34" s="21" t="s">
        <v>48</v>
      </c>
      <c r="G34" s="22">
        <v>440</v>
      </c>
      <c r="H34" s="22">
        <v>30</v>
      </c>
      <c r="I34" s="22">
        <f t="shared" si="0"/>
        <v>410</v>
      </c>
      <c r="J34" s="21" t="s">
        <v>88</v>
      </c>
      <c r="K34" s="21" t="s">
        <v>35</v>
      </c>
      <c r="L34" s="21" t="s">
        <v>89</v>
      </c>
      <c r="M34" s="21"/>
      <c r="N34" s="21"/>
      <c r="O34" s="21"/>
      <c r="P34" s="21"/>
      <c r="Q34" s="21">
        <v>1</v>
      </c>
    </row>
    <row r="35" spans="1:18" customFormat="1" x14ac:dyDescent="0.25">
      <c r="A35" s="21" t="s">
        <v>43</v>
      </c>
      <c r="B35" s="21" t="s">
        <v>29</v>
      </c>
      <c r="C35" s="21" t="s">
        <v>183</v>
      </c>
      <c r="D35" s="21"/>
      <c r="E35" s="21" t="s">
        <v>184</v>
      </c>
      <c r="F35" s="21" t="s">
        <v>57</v>
      </c>
      <c r="G35" s="22">
        <v>0</v>
      </c>
      <c r="H35" s="22">
        <v>25</v>
      </c>
      <c r="I35" s="22">
        <f t="shared" si="0"/>
        <v>-25</v>
      </c>
      <c r="J35" s="21" t="s">
        <v>35</v>
      </c>
      <c r="K35" s="21" t="s">
        <v>35</v>
      </c>
      <c r="L35" s="21" t="s">
        <v>89</v>
      </c>
      <c r="M35" s="21"/>
      <c r="N35" s="21"/>
      <c r="O35" s="21"/>
      <c r="P35" s="21"/>
      <c r="Q35" s="21">
        <v>1</v>
      </c>
    </row>
    <row r="36" spans="1:18" customFormat="1" x14ac:dyDescent="0.25">
      <c r="A36" s="21"/>
      <c r="B36" s="21" t="s">
        <v>29</v>
      </c>
      <c r="C36" s="21" t="s">
        <v>185</v>
      </c>
      <c r="D36" s="21" t="s">
        <v>186</v>
      </c>
      <c r="E36" s="21" t="s">
        <v>187</v>
      </c>
      <c r="F36" s="21" t="s">
        <v>52</v>
      </c>
      <c r="G36" s="22">
        <v>855</v>
      </c>
      <c r="H36" s="22">
        <v>25</v>
      </c>
      <c r="I36" s="22">
        <f t="shared" si="0"/>
        <v>830</v>
      </c>
      <c r="J36" s="21" t="s">
        <v>35</v>
      </c>
      <c r="K36" s="21" t="s">
        <v>35</v>
      </c>
      <c r="L36" s="21" t="s">
        <v>89</v>
      </c>
      <c r="M36" s="21"/>
      <c r="N36" s="21"/>
      <c r="O36" s="21"/>
      <c r="P36" s="21"/>
      <c r="Q36" s="21">
        <v>1</v>
      </c>
    </row>
    <row r="37" spans="1:18" customFormat="1" x14ac:dyDescent="0.25">
      <c r="A37" s="21"/>
      <c r="B37" s="21" t="s">
        <v>29</v>
      </c>
      <c r="C37" s="21" t="s">
        <v>188</v>
      </c>
      <c r="D37" s="21" t="s">
        <v>189</v>
      </c>
      <c r="E37" s="21" t="s">
        <v>190</v>
      </c>
      <c r="F37" s="21" t="s">
        <v>191</v>
      </c>
      <c r="G37" s="22">
        <v>400</v>
      </c>
      <c r="H37" s="22">
        <v>30</v>
      </c>
      <c r="I37" s="22">
        <f t="shared" si="0"/>
        <v>370</v>
      </c>
      <c r="J37" s="21" t="s">
        <v>35</v>
      </c>
      <c r="K37" s="21" t="s">
        <v>35</v>
      </c>
      <c r="L37" s="21" t="s">
        <v>89</v>
      </c>
      <c r="M37" s="21"/>
      <c r="N37" s="21"/>
      <c r="O37" s="21"/>
      <c r="P37" s="21"/>
      <c r="Q37" s="21">
        <v>1</v>
      </c>
      <c r="R37" s="23">
        <f>H37</f>
        <v>30</v>
      </c>
    </row>
    <row r="38" spans="1:18" customFormat="1" x14ac:dyDescent="0.25">
      <c r="A38" s="21"/>
      <c r="B38" s="21" t="s">
        <v>29</v>
      </c>
      <c r="C38" s="21" t="s">
        <v>192</v>
      </c>
      <c r="D38" s="21" t="s">
        <v>193</v>
      </c>
      <c r="E38" s="21" t="s">
        <v>194</v>
      </c>
      <c r="F38" s="21" t="s">
        <v>57</v>
      </c>
      <c r="G38" s="22">
        <v>1190</v>
      </c>
      <c r="H38" s="22">
        <v>20</v>
      </c>
      <c r="I38" s="22">
        <f t="shared" si="0"/>
        <v>1170</v>
      </c>
      <c r="J38" s="21" t="s">
        <v>35</v>
      </c>
      <c r="K38" s="21" t="s">
        <v>35</v>
      </c>
      <c r="L38" s="21" t="s">
        <v>89</v>
      </c>
      <c r="M38" s="21"/>
      <c r="N38" s="21"/>
      <c r="O38" s="21"/>
      <c r="P38" s="21"/>
      <c r="Q38" s="21">
        <v>1</v>
      </c>
    </row>
    <row r="39" spans="1:18" customFormat="1" x14ac:dyDescent="0.25">
      <c r="A39" s="21"/>
      <c r="B39" s="21" t="s">
        <v>29</v>
      </c>
      <c r="C39" s="21" t="s">
        <v>195</v>
      </c>
      <c r="D39" s="21" t="s">
        <v>196</v>
      </c>
      <c r="E39" s="21" t="s">
        <v>197</v>
      </c>
      <c r="F39" s="21" t="s">
        <v>57</v>
      </c>
      <c r="G39" s="22">
        <v>1560</v>
      </c>
      <c r="H39" s="22">
        <v>20</v>
      </c>
      <c r="I39" s="22">
        <f t="shared" si="0"/>
        <v>1540</v>
      </c>
      <c r="J39" s="21" t="s">
        <v>35</v>
      </c>
      <c r="K39" s="21" t="s">
        <v>35</v>
      </c>
      <c r="L39" s="21" t="s">
        <v>89</v>
      </c>
      <c r="M39" s="21"/>
      <c r="N39" s="21"/>
      <c r="O39" s="21"/>
      <c r="P39" s="21"/>
      <c r="Q39" s="21">
        <v>1</v>
      </c>
    </row>
    <row r="40" spans="1:18" customFormat="1" x14ac:dyDescent="0.25">
      <c r="A40" s="21"/>
      <c r="B40" s="21" t="s">
        <v>29</v>
      </c>
      <c r="C40" s="21" t="s">
        <v>198</v>
      </c>
      <c r="D40" s="21" t="s">
        <v>199</v>
      </c>
      <c r="E40" s="21" t="s">
        <v>200</v>
      </c>
      <c r="F40" s="21" t="s">
        <v>57</v>
      </c>
      <c r="G40" s="22">
        <v>540</v>
      </c>
      <c r="H40" s="22">
        <v>20</v>
      </c>
      <c r="I40" s="22">
        <f t="shared" si="0"/>
        <v>520</v>
      </c>
      <c r="J40" s="21" t="s">
        <v>35</v>
      </c>
      <c r="K40" s="21" t="s">
        <v>35</v>
      </c>
      <c r="L40" s="21" t="s">
        <v>89</v>
      </c>
      <c r="M40" s="21"/>
      <c r="N40" s="21"/>
      <c r="O40" s="21"/>
      <c r="P40" s="21"/>
      <c r="Q40" s="21">
        <v>1</v>
      </c>
      <c r="R40" s="23">
        <f>H40</f>
        <v>20</v>
      </c>
    </row>
    <row r="41" spans="1:18" s="27" customFormat="1" x14ac:dyDescent="0.25">
      <c r="A41" s="24"/>
      <c r="B41" s="24" t="s">
        <v>29</v>
      </c>
      <c r="C41" s="24" t="s">
        <v>201</v>
      </c>
      <c r="D41" s="24" t="s">
        <v>202</v>
      </c>
      <c r="E41" s="24" t="s">
        <v>203</v>
      </c>
      <c r="F41" s="24" t="s">
        <v>52</v>
      </c>
      <c r="G41" s="25">
        <v>365</v>
      </c>
      <c r="H41" s="25">
        <v>25</v>
      </c>
      <c r="I41" s="25">
        <f t="shared" si="0"/>
        <v>340</v>
      </c>
      <c r="J41" s="24" t="s">
        <v>35</v>
      </c>
      <c r="K41" s="24" t="s">
        <v>35</v>
      </c>
      <c r="L41" s="24" t="s">
        <v>89</v>
      </c>
      <c r="M41" s="24" t="s">
        <v>53</v>
      </c>
      <c r="N41" s="24"/>
      <c r="O41" s="24"/>
      <c r="P41" s="24"/>
      <c r="Q41" s="24">
        <v>1</v>
      </c>
    </row>
    <row r="42" spans="1:18" customFormat="1" x14ac:dyDescent="0.25">
      <c r="A42" s="21"/>
      <c r="B42" s="21" t="s">
        <v>29</v>
      </c>
      <c r="C42" s="21" t="s">
        <v>204</v>
      </c>
      <c r="D42" s="21" t="s">
        <v>205</v>
      </c>
      <c r="E42" s="21" t="s">
        <v>206</v>
      </c>
      <c r="F42" s="22">
        <v>2</v>
      </c>
      <c r="G42" s="22">
        <v>320</v>
      </c>
      <c r="H42" s="22">
        <v>30</v>
      </c>
      <c r="I42" s="22">
        <f t="shared" si="0"/>
        <v>290</v>
      </c>
      <c r="J42" s="21" t="s">
        <v>35</v>
      </c>
      <c r="K42" s="21" t="s">
        <v>35</v>
      </c>
      <c r="L42" s="21" t="s">
        <v>89</v>
      </c>
      <c r="M42" s="21"/>
      <c r="N42" s="21"/>
      <c r="O42" s="21"/>
      <c r="P42" s="21"/>
      <c r="Q42" s="21">
        <v>1</v>
      </c>
    </row>
    <row r="43" spans="1:18" s="27" customFormat="1" x14ac:dyDescent="0.25">
      <c r="A43" s="24"/>
      <c r="B43" s="24" t="s">
        <v>29</v>
      </c>
      <c r="C43" s="24" t="s">
        <v>207</v>
      </c>
      <c r="D43" s="24" t="s">
        <v>208</v>
      </c>
      <c r="E43" s="24" t="s">
        <v>209</v>
      </c>
      <c r="F43" s="24" t="s">
        <v>57</v>
      </c>
      <c r="G43" s="25">
        <v>0</v>
      </c>
      <c r="H43" s="25">
        <v>20</v>
      </c>
      <c r="I43" s="25">
        <f t="shared" si="0"/>
        <v>-20</v>
      </c>
      <c r="J43" s="24" t="s">
        <v>35</v>
      </c>
      <c r="K43" s="24" t="s">
        <v>35</v>
      </c>
      <c r="L43" s="24" t="s">
        <v>89</v>
      </c>
      <c r="M43" s="24" t="s">
        <v>53</v>
      </c>
      <c r="N43" s="24"/>
      <c r="O43" s="24"/>
      <c r="P43" s="24"/>
      <c r="Q43" s="24">
        <v>1</v>
      </c>
    </row>
    <row r="44" spans="1:18" customFormat="1" x14ac:dyDescent="0.25">
      <c r="A44" s="21"/>
      <c r="B44" s="21" t="s">
        <v>29</v>
      </c>
      <c r="C44" s="21" t="s">
        <v>210</v>
      </c>
      <c r="D44" s="21" t="s">
        <v>211</v>
      </c>
      <c r="E44" s="21" t="s">
        <v>212</v>
      </c>
      <c r="F44" s="21" t="s">
        <v>57</v>
      </c>
      <c r="G44" s="22">
        <v>358</v>
      </c>
      <c r="H44" s="22">
        <v>20</v>
      </c>
      <c r="I44" s="22">
        <f t="shared" si="0"/>
        <v>338</v>
      </c>
      <c r="J44" s="21" t="s">
        <v>35</v>
      </c>
      <c r="K44" s="21" t="s">
        <v>35</v>
      </c>
      <c r="L44" s="21" t="s">
        <v>89</v>
      </c>
      <c r="M44" s="29" t="s">
        <v>58</v>
      </c>
      <c r="N44" s="21"/>
      <c r="O44" s="21"/>
      <c r="P44" s="21"/>
      <c r="Q44" s="21">
        <v>1</v>
      </c>
      <c r="R44" s="23">
        <f>H44</f>
        <v>20</v>
      </c>
    </row>
    <row r="45" spans="1:18" customFormat="1" x14ac:dyDescent="0.25">
      <c r="A45" s="21"/>
      <c r="B45" s="21" t="s">
        <v>29</v>
      </c>
      <c r="C45" s="21" t="s">
        <v>213</v>
      </c>
      <c r="D45" s="21" t="s">
        <v>214</v>
      </c>
      <c r="E45" s="21" t="s">
        <v>215</v>
      </c>
      <c r="F45" s="21" t="s">
        <v>52</v>
      </c>
      <c r="G45" s="22">
        <v>1105</v>
      </c>
      <c r="H45" s="22">
        <v>25</v>
      </c>
      <c r="I45" s="22">
        <f t="shared" si="0"/>
        <v>1080</v>
      </c>
      <c r="J45" s="21" t="s">
        <v>35</v>
      </c>
      <c r="K45" s="21" t="s">
        <v>35</v>
      </c>
      <c r="L45" s="21" t="s">
        <v>89</v>
      </c>
      <c r="M45" s="21"/>
      <c r="N45" s="21"/>
      <c r="O45" s="21"/>
      <c r="P45" s="21"/>
      <c r="Q45" s="21">
        <v>1</v>
      </c>
    </row>
    <row r="46" spans="1:18" customFormat="1" x14ac:dyDescent="0.25">
      <c r="A46" s="21"/>
      <c r="B46" s="21" t="s">
        <v>29</v>
      </c>
      <c r="C46" s="21" t="s">
        <v>216</v>
      </c>
      <c r="D46" s="21" t="s">
        <v>217</v>
      </c>
      <c r="E46" s="21" t="s">
        <v>218</v>
      </c>
      <c r="F46" s="21" t="s">
        <v>191</v>
      </c>
      <c r="G46" s="22">
        <v>640</v>
      </c>
      <c r="H46" s="22">
        <v>30</v>
      </c>
      <c r="I46" s="22">
        <f t="shared" si="0"/>
        <v>610</v>
      </c>
      <c r="J46" s="21" t="s">
        <v>35</v>
      </c>
      <c r="K46" s="21" t="s">
        <v>35</v>
      </c>
      <c r="L46" s="21" t="s">
        <v>89</v>
      </c>
      <c r="M46" s="21"/>
      <c r="N46" s="21"/>
      <c r="O46" s="21"/>
      <c r="P46" s="21"/>
      <c r="Q46" s="21">
        <v>1</v>
      </c>
    </row>
    <row r="47" spans="1:18" customFormat="1" x14ac:dyDescent="0.25">
      <c r="A47" s="21"/>
      <c r="B47" s="21" t="s">
        <v>29</v>
      </c>
      <c r="C47" s="21" t="s">
        <v>219</v>
      </c>
      <c r="D47" s="21" t="s">
        <v>220</v>
      </c>
      <c r="E47" s="21" t="s">
        <v>221</v>
      </c>
      <c r="F47" s="21" t="s">
        <v>191</v>
      </c>
      <c r="G47" s="22">
        <v>440</v>
      </c>
      <c r="H47" s="22">
        <v>30</v>
      </c>
      <c r="I47" s="22">
        <f t="shared" si="0"/>
        <v>410</v>
      </c>
      <c r="J47" s="21" t="s">
        <v>35</v>
      </c>
      <c r="K47" s="21" t="s">
        <v>35</v>
      </c>
      <c r="L47" s="21" t="s">
        <v>89</v>
      </c>
      <c r="M47" s="21"/>
      <c r="N47" s="21"/>
      <c r="O47" s="21"/>
      <c r="P47" s="21"/>
      <c r="Q47" s="21">
        <v>1</v>
      </c>
    </row>
    <row r="48" spans="1:18" customFormat="1" x14ac:dyDescent="0.25">
      <c r="A48" s="21"/>
      <c r="B48" s="21" t="s">
        <v>29</v>
      </c>
      <c r="C48" s="21" t="s">
        <v>222</v>
      </c>
      <c r="D48" s="21" t="s">
        <v>223</v>
      </c>
      <c r="E48" s="21" t="s">
        <v>224</v>
      </c>
      <c r="F48" s="21" t="s">
        <v>191</v>
      </c>
      <c r="G48" s="22">
        <v>380</v>
      </c>
      <c r="H48" s="22">
        <v>30</v>
      </c>
      <c r="I48" s="22">
        <f t="shared" si="0"/>
        <v>350</v>
      </c>
      <c r="J48" s="21" t="s">
        <v>35</v>
      </c>
      <c r="K48" s="21" t="s">
        <v>35</v>
      </c>
      <c r="L48" s="21" t="s">
        <v>89</v>
      </c>
      <c r="M48" s="21"/>
      <c r="N48" s="21"/>
      <c r="O48" s="21"/>
      <c r="P48" s="21"/>
      <c r="Q48" s="21">
        <v>1</v>
      </c>
    </row>
    <row r="49" spans="1:18" customFormat="1" x14ac:dyDescent="0.25">
      <c r="A49" s="21"/>
      <c r="B49" s="21" t="s">
        <v>29</v>
      </c>
      <c r="C49" s="21" t="s">
        <v>225</v>
      </c>
      <c r="D49" s="21" t="s">
        <v>226</v>
      </c>
      <c r="E49" s="21" t="s">
        <v>227</v>
      </c>
      <c r="F49" s="21" t="s">
        <v>52</v>
      </c>
      <c r="G49" s="22">
        <v>735</v>
      </c>
      <c r="H49" s="22">
        <v>25</v>
      </c>
      <c r="I49" s="22">
        <f t="shared" si="0"/>
        <v>710</v>
      </c>
      <c r="J49" s="21" t="s">
        <v>35</v>
      </c>
      <c r="K49" s="21" t="s">
        <v>35</v>
      </c>
      <c r="L49" s="21" t="s">
        <v>89</v>
      </c>
      <c r="M49" s="21"/>
      <c r="N49" s="21"/>
      <c r="O49" s="21"/>
      <c r="P49" s="21"/>
      <c r="Q49" s="21">
        <v>1</v>
      </c>
    </row>
    <row r="50" spans="1:18" customFormat="1" x14ac:dyDescent="0.25">
      <c r="A50" s="21"/>
      <c r="B50" s="21" t="s">
        <v>29</v>
      </c>
      <c r="C50" s="21" t="s">
        <v>228</v>
      </c>
      <c r="D50" s="21" t="s">
        <v>229</v>
      </c>
      <c r="E50" s="21" t="s">
        <v>230</v>
      </c>
      <c r="F50" s="21" t="s">
        <v>57</v>
      </c>
      <c r="G50" s="22">
        <v>310</v>
      </c>
      <c r="H50" s="22">
        <v>20</v>
      </c>
      <c r="I50" s="22">
        <f t="shared" si="0"/>
        <v>290</v>
      </c>
      <c r="J50" s="21" t="s">
        <v>35</v>
      </c>
      <c r="K50" s="21" t="s">
        <v>35</v>
      </c>
      <c r="L50" s="21" t="s">
        <v>89</v>
      </c>
      <c r="M50" s="21"/>
      <c r="N50" s="21"/>
      <c r="O50" s="21"/>
      <c r="P50" s="21"/>
      <c r="Q50" s="21">
        <v>1</v>
      </c>
      <c r="R50" s="23">
        <f t="shared" ref="R50:R51" si="1">H50</f>
        <v>20</v>
      </c>
    </row>
    <row r="51" spans="1:18" customFormat="1" x14ac:dyDescent="0.25">
      <c r="A51" s="21"/>
      <c r="B51" s="21" t="s">
        <v>29</v>
      </c>
      <c r="C51" s="21" t="s">
        <v>231</v>
      </c>
      <c r="D51" s="21" t="s">
        <v>232</v>
      </c>
      <c r="E51" s="21" t="s">
        <v>233</v>
      </c>
      <c r="F51" s="21" t="s">
        <v>57</v>
      </c>
      <c r="G51" s="22">
        <v>460</v>
      </c>
      <c r="H51" s="22">
        <v>20</v>
      </c>
      <c r="I51" s="22">
        <f t="shared" si="0"/>
        <v>440</v>
      </c>
      <c r="J51" s="21" t="s">
        <v>35</v>
      </c>
      <c r="K51" s="21" t="s">
        <v>35</v>
      </c>
      <c r="L51" s="21" t="s">
        <v>89</v>
      </c>
      <c r="M51" s="21"/>
      <c r="N51" s="21"/>
      <c r="O51" s="21"/>
      <c r="P51" s="21"/>
      <c r="Q51" s="21">
        <v>1</v>
      </c>
      <c r="R51" s="23">
        <f t="shared" si="1"/>
        <v>20</v>
      </c>
    </row>
    <row r="52" spans="1:18" customFormat="1" x14ac:dyDescent="0.25">
      <c r="A52" s="21"/>
      <c r="B52" s="21" t="s">
        <v>29</v>
      </c>
      <c r="C52" s="21" t="s">
        <v>234</v>
      </c>
      <c r="D52" s="21" t="s">
        <v>235</v>
      </c>
      <c r="E52" s="21" t="s">
        <v>236</v>
      </c>
      <c r="F52" s="22">
        <v>2</v>
      </c>
      <c r="G52" s="22">
        <v>1110</v>
      </c>
      <c r="H52" s="22">
        <v>30</v>
      </c>
      <c r="I52" s="22">
        <f t="shared" si="0"/>
        <v>1080</v>
      </c>
      <c r="J52" s="21" t="s">
        <v>35</v>
      </c>
      <c r="K52" s="21" t="s">
        <v>35</v>
      </c>
      <c r="L52" s="21" t="s">
        <v>89</v>
      </c>
      <c r="M52" s="21"/>
      <c r="N52" s="21"/>
      <c r="O52" s="21"/>
      <c r="P52" s="21"/>
      <c r="Q52" s="21">
        <v>1</v>
      </c>
    </row>
    <row r="53" spans="1:18" customFormat="1" x14ac:dyDescent="0.25">
      <c r="A53" s="21" t="s">
        <v>43</v>
      </c>
      <c r="B53" s="21" t="s">
        <v>29</v>
      </c>
      <c r="C53" s="21" t="s">
        <v>237</v>
      </c>
      <c r="D53" s="21"/>
      <c r="E53" s="21" t="s">
        <v>238</v>
      </c>
      <c r="F53" s="21" t="s">
        <v>132</v>
      </c>
      <c r="G53" s="22">
        <v>0</v>
      </c>
      <c r="H53" s="22">
        <v>30</v>
      </c>
      <c r="I53" s="22">
        <f t="shared" si="0"/>
        <v>-30</v>
      </c>
      <c r="J53" s="21" t="s">
        <v>69</v>
      </c>
      <c r="K53" s="21" t="s">
        <v>35</v>
      </c>
      <c r="L53" s="21" t="s">
        <v>89</v>
      </c>
      <c r="M53" s="21"/>
      <c r="N53" s="21"/>
      <c r="O53" s="21"/>
      <c r="P53" s="21"/>
      <c r="Q53" s="21">
        <v>1</v>
      </c>
      <c r="R53" s="23">
        <f>H53</f>
        <v>30</v>
      </c>
    </row>
    <row r="54" spans="1:18" customFormat="1" x14ac:dyDescent="0.25">
      <c r="A54" s="21" t="s">
        <v>43</v>
      </c>
      <c r="B54" s="21" t="s">
        <v>29</v>
      </c>
      <c r="C54" s="21" t="s">
        <v>239</v>
      </c>
      <c r="D54" s="21"/>
      <c r="E54" s="21" t="s">
        <v>240</v>
      </c>
      <c r="F54" s="21" t="s">
        <v>132</v>
      </c>
      <c r="G54" s="22">
        <v>30</v>
      </c>
      <c r="H54" s="22">
        <v>30</v>
      </c>
      <c r="I54" s="22">
        <f t="shared" si="0"/>
        <v>0</v>
      </c>
      <c r="J54" s="21" t="s">
        <v>69</v>
      </c>
      <c r="K54" s="21" t="s">
        <v>35</v>
      </c>
      <c r="L54" s="21" t="s">
        <v>89</v>
      </c>
      <c r="M54" s="21"/>
      <c r="N54" s="21"/>
      <c r="O54" s="21"/>
      <c r="P54" s="21"/>
      <c r="Q54" s="21">
        <v>1</v>
      </c>
    </row>
    <row r="55" spans="1:18" customFormat="1" x14ac:dyDescent="0.25">
      <c r="A55" s="21" t="s">
        <v>43</v>
      </c>
      <c r="B55" s="21" t="s">
        <v>29</v>
      </c>
      <c r="C55" s="21" t="s">
        <v>241</v>
      </c>
      <c r="D55" s="21"/>
      <c r="E55" s="21" t="s">
        <v>242</v>
      </c>
      <c r="F55" s="21" t="s">
        <v>132</v>
      </c>
      <c r="G55" s="22">
        <v>2340</v>
      </c>
      <c r="H55" s="22">
        <v>30</v>
      </c>
      <c r="I55" s="22">
        <f t="shared" si="0"/>
        <v>2310</v>
      </c>
      <c r="J55" s="21" t="s">
        <v>69</v>
      </c>
      <c r="K55" s="21" t="s">
        <v>35</v>
      </c>
      <c r="L55" s="21" t="s">
        <v>89</v>
      </c>
      <c r="M55" s="21"/>
      <c r="N55" s="21"/>
      <c r="O55" s="21"/>
      <c r="P55" s="21"/>
      <c r="Q55" s="21">
        <v>1</v>
      </c>
    </row>
    <row r="56" spans="1:18" customFormat="1" x14ac:dyDescent="0.25">
      <c r="A56" s="21" t="s">
        <v>43</v>
      </c>
      <c r="B56" s="21" t="s">
        <v>29</v>
      </c>
      <c r="C56" s="21" t="s">
        <v>243</v>
      </c>
      <c r="D56" s="21"/>
      <c r="E56" s="21" t="s">
        <v>244</v>
      </c>
      <c r="F56" s="22">
        <v>5</v>
      </c>
      <c r="G56" s="22">
        <v>0</v>
      </c>
      <c r="H56" s="22">
        <v>30</v>
      </c>
      <c r="I56" s="22">
        <f t="shared" si="0"/>
        <v>-30</v>
      </c>
      <c r="J56" s="21" t="s">
        <v>69</v>
      </c>
      <c r="K56" s="21" t="s">
        <v>35</v>
      </c>
      <c r="L56" s="21" t="s">
        <v>89</v>
      </c>
      <c r="M56" s="21"/>
      <c r="N56" s="21"/>
      <c r="O56" s="21"/>
      <c r="P56" s="21"/>
      <c r="Q56" s="21">
        <v>1</v>
      </c>
      <c r="R56" s="23">
        <f>H56</f>
        <v>30</v>
      </c>
    </row>
    <row r="57" spans="1:18" customFormat="1" x14ac:dyDescent="0.25">
      <c r="A57" s="21"/>
      <c r="B57" s="21" t="s">
        <v>29</v>
      </c>
      <c r="C57" s="21" t="s">
        <v>245</v>
      </c>
      <c r="D57" s="21" t="s">
        <v>246</v>
      </c>
      <c r="E57" s="21" t="s">
        <v>247</v>
      </c>
      <c r="F57" s="22">
        <v>4</v>
      </c>
      <c r="G57" s="22">
        <v>916</v>
      </c>
      <c r="H57" s="22">
        <v>25</v>
      </c>
      <c r="I57" s="22">
        <f t="shared" si="0"/>
        <v>891</v>
      </c>
      <c r="J57" s="21" t="s">
        <v>69</v>
      </c>
      <c r="K57" s="21" t="s">
        <v>35</v>
      </c>
      <c r="L57" s="21" t="s">
        <v>89</v>
      </c>
      <c r="M57" s="30" t="s">
        <v>248</v>
      </c>
      <c r="N57" s="21"/>
      <c r="O57" s="21"/>
      <c r="P57" s="21"/>
      <c r="Q57" s="21">
        <v>1</v>
      </c>
    </row>
    <row r="58" spans="1:18" customFormat="1" x14ac:dyDescent="0.25">
      <c r="A58" s="21"/>
      <c r="B58" s="21" t="s">
        <v>29</v>
      </c>
      <c r="C58" s="21" t="s">
        <v>249</v>
      </c>
      <c r="D58" s="21" t="s">
        <v>250</v>
      </c>
      <c r="E58" s="21" t="s">
        <v>251</v>
      </c>
      <c r="F58" s="21" t="s">
        <v>252</v>
      </c>
      <c r="G58" s="22">
        <v>20</v>
      </c>
      <c r="H58" s="22">
        <v>20</v>
      </c>
      <c r="I58" s="22">
        <f t="shared" si="0"/>
        <v>0</v>
      </c>
      <c r="J58" s="21" t="s">
        <v>69</v>
      </c>
      <c r="K58" s="21" t="s">
        <v>35</v>
      </c>
      <c r="L58" s="21" t="s">
        <v>89</v>
      </c>
      <c r="M58" s="21"/>
      <c r="N58" s="21"/>
      <c r="O58" s="21"/>
      <c r="P58" s="21"/>
      <c r="Q58" s="21">
        <v>1</v>
      </c>
    </row>
    <row r="59" spans="1:18" customFormat="1" x14ac:dyDescent="0.25">
      <c r="A59" s="21"/>
      <c r="B59" s="21" t="s">
        <v>29</v>
      </c>
      <c r="C59" s="21" t="s">
        <v>253</v>
      </c>
      <c r="D59" s="21" t="s">
        <v>254</v>
      </c>
      <c r="E59" s="21" t="s">
        <v>255</v>
      </c>
      <c r="F59" s="22">
        <v>10</v>
      </c>
      <c r="G59" s="22">
        <v>1435</v>
      </c>
      <c r="H59" s="22">
        <v>25</v>
      </c>
      <c r="I59" s="22">
        <f t="shared" si="0"/>
        <v>1410</v>
      </c>
      <c r="J59" s="21" t="s">
        <v>69</v>
      </c>
      <c r="K59" s="21" t="s">
        <v>35</v>
      </c>
      <c r="L59" s="21" t="s">
        <v>89</v>
      </c>
      <c r="M59" s="21"/>
      <c r="N59" s="21"/>
      <c r="O59" s="21"/>
      <c r="P59" s="21"/>
      <c r="Q59" s="21">
        <v>1</v>
      </c>
    </row>
    <row r="60" spans="1:18" customFormat="1" x14ac:dyDescent="0.25">
      <c r="A60" s="21"/>
      <c r="B60" s="21" t="s">
        <v>29</v>
      </c>
      <c r="C60" s="21" t="s">
        <v>256</v>
      </c>
      <c r="D60" s="21" t="s">
        <v>257</v>
      </c>
      <c r="E60" s="21" t="s">
        <v>258</v>
      </c>
      <c r="F60" s="22">
        <v>10</v>
      </c>
      <c r="G60" s="22">
        <v>755</v>
      </c>
      <c r="H60" s="22">
        <v>25</v>
      </c>
      <c r="I60" s="22">
        <f t="shared" si="0"/>
        <v>730</v>
      </c>
      <c r="J60" s="21" t="s">
        <v>69</v>
      </c>
      <c r="K60" s="21" t="s">
        <v>35</v>
      </c>
      <c r="L60" s="21" t="s">
        <v>89</v>
      </c>
      <c r="M60" s="21"/>
      <c r="N60" s="21"/>
      <c r="O60" s="21"/>
      <c r="P60" s="21"/>
      <c r="Q60" s="21">
        <v>1</v>
      </c>
    </row>
    <row r="61" spans="1:18" customFormat="1" x14ac:dyDescent="0.25">
      <c r="A61" s="21"/>
      <c r="B61" s="21" t="s">
        <v>29</v>
      </c>
      <c r="C61" s="21" t="s">
        <v>259</v>
      </c>
      <c r="D61" s="21" t="s">
        <v>260</v>
      </c>
      <c r="E61" s="21" t="s">
        <v>261</v>
      </c>
      <c r="F61" s="22">
        <v>4</v>
      </c>
      <c r="G61" s="22">
        <v>775</v>
      </c>
      <c r="H61" s="22">
        <v>25</v>
      </c>
      <c r="I61" s="22">
        <f t="shared" si="0"/>
        <v>750</v>
      </c>
      <c r="J61" s="21" t="s">
        <v>69</v>
      </c>
      <c r="K61" s="21" t="s">
        <v>35</v>
      </c>
      <c r="L61" s="21" t="s">
        <v>89</v>
      </c>
      <c r="M61" s="21"/>
      <c r="N61" s="21"/>
      <c r="O61" s="21"/>
      <c r="P61" s="21"/>
      <c r="Q61" s="21">
        <v>1</v>
      </c>
      <c r="R61" s="23">
        <f>H61</f>
        <v>25</v>
      </c>
    </row>
    <row r="62" spans="1:18" customFormat="1" x14ac:dyDescent="0.25">
      <c r="A62" s="21"/>
      <c r="B62" s="21" t="s">
        <v>29</v>
      </c>
      <c r="C62" s="21" t="s">
        <v>262</v>
      </c>
      <c r="D62" s="21" t="s">
        <v>263</v>
      </c>
      <c r="E62" s="21" t="s">
        <v>264</v>
      </c>
      <c r="F62" s="22">
        <v>5</v>
      </c>
      <c r="G62" s="22">
        <v>0</v>
      </c>
      <c r="H62" s="22">
        <v>25</v>
      </c>
      <c r="I62" s="22">
        <f t="shared" si="0"/>
        <v>-25</v>
      </c>
      <c r="J62" s="21" t="s">
        <v>69</v>
      </c>
      <c r="K62" s="21" t="s">
        <v>35</v>
      </c>
      <c r="L62" s="21" t="s">
        <v>89</v>
      </c>
      <c r="M62" s="21"/>
      <c r="N62" s="21"/>
      <c r="O62" s="21"/>
      <c r="P62" s="21"/>
      <c r="Q62" s="21">
        <v>1</v>
      </c>
    </row>
    <row r="63" spans="1:18" customFormat="1" x14ac:dyDescent="0.25">
      <c r="A63" s="21"/>
      <c r="B63" s="21" t="s">
        <v>29</v>
      </c>
      <c r="C63" s="21" t="s">
        <v>265</v>
      </c>
      <c r="D63" s="21" t="s">
        <v>266</v>
      </c>
      <c r="E63" s="21" t="s">
        <v>267</v>
      </c>
      <c r="F63" s="22">
        <v>1</v>
      </c>
      <c r="G63" s="22">
        <v>508</v>
      </c>
      <c r="H63" s="22">
        <v>25</v>
      </c>
      <c r="I63" s="22">
        <f t="shared" si="0"/>
        <v>483</v>
      </c>
      <c r="J63" s="21" t="s">
        <v>69</v>
      </c>
      <c r="K63" s="21" t="s">
        <v>35</v>
      </c>
      <c r="L63" s="21" t="s">
        <v>89</v>
      </c>
      <c r="M63" s="29" t="s">
        <v>58</v>
      </c>
      <c r="N63" s="21"/>
      <c r="O63" s="21"/>
      <c r="P63" s="21"/>
      <c r="Q63" s="21">
        <v>1</v>
      </c>
      <c r="R63" s="23">
        <f>H63</f>
        <v>25</v>
      </c>
    </row>
    <row r="64" spans="1:18" customFormat="1" x14ac:dyDescent="0.25">
      <c r="A64" s="21"/>
      <c r="B64" s="21" t="s">
        <v>29</v>
      </c>
      <c r="C64" s="21" t="s">
        <v>268</v>
      </c>
      <c r="D64" s="21" t="s">
        <v>269</v>
      </c>
      <c r="E64" s="21" t="s">
        <v>270</v>
      </c>
      <c r="F64" s="22">
        <v>10</v>
      </c>
      <c r="G64" s="22">
        <v>915</v>
      </c>
      <c r="H64" s="22">
        <v>25</v>
      </c>
      <c r="I64" s="22">
        <f t="shared" si="0"/>
        <v>890</v>
      </c>
      <c r="J64" s="21" t="s">
        <v>69</v>
      </c>
      <c r="K64" s="21" t="s">
        <v>35</v>
      </c>
      <c r="L64" s="21" t="s">
        <v>89</v>
      </c>
      <c r="M64" s="21"/>
      <c r="N64" s="21"/>
      <c r="O64" s="21"/>
      <c r="P64" s="21"/>
      <c r="Q64" s="21">
        <v>1</v>
      </c>
    </row>
    <row r="65" spans="1:18" customFormat="1" x14ac:dyDescent="0.25">
      <c r="A65" s="21"/>
      <c r="B65" s="21" t="s">
        <v>29</v>
      </c>
      <c r="C65" s="21" t="s">
        <v>271</v>
      </c>
      <c r="D65" s="21" t="s">
        <v>272</v>
      </c>
      <c r="E65" s="21" t="s">
        <v>273</v>
      </c>
      <c r="F65" s="22">
        <v>1</v>
      </c>
      <c r="G65" s="22">
        <v>1355</v>
      </c>
      <c r="H65" s="22">
        <v>25</v>
      </c>
      <c r="I65" s="22">
        <f t="shared" si="0"/>
        <v>1330</v>
      </c>
      <c r="J65" s="21" t="s">
        <v>69</v>
      </c>
      <c r="K65" s="21" t="s">
        <v>35</v>
      </c>
      <c r="L65" s="21" t="s">
        <v>89</v>
      </c>
      <c r="M65" s="21"/>
      <c r="N65" s="21"/>
      <c r="O65" s="21"/>
      <c r="P65" s="21"/>
      <c r="Q65" s="21">
        <v>1</v>
      </c>
    </row>
    <row r="66" spans="1:18" customFormat="1" x14ac:dyDescent="0.25">
      <c r="A66" s="21"/>
      <c r="B66" s="21" t="s">
        <v>29</v>
      </c>
      <c r="C66" s="21" t="s">
        <v>274</v>
      </c>
      <c r="D66" s="21" t="s">
        <v>275</v>
      </c>
      <c r="E66" s="21" t="s">
        <v>276</v>
      </c>
      <c r="F66" s="21" t="s">
        <v>132</v>
      </c>
      <c r="G66" s="22">
        <v>1185</v>
      </c>
      <c r="H66" s="22">
        <v>25</v>
      </c>
      <c r="I66" s="22">
        <f t="shared" si="0"/>
        <v>1160</v>
      </c>
      <c r="J66" s="21" t="s">
        <v>69</v>
      </c>
      <c r="K66" s="21" t="s">
        <v>35</v>
      </c>
      <c r="L66" s="21" t="s">
        <v>89</v>
      </c>
      <c r="M66" s="21"/>
      <c r="N66" s="21"/>
      <c r="O66" s="21"/>
      <c r="P66" s="21"/>
      <c r="Q66" s="21">
        <v>1</v>
      </c>
      <c r="R66" s="23">
        <f>H66</f>
        <v>25</v>
      </c>
    </row>
    <row r="67" spans="1:18" customFormat="1" x14ac:dyDescent="0.25">
      <c r="A67" s="21"/>
      <c r="B67" s="21" t="s">
        <v>29</v>
      </c>
      <c r="C67" s="21" t="s">
        <v>277</v>
      </c>
      <c r="D67" s="21"/>
      <c r="E67" s="21" t="s">
        <v>278</v>
      </c>
      <c r="F67" s="21" t="s">
        <v>132</v>
      </c>
      <c r="G67" s="22">
        <v>0</v>
      </c>
      <c r="H67" s="22">
        <v>25</v>
      </c>
      <c r="I67" s="22">
        <f t="shared" si="0"/>
        <v>-25</v>
      </c>
      <c r="J67" s="21" t="s">
        <v>69</v>
      </c>
      <c r="K67" s="21" t="s">
        <v>35</v>
      </c>
      <c r="L67" s="21" t="s">
        <v>89</v>
      </c>
      <c r="M67" s="21"/>
      <c r="N67" s="21"/>
      <c r="O67" s="21"/>
      <c r="P67" s="21"/>
      <c r="Q67" s="21">
        <v>1</v>
      </c>
    </row>
    <row r="68" spans="1:18" customFormat="1" x14ac:dyDescent="0.25">
      <c r="A68" s="21"/>
      <c r="B68" s="21" t="s">
        <v>29</v>
      </c>
      <c r="C68" s="21" t="s">
        <v>279</v>
      </c>
      <c r="D68" s="21" t="s">
        <v>280</v>
      </c>
      <c r="E68" s="21" t="s">
        <v>281</v>
      </c>
      <c r="F68" s="22">
        <v>3</v>
      </c>
      <c r="G68" s="22">
        <v>465</v>
      </c>
      <c r="H68" s="22">
        <v>25</v>
      </c>
      <c r="I68" s="22">
        <f t="shared" si="0"/>
        <v>440</v>
      </c>
      <c r="J68" s="21" t="s">
        <v>69</v>
      </c>
      <c r="K68" s="21" t="s">
        <v>35</v>
      </c>
      <c r="L68" s="21" t="s">
        <v>89</v>
      </c>
      <c r="M68" s="21"/>
      <c r="N68" s="21"/>
      <c r="O68" s="21"/>
      <c r="P68" s="21"/>
      <c r="Q68" s="21">
        <v>1</v>
      </c>
    </row>
    <row r="69" spans="1:18" customFormat="1" x14ac:dyDescent="0.25">
      <c r="A69" s="21"/>
      <c r="B69" s="21" t="s">
        <v>29</v>
      </c>
      <c r="C69" s="21" t="s">
        <v>282</v>
      </c>
      <c r="D69" s="21" t="s">
        <v>283</v>
      </c>
      <c r="E69" s="21" t="s">
        <v>284</v>
      </c>
      <c r="F69" s="22">
        <v>3</v>
      </c>
      <c r="G69" s="22">
        <v>905</v>
      </c>
      <c r="H69" s="22">
        <v>25</v>
      </c>
      <c r="I69" s="22">
        <f t="shared" si="0"/>
        <v>880</v>
      </c>
      <c r="J69" s="21" t="s">
        <v>69</v>
      </c>
      <c r="K69" s="21" t="s">
        <v>35</v>
      </c>
      <c r="L69" s="21" t="s">
        <v>89</v>
      </c>
      <c r="M69" s="21"/>
      <c r="N69" s="21"/>
      <c r="O69" s="21"/>
      <c r="P69" s="21"/>
      <c r="Q69" s="21">
        <v>1</v>
      </c>
    </row>
    <row r="70" spans="1:18" s="27" customFormat="1" x14ac:dyDescent="0.25">
      <c r="A70" s="24"/>
      <c r="B70" s="24" t="s">
        <v>29</v>
      </c>
      <c r="C70" s="24" t="s">
        <v>285</v>
      </c>
      <c r="D70" s="24" t="s">
        <v>286</v>
      </c>
      <c r="E70" s="24" t="s">
        <v>287</v>
      </c>
      <c r="F70" s="24" t="s">
        <v>252</v>
      </c>
      <c r="G70" s="25">
        <v>0</v>
      </c>
      <c r="H70" s="25">
        <v>20</v>
      </c>
      <c r="I70" s="25">
        <f t="shared" si="0"/>
        <v>-20</v>
      </c>
      <c r="J70" s="24" t="s">
        <v>69</v>
      </c>
      <c r="K70" s="24" t="s">
        <v>35</v>
      </c>
      <c r="L70" s="24" t="s">
        <v>89</v>
      </c>
      <c r="M70" s="24" t="s">
        <v>53</v>
      </c>
      <c r="N70" s="24"/>
      <c r="O70" s="24"/>
      <c r="P70" s="24"/>
      <c r="Q70" s="24">
        <v>1</v>
      </c>
    </row>
    <row r="71" spans="1:18" customFormat="1" x14ac:dyDescent="0.25">
      <c r="A71" s="21"/>
      <c r="B71" s="21" t="s">
        <v>29</v>
      </c>
      <c r="C71" s="21" t="s">
        <v>288</v>
      </c>
      <c r="D71" s="21" t="s">
        <v>289</v>
      </c>
      <c r="E71" s="21" t="s">
        <v>290</v>
      </c>
      <c r="F71" s="22">
        <v>4</v>
      </c>
      <c r="G71" s="22">
        <v>1875</v>
      </c>
      <c r="H71" s="22">
        <v>25</v>
      </c>
      <c r="I71" s="22">
        <f t="shared" si="0"/>
        <v>1850</v>
      </c>
      <c r="J71" s="21" t="s">
        <v>69</v>
      </c>
      <c r="K71" s="21" t="s">
        <v>35</v>
      </c>
      <c r="L71" s="21" t="s">
        <v>89</v>
      </c>
      <c r="M71" s="21"/>
      <c r="N71" s="21"/>
      <c r="O71" s="21"/>
      <c r="P71" s="21"/>
      <c r="Q71" s="21">
        <v>1</v>
      </c>
      <c r="R71" s="23">
        <f t="shared" ref="R71:R72" si="2">H71</f>
        <v>25</v>
      </c>
    </row>
    <row r="72" spans="1:18" customFormat="1" x14ac:dyDescent="0.25">
      <c r="A72" s="21"/>
      <c r="B72" s="21" t="s">
        <v>29</v>
      </c>
      <c r="C72" s="21" t="s">
        <v>291</v>
      </c>
      <c r="D72" s="21" t="s">
        <v>292</v>
      </c>
      <c r="E72" s="21" t="s">
        <v>293</v>
      </c>
      <c r="F72" s="21" t="s">
        <v>252</v>
      </c>
      <c r="G72" s="22">
        <v>530</v>
      </c>
      <c r="H72" s="22">
        <v>20</v>
      </c>
      <c r="I72" s="22">
        <f t="shared" si="0"/>
        <v>510</v>
      </c>
      <c r="J72" s="21" t="s">
        <v>69</v>
      </c>
      <c r="K72" s="21" t="s">
        <v>35</v>
      </c>
      <c r="L72" s="21" t="s">
        <v>89</v>
      </c>
      <c r="M72" s="21"/>
      <c r="N72" s="21"/>
      <c r="O72" s="21"/>
      <c r="P72" s="21"/>
      <c r="Q72" s="21">
        <v>1</v>
      </c>
      <c r="R72" s="23">
        <f t="shared" si="2"/>
        <v>20</v>
      </c>
    </row>
    <row r="73" spans="1:18" customFormat="1" x14ac:dyDescent="0.25">
      <c r="A73" s="21"/>
      <c r="B73" s="21" t="s">
        <v>29</v>
      </c>
      <c r="C73" s="21" t="s">
        <v>294</v>
      </c>
      <c r="D73" s="21" t="s">
        <v>295</v>
      </c>
      <c r="E73" s="21" t="s">
        <v>296</v>
      </c>
      <c r="F73" s="22">
        <v>1</v>
      </c>
      <c r="G73" s="22">
        <v>0</v>
      </c>
      <c r="H73" s="22">
        <v>25</v>
      </c>
      <c r="I73" s="22">
        <f>G73-H73</f>
        <v>-25</v>
      </c>
      <c r="J73" s="21" t="s">
        <v>69</v>
      </c>
      <c r="K73" s="21" t="s">
        <v>35</v>
      </c>
      <c r="L73" s="21" t="s">
        <v>89</v>
      </c>
      <c r="M73" s="21"/>
      <c r="N73" s="21"/>
      <c r="O73" s="21"/>
      <c r="P73" s="21"/>
      <c r="Q73" s="21">
        <v>1</v>
      </c>
    </row>
    <row r="75" spans="1:18" x14ac:dyDescent="0.25">
      <c r="G75" s="1">
        <f t="shared" ref="G75:R75" si="3">SUBTOTAL(9,G3:G74)</f>
        <v>40825</v>
      </c>
      <c r="H75" s="1">
        <f t="shared" si="3"/>
        <v>1930</v>
      </c>
      <c r="I75" s="1">
        <f t="shared" si="3"/>
        <v>38895</v>
      </c>
      <c r="J75" s="1">
        <f t="shared" si="3"/>
        <v>0</v>
      </c>
      <c r="K75" s="1">
        <f t="shared" si="3"/>
        <v>0</v>
      </c>
      <c r="L75" s="1">
        <f t="shared" si="3"/>
        <v>0</v>
      </c>
      <c r="M75" s="1">
        <f t="shared" si="3"/>
        <v>0</v>
      </c>
      <c r="N75" s="1">
        <f t="shared" si="3"/>
        <v>0</v>
      </c>
      <c r="O75" s="1">
        <f t="shared" si="3"/>
        <v>0</v>
      </c>
      <c r="P75" s="1">
        <f t="shared" si="3"/>
        <v>0</v>
      </c>
      <c r="Q75" s="1">
        <f t="shared" si="3"/>
        <v>71</v>
      </c>
      <c r="R75" s="1">
        <f t="shared" si="3"/>
        <v>580</v>
      </c>
    </row>
    <row r="76" spans="1:18" x14ac:dyDescent="0.25">
      <c r="I76" s="1">
        <f>-H105</f>
        <v>-6296</v>
      </c>
      <c r="J76" s="1" t="s">
        <v>297</v>
      </c>
    </row>
    <row r="79" spans="1:18" ht="20.25" customHeight="1" x14ac:dyDescent="0.3">
      <c r="H79" s="4" t="s">
        <v>81</v>
      </c>
      <c r="I79" s="5" t="s">
        <v>15</v>
      </c>
      <c r="J79" s="6" t="s">
        <v>16</v>
      </c>
    </row>
    <row r="80" spans="1:18" ht="15.75" customHeight="1" x14ac:dyDescent="0.25">
      <c r="H80" s="7" t="s">
        <v>17</v>
      </c>
      <c r="I80" s="8">
        <f>SUM(I74:I78)</f>
        <v>32599</v>
      </c>
      <c r="J80" s="8">
        <f>Q75</f>
        <v>71</v>
      </c>
    </row>
    <row r="81" spans="1:12" x14ac:dyDescent="0.25">
      <c r="H81" s="9" t="s">
        <v>18</v>
      </c>
      <c r="I81" s="10">
        <f>R75</f>
        <v>580</v>
      </c>
      <c r="J81" s="11"/>
    </row>
    <row r="82" spans="1:12" x14ac:dyDescent="0.25">
      <c r="H82" s="9" t="s">
        <v>19</v>
      </c>
      <c r="I82" s="10">
        <f>S74</f>
        <v>0</v>
      </c>
      <c r="J82" s="11"/>
    </row>
    <row r="83" spans="1:12" x14ac:dyDescent="0.25">
      <c r="H83" s="9" t="s">
        <v>20</v>
      </c>
      <c r="I83" s="10">
        <f>T74</f>
        <v>0</v>
      </c>
      <c r="J83" s="11"/>
    </row>
    <row r="84" spans="1:12" x14ac:dyDescent="0.25">
      <c r="H84" s="9" t="s">
        <v>21</v>
      </c>
      <c r="I84" s="10">
        <f>U74</f>
        <v>0</v>
      </c>
      <c r="J84" s="11"/>
    </row>
    <row r="85" spans="1:12" ht="15.75" customHeight="1" x14ac:dyDescent="0.25">
      <c r="H85" s="12" t="s">
        <v>22</v>
      </c>
      <c r="I85" s="13"/>
      <c r="J85" s="13"/>
    </row>
    <row r="86" spans="1:12" ht="15.75" customHeight="1" x14ac:dyDescent="0.25">
      <c r="H86" s="14" t="s">
        <v>23</v>
      </c>
      <c r="I86" s="13"/>
      <c r="J86" s="13"/>
    </row>
    <row r="87" spans="1:12" ht="21" customHeight="1" x14ac:dyDescent="0.35">
      <c r="H87" s="15" t="s">
        <v>24</v>
      </c>
      <c r="I87" s="16">
        <f>SUM(I80:I86)</f>
        <v>33179</v>
      </c>
      <c r="J87" s="16">
        <f>SUM(J80:J84)</f>
        <v>71</v>
      </c>
    </row>
    <row r="89" spans="1:12" x14ac:dyDescent="0.25">
      <c r="A89" s="1" t="s">
        <v>743</v>
      </c>
    </row>
    <row r="90" spans="1:12" x14ac:dyDescent="0.25">
      <c r="A90" s="43" t="s">
        <v>29</v>
      </c>
      <c r="B90" s="43" t="s">
        <v>160</v>
      </c>
      <c r="C90" s="43" t="s">
        <v>161</v>
      </c>
      <c r="D90" s="43" t="s">
        <v>162</v>
      </c>
      <c r="E90" s="44">
        <v>8</v>
      </c>
      <c r="F90" s="44">
        <v>390</v>
      </c>
      <c r="G90" s="44">
        <v>0</v>
      </c>
      <c r="H90" s="44">
        <f t="shared" ref="H90" si="4">F90-G90</f>
        <v>390</v>
      </c>
      <c r="I90" s="43" t="s">
        <v>88</v>
      </c>
      <c r="J90" s="43" t="s">
        <v>35</v>
      </c>
      <c r="K90" s="43" t="s">
        <v>89</v>
      </c>
      <c r="L90" s="45" t="s">
        <v>742</v>
      </c>
    </row>
    <row r="91" spans="1:12" x14ac:dyDescent="0.25">
      <c r="A91" s="1" t="s">
        <v>744</v>
      </c>
    </row>
    <row r="92" spans="1:12" x14ac:dyDescent="0.25">
      <c r="A92" s="40" t="s">
        <v>29</v>
      </c>
      <c r="B92" s="40" t="s">
        <v>745</v>
      </c>
      <c r="C92" s="40" t="s">
        <v>746</v>
      </c>
      <c r="D92" s="40" t="s">
        <v>747</v>
      </c>
      <c r="E92" s="41">
        <v>10</v>
      </c>
      <c r="F92" s="41">
        <v>0</v>
      </c>
      <c r="G92" s="41">
        <v>25</v>
      </c>
      <c r="H92" s="41">
        <f t="shared" ref="H92:H104" si="5">F92-G92</f>
        <v>-25</v>
      </c>
      <c r="I92" s="40" t="s">
        <v>531</v>
      </c>
      <c r="J92" s="40" t="s">
        <v>35</v>
      </c>
      <c r="K92" s="40" t="s">
        <v>748</v>
      </c>
      <c r="L92" s="40" t="s">
        <v>744</v>
      </c>
    </row>
    <row r="93" spans="1:12" x14ac:dyDescent="0.25">
      <c r="A93" s="40" t="s">
        <v>29</v>
      </c>
      <c r="B93" s="40" t="s">
        <v>488</v>
      </c>
      <c r="C93" s="40" t="s">
        <v>749</v>
      </c>
      <c r="D93" s="40" t="s">
        <v>490</v>
      </c>
      <c r="E93" s="41">
        <v>1</v>
      </c>
      <c r="F93" s="41">
        <v>345</v>
      </c>
      <c r="G93" s="41">
        <v>25</v>
      </c>
      <c r="H93" s="41">
        <f t="shared" si="5"/>
        <v>320</v>
      </c>
      <c r="I93" s="40" t="s">
        <v>531</v>
      </c>
      <c r="J93" s="40" t="s">
        <v>35</v>
      </c>
      <c r="K93" s="40" t="s">
        <v>750</v>
      </c>
      <c r="L93" s="40" t="s">
        <v>744</v>
      </c>
    </row>
    <row r="94" spans="1:12" x14ac:dyDescent="0.25">
      <c r="A94" s="40" t="s">
        <v>29</v>
      </c>
      <c r="B94" s="40" t="s">
        <v>751</v>
      </c>
      <c r="C94" s="40" t="s">
        <v>752</v>
      </c>
      <c r="D94" s="40" t="s">
        <v>753</v>
      </c>
      <c r="E94" s="41">
        <v>4</v>
      </c>
      <c r="F94" s="41">
        <v>308</v>
      </c>
      <c r="G94" s="41">
        <v>25</v>
      </c>
      <c r="H94" s="41">
        <f t="shared" si="5"/>
        <v>283</v>
      </c>
      <c r="I94" s="40" t="s">
        <v>531</v>
      </c>
      <c r="J94" s="40" t="s">
        <v>35</v>
      </c>
      <c r="K94" s="40" t="s">
        <v>748</v>
      </c>
      <c r="L94" s="40" t="s">
        <v>744</v>
      </c>
    </row>
    <row r="95" spans="1:12" x14ac:dyDescent="0.25">
      <c r="A95" s="40" t="s">
        <v>29</v>
      </c>
      <c r="B95" s="40" t="s">
        <v>754</v>
      </c>
      <c r="C95" s="40" t="s">
        <v>755</v>
      </c>
      <c r="D95" s="40" t="s">
        <v>756</v>
      </c>
      <c r="E95" s="40" t="s">
        <v>57</v>
      </c>
      <c r="F95" s="41">
        <v>450</v>
      </c>
      <c r="G95" s="41">
        <v>20</v>
      </c>
      <c r="H95" s="41">
        <f t="shared" si="5"/>
        <v>430</v>
      </c>
      <c r="I95" s="40" t="s">
        <v>531</v>
      </c>
      <c r="J95" s="40" t="s">
        <v>35</v>
      </c>
      <c r="K95" s="40" t="s">
        <v>757</v>
      </c>
      <c r="L95" s="40" t="s">
        <v>744</v>
      </c>
    </row>
    <row r="96" spans="1:12" x14ac:dyDescent="0.25">
      <c r="A96" s="40" t="s">
        <v>29</v>
      </c>
      <c r="B96" s="40" t="s">
        <v>758</v>
      </c>
      <c r="C96" s="40" t="s">
        <v>759</v>
      </c>
      <c r="D96" s="40" t="s">
        <v>760</v>
      </c>
      <c r="E96" s="40" t="s">
        <v>52</v>
      </c>
      <c r="F96" s="41">
        <v>785</v>
      </c>
      <c r="G96" s="41">
        <v>25</v>
      </c>
      <c r="H96" s="41">
        <f t="shared" si="5"/>
        <v>760</v>
      </c>
      <c r="I96" s="40" t="s">
        <v>531</v>
      </c>
      <c r="J96" s="40" t="s">
        <v>35</v>
      </c>
      <c r="K96" s="40" t="s">
        <v>761</v>
      </c>
      <c r="L96" s="40" t="s">
        <v>744</v>
      </c>
    </row>
    <row r="97" spans="1:12" x14ac:dyDescent="0.25">
      <c r="A97" s="40" t="s">
        <v>29</v>
      </c>
      <c r="B97" s="40" t="s">
        <v>439</v>
      </c>
      <c r="C97" s="40" t="s">
        <v>440</v>
      </c>
      <c r="D97" s="40" t="s">
        <v>441</v>
      </c>
      <c r="E97" s="40" t="s">
        <v>52</v>
      </c>
      <c r="F97" s="41">
        <v>745</v>
      </c>
      <c r="G97" s="41">
        <v>25</v>
      </c>
      <c r="H97" s="41">
        <f t="shared" si="5"/>
        <v>720</v>
      </c>
      <c r="I97" s="40" t="s">
        <v>531</v>
      </c>
      <c r="J97" s="40" t="s">
        <v>35</v>
      </c>
      <c r="K97" s="40" t="s">
        <v>761</v>
      </c>
      <c r="L97" s="40" t="s">
        <v>744</v>
      </c>
    </row>
    <row r="98" spans="1:12" x14ac:dyDescent="0.25">
      <c r="A98" s="40" t="s">
        <v>29</v>
      </c>
      <c r="B98" s="40" t="s">
        <v>762</v>
      </c>
      <c r="C98" s="40" t="s">
        <v>763</v>
      </c>
      <c r="D98" s="40" t="s">
        <v>764</v>
      </c>
      <c r="E98" s="40" t="s">
        <v>57</v>
      </c>
      <c r="F98" s="41">
        <v>510</v>
      </c>
      <c r="G98" s="41">
        <v>20</v>
      </c>
      <c r="H98" s="41">
        <f t="shared" si="5"/>
        <v>490</v>
      </c>
      <c r="I98" s="40" t="s">
        <v>531</v>
      </c>
      <c r="J98" s="40" t="s">
        <v>35</v>
      </c>
      <c r="K98" s="40" t="s">
        <v>761</v>
      </c>
      <c r="L98" s="40" t="s">
        <v>744</v>
      </c>
    </row>
    <row r="99" spans="1:12" x14ac:dyDescent="0.25">
      <c r="A99" s="40" t="s">
        <v>29</v>
      </c>
      <c r="B99" s="40" t="s">
        <v>765</v>
      </c>
      <c r="C99" s="40" t="s">
        <v>766</v>
      </c>
      <c r="D99" s="40" t="s">
        <v>767</v>
      </c>
      <c r="E99" s="40" t="s">
        <v>52</v>
      </c>
      <c r="F99" s="41">
        <v>535</v>
      </c>
      <c r="G99" s="41">
        <v>25</v>
      </c>
      <c r="H99" s="41">
        <f t="shared" si="5"/>
        <v>510</v>
      </c>
      <c r="I99" s="40" t="s">
        <v>531</v>
      </c>
      <c r="J99" s="40" t="s">
        <v>35</v>
      </c>
      <c r="K99" s="40" t="s">
        <v>768</v>
      </c>
      <c r="L99" s="40" t="s">
        <v>744</v>
      </c>
    </row>
    <row r="100" spans="1:12" x14ac:dyDescent="0.25">
      <c r="A100" s="40" t="s">
        <v>29</v>
      </c>
      <c r="B100" s="40" t="s">
        <v>769</v>
      </c>
      <c r="C100" s="40" t="s">
        <v>770</v>
      </c>
      <c r="D100" s="40" t="s">
        <v>771</v>
      </c>
      <c r="E100" s="40" t="s">
        <v>191</v>
      </c>
      <c r="F100" s="41">
        <v>490</v>
      </c>
      <c r="G100" s="41">
        <v>30</v>
      </c>
      <c r="H100" s="41">
        <f t="shared" si="5"/>
        <v>460</v>
      </c>
      <c r="I100" s="40" t="s">
        <v>531</v>
      </c>
      <c r="J100" s="40" t="s">
        <v>35</v>
      </c>
      <c r="K100" s="40" t="s">
        <v>761</v>
      </c>
      <c r="L100" s="40" t="s">
        <v>744</v>
      </c>
    </row>
    <row r="101" spans="1:12" x14ac:dyDescent="0.25">
      <c r="A101" s="40" t="s">
        <v>29</v>
      </c>
      <c r="B101" s="40" t="s">
        <v>772</v>
      </c>
      <c r="C101" s="40" t="s">
        <v>773</v>
      </c>
      <c r="D101" s="40" t="s">
        <v>774</v>
      </c>
      <c r="E101" s="40" t="s">
        <v>52</v>
      </c>
      <c r="F101" s="41">
        <v>315</v>
      </c>
      <c r="G101" s="41">
        <v>25</v>
      </c>
      <c r="H101" s="41">
        <f t="shared" si="5"/>
        <v>290</v>
      </c>
      <c r="I101" s="40" t="s">
        <v>531</v>
      </c>
      <c r="J101" s="40" t="s">
        <v>35</v>
      </c>
      <c r="K101" s="40" t="s">
        <v>750</v>
      </c>
      <c r="L101" s="40" t="s">
        <v>744</v>
      </c>
    </row>
    <row r="102" spans="1:12" x14ac:dyDescent="0.25">
      <c r="A102" s="40" t="s">
        <v>29</v>
      </c>
      <c r="B102" s="40" t="s">
        <v>775</v>
      </c>
      <c r="C102" s="40" t="s">
        <v>776</v>
      </c>
      <c r="D102" s="40" t="s">
        <v>777</v>
      </c>
      <c r="E102" s="41">
        <v>2</v>
      </c>
      <c r="F102" s="41">
        <v>490</v>
      </c>
      <c r="G102" s="41">
        <v>30</v>
      </c>
      <c r="H102" s="41">
        <f t="shared" si="5"/>
        <v>460</v>
      </c>
      <c r="I102" s="40" t="s">
        <v>531</v>
      </c>
      <c r="J102" s="40" t="s">
        <v>35</v>
      </c>
      <c r="K102" s="40" t="s">
        <v>748</v>
      </c>
      <c r="L102" s="40" t="s">
        <v>744</v>
      </c>
    </row>
    <row r="103" spans="1:12" x14ac:dyDescent="0.25">
      <c r="A103" s="40" t="s">
        <v>29</v>
      </c>
      <c r="B103" s="40" t="s">
        <v>778</v>
      </c>
      <c r="C103" s="40" t="s">
        <v>779</v>
      </c>
      <c r="D103" s="40" t="s">
        <v>780</v>
      </c>
      <c r="E103" s="40" t="s">
        <v>57</v>
      </c>
      <c r="F103" s="41">
        <v>1258</v>
      </c>
      <c r="G103" s="41">
        <v>20</v>
      </c>
      <c r="H103" s="41">
        <f t="shared" si="5"/>
        <v>1238</v>
      </c>
      <c r="I103" s="40" t="s">
        <v>531</v>
      </c>
      <c r="J103" s="40" t="s">
        <v>35</v>
      </c>
      <c r="K103" s="40" t="s">
        <v>757</v>
      </c>
      <c r="L103" s="40" t="s">
        <v>744</v>
      </c>
    </row>
    <row r="104" spans="1:12" x14ac:dyDescent="0.25">
      <c r="A104" s="40" t="s">
        <v>29</v>
      </c>
      <c r="B104" s="40" t="s">
        <v>781</v>
      </c>
      <c r="C104" s="40" t="s">
        <v>782</v>
      </c>
      <c r="D104" s="40" t="s">
        <v>783</v>
      </c>
      <c r="E104" s="40" t="s">
        <v>57</v>
      </c>
      <c r="F104" s="41">
        <v>380</v>
      </c>
      <c r="G104" s="41">
        <v>20</v>
      </c>
      <c r="H104" s="41">
        <f t="shared" si="5"/>
        <v>360</v>
      </c>
      <c r="I104" s="40" t="s">
        <v>531</v>
      </c>
      <c r="J104" s="40" t="s">
        <v>35</v>
      </c>
      <c r="K104" s="40" t="s">
        <v>768</v>
      </c>
      <c r="L104" s="40" t="s">
        <v>744</v>
      </c>
    </row>
    <row r="105" spans="1:12" x14ac:dyDescent="0.25">
      <c r="H105" s="1">
        <f>SUBTOTAL(9,H92:H104)</f>
        <v>6296</v>
      </c>
    </row>
  </sheetData>
  <autoFilter ref="A2:P73" xr:uid="{00000000-0009-0000-0000-000006000000}">
    <sortState xmlns:xlrd2="http://schemas.microsoft.com/office/spreadsheetml/2017/richdata2" ref="A3:P73">
      <sortCondition ref="J2:J73"/>
    </sortState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0732E-CA9A-4988-9C9A-097C0F175A1A}">
  <dimension ref="A1:R99"/>
  <sheetViews>
    <sheetView zoomScale="82" zoomScaleNormal="80" workbookViewId="0"/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299</v>
      </c>
      <c r="C1" s="1" t="s">
        <v>300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33" customFormat="1" x14ac:dyDescent="0.25">
      <c r="A3" s="31"/>
      <c r="B3" s="31" t="s">
        <v>29</v>
      </c>
      <c r="C3" s="31" t="s">
        <v>301</v>
      </c>
      <c r="D3" s="31" t="s">
        <v>302</v>
      </c>
      <c r="E3" s="31" t="s">
        <v>303</v>
      </c>
      <c r="F3" s="31" t="s">
        <v>48</v>
      </c>
      <c r="G3" s="32">
        <v>450</v>
      </c>
      <c r="H3" s="32">
        <v>30</v>
      </c>
      <c r="I3" s="32">
        <f t="shared" ref="I3:I65" si="0">G3-H3</f>
        <v>420</v>
      </c>
      <c r="J3" s="31" t="s">
        <v>304</v>
      </c>
      <c r="K3" s="31" t="s">
        <v>35</v>
      </c>
      <c r="L3" s="31" t="s">
        <v>305</v>
      </c>
      <c r="M3" s="31"/>
      <c r="N3" s="31"/>
      <c r="O3" s="31"/>
      <c r="P3" s="31"/>
      <c r="Q3" s="31">
        <v>1</v>
      </c>
    </row>
    <row r="4" spans="1:18" s="33" customFormat="1" x14ac:dyDescent="0.25">
      <c r="A4" s="31"/>
      <c r="B4" s="31" t="s">
        <v>29</v>
      </c>
      <c r="C4" s="31" t="s">
        <v>306</v>
      </c>
      <c r="D4" s="31" t="s">
        <v>307</v>
      </c>
      <c r="E4" s="31" t="s">
        <v>308</v>
      </c>
      <c r="F4" s="32">
        <v>7</v>
      </c>
      <c r="G4" s="32">
        <v>2075</v>
      </c>
      <c r="H4" s="32">
        <v>35</v>
      </c>
      <c r="I4" s="32">
        <f t="shared" si="0"/>
        <v>2040</v>
      </c>
      <c r="J4" s="31" t="s">
        <v>304</v>
      </c>
      <c r="K4" s="31" t="s">
        <v>35</v>
      </c>
      <c r="L4" s="31" t="s">
        <v>305</v>
      </c>
      <c r="M4" s="31"/>
      <c r="N4" s="31"/>
      <c r="O4" s="31"/>
      <c r="P4" s="31"/>
      <c r="Q4" s="31">
        <v>1</v>
      </c>
    </row>
    <row r="5" spans="1:18" s="33" customFormat="1" x14ac:dyDescent="0.25">
      <c r="A5" s="31"/>
      <c r="B5" s="31" t="s">
        <v>29</v>
      </c>
      <c r="C5" s="31" t="s">
        <v>309</v>
      </c>
      <c r="D5" s="31" t="s">
        <v>310</v>
      </c>
      <c r="E5" s="31" t="s">
        <v>311</v>
      </c>
      <c r="F5" s="31" t="s">
        <v>87</v>
      </c>
      <c r="G5" s="32">
        <v>2100</v>
      </c>
      <c r="H5" s="32">
        <v>40</v>
      </c>
      <c r="I5" s="32">
        <f t="shared" si="0"/>
        <v>2060</v>
      </c>
      <c r="J5" s="31" t="s">
        <v>304</v>
      </c>
      <c r="K5" s="31" t="s">
        <v>35</v>
      </c>
      <c r="L5" s="31" t="s">
        <v>305</v>
      </c>
      <c r="M5" s="31"/>
      <c r="N5" s="31"/>
      <c r="O5" s="31"/>
      <c r="P5" s="31"/>
      <c r="Q5" s="31">
        <v>1</v>
      </c>
    </row>
    <row r="6" spans="1:18" s="33" customFormat="1" x14ac:dyDescent="0.25">
      <c r="A6" s="31"/>
      <c r="B6" s="31" t="s">
        <v>29</v>
      </c>
      <c r="C6" s="31" t="s">
        <v>312</v>
      </c>
      <c r="D6" s="31" t="s">
        <v>313</v>
      </c>
      <c r="E6" s="31" t="s">
        <v>314</v>
      </c>
      <c r="F6" s="32">
        <v>8</v>
      </c>
      <c r="G6" s="32">
        <v>920</v>
      </c>
      <c r="H6" s="32">
        <v>30</v>
      </c>
      <c r="I6" s="32">
        <f t="shared" si="0"/>
        <v>890</v>
      </c>
      <c r="J6" s="31" t="s">
        <v>304</v>
      </c>
      <c r="K6" s="31" t="s">
        <v>35</v>
      </c>
      <c r="L6" s="31" t="s">
        <v>305</v>
      </c>
      <c r="M6" s="31"/>
      <c r="N6" s="31"/>
      <c r="O6" s="31"/>
      <c r="P6" s="31"/>
      <c r="Q6" s="31">
        <v>1</v>
      </c>
    </row>
    <row r="7" spans="1:18" s="33" customFormat="1" x14ac:dyDescent="0.25">
      <c r="A7" s="31"/>
      <c r="B7" s="31" t="s">
        <v>29</v>
      </c>
      <c r="C7" s="31" t="s">
        <v>315</v>
      </c>
      <c r="D7" s="31" t="s">
        <v>316</v>
      </c>
      <c r="E7" s="31" t="s">
        <v>317</v>
      </c>
      <c r="F7" s="31" t="s">
        <v>33</v>
      </c>
      <c r="G7" s="32">
        <v>915</v>
      </c>
      <c r="H7" s="32">
        <v>25</v>
      </c>
      <c r="I7" s="32">
        <f t="shared" si="0"/>
        <v>890</v>
      </c>
      <c r="J7" s="31" t="s">
        <v>304</v>
      </c>
      <c r="K7" s="31" t="s">
        <v>35</v>
      </c>
      <c r="L7" s="31" t="s">
        <v>305</v>
      </c>
      <c r="M7" s="31"/>
      <c r="N7" s="31"/>
      <c r="O7" s="31"/>
      <c r="P7" s="31"/>
      <c r="Q7" s="31">
        <v>1</v>
      </c>
    </row>
    <row r="8" spans="1:18" s="33" customFormat="1" x14ac:dyDescent="0.25">
      <c r="A8" s="31"/>
      <c r="B8" s="31" t="s">
        <v>29</v>
      </c>
      <c r="C8" s="31" t="s">
        <v>318</v>
      </c>
      <c r="D8" s="31" t="s">
        <v>319</v>
      </c>
      <c r="E8" s="31" t="s">
        <v>320</v>
      </c>
      <c r="F8" s="32">
        <v>8</v>
      </c>
      <c r="G8" s="32">
        <v>440</v>
      </c>
      <c r="H8" s="32">
        <v>30</v>
      </c>
      <c r="I8" s="32">
        <f t="shared" si="0"/>
        <v>410</v>
      </c>
      <c r="J8" s="31" t="s">
        <v>304</v>
      </c>
      <c r="K8" s="31" t="s">
        <v>35</v>
      </c>
      <c r="L8" s="31" t="s">
        <v>305</v>
      </c>
      <c r="M8" s="31"/>
      <c r="N8" s="31"/>
      <c r="O8" s="31"/>
      <c r="P8" s="31"/>
      <c r="Q8" s="31">
        <v>1</v>
      </c>
    </row>
    <row r="9" spans="1:18" s="33" customFormat="1" x14ac:dyDescent="0.25">
      <c r="A9" s="31"/>
      <c r="B9" s="31" t="s">
        <v>29</v>
      </c>
      <c r="C9" s="31" t="s">
        <v>321</v>
      </c>
      <c r="D9" s="31"/>
      <c r="E9" s="31" t="s">
        <v>322</v>
      </c>
      <c r="F9" s="31" t="s">
        <v>33</v>
      </c>
      <c r="G9" s="32">
        <v>0</v>
      </c>
      <c r="H9" s="32">
        <v>25</v>
      </c>
      <c r="I9" s="32">
        <f t="shared" si="0"/>
        <v>-25</v>
      </c>
      <c r="J9" s="31" t="s">
        <v>304</v>
      </c>
      <c r="K9" s="31" t="s">
        <v>35</v>
      </c>
      <c r="L9" s="31" t="s">
        <v>305</v>
      </c>
      <c r="M9" s="31"/>
      <c r="N9" s="31"/>
      <c r="O9" s="31"/>
      <c r="P9" s="31"/>
      <c r="Q9" s="31">
        <v>1</v>
      </c>
    </row>
    <row r="10" spans="1:18" s="33" customFormat="1" x14ac:dyDescent="0.25">
      <c r="A10" s="31"/>
      <c r="B10" s="31" t="s">
        <v>29</v>
      </c>
      <c r="C10" s="31" t="s">
        <v>323</v>
      </c>
      <c r="D10" s="31" t="s">
        <v>324</v>
      </c>
      <c r="E10" s="31" t="s">
        <v>325</v>
      </c>
      <c r="F10" s="31" t="s">
        <v>48</v>
      </c>
      <c r="G10" s="32">
        <v>900</v>
      </c>
      <c r="H10" s="32">
        <v>30</v>
      </c>
      <c r="I10" s="32">
        <f t="shared" si="0"/>
        <v>870</v>
      </c>
      <c r="J10" s="31" t="s">
        <v>304</v>
      </c>
      <c r="K10" s="31" t="s">
        <v>35</v>
      </c>
      <c r="L10" s="31" t="s">
        <v>305</v>
      </c>
      <c r="M10" s="31"/>
      <c r="N10" s="31"/>
      <c r="O10" s="31"/>
      <c r="P10" s="31"/>
      <c r="Q10" s="31">
        <v>1</v>
      </c>
    </row>
    <row r="11" spans="1:18" s="33" customFormat="1" x14ac:dyDescent="0.25">
      <c r="A11" s="31"/>
      <c r="B11" s="31" t="s">
        <v>29</v>
      </c>
      <c r="C11" s="31" t="s">
        <v>326</v>
      </c>
      <c r="D11" s="31" t="s">
        <v>327</v>
      </c>
      <c r="E11" s="31" t="s">
        <v>328</v>
      </c>
      <c r="F11" s="32">
        <v>11</v>
      </c>
      <c r="G11" s="32">
        <v>1815</v>
      </c>
      <c r="H11" s="32">
        <v>25</v>
      </c>
      <c r="I11" s="32">
        <f t="shared" si="0"/>
        <v>1790</v>
      </c>
      <c r="J11" s="31" t="s">
        <v>304</v>
      </c>
      <c r="K11" s="31" t="s">
        <v>35</v>
      </c>
      <c r="L11" s="31" t="s">
        <v>305</v>
      </c>
      <c r="M11" s="31"/>
      <c r="N11" s="31"/>
      <c r="O11" s="31"/>
      <c r="P11" s="31"/>
      <c r="Q11" s="31">
        <v>1</v>
      </c>
    </row>
    <row r="12" spans="1:18" s="33" customFormat="1" x14ac:dyDescent="0.25">
      <c r="A12" s="31"/>
      <c r="B12" s="31" t="s">
        <v>29</v>
      </c>
      <c r="C12" s="31" t="s">
        <v>329</v>
      </c>
      <c r="D12" s="31" t="s">
        <v>330</v>
      </c>
      <c r="E12" s="31" t="s">
        <v>331</v>
      </c>
      <c r="F12" s="31" t="s">
        <v>33</v>
      </c>
      <c r="G12" s="32">
        <v>15085</v>
      </c>
      <c r="H12" s="32">
        <v>80</v>
      </c>
      <c r="I12" s="32">
        <f t="shared" si="0"/>
        <v>15005</v>
      </c>
      <c r="J12" s="31" t="s">
        <v>304</v>
      </c>
      <c r="K12" s="31" t="s">
        <v>35</v>
      </c>
      <c r="L12" s="31" t="s">
        <v>305</v>
      </c>
      <c r="M12" s="31"/>
      <c r="N12" s="31"/>
      <c r="O12" s="31"/>
      <c r="P12" s="31"/>
      <c r="Q12" s="31">
        <v>1</v>
      </c>
    </row>
    <row r="13" spans="1:18" s="37" customFormat="1" x14ac:dyDescent="0.25">
      <c r="A13" s="34"/>
      <c r="B13" s="34" t="s">
        <v>29</v>
      </c>
      <c r="C13" s="34" t="s">
        <v>332</v>
      </c>
      <c r="D13" s="34" t="s">
        <v>333</v>
      </c>
      <c r="E13" s="34" t="s">
        <v>334</v>
      </c>
      <c r="F13" s="35">
        <v>9</v>
      </c>
      <c r="G13" s="35">
        <v>0</v>
      </c>
      <c r="H13" s="35">
        <v>30</v>
      </c>
      <c r="I13" s="35">
        <f t="shared" si="0"/>
        <v>-30</v>
      </c>
      <c r="J13" s="34" t="s">
        <v>304</v>
      </c>
      <c r="K13" s="34" t="s">
        <v>35</v>
      </c>
      <c r="L13" s="34" t="s">
        <v>305</v>
      </c>
      <c r="M13" s="34" t="s">
        <v>53</v>
      </c>
      <c r="N13" s="34"/>
      <c r="O13" s="34"/>
      <c r="P13" s="34"/>
      <c r="Q13" s="34">
        <v>1</v>
      </c>
      <c r="R13" s="36">
        <f>H13</f>
        <v>30</v>
      </c>
    </row>
    <row r="14" spans="1:18" s="33" customFormat="1" x14ac:dyDescent="0.25">
      <c r="A14" s="31"/>
      <c r="B14" s="31" t="s">
        <v>29</v>
      </c>
      <c r="C14" s="31" t="s">
        <v>335</v>
      </c>
      <c r="D14" s="31" t="s">
        <v>336</v>
      </c>
      <c r="E14" s="31" t="s">
        <v>337</v>
      </c>
      <c r="F14" s="32">
        <v>7</v>
      </c>
      <c r="G14" s="32">
        <v>2165</v>
      </c>
      <c r="H14" s="32">
        <v>35</v>
      </c>
      <c r="I14" s="32">
        <f t="shared" si="0"/>
        <v>2130</v>
      </c>
      <c r="J14" s="31" t="s">
        <v>304</v>
      </c>
      <c r="K14" s="31" t="s">
        <v>35</v>
      </c>
      <c r="L14" s="31" t="s">
        <v>305</v>
      </c>
      <c r="M14" s="31"/>
      <c r="N14" s="31"/>
      <c r="O14" s="31"/>
      <c r="P14" s="31"/>
      <c r="Q14" s="31">
        <v>1</v>
      </c>
    </row>
    <row r="15" spans="1:18" s="37" customFormat="1" x14ac:dyDescent="0.25">
      <c r="A15" s="34"/>
      <c r="B15" s="34" t="s">
        <v>29</v>
      </c>
      <c r="C15" s="34" t="s">
        <v>338</v>
      </c>
      <c r="D15" s="34"/>
      <c r="E15" s="34" t="s">
        <v>339</v>
      </c>
      <c r="F15" s="35">
        <v>7</v>
      </c>
      <c r="G15" s="35">
        <v>0</v>
      </c>
      <c r="H15" s="35">
        <v>30</v>
      </c>
      <c r="I15" s="35">
        <f t="shared" si="0"/>
        <v>-30</v>
      </c>
      <c r="J15" s="34" t="s">
        <v>304</v>
      </c>
      <c r="K15" s="34" t="s">
        <v>35</v>
      </c>
      <c r="L15" s="34" t="s">
        <v>305</v>
      </c>
      <c r="M15" s="34" t="s">
        <v>53</v>
      </c>
      <c r="N15" s="34"/>
      <c r="O15" s="34"/>
      <c r="P15" s="34"/>
      <c r="Q15" s="34">
        <v>1</v>
      </c>
      <c r="R15" s="36">
        <f>H15</f>
        <v>30</v>
      </c>
    </row>
    <row r="16" spans="1:18" s="33" customFormat="1" x14ac:dyDescent="0.25">
      <c r="A16" s="31"/>
      <c r="B16" s="31" t="s">
        <v>29</v>
      </c>
      <c r="C16" s="31" t="s">
        <v>340</v>
      </c>
      <c r="D16" s="31" t="s">
        <v>341</v>
      </c>
      <c r="E16" s="31" t="s">
        <v>342</v>
      </c>
      <c r="F16" s="31" t="s">
        <v>48</v>
      </c>
      <c r="G16" s="32">
        <v>1180</v>
      </c>
      <c r="H16" s="32">
        <v>30</v>
      </c>
      <c r="I16" s="32">
        <f t="shared" si="0"/>
        <v>1150</v>
      </c>
      <c r="J16" s="31" t="s">
        <v>304</v>
      </c>
      <c r="K16" s="31" t="s">
        <v>35</v>
      </c>
      <c r="L16" s="31" t="s">
        <v>305</v>
      </c>
      <c r="M16" s="31"/>
      <c r="N16" s="31"/>
      <c r="O16" s="31"/>
      <c r="P16" s="31"/>
      <c r="Q16" s="31">
        <v>1</v>
      </c>
    </row>
    <row r="17" spans="1:18" s="33" customFormat="1" x14ac:dyDescent="0.25">
      <c r="A17" s="31"/>
      <c r="B17" s="31" t="s">
        <v>29</v>
      </c>
      <c r="C17" s="31" t="s">
        <v>343</v>
      </c>
      <c r="D17" s="31" t="s">
        <v>344</v>
      </c>
      <c r="E17" s="31" t="s">
        <v>345</v>
      </c>
      <c r="F17" s="31" t="s">
        <v>48</v>
      </c>
      <c r="G17" s="32">
        <v>470</v>
      </c>
      <c r="H17" s="32">
        <v>30</v>
      </c>
      <c r="I17" s="32">
        <f t="shared" si="0"/>
        <v>440</v>
      </c>
      <c r="J17" s="31" t="s">
        <v>304</v>
      </c>
      <c r="K17" s="31" t="s">
        <v>35</v>
      </c>
      <c r="L17" s="31" t="s">
        <v>305</v>
      </c>
      <c r="M17" s="31"/>
      <c r="N17" s="31"/>
      <c r="O17" s="31"/>
      <c r="P17" s="31"/>
      <c r="Q17" s="31">
        <v>1</v>
      </c>
    </row>
    <row r="18" spans="1:18" s="37" customFormat="1" x14ac:dyDescent="0.25">
      <c r="A18" s="34"/>
      <c r="B18" s="34" t="s">
        <v>29</v>
      </c>
      <c r="C18" s="34" t="s">
        <v>185</v>
      </c>
      <c r="D18" s="34" t="s">
        <v>346</v>
      </c>
      <c r="E18" s="34" t="s">
        <v>347</v>
      </c>
      <c r="F18" s="35">
        <v>8</v>
      </c>
      <c r="G18" s="35">
        <v>0</v>
      </c>
      <c r="H18" s="35">
        <v>30</v>
      </c>
      <c r="I18" s="35">
        <f t="shared" si="0"/>
        <v>-30</v>
      </c>
      <c r="J18" s="34" t="s">
        <v>304</v>
      </c>
      <c r="K18" s="34" t="s">
        <v>35</v>
      </c>
      <c r="L18" s="34" t="s">
        <v>305</v>
      </c>
      <c r="M18" s="34" t="s">
        <v>53</v>
      </c>
      <c r="N18" s="34"/>
      <c r="O18" s="34"/>
      <c r="P18" s="34"/>
      <c r="Q18" s="34">
        <v>1</v>
      </c>
      <c r="R18" s="36">
        <f>H18</f>
        <v>30</v>
      </c>
    </row>
    <row r="19" spans="1:18" s="33" customFormat="1" x14ac:dyDescent="0.25">
      <c r="A19" s="31"/>
      <c r="B19" s="31" t="s">
        <v>29</v>
      </c>
      <c r="C19" s="31" t="s">
        <v>348</v>
      </c>
      <c r="D19" s="31" t="s">
        <v>349</v>
      </c>
      <c r="E19" s="31" t="s">
        <v>350</v>
      </c>
      <c r="F19" s="32">
        <v>7</v>
      </c>
      <c r="G19" s="32">
        <v>0</v>
      </c>
      <c r="H19" s="32">
        <v>30</v>
      </c>
      <c r="I19" s="32">
        <f t="shared" si="0"/>
        <v>-30</v>
      </c>
      <c r="J19" s="31" t="s">
        <v>304</v>
      </c>
      <c r="K19" s="31" t="s">
        <v>35</v>
      </c>
      <c r="L19" s="31" t="s">
        <v>305</v>
      </c>
      <c r="M19" s="31"/>
      <c r="N19" s="31"/>
      <c r="O19" s="31"/>
      <c r="P19" s="31"/>
      <c r="Q19" s="31">
        <v>1</v>
      </c>
      <c r="R19" s="38">
        <f>H19</f>
        <v>30</v>
      </c>
    </row>
    <row r="20" spans="1:18" s="33" customFormat="1" x14ac:dyDescent="0.25">
      <c r="A20" s="31"/>
      <c r="B20" s="31" t="s">
        <v>29</v>
      </c>
      <c r="C20" s="31" t="s">
        <v>351</v>
      </c>
      <c r="D20" s="31" t="s">
        <v>352</v>
      </c>
      <c r="E20" s="31" t="s">
        <v>353</v>
      </c>
      <c r="F20" s="32">
        <v>8</v>
      </c>
      <c r="G20" s="32">
        <v>1380</v>
      </c>
      <c r="H20" s="32">
        <v>30</v>
      </c>
      <c r="I20" s="32">
        <f t="shared" si="0"/>
        <v>1350</v>
      </c>
      <c r="J20" s="31" t="s">
        <v>304</v>
      </c>
      <c r="K20" s="31" t="s">
        <v>35</v>
      </c>
      <c r="L20" s="31" t="s">
        <v>305</v>
      </c>
      <c r="M20" s="31"/>
      <c r="N20" s="31"/>
      <c r="O20" s="31"/>
      <c r="P20" s="31"/>
      <c r="Q20" s="31">
        <v>1</v>
      </c>
    </row>
    <row r="21" spans="1:18" s="33" customFormat="1" x14ac:dyDescent="0.25">
      <c r="A21" s="31"/>
      <c r="B21" s="31" t="s">
        <v>29</v>
      </c>
      <c r="C21" s="31" t="s">
        <v>354</v>
      </c>
      <c r="D21" s="31" t="s">
        <v>355</v>
      </c>
      <c r="E21" s="31" t="s">
        <v>356</v>
      </c>
      <c r="F21" s="32">
        <v>8</v>
      </c>
      <c r="G21" s="32">
        <v>820</v>
      </c>
      <c r="H21" s="32">
        <v>30</v>
      </c>
      <c r="I21" s="32">
        <f t="shared" si="0"/>
        <v>790</v>
      </c>
      <c r="J21" s="31" t="s">
        <v>304</v>
      </c>
      <c r="K21" s="31" t="s">
        <v>35</v>
      </c>
      <c r="L21" s="31" t="s">
        <v>305</v>
      </c>
      <c r="M21" s="31"/>
      <c r="N21" s="31"/>
      <c r="O21" s="31"/>
      <c r="P21" s="31"/>
      <c r="Q21" s="31">
        <v>1</v>
      </c>
    </row>
    <row r="22" spans="1:18" s="33" customFormat="1" x14ac:dyDescent="0.25">
      <c r="A22" s="31"/>
      <c r="B22" s="31" t="s">
        <v>29</v>
      </c>
      <c r="C22" s="31" t="s">
        <v>357</v>
      </c>
      <c r="D22" s="31" t="s">
        <v>358</v>
      </c>
      <c r="E22" s="31" t="s">
        <v>359</v>
      </c>
      <c r="F22" s="32">
        <v>9</v>
      </c>
      <c r="G22" s="32">
        <v>420</v>
      </c>
      <c r="H22" s="32">
        <v>30</v>
      </c>
      <c r="I22" s="32">
        <f t="shared" si="0"/>
        <v>390</v>
      </c>
      <c r="J22" s="31" t="s">
        <v>304</v>
      </c>
      <c r="K22" s="31" t="s">
        <v>35</v>
      </c>
      <c r="L22" s="31" t="s">
        <v>305</v>
      </c>
      <c r="M22" s="31"/>
      <c r="N22" s="31"/>
      <c r="O22" s="31"/>
      <c r="P22" s="31"/>
      <c r="Q22" s="31">
        <v>1</v>
      </c>
    </row>
    <row r="23" spans="1:18" s="33" customFormat="1" x14ac:dyDescent="0.25">
      <c r="A23" s="31"/>
      <c r="B23" s="31" t="s">
        <v>29</v>
      </c>
      <c r="C23" s="31" t="s">
        <v>360</v>
      </c>
      <c r="D23" s="31" t="s">
        <v>361</v>
      </c>
      <c r="E23" s="31" t="s">
        <v>362</v>
      </c>
      <c r="F23" s="32">
        <v>12</v>
      </c>
      <c r="G23" s="32">
        <v>580</v>
      </c>
      <c r="H23" s="32">
        <v>30</v>
      </c>
      <c r="I23" s="32">
        <f t="shared" si="0"/>
        <v>550</v>
      </c>
      <c r="J23" s="31" t="s">
        <v>304</v>
      </c>
      <c r="K23" s="31" t="s">
        <v>35</v>
      </c>
      <c r="L23" s="31" t="s">
        <v>305</v>
      </c>
      <c r="M23" s="31"/>
      <c r="N23" s="31"/>
      <c r="O23" s="31"/>
      <c r="P23" s="31"/>
      <c r="Q23" s="31">
        <v>1</v>
      </c>
    </row>
    <row r="24" spans="1:18" s="33" customFormat="1" x14ac:dyDescent="0.25">
      <c r="A24" s="31"/>
      <c r="B24" s="31" t="s">
        <v>29</v>
      </c>
      <c r="C24" s="31" t="s">
        <v>363</v>
      </c>
      <c r="D24" s="31" t="s">
        <v>364</v>
      </c>
      <c r="E24" s="31" t="s">
        <v>365</v>
      </c>
      <c r="F24" s="32">
        <v>7</v>
      </c>
      <c r="G24" s="32">
        <v>200</v>
      </c>
      <c r="H24" s="32">
        <v>30</v>
      </c>
      <c r="I24" s="32">
        <f t="shared" si="0"/>
        <v>170</v>
      </c>
      <c r="J24" s="31" t="s">
        <v>304</v>
      </c>
      <c r="K24" s="31" t="s">
        <v>35</v>
      </c>
      <c r="L24" s="31" t="s">
        <v>305</v>
      </c>
      <c r="M24" s="31"/>
      <c r="N24" s="31"/>
      <c r="O24" s="31"/>
      <c r="P24" s="31"/>
      <c r="Q24" s="31">
        <v>1</v>
      </c>
    </row>
    <row r="25" spans="1:18" s="33" customFormat="1" x14ac:dyDescent="0.25">
      <c r="A25" s="31"/>
      <c r="B25" s="31" t="s">
        <v>29</v>
      </c>
      <c r="C25" s="31" t="s">
        <v>366</v>
      </c>
      <c r="D25" s="31" t="s">
        <v>367</v>
      </c>
      <c r="E25" s="31" t="s">
        <v>368</v>
      </c>
      <c r="F25" s="31" t="s">
        <v>33</v>
      </c>
      <c r="G25" s="32">
        <v>845</v>
      </c>
      <c r="H25" s="32">
        <v>25</v>
      </c>
      <c r="I25" s="32">
        <f t="shared" si="0"/>
        <v>820</v>
      </c>
      <c r="J25" s="31" t="s">
        <v>304</v>
      </c>
      <c r="K25" s="31" t="s">
        <v>35</v>
      </c>
      <c r="L25" s="31" t="s">
        <v>305</v>
      </c>
      <c r="M25" s="31"/>
      <c r="N25" s="31"/>
      <c r="O25" s="31"/>
      <c r="P25" s="31"/>
      <c r="Q25" s="31">
        <v>1</v>
      </c>
    </row>
    <row r="26" spans="1:18" s="33" customFormat="1" x14ac:dyDescent="0.25">
      <c r="A26" s="31"/>
      <c r="B26" s="31" t="s">
        <v>29</v>
      </c>
      <c r="C26" s="31" t="s">
        <v>369</v>
      </c>
      <c r="D26" s="31" t="s">
        <v>370</v>
      </c>
      <c r="E26" s="31" t="s">
        <v>371</v>
      </c>
      <c r="F26" s="32">
        <v>7</v>
      </c>
      <c r="G26" s="32">
        <v>690</v>
      </c>
      <c r="H26" s="32">
        <v>30</v>
      </c>
      <c r="I26" s="32">
        <f t="shared" si="0"/>
        <v>660</v>
      </c>
      <c r="J26" s="31" t="s">
        <v>304</v>
      </c>
      <c r="K26" s="31" t="s">
        <v>35</v>
      </c>
      <c r="L26" s="31" t="s">
        <v>305</v>
      </c>
      <c r="M26" s="31"/>
      <c r="N26" s="31"/>
      <c r="O26" s="31"/>
      <c r="P26" s="31"/>
      <c r="Q26" s="31">
        <v>1</v>
      </c>
    </row>
    <row r="27" spans="1:18" s="33" customFormat="1" x14ac:dyDescent="0.25">
      <c r="A27" s="31"/>
      <c r="B27" s="31" t="s">
        <v>29</v>
      </c>
      <c r="C27" s="31" t="s">
        <v>372</v>
      </c>
      <c r="D27" s="31" t="s">
        <v>373</v>
      </c>
      <c r="E27" s="31" t="s">
        <v>374</v>
      </c>
      <c r="F27" s="32">
        <v>7</v>
      </c>
      <c r="G27" s="32">
        <v>250</v>
      </c>
      <c r="H27" s="32">
        <v>30</v>
      </c>
      <c r="I27" s="32">
        <f t="shared" si="0"/>
        <v>220</v>
      </c>
      <c r="J27" s="31" t="s">
        <v>304</v>
      </c>
      <c r="K27" s="31" t="s">
        <v>35</v>
      </c>
      <c r="L27" s="31" t="s">
        <v>305</v>
      </c>
      <c r="M27" s="31"/>
      <c r="N27" s="31"/>
      <c r="O27" s="31"/>
      <c r="P27" s="31"/>
      <c r="Q27" s="31">
        <v>1</v>
      </c>
    </row>
    <row r="28" spans="1:18" s="33" customFormat="1" x14ac:dyDescent="0.25">
      <c r="A28" s="31"/>
      <c r="B28" s="31" t="s">
        <v>29</v>
      </c>
      <c r="C28" s="31" t="s">
        <v>375</v>
      </c>
      <c r="D28" s="31" t="s">
        <v>376</v>
      </c>
      <c r="E28" s="31" t="s">
        <v>377</v>
      </c>
      <c r="F28" s="32">
        <v>11</v>
      </c>
      <c r="G28" s="32">
        <v>648</v>
      </c>
      <c r="H28" s="32">
        <v>25</v>
      </c>
      <c r="I28" s="32">
        <f t="shared" si="0"/>
        <v>623</v>
      </c>
      <c r="J28" s="31" t="s">
        <v>304</v>
      </c>
      <c r="K28" s="31" t="s">
        <v>35</v>
      </c>
      <c r="L28" s="31" t="s">
        <v>305</v>
      </c>
      <c r="M28" s="39" t="s">
        <v>58</v>
      </c>
      <c r="N28" s="31"/>
      <c r="O28" s="31"/>
      <c r="P28" s="31"/>
      <c r="Q28" s="31">
        <v>1</v>
      </c>
      <c r="R28" s="38">
        <f>H28</f>
        <v>25</v>
      </c>
    </row>
    <row r="29" spans="1:18" s="33" customFormat="1" x14ac:dyDescent="0.25">
      <c r="A29" s="31"/>
      <c r="B29" s="31" t="s">
        <v>29</v>
      </c>
      <c r="C29" s="31" t="s">
        <v>378</v>
      </c>
      <c r="D29" s="31" t="s">
        <v>379</v>
      </c>
      <c r="E29" s="31" t="s">
        <v>380</v>
      </c>
      <c r="F29" s="31" t="s">
        <v>33</v>
      </c>
      <c r="G29" s="32">
        <v>415</v>
      </c>
      <c r="H29" s="32">
        <v>25</v>
      </c>
      <c r="I29" s="32">
        <f t="shared" si="0"/>
        <v>390</v>
      </c>
      <c r="J29" s="31" t="s">
        <v>304</v>
      </c>
      <c r="K29" s="31" t="s">
        <v>35</v>
      </c>
      <c r="L29" s="31" t="s">
        <v>305</v>
      </c>
      <c r="M29" s="31"/>
      <c r="N29" s="31"/>
      <c r="O29" s="31"/>
      <c r="P29" s="31"/>
      <c r="Q29" s="31">
        <v>1</v>
      </c>
    </row>
    <row r="30" spans="1:18" s="33" customFormat="1" x14ac:dyDescent="0.25">
      <c r="A30" s="31"/>
      <c r="B30" s="31" t="s">
        <v>29</v>
      </c>
      <c r="C30" s="31" t="s">
        <v>381</v>
      </c>
      <c r="D30" s="31" t="s">
        <v>382</v>
      </c>
      <c r="E30" s="31" t="s">
        <v>383</v>
      </c>
      <c r="F30" s="31" t="s">
        <v>48</v>
      </c>
      <c r="G30" s="32">
        <v>320</v>
      </c>
      <c r="H30" s="32">
        <v>30</v>
      </c>
      <c r="I30" s="32">
        <f t="shared" si="0"/>
        <v>290</v>
      </c>
      <c r="J30" s="31" t="s">
        <v>304</v>
      </c>
      <c r="K30" s="31" t="s">
        <v>35</v>
      </c>
      <c r="L30" s="31" t="s">
        <v>305</v>
      </c>
      <c r="M30" s="31"/>
      <c r="N30" s="31"/>
      <c r="O30" s="31"/>
      <c r="P30" s="31"/>
      <c r="Q30" s="31">
        <v>1</v>
      </c>
    </row>
    <row r="31" spans="1:18" s="33" customFormat="1" x14ac:dyDescent="0.25">
      <c r="A31" s="31"/>
      <c r="B31" s="31" t="s">
        <v>29</v>
      </c>
      <c r="C31" s="31" t="s">
        <v>384</v>
      </c>
      <c r="D31" s="31" t="s">
        <v>385</v>
      </c>
      <c r="E31" s="31" t="s">
        <v>386</v>
      </c>
      <c r="F31" s="32">
        <v>9</v>
      </c>
      <c r="G31" s="32">
        <v>1060</v>
      </c>
      <c r="H31" s="32">
        <v>30</v>
      </c>
      <c r="I31" s="32">
        <f t="shared" si="0"/>
        <v>1030</v>
      </c>
      <c r="J31" s="31" t="s">
        <v>304</v>
      </c>
      <c r="K31" s="31" t="s">
        <v>35</v>
      </c>
      <c r="L31" s="31" t="s">
        <v>305</v>
      </c>
      <c r="M31" s="31"/>
      <c r="N31" s="31"/>
      <c r="O31" s="31"/>
      <c r="P31" s="31"/>
      <c r="Q31" s="31">
        <v>1</v>
      </c>
    </row>
    <row r="32" spans="1:18" s="33" customFormat="1" x14ac:dyDescent="0.25">
      <c r="A32" s="31"/>
      <c r="B32" s="31" t="s">
        <v>29</v>
      </c>
      <c r="C32" s="31" t="s">
        <v>387</v>
      </c>
      <c r="D32" s="31" t="s">
        <v>388</v>
      </c>
      <c r="E32" s="31" t="s">
        <v>389</v>
      </c>
      <c r="F32" s="32">
        <v>7</v>
      </c>
      <c r="G32" s="32">
        <v>820</v>
      </c>
      <c r="H32" s="32">
        <v>30</v>
      </c>
      <c r="I32" s="32">
        <f t="shared" si="0"/>
        <v>790</v>
      </c>
      <c r="J32" s="31" t="s">
        <v>304</v>
      </c>
      <c r="K32" s="31" t="s">
        <v>35</v>
      </c>
      <c r="L32" s="31" t="s">
        <v>305</v>
      </c>
      <c r="M32" s="31"/>
      <c r="N32" s="31"/>
      <c r="O32" s="31"/>
      <c r="P32" s="31"/>
      <c r="Q32" s="31">
        <v>1</v>
      </c>
    </row>
    <row r="33" spans="1:18" s="33" customFormat="1" x14ac:dyDescent="0.25">
      <c r="A33" s="31"/>
      <c r="B33" s="31" t="s">
        <v>29</v>
      </c>
      <c r="C33" s="31" t="s">
        <v>390</v>
      </c>
      <c r="D33" s="31" t="s">
        <v>391</v>
      </c>
      <c r="E33" s="31" t="s">
        <v>392</v>
      </c>
      <c r="F33" s="32">
        <v>12</v>
      </c>
      <c r="G33" s="32">
        <v>0</v>
      </c>
      <c r="H33" s="32">
        <v>30</v>
      </c>
      <c r="I33" s="32">
        <f t="shared" si="0"/>
        <v>-30</v>
      </c>
      <c r="J33" s="31" t="s">
        <v>304</v>
      </c>
      <c r="K33" s="31" t="s">
        <v>35</v>
      </c>
      <c r="L33" s="31" t="s">
        <v>305</v>
      </c>
      <c r="M33" s="31"/>
      <c r="N33" s="31"/>
      <c r="O33" s="31"/>
      <c r="P33" s="31"/>
      <c r="Q33" s="31">
        <v>1</v>
      </c>
      <c r="R33" s="38">
        <f>H33</f>
        <v>30</v>
      </c>
    </row>
    <row r="34" spans="1:18" s="33" customFormat="1" x14ac:dyDescent="0.25">
      <c r="A34" s="31"/>
      <c r="B34" s="31" t="s">
        <v>29</v>
      </c>
      <c r="C34" s="31" t="s">
        <v>393</v>
      </c>
      <c r="D34" s="31" t="s">
        <v>394</v>
      </c>
      <c r="E34" s="31" t="s">
        <v>395</v>
      </c>
      <c r="F34" s="31" t="s">
        <v>99</v>
      </c>
      <c r="G34" s="32">
        <v>1135</v>
      </c>
      <c r="H34" s="32">
        <v>35</v>
      </c>
      <c r="I34" s="32">
        <f t="shared" si="0"/>
        <v>1100</v>
      </c>
      <c r="J34" s="31" t="s">
        <v>304</v>
      </c>
      <c r="K34" s="31" t="s">
        <v>35</v>
      </c>
      <c r="L34" s="31" t="s">
        <v>305</v>
      </c>
      <c r="M34" s="31"/>
      <c r="N34" s="31"/>
      <c r="O34" s="31"/>
      <c r="P34" s="31"/>
      <c r="Q34" s="31">
        <v>1</v>
      </c>
    </row>
    <row r="35" spans="1:18" s="33" customFormat="1" x14ac:dyDescent="0.25">
      <c r="A35" s="31"/>
      <c r="B35" s="31" t="s">
        <v>29</v>
      </c>
      <c r="C35" s="31" t="s">
        <v>396</v>
      </c>
      <c r="D35" s="31" t="s">
        <v>397</v>
      </c>
      <c r="E35" s="31" t="s">
        <v>398</v>
      </c>
      <c r="F35" s="32">
        <v>2</v>
      </c>
      <c r="G35" s="32">
        <v>0</v>
      </c>
      <c r="H35" s="32">
        <v>30</v>
      </c>
      <c r="I35" s="32">
        <f t="shared" si="0"/>
        <v>-30</v>
      </c>
      <c r="J35" s="31" t="s">
        <v>35</v>
      </c>
      <c r="K35" s="31" t="s">
        <v>35</v>
      </c>
      <c r="L35" s="31" t="s">
        <v>305</v>
      </c>
      <c r="M35" s="39" t="s">
        <v>399</v>
      </c>
      <c r="N35" s="31"/>
      <c r="O35" s="31"/>
      <c r="P35" s="31"/>
      <c r="Q35" s="31">
        <v>1</v>
      </c>
      <c r="R35" s="38">
        <f>H35</f>
        <v>30</v>
      </c>
    </row>
    <row r="36" spans="1:18" s="33" customFormat="1" x14ac:dyDescent="0.25">
      <c r="A36" s="31"/>
      <c r="B36" s="31" t="s">
        <v>29</v>
      </c>
      <c r="C36" s="31" t="s">
        <v>400</v>
      </c>
      <c r="D36" s="31" t="s">
        <v>401</v>
      </c>
      <c r="E36" s="31" t="s">
        <v>402</v>
      </c>
      <c r="F36" s="31" t="s">
        <v>191</v>
      </c>
      <c r="G36" s="32">
        <v>760</v>
      </c>
      <c r="H36" s="32">
        <v>30</v>
      </c>
      <c r="I36" s="32">
        <f t="shared" si="0"/>
        <v>730</v>
      </c>
      <c r="J36" s="31" t="s">
        <v>35</v>
      </c>
      <c r="K36" s="31" t="s">
        <v>35</v>
      </c>
      <c r="L36" s="31" t="s">
        <v>305</v>
      </c>
      <c r="M36" s="31"/>
      <c r="N36" s="31"/>
      <c r="O36" s="31"/>
      <c r="P36" s="31"/>
      <c r="Q36" s="31">
        <v>1</v>
      </c>
    </row>
    <row r="37" spans="1:18" s="33" customFormat="1" x14ac:dyDescent="0.25">
      <c r="A37" s="31"/>
      <c r="B37" s="31" t="s">
        <v>29</v>
      </c>
      <c r="C37" s="31" t="s">
        <v>403</v>
      </c>
      <c r="D37" s="31" t="s">
        <v>404</v>
      </c>
      <c r="E37" s="31" t="s">
        <v>405</v>
      </c>
      <c r="F37" s="32">
        <v>2</v>
      </c>
      <c r="G37" s="32">
        <v>490</v>
      </c>
      <c r="H37" s="32">
        <v>30</v>
      </c>
      <c r="I37" s="32">
        <f t="shared" si="0"/>
        <v>460</v>
      </c>
      <c r="J37" s="31" t="s">
        <v>35</v>
      </c>
      <c r="K37" s="31" t="s">
        <v>35</v>
      </c>
      <c r="L37" s="31" t="s">
        <v>305</v>
      </c>
      <c r="M37" s="31"/>
      <c r="N37" s="31"/>
      <c r="O37" s="31"/>
      <c r="P37" s="31"/>
      <c r="Q37" s="31">
        <v>1</v>
      </c>
    </row>
    <row r="38" spans="1:18" s="33" customFormat="1" x14ac:dyDescent="0.25">
      <c r="A38" s="31"/>
      <c r="B38" s="31" t="s">
        <v>29</v>
      </c>
      <c r="C38" s="31" t="s">
        <v>406</v>
      </c>
      <c r="D38" s="31" t="s">
        <v>407</v>
      </c>
      <c r="E38" s="31" t="s">
        <v>408</v>
      </c>
      <c r="F38" s="31" t="s">
        <v>57</v>
      </c>
      <c r="G38" s="32">
        <v>1220</v>
      </c>
      <c r="H38" s="32">
        <v>20</v>
      </c>
      <c r="I38" s="32">
        <f t="shared" si="0"/>
        <v>1200</v>
      </c>
      <c r="J38" s="31" t="s">
        <v>35</v>
      </c>
      <c r="K38" s="31" t="s">
        <v>35</v>
      </c>
      <c r="L38" s="31" t="s">
        <v>305</v>
      </c>
      <c r="M38" s="31"/>
      <c r="N38" s="31"/>
      <c r="O38" s="31"/>
      <c r="P38" s="31"/>
      <c r="Q38" s="31">
        <v>1</v>
      </c>
    </row>
    <row r="39" spans="1:18" s="33" customFormat="1" x14ac:dyDescent="0.25">
      <c r="A39" s="31"/>
      <c r="B39" s="31" t="s">
        <v>29</v>
      </c>
      <c r="C39" s="31" t="s">
        <v>409</v>
      </c>
      <c r="D39" s="31" t="s">
        <v>410</v>
      </c>
      <c r="E39" s="31" t="s">
        <v>411</v>
      </c>
      <c r="F39" s="31" t="s">
        <v>52</v>
      </c>
      <c r="G39" s="32">
        <v>0</v>
      </c>
      <c r="H39" s="32">
        <v>25</v>
      </c>
      <c r="I39" s="32">
        <f t="shared" si="0"/>
        <v>-25</v>
      </c>
      <c r="J39" s="31" t="s">
        <v>35</v>
      </c>
      <c r="K39" s="31" t="s">
        <v>35</v>
      </c>
      <c r="L39" s="31" t="s">
        <v>305</v>
      </c>
      <c r="M39" s="39" t="s">
        <v>412</v>
      </c>
      <c r="N39" s="31"/>
      <c r="O39" s="31"/>
      <c r="P39" s="31"/>
      <c r="Q39" s="31">
        <v>1</v>
      </c>
      <c r="R39" s="38">
        <f>H39</f>
        <v>25</v>
      </c>
    </row>
    <row r="40" spans="1:18" s="33" customFormat="1" x14ac:dyDescent="0.25">
      <c r="A40" s="31"/>
      <c r="B40" s="31" t="s">
        <v>29</v>
      </c>
      <c r="C40" s="31" t="s">
        <v>413</v>
      </c>
      <c r="D40" s="31" t="s">
        <v>414</v>
      </c>
      <c r="E40" s="31" t="s">
        <v>415</v>
      </c>
      <c r="F40" s="31" t="s">
        <v>191</v>
      </c>
      <c r="G40" s="32">
        <v>1370</v>
      </c>
      <c r="H40" s="32">
        <v>30</v>
      </c>
      <c r="I40" s="32">
        <f t="shared" si="0"/>
        <v>1340</v>
      </c>
      <c r="J40" s="31" t="s">
        <v>35</v>
      </c>
      <c r="K40" s="31" t="s">
        <v>35</v>
      </c>
      <c r="L40" s="31" t="s">
        <v>305</v>
      </c>
      <c r="M40" s="31"/>
      <c r="N40" s="31"/>
      <c r="O40" s="31"/>
      <c r="P40" s="31"/>
      <c r="Q40" s="31">
        <v>1</v>
      </c>
    </row>
    <row r="41" spans="1:18" s="33" customFormat="1" x14ac:dyDescent="0.25">
      <c r="A41" s="31"/>
      <c r="B41" s="31" t="s">
        <v>29</v>
      </c>
      <c r="C41" s="31" t="s">
        <v>416</v>
      </c>
      <c r="D41" s="31" t="s">
        <v>417</v>
      </c>
      <c r="E41" s="31" t="s">
        <v>418</v>
      </c>
      <c r="F41" s="31" t="s">
        <v>191</v>
      </c>
      <c r="G41" s="32">
        <v>980</v>
      </c>
      <c r="H41" s="32">
        <v>30</v>
      </c>
      <c r="I41" s="32">
        <f t="shared" si="0"/>
        <v>950</v>
      </c>
      <c r="J41" s="31" t="s">
        <v>35</v>
      </c>
      <c r="K41" s="31" t="s">
        <v>35</v>
      </c>
      <c r="L41" s="31" t="s">
        <v>305</v>
      </c>
      <c r="M41" s="31"/>
      <c r="N41" s="31"/>
      <c r="O41" s="31"/>
      <c r="P41" s="31"/>
      <c r="Q41" s="31">
        <v>1</v>
      </c>
    </row>
    <row r="42" spans="1:18" s="33" customFormat="1" x14ac:dyDescent="0.25">
      <c r="A42" s="31"/>
      <c r="B42" s="31" t="s">
        <v>29</v>
      </c>
      <c r="C42" s="31" t="s">
        <v>419</v>
      </c>
      <c r="D42" s="31" t="s">
        <v>420</v>
      </c>
      <c r="E42" s="31" t="s">
        <v>421</v>
      </c>
      <c r="F42" s="32">
        <v>12</v>
      </c>
      <c r="G42" s="32">
        <v>1450</v>
      </c>
      <c r="H42" s="32">
        <v>30</v>
      </c>
      <c r="I42" s="32">
        <f t="shared" si="0"/>
        <v>1420</v>
      </c>
      <c r="J42" s="31" t="s">
        <v>35</v>
      </c>
      <c r="K42" s="31" t="s">
        <v>35</v>
      </c>
      <c r="L42" s="31" t="s">
        <v>305</v>
      </c>
      <c r="M42" s="31"/>
      <c r="N42" s="31"/>
      <c r="O42" s="31"/>
      <c r="P42" s="31"/>
      <c r="Q42" s="31">
        <v>1</v>
      </c>
    </row>
    <row r="43" spans="1:18" s="37" customFormat="1" x14ac:dyDescent="0.25">
      <c r="A43" s="34"/>
      <c r="B43" s="34" t="s">
        <v>29</v>
      </c>
      <c r="C43" s="34" t="s">
        <v>201</v>
      </c>
      <c r="D43" s="34" t="s">
        <v>422</v>
      </c>
      <c r="E43" s="34" t="s">
        <v>423</v>
      </c>
      <c r="F43" s="34" t="s">
        <v>52</v>
      </c>
      <c r="G43" s="35">
        <v>0</v>
      </c>
      <c r="H43" s="35">
        <v>25</v>
      </c>
      <c r="I43" s="35">
        <f t="shared" si="0"/>
        <v>-25</v>
      </c>
      <c r="J43" s="34" t="s">
        <v>35</v>
      </c>
      <c r="K43" s="34" t="s">
        <v>35</v>
      </c>
      <c r="L43" s="34" t="s">
        <v>305</v>
      </c>
      <c r="M43" s="34" t="s">
        <v>53</v>
      </c>
      <c r="N43" s="34"/>
      <c r="O43" s="34"/>
      <c r="P43" s="34"/>
      <c r="Q43" s="34">
        <v>1</v>
      </c>
      <c r="R43" s="36">
        <f>H43</f>
        <v>25</v>
      </c>
    </row>
    <row r="44" spans="1:18" s="33" customFormat="1" x14ac:dyDescent="0.25">
      <c r="A44" s="31"/>
      <c r="B44" s="31" t="s">
        <v>29</v>
      </c>
      <c r="C44" s="31" t="s">
        <v>424</v>
      </c>
      <c r="D44" s="31" t="s">
        <v>425</v>
      </c>
      <c r="E44" s="31" t="s">
        <v>426</v>
      </c>
      <c r="F44" s="32">
        <v>12</v>
      </c>
      <c r="G44" s="32">
        <v>0</v>
      </c>
      <c r="H44" s="32">
        <v>30</v>
      </c>
      <c r="I44" s="32">
        <f t="shared" si="0"/>
        <v>-30</v>
      </c>
      <c r="J44" s="31" t="s">
        <v>35</v>
      </c>
      <c r="K44" s="31" t="s">
        <v>35</v>
      </c>
      <c r="L44" s="31" t="s">
        <v>305</v>
      </c>
      <c r="M44" s="31"/>
      <c r="N44" s="31"/>
      <c r="O44" s="31"/>
      <c r="P44" s="31"/>
      <c r="Q44" s="31">
        <v>1</v>
      </c>
      <c r="R44" s="38">
        <f>H44</f>
        <v>30</v>
      </c>
    </row>
    <row r="45" spans="1:18" s="33" customFormat="1" x14ac:dyDescent="0.25">
      <c r="A45" s="31"/>
      <c r="B45" s="31" t="s">
        <v>29</v>
      </c>
      <c r="C45" s="31" t="s">
        <v>427</v>
      </c>
      <c r="D45" s="31" t="s">
        <v>428</v>
      </c>
      <c r="E45" s="31" t="s">
        <v>429</v>
      </c>
      <c r="F45" s="31" t="s">
        <v>191</v>
      </c>
      <c r="G45" s="32">
        <v>2685</v>
      </c>
      <c r="H45" s="32">
        <v>35</v>
      </c>
      <c r="I45" s="32">
        <f t="shared" si="0"/>
        <v>2650</v>
      </c>
      <c r="J45" s="31" t="s">
        <v>35</v>
      </c>
      <c r="K45" s="31" t="s">
        <v>35</v>
      </c>
      <c r="L45" s="31" t="s">
        <v>305</v>
      </c>
      <c r="M45" s="31"/>
      <c r="N45" s="31"/>
      <c r="O45" s="31"/>
      <c r="P45" s="31"/>
      <c r="Q45" s="31">
        <v>1</v>
      </c>
    </row>
    <row r="46" spans="1:18" s="33" customFormat="1" x14ac:dyDescent="0.25">
      <c r="A46" s="31"/>
      <c r="B46" s="31" t="s">
        <v>29</v>
      </c>
      <c r="C46" s="31" t="s">
        <v>430</v>
      </c>
      <c r="D46" s="31" t="s">
        <v>431</v>
      </c>
      <c r="E46" s="31" t="s">
        <v>432</v>
      </c>
      <c r="F46" s="31" t="s">
        <v>57</v>
      </c>
      <c r="G46" s="32">
        <v>1360</v>
      </c>
      <c r="H46" s="32">
        <v>20</v>
      </c>
      <c r="I46" s="32">
        <f t="shared" si="0"/>
        <v>1340</v>
      </c>
      <c r="J46" s="31" t="s">
        <v>35</v>
      </c>
      <c r="K46" s="31" t="s">
        <v>35</v>
      </c>
      <c r="L46" s="31" t="s">
        <v>305</v>
      </c>
      <c r="M46" s="31"/>
      <c r="N46" s="31"/>
      <c r="O46" s="31"/>
      <c r="P46" s="31"/>
      <c r="Q46" s="31">
        <v>1</v>
      </c>
    </row>
    <row r="47" spans="1:18" s="33" customFormat="1" x14ac:dyDescent="0.25">
      <c r="A47" s="31"/>
      <c r="B47" s="31" t="s">
        <v>29</v>
      </c>
      <c r="C47" s="31" t="s">
        <v>433</v>
      </c>
      <c r="D47" s="31" t="s">
        <v>434</v>
      </c>
      <c r="E47" s="31" t="s">
        <v>435</v>
      </c>
      <c r="F47" s="31" t="s">
        <v>57</v>
      </c>
      <c r="G47" s="32">
        <v>320</v>
      </c>
      <c r="H47" s="32">
        <v>20</v>
      </c>
      <c r="I47" s="32">
        <f t="shared" si="0"/>
        <v>300</v>
      </c>
      <c r="J47" s="31" t="s">
        <v>35</v>
      </c>
      <c r="K47" s="31" t="s">
        <v>35</v>
      </c>
      <c r="L47" s="31" t="s">
        <v>305</v>
      </c>
      <c r="M47" s="31"/>
      <c r="N47" s="31"/>
      <c r="O47" s="31"/>
      <c r="P47" s="31"/>
      <c r="Q47" s="31">
        <v>1</v>
      </c>
    </row>
    <row r="48" spans="1:18" s="33" customFormat="1" x14ac:dyDescent="0.25">
      <c r="A48" s="31"/>
      <c r="B48" s="31" t="s">
        <v>29</v>
      </c>
      <c r="C48" s="31" t="s">
        <v>436</v>
      </c>
      <c r="D48" s="31" t="s">
        <v>437</v>
      </c>
      <c r="E48" s="31" t="s">
        <v>438</v>
      </c>
      <c r="F48" s="31" t="s">
        <v>52</v>
      </c>
      <c r="G48" s="32">
        <v>255</v>
      </c>
      <c r="H48" s="32">
        <v>25</v>
      </c>
      <c r="I48" s="32">
        <f t="shared" si="0"/>
        <v>230</v>
      </c>
      <c r="J48" s="31" t="s">
        <v>35</v>
      </c>
      <c r="K48" s="31" t="s">
        <v>35</v>
      </c>
      <c r="L48" s="31" t="s">
        <v>305</v>
      </c>
      <c r="M48" s="31"/>
      <c r="N48" s="31"/>
      <c r="O48" s="31"/>
      <c r="P48" s="31"/>
      <c r="Q48" s="31">
        <v>1</v>
      </c>
    </row>
    <row r="49" spans="1:18" s="33" customFormat="1" x14ac:dyDescent="0.25">
      <c r="A49" s="31"/>
      <c r="B49" s="31" t="s">
        <v>29</v>
      </c>
      <c r="C49" s="31" t="s">
        <v>439</v>
      </c>
      <c r="D49" s="31" t="s">
        <v>440</v>
      </c>
      <c r="E49" s="31" t="s">
        <v>441</v>
      </c>
      <c r="F49" s="31" t="s">
        <v>52</v>
      </c>
      <c r="G49" s="32">
        <v>745</v>
      </c>
      <c r="H49" s="32">
        <v>25</v>
      </c>
      <c r="I49" s="32">
        <f t="shared" si="0"/>
        <v>720</v>
      </c>
      <c r="J49" s="31" t="s">
        <v>35</v>
      </c>
      <c r="K49" s="31" t="s">
        <v>35</v>
      </c>
      <c r="L49" s="31" t="s">
        <v>305</v>
      </c>
      <c r="M49" s="31"/>
      <c r="N49" s="31"/>
      <c r="O49" s="31"/>
      <c r="P49" s="31"/>
      <c r="Q49" s="31">
        <v>1</v>
      </c>
    </row>
    <row r="50" spans="1:18" s="33" customFormat="1" x14ac:dyDescent="0.25">
      <c r="A50" s="31"/>
      <c r="B50" s="31" t="s">
        <v>29</v>
      </c>
      <c r="C50" s="31" t="s">
        <v>442</v>
      </c>
      <c r="D50" s="31" t="s">
        <v>443</v>
      </c>
      <c r="E50" s="31" t="s">
        <v>444</v>
      </c>
      <c r="F50" s="31" t="s">
        <v>52</v>
      </c>
      <c r="G50" s="32">
        <v>365</v>
      </c>
      <c r="H50" s="32">
        <v>25</v>
      </c>
      <c r="I50" s="32">
        <f t="shared" si="0"/>
        <v>340</v>
      </c>
      <c r="J50" s="31" t="s">
        <v>35</v>
      </c>
      <c r="K50" s="31" t="s">
        <v>35</v>
      </c>
      <c r="L50" s="31" t="s">
        <v>305</v>
      </c>
      <c r="M50" s="31"/>
      <c r="N50" s="31"/>
      <c r="O50" s="31"/>
      <c r="P50" s="31"/>
      <c r="Q50" s="31">
        <v>1</v>
      </c>
    </row>
    <row r="51" spans="1:18" s="37" customFormat="1" x14ac:dyDescent="0.25">
      <c r="A51" s="34"/>
      <c r="B51" s="34" t="s">
        <v>29</v>
      </c>
      <c r="C51" s="34" t="s">
        <v>445</v>
      </c>
      <c r="D51" s="34" t="s">
        <v>446</v>
      </c>
      <c r="E51" s="34" t="s">
        <v>447</v>
      </c>
      <c r="F51" s="34" t="s">
        <v>191</v>
      </c>
      <c r="G51" s="35">
        <v>0</v>
      </c>
      <c r="H51" s="35">
        <v>30</v>
      </c>
      <c r="I51" s="35">
        <f t="shared" si="0"/>
        <v>-30</v>
      </c>
      <c r="J51" s="34" t="s">
        <v>35</v>
      </c>
      <c r="K51" s="34" t="s">
        <v>35</v>
      </c>
      <c r="L51" s="34" t="s">
        <v>305</v>
      </c>
      <c r="M51" s="34" t="s">
        <v>53</v>
      </c>
      <c r="N51" s="34"/>
      <c r="O51" s="34"/>
      <c r="P51" s="34"/>
      <c r="Q51" s="34">
        <v>1</v>
      </c>
      <c r="R51" s="36">
        <f>H51</f>
        <v>30</v>
      </c>
    </row>
    <row r="52" spans="1:18" s="33" customFormat="1" x14ac:dyDescent="0.25">
      <c r="A52" s="31"/>
      <c r="B52" s="31" t="s">
        <v>29</v>
      </c>
      <c r="C52" s="31" t="s">
        <v>448</v>
      </c>
      <c r="D52" s="31" t="s">
        <v>449</v>
      </c>
      <c r="E52" s="31" t="s">
        <v>450</v>
      </c>
      <c r="F52" s="32">
        <v>2</v>
      </c>
      <c r="G52" s="32">
        <v>870</v>
      </c>
      <c r="H52" s="32">
        <v>30</v>
      </c>
      <c r="I52" s="32">
        <f t="shared" si="0"/>
        <v>840</v>
      </c>
      <c r="J52" s="31" t="s">
        <v>35</v>
      </c>
      <c r="K52" s="31" t="s">
        <v>35</v>
      </c>
      <c r="L52" s="31" t="s">
        <v>305</v>
      </c>
      <c r="M52" s="31"/>
      <c r="N52" s="31"/>
      <c r="O52" s="31"/>
      <c r="P52" s="31"/>
      <c r="Q52" s="31">
        <v>1</v>
      </c>
    </row>
    <row r="53" spans="1:18" s="33" customFormat="1" x14ac:dyDescent="0.25">
      <c r="A53" s="31"/>
      <c r="B53" s="31" t="s">
        <v>29</v>
      </c>
      <c r="C53" s="31" t="s">
        <v>451</v>
      </c>
      <c r="D53" s="31" t="s">
        <v>452</v>
      </c>
      <c r="E53" s="31" t="s">
        <v>453</v>
      </c>
      <c r="F53" s="31" t="s">
        <v>52</v>
      </c>
      <c r="G53" s="32">
        <v>1055</v>
      </c>
      <c r="H53" s="32">
        <v>25</v>
      </c>
      <c r="I53" s="32">
        <f t="shared" si="0"/>
        <v>1030</v>
      </c>
      <c r="J53" s="31" t="s">
        <v>35</v>
      </c>
      <c r="K53" s="31" t="s">
        <v>35</v>
      </c>
      <c r="L53" s="31" t="s">
        <v>305</v>
      </c>
      <c r="M53" s="31"/>
      <c r="N53" s="31"/>
      <c r="O53" s="31"/>
      <c r="P53" s="31"/>
      <c r="Q53" s="31">
        <v>1</v>
      </c>
    </row>
    <row r="54" spans="1:18" s="33" customFormat="1" x14ac:dyDescent="0.25">
      <c r="A54" s="31"/>
      <c r="B54" s="31" t="s">
        <v>29</v>
      </c>
      <c r="C54" s="31" t="s">
        <v>454</v>
      </c>
      <c r="D54" s="31" t="s">
        <v>455</v>
      </c>
      <c r="E54" s="31" t="s">
        <v>456</v>
      </c>
      <c r="F54" s="31" t="s">
        <v>191</v>
      </c>
      <c r="G54" s="32">
        <v>540</v>
      </c>
      <c r="H54" s="32">
        <v>30</v>
      </c>
      <c r="I54" s="32">
        <f t="shared" si="0"/>
        <v>510</v>
      </c>
      <c r="J54" s="31" t="s">
        <v>35</v>
      </c>
      <c r="K54" s="31" t="s">
        <v>35</v>
      </c>
      <c r="L54" s="31" t="s">
        <v>305</v>
      </c>
      <c r="M54" s="31"/>
      <c r="N54" s="31"/>
      <c r="O54" s="31"/>
      <c r="P54" s="31"/>
      <c r="Q54" s="31">
        <v>1</v>
      </c>
    </row>
    <row r="55" spans="1:18" s="33" customFormat="1" x14ac:dyDescent="0.25">
      <c r="A55" s="31"/>
      <c r="B55" s="31" t="s">
        <v>29</v>
      </c>
      <c r="C55" s="31" t="s">
        <v>457</v>
      </c>
      <c r="D55" s="31" t="s">
        <v>458</v>
      </c>
      <c r="E55" s="31" t="s">
        <v>459</v>
      </c>
      <c r="F55" s="31" t="s">
        <v>57</v>
      </c>
      <c r="G55" s="32">
        <v>420</v>
      </c>
      <c r="H55" s="32">
        <v>30</v>
      </c>
      <c r="I55" s="32">
        <f t="shared" si="0"/>
        <v>390</v>
      </c>
      <c r="J55" s="31" t="s">
        <v>35</v>
      </c>
      <c r="K55" s="31" t="s">
        <v>35</v>
      </c>
      <c r="L55" s="31" t="s">
        <v>305</v>
      </c>
      <c r="M55" s="31"/>
      <c r="N55" s="31"/>
      <c r="O55" s="31"/>
      <c r="P55" s="31"/>
      <c r="Q55" s="31">
        <v>1</v>
      </c>
    </row>
    <row r="56" spans="1:18" s="33" customFormat="1" x14ac:dyDescent="0.25">
      <c r="A56" s="31"/>
      <c r="B56" s="31" t="s">
        <v>29</v>
      </c>
      <c r="C56" s="31" t="s">
        <v>460</v>
      </c>
      <c r="D56" s="31" t="s">
        <v>461</v>
      </c>
      <c r="E56" s="31" t="s">
        <v>462</v>
      </c>
      <c r="F56" s="31" t="s">
        <v>57</v>
      </c>
      <c r="G56" s="32">
        <v>190</v>
      </c>
      <c r="H56" s="32">
        <v>20</v>
      </c>
      <c r="I56" s="32">
        <f t="shared" si="0"/>
        <v>170</v>
      </c>
      <c r="J56" s="31" t="s">
        <v>35</v>
      </c>
      <c r="K56" s="31" t="s">
        <v>35</v>
      </c>
      <c r="L56" s="31" t="s">
        <v>305</v>
      </c>
      <c r="M56" s="31"/>
      <c r="N56" s="31"/>
      <c r="O56" s="31"/>
      <c r="P56" s="31"/>
      <c r="Q56" s="31">
        <v>1</v>
      </c>
    </row>
    <row r="57" spans="1:18" s="33" customFormat="1" x14ac:dyDescent="0.25">
      <c r="A57" s="31"/>
      <c r="B57" s="31" t="s">
        <v>29</v>
      </c>
      <c r="C57" s="31" t="s">
        <v>463</v>
      </c>
      <c r="D57" s="31" t="s">
        <v>464</v>
      </c>
      <c r="E57" s="31" t="s">
        <v>465</v>
      </c>
      <c r="F57" s="32">
        <v>1</v>
      </c>
      <c r="G57" s="32">
        <v>218</v>
      </c>
      <c r="H57" s="32">
        <v>25</v>
      </c>
      <c r="I57" s="32">
        <f t="shared" si="0"/>
        <v>193</v>
      </c>
      <c r="J57" s="31" t="s">
        <v>69</v>
      </c>
      <c r="K57" s="31" t="s">
        <v>35</v>
      </c>
      <c r="L57" s="31" t="s">
        <v>305</v>
      </c>
      <c r="M57" s="39" t="s">
        <v>58</v>
      </c>
      <c r="N57" s="31"/>
      <c r="O57" s="31"/>
      <c r="P57" s="31"/>
      <c r="Q57" s="31">
        <v>1</v>
      </c>
      <c r="R57" s="38">
        <f>H57</f>
        <v>25</v>
      </c>
    </row>
    <row r="58" spans="1:18" s="33" customFormat="1" x14ac:dyDescent="0.25">
      <c r="A58" s="31"/>
      <c r="B58" s="31" t="s">
        <v>29</v>
      </c>
      <c r="C58" s="31" t="s">
        <v>466</v>
      </c>
      <c r="D58" s="31" t="s">
        <v>467</v>
      </c>
      <c r="E58" s="31" t="s">
        <v>468</v>
      </c>
      <c r="F58" s="32">
        <v>5</v>
      </c>
      <c r="G58" s="32">
        <v>0</v>
      </c>
      <c r="H58" s="32">
        <v>25</v>
      </c>
      <c r="I58" s="32">
        <f t="shared" si="0"/>
        <v>-25</v>
      </c>
      <c r="J58" s="31" t="s">
        <v>69</v>
      </c>
      <c r="K58" s="31" t="s">
        <v>35</v>
      </c>
      <c r="L58" s="31" t="s">
        <v>305</v>
      </c>
      <c r="M58" s="39" t="s">
        <v>469</v>
      </c>
      <c r="N58" s="31"/>
      <c r="O58" s="31"/>
      <c r="P58" s="31"/>
      <c r="Q58" s="31">
        <v>1</v>
      </c>
      <c r="R58" s="38">
        <f>H58</f>
        <v>25</v>
      </c>
    </row>
    <row r="59" spans="1:18" s="33" customFormat="1" x14ac:dyDescent="0.25">
      <c r="A59" s="31"/>
      <c r="B59" s="31" t="s">
        <v>29</v>
      </c>
      <c r="C59" s="31" t="s">
        <v>466</v>
      </c>
      <c r="D59" s="31" t="s">
        <v>470</v>
      </c>
      <c r="E59" s="31" t="s">
        <v>468</v>
      </c>
      <c r="F59" s="32">
        <v>5</v>
      </c>
      <c r="G59" s="32">
        <v>0</v>
      </c>
      <c r="H59" s="32">
        <v>0</v>
      </c>
      <c r="I59" s="32">
        <f t="shared" si="0"/>
        <v>0</v>
      </c>
      <c r="J59" s="31" t="s">
        <v>69</v>
      </c>
      <c r="K59" s="31" t="s">
        <v>35</v>
      </c>
      <c r="L59" s="31" t="s">
        <v>305</v>
      </c>
      <c r="M59" s="39" t="s">
        <v>469</v>
      </c>
      <c r="N59" s="31"/>
      <c r="O59" s="31"/>
      <c r="P59" s="31"/>
      <c r="Q59" s="31">
        <v>1</v>
      </c>
      <c r="R59" s="38">
        <f>H59</f>
        <v>0</v>
      </c>
    </row>
    <row r="60" spans="1:18" s="33" customFormat="1" x14ac:dyDescent="0.25">
      <c r="A60" s="31"/>
      <c r="B60" s="31" t="s">
        <v>29</v>
      </c>
      <c r="C60" s="31" t="s">
        <v>471</v>
      </c>
      <c r="D60" s="31" t="s">
        <v>472</v>
      </c>
      <c r="E60" s="31" t="s">
        <v>473</v>
      </c>
      <c r="F60" s="32">
        <v>4</v>
      </c>
      <c r="G60" s="32">
        <v>2500</v>
      </c>
      <c r="H60" s="32">
        <v>30</v>
      </c>
      <c r="I60" s="32">
        <f t="shared" si="0"/>
        <v>2470</v>
      </c>
      <c r="J60" s="31" t="s">
        <v>69</v>
      </c>
      <c r="K60" s="31" t="s">
        <v>35</v>
      </c>
      <c r="L60" s="31" t="s">
        <v>305</v>
      </c>
      <c r="M60" s="31"/>
      <c r="N60" s="31"/>
      <c r="O60" s="31"/>
      <c r="P60" s="31"/>
      <c r="Q60" s="31">
        <v>1</v>
      </c>
    </row>
    <row r="61" spans="1:18" s="33" customFormat="1" x14ac:dyDescent="0.25">
      <c r="A61" s="31"/>
      <c r="B61" s="31" t="s">
        <v>29</v>
      </c>
      <c r="C61" s="31" t="s">
        <v>474</v>
      </c>
      <c r="D61" s="31" t="s">
        <v>475</v>
      </c>
      <c r="E61" s="31" t="s">
        <v>476</v>
      </c>
      <c r="F61" s="32">
        <v>3</v>
      </c>
      <c r="G61" s="32">
        <v>540</v>
      </c>
      <c r="H61" s="32">
        <v>25</v>
      </c>
      <c r="I61" s="32">
        <f t="shared" si="0"/>
        <v>515</v>
      </c>
      <c r="J61" s="31" t="s">
        <v>69</v>
      </c>
      <c r="K61" s="31" t="s">
        <v>35</v>
      </c>
      <c r="L61" s="31" t="s">
        <v>305</v>
      </c>
      <c r="M61" s="31"/>
      <c r="N61" s="31"/>
      <c r="O61" s="31"/>
      <c r="P61" s="31"/>
      <c r="Q61" s="31">
        <v>1</v>
      </c>
    </row>
    <row r="62" spans="1:18" s="33" customFormat="1" x14ac:dyDescent="0.25">
      <c r="A62" s="31"/>
      <c r="B62" s="31" t="s">
        <v>29</v>
      </c>
      <c r="C62" s="31" t="s">
        <v>477</v>
      </c>
      <c r="D62" s="31" t="s">
        <v>478</v>
      </c>
      <c r="E62" s="31" t="s">
        <v>479</v>
      </c>
      <c r="F62" s="31" t="s">
        <v>132</v>
      </c>
      <c r="G62" s="32">
        <v>315</v>
      </c>
      <c r="H62" s="32">
        <v>25</v>
      </c>
      <c r="I62" s="32">
        <f t="shared" si="0"/>
        <v>290</v>
      </c>
      <c r="J62" s="31" t="s">
        <v>69</v>
      </c>
      <c r="K62" s="31" t="s">
        <v>35</v>
      </c>
      <c r="L62" s="31" t="s">
        <v>305</v>
      </c>
      <c r="M62" s="31"/>
      <c r="N62" s="31"/>
      <c r="O62" s="31"/>
      <c r="P62" s="31"/>
      <c r="Q62" s="31">
        <v>1</v>
      </c>
    </row>
    <row r="63" spans="1:18" s="33" customFormat="1" x14ac:dyDescent="0.25">
      <c r="A63" s="31"/>
      <c r="B63" s="31" t="s">
        <v>29</v>
      </c>
      <c r="C63" s="31" t="s">
        <v>480</v>
      </c>
      <c r="D63" s="31" t="s">
        <v>481</v>
      </c>
      <c r="E63" s="31" t="s">
        <v>482</v>
      </c>
      <c r="F63" s="32">
        <v>5</v>
      </c>
      <c r="G63" s="32">
        <v>1635</v>
      </c>
      <c r="H63" s="32">
        <v>25</v>
      </c>
      <c r="I63" s="32">
        <f t="shared" si="0"/>
        <v>1610</v>
      </c>
      <c r="J63" s="31" t="s">
        <v>69</v>
      </c>
      <c r="K63" s="31" t="s">
        <v>35</v>
      </c>
      <c r="L63" s="31" t="s">
        <v>305</v>
      </c>
      <c r="M63" s="31"/>
      <c r="N63" s="31"/>
      <c r="O63" s="31"/>
      <c r="P63" s="31"/>
      <c r="Q63" s="31">
        <v>1</v>
      </c>
    </row>
    <row r="64" spans="1:18" s="33" customFormat="1" x14ac:dyDescent="0.25">
      <c r="A64" s="31"/>
      <c r="B64" s="31" t="s">
        <v>29</v>
      </c>
      <c r="C64" s="31" t="s">
        <v>483</v>
      </c>
      <c r="D64" s="31" t="s">
        <v>484</v>
      </c>
      <c r="E64" s="31" t="s">
        <v>485</v>
      </c>
      <c r="F64" s="31" t="s">
        <v>132</v>
      </c>
      <c r="G64" s="32">
        <v>2290</v>
      </c>
      <c r="H64" s="32">
        <v>30</v>
      </c>
      <c r="I64" s="32">
        <f t="shared" si="0"/>
        <v>2260</v>
      </c>
      <c r="J64" s="31" t="s">
        <v>69</v>
      </c>
      <c r="K64" s="31" t="s">
        <v>35</v>
      </c>
      <c r="L64" s="31" t="s">
        <v>305</v>
      </c>
      <c r="M64" s="39" t="s">
        <v>58</v>
      </c>
      <c r="N64" s="31"/>
      <c r="O64" s="31"/>
      <c r="P64" s="31"/>
      <c r="Q64" s="31">
        <v>1</v>
      </c>
      <c r="R64" s="38">
        <f>H64</f>
        <v>30</v>
      </c>
    </row>
    <row r="65" spans="1:18" s="33" customFormat="1" x14ac:dyDescent="0.25">
      <c r="A65" s="31"/>
      <c r="B65" s="31" t="s">
        <v>29</v>
      </c>
      <c r="C65" s="31" t="s">
        <v>486</v>
      </c>
      <c r="D65" s="31" t="s">
        <v>487</v>
      </c>
      <c r="E65" s="31" t="s">
        <v>485</v>
      </c>
      <c r="F65" s="31" t="s">
        <v>132</v>
      </c>
      <c r="G65" s="32">
        <v>1535</v>
      </c>
      <c r="H65" s="32">
        <v>25</v>
      </c>
      <c r="I65" s="32">
        <f t="shared" si="0"/>
        <v>1510</v>
      </c>
      <c r="J65" s="31" t="s">
        <v>69</v>
      </c>
      <c r="K65" s="31" t="s">
        <v>35</v>
      </c>
      <c r="L65" s="31" t="s">
        <v>305</v>
      </c>
      <c r="M65" s="31"/>
      <c r="N65" s="31"/>
      <c r="O65" s="31"/>
      <c r="P65" s="31"/>
      <c r="Q65" s="31">
        <v>1</v>
      </c>
    </row>
    <row r="66" spans="1:18" s="33" customFormat="1" x14ac:dyDescent="0.25">
      <c r="A66" s="31"/>
      <c r="B66" s="31" t="s">
        <v>29</v>
      </c>
      <c r="C66" s="31" t="s">
        <v>488</v>
      </c>
      <c r="D66" s="31" t="s">
        <v>489</v>
      </c>
      <c r="E66" s="31" t="s">
        <v>490</v>
      </c>
      <c r="F66" s="32">
        <v>1</v>
      </c>
      <c r="G66" s="32">
        <v>0</v>
      </c>
      <c r="H66" s="32">
        <v>25</v>
      </c>
      <c r="I66" s="32">
        <f t="shared" ref="I66:I79" si="1">G66-H66</f>
        <v>-25</v>
      </c>
      <c r="J66" s="31" t="s">
        <v>69</v>
      </c>
      <c r="K66" s="31" t="s">
        <v>35</v>
      </c>
      <c r="L66" s="31" t="s">
        <v>305</v>
      </c>
      <c r="M66" s="31"/>
      <c r="N66" s="31"/>
      <c r="O66" s="31"/>
      <c r="P66" s="31"/>
      <c r="Q66" s="31">
        <v>1</v>
      </c>
      <c r="R66" s="38">
        <f>H66</f>
        <v>25</v>
      </c>
    </row>
    <row r="67" spans="1:18" s="33" customFormat="1" x14ac:dyDescent="0.25">
      <c r="A67" s="31"/>
      <c r="B67" s="31" t="s">
        <v>29</v>
      </c>
      <c r="C67" s="31" t="s">
        <v>491</v>
      </c>
      <c r="D67" s="31" t="s">
        <v>492</v>
      </c>
      <c r="E67" s="31" t="s">
        <v>493</v>
      </c>
      <c r="F67" s="31" t="s">
        <v>132</v>
      </c>
      <c r="G67" s="32">
        <v>705</v>
      </c>
      <c r="H67" s="32">
        <v>25</v>
      </c>
      <c r="I67" s="32">
        <f t="shared" si="1"/>
        <v>680</v>
      </c>
      <c r="J67" s="31" t="s">
        <v>69</v>
      </c>
      <c r="K67" s="31" t="s">
        <v>35</v>
      </c>
      <c r="L67" s="31" t="s">
        <v>305</v>
      </c>
      <c r="M67" s="31"/>
      <c r="N67" s="31"/>
      <c r="O67" s="31"/>
      <c r="P67" s="31"/>
      <c r="Q67" s="31">
        <v>1</v>
      </c>
    </row>
    <row r="68" spans="1:18" s="33" customFormat="1" x14ac:dyDescent="0.25">
      <c r="A68" s="31"/>
      <c r="B68" s="31" t="s">
        <v>29</v>
      </c>
      <c r="C68" s="31" t="s">
        <v>494</v>
      </c>
      <c r="D68" s="31" t="s">
        <v>495</v>
      </c>
      <c r="E68" s="31" t="s">
        <v>496</v>
      </c>
      <c r="F68" s="32">
        <v>10</v>
      </c>
      <c r="G68" s="32">
        <v>705</v>
      </c>
      <c r="H68" s="32">
        <v>25</v>
      </c>
      <c r="I68" s="32">
        <f t="shared" si="1"/>
        <v>680</v>
      </c>
      <c r="J68" s="31" t="s">
        <v>69</v>
      </c>
      <c r="K68" s="31" t="s">
        <v>35</v>
      </c>
      <c r="L68" s="31" t="s">
        <v>305</v>
      </c>
      <c r="M68" s="31"/>
      <c r="N68" s="31"/>
      <c r="O68" s="31"/>
      <c r="P68" s="31"/>
      <c r="Q68" s="31">
        <v>1</v>
      </c>
    </row>
    <row r="69" spans="1:18" s="33" customFormat="1" x14ac:dyDescent="0.25">
      <c r="A69" s="31"/>
      <c r="B69" s="31" t="s">
        <v>29</v>
      </c>
      <c r="C69" s="31" t="s">
        <v>497</v>
      </c>
      <c r="D69" s="31" t="s">
        <v>498</v>
      </c>
      <c r="E69" s="31" t="s">
        <v>499</v>
      </c>
      <c r="F69" s="32">
        <v>1</v>
      </c>
      <c r="G69" s="32">
        <v>705</v>
      </c>
      <c r="H69" s="32">
        <v>25</v>
      </c>
      <c r="I69" s="32">
        <f t="shared" si="1"/>
        <v>680</v>
      </c>
      <c r="J69" s="31" t="s">
        <v>69</v>
      </c>
      <c r="K69" s="31" t="s">
        <v>35</v>
      </c>
      <c r="L69" s="31" t="s">
        <v>305</v>
      </c>
      <c r="M69" s="31"/>
      <c r="N69" s="31"/>
      <c r="O69" s="31"/>
      <c r="P69" s="31"/>
      <c r="Q69" s="31">
        <v>1</v>
      </c>
    </row>
    <row r="70" spans="1:18" s="33" customFormat="1" x14ac:dyDescent="0.25">
      <c r="A70" s="31"/>
      <c r="B70" s="31" t="s">
        <v>29</v>
      </c>
      <c r="C70" s="31" t="s">
        <v>500</v>
      </c>
      <c r="D70" s="31" t="s">
        <v>501</v>
      </c>
      <c r="E70" s="31" t="s">
        <v>502</v>
      </c>
      <c r="F70" s="31" t="s">
        <v>132</v>
      </c>
      <c r="G70" s="32">
        <v>715</v>
      </c>
      <c r="H70" s="32">
        <v>25</v>
      </c>
      <c r="I70" s="32">
        <f t="shared" si="1"/>
        <v>690</v>
      </c>
      <c r="J70" s="31" t="s">
        <v>69</v>
      </c>
      <c r="K70" s="31" t="s">
        <v>35</v>
      </c>
      <c r="L70" s="31" t="s">
        <v>305</v>
      </c>
      <c r="M70" s="31"/>
      <c r="N70" s="31"/>
      <c r="O70" s="31"/>
      <c r="P70" s="31"/>
      <c r="Q70" s="31">
        <v>1</v>
      </c>
    </row>
    <row r="71" spans="1:18" s="33" customFormat="1" x14ac:dyDescent="0.25">
      <c r="A71" s="31"/>
      <c r="B71" s="31" t="s">
        <v>29</v>
      </c>
      <c r="C71" s="31" t="s">
        <v>503</v>
      </c>
      <c r="D71" s="31" t="s">
        <v>504</v>
      </c>
      <c r="E71" s="31" t="s">
        <v>505</v>
      </c>
      <c r="F71" s="31" t="s">
        <v>132</v>
      </c>
      <c r="G71" s="32">
        <v>705</v>
      </c>
      <c r="H71" s="32">
        <v>25</v>
      </c>
      <c r="I71" s="32">
        <f t="shared" si="1"/>
        <v>680</v>
      </c>
      <c r="J71" s="31" t="s">
        <v>69</v>
      </c>
      <c r="K71" s="31" t="s">
        <v>35</v>
      </c>
      <c r="L71" s="31" t="s">
        <v>305</v>
      </c>
      <c r="M71" s="31"/>
      <c r="N71" s="31"/>
      <c r="O71" s="31"/>
      <c r="P71" s="31"/>
      <c r="Q71" s="31">
        <v>1</v>
      </c>
    </row>
    <row r="72" spans="1:18" s="33" customFormat="1" x14ac:dyDescent="0.25">
      <c r="A72" s="31"/>
      <c r="B72" s="31" t="s">
        <v>29</v>
      </c>
      <c r="C72" s="31" t="s">
        <v>506</v>
      </c>
      <c r="D72" s="31" t="s">
        <v>507</v>
      </c>
      <c r="E72" s="31" t="s">
        <v>508</v>
      </c>
      <c r="F72" s="31" t="s">
        <v>132</v>
      </c>
      <c r="G72" s="32">
        <v>435</v>
      </c>
      <c r="H72" s="32">
        <v>25</v>
      </c>
      <c r="I72" s="32">
        <f t="shared" si="1"/>
        <v>410</v>
      </c>
      <c r="J72" s="31" t="s">
        <v>69</v>
      </c>
      <c r="K72" s="31" t="s">
        <v>35</v>
      </c>
      <c r="L72" s="31" t="s">
        <v>305</v>
      </c>
      <c r="M72" s="31"/>
      <c r="N72" s="31"/>
      <c r="O72" s="31"/>
      <c r="P72" s="31"/>
      <c r="Q72" s="31">
        <v>1</v>
      </c>
    </row>
    <row r="73" spans="1:18" s="33" customFormat="1" x14ac:dyDescent="0.25">
      <c r="A73" s="31"/>
      <c r="B73" s="31" t="s">
        <v>29</v>
      </c>
      <c r="C73" s="31" t="s">
        <v>509</v>
      </c>
      <c r="D73" s="31" t="s">
        <v>510</v>
      </c>
      <c r="E73" s="31" t="s">
        <v>511</v>
      </c>
      <c r="F73" s="31" t="s">
        <v>252</v>
      </c>
      <c r="G73" s="32">
        <v>310</v>
      </c>
      <c r="H73" s="32">
        <v>20</v>
      </c>
      <c r="I73" s="32">
        <f t="shared" si="1"/>
        <v>290</v>
      </c>
      <c r="J73" s="31" t="s">
        <v>69</v>
      </c>
      <c r="K73" s="31" t="s">
        <v>35</v>
      </c>
      <c r="L73" s="31" t="s">
        <v>305</v>
      </c>
      <c r="M73" s="31"/>
      <c r="N73" s="31"/>
      <c r="O73" s="31"/>
      <c r="P73" s="31"/>
      <c r="Q73" s="31">
        <v>1</v>
      </c>
    </row>
    <row r="74" spans="1:18" s="33" customFormat="1" x14ac:dyDescent="0.25">
      <c r="A74" s="31"/>
      <c r="B74" s="31" t="s">
        <v>29</v>
      </c>
      <c r="C74" s="31" t="s">
        <v>512</v>
      </c>
      <c r="D74" s="31" t="s">
        <v>513</v>
      </c>
      <c r="E74" s="31" t="s">
        <v>514</v>
      </c>
      <c r="F74" s="32">
        <v>3</v>
      </c>
      <c r="G74" s="32">
        <v>575</v>
      </c>
      <c r="H74" s="32">
        <v>25</v>
      </c>
      <c r="I74" s="32">
        <f t="shared" si="1"/>
        <v>550</v>
      </c>
      <c r="J74" s="31" t="s">
        <v>69</v>
      </c>
      <c r="K74" s="31" t="s">
        <v>35</v>
      </c>
      <c r="L74" s="31" t="s">
        <v>305</v>
      </c>
      <c r="M74" s="31"/>
      <c r="N74" s="31"/>
      <c r="O74" s="31"/>
      <c r="P74" s="31"/>
      <c r="Q74" s="31">
        <v>1</v>
      </c>
    </row>
    <row r="75" spans="1:18" s="33" customFormat="1" x14ac:dyDescent="0.25">
      <c r="A75" s="31"/>
      <c r="B75" s="31" t="s">
        <v>29</v>
      </c>
      <c r="C75" s="31" t="s">
        <v>515</v>
      </c>
      <c r="D75" s="31" t="s">
        <v>516</v>
      </c>
      <c r="E75" s="31" t="s">
        <v>517</v>
      </c>
      <c r="F75" s="32">
        <v>1</v>
      </c>
      <c r="G75" s="32">
        <v>635</v>
      </c>
      <c r="H75" s="32">
        <v>25</v>
      </c>
      <c r="I75" s="32">
        <f t="shared" si="1"/>
        <v>610</v>
      </c>
      <c r="J75" s="31" t="s">
        <v>69</v>
      </c>
      <c r="K75" s="31" t="s">
        <v>35</v>
      </c>
      <c r="L75" s="31" t="s">
        <v>305</v>
      </c>
      <c r="M75" s="31"/>
      <c r="N75" s="31"/>
      <c r="O75" s="31"/>
      <c r="P75" s="31"/>
      <c r="Q75" s="31">
        <v>1</v>
      </c>
    </row>
    <row r="76" spans="1:18" s="33" customFormat="1" x14ac:dyDescent="0.25">
      <c r="A76" s="31"/>
      <c r="B76" s="31" t="s">
        <v>29</v>
      </c>
      <c r="C76" s="31" t="s">
        <v>518</v>
      </c>
      <c r="D76" s="31" t="s">
        <v>519</v>
      </c>
      <c r="E76" s="31" t="s">
        <v>520</v>
      </c>
      <c r="F76" s="32">
        <v>4</v>
      </c>
      <c r="G76" s="32">
        <v>415</v>
      </c>
      <c r="H76" s="32">
        <v>25</v>
      </c>
      <c r="I76" s="32">
        <f t="shared" si="1"/>
        <v>390</v>
      </c>
      <c r="J76" s="31" t="s">
        <v>69</v>
      </c>
      <c r="K76" s="31" t="s">
        <v>35</v>
      </c>
      <c r="L76" s="31" t="s">
        <v>305</v>
      </c>
      <c r="M76" s="31"/>
      <c r="N76" s="31"/>
      <c r="O76" s="31"/>
      <c r="P76" s="31"/>
      <c r="Q76" s="31">
        <v>1</v>
      </c>
    </row>
    <row r="77" spans="1:18" s="37" customFormat="1" x14ac:dyDescent="0.25">
      <c r="A77" s="34"/>
      <c r="B77" s="34" t="s">
        <v>29</v>
      </c>
      <c r="C77" s="34" t="s">
        <v>521</v>
      </c>
      <c r="D77" s="34" t="s">
        <v>522</v>
      </c>
      <c r="E77" s="34" t="s">
        <v>523</v>
      </c>
      <c r="F77" s="35">
        <v>10</v>
      </c>
      <c r="G77" s="35">
        <v>0</v>
      </c>
      <c r="H77" s="35">
        <v>25</v>
      </c>
      <c r="I77" s="35">
        <f t="shared" si="1"/>
        <v>-25</v>
      </c>
      <c r="J77" s="34" t="s">
        <v>69</v>
      </c>
      <c r="K77" s="34" t="s">
        <v>35</v>
      </c>
      <c r="L77" s="34" t="s">
        <v>305</v>
      </c>
      <c r="M77" s="34" t="s">
        <v>53</v>
      </c>
      <c r="N77" s="34"/>
      <c r="O77" s="34"/>
      <c r="P77" s="34"/>
      <c r="Q77" s="34">
        <v>1</v>
      </c>
      <c r="R77" s="36">
        <f>H77</f>
        <v>25</v>
      </c>
    </row>
    <row r="78" spans="1:18" s="33" customFormat="1" x14ac:dyDescent="0.25">
      <c r="A78" s="31"/>
      <c r="B78" s="31" t="s">
        <v>29</v>
      </c>
      <c r="C78" s="31" t="s">
        <v>524</v>
      </c>
      <c r="D78" s="31" t="s">
        <v>525</v>
      </c>
      <c r="E78" s="31" t="s">
        <v>526</v>
      </c>
      <c r="F78" s="32">
        <v>4</v>
      </c>
      <c r="G78" s="32">
        <v>435</v>
      </c>
      <c r="H78" s="32">
        <v>25</v>
      </c>
      <c r="I78" s="32">
        <f t="shared" si="1"/>
        <v>410</v>
      </c>
      <c r="J78" s="31" t="s">
        <v>69</v>
      </c>
      <c r="K78" s="31" t="s">
        <v>35</v>
      </c>
      <c r="L78" s="31" t="s">
        <v>305</v>
      </c>
      <c r="M78" s="31"/>
      <c r="N78" s="31"/>
      <c r="O78" s="31"/>
      <c r="P78" s="31"/>
      <c r="Q78" s="31">
        <v>1</v>
      </c>
    </row>
    <row r="79" spans="1:18" s="42" customFormat="1" x14ac:dyDescent="0.25">
      <c r="A79" s="40"/>
      <c r="B79" s="40" t="s">
        <v>29</v>
      </c>
      <c r="C79" s="40" t="s">
        <v>527</v>
      </c>
      <c r="D79" s="40" t="s">
        <v>528</v>
      </c>
      <c r="E79" s="40" t="s">
        <v>529</v>
      </c>
      <c r="F79" s="40" t="s">
        <v>530</v>
      </c>
      <c r="G79" s="41">
        <v>270</v>
      </c>
      <c r="H79" s="41">
        <v>0</v>
      </c>
      <c r="I79" s="41">
        <f t="shared" si="1"/>
        <v>270</v>
      </c>
      <c r="J79" s="40" t="s">
        <v>531</v>
      </c>
      <c r="K79" s="40" t="s">
        <v>35</v>
      </c>
      <c r="L79" s="40" t="s">
        <v>305</v>
      </c>
      <c r="M79" s="40" t="s">
        <v>532</v>
      </c>
      <c r="N79" s="40" t="s">
        <v>533</v>
      </c>
      <c r="O79" s="40"/>
      <c r="P79" s="40" t="s">
        <v>534</v>
      </c>
      <c r="Q79" s="40">
        <v>1</v>
      </c>
    </row>
    <row r="81" spans="1:18" x14ac:dyDescent="0.25">
      <c r="G81" s="1">
        <f t="shared" ref="G81:R81" si="2">SUBTOTAL(9,G3:G80)</f>
        <v>68816</v>
      </c>
      <c r="H81" s="1">
        <f t="shared" si="2"/>
        <v>2130</v>
      </c>
      <c r="I81" s="1">
        <f t="shared" si="2"/>
        <v>66686</v>
      </c>
      <c r="J81" s="1">
        <f t="shared" si="2"/>
        <v>0</v>
      </c>
      <c r="K81" s="1">
        <f t="shared" si="2"/>
        <v>0</v>
      </c>
      <c r="L81" s="1">
        <f t="shared" si="2"/>
        <v>0</v>
      </c>
      <c r="M81" s="1">
        <f t="shared" si="2"/>
        <v>0</v>
      </c>
      <c r="N81" s="1">
        <f t="shared" si="2"/>
        <v>0</v>
      </c>
      <c r="O81" s="1">
        <f t="shared" si="2"/>
        <v>0</v>
      </c>
      <c r="P81" s="1">
        <f t="shared" si="2"/>
        <v>0</v>
      </c>
      <c r="Q81" s="1">
        <f t="shared" si="2"/>
        <v>77</v>
      </c>
      <c r="R81" s="1">
        <f t="shared" si="2"/>
        <v>445</v>
      </c>
    </row>
    <row r="82" spans="1:18" x14ac:dyDescent="0.25">
      <c r="I82" s="1">
        <f>-H99</f>
        <v>-2050</v>
      </c>
      <c r="J82" s="1" t="s">
        <v>741</v>
      </c>
    </row>
    <row r="85" spans="1:18" ht="20.25" customHeight="1" x14ac:dyDescent="0.3">
      <c r="H85" s="4" t="s">
        <v>298</v>
      </c>
      <c r="I85" s="5" t="s">
        <v>15</v>
      </c>
      <c r="J85" s="6" t="s">
        <v>16</v>
      </c>
    </row>
    <row r="86" spans="1:18" ht="15.75" customHeight="1" x14ac:dyDescent="0.25">
      <c r="H86" s="7" t="s">
        <v>17</v>
      </c>
      <c r="I86" s="8">
        <f>SUM(I80:I84)</f>
        <v>64636</v>
      </c>
      <c r="J86" s="8">
        <f>Q81</f>
        <v>77</v>
      </c>
    </row>
    <row r="87" spans="1:18" x14ac:dyDescent="0.25">
      <c r="H87" s="9" t="s">
        <v>18</v>
      </c>
      <c r="I87" s="10">
        <f>R81</f>
        <v>445</v>
      </c>
      <c r="J87" s="11"/>
    </row>
    <row r="88" spans="1:18" x14ac:dyDescent="0.25">
      <c r="H88" s="9" t="s">
        <v>19</v>
      </c>
      <c r="I88" s="10">
        <f>S80</f>
        <v>0</v>
      </c>
      <c r="J88" s="11"/>
    </row>
    <row r="89" spans="1:18" x14ac:dyDescent="0.25">
      <c r="H89" s="9" t="s">
        <v>20</v>
      </c>
      <c r="I89" s="10">
        <f>T80</f>
        <v>0</v>
      </c>
      <c r="J89" s="11"/>
    </row>
    <row r="90" spans="1:18" x14ac:dyDescent="0.25">
      <c r="H90" s="9" t="s">
        <v>21</v>
      </c>
      <c r="I90" s="10">
        <f>U80</f>
        <v>0</v>
      </c>
      <c r="J90" s="11"/>
    </row>
    <row r="91" spans="1:18" ht="15.75" customHeight="1" x14ac:dyDescent="0.25">
      <c r="H91" s="12" t="s">
        <v>22</v>
      </c>
      <c r="I91" s="13"/>
      <c r="J91" s="13"/>
    </row>
    <row r="92" spans="1:18" ht="15.75" customHeight="1" x14ac:dyDescent="0.25">
      <c r="H92" s="14" t="s">
        <v>23</v>
      </c>
      <c r="I92" s="13"/>
      <c r="J92" s="13"/>
    </row>
    <row r="93" spans="1:18" ht="21" customHeight="1" x14ac:dyDescent="0.35">
      <c r="H93" s="15" t="s">
        <v>24</v>
      </c>
      <c r="I93" s="16">
        <f>SUM(I86:I92)</f>
        <v>65081</v>
      </c>
      <c r="J93" s="16">
        <f>SUM(J86:J90)</f>
        <v>77</v>
      </c>
    </row>
    <row r="94" spans="1:18" x14ac:dyDescent="0.25">
      <c r="A94" s="1" t="s">
        <v>744</v>
      </c>
    </row>
    <row r="95" spans="1:18" x14ac:dyDescent="0.25">
      <c r="A95" s="40" t="s">
        <v>29</v>
      </c>
      <c r="B95" s="40" t="s">
        <v>527</v>
      </c>
      <c r="C95" s="40" t="s">
        <v>528</v>
      </c>
      <c r="D95" s="40" t="s">
        <v>529</v>
      </c>
      <c r="E95" s="40" t="s">
        <v>530</v>
      </c>
      <c r="F95" s="41">
        <v>270</v>
      </c>
      <c r="G95" s="41">
        <v>0</v>
      </c>
      <c r="H95" s="41">
        <f t="shared" ref="H95:H98" si="3">F95-G95</f>
        <v>270</v>
      </c>
      <c r="I95" s="40" t="s">
        <v>531</v>
      </c>
      <c r="J95" s="40" t="s">
        <v>35</v>
      </c>
      <c r="K95" s="40" t="s">
        <v>305</v>
      </c>
      <c r="L95" s="40" t="s">
        <v>532</v>
      </c>
    </row>
    <row r="96" spans="1:18" x14ac:dyDescent="0.25">
      <c r="A96" s="40" t="s">
        <v>29</v>
      </c>
      <c r="B96" s="40" t="s">
        <v>231</v>
      </c>
      <c r="C96" s="40" t="s">
        <v>232</v>
      </c>
      <c r="D96" s="40" t="s">
        <v>233</v>
      </c>
      <c r="E96" s="40" t="s">
        <v>57</v>
      </c>
      <c r="F96" s="41">
        <v>460</v>
      </c>
      <c r="G96" s="41">
        <v>20</v>
      </c>
      <c r="H96" s="41">
        <f t="shared" si="3"/>
        <v>440</v>
      </c>
      <c r="I96" s="40" t="s">
        <v>531</v>
      </c>
      <c r="J96" s="40" t="s">
        <v>35</v>
      </c>
      <c r="K96" s="40" t="s">
        <v>89</v>
      </c>
      <c r="L96" s="40" t="s">
        <v>744</v>
      </c>
    </row>
    <row r="97" spans="1:12" x14ac:dyDescent="0.25">
      <c r="A97" s="40" t="s">
        <v>29</v>
      </c>
      <c r="B97" s="40" t="s">
        <v>784</v>
      </c>
      <c r="C97" s="40" t="s">
        <v>785</v>
      </c>
      <c r="D97" s="40" t="s">
        <v>786</v>
      </c>
      <c r="E97" s="41">
        <v>2</v>
      </c>
      <c r="F97" s="41">
        <v>640</v>
      </c>
      <c r="G97" s="41">
        <v>30</v>
      </c>
      <c r="H97" s="41">
        <f t="shared" si="3"/>
        <v>610</v>
      </c>
      <c r="I97" s="40" t="s">
        <v>531</v>
      </c>
      <c r="J97" s="40" t="s">
        <v>35</v>
      </c>
      <c r="K97" s="40" t="s">
        <v>761</v>
      </c>
      <c r="L97" s="40" t="s">
        <v>744</v>
      </c>
    </row>
    <row r="98" spans="1:12" x14ac:dyDescent="0.25">
      <c r="A98" s="40" t="s">
        <v>29</v>
      </c>
      <c r="B98" s="40" t="s">
        <v>256</v>
      </c>
      <c r="C98" s="40" t="s">
        <v>257</v>
      </c>
      <c r="D98" s="40" t="s">
        <v>258</v>
      </c>
      <c r="E98" s="41">
        <v>10</v>
      </c>
      <c r="F98" s="41">
        <v>755</v>
      </c>
      <c r="G98" s="41">
        <v>25</v>
      </c>
      <c r="H98" s="41">
        <f t="shared" si="3"/>
        <v>730</v>
      </c>
      <c r="I98" s="40" t="s">
        <v>531</v>
      </c>
      <c r="J98" s="40" t="s">
        <v>35</v>
      </c>
      <c r="K98" s="40" t="s">
        <v>89</v>
      </c>
      <c r="L98" s="40" t="s">
        <v>744</v>
      </c>
    </row>
    <row r="99" spans="1:12" x14ac:dyDescent="0.25">
      <c r="H99" s="1">
        <f>SUBTOTAL(9,H95:H98)</f>
        <v>2050</v>
      </c>
    </row>
  </sheetData>
  <autoFilter ref="A2:P79" xr:uid="{00000000-0009-0000-0000-000006000000}">
    <sortState xmlns:xlrd2="http://schemas.microsoft.com/office/spreadsheetml/2017/richdata2" ref="A3:P79">
      <sortCondition ref="J2:J79"/>
    </sortState>
  </autoFilter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0CD50-58C2-4BCE-BC1D-FB830B58974D}">
  <dimension ref="A1:R120"/>
  <sheetViews>
    <sheetView topLeftCell="A7" zoomScale="85" zoomScaleNormal="85" workbookViewId="0">
      <selection activeCell="J42" sqref="J42"/>
    </sheetView>
  </sheetViews>
  <sheetFormatPr defaultRowHeight="15" x14ac:dyDescent="0.25"/>
  <cols>
    <col min="1" max="1" width="9.140625" style="1"/>
    <col min="2" max="2" width="10.28515625" style="1" customWidth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20" style="1" bestFit="1" customWidth="1"/>
    <col min="14" max="16384" width="9.140625" style="1"/>
  </cols>
  <sheetData>
    <row r="1" spans="1:18" x14ac:dyDescent="0.25">
      <c r="B1" s="1" t="s">
        <v>537</v>
      </c>
      <c r="C1" s="1" t="s">
        <v>536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37" customFormat="1" x14ac:dyDescent="0.25">
      <c r="A3" s="34"/>
      <c r="B3" s="34" t="s">
        <v>29</v>
      </c>
      <c r="C3" s="34" t="s">
        <v>539</v>
      </c>
      <c r="D3" s="34" t="s">
        <v>540</v>
      </c>
      <c r="E3" s="34" t="s">
        <v>541</v>
      </c>
      <c r="F3" s="34" t="s">
        <v>33</v>
      </c>
      <c r="G3" s="35">
        <v>0</v>
      </c>
      <c r="H3" s="35">
        <v>25</v>
      </c>
      <c r="I3" s="35">
        <f t="shared" ref="I3:I64" si="0">G3-H3</f>
        <v>-25</v>
      </c>
      <c r="J3" s="34" t="s">
        <v>542</v>
      </c>
      <c r="K3" s="34" t="s">
        <v>35</v>
      </c>
      <c r="L3" s="34" t="s">
        <v>543</v>
      </c>
      <c r="M3" s="34" t="s">
        <v>53</v>
      </c>
      <c r="N3" s="34"/>
      <c r="O3" s="34"/>
      <c r="P3" s="34"/>
      <c r="Q3" s="34">
        <v>1</v>
      </c>
      <c r="R3" s="36">
        <f>H3</f>
        <v>25</v>
      </c>
    </row>
    <row r="4" spans="1:18" s="33" customFormat="1" x14ac:dyDescent="0.25">
      <c r="A4" s="31"/>
      <c r="B4" s="31" t="s">
        <v>29</v>
      </c>
      <c r="C4" s="31" t="s">
        <v>544</v>
      </c>
      <c r="D4" s="31" t="s">
        <v>545</v>
      </c>
      <c r="E4" s="31" t="s">
        <v>546</v>
      </c>
      <c r="F4" s="31" t="s">
        <v>132</v>
      </c>
      <c r="G4" s="32">
        <v>435</v>
      </c>
      <c r="H4" s="32">
        <v>25</v>
      </c>
      <c r="I4" s="32">
        <f t="shared" si="0"/>
        <v>410</v>
      </c>
      <c r="J4" s="31" t="s">
        <v>542</v>
      </c>
      <c r="K4" s="31" t="s">
        <v>35</v>
      </c>
      <c r="L4" s="31" t="s">
        <v>543</v>
      </c>
      <c r="M4" s="31"/>
      <c r="N4" s="31"/>
      <c r="O4" s="31"/>
      <c r="P4" s="31"/>
      <c r="Q4" s="31">
        <v>1</v>
      </c>
    </row>
    <row r="5" spans="1:18" s="33" customFormat="1" x14ac:dyDescent="0.25">
      <c r="A5" s="31"/>
      <c r="B5" s="31" t="s">
        <v>29</v>
      </c>
      <c r="C5" s="31" t="s">
        <v>547</v>
      </c>
      <c r="D5" s="31" t="s">
        <v>548</v>
      </c>
      <c r="E5" s="31" t="s">
        <v>549</v>
      </c>
      <c r="F5" s="31" t="s">
        <v>48</v>
      </c>
      <c r="G5" s="32">
        <v>30</v>
      </c>
      <c r="H5" s="32">
        <v>30</v>
      </c>
      <c r="I5" s="32">
        <f t="shared" si="0"/>
        <v>0</v>
      </c>
      <c r="J5" s="31" t="s">
        <v>542</v>
      </c>
      <c r="K5" s="31" t="s">
        <v>35</v>
      </c>
      <c r="L5" s="31" t="s">
        <v>543</v>
      </c>
      <c r="M5" s="31"/>
      <c r="N5" s="31"/>
      <c r="O5" s="31"/>
      <c r="P5" s="31"/>
      <c r="Q5" s="31">
        <v>1</v>
      </c>
    </row>
    <row r="6" spans="1:18" s="33" customFormat="1" x14ac:dyDescent="0.25">
      <c r="A6" s="31"/>
      <c r="B6" s="31" t="s">
        <v>29</v>
      </c>
      <c r="C6" s="31" t="s">
        <v>550</v>
      </c>
      <c r="D6" s="31" t="s">
        <v>551</v>
      </c>
      <c r="E6" s="31" t="s">
        <v>552</v>
      </c>
      <c r="F6" s="32">
        <v>12</v>
      </c>
      <c r="G6" s="32">
        <v>850</v>
      </c>
      <c r="H6" s="32">
        <v>30</v>
      </c>
      <c r="I6" s="32">
        <f t="shared" si="0"/>
        <v>820</v>
      </c>
      <c r="J6" s="31" t="s">
        <v>542</v>
      </c>
      <c r="K6" s="31" t="s">
        <v>35</v>
      </c>
      <c r="L6" s="31" t="s">
        <v>543</v>
      </c>
      <c r="M6" s="31"/>
      <c r="N6" s="31"/>
      <c r="O6" s="31"/>
      <c r="P6" s="31"/>
      <c r="Q6" s="31">
        <v>1</v>
      </c>
    </row>
    <row r="7" spans="1:18" s="33" customFormat="1" x14ac:dyDescent="0.25">
      <c r="A7" s="31"/>
      <c r="B7" s="31" t="s">
        <v>29</v>
      </c>
      <c r="C7" s="31" t="s">
        <v>553</v>
      </c>
      <c r="D7" s="31" t="s">
        <v>554</v>
      </c>
      <c r="E7" s="31" t="s">
        <v>555</v>
      </c>
      <c r="F7" s="31" t="s">
        <v>99</v>
      </c>
      <c r="G7" s="32">
        <v>1610</v>
      </c>
      <c r="H7" s="32">
        <v>45</v>
      </c>
      <c r="I7" s="32">
        <f t="shared" si="0"/>
        <v>1565</v>
      </c>
      <c r="J7" s="31" t="s">
        <v>542</v>
      </c>
      <c r="K7" s="31" t="s">
        <v>35</v>
      </c>
      <c r="L7" s="31" t="s">
        <v>543</v>
      </c>
      <c r="M7" s="39" t="s">
        <v>556</v>
      </c>
      <c r="N7" s="31"/>
      <c r="O7" s="31"/>
      <c r="P7" s="31"/>
      <c r="Q7" s="31">
        <v>1</v>
      </c>
      <c r="R7" s="38">
        <f>H7</f>
        <v>45</v>
      </c>
    </row>
    <row r="8" spans="1:18" s="33" customFormat="1" x14ac:dyDescent="0.25">
      <c r="A8" s="31"/>
      <c r="B8" s="31" t="s">
        <v>29</v>
      </c>
      <c r="C8" s="31" t="s">
        <v>553</v>
      </c>
      <c r="D8" s="31" t="s">
        <v>557</v>
      </c>
      <c r="E8" s="31" t="s">
        <v>555</v>
      </c>
      <c r="F8" s="31" t="s">
        <v>99</v>
      </c>
      <c r="G8" s="32">
        <v>1840</v>
      </c>
      <c r="H8" s="32">
        <v>0</v>
      </c>
      <c r="I8" s="32">
        <f t="shared" si="0"/>
        <v>1840</v>
      </c>
      <c r="J8" s="31" t="s">
        <v>542</v>
      </c>
      <c r="K8" s="31" t="s">
        <v>35</v>
      </c>
      <c r="L8" s="31" t="s">
        <v>543</v>
      </c>
      <c r="M8" s="39" t="s">
        <v>469</v>
      </c>
      <c r="N8" s="31"/>
      <c r="O8" s="31"/>
      <c r="P8" s="31"/>
      <c r="Q8" s="31">
        <v>1</v>
      </c>
    </row>
    <row r="9" spans="1:18" s="33" customFormat="1" x14ac:dyDescent="0.25">
      <c r="A9" s="31"/>
      <c r="B9" s="31" t="s">
        <v>29</v>
      </c>
      <c r="C9" s="31" t="s">
        <v>558</v>
      </c>
      <c r="D9" s="31" t="s">
        <v>559</v>
      </c>
      <c r="E9" s="31" t="s">
        <v>560</v>
      </c>
      <c r="F9" s="32">
        <v>12</v>
      </c>
      <c r="G9" s="32">
        <v>0</v>
      </c>
      <c r="H9" s="32">
        <v>30</v>
      </c>
      <c r="I9" s="32">
        <f t="shared" si="0"/>
        <v>-30</v>
      </c>
      <c r="J9" s="31" t="s">
        <v>542</v>
      </c>
      <c r="K9" s="31" t="s">
        <v>35</v>
      </c>
      <c r="L9" s="31" t="s">
        <v>543</v>
      </c>
      <c r="M9" s="31"/>
      <c r="N9" s="31"/>
      <c r="O9" s="31"/>
      <c r="P9" s="31"/>
      <c r="Q9" s="31">
        <v>1</v>
      </c>
      <c r="R9" s="38">
        <f t="shared" ref="R9:R10" si="1">H9</f>
        <v>30</v>
      </c>
    </row>
    <row r="10" spans="1:18" s="33" customFormat="1" x14ac:dyDescent="0.25">
      <c r="A10" s="31" t="s">
        <v>43</v>
      </c>
      <c r="B10" s="31" t="s">
        <v>29</v>
      </c>
      <c r="C10" s="31" t="s">
        <v>561</v>
      </c>
      <c r="D10" s="31"/>
      <c r="E10" s="31" t="s">
        <v>562</v>
      </c>
      <c r="F10" s="32">
        <v>7</v>
      </c>
      <c r="G10" s="32">
        <v>0</v>
      </c>
      <c r="H10" s="32">
        <v>35</v>
      </c>
      <c r="I10" s="32">
        <f t="shared" si="0"/>
        <v>-35</v>
      </c>
      <c r="J10" s="31" t="s">
        <v>542</v>
      </c>
      <c r="K10" s="31" t="s">
        <v>35</v>
      </c>
      <c r="L10" s="31" t="s">
        <v>543</v>
      </c>
      <c r="M10" s="31"/>
      <c r="N10" s="31"/>
      <c r="O10" s="31"/>
      <c r="P10" s="31"/>
      <c r="Q10" s="31">
        <v>1</v>
      </c>
      <c r="R10" s="38">
        <f t="shared" si="1"/>
        <v>35</v>
      </c>
    </row>
    <row r="11" spans="1:18" s="33" customFormat="1" x14ac:dyDescent="0.25">
      <c r="A11" s="31"/>
      <c r="B11" s="31" t="s">
        <v>29</v>
      </c>
      <c r="C11" s="31" t="s">
        <v>563</v>
      </c>
      <c r="D11" s="31" t="s">
        <v>564</v>
      </c>
      <c r="E11" s="31" t="s">
        <v>565</v>
      </c>
      <c r="F11" s="32">
        <v>7</v>
      </c>
      <c r="G11" s="32">
        <v>250</v>
      </c>
      <c r="H11" s="32">
        <v>30</v>
      </c>
      <c r="I11" s="32">
        <f t="shared" si="0"/>
        <v>220</v>
      </c>
      <c r="J11" s="31" t="s">
        <v>566</v>
      </c>
      <c r="K11" s="31" t="s">
        <v>35</v>
      </c>
      <c r="L11" s="31" t="s">
        <v>543</v>
      </c>
      <c r="M11" s="31"/>
      <c r="N11" s="31"/>
      <c r="O11" s="31"/>
      <c r="P11" s="31"/>
      <c r="Q11" s="31">
        <v>1</v>
      </c>
    </row>
    <row r="12" spans="1:18" s="33" customFormat="1" x14ac:dyDescent="0.25">
      <c r="A12" s="31"/>
      <c r="B12" s="31" t="s">
        <v>29</v>
      </c>
      <c r="C12" s="31" t="s">
        <v>567</v>
      </c>
      <c r="D12" s="31" t="s">
        <v>568</v>
      </c>
      <c r="E12" s="31" t="s">
        <v>569</v>
      </c>
      <c r="F12" s="32">
        <v>9</v>
      </c>
      <c r="G12" s="32">
        <v>400</v>
      </c>
      <c r="H12" s="32">
        <v>30</v>
      </c>
      <c r="I12" s="32">
        <f t="shared" si="0"/>
        <v>370</v>
      </c>
      <c r="J12" s="31" t="s">
        <v>566</v>
      </c>
      <c r="K12" s="31" t="s">
        <v>35</v>
      </c>
      <c r="L12" s="31" t="s">
        <v>543</v>
      </c>
      <c r="M12" s="31"/>
      <c r="N12" s="31"/>
      <c r="O12" s="31"/>
      <c r="P12" s="31"/>
      <c r="Q12" s="31">
        <v>1</v>
      </c>
    </row>
    <row r="13" spans="1:18" s="33" customFormat="1" x14ac:dyDescent="0.25">
      <c r="A13" s="31"/>
      <c r="B13" s="31" t="s">
        <v>29</v>
      </c>
      <c r="C13" s="31" t="s">
        <v>570</v>
      </c>
      <c r="D13" s="31" t="s">
        <v>571</v>
      </c>
      <c r="E13" s="31" t="s">
        <v>572</v>
      </c>
      <c r="F13" s="32">
        <v>6</v>
      </c>
      <c r="G13" s="32">
        <v>705</v>
      </c>
      <c r="H13" s="32">
        <v>25</v>
      </c>
      <c r="I13" s="32">
        <f t="shared" si="0"/>
        <v>680</v>
      </c>
      <c r="J13" s="31" t="s">
        <v>566</v>
      </c>
      <c r="K13" s="31" t="s">
        <v>35</v>
      </c>
      <c r="L13" s="31" t="s">
        <v>543</v>
      </c>
      <c r="M13" s="31"/>
      <c r="N13" s="31"/>
      <c r="O13" s="31"/>
      <c r="P13" s="31"/>
      <c r="Q13" s="31">
        <v>1</v>
      </c>
    </row>
    <row r="14" spans="1:18" s="33" customFormat="1" x14ac:dyDescent="0.25">
      <c r="A14" s="31"/>
      <c r="B14" s="31" t="s">
        <v>29</v>
      </c>
      <c r="C14" s="31" t="s">
        <v>573</v>
      </c>
      <c r="D14" s="31" t="s">
        <v>574</v>
      </c>
      <c r="E14" s="31" t="s">
        <v>575</v>
      </c>
      <c r="F14" s="32">
        <v>7</v>
      </c>
      <c r="G14" s="32">
        <v>520</v>
      </c>
      <c r="H14" s="32">
        <v>30</v>
      </c>
      <c r="I14" s="32">
        <f t="shared" si="0"/>
        <v>490</v>
      </c>
      <c r="J14" s="31" t="s">
        <v>566</v>
      </c>
      <c r="K14" s="31" t="s">
        <v>35</v>
      </c>
      <c r="L14" s="31" t="s">
        <v>543</v>
      </c>
      <c r="M14" s="31"/>
      <c r="N14" s="31"/>
      <c r="O14" s="31"/>
      <c r="P14" s="31"/>
      <c r="Q14" s="31">
        <v>1</v>
      </c>
    </row>
    <row r="15" spans="1:18" s="33" customFormat="1" x14ac:dyDescent="0.25">
      <c r="A15" s="31"/>
      <c r="B15" s="31" t="s">
        <v>29</v>
      </c>
      <c r="C15" s="31" t="s">
        <v>576</v>
      </c>
      <c r="D15" s="31" t="s">
        <v>577</v>
      </c>
      <c r="E15" s="31" t="s">
        <v>578</v>
      </c>
      <c r="F15" s="32">
        <v>9</v>
      </c>
      <c r="G15" s="32">
        <v>540</v>
      </c>
      <c r="H15" s="32">
        <v>30</v>
      </c>
      <c r="I15" s="32">
        <f t="shared" si="0"/>
        <v>510</v>
      </c>
      <c r="J15" s="31" t="s">
        <v>566</v>
      </c>
      <c r="K15" s="31" t="s">
        <v>35</v>
      </c>
      <c r="L15" s="31" t="s">
        <v>543</v>
      </c>
      <c r="M15" s="31"/>
      <c r="N15" s="31"/>
      <c r="O15" s="31"/>
      <c r="P15" s="31"/>
      <c r="Q15" s="31">
        <v>1</v>
      </c>
    </row>
    <row r="16" spans="1:18" s="33" customFormat="1" x14ac:dyDescent="0.25">
      <c r="A16" s="31"/>
      <c r="B16" s="31" t="s">
        <v>29</v>
      </c>
      <c r="C16" s="31" t="s">
        <v>579</v>
      </c>
      <c r="D16" s="31" t="s">
        <v>580</v>
      </c>
      <c r="E16" s="31" t="s">
        <v>581</v>
      </c>
      <c r="F16" s="31" t="s">
        <v>87</v>
      </c>
      <c r="G16" s="32">
        <v>725</v>
      </c>
      <c r="H16" s="32">
        <v>35</v>
      </c>
      <c r="I16" s="32">
        <f t="shared" si="0"/>
        <v>690</v>
      </c>
      <c r="J16" s="31" t="s">
        <v>566</v>
      </c>
      <c r="K16" s="31" t="s">
        <v>35</v>
      </c>
      <c r="L16" s="31" t="s">
        <v>543</v>
      </c>
      <c r="M16" s="31"/>
      <c r="N16" s="31"/>
      <c r="O16" s="31"/>
      <c r="P16" s="31"/>
      <c r="Q16" s="31">
        <v>1</v>
      </c>
    </row>
    <row r="17" spans="1:18" s="33" customFormat="1" x14ac:dyDescent="0.25">
      <c r="A17" s="31"/>
      <c r="B17" s="31" t="s">
        <v>29</v>
      </c>
      <c r="C17" s="31" t="s">
        <v>582</v>
      </c>
      <c r="D17" s="31" t="s">
        <v>583</v>
      </c>
      <c r="E17" s="31" t="s">
        <v>584</v>
      </c>
      <c r="F17" s="32">
        <v>6</v>
      </c>
      <c r="G17" s="32">
        <v>455</v>
      </c>
      <c r="H17" s="32">
        <v>25</v>
      </c>
      <c r="I17" s="32">
        <f t="shared" si="0"/>
        <v>430</v>
      </c>
      <c r="J17" s="31" t="s">
        <v>566</v>
      </c>
      <c r="K17" s="31" t="s">
        <v>35</v>
      </c>
      <c r="L17" s="31" t="s">
        <v>543</v>
      </c>
      <c r="M17" s="31"/>
      <c r="N17" s="31"/>
      <c r="O17" s="31"/>
      <c r="P17" s="31"/>
      <c r="Q17" s="31">
        <v>1</v>
      </c>
    </row>
    <row r="18" spans="1:18" s="33" customFormat="1" x14ac:dyDescent="0.25">
      <c r="A18" s="31"/>
      <c r="B18" s="31" t="s">
        <v>29</v>
      </c>
      <c r="C18" s="31" t="s">
        <v>585</v>
      </c>
      <c r="D18" s="31" t="s">
        <v>586</v>
      </c>
      <c r="E18" s="31" t="s">
        <v>587</v>
      </c>
      <c r="F18" s="31" t="s">
        <v>87</v>
      </c>
      <c r="G18" s="32">
        <v>0</v>
      </c>
      <c r="H18" s="32">
        <v>35</v>
      </c>
      <c r="I18" s="32">
        <f t="shared" si="0"/>
        <v>-35</v>
      </c>
      <c r="J18" s="31" t="s">
        <v>566</v>
      </c>
      <c r="K18" s="31" t="s">
        <v>35</v>
      </c>
      <c r="L18" s="31" t="s">
        <v>543</v>
      </c>
      <c r="M18" s="31"/>
      <c r="N18" s="31"/>
      <c r="O18" s="31"/>
      <c r="P18" s="31"/>
      <c r="Q18" s="31">
        <v>1</v>
      </c>
      <c r="R18" s="38">
        <f>H18</f>
        <v>35</v>
      </c>
    </row>
    <row r="19" spans="1:18" s="33" customFormat="1" x14ac:dyDescent="0.25">
      <c r="A19" s="31"/>
      <c r="B19" s="31" t="s">
        <v>29</v>
      </c>
      <c r="C19" s="31" t="s">
        <v>588</v>
      </c>
      <c r="D19" s="31" t="s">
        <v>589</v>
      </c>
      <c r="E19" s="31" t="s">
        <v>590</v>
      </c>
      <c r="F19" s="32">
        <v>11</v>
      </c>
      <c r="G19" s="32">
        <v>1255</v>
      </c>
      <c r="H19" s="32">
        <v>25</v>
      </c>
      <c r="I19" s="32">
        <f t="shared" si="0"/>
        <v>1230</v>
      </c>
      <c r="J19" s="31" t="s">
        <v>566</v>
      </c>
      <c r="K19" s="31" t="s">
        <v>35</v>
      </c>
      <c r="L19" s="31" t="s">
        <v>543</v>
      </c>
      <c r="M19" s="31"/>
      <c r="N19" s="31"/>
      <c r="O19" s="31"/>
      <c r="P19" s="31"/>
      <c r="Q19" s="31">
        <v>1</v>
      </c>
    </row>
    <row r="20" spans="1:18" s="37" customFormat="1" x14ac:dyDescent="0.25">
      <c r="A20" s="34"/>
      <c r="B20" s="34" t="s">
        <v>29</v>
      </c>
      <c r="C20" s="34" t="s">
        <v>591</v>
      </c>
      <c r="D20" s="34" t="s">
        <v>592</v>
      </c>
      <c r="E20" s="34" t="s">
        <v>593</v>
      </c>
      <c r="F20" s="35">
        <v>7</v>
      </c>
      <c r="G20" s="35">
        <v>0</v>
      </c>
      <c r="H20" s="35">
        <v>30</v>
      </c>
      <c r="I20" s="35">
        <f t="shared" si="0"/>
        <v>-30</v>
      </c>
      <c r="J20" s="34" t="s">
        <v>566</v>
      </c>
      <c r="K20" s="34" t="s">
        <v>35</v>
      </c>
      <c r="L20" s="34" t="s">
        <v>543</v>
      </c>
      <c r="M20" s="34" t="s">
        <v>53</v>
      </c>
      <c r="N20" s="34"/>
      <c r="O20" s="34"/>
      <c r="P20" s="34"/>
      <c r="Q20" s="34">
        <v>1</v>
      </c>
      <c r="R20" s="36">
        <f>H20</f>
        <v>30</v>
      </c>
    </row>
    <row r="21" spans="1:18" s="33" customFormat="1" x14ac:dyDescent="0.25">
      <c r="A21" s="31"/>
      <c r="B21" s="31" t="s">
        <v>29</v>
      </c>
      <c r="C21" s="31" t="s">
        <v>594</v>
      </c>
      <c r="D21" s="31" t="s">
        <v>595</v>
      </c>
      <c r="E21" s="31" t="s">
        <v>596</v>
      </c>
      <c r="F21" s="32">
        <v>8</v>
      </c>
      <c r="G21" s="32">
        <v>920</v>
      </c>
      <c r="H21" s="32">
        <v>30</v>
      </c>
      <c r="I21" s="32">
        <f t="shared" si="0"/>
        <v>890</v>
      </c>
      <c r="J21" s="31" t="s">
        <v>566</v>
      </c>
      <c r="K21" s="31" t="s">
        <v>35</v>
      </c>
      <c r="L21" s="31" t="s">
        <v>543</v>
      </c>
      <c r="M21" s="31"/>
      <c r="N21" s="31"/>
      <c r="O21" s="31"/>
      <c r="P21" s="31"/>
      <c r="Q21" s="31">
        <v>1</v>
      </c>
    </row>
    <row r="22" spans="1:18" s="33" customFormat="1" x14ac:dyDescent="0.25">
      <c r="A22" s="31"/>
      <c r="B22" s="31" t="s">
        <v>29</v>
      </c>
      <c r="C22" s="31" t="s">
        <v>597</v>
      </c>
      <c r="D22" s="31" t="s">
        <v>598</v>
      </c>
      <c r="E22" s="31" t="s">
        <v>599</v>
      </c>
      <c r="F22" s="32">
        <v>7</v>
      </c>
      <c r="G22" s="32">
        <v>920</v>
      </c>
      <c r="H22" s="32">
        <v>30</v>
      </c>
      <c r="I22" s="32">
        <f t="shared" si="0"/>
        <v>890</v>
      </c>
      <c r="J22" s="31" t="s">
        <v>566</v>
      </c>
      <c r="K22" s="31" t="s">
        <v>35</v>
      </c>
      <c r="L22" s="31" t="s">
        <v>543</v>
      </c>
      <c r="M22" s="31"/>
      <c r="N22" s="31"/>
      <c r="O22" s="31"/>
      <c r="P22" s="31"/>
      <c r="Q22" s="31">
        <v>1</v>
      </c>
    </row>
    <row r="23" spans="1:18" s="33" customFormat="1" x14ac:dyDescent="0.25">
      <c r="A23" s="31"/>
      <c r="B23" s="31" t="s">
        <v>29</v>
      </c>
      <c r="C23" s="31" t="s">
        <v>600</v>
      </c>
      <c r="D23" s="31" t="s">
        <v>601</v>
      </c>
      <c r="E23" s="31" t="s">
        <v>602</v>
      </c>
      <c r="F23" s="32">
        <v>9</v>
      </c>
      <c r="G23" s="32">
        <v>0</v>
      </c>
      <c r="H23" s="32">
        <v>30</v>
      </c>
      <c r="I23" s="32">
        <f t="shared" si="0"/>
        <v>-30</v>
      </c>
      <c r="J23" s="31" t="s">
        <v>566</v>
      </c>
      <c r="K23" s="31" t="s">
        <v>35</v>
      </c>
      <c r="L23" s="31" t="s">
        <v>543</v>
      </c>
      <c r="M23" s="31"/>
      <c r="N23" s="31"/>
      <c r="O23" s="31"/>
      <c r="P23" s="31"/>
      <c r="Q23" s="31">
        <v>1</v>
      </c>
      <c r="R23" s="38">
        <f>H23</f>
        <v>30</v>
      </c>
    </row>
    <row r="24" spans="1:18" s="33" customFormat="1" x14ac:dyDescent="0.25">
      <c r="A24" s="31"/>
      <c r="B24" s="31" t="s">
        <v>29</v>
      </c>
      <c r="C24" s="31" t="s">
        <v>603</v>
      </c>
      <c r="D24" s="31" t="s">
        <v>604</v>
      </c>
      <c r="E24" s="31" t="s">
        <v>605</v>
      </c>
      <c r="F24" s="32">
        <v>12</v>
      </c>
      <c r="G24" s="32">
        <v>1110</v>
      </c>
      <c r="H24" s="32">
        <v>30</v>
      </c>
      <c r="I24" s="32">
        <f t="shared" si="0"/>
        <v>1080</v>
      </c>
      <c r="J24" s="31" t="s">
        <v>566</v>
      </c>
      <c r="K24" s="31" t="s">
        <v>35</v>
      </c>
      <c r="L24" s="31" t="s">
        <v>543</v>
      </c>
      <c r="M24" s="31"/>
      <c r="N24" s="31"/>
      <c r="O24" s="31"/>
      <c r="P24" s="31"/>
      <c r="Q24" s="31">
        <v>1</v>
      </c>
    </row>
    <row r="25" spans="1:18" s="33" customFormat="1" x14ac:dyDescent="0.25">
      <c r="A25" s="31"/>
      <c r="B25" s="31" t="s">
        <v>29</v>
      </c>
      <c r="C25" s="31" t="s">
        <v>606</v>
      </c>
      <c r="D25" s="31" t="s">
        <v>607</v>
      </c>
      <c r="E25" s="31" t="s">
        <v>608</v>
      </c>
      <c r="F25" s="32">
        <v>7</v>
      </c>
      <c r="G25" s="32">
        <v>430</v>
      </c>
      <c r="H25" s="32">
        <v>30</v>
      </c>
      <c r="I25" s="32">
        <f t="shared" si="0"/>
        <v>400</v>
      </c>
      <c r="J25" s="31" t="s">
        <v>566</v>
      </c>
      <c r="K25" s="31" t="s">
        <v>35</v>
      </c>
      <c r="L25" s="31" t="s">
        <v>543</v>
      </c>
      <c r="M25" s="31"/>
      <c r="N25" s="31"/>
      <c r="O25" s="31"/>
      <c r="P25" s="31"/>
      <c r="Q25" s="31">
        <v>1</v>
      </c>
    </row>
    <row r="26" spans="1:18" s="33" customFormat="1" x14ac:dyDescent="0.25">
      <c r="A26" s="31"/>
      <c r="B26" s="31" t="s">
        <v>29</v>
      </c>
      <c r="C26" s="31" t="s">
        <v>609</v>
      </c>
      <c r="D26" s="31" t="s">
        <v>610</v>
      </c>
      <c r="E26" s="31" t="s">
        <v>611</v>
      </c>
      <c r="F26" s="32">
        <v>9</v>
      </c>
      <c r="G26" s="32">
        <v>1070</v>
      </c>
      <c r="H26" s="32">
        <v>30</v>
      </c>
      <c r="I26" s="32">
        <f t="shared" si="0"/>
        <v>1040</v>
      </c>
      <c r="J26" s="31" t="s">
        <v>566</v>
      </c>
      <c r="K26" s="31" t="s">
        <v>35</v>
      </c>
      <c r="L26" s="31" t="s">
        <v>543</v>
      </c>
      <c r="M26" s="31"/>
      <c r="N26" s="31"/>
      <c r="O26" s="31"/>
      <c r="P26" s="31"/>
      <c r="Q26" s="31">
        <v>1</v>
      </c>
    </row>
    <row r="27" spans="1:18" s="33" customFormat="1" x14ac:dyDescent="0.25">
      <c r="A27" s="31"/>
      <c r="B27" s="31" t="s">
        <v>29</v>
      </c>
      <c r="C27" s="31" t="s">
        <v>612</v>
      </c>
      <c r="D27" s="31" t="s">
        <v>613</v>
      </c>
      <c r="E27" s="31" t="s">
        <v>614</v>
      </c>
      <c r="F27" s="32">
        <v>7</v>
      </c>
      <c r="G27" s="32">
        <v>550</v>
      </c>
      <c r="H27" s="32">
        <v>30</v>
      </c>
      <c r="I27" s="32">
        <f t="shared" si="0"/>
        <v>520</v>
      </c>
      <c r="J27" s="31" t="s">
        <v>566</v>
      </c>
      <c r="K27" s="31" t="s">
        <v>35</v>
      </c>
      <c r="L27" s="31" t="s">
        <v>543</v>
      </c>
      <c r="M27" s="31"/>
      <c r="N27" s="31"/>
      <c r="O27" s="31"/>
      <c r="P27" s="31"/>
      <c r="Q27" s="31">
        <v>1</v>
      </c>
    </row>
    <row r="28" spans="1:18" s="33" customFormat="1" x14ac:dyDescent="0.25">
      <c r="A28" s="31"/>
      <c r="B28" s="31" t="s">
        <v>29</v>
      </c>
      <c r="C28" s="31" t="s">
        <v>615</v>
      </c>
      <c r="D28" s="31" t="s">
        <v>616</v>
      </c>
      <c r="E28" s="31" t="s">
        <v>617</v>
      </c>
      <c r="F28" s="32">
        <v>7</v>
      </c>
      <c r="G28" s="32">
        <v>2445</v>
      </c>
      <c r="H28" s="32">
        <v>35</v>
      </c>
      <c r="I28" s="32">
        <f t="shared" si="0"/>
        <v>2410</v>
      </c>
      <c r="J28" s="31" t="s">
        <v>566</v>
      </c>
      <c r="K28" s="31" t="s">
        <v>35</v>
      </c>
      <c r="L28" s="31" t="s">
        <v>543</v>
      </c>
      <c r="M28" s="31"/>
      <c r="N28" s="31"/>
      <c r="O28" s="31"/>
      <c r="P28" s="31"/>
      <c r="Q28" s="31">
        <v>1</v>
      </c>
    </row>
    <row r="29" spans="1:18" s="33" customFormat="1" x14ac:dyDescent="0.25">
      <c r="A29" s="31"/>
      <c r="B29" s="31" t="s">
        <v>29</v>
      </c>
      <c r="C29" s="31" t="s">
        <v>618</v>
      </c>
      <c r="D29" s="31" t="s">
        <v>619</v>
      </c>
      <c r="E29" s="31" t="s">
        <v>620</v>
      </c>
      <c r="F29" s="32">
        <v>9</v>
      </c>
      <c r="G29" s="32">
        <v>420</v>
      </c>
      <c r="H29" s="32">
        <v>30</v>
      </c>
      <c r="I29" s="32">
        <f t="shared" si="0"/>
        <v>390</v>
      </c>
      <c r="J29" s="31" t="s">
        <v>566</v>
      </c>
      <c r="K29" s="31" t="s">
        <v>35</v>
      </c>
      <c r="L29" s="31" t="s">
        <v>543</v>
      </c>
      <c r="M29" s="31"/>
      <c r="N29" s="31"/>
      <c r="O29" s="31"/>
      <c r="P29" s="31"/>
      <c r="Q29" s="31">
        <v>1</v>
      </c>
    </row>
    <row r="30" spans="1:18" s="33" customFormat="1" x14ac:dyDescent="0.25">
      <c r="A30" s="31"/>
      <c r="B30" s="31" t="s">
        <v>29</v>
      </c>
      <c r="C30" s="31" t="s">
        <v>621</v>
      </c>
      <c r="D30" s="31" t="s">
        <v>622</v>
      </c>
      <c r="E30" s="31" t="s">
        <v>623</v>
      </c>
      <c r="F30" s="32">
        <v>9</v>
      </c>
      <c r="G30" s="32">
        <v>1180</v>
      </c>
      <c r="H30" s="32">
        <v>30</v>
      </c>
      <c r="I30" s="32">
        <f t="shared" si="0"/>
        <v>1150</v>
      </c>
      <c r="J30" s="31" t="s">
        <v>566</v>
      </c>
      <c r="K30" s="31" t="s">
        <v>35</v>
      </c>
      <c r="L30" s="31" t="s">
        <v>543</v>
      </c>
      <c r="M30" s="31"/>
      <c r="N30" s="31"/>
      <c r="O30" s="31"/>
      <c r="P30" s="31"/>
      <c r="Q30" s="31">
        <v>1</v>
      </c>
    </row>
    <row r="31" spans="1:18" s="33" customFormat="1" x14ac:dyDescent="0.25">
      <c r="A31" s="31"/>
      <c r="B31" s="31" t="s">
        <v>29</v>
      </c>
      <c r="C31" s="31" t="s">
        <v>624</v>
      </c>
      <c r="D31" s="31" t="s">
        <v>625</v>
      </c>
      <c r="E31" s="31" t="s">
        <v>626</v>
      </c>
      <c r="F31" s="31" t="s">
        <v>87</v>
      </c>
      <c r="G31" s="32">
        <v>425</v>
      </c>
      <c r="H31" s="32">
        <v>35</v>
      </c>
      <c r="I31" s="32">
        <f t="shared" si="0"/>
        <v>390</v>
      </c>
      <c r="J31" s="31" t="s">
        <v>566</v>
      </c>
      <c r="K31" s="31" t="s">
        <v>35</v>
      </c>
      <c r="L31" s="31" t="s">
        <v>543</v>
      </c>
      <c r="M31" s="31"/>
      <c r="N31" s="31"/>
      <c r="O31" s="31"/>
      <c r="P31" s="31"/>
      <c r="Q31" s="31">
        <v>1</v>
      </c>
    </row>
    <row r="32" spans="1:18" s="33" customFormat="1" x14ac:dyDescent="0.25">
      <c r="A32" s="31"/>
      <c r="B32" s="31" t="s">
        <v>29</v>
      </c>
      <c r="C32" s="31" t="s">
        <v>112</v>
      </c>
      <c r="D32" s="31" t="s">
        <v>627</v>
      </c>
      <c r="E32" s="31" t="s">
        <v>114</v>
      </c>
      <c r="F32" s="32">
        <v>8</v>
      </c>
      <c r="G32" s="32">
        <v>440</v>
      </c>
      <c r="H32" s="32">
        <v>30</v>
      </c>
      <c r="I32" s="32">
        <f t="shared" si="0"/>
        <v>410</v>
      </c>
      <c r="J32" s="31" t="s">
        <v>566</v>
      </c>
      <c r="K32" s="31" t="s">
        <v>35</v>
      </c>
      <c r="L32" s="31" t="s">
        <v>543</v>
      </c>
      <c r="M32" s="31"/>
      <c r="N32" s="31"/>
      <c r="O32" s="31"/>
      <c r="P32" s="31"/>
      <c r="Q32" s="31">
        <v>1</v>
      </c>
    </row>
    <row r="33" spans="1:18" s="33" customFormat="1" x14ac:dyDescent="0.25">
      <c r="A33" s="31"/>
      <c r="B33" s="31" t="s">
        <v>29</v>
      </c>
      <c r="C33" s="31" t="s">
        <v>628</v>
      </c>
      <c r="D33" s="31" t="s">
        <v>629</v>
      </c>
      <c r="E33" s="31" t="s">
        <v>630</v>
      </c>
      <c r="F33" s="32">
        <v>7</v>
      </c>
      <c r="G33" s="32">
        <v>420</v>
      </c>
      <c r="H33" s="32">
        <v>30</v>
      </c>
      <c r="I33" s="32">
        <f t="shared" si="0"/>
        <v>390</v>
      </c>
      <c r="J33" s="31" t="s">
        <v>566</v>
      </c>
      <c r="K33" s="31" t="s">
        <v>35</v>
      </c>
      <c r="L33" s="31" t="s">
        <v>543</v>
      </c>
      <c r="M33" s="31"/>
      <c r="N33" s="31"/>
      <c r="O33" s="31"/>
      <c r="P33" s="31"/>
      <c r="Q33" s="31">
        <v>1</v>
      </c>
    </row>
    <row r="34" spans="1:18" s="33" customFormat="1" x14ac:dyDescent="0.25">
      <c r="A34" s="31"/>
      <c r="B34" s="31" t="s">
        <v>29</v>
      </c>
      <c r="C34" s="31" t="s">
        <v>631</v>
      </c>
      <c r="D34" s="31" t="s">
        <v>632</v>
      </c>
      <c r="E34" s="31" t="s">
        <v>633</v>
      </c>
      <c r="F34" s="32">
        <v>9</v>
      </c>
      <c r="G34" s="32">
        <v>750</v>
      </c>
      <c r="H34" s="32">
        <v>30</v>
      </c>
      <c r="I34" s="32">
        <f t="shared" si="0"/>
        <v>720</v>
      </c>
      <c r="J34" s="31" t="s">
        <v>566</v>
      </c>
      <c r="K34" s="31" t="s">
        <v>35</v>
      </c>
      <c r="L34" s="31" t="s">
        <v>543</v>
      </c>
      <c r="M34" s="31"/>
      <c r="N34" s="31"/>
      <c r="O34" s="31"/>
      <c r="P34" s="31"/>
      <c r="Q34" s="31">
        <v>1</v>
      </c>
    </row>
    <row r="35" spans="1:18" s="33" customFormat="1" x14ac:dyDescent="0.25">
      <c r="A35" s="31"/>
      <c r="B35" s="31" t="s">
        <v>29</v>
      </c>
      <c r="C35" s="31" t="s">
        <v>634</v>
      </c>
      <c r="D35" s="31" t="s">
        <v>635</v>
      </c>
      <c r="E35" s="31" t="s">
        <v>636</v>
      </c>
      <c r="F35" s="32">
        <v>5</v>
      </c>
      <c r="G35" s="32">
        <v>705</v>
      </c>
      <c r="H35" s="32">
        <v>25</v>
      </c>
      <c r="I35" s="32">
        <f t="shared" si="0"/>
        <v>680</v>
      </c>
      <c r="J35" s="31" t="s">
        <v>566</v>
      </c>
      <c r="K35" s="31" t="s">
        <v>35</v>
      </c>
      <c r="L35" s="31" t="s">
        <v>543</v>
      </c>
      <c r="M35" s="31"/>
      <c r="N35" s="31"/>
      <c r="O35" s="31"/>
      <c r="P35" s="31"/>
      <c r="Q35" s="31">
        <v>1</v>
      </c>
    </row>
    <row r="36" spans="1:18" s="33" customFormat="1" x14ac:dyDescent="0.25">
      <c r="A36" s="31"/>
      <c r="B36" s="31" t="s">
        <v>29</v>
      </c>
      <c r="C36" s="31" t="s">
        <v>637</v>
      </c>
      <c r="D36" s="31" t="s">
        <v>638</v>
      </c>
      <c r="E36" s="31" t="s">
        <v>639</v>
      </c>
      <c r="F36" s="32">
        <v>12</v>
      </c>
      <c r="G36" s="32">
        <v>0</v>
      </c>
      <c r="H36" s="32">
        <v>30</v>
      </c>
      <c r="I36" s="32">
        <f t="shared" si="0"/>
        <v>-30</v>
      </c>
      <c r="J36" s="31" t="s">
        <v>35</v>
      </c>
      <c r="K36" s="31" t="s">
        <v>35</v>
      </c>
      <c r="L36" s="31" t="s">
        <v>543</v>
      </c>
      <c r="M36" s="31"/>
      <c r="N36" s="31"/>
      <c r="O36" s="31"/>
      <c r="P36" s="31"/>
      <c r="Q36" s="31">
        <v>1</v>
      </c>
      <c r="R36" s="38">
        <f>H36</f>
        <v>30</v>
      </c>
    </row>
    <row r="37" spans="1:18" s="33" customFormat="1" x14ac:dyDescent="0.25">
      <c r="A37" s="31"/>
      <c r="B37" s="31" t="s">
        <v>29</v>
      </c>
      <c r="C37" s="31" t="s">
        <v>640</v>
      </c>
      <c r="D37" s="31" t="s">
        <v>641</v>
      </c>
      <c r="E37" s="31" t="s">
        <v>642</v>
      </c>
      <c r="F37" s="32">
        <v>2</v>
      </c>
      <c r="G37" s="32">
        <v>210</v>
      </c>
      <c r="H37" s="32">
        <v>30</v>
      </c>
      <c r="I37" s="32">
        <f t="shared" si="0"/>
        <v>180</v>
      </c>
      <c r="J37" s="31" t="s">
        <v>35</v>
      </c>
      <c r="K37" s="31" t="s">
        <v>35</v>
      </c>
      <c r="L37" s="31" t="s">
        <v>543</v>
      </c>
      <c r="M37" s="31"/>
      <c r="N37" s="31"/>
      <c r="O37" s="31"/>
      <c r="P37" s="31"/>
      <c r="Q37" s="31">
        <v>1</v>
      </c>
    </row>
    <row r="38" spans="1:18" s="33" customFormat="1" x14ac:dyDescent="0.25">
      <c r="A38" s="31"/>
      <c r="B38" s="31" t="s">
        <v>29</v>
      </c>
      <c r="C38" s="31" t="s">
        <v>643</v>
      </c>
      <c r="D38" s="31" t="s">
        <v>644</v>
      </c>
      <c r="E38" s="31" t="s">
        <v>645</v>
      </c>
      <c r="F38" s="31" t="s">
        <v>57</v>
      </c>
      <c r="G38" s="32">
        <v>1150</v>
      </c>
      <c r="H38" s="32">
        <v>20</v>
      </c>
      <c r="I38" s="32">
        <f t="shared" si="0"/>
        <v>1130</v>
      </c>
      <c r="J38" s="31" t="s">
        <v>35</v>
      </c>
      <c r="K38" s="31" t="s">
        <v>35</v>
      </c>
      <c r="L38" s="31" t="s">
        <v>543</v>
      </c>
      <c r="M38" s="31"/>
      <c r="N38" s="31"/>
      <c r="O38" s="31"/>
      <c r="P38" s="31"/>
      <c r="Q38" s="31">
        <v>1</v>
      </c>
    </row>
    <row r="39" spans="1:18" s="33" customFormat="1" x14ac:dyDescent="0.25">
      <c r="A39" s="31"/>
      <c r="B39" s="31" t="s">
        <v>29</v>
      </c>
      <c r="C39" s="31" t="s">
        <v>646</v>
      </c>
      <c r="D39" s="31" t="s">
        <v>647</v>
      </c>
      <c r="E39" s="31" t="s">
        <v>648</v>
      </c>
      <c r="F39" s="31" t="s">
        <v>191</v>
      </c>
      <c r="G39" s="32">
        <v>390</v>
      </c>
      <c r="H39" s="32">
        <v>30</v>
      </c>
      <c r="I39" s="32">
        <f t="shared" si="0"/>
        <v>360</v>
      </c>
      <c r="J39" s="31" t="s">
        <v>35</v>
      </c>
      <c r="K39" s="31" t="s">
        <v>35</v>
      </c>
      <c r="L39" s="31" t="s">
        <v>543</v>
      </c>
      <c r="M39" s="31"/>
      <c r="N39" s="31"/>
      <c r="O39" s="31"/>
      <c r="P39" s="31"/>
      <c r="Q39" s="31">
        <v>1</v>
      </c>
    </row>
    <row r="40" spans="1:18" s="33" customFormat="1" x14ac:dyDescent="0.25">
      <c r="A40" s="31"/>
      <c r="B40" s="31" t="s">
        <v>29</v>
      </c>
      <c r="C40" s="31" t="s">
        <v>649</v>
      </c>
      <c r="D40" s="31" t="s">
        <v>650</v>
      </c>
      <c r="E40" s="31" t="s">
        <v>651</v>
      </c>
      <c r="F40" s="31" t="s">
        <v>52</v>
      </c>
      <c r="G40" s="32">
        <v>225</v>
      </c>
      <c r="H40" s="32">
        <v>25</v>
      </c>
      <c r="I40" s="32">
        <f t="shared" si="0"/>
        <v>200</v>
      </c>
      <c r="J40" s="31" t="s">
        <v>35</v>
      </c>
      <c r="K40" s="31" t="s">
        <v>35</v>
      </c>
      <c r="L40" s="31" t="s">
        <v>543</v>
      </c>
      <c r="M40" s="31"/>
      <c r="N40" s="31"/>
      <c r="O40" s="31"/>
      <c r="P40" s="31"/>
      <c r="Q40" s="31">
        <v>1</v>
      </c>
    </row>
    <row r="41" spans="1:18" s="33" customFormat="1" x14ac:dyDescent="0.25">
      <c r="A41" s="31"/>
      <c r="B41" s="31" t="s">
        <v>29</v>
      </c>
      <c r="C41" s="31" t="s">
        <v>448</v>
      </c>
      <c r="D41" s="31" t="s">
        <v>652</v>
      </c>
      <c r="E41" s="31" t="s">
        <v>653</v>
      </c>
      <c r="F41" s="32">
        <v>2</v>
      </c>
      <c r="G41" s="32">
        <v>350</v>
      </c>
      <c r="H41" s="32">
        <v>30</v>
      </c>
      <c r="I41" s="32">
        <f t="shared" si="0"/>
        <v>320</v>
      </c>
      <c r="J41" s="31" t="s">
        <v>35</v>
      </c>
      <c r="K41" s="31" t="s">
        <v>35</v>
      </c>
      <c r="L41" s="31" t="s">
        <v>543</v>
      </c>
      <c r="M41" s="31"/>
      <c r="N41" s="31"/>
      <c r="O41" s="31"/>
      <c r="P41" s="31"/>
      <c r="Q41" s="31">
        <v>1</v>
      </c>
    </row>
    <row r="42" spans="1:18" s="33" customFormat="1" x14ac:dyDescent="0.25">
      <c r="A42" s="31"/>
      <c r="B42" s="31" t="s">
        <v>29</v>
      </c>
      <c r="C42" s="31" t="s">
        <v>654</v>
      </c>
      <c r="D42" s="31" t="s">
        <v>655</v>
      </c>
      <c r="E42" s="31" t="s">
        <v>656</v>
      </c>
      <c r="F42" s="31" t="s">
        <v>191</v>
      </c>
      <c r="G42" s="32">
        <v>610</v>
      </c>
      <c r="H42" s="32">
        <v>30</v>
      </c>
      <c r="I42" s="32">
        <f t="shared" si="0"/>
        <v>580</v>
      </c>
      <c r="J42" s="31" t="s">
        <v>35</v>
      </c>
      <c r="K42" s="31" t="s">
        <v>35</v>
      </c>
      <c r="L42" s="31" t="s">
        <v>543</v>
      </c>
      <c r="M42" s="31"/>
      <c r="N42" s="31"/>
      <c r="O42" s="31"/>
      <c r="P42" s="31"/>
      <c r="Q42" s="31">
        <v>1</v>
      </c>
    </row>
    <row r="43" spans="1:18" s="33" customFormat="1" x14ac:dyDescent="0.25">
      <c r="A43" s="31"/>
      <c r="B43" s="31" t="s">
        <v>29</v>
      </c>
      <c r="C43" s="31" t="s">
        <v>657</v>
      </c>
      <c r="D43" s="31" t="s">
        <v>658</v>
      </c>
      <c r="E43" s="31" t="s">
        <v>659</v>
      </c>
      <c r="F43" s="31" t="s">
        <v>191</v>
      </c>
      <c r="G43" s="32">
        <v>320</v>
      </c>
      <c r="H43" s="32">
        <v>30</v>
      </c>
      <c r="I43" s="32">
        <f t="shared" si="0"/>
        <v>290</v>
      </c>
      <c r="J43" s="31" t="s">
        <v>35</v>
      </c>
      <c r="K43" s="31" t="s">
        <v>35</v>
      </c>
      <c r="L43" s="31" t="s">
        <v>543</v>
      </c>
      <c r="M43" s="31"/>
      <c r="N43" s="31"/>
      <c r="O43" s="31"/>
      <c r="P43" s="31"/>
      <c r="Q43" s="31">
        <v>1</v>
      </c>
    </row>
    <row r="44" spans="1:18" s="33" customFormat="1" x14ac:dyDescent="0.25">
      <c r="A44" s="31"/>
      <c r="B44" s="31" t="s">
        <v>29</v>
      </c>
      <c r="C44" s="31" t="s">
        <v>660</v>
      </c>
      <c r="D44" s="31" t="s">
        <v>661</v>
      </c>
      <c r="E44" s="31" t="s">
        <v>662</v>
      </c>
      <c r="F44" s="31" t="s">
        <v>52</v>
      </c>
      <c r="G44" s="32">
        <v>1345</v>
      </c>
      <c r="H44" s="32">
        <v>25</v>
      </c>
      <c r="I44" s="32">
        <f t="shared" si="0"/>
        <v>1320</v>
      </c>
      <c r="J44" s="31" t="s">
        <v>35</v>
      </c>
      <c r="K44" s="31" t="s">
        <v>35</v>
      </c>
      <c r="L44" s="31" t="s">
        <v>543</v>
      </c>
      <c r="M44" s="31"/>
      <c r="N44" s="31"/>
      <c r="O44" s="31"/>
      <c r="P44" s="31"/>
      <c r="Q44" s="31">
        <v>1</v>
      </c>
    </row>
    <row r="45" spans="1:18" s="33" customFormat="1" x14ac:dyDescent="0.25">
      <c r="A45" s="31"/>
      <c r="B45" s="31" t="s">
        <v>29</v>
      </c>
      <c r="C45" s="31" t="s">
        <v>663</v>
      </c>
      <c r="D45" s="31" t="s">
        <v>664</v>
      </c>
      <c r="E45" s="31" t="s">
        <v>665</v>
      </c>
      <c r="F45" s="31" t="s">
        <v>52</v>
      </c>
      <c r="G45" s="32">
        <v>1185</v>
      </c>
      <c r="H45" s="32">
        <v>25</v>
      </c>
      <c r="I45" s="32">
        <f t="shared" si="0"/>
        <v>1160</v>
      </c>
      <c r="J45" s="31" t="s">
        <v>35</v>
      </c>
      <c r="K45" s="31" t="s">
        <v>35</v>
      </c>
      <c r="L45" s="31" t="s">
        <v>543</v>
      </c>
      <c r="M45" s="31"/>
      <c r="N45" s="31"/>
      <c r="O45" s="31"/>
      <c r="P45" s="31"/>
      <c r="Q45" s="31">
        <v>1</v>
      </c>
    </row>
    <row r="46" spans="1:18" s="33" customFormat="1" x14ac:dyDescent="0.25">
      <c r="A46" s="31"/>
      <c r="B46" s="31" t="s">
        <v>29</v>
      </c>
      <c r="C46" s="31" t="s">
        <v>666</v>
      </c>
      <c r="D46" s="31" t="s">
        <v>667</v>
      </c>
      <c r="E46" s="31" t="s">
        <v>668</v>
      </c>
      <c r="F46" s="31" t="s">
        <v>57</v>
      </c>
      <c r="G46" s="32">
        <v>0</v>
      </c>
      <c r="H46" s="32">
        <v>20</v>
      </c>
      <c r="I46" s="32">
        <f t="shared" si="0"/>
        <v>-20</v>
      </c>
      <c r="J46" s="31" t="s">
        <v>35</v>
      </c>
      <c r="K46" s="31" t="s">
        <v>35</v>
      </c>
      <c r="L46" s="31" t="s">
        <v>543</v>
      </c>
      <c r="M46" s="31"/>
      <c r="N46" s="31"/>
      <c r="O46" s="31"/>
      <c r="P46" s="31"/>
      <c r="Q46" s="31">
        <v>1</v>
      </c>
      <c r="R46" s="38">
        <f>H46</f>
        <v>20</v>
      </c>
    </row>
    <row r="47" spans="1:18" s="33" customFormat="1" x14ac:dyDescent="0.25">
      <c r="A47" s="31"/>
      <c r="B47" s="31" t="s">
        <v>29</v>
      </c>
      <c r="C47" s="31" t="s">
        <v>669</v>
      </c>
      <c r="D47" s="31" t="s">
        <v>670</v>
      </c>
      <c r="E47" s="31" t="s">
        <v>671</v>
      </c>
      <c r="F47" s="31" t="s">
        <v>191</v>
      </c>
      <c r="G47" s="32">
        <v>320</v>
      </c>
      <c r="H47" s="32">
        <v>30</v>
      </c>
      <c r="I47" s="32">
        <f t="shared" si="0"/>
        <v>290</v>
      </c>
      <c r="J47" s="31" t="s">
        <v>35</v>
      </c>
      <c r="K47" s="31" t="s">
        <v>35</v>
      </c>
      <c r="L47" s="31" t="s">
        <v>543</v>
      </c>
      <c r="M47" s="31"/>
      <c r="N47" s="31"/>
      <c r="O47" s="31"/>
      <c r="P47" s="31"/>
      <c r="Q47" s="31">
        <v>1</v>
      </c>
    </row>
    <row r="48" spans="1:18" s="33" customFormat="1" x14ac:dyDescent="0.25">
      <c r="A48" s="31"/>
      <c r="B48" s="31" t="s">
        <v>29</v>
      </c>
      <c r="C48" s="31" t="s">
        <v>672</v>
      </c>
      <c r="D48" s="31" t="s">
        <v>673</v>
      </c>
      <c r="E48" s="31" t="s">
        <v>674</v>
      </c>
      <c r="F48" s="32">
        <v>12</v>
      </c>
      <c r="G48" s="32">
        <v>0</v>
      </c>
      <c r="H48" s="32">
        <v>30</v>
      </c>
      <c r="I48" s="32">
        <f t="shared" si="0"/>
        <v>-30</v>
      </c>
      <c r="J48" s="31" t="s">
        <v>35</v>
      </c>
      <c r="K48" s="31" t="s">
        <v>35</v>
      </c>
      <c r="L48" s="31" t="s">
        <v>543</v>
      </c>
      <c r="M48" s="31"/>
      <c r="N48" s="31"/>
      <c r="O48" s="31"/>
      <c r="P48" s="31"/>
      <c r="Q48" s="31">
        <v>1</v>
      </c>
      <c r="R48" s="38">
        <f t="shared" ref="R48:R49" si="2">H48</f>
        <v>30</v>
      </c>
    </row>
    <row r="49" spans="1:18" s="33" customFormat="1" x14ac:dyDescent="0.25">
      <c r="A49" s="31" t="s">
        <v>43</v>
      </c>
      <c r="B49" s="31" t="s">
        <v>29</v>
      </c>
      <c r="C49" s="31" t="s">
        <v>675</v>
      </c>
      <c r="D49" s="31"/>
      <c r="E49" s="31" t="s">
        <v>676</v>
      </c>
      <c r="F49" s="32">
        <v>12</v>
      </c>
      <c r="G49" s="32">
        <v>0</v>
      </c>
      <c r="H49" s="32">
        <v>60</v>
      </c>
      <c r="I49" s="32">
        <f t="shared" si="0"/>
        <v>-60</v>
      </c>
      <c r="J49" s="31" t="s">
        <v>35</v>
      </c>
      <c r="K49" s="31" t="s">
        <v>35</v>
      </c>
      <c r="L49" s="31" t="s">
        <v>543</v>
      </c>
      <c r="M49" s="31"/>
      <c r="N49" s="31"/>
      <c r="O49" s="31"/>
      <c r="P49" s="31"/>
      <c r="Q49" s="31">
        <v>1</v>
      </c>
      <c r="R49" s="38">
        <f t="shared" si="2"/>
        <v>60</v>
      </c>
    </row>
    <row r="50" spans="1:18" s="33" customFormat="1" x14ac:dyDescent="0.25">
      <c r="A50" s="31"/>
      <c r="B50" s="31" t="s">
        <v>29</v>
      </c>
      <c r="C50" s="31" t="s">
        <v>643</v>
      </c>
      <c r="D50" s="31" t="s">
        <v>677</v>
      </c>
      <c r="E50" s="31" t="s">
        <v>645</v>
      </c>
      <c r="F50" s="31" t="s">
        <v>57</v>
      </c>
      <c r="G50" s="32">
        <v>800</v>
      </c>
      <c r="H50" s="32">
        <v>20</v>
      </c>
      <c r="I50" s="32">
        <f t="shared" si="0"/>
        <v>780</v>
      </c>
      <c r="J50" s="31" t="s">
        <v>35</v>
      </c>
      <c r="K50" s="31" t="s">
        <v>35</v>
      </c>
      <c r="L50" s="31" t="s">
        <v>543</v>
      </c>
      <c r="M50" s="31"/>
      <c r="N50" s="31"/>
      <c r="O50" s="31"/>
      <c r="P50" s="31"/>
      <c r="Q50" s="31">
        <v>1</v>
      </c>
    </row>
    <row r="51" spans="1:18" s="33" customFormat="1" x14ac:dyDescent="0.25">
      <c r="A51" s="31"/>
      <c r="B51" s="31" t="s">
        <v>29</v>
      </c>
      <c r="C51" s="31" t="s">
        <v>678</v>
      </c>
      <c r="D51" s="31" t="s">
        <v>679</v>
      </c>
      <c r="E51" s="31" t="s">
        <v>680</v>
      </c>
      <c r="F51" s="31" t="s">
        <v>52</v>
      </c>
      <c r="G51" s="32">
        <v>665</v>
      </c>
      <c r="H51" s="32">
        <v>25</v>
      </c>
      <c r="I51" s="32">
        <f t="shared" si="0"/>
        <v>640</v>
      </c>
      <c r="J51" s="31" t="s">
        <v>35</v>
      </c>
      <c r="K51" s="31" t="s">
        <v>35</v>
      </c>
      <c r="L51" s="31" t="s">
        <v>543</v>
      </c>
      <c r="M51" s="31"/>
      <c r="N51" s="31"/>
      <c r="O51" s="31"/>
      <c r="P51" s="31"/>
      <c r="Q51" s="31">
        <v>1</v>
      </c>
    </row>
    <row r="52" spans="1:18" s="33" customFormat="1" x14ac:dyDescent="0.25">
      <c r="A52" s="31"/>
      <c r="B52" s="31" t="s">
        <v>29</v>
      </c>
      <c r="C52" s="31" t="s">
        <v>681</v>
      </c>
      <c r="D52" s="31" t="s">
        <v>682</v>
      </c>
      <c r="E52" s="31" t="s">
        <v>683</v>
      </c>
      <c r="F52" s="31" t="s">
        <v>57</v>
      </c>
      <c r="G52" s="32">
        <v>2310</v>
      </c>
      <c r="H52" s="32">
        <v>20</v>
      </c>
      <c r="I52" s="32">
        <f t="shared" si="0"/>
        <v>2290</v>
      </c>
      <c r="J52" s="31" t="s">
        <v>35</v>
      </c>
      <c r="K52" s="31" t="s">
        <v>35</v>
      </c>
      <c r="L52" s="31" t="s">
        <v>543</v>
      </c>
      <c r="M52" s="31"/>
      <c r="N52" s="31"/>
      <c r="O52" s="31"/>
      <c r="P52" s="31"/>
      <c r="Q52" s="31">
        <v>1</v>
      </c>
    </row>
    <row r="53" spans="1:18" s="33" customFormat="1" x14ac:dyDescent="0.25">
      <c r="A53" s="31"/>
      <c r="B53" s="31" t="s">
        <v>29</v>
      </c>
      <c r="C53" s="31" t="s">
        <v>684</v>
      </c>
      <c r="D53" s="31" t="s">
        <v>685</v>
      </c>
      <c r="E53" s="31" t="s">
        <v>686</v>
      </c>
      <c r="F53" s="31" t="s">
        <v>52</v>
      </c>
      <c r="G53" s="32">
        <v>885</v>
      </c>
      <c r="H53" s="32">
        <v>25</v>
      </c>
      <c r="I53" s="32">
        <f t="shared" si="0"/>
        <v>860</v>
      </c>
      <c r="J53" s="31" t="s">
        <v>35</v>
      </c>
      <c r="K53" s="31" t="s">
        <v>35</v>
      </c>
      <c r="L53" s="31" t="s">
        <v>543</v>
      </c>
      <c r="M53" s="31"/>
      <c r="N53" s="31"/>
      <c r="O53" s="31"/>
      <c r="P53" s="31"/>
      <c r="Q53" s="31">
        <v>1</v>
      </c>
    </row>
    <row r="54" spans="1:18" s="33" customFormat="1" x14ac:dyDescent="0.25">
      <c r="A54" s="31"/>
      <c r="B54" s="31" t="s">
        <v>29</v>
      </c>
      <c r="C54" s="31" t="s">
        <v>687</v>
      </c>
      <c r="D54" s="31" t="s">
        <v>688</v>
      </c>
      <c r="E54" s="31" t="s">
        <v>689</v>
      </c>
      <c r="F54" s="31" t="s">
        <v>191</v>
      </c>
      <c r="G54" s="32">
        <v>880</v>
      </c>
      <c r="H54" s="32">
        <v>30</v>
      </c>
      <c r="I54" s="32">
        <f t="shared" si="0"/>
        <v>850</v>
      </c>
      <c r="J54" s="31" t="s">
        <v>35</v>
      </c>
      <c r="K54" s="31" t="s">
        <v>35</v>
      </c>
      <c r="L54" s="31" t="s">
        <v>543</v>
      </c>
      <c r="M54" s="31"/>
      <c r="N54" s="31"/>
      <c r="O54" s="31"/>
      <c r="P54" s="31"/>
      <c r="Q54" s="31">
        <v>1</v>
      </c>
    </row>
    <row r="55" spans="1:18" s="33" customFormat="1" x14ac:dyDescent="0.25">
      <c r="A55" s="31" t="s">
        <v>43</v>
      </c>
      <c r="B55" s="31" t="s">
        <v>29</v>
      </c>
      <c r="C55" s="31" t="s">
        <v>690</v>
      </c>
      <c r="D55" s="31"/>
      <c r="E55" s="31" t="s">
        <v>691</v>
      </c>
      <c r="F55" s="31" t="s">
        <v>52</v>
      </c>
      <c r="G55" s="32">
        <v>0</v>
      </c>
      <c r="H55" s="32">
        <v>30</v>
      </c>
      <c r="I55" s="32">
        <f t="shared" si="0"/>
        <v>-30</v>
      </c>
      <c r="J55" s="31" t="s">
        <v>35</v>
      </c>
      <c r="K55" s="31" t="s">
        <v>35</v>
      </c>
      <c r="L55" s="31" t="s">
        <v>543</v>
      </c>
      <c r="M55" s="31"/>
      <c r="N55" s="31"/>
      <c r="O55" s="31"/>
      <c r="P55" s="31"/>
      <c r="Q55" s="31">
        <v>1</v>
      </c>
      <c r="R55" s="38">
        <f>H55</f>
        <v>30</v>
      </c>
    </row>
    <row r="56" spans="1:18" s="33" customFormat="1" x14ac:dyDescent="0.25">
      <c r="A56" s="31" t="s">
        <v>43</v>
      </c>
      <c r="B56" s="31" t="s">
        <v>29</v>
      </c>
      <c r="C56" s="31" t="s">
        <v>692</v>
      </c>
      <c r="D56" s="31"/>
      <c r="E56" s="31" t="s">
        <v>693</v>
      </c>
      <c r="F56" s="31" t="s">
        <v>52</v>
      </c>
      <c r="G56" s="32">
        <v>2510</v>
      </c>
      <c r="H56" s="32">
        <v>30</v>
      </c>
      <c r="I56" s="32">
        <f t="shared" si="0"/>
        <v>2480</v>
      </c>
      <c r="J56" s="31" t="s">
        <v>35</v>
      </c>
      <c r="K56" s="31" t="s">
        <v>35</v>
      </c>
      <c r="L56" s="31" t="s">
        <v>543</v>
      </c>
      <c r="M56" s="31"/>
      <c r="N56" s="31"/>
      <c r="O56" s="31"/>
      <c r="P56" s="31"/>
      <c r="Q56" s="31">
        <v>1</v>
      </c>
    </row>
    <row r="57" spans="1:18" s="33" customFormat="1" x14ac:dyDescent="0.25">
      <c r="A57" s="31"/>
      <c r="B57" s="31" t="s">
        <v>29</v>
      </c>
      <c r="C57" s="31" t="s">
        <v>694</v>
      </c>
      <c r="D57" s="31" t="s">
        <v>695</v>
      </c>
      <c r="E57" s="31" t="s">
        <v>696</v>
      </c>
      <c r="F57" s="32">
        <v>3</v>
      </c>
      <c r="G57" s="32">
        <v>455</v>
      </c>
      <c r="H57" s="32">
        <v>25</v>
      </c>
      <c r="I57" s="32">
        <f t="shared" si="0"/>
        <v>430</v>
      </c>
      <c r="J57" s="31" t="s">
        <v>69</v>
      </c>
      <c r="K57" s="31" t="s">
        <v>35</v>
      </c>
      <c r="L57" s="31" t="s">
        <v>543</v>
      </c>
      <c r="M57" s="31"/>
      <c r="N57" s="31"/>
      <c r="O57" s="31"/>
      <c r="P57" s="31"/>
      <c r="Q57" s="31">
        <v>1</v>
      </c>
    </row>
    <row r="58" spans="1:18" s="33" customFormat="1" x14ac:dyDescent="0.25">
      <c r="A58" s="31"/>
      <c r="B58" s="31" t="s">
        <v>29</v>
      </c>
      <c r="C58" s="31" t="s">
        <v>697</v>
      </c>
      <c r="D58" s="31" t="s">
        <v>698</v>
      </c>
      <c r="E58" s="31" t="s">
        <v>699</v>
      </c>
      <c r="F58" s="31" t="s">
        <v>252</v>
      </c>
      <c r="G58" s="32">
        <v>760</v>
      </c>
      <c r="H58" s="32">
        <v>20</v>
      </c>
      <c r="I58" s="32">
        <f t="shared" si="0"/>
        <v>740</v>
      </c>
      <c r="J58" s="31" t="s">
        <v>69</v>
      </c>
      <c r="K58" s="31" t="s">
        <v>35</v>
      </c>
      <c r="L58" s="31" t="s">
        <v>543</v>
      </c>
      <c r="M58" s="31"/>
      <c r="N58" s="31"/>
      <c r="O58" s="31"/>
      <c r="P58" s="31"/>
      <c r="Q58" s="31">
        <v>1</v>
      </c>
    </row>
    <row r="59" spans="1:18" s="33" customFormat="1" x14ac:dyDescent="0.25">
      <c r="A59" s="31"/>
      <c r="B59" s="31" t="s">
        <v>29</v>
      </c>
      <c r="C59" s="31" t="s">
        <v>700</v>
      </c>
      <c r="D59" s="31" t="s">
        <v>701</v>
      </c>
      <c r="E59" s="31" t="s">
        <v>702</v>
      </c>
      <c r="F59" s="32">
        <v>4</v>
      </c>
      <c r="G59" s="32">
        <v>715</v>
      </c>
      <c r="H59" s="32">
        <v>25</v>
      </c>
      <c r="I59" s="32">
        <f t="shared" si="0"/>
        <v>690</v>
      </c>
      <c r="J59" s="31" t="s">
        <v>69</v>
      </c>
      <c r="K59" s="31" t="s">
        <v>35</v>
      </c>
      <c r="L59" s="31" t="s">
        <v>543</v>
      </c>
      <c r="M59" s="31"/>
      <c r="N59" s="31"/>
      <c r="O59" s="31"/>
      <c r="P59" s="31"/>
      <c r="Q59" s="31">
        <v>1</v>
      </c>
    </row>
    <row r="60" spans="1:18" s="33" customFormat="1" x14ac:dyDescent="0.25">
      <c r="A60" s="31"/>
      <c r="B60" s="31" t="s">
        <v>29</v>
      </c>
      <c r="C60" s="31" t="s">
        <v>703</v>
      </c>
      <c r="D60" s="31" t="s">
        <v>704</v>
      </c>
      <c r="E60" s="31" t="s">
        <v>705</v>
      </c>
      <c r="F60" s="31" t="s">
        <v>252</v>
      </c>
      <c r="G60" s="32">
        <v>660</v>
      </c>
      <c r="H60" s="32">
        <v>20</v>
      </c>
      <c r="I60" s="32">
        <f t="shared" si="0"/>
        <v>640</v>
      </c>
      <c r="J60" s="31" t="s">
        <v>69</v>
      </c>
      <c r="K60" s="31" t="s">
        <v>35</v>
      </c>
      <c r="L60" s="31" t="s">
        <v>543</v>
      </c>
      <c r="M60" s="31"/>
      <c r="N60" s="31"/>
      <c r="O60" s="31"/>
      <c r="P60" s="31"/>
      <c r="Q60" s="31">
        <v>1</v>
      </c>
    </row>
    <row r="61" spans="1:18" s="33" customFormat="1" x14ac:dyDescent="0.25">
      <c r="A61" s="31"/>
      <c r="B61" s="31" t="s">
        <v>29</v>
      </c>
      <c r="C61" s="31" t="s">
        <v>706</v>
      </c>
      <c r="D61" s="31" t="s">
        <v>707</v>
      </c>
      <c r="E61" s="31" t="s">
        <v>708</v>
      </c>
      <c r="F61" s="31" t="s">
        <v>132</v>
      </c>
      <c r="G61" s="32">
        <v>915</v>
      </c>
      <c r="H61" s="32">
        <v>25</v>
      </c>
      <c r="I61" s="32">
        <f t="shared" si="0"/>
        <v>890</v>
      </c>
      <c r="J61" s="31" t="s">
        <v>69</v>
      </c>
      <c r="K61" s="31" t="s">
        <v>35</v>
      </c>
      <c r="L61" s="31" t="s">
        <v>543</v>
      </c>
      <c r="M61" s="31"/>
      <c r="N61" s="31"/>
      <c r="O61" s="31"/>
      <c r="P61" s="31"/>
      <c r="Q61" s="31">
        <v>1</v>
      </c>
    </row>
    <row r="62" spans="1:18" s="33" customFormat="1" x14ac:dyDescent="0.25">
      <c r="A62" s="31"/>
      <c r="B62" s="31" t="s">
        <v>29</v>
      </c>
      <c r="C62" s="31" t="s">
        <v>709</v>
      </c>
      <c r="D62" s="31" t="s">
        <v>710</v>
      </c>
      <c r="E62" s="31" t="s">
        <v>711</v>
      </c>
      <c r="F62" s="32">
        <v>3</v>
      </c>
      <c r="G62" s="32">
        <v>515</v>
      </c>
      <c r="H62" s="32">
        <v>25</v>
      </c>
      <c r="I62" s="32">
        <f t="shared" si="0"/>
        <v>490</v>
      </c>
      <c r="J62" s="31" t="s">
        <v>69</v>
      </c>
      <c r="K62" s="31" t="s">
        <v>35</v>
      </c>
      <c r="L62" s="31" t="s">
        <v>543</v>
      </c>
      <c r="M62" s="31"/>
      <c r="N62" s="31"/>
      <c r="O62" s="31"/>
      <c r="P62" s="31"/>
      <c r="Q62" s="31">
        <v>1</v>
      </c>
    </row>
    <row r="63" spans="1:18" s="33" customFormat="1" x14ac:dyDescent="0.25">
      <c r="A63" s="31"/>
      <c r="B63" s="31" t="s">
        <v>29</v>
      </c>
      <c r="C63" s="31" t="s">
        <v>712</v>
      </c>
      <c r="D63" s="31" t="s">
        <v>713</v>
      </c>
      <c r="E63" s="31" t="s">
        <v>714</v>
      </c>
      <c r="F63" s="32">
        <v>10</v>
      </c>
      <c r="G63" s="32">
        <v>125</v>
      </c>
      <c r="H63" s="32">
        <v>25</v>
      </c>
      <c r="I63" s="32">
        <f t="shared" si="0"/>
        <v>100</v>
      </c>
      <c r="J63" s="31" t="s">
        <v>69</v>
      </c>
      <c r="K63" s="31" t="s">
        <v>35</v>
      </c>
      <c r="L63" s="31" t="s">
        <v>543</v>
      </c>
      <c r="M63" s="31"/>
      <c r="N63" s="31"/>
      <c r="O63" s="31"/>
      <c r="P63" s="31"/>
      <c r="Q63" s="31">
        <v>1</v>
      </c>
    </row>
    <row r="64" spans="1:18" s="33" customFormat="1" x14ac:dyDescent="0.25">
      <c r="A64" s="31"/>
      <c r="B64" s="31" t="s">
        <v>29</v>
      </c>
      <c r="C64" s="31" t="s">
        <v>715</v>
      </c>
      <c r="D64" s="31" t="s">
        <v>716</v>
      </c>
      <c r="E64" s="31" t="s">
        <v>717</v>
      </c>
      <c r="F64" s="32">
        <v>1</v>
      </c>
      <c r="G64" s="32">
        <v>985</v>
      </c>
      <c r="H64" s="32">
        <v>25</v>
      </c>
      <c r="I64" s="32">
        <f t="shared" si="0"/>
        <v>960</v>
      </c>
      <c r="J64" s="31" t="s">
        <v>69</v>
      </c>
      <c r="K64" s="31" t="s">
        <v>35</v>
      </c>
      <c r="L64" s="31" t="s">
        <v>543</v>
      </c>
      <c r="M64" s="31"/>
      <c r="N64" s="31"/>
      <c r="O64" s="31"/>
      <c r="P64" s="31"/>
      <c r="Q64" s="31">
        <v>1</v>
      </c>
    </row>
    <row r="65" spans="1:18" s="33" customFormat="1" x14ac:dyDescent="0.25">
      <c r="A65" s="31"/>
      <c r="B65" s="31" t="s">
        <v>29</v>
      </c>
      <c r="C65" s="31" t="s">
        <v>718</v>
      </c>
      <c r="D65" s="31" t="s">
        <v>719</v>
      </c>
      <c r="E65" s="31" t="s">
        <v>720</v>
      </c>
      <c r="F65" s="32">
        <v>1</v>
      </c>
      <c r="G65" s="32">
        <v>595</v>
      </c>
      <c r="H65" s="32">
        <v>25</v>
      </c>
      <c r="I65" s="32">
        <f t="shared" ref="I65:I72" si="3">G65-H65</f>
        <v>570</v>
      </c>
      <c r="J65" s="31" t="s">
        <v>69</v>
      </c>
      <c r="K65" s="31" t="s">
        <v>35</v>
      </c>
      <c r="L65" s="31" t="s">
        <v>543</v>
      </c>
      <c r="M65" s="31"/>
      <c r="N65" s="31"/>
      <c r="O65" s="31"/>
      <c r="P65" s="31"/>
      <c r="Q65" s="31">
        <v>1</v>
      </c>
    </row>
    <row r="66" spans="1:18" s="33" customFormat="1" x14ac:dyDescent="0.25">
      <c r="A66" s="31"/>
      <c r="B66" s="31" t="s">
        <v>29</v>
      </c>
      <c r="C66" s="31" t="s">
        <v>721</v>
      </c>
      <c r="D66" s="31" t="s">
        <v>722</v>
      </c>
      <c r="E66" s="31" t="s">
        <v>723</v>
      </c>
      <c r="F66" s="32">
        <v>10</v>
      </c>
      <c r="G66" s="32">
        <v>435</v>
      </c>
      <c r="H66" s="32">
        <v>25</v>
      </c>
      <c r="I66" s="32">
        <f t="shared" si="3"/>
        <v>410</v>
      </c>
      <c r="J66" s="31" t="s">
        <v>69</v>
      </c>
      <c r="K66" s="31" t="s">
        <v>35</v>
      </c>
      <c r="L66" s="31" t="s">
        <v>543</v>
      </c>
      <c r="M66" s="31"/>
      <c r="N66" s="31"/>
      <c r="O66" s="31"/>
      <c r="P66" s="31"/>
      <c r="Q66" s="31">
        <v>1</v>
      </c>
    </row>
    <row r="67" spans="1:18" s="33" customFormat="1" x14ac:dyDescent="0.25">
      <c r="A67" s="31"/>
      <c r="B67" s="31" t="s">
        <v>29</v>
      </c>
      <c r="C67" s="31" t="s">
        <v>724</v>
      </c>
      <c r="D67" s="31" t="s">
        <v>725</v>
      </c>
      <c r="E67" s="31" t="s">
        <v>726</v>
      </c>
      <c r="F67" s="32">
        <v>3</v>
      </c>
      <c r="G67" s="32">
        <v>415</v>
      </c>
      <c r="H67" s="32">
        <v>25</v>
      </c>
      <c r="I67" s="32">
        <f t="shared" si="3"/>
        <v>390</v>
      </c>
      <c r="J67" s="31" t="s">
        <v>69</v>
      </c>
      <c r="K67" s="31" t="s">
        <v>35</v>
      </c>
      <c r="L67" s="31" t="s">
        <v>543</v>
      </c>
      <c r="M67" s="31"/>
      <c r="N67" s="31"/>
      <c r="O67" s="31"/>
      <c r="P67" s="31"/>
      <c r="Q67" s="31">
        <v>1</v>
      </c>
    </row>
    <row r="68" spans="1:18" s="37" customFormat="1" x14ac:dyDescent="0.25">
      <c r="A68" s="34"/>
      <c r="B68" s="34" t="s">
        <v>29</v>
      </c>
      <c r="C68" s="34" t="s">
        <v>253</v>
      </c>
      <c r="D68" s="34" t="s">
        <v>727</v>
      </c>
      <c r="E68" s="34" t="s">
        <v>728</v>
      </c>
      <c r="F68" s="35">
        <v>10</v>
      </c>
      <c r="G68" s="35">
        <v>155</v>
      </c>
      <c r="H68" s="35">
        <v>25</v>
      </c>
      <c r="I68" s="35">
        <f t="shared" si="3"/>
        <v>130</v>
      </c>
      <c r="J68" s="34" t="s">
        <v>69</v>
      </c>
      <c r="K68" s="34" t="s">
        <v>35</v>
      </c>
      <c r="L68" s="34" t="s">
        <v>543</v>
      </c>
      <c r="M68" s="34" t="s">
        <v>53</v>
      </c>
      <c r="N68" s="34"/>
      <c r="O68" s="34"/>
      <c r="P68" s="34"/>
      <c r="Q68" s="34">
        <v>1</v>
      </c>
    </row>
    <row r="69" spans="1:18" s="33" customFormat="1" x14ac:dyDescent="0.25">
      <c r="A69" s="31"/>
      <c r="B69" s="31" t="s">
        <v>29</v>
      </c>
      <c r="C69" s="31" t="s">
        <v>729</v>
      </c>
      <c r="D69" s="31" t="s">
        <v>730</v>
      </c>
      <c r="E69" s="31" t="s">
        <v>731</v>
      </c>
      <c r="F69" s="31" t="s">
        <v>252</v>
      </c>
      <c r="G69" s="32">
        <v>790</v>
      </c>
      <c r="H69" s="32">
        <v>20</v>
      </c>
      <c r="I69" s="32">
        <f t="shared" si="3"/>
        <v>770</v>
      </c>
      <c r="J69" s="31" t="s">
        <v>69</v>
      </c>
      <c r="K69" s="31" t="s">
        <v>35</v>
      </c>
      <c r="L69" s="31" t="s">
        <v>543</v>
      </c>
      <c r="M69" s="31"/>
      <c r="N69" s="31"/>
      <c r="O69" s="31"/>
      <c r="P69" s="31"/>
      <c r="Q69" s="31">
        <v>1</v>
      </c>
    </row>
    <row r="70" spans="1:18" s="33" customFormat="1" x14ac:dyDescent="0.25">
      <c r="A70" s="31"/>
      <c r="B70" s="31" t="s">
        <v>29</v>
      </c>
      <c r="C70" s="31" t="s">
        <v>732</v>
      </c>
      <c r="D70" s="31" t="s">
        <v>733</v>
      </c>
      <c r="E70" s="31" t="s">
        <v>734</v>
      </c>
      <c r="F70" s="31" t="s">
        <v>132</v>
      </c>
      <c r="G70" s="32">
        <v>0</v>
      </c>
      <c r="H70" s="32">
        <v>25</v>
      </c>
      <c r="I70" s="32">
        <f t="shared" si="3"/>
        <v>-25</v>
      </c>
      <c r="J70" s="31" t="s">
        <v>69</v>
      </c>
      <c r="K70" s="31" t="s">
        <v>35</v>
      </c>
      <c r="L70" s="31" t="s">
        <v>543</v>
      </c>
      <c r="M70" s="31"/>
      <c r="N70" s="31"/>
      <c r="O70" s="31"/>
      <c r="P70" s="31"/>
      <c r="Q70" s="31">
        <v>1</v>
      </c>
      <c r="R70" s="38">
        <f>H70</f>
        <v>25</v>
      </c>
    </row>
    <row r="71" spans="1:18" s="33" customFormat="1" x14ac:dyDescent="0.25">
      <c r="A71" s="31"/>
      <c r="B71" s="31" t="s">
        <v>29</v>
      </c>
      <c r="C71" s="31" t="s">
        <v>735</v>
      </c>
      <c r="D71" s="31" t="s">
        <v>736</v>
      </c>
      <c r="E71" s="31" t="s">
        <v>737</v>
      </c>
      <c r="F71" s="31" t="s">
        <v>132</v>
      </c>
      <c r="G71" s="32">
        <v>415</v>
      </c>
      <c r="H71" s="32">
        <v>25</v>
      </c>
      <c r="I71" s="32">
        <f t="shared" si="3"/>
        <v>390</v>
      </c>
      <c r="J71" s="31" t="s">
        <v>69</v>
      </c>
      <c r="K71" s="31" t="s">
        <v>35</v>
      </c>
      <c r="L71" s="31" t="s">
        <v>543</v>
      </c>
      <c r="M71" s="31"/>
      <c r="N71" s="31"/>
      <c r="O71" s="31"/>
      <c r="P71" s="31"/>
      <c r="Q71" s="31">
        <v>1</v>
      </c>
    </row>
    <row r="72" spans="1:18" s="33" customFormat="1" x14ac:dyDescent="0.25">
      <c r="A72" s="31"/>
      <c r="B72" s="31" t="s">
        <v>29</v>
      </c>
      <c r="C72" s="31" t="s">
        <v>738</v>
      </c>
      <c r="D72" s="31" t="s">
        <v>739</v>
      </c>
      <c r="E72" s="31" t="s">
        <v>740</v>
      </c>
      <c r="F72" s="32">
        <v>4</v>
      </c>
      <c r="G72" s="32">
        <v>1105</v>
      </c>
      <c r="H72" s="32">
        <v>25</v>
      </c>
      <c r="I72" s="32">
        <f t="shared" si="3"/>
        <v>1080</v>
      </c>
      <c r="J72" s="31" t="s">
        <v>69</v>
      </c>
      <c r="K72" s="31" t="s">
        <v>35</v>
      </c>
      <c r="L72" s="31" t="s">
        <v>543</v>
      </c>
      <c r="M72" s="31"/>
      <c r="N72" s="31"/>
      <c r="O72" s="31"/>
      <c r="P72" s="31"/>
      <c r="Q72" s="31">
        <v>1</v>
      </c>
    </row>
    <row r="74" spans="1:18" x14ac:dyDescent="0.25">
      <c r="G74" s="1">
        <f t="shared" ref="G74:R74" si="4">SUBTOTAL(9,G3:G73)</f>
        <v>44595</v>
      </c>
      <c r="H74" s="1">
        <f t="shared" si="4"/>
        <v>1950</v>
      </c>
      <c r="I74" s="1">
        <f t="shared" si="4"/>
        <v>42645</v>
      </c>
      <c r="J74" s="1">
        <f t="shared" si="4"/>
        <v>0</v>
      </c>
      <c r="K74" s="1">
        <f t="shared" si="4"/>
        <v>0</v>
      </c>
      <c r="L74" s="1">
        <f t="shared" si="4"/>
        <v>0</v>
      </c>
      <c r="M74" s="1">
        <f t="shared" si="4"/>
        <v>0</v>
      </c>
      <c r="N74" s="1">
        <f t="shared" si="4"/>
        <v>0</v>
      </c>
      <c r="O74" s="1">
        <f t="shared" si="4"/>
        <v>0</v>
      </c>
      <c r="P74" s="1">
        <f t="shared" si="4"/>
        <v>0</v>
      </c>
      <c r="Q74" s="1">
        <f t="shared" si="4"/>
        <v>70</v>
      </c>
      <c r="R74" s="1">
        <f t="shared" si="4"/>
        <v>425</v>
      </c>
    </row>
    <row r="75" spans="1:18" x14ac:dyDescent="0.25">
      <c r="I75" s="1">
        <f>-H120</f>
        <v>-32188</v>
      </c>
      <c r="J75" s="1" t="s">
        <v>535</v>
      </c>
    </row>
    <row r="78" spans="1:18" ht="20.25" customHeight="1" x14ac:dyDescent="0.3">
      <c r="H78" s="4" t="s">
        <v>538</v>
      </c>
      <c r="I78" s="5" t="s">
        <v>15</v>
      </c>
      <c r="J78" s="6" t="s">
        <v>16</v>
      </c>
    </row>
    <row r="79" spans="1:18" ht="15.75" customHeight="1" x14ac:dyDescent="0.25">
      <c r="H79" s="7" t="s">
        <v>17</v>
      </c>
      <c r="I79" s="8">
        <f>SUM(I73:I77)</f>
        <v>10457</v>
      </c>
      <c r="J79" s="8">
        <f>Q74</f>
        <v>70</v>
      </c>
    </row>
    <row r="80" spans="1:18" x14ac:dyDescent="0.25">
      <c r="H80" s="9" t="s">
        <v>18</v>
      </c>
      <c r="I80" s="10">
        <f>R74</f>
        <v>425</v>
      </c>
      <c r="J80" s="11"/>
    </row>
    <row r="81" spans="1:12" x14ac:dyDescent="0.25">
      <c r="H81" s="9" t="s">
        <v>19</v>
      </c>
      <c r="I81" s="10">
        <f>S73</f>
        <v>0</v>
      </c>
      <c r="J81" s="11"/>
    </row>
    <row r="82" spans="1:12" x14ac:dyDescent="0.25">
      <c r="H82" s="9" t="s">
        <v>20</v>
      </c>
      <c r="I82" s="10">
        <f>T73</f>
        <v>0</v>
      </c>
      <c r="J82" s="11"/>
    </row>
    <row r="83" spans="1:12" x14ac:dyDescent="0.25">
      <c r="H83" s="9" t="s">
        <v>21</v>
      </c>
      <c r="I83" s="10">
        <f>U73</f>
        <v>0</v>
      </c>
      <c r="J83" s="11"/>
    </row>
    <row r="84" spans="1:12" ht="15.75" customHeight="1" x14ac:dyDescent="0.25">
      <c r="H84" s="12" t="s">
        <v>22</v>
      </c>
      <c r="I84" s="13"/>
      <c r="J84" s="13"/>
    </row>
    <row r="85" spans="1:12" ht="15.75" customHeight="1" x14ac:dyDescent="0.25">
      <c r="H85" s="14" t="s">
        <v>23</v>
      </c>
      <c r="I85" s="13"/>
      <c r="J85" s="13"/>
    </row>
    <row r="86" spans="1:12" ht="21" customHeight="1" x14ac:dyDescent="0.35">
      <c r="H86" s="15" t="s">
        <v>24</v>
      </c>
      <c r="I86" s="16">
        <f>SUM(I79:I85)</f>
        <v>10882</v>
      </c>
      <c r="J86" s="16">
        <f>SUM(J79:J83)</f>
        <v>70</v>
      </c>
    </row>
    <row r="87" spans="1:12" x14ac:dyDescent="0.25">
      <c r="A87" s="1" t="s">
        <v>744</v>
      </c>
    </row>
    <row r="88" spans="1:12" x14ac:dyDescent="0.25">
      <c r="A88" s="40" t="s">
        <v>29</v>
      </c>
      <c r="B88" s="40" t="s">
        <v>787</v>
      </c>
      <c r="C88" s="40" t="s">
        <v>788</v>
      </c>
      <c r="D88" s="40" t="s">
        <v>789</v>
      </c>
      <c r="E88" s="41">
        <v>5</v>
      </c>
      <c r="F88" s="41">
        <v>905</v>
      </c>
      <c r="G88" s="41">
        <v>25</v>
      </c>
      <c r="H88" s="41">
        <f t="shared" ref="H88:H119" si="5">F88-G88</f>
        <v>880</v>
      </c>
      <c r="I88" s="40" t="s">
        <v>531</v>
      </c>
      <c r="J88" s="40" t="s">
        <v>35</v>
      </c>
      <c r="K88" s="40" t="s">
        <v>790</v>
      </c>
      <c r="L88" s="40" t="s">
        <v>744</v>
      </c>
    </row>
    <row r="89" spans="1:12" x14ac:dyDescent="0.25">
      <c r="A89" s="40" t="s">
        <v>29</v>
      </c>
      <c r="B89" s="40" t="s">
        <v>791</v>
      </c>
      <c r="C89" s="40" t="s">
        <v>792</v>
      </c>
      <c r="D89" s="40" t="s">
        <v>793</v>
      </c>
      <c r="E89" s="41">
        <v>6</v>
      </c>
      <c r="F89" s="41">
        <v>1528</v>
      </c>
      <c r="G89" s="41">
        <v>25</v>
      </c>
      <c r="H89" s="41">
        <f t="shared" si="5"/>
        <v>1503</v>
      </c>
      <c r="I89" s="40" t="s">
        <v>531</v>
      </c>
      <c r="J89" s="40" t="s">
        <v>35</v>
      </c>
      <c r="K89" s="40" t="s">
        <v>750</v>
      </c>
      <c r="L89" s="40" t="s">
        <v>744</v>
      </c>
    </row>
    <row r="90" spans="1:12" x14ac:dyDescent="0.25">
      <c r="A90" s="40" t="s">
        <v>29</v>
      </c>
      <c r="B90" s="40" t="s">
        <v>794</v>
      </c>
      <c r="C90" s="40" t="s">
        <v>795</v>
      </c>
      <c r="D90" s="40" t="s">
        <v>796</v>
      </c>
      <c r="E90" s="41">
        <v>7</v>
      </c>
      <c r="F90" s="41">
        <v>1320</v>
      </c>
      <c r="G90" s="41">
        <v>30</v>
      </c>
      <c r="H90" s="41">
        <f t="shared" si="5"/>
        <v>1290</v>
      </c>
      <c r="I90" s="40" t="s">
        <v>531</v>
      </c>
      <c r="J90" s="40" t="s">
        <v>35</v>
      </c>
      <c r="K90" s="40" t="s">
        <v>748</v>
      </c>
      <c r="L90" s="40" t="s">
        <v>744</v>
      </c>
    </row>
    <row r="91" spans="1:12" x14ac:dyDescent="0.25">
      <c r="A91" s="40" t="s">
        <v>29</v>
      </c>
      <c r="B91" s="40" t="s">
        <v>797</v>
      </c>
      <c r="C91" s="40" t="s">
        <v>798</v>
      </c>
      <c r="D91" s="40" t="s">
        <v>799</v>
      </c>
      <c r="E91" s="41">
        <v>7</v>
      </c>
      <c r="F91" s="41">
        <v>540</v>
      </c>
      <c r="G91" s="41">
        <v>30</v>
      </c>
      <c r="H91" s="41">
        <f t="shared" si="5"/>
        <v>510</v>
      </c>
      <c r="I91" s="40" t="s">
        <v>531</v>
      </c>
      <c r="J91" s="40" t="s">
        <v>35</v>
      </c>
      <c r="K91" s="40" t="s">
        <v>750</v>
      </c>
      <c r="L91" s="40" t="s">
        <v>744</v>
      </c>
    </row>
    <row r="92" spans="1:12" x14ac:dyDescent="0.25">
      <c r="A92" s="40" t="s">
        <v>29</v>
      </c>
      <c r="B92" s="40" t="s">
        <v>800</v>
      </c>
      <c r="C92" s="40" t="s">
        <v>801</v>
      </c>
      <c r="D92" s="40" t="s">
        <v>802</v>
      </c>
      <c r="E92" s="41">
        <v>7</v>
      </c>
      <c r="F92" s="41">
        <v>670</v>
      </c>
      <c r="G92" s="41">
        <v>30</v>
      </c>
      <c r="H92" s="41">
        <f t="shared" si="5"/>
        <v>640</v>
      </c>
      <c r="I92" s="40" t="s">
        <v>531</v>
      </c>
      <c r="J92" s="40" t="s">
        <v>35</v>
      </c>
      <c r="K92" s="40" t="s">
        <v>768</v>
      </c>
      <c r="L92" s="40" t="s">
        <v>744</v>
      </c>
    </row>
    <row r="93" spans="1:12" x14ac:dyDescent="0.25">
      <c r="A93" s="40" t="s">
        <v>29</v>
      </c>
      <c r="B93" s="40" t="s">
        <v>803</v>
      </c>
      <c r="C93" s="40" t="s">
        <v>804</v>
      </c>
      <c r="D93" s="40" t="s">
        <v>805</v>
      </c>
      <c r="E93" s="41">
        <v>7</v>
      </c>
      <c r="F93" s="41">
        <v>1140</v>
      </c>
      <c r="G93" s="41">
        <v>30</v>
      </c>
      <c r="H93" s="41">
        <f t="shared" si="5"/>
        <v>1110</v>
      </c>
      <c r="I93" s="40" t="s">
        <v>531</v>
      </c>
      <c r="J93" s="40" t="s">
        <v>35</v>
      </c>
      <c r="K93" s="40" t="s">
        <v>750</v>
      </c>
      <c r="L93" s="40" t="s">
        <v>744</v>
      </c>
    </row>
    <row r="94" spans="1:12" x14ac:dyDescent="0.25">
      <c r="A94" s="40" t="s">
        <v>29</v>
      </c>
      <c r="B94" s="40" t="s">
        <v>806</v>
      </c>
      <c r="C94" s="40" t="s">
        <v>807</v>
      </c>
      <c r="D94" s="40" t="s">
        <v>808</v>
      </c>
      <c r="E94" s="41">
        <v>7</v>
      </c>
      <c r="F94" s="41">
        <v>1190</v>
      </c>
      <c r="G94" s="41">
        <v>30</v>
      </c>
      <c r="H94" s="41">
        <f t="shared" si="5"/>
        <v>1160</v>
      </c>
      <c r="I94" s="40" t="s">
        <v>531</v>
      </c>
      <c r="J94" s="40" t="s">
        <v>35</v>
      </c>
      <c r="K94" s="40" t="s">
        <v>768</v>
      </c>
      <c r="L94" s="40" t="s">
        <v>744</v>
      </c>
    </row>
    <row r="95" spans="1:12" x14ac:dyDescent="0.25">
      <c r="A95" s="40" t="s">
        <v>29</v>
      </c>
      <c r="B95" s="40" t="s">
        <v>809</v>
      </c>
      <c r="C95" s="40" t="s">
        <v>810</v>
      </c>
      <c r="D95" s="40" t="s">
        <v>811</v>
      </c>
      <c r="E95" s="41">
        <v>11</v>
      </c>
      <c r="F95" s="41">
        <v>655</v>
      </c>
      <c r="G95" s="41">
        <v>25</v>
      </c>
      <c r="H95" s="41">
        <f t="shared" si="5"/>
        <v>630</v>
      </c>
      <c r="I95" s="40" t="s">
        <v>531</v>
      </c>
      <c r="J95" s="40" t="s">
        <v>35</v>
      </c>
      <c r="K95" s="40" t="s">
        <v>748</v>
      </c>
      <c r="L95" s="40" t="s">
        <v>744</v>
      </c>
    </row>
    <row r="96" spans="1:12" x14ac:dyDescent="0.25">
      <c r="A96" s="40" t="s">
        <v>29</v>
      </c>
      <c r="B96" s="40" t="s">
        <v>812</v>
      </c>
      <c r="C96" s="40" t="s">
        <v>813</v>
      </c>
      <c r="D96" s="40" t="s">
        <v>814</v>
      </c>
      <c r="E96" s="40" t="s">
        <v>33</v>
      </c>
      <c r="F96" s="41">
        <v>918</v>
      </c>
      <c r="G96" s="41">
        <v>25</v>
      </c>
      <c r="H96" s="41">
        <f t="shared" si="5"/>
        <v>893</v>
      </c>
      <c r="I96" s="40" t="s">
        <v>531</v>
      </c>
      <c r="J96" s="40" t="s">
        <v>35</v>
      </c>
      <c r="K96" s="40" t="s">
        <v>748</v>
      </c>
      <c r="L96" s="40" t="s">
        <v>744</v>
      </c>
    </row>
    <row r="97" spans="1:12" x14ac:dyDescent="0.25">
      <c r="A97" s="40" t="s">
        <v>29</v>
      </c>
      <c r="B97" s="40" t="s">
        <v>815</v>
      </c>
      <c r="C97" s="40" t="s">
        <v>816</v>
      </c>
      <c r="D97" s="40" t="s">
        <v>817</v>
      </c>
      <c r="E97" s="41">
        <v>9</v>
      </c>
      <c r="F97" s="41">
        <v>570</v>
      </c>
      <c r="G97" s="41">
        <v>30</v>
      </c>
      <c r="H97" s="41">
        <f t="shared" si="5"/>
        <v>540</v>
      </c>
      <c r="I97" s="40" t="s">
        <v>531</v>
      </c>
      <c r="J97" s="40" t="s">
        <v>35</v>
      </c>
      <c r="K97" s="40" t="s">
        <v>761</v>
      </c>
      <c r="L97" s="40" t="s">
        <v>744</v>
      </c>
    </row>
    <row r="98" spans="1:12" x14ac:dyDescent="0.25">
      <c r="A98" s="40" t="s">
        <v>29</v>
      </c>
      <c r="B98" s="40" t="s">
        <v>818</v>
      </c>
      <c r="C98" s="40" t="s">
        <v>819</v>
      </c>
      <c r="D98" s="40" t="s">
        <v>820</v>
      </c>
      <c r="E98" s="41">
        <v>9</v>
      </c>
      <c r="F98" s="41">
        <v>2310</v>
      </c>
      <c r="G98" s="41">
        <v>30</v>
      </c>
      <c r="H98" s="41">
        <f t="shared" si="5"/>
        <v>2280</v>
      </c>
      <c r="I98" s="40" t="s">
        <v>531</v>
      </c>
      <c r="J98" s="40" t="s">
        <v>35</v>
      </c>
      <c r="K98" s="40" t="s">
        <v>750</v>
      </c>
      <c r="L98" s="40" t="s">
        <v>744</v>
      </c>
    </row>
    <row r="99" spans="1:12" x14ac:dyDescent="0.25">
      <c r="A99" s="40" t="s">
        <v>29</v>
      </c>
      <c r="B99" s="40" t="s">
        <v>821</v>
      </c>
      <c r="C99" s="40" t="s">
        <v>822</v>
      </c>
      <c r="D99" s="40" t="s">
        <v>823</v>
      </c>
      <c r="E99" s="41">
        <v>12</v>
      </c>
      <c r="F99" s="41">
        <v>130</v>
      </c>
      <c r="G99" s="41">
        <v>30</v>
      </c>
      <c r="H99" s="41">
        <f t="shared" si="5"/>
        <v>100</v>
      </c>
      <c r="I99" s="40" t="s">
        <v>531</v>
      </c>
      <c r="J99" s="40" t="s">
        <v>35</v>
      </c>
      <c r="K99" s="40" t="s">
        <v>761</v>
      </c>
      <c r="L99" s="40" t="s">
        <v>744</v>
      </c>
    </row>
    <row r="100" spans="1:12" x14ac:dyDescent="0.25">
      <c r="A100" s="40" t="s">
        <v>29</v>
      </c>
      <c r="B100" s="40" t="s">
        <v>824</v>
      </c>
      <c r="C100" s="40" t="s">
        <v>825</v>
      </c>
      <c r="D100" s="40" t="s">
        <v>826</v>
      </c>
      <c r="E100" s="41">
        <v>12</v>
      </c>
      <c r="F100" s="41">
        <v>528</v>
      </c>
      <c r="G100" s="41">
        <v>30</v>
      </c>
      <c r="H100" s="41">
        <f t="shared" si="5"/>
        <v>498</v>
      </c>
      <c r="I100" s="40" t="s">
        <v>531</v>
      </c>
      <c r="J100" s="40" t="s">
        <v>35</v>
      </c>
      <c r="K100" s="40" t="s">
        <v>768</v>
      </c>
      <c r="L100" s="40" t="s">
        <v>744</v>
      </c>
    </row>
    <row r="101" spans="1:12" x14ac:dyDescent="0.25">
      <c r="A101" s="40" t="s">
        <v>29</v>
      </c>
      <c r="B101" s="40" t="s">
        <v>827</v>
      </c>
      <c r="C101" s="40" t="s">
        <v>828</v>
      </c>
      <c r="D101" s="40" t="s">
        <v>829</v>
      </c>
      <c r="E101" s="41">
        <v>12</v>
      </c>
      <c r="F101" s="41">
        <v>398</v>
      </c>
      <c r="G101" s="41">
        <v>30</v>
      </c>
      <c r="H101" s="41">
        <f t="shared" si="5"/>
        <v>368</v>
      </c>
      <c r="I101" s="40" t="s">
        <v>531</v>
      </c>
      <c r="J101" s="40" t="s">
        <v>35</v>
      </c>
      <c r="K101" s="40" t="s">
        <v>750</v>
      </c>
      <c r="L101" s="40" t="s">
        <v>744</v>
      </c>
    </row>
    <row r="102" spans="1:12" x14ac:dyDescent="0.25">
      <c r="A102" s="40" t="s">
        <v>29</v>
      </c>
      <c r="B102" s="40" t="s">
        <v>830</v>
      </c>
      <c r="C102" s="40" t="s">
        <v>831</v>
      </c>
      <c r="D102" s="40" t="s">
        <v>832</v>
      </c>
      <c r="E102" s="41">
        <v>12</v>
      </c>
      <c r="F102" s="41">
        <v>230</v>
      </c>
      <c r="G102" s="41">
        <v>30</v>
      </c>
      <c r="H102" s="41">
        <f t="shared" si="5"/>
        <v>200</v>
      </c>
      <c r="I102" s="40" t="s">
        <v>531</v>
      </c>
      <c r="J102" s="40" t="s">
        <v>35</v>
      </c>
      <c r="K102" s="40" t="s">
        <v>768</v>
      </c>
      <c r="L102" s="40" t="s">
        <v>744</v>
      </c>
    </row>
    <row r="103" spans="1:12" x14ac:dyDescent="0.25">
      <c r="A103" s="40" t="s">
        <v>29</v>
      </c>
      <c r="B103" s="40" t="s">
        <v>833</v>
      </c>
      <c r="C103" s="40" t="s">
        <v>834</v>
      </c>
      <c r="D103" s="40" t="s">
        <v>835</v>
      </c>
      <c r="E103" s="41">
        <v>12</v>
      </c>
      <c r="F103" s="41">
        <v>320</v>
      </c>
      <c r="G103" s="41">
        <v>30</v>
      </c>
      <c r="H103" s="41">
        <f t="shared" si="5"/>
        <v>290</v>
      </c>
      <c r="I103" s="40" t="s">
        <v>531</v>
      </c>
      <c r="J103" s="40" t="s">
        <v>35</v>
      </c>
      <c r="K103" s="40" t="s">
        <v>768</v>
      </c>
      <c r="L103" s="40" t="s">
        <v>744</v>
      </c>
    </row>
    <row r="104" spans="1:12" x14ac:dyDescent="0.25">
      <c r="A104" s="40" t="s">
        <v>29</v>
      </c>
      <c r="B104" s="40" t="s">
        <v>836</v>
      </c>
      <c r="C104" s="40" t="s">
        <v>837</v>
      </c>
      <c r="D104" s="40" t="s">
        <v>838</v>
      </c>
      <c r="E104" s="41">
        <v>12</v>
      </c>
      <c r="F104" s="41">
        <v>620</v>
      </c>
      <c r="G104" s="41">
        <v>30</v>
      </c>
      <c r="H104" s="41">
        <f t="shared" si="5"/>
        <v>590</v>
      </c>
      <c r="I104" s="40" t="s">
        <v>531</v>
      </c>
      <c r="J104" s="40" t="s">
        <v>35</v>
      </c>
      <c r="K104" s="40" t="s">
        <v>790</v>
      </c>
      <c r="L104" s="40" t="s">
        <v>744</v>
      </c>
    </row>
    <row r="105" spans="1:12" x14ac:dyDescent="0.25">
      <c r="A105" s="40" t="s">
        <v>29</v>
      </c>
      <c r="B105" s="40" t="s">
        <v>839</v>
      </c>
      <c r="C105" s="40" t="s">
        <v>840</v>
      </c>
      <c r="D105" s="40" t="s">
        <v>841</v>
      </c>
      <c r="E105" s="41">
        <v>12</v>
      </c>
      <c r="F105" s="41">
        <v>850</v>
      </c>
      <c r="G105" s="41">
        <v>30</v>
      </c>
      <c r="H105" s="41">
        <f t="shared" si="5"/>
        <v>820</v>
      </c>
      <c r="I105" s="40" t="s">
        <v>531</v>
      </c>
      <c r="J105" s="40" t="s">
        <v>35</v>
      </c>
      <c r="K105" s="40" t="s">
        <v>842</v>
      </c>
      <c r="L105" s="40" t="s">
        <v>744</v>
      </c>
    </row>
    <row r="106" spans="1:12" x14ac:dyDescent="0.25">
      <c r="A106" s="40" t="s">
        <v>29</v>
      </c>
      <c r="B106" s="40" t="s">
        <v>843</v>
      </c>
      <c r="C106" s="40" t="s">
        <v>844</v>
      </c>
      <c r="D106" s="40" t="s">
        <v>845</v>
      </c>
      <c r="E106" s="40" t="s">
        <v>48</v>
      </c>
      <c r="F106" s="41">
        <v>1158</v>
      </c>
      <c r="G106" s="41">
        <v>30</v>
      </c>
      <c r="H106" s="41">
        <f t="shared" si="5"/>
        <v>1128</v>
      </c>
      <c r="I106" s="40" t="s">
        <v>531</v>
      </c>
      <c r="J106" s="40" t="s">
        <v>35</v>
      </c>
      <c r="K106" s="40" t="s">
        <v>750</v>
      </c>
      <c r="L106" s="40" t="s">
        <v>744</v>
      </c>
    </row>
    <row r="107" spans="1:12" x14ac:dyDescent="0.25">
      <c r="A107" s="40" t="s">
        <v>29</v>
      </c>
      <c r="B107" s="40" t="s">
        <v>846</v>
      </c>
      <c r="C107" s="40" t="s">
        <v>847</v>
      </c>
      <c r="D107" s="40" t="s">
        <v>848</v>
      </c>
      <c r="E107" s="40" t="s">
        <v>48</v>
      </c>
      <c r="F107" s="41">
        <v>830</v>
      </c>
      <c r="G107" s="41">
        <v>30</v>
      </c>
      <c r="H107" s="41">
        <f t="shared" si="5"/>
        <v>800</v>
      </c>
      <c r="I107" s="40" t="s">
        <v>531</v>
      </c>
      <c r="J107" s="40" t="s">
        <v>35</v>
      </c>
      <c r="K107" s="40" t="s">
        <v>750</v>
      </c>
      <c r="L107" s="40" t="s">
        <v>744</v>
      </c>
    </row>
    <row r="108" spans="1:12" x14ac:dyDescent="0.25">
      <c r="A108" s="40" t="s">
        <v>29</v>
      </c>
      <c r="B108" s="40" t="s">
        <v>849</v>
      </c>
      <c r="C108" s="40"/>
      <c r="D108" s="40" t="s">
        <v>850</v>
      </c>
      <c r="E108" s="40" t="s">
        <v>48</v>
      </c>
      <c r="F108" s="41">
        <v>445</v>
      </c>
      <c r="G108" s="41">
        <v>35</v>
      </c>
      <c r="H108" s="41">
        <f t="shared" si="5"/>
        <v>410</v>
      </c>
      <c r="I108" s="40" t="s">
        <v>531</v>
      </c>
      <c r="J108" s="40" t="s">
        <v>35</v>
      </c>
      <c r="K108" s="40" t="s">
        <v>748</v>
      </c>
      <c r="L108" s="40" t="s">
        <v>744</v>
      </c>
    </row>
    <row r="109" spans="1:12" x14ac:dyDescent="0.25">
      <c r="A109" s="40" t="s">
        <v>29</v>
      </c>
      <c r="B109" s="40" t="s">
        <v>851</v>
      </c>
      <c r="C109" s="40" t="s">
        <v>852</v>
      </c>
      <c r="D109" s="40" t="s">
        <v>853</v>
      </c>
      <c r="E109" s="40" t="s">
        <v>48</v>
      </c>
      <c r="F109" s="41">
        <v>498</v>
      </c>
      <c r="G109" s="41">
        <v>30</v>
      </c>
      <c r="H109" s="41">
        <f t="shared" si="5"/>
        <v>468</v>
      </c>
      <c r="I109" s="40" t="s">
        <v>531</v>
      </c>
      <c r="J109" s="40" t="s">
        <v>35</v>
      </c>
      <c r="K109" s="40" t="s">
        <v>750</v>
      </c>
      <c r="L109" s="40" t="s">
        <v>744</v>
      </c>
    </row>
    <row r="110" spans="1:12" x14ac:dyDescent="0.25">
      <c r="A110" s="40" t="s">
        <v>29</v>
      </c>
      <c r="B110" s="40" t="s">
        <v>854</v>
      </c>
      <c r="C110" s="40" t="s">
        <v>855</v>
      </c>
      <c r="D110" s="40" t="s">
        <v>856</v>
      </c>
      <c r="E110" s="40" t="s">
        <v>191</v>
      </c>
      <c r="F110" s="41">
        <v>920</v>
      </c>
      <c r="G110" s="41">
        <v>30</v>
      </c>
      <c r="H110" s="41">
        <f t="shared" si="5"/>
        <v>890</v>
      </c>
      <c r="I110" s="40" t="s">
        <v>531</v>
      </c>
      <c r="J110" s="40" t="s">
        <v>35</v>
      </c>
      <c r="K110" s="40" t="s">
        <v>768</v>
      </c>
      <c r="L110" s="40" t="s">
        <v>744</v>
      </c>
    </row>
    <row r="111" spans="1:12" x14ac:dyDescent="0.25">
      <c r="A111" s="40" t="s">
        <v>29</v>
      </c>
      <c r="B111" s="40" t="s">
        <v>857</v>
      </c>
      <c r="C111" s="40" t="s">
        <v>858</v>
      </c>
      <c r="D111" s="40" t="s">
        <v>859</v>
      </c>
      <c r="E111" s="40" t="s">
        <v>191</v>
      </c>
      <c r="F111" s="41">
        <v>2380</v>
      </c>
      <c r="G111" s="41">
        <v>30</v>
      </c>
      <c r="H111" s="41">
        <f t="shared" si="5"/>
        <v>2350</v>
      </c>
      <c r="I111" s="40" t="s">
        <v>531</v>
      </c>
      <c r="J111" s="40" t="s">
        <v>35</v>
      </c>
      <c r="K111" s="40" t="s">
        <v>750</v>
      </c>
      <c r="L111" s="40" t="s">
        <v>744</v>
      </c>
    </row>
    <row r="112" spans="1:12" x14ac:dyDescent="0.25">
      <c r="A112" s="40" t="s">
        <v>29</v>
      </c>
      <c r="B112" s="40" t="s">
        <v>657</v>
      </c>
      <c r="C112" s="40" t="s">
        <v>860</v>
      </c>
      <c r="D112" s="40" t="s">
        <v>861</v>
      </c>
      <c r="E112" s="40" t="s">
        <v>191</v>
      </c>
      <c r="F112" s="41">
        <v>380</v>
      </c>
      <c r="G112" s="41">
        <v>30</v>
      </c>
      <c r="H112" s="41">
        <f t="shared" si="5"/>
        <v>350</v>
      </c>
      <c r="I112" s="40" t="s">
        <v>531</v>
      </c>
      <c r="J112" s="40" t="s">
        <v>35</v>
      </c>
      <c r="K112" s="40" t="s">
        <v>750</v>
      </c>
      <c r="L112" s="40" t="s">
        <v>744</v>
      </c>
    </row>
    <row r="113" spans="1:12" x14ac:dyDescent="0.25">
      <c r="A113" s="40" t="s">
        <v>29</v>
      </c>
      <c r="B113" s="40" t="s">
        <v>862</v>
      </c>
      <c r="C113" s="40" t="s">
        <v>863</v>
      </c>
      <c r="D113" s="40" t="s">
        <v>864</v>
      </c>
      <c r="E113" s="40" t="s">
        <v>92</v>
      </c>
      <c r="F113" s="41">
        <v>1235</v>
      </c>
      <c r="G113" s="41">
        <v>35</v>
      </c>
      <c r="H113" s="41">
        <f t="shared" si="5"/>
        <v>1200</v>
      </c>
      <c r="I113" s="40" t="s">
        <v>531</v>
      </c>
      <c r="J113" s="40" t="s">
        <v>35</v>
      </c>
      <c r="K113" s="40" t="s">
        <v>768</v>
      </c>
      <c r="L113" s="40" t="s">
        <v>744</v>
      </c>
    </row>
    <row r="114" spans="1:12" x14ac:dyDescent="0.25">
      <c r="A114" s="40" t="s">
        <v>29</v>
      </c>
      <c r="B114" s="40" t="s">
        <v>865</v>
      </c>
      <c r="C114" s="40" t="s">
        <v>866</v>
      </c>
      <c r="D114" s="40" t="s">
        <v>867</v>
      </c>
      <c r="E114" s="40" t="s">
        <v>99</v>
      </c>
      <c r="F114" s="41">
        <v>855</v>
      </c>
      <c r="G114" s="41">
        <v>35</v>
      </c>
      <c r="H114" s="41">
        <f t="shared" si="5"/>
        <v>820</v>
      </c>
      <c r="I114" s="40" t="s">
        <v>531</v>
      </c>
      <c r="J114" s="40" t="s">
        <v>35</v>
      </c>
      <c r="K114" s="40" t="s">
        <v>768</v>
      </c>
      <c r="L114" s="40" t="s">
        <v>744</v>
      </c>
    </row>
    <row r="115" spans="1:12" x14ac:dyDescent="0.25">
      <c r="A115" s="40" t="s">
        <v>29</v>
      </c>
      <c r="B115" s="40" t="s">
        <v>868</v>
      </c>
      <c r="C115" s="40" t="s">
        <v>869</v>
      </c>
      <c r="D115" s="40" t="s">
        <v>870</v>
      </c>
      <c r="E115" s="40" t="s">
        <v>87</v>
      </c>
      <c r="F115" s="41">
        <v>465</v>
      </c>
      <c r="G115" s="41">
        <v>35</v>
      </c>
      <c r="H115" s="41">
        <f t="shared" si="5"/>
        <v>430</v>
      </c>
      <c r="I115" s="40" t="s">
        <v>531</v>
      </c>
      <c r="J115" s="40" t="s">
        <v>35</v>
      </c>
      <c r="K115" s="40" t="s">
        <v>768</v>
      </c>
      <c r="L115" s="40" t="s">
        <v>744</v>
      </c>
    </row>
    <row r="116" spans="1:12" x14ac:dyDescent="0.25">
      <c r="A116" s="40" t="s">
        <v>29</v>
      </c>
      <c r="B116" s="40" t="s">
        <v>871</v>
      </c>
      <c r="C116" s="40" t="s">
        <v>872</v>
      </c>
      <c r="D116" s="40" t="s">
        <v>873</v>
      </c>
      <c r="E116" s="40" t="s">
        <v>87</v>
      </c>
      <c r="F116" s="41">
        <v>1225</v>
      </c>
      <c r="G116" s="41">
        <v>35</v>
      </c>
      <c r="H116" s="41">
        <f t="shared" si="5"/>
        <v>1190</v>
      </c>
      <c r="I116" s="40" t="s">
        <v>531</v>
      </c>
      <c r="J116" s="40" t="s">
        <v>35</v>
      </c>
      <c r="K116" s="40" t="s">
        <v>750</v>
      </c>
      <c r="L116" s="40" t="s">
        <v>744</v>
      </c>
    </row>
    <row r="117" spans="1:12" x14ac:dyDescent="0.25">
      <c r="A117" s="40" t="s">
        <v>29</v>
      </c>
      <c r="B117" s="40" t="s">
        <v>874</v>
      </c>
      <c r="C117" s="40" t="s">
        <v>875</v>
      </c>
      <c r="D117" s="40" t="s">
        <v>876</v>
      </c>
      <c r="E117" s="40" t="s">
        <v>87</v>
      </c>
      <c r="F117" s="41">
        <v>325</v>
      </c>
      <c r="G117" s="41">
        <v>35</v>
      </c>
      <c r="H117" s="41">
        <f t="shared" si="5"/>
        <v>290</v>
      </c>
      <c r="I117" s="40" t="s">
        <v>531</v>
      </c>
      <c r="J117" s="40" t="s">
        <v>35</v>
      </c>
      <c r="K117" s="40" t="s">
        <v>842</v>
      </c>
      <c r="L117" s="40" t="s">
        <v>744</v>
      </c>
    </row>
    <row r="118" spans="1:12" x14ac:dyDescent="0.25">
      <c r="A118" s="40" t="s">
        <v>29</v>
      </c>
      <c r="B118" s="40" t="s">
        <v>877</v>
      </c>
      <c r="C118" s="40" t="s">
        <v>878</v>
      </c>
      <c r="D118" s="40" t="s">
        <v>879</v>
      </c>
      <c r="E118" s="40" t="s">
        <v>87</v>
      </c>
      <c r="F118" s="41">
        <v>5600</v>
      </c>
      <c r="G118" s="41">
        <v>50</v>
      </c>
      <c r="H118" s="41">
        <f t="shared" si="5"/>
        <v>5550</v>
      </c>
      <c r="I118" s="40" t="s">
        <v>531</v>
      </c>
      <c r="J118" s="40" t="s">
        <v>35</v>
      </c>
      <c r="K118" s="40" t="s">
        <v>750</v>
      </c>
      <c r="L118" s="40" t="s">
        <v>744</v>
      </c>
    </row>
    <row r="119" spans="1:12" x14ac:dyDescent="0.25">
      <c r="A119" s="40" t="s">
        <v>29</v>
      </c>
      <c r="B119" s="40" t="s">
        <v>880</v>
      </c>
      <c r="C119" s="40" t="s">
        <v>881</v>
      </c>
      <c r="D119" s="40" t="s">
        <v>882</v>
      </c>
      <c r="E119" s="40" t="s">
        <v>87</v>
      </c>
      <c r="F119" s="41">
        <v>2045</v>
      </c>
      <c r="G119" s="41">
        <v>35</v>
      </c>
      <c r="H119" s="41">
        <f t="shared" si="5"/>
        <v>2010</v>
      </c>
      <c r="I119" s="40" t="s">
        <v>531</v>
      </c>
      <c r="J119" s="40" t="s">
        <v>35</v>
      </c>
      <c r="K119" s="40" t="s">
        <v>768</v>
      </c>
      <c r="L119" s="40" t="s">
        <v>744</v>
      </c>
    </row>
    <row r="120" spans="1:12" x14ac:dyDescent="0.25">
      <c r="H120" s="1">
        <f>SUBTOTAL(9,H88:H119)</f>
        <v>32188</v>
      </c>
    </row>
  </sheetData>
  <autoFilter ref="A2:P72" xr:uid="{00000000-0009-0000-0000-000006000000}">
    <sortState xmlns:xlrd2="http://schemas.microsoft.com/office/spreadsheetml/2017/richdata2" ref="A3:P72">
      <sortCondition ref="J2:J72"/>
    </sortState>
  </autoFilter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608E6-33B6-4BA4-936D-F84D9898EF08}">
  <dimension ref="A1:R71"/>
  <sheetViews>
    <sheetView topLeftCell="A33" zoomScale="85" zoomScaleNormal="85" workbookViewId="0">
      <selection activeCell="G6" sqref="G6"/>
    </sheetView>
  </sheetViews>
  <sheetFormatPr defaultRowHeight="15" x14ac:dyDescent="0.25"/>
  <cols>
    <col min="1" max="1" width="9.140625" style="1"/>
    <col min="2" max="2" width="10.28515625" style="1" customWidth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20" style="1" bestFit="1" customWidth="1"/>
    <col min="14" max="16384" width="9.140625" style="1"/>
  </cols>
  <sheetData>
    <row r="1" spans="1:18" x14ac:dyDescent="0.25">
      <c r="B1" s="1" t="s">
        <v>884</v>
      </c>
      <c r="C1" s="1" t="s">
        <v>883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33" customFormat="1" x14ac:dyDescent="0.25">
      <c r="A3" s="31"/>
      <c r="B3" s="31" t="s">
        <v>29</v>
      </c>
      <c r="C3" s="31" t="s">
        <v>886</v>
      </c>
      <c r="D3" s="31" t="s">
        <v>887</v>
      </c>
      <c r="E3" s="31" t="s">
        <v>888</v>
      </c>
      <c r="F3" s="32">
        <v>7</v>
      </c>
      <c r="G3" s="32">
        <v>0</v>
      </c>
      <c r="H3" s="32">
        <v>30</v>
      </c>
      <c r="I3" s="32">
        <f t="shared" ref="I3:I54" si="0">G3-H3</f>
        <v>-30</v>
      </c>
      <c r="J3" s="31" t="s">
        <v>889</v>
      </c>
      <c r="K3" s="31" t="s">
        <v>35</v>
      </c>
      <c r="L3" s="31" t="s">
        <v>890</v>
      </c>
      <c r="M3" s="31"/>
      <c r="N3" s="31"/>
      <c r="O3" s="31"/>
      <c r="P3" s="31"/>
      <c r="Q3" s="31">
        <v>1</v>
      </c>
      <c r="R3" s="38">
        <f>H3</f>
        <v>30</v>
      </c>
    </row>
    <row r="4" spans="1:18" s="33" customFormat="1" x14ac:dyDescent="0.25">
      <c r="A4" s="31"/>
      <c r="B4" s="31" t="s">
        <v>29</v>
      </c>
      <c r="C4" s="31" t="s">
        <v>891</v>
      </c>
      <c r="D4" s="31" t="s">
        <v>892</v>
      </c>
      <c r="E4" s="31" t="s">
        <v>893</v>
      </c>
      <c r="F4" s="32">
        <v>11</v>
      </c>
      <c r="G4" s="32">
        <v>665</v>
      </c>
      <c r="H4" s="32">
        <v>25</v>
      </c>
      <c r="I4" s="32">
        <f t="shared" si="0"/>
        <v>640</v>
      </c>
      <c r="J4" s="31" t="s">
        <v>889</v>
      </c>
      <c r="K4" s="31" t="s">
        <v>35</v>
      </c>
      <c r="L4" s="31" t="s">
        <v>890</v>
      </c>
      <c r="M4" s="31"/>
      <c r="N4" s="31"/>
      <c r="O4" s="31"/>
      <c r="P4" s="31"/>
      <c r="Q4" s="31">
        <v>1</v>
      </c>
    </row>
    <row r="5" spans="1:18" s="33" customFormat="1" x14ac:dyDescent="0.25">
      <c r="A5" s="31"/>
      <c r="B5" s="31" t="s">
        <v>29</v>
      </c>
      <c r="C5" s="31" t="s">
        <v>894</v>
      </c>
      <c r="D5" s="31" t="s">
        <v>895</v>
      </c>
      <c r="E5" s="31" t="s">
        <v>896</v>
      </c>
      <c r="F5" s="31" t="s">
        <v>48</v>
      </c>
      <c r="G5" s="32">
        <v>940</v>
      </c>
      <c r="H5" s="32">
        <v>30</v>
      </c>
      <c r="I5" s="32">
        <f t="shared" si="0"/>
        <v>910</v>
      </c>
      <c r="J5" s="31" t="s">
        <v>889</v>
      </c>
      <c r="K5" s="31" t="s">
        <v>35</v>
      </c>
      <c r="L5" s="31" t="s">
        <v>890</v>
      </c>
      <c r="M5" s="31"/>
      <c r="N5" s="31"/>
      <c r="O5" s="31"/>
      <c r="P5" s="31"/>
      <c r="Q5" s="31">
        <v>1</v>
      </c>
    </row>
    <row r="6" spans="1:18" s="33" customFormat="1" x14ac:dyDescent="0.25">
      <c r="A6" s="31"/>
      <c r="B6" s="31" t="s">
        <v>29</v>
      </c>
      <c r="C6" s="31" t="s">
        <v>897</v>
      </c>
      <c r="D6" s="31" t="s">
        <v>898</v>
      </c>
      <c r="E6" s="31" t="s">
        <v>899</v>
      </c>
      <c r="F6" s="31" t="s">
        <v>48</v>
      </c>
      <c r="G6" s="32">
        <v>6405</v>
      </c>
      <c r="H6" s="32">
        <v>50</v>
      </c>
      <c r="I6" s="32">
        <f t="shared" si="0"/>
        <v>6355</v>
      </c>
      <c r="J6" s="31" t="s">
        <v>889</v>
      </c>
      <c r="K6" s="31" t="s">
        <v>35</v>
      </c>
      <c r="L6" s="31" t="s">
        <v>890</v>
      </c>
      <c r="M6" s="31"/>
      <c r="N6" s="31"/>
      <c r="O6" s="31"/>
      <c r="P6" s="31"/>
      <c r="Q6" s="31">
        <v>1</v>
      </c>
    </row>
    <row r="7" spans="1:18" s="33" customFormat="1" x14ac:dyDescent="0.25">
      <c r="A7" s="31"/>
      <c r="B7" s="31" t="s">
        <v>29</v>
      </c>
      <c r="C7" s="31" t="s">
        <v>900</v>
      </c>
      <c r="D7" s="31" t="s">
        <v>901</v>
      </c>
      <c r="E7" s="31" t="s">
        <v>902</v>
      </c>
      <c r="F7" s="32">
        <v>8</v>
      </c>
      <c r="G7" s="32">
        <v>0</v>
      </c>
      <c r="H7" s="32">
        <v>30</v>
      </c>
      <c r="I7" s="32">
        <f t="shared" si="0"/>
        <v>-30</v>
      </c>
      <c r="J7" s="31" t="s">
        <v>889</v>
      </c>
      <c r="K7" s="31" t="s">
        <v>35</v>
      </c>
      <c r="L7" s="31" t="s">
        <v>890</v>
      </c>
      <c r="M7" s="31"/>
      <c r="N7" s="31"/>
      <c r="O7" s="31"/>
      <c r="P7" s="31"/>
      <c r="Q7" s="31">
        <v>1</v>
      </c>
      <c r="R7" s="38">
        <f>H7</f>
        <v>30</v>
      </c>
    </row>
    <row r="8" spans="1:18" s="33" customFormat="1" x14ac:dyDescent="0.25">
      <c r="A8" s="31"/>
      <c r="B8" s="31" t="s">
        <v>29</v>
      </c>
      <c r="C8" s="31" t="s">
        <v>903</v>
      </c>
      <c r="D8" s="31" t="s">
        <v>904</v>
      </c>
      <c r="E8" s="31" t="s">
        <v>905</v>
      </c>
      <c r="F8" s="32">
        <v>7</v>
      </c>
      <c r="G8" s="32">
        <v>260</v>
      </c>
      <c r="H8" s="32">
        <v>30</v>
      </c>
      <c r="I8" s="32">
        <f t="shared" si="0"/>
        <v>230</v>
      </c>
      <c r="J8" s="31" t="s">
        <v>889</v>
      </c>
      <c r="K8" s="31" t="s">
        <v>35</v>
      </c>
      <c r="L8" s="31" t="s">
        <v>890</v>
      </c>
      <c r="M8" s="31"/>
      <c r="N8" s="31"/>
      <c r="O8" s="31"/>
      <c r="P8" s="31"/>
      <c r="Q8" s="31">
        <v>1</v>
      </c>
    </row>
    <row r="9" spans="1:18" s="33" customFormat="1" x14ac:dyDescent="0.25">
      <c r="A9" s="31"/>
      <c r="B9" s="31" t="s">
        <v>29</v>
      </c>
      <c r="C9" s="31" t="s">
        <v>906</v>
      </c>
      <c r="D9" s="31" t="s">
        <v>907</v>
      </c>
      <c r="E9" s="31" t="s">
        <v>908</v>
      </c>
      <c r="F9" s="31" t="s">
        <v>99</v>
      </c>
      <c r="G9" s="32">
        <v>385</v>
      </c>
      <c r="H9" s="32">
        <v>35</v>
      </c>
      <c r="I9" s="32">
        <f t="shared" si="0"/>
        <v>350</v>
      </c>
      <c r="J9" s="31" t="s">
        <v>889</v>
      </c>
      <c r="K9" s="31" t="s">
        <v>35</v>
      </c>
      <c r="L9" s="31" t="s">
        <v>890</v>
      </c>
      <c r="M9" s="31"/>
      <c r="N9" s="31"/>
      <c r="O9" s="31"/>
      <c r="P9" s="31"/>
      <c r="Q9" s="31">
        <v>1</v>
      </c>
    </row>
    <row r="10" spans="1:18" s="33" customFormat="1" x14ac:dyDescent="0.25">
      <c r="A10" s="31"/>
      <c r="B10" s="31" t="s">
        <v>29</v>
      </c>
      <c r="C10" s="31" t="s">
        <v>909</v>
      </c>
      <c r="D10" s="31" t="s">
        <v>910</v>
      </c>
      <c r="E10" s="31" t="s">
        <v>911</v>
      </c>
      <c r="F10" s="32">
        <v>8</v>
      </c>
      <c r="G10" s="32">
        <v>520</v>
      </c>
      <c r="H10" s="32">
        <v>30</v>
      </c>
      <c r="I10" s="32">
        <f t="shared" si="0"/>
        <v>490</v>
      </c>
      <c r="J10" s="31" t="s">
        <v>889</v>
      </c>
      <c r="K10" s="31" t="s">
        <v>35</v>
      </c>
      <c r="L10" s="31" t="s">
        <v>890</v>
      </c>
      <c r="M10" s="31"/>
      <c r="N10" s="31"/>
      <c r="O10" s="31"/>
      <c r="P10" s="31"/>
      <c r="Q10" s="31">
        <v>1</v>
      </c>
    </row>
    <row r="11" spans="1:18" s="33" customFormat="1" x14ac:dyDescent="0.25">
      <c r="A11" s="31"/>
      <c r="B11" s="31" t="s">
        <v>29</v>
      </c>
      <c r="C11" s="31" t="s">
        <v>912</v>
      </c>
      <c r="D11" s="31" t="s">
        <v>913</v>
      </c>
      <c r="E11" s="31" t="s">
        <v>914</v>
      </c>
      <c r="F11" s="31" t="s">
        <v>99</v>
      </c>
      <c r="G11" s="32">
        <v>865</v>
      </c>
      <c r="H11" s="32">
        <v>35</v>
      </c>
      <c r="I11" s="32">
        <f t="shared" si="0"/>
        <v>830</v>
      </c>
      <c r="J11" s="31" t="s">
        <v>889</v>
      </c>
      <c r="K11" s="31" t="s">
        <v>35</v>
      </c>
      <c r="L11" s="31" t="s">
        <v>890</v>
      </c>
      <c r="M11" s="31"/>
      <c r="N11" s="31"/>
      <c r="O11" s="31"/>
      <c r="P11" s="31"/>
      <c r="Q11" s="31">
        <v>1</v>
      </c>
    </row>
    <row r="12" spans="1:18" s="33" customFormat="1" x14ac:dyDescent="0.25">
      <c r="A12" s="31"/>
      <c r="B12" s="31" t="s">
        <v>29</v>
      </c>
      <c r="C12" s="31" t="s">
        <v>915</v>
      </c>
      <c r="D12" s="31" t="s">
        <v>810</v>
      </c>
      <c r="E12" s="31" t="s">
        <v>916</v>
      </c>
      <c r="F12" s="32">
        <v>11</v>
      </c>
      <c r="G12" s="32">
        <v>655</v>
      </c>
      <c r="H12" s="32">
        <v>25</v>
      </c>
      <c r="I12" s="32">
        <f t="shared" si="0"/>
        <v>630</v>
      </c>
      <c r="J12" s="31" t="s">
        <v>889</v>
      </c>
      <c r="K12" s="31" t="s">
        <v>35</v>
      </c>
      <c r="L12" s="31" t="s">
        <v>890</v>
      </c>
      <c r="M12" s="31"/>
      <c r="N12" s="31"/>
      <c r="O12" s="31"/>
      <c r="P12" s="31"/>
      <c r="Q12" s="31">
        <v>1</v>
      </c>
    </row>
    <row r="13" spans="1:18" s="33" customFormat="1" x14ac:dyDescent="0.25">
      <c r="A13" s="31"/>
      <c r="B13" s="31" t="s">
        <v>29</v>
      </c>
      <c r="C13" s="31" t="s">
        <v>917</v>
      </c>
      <c r="D13" s="31" t="s">
        <v>918</v>
      </c>
      <c r="E13" s="31" t="s">
        <v>919</v>
      </c>
      <c r="F13" s="31" t="s">
        <v>48</v>
      </c>
      <c r="G13" s="32">
        <v>710</v>
      </c>
      <c r="H13" s="32">
        <v>30</v>
      </c>
      <c r="I13" s="32">
        <f t="shared" si="0"/>
        <v>680</v>
      </c>
      <c r="J13" s="31" t="s">
        <v>889</v>
      </c>
      <c r="K13" s="31" t="s">
        <v>35</v>
      </c>
      <c r="L13" s="31" t="s">
        <v>890</v>
      </c>
      <c r="M13" s="31"/>
      <c r="N13" s="31"/>
      <c r="O13" s="31"/>
      <c r="P13" s="31"/>
      <c r="Q13" s="31">
        <v>1</v>
      </c>
    </row>
    <row r="14" spans="1:18" s="33" customFormat="1" x14ac:dyDescent="0.25">
      <c r="A14" s="31"/>
      <c r="B14" s="31" t="s">
        <v>29</v>
      </c>
      <c r="C14" s="31" t="s">
        <v>880</v>
      </c>
      <c r="D14" s="31" t="s">
        <v>881</v>
      </c>
      <c r="E14" s="31" t="s">
        <v>882</v>
      </c>
      <c r="F14" s="31" t="s">
        <v>87</v>
      </c>
      <c r="G14" s="32">
        <v>0</v>
      </c>
      <c r="H14" s="32">
        <v>35</v>
      </c>
      <c r="I14" s="32">
        <f t="shared" si="0"/>
        <v>-35</v>
      </c>
      <c r="J14" s="31" t="s">
        <v>889</v>
      </c>
      <c r="K14" s="31" t="s">
        <v>35</v>
      </c>
      <c r="L14" s="31" t="s">
        <v>890</v>
      </c>
      <c r="M14" s="31"/>
      <c r="N14" s="31"/>
      <c r="O14" s="31"/>
      <c r="P14" s="31"/>
      <c r="Q14" s="31">
        <v>1</v>
      </c>
      <c r="R14" s="38">
        <f>H14</f>
        <v>35</v>
      </c>
    </row>
    <row r="15" spans="1:18" s="33" customFormat="1" x14ac:dyDescent="0.25">
      <c r="A15" s="31"/>
      <c r="B15" s="31" t="s">
        <v>29</v>
      </c>
      <c r="C15" s="31" t="s">
        <v>920</v>
      </c>
      <c r="D15" s="31" t="s">
        <v>921</v>
      </c>
      <c r="E15" s="31" t="s">
        <v>922</v>
      </c>
      <c r="F15" s="32">
        <v>6</v>
      </c>
      <c r="G15" s="32">
        <v>2230</v>
      </c>
      <c r="H15" s="32">
        <v>30</v>
      </c>
      <c r="I15" s="32">
        <f t="shared" si="0"/>
        <v>2200</v>
      </c>
      <c r="J15" s="31" t="s">
        <v>889</v>
      </c>
      <c r="K15" s="31" t="s">
        <v>35</v>
      </c>
      <c r="L15" s="31" t="s">
        <v>890</v>
      </c>
      <c r="M15" s="39" t="s">
        <v>58</v>
      </c>
      <c r="N15" s="31"/>
      <c r="O15" s="31"/>
      <c r="P15" s="31"/>
      <c r="Q15" s="31">
        <v>1</v>
      </c>
      <c r="R15" s="38">
        <f>H15</f>
        <v>30</v>
      </c>
    </row>
    <row r="16" spans="1:18" s="33" customFormat="1" x14ac:dyDescent="0.25">
      <c r="A16" s="31"/>
      <c r="B16" s="31" t="s">
        <v>29</v>
      </c>
      <c r="C16" s="31" t="s">
        <v>923</v>
      </c>
      <c r="D16" s="31" t="s">
        <v>924</v>
      </c>
      <c r="E16" s="31" t="s">
        <v>925</v>
      </c>
      <c r="F16" s="32">
        <v>7</v>
      </c>
      <c r="G16" s="32">
        <v>730</v>
      </c>
      <c r="H16" s="32">
        <v>30</v>
      </c>
      <c r="I16" s="32">
        <f t="shared" si="0"/>
        <v>700</v>
      </c>
      <c r="J16" s="31" t="s">
        <v>889</v>
      </c>
      <c r="K16" s="31" t="s">
        <v>35</v>
      </c>
      <c r="L16" s="31" t="s">
        <v>890</v>
      </c>
      <c r="M16" s="31"/>
      <c r="N16" s="31"/>
      <c r="O16" s="31"/>
      <c r="P16" s="31"/>
      <c r="Q16" s="31">
        <v>1</v>
      </c>
    </row>
    <row r="17" spans="1:18" s="33" customFormat="1" x14ac:dyDescent="0.25">
      <c r="A17" s="31"/>
      <c r="B17" s="31" t="s">
        <v>29</v>
      </c>
      <c r="C17" s="31" t="s">
        <v>926</v>
      </c>
      <c r="D17" s="31" t="s">
        <v>927</v>
      </c>
      <c r="E17" s="31" t="s">
        <v>928</v>
      </c>
      <c r="F17" s="32">
        <v>9</v>
      </c>
      <c r="G17" s="32">
        <v>1700</v>
      </c>
      <c r="H17" s="32">
        <v>30</v>
      </c>
      <c r="I17" s="32">
        <f t="shared" si="0"/>
        <v>1670</v>
      </c>
      <c r="J17" s="31" t="s">
        <v>889</v>
      </c>
      <c r="K17" s="31" t="s">
        <v>35</v>
      </c>
      <c r="L17" s="31" t="s">
        <v>890</v>
      </c>
      <c r="M17" s="31"/>
      <c r="N17" s="31"/>
      <c r="O17" s="31"/>
      <c r="P17" s="31"/>
      <c r="Q17" s="31">
        <v>1</v>
      </c>
    </row>
    <row r="18" spans="1:18" s="33" customFormat="1" x14ac:dyDescent="0.25">
      <c r="A18" s="31"/>
      <c r="B18" s="31" t="s">
        <v>29</v>
      </c>
      <c r="C18" s="31" t="s">
        <v>929</v>
      </c>
      <c r="D18" s="31" t="s">
        <v>930</v>
      </c>
      <c r="E18" s="31" t="s">
        <v>931</v>
      </c>
      <c r="F18" s="31" t="s">
        <v>33</v>
      </c>
      <c r="G18" s="32">
        <v>415</v>
      </c>
      <c r="H18" s="32">
        <v>25</v>
      </c>
      <c r="I18" s="32">
        <f t="shared" si="0"/>
        <v>390</v>
      </c>
      <c r="J18" s="31" t="s">
        <v>889</v>
      </c>
      <c r="K18" s="31" t="s">
        <v>35</v>
      </c>
      <c r="L18" s="31" t="s">
        <v>890</v>
      </c>
      <c r="M18" s="31"/>
      <c r="N18" s="31"/>
      <c r="O18" s="31"/>
      <c r="P18" s="31"/>
      <c r="Q18" s="31">
        <v>1</v>
      </c>
    </row>
    <row r="19" spans="1:18" s="33" customFormat="1" x14ac:dyDescent="0.25">
      <c r="A19" s="31"/>
      <c r="B19" s="31" t="s">
        <v>29</v>
      </c>
      <c r="C19" s="31" t="s">
        <v>932</v>
      </c>
      <c r="D19" s="31" t="s">
        <v>933</v>
      </c>
      <c r="E19" s="31" t="s">
        <v>934</v>
      </c>
      <c r="F19" s="32">
        <v>6</v>
      </c>
      <c r="G19" s="32">
        <v>375</v>
      </c>
      <c r="H19" s="32">
        <v>25</v>
      </c>
      <c r="I19" s="32">
        <f t="shared" si="0"/>
        <v>350</v>
      </c>
      <c r="J19" s="31" t="s">
        <v>889</v>
      </c>
      <c r="K19" s="31" t="s">
        <v>35</v>
      </c>
      <c r="L19" s="31" t="s">
        <v>890</v>
      </c>
      <c r="M19" s="31"/>
      <c r="N19" s="31"/>
      <c r="O19" s="31"/>
      <c r="P19" s="31"/>
      <c r="Q19" s="31">
        <v>1</v>
      </c>
    </row>
    <row r="20" spans="1:18" s="33" customFormat="1" x14ac:dyDescent="0.25">
      <c r="A20" s="31"/>
      <c r="B20" s="31" t="s">
        <v>29</v>
      </c>
      <c r="C20" s="31" t="s">
        <v>935</v>
      </c>
      <c r="D20" s="31" t="s">
        <v>936</v>
      </c>
      <c r="E20" s="31" t="s">
        <v>937</v>
      </c>
      <c r="F20" s="31" t="s">
        <v>48</v>
      </c>
      <c r="G20" s="32">
        <v>830</v>
      </c>
      <c r="H20" s="32">
        <v>30</v>
      </c>
      <c r="I20" s="32">
        <f t="shared" si="0"/>
        <v>800</v>
      </c>
      <c r="J20" s="31" t="s">
        <v>889</v>
      </c>
      <c r="K20" s="31" t="s">
        <v>35</v>
      </c>
      <c r="L20" s="31" t="s">
        <v>890</v>
      </c>
      <c r="M20" s="31"/>
      <c r="N20" s="31"/>
      <c r="O20" s="31"/>
      <c r="P20" s="31"/>
      <c r="Q20" s="31">
        <v>1</v>
      </c>
    </row>
    <row r="21" spans="1:18" s="33" customFormat="1" x14ac:dyDescent="0.25">
      <c r="A21" s="31"/>
      <c r="B21" s="31" t="s">
        <v>29</v>
      </c>
      <c r="C21" s="31" t="s">
        <v>938</v>
      </c>
      <c r="D21" s="31" t="s">
        <v>939</v>
      </c>
      <c r="E21" s="31" t="s">
        <v>940</v>
      </c>
      <c r="F21" s="31" t="s">
        <v>33</v>
      </c>
      <c r="G21" s="32">
        <v>365</v>
      </c>
      <c r="H21" s="32">
        <v>25</v>
      </c>
      <c r="I21" s="32">
        <f t="shared" si="0"/>
        <v>340</v>
      </c>
      <c r="J21" s="31" t="s">
        <v>889</v>
      </c>
      <c r="K21" s="31" t="s">
        <v>35</v>
      </c>
      <c r="L21" s="31" t="s">
        <v>890</v>
      </c>
      <c r="M21" s="31"/>
      <c r="N21" s="31"/>
      <c r="O21" s="31"/>
      <c r="P21" s="31"/>
      <c r="Q21" s="31">
        <v>1</v>
      </c>
    </row>
    <row r="22" spans="1:18" s="33" customFormat="1" x14ac:dyDescent="0.25">
      <c r="A22" s="31"/>
      <c r="B22" s="31" t="s">
        <v>29</v>
      </c>
      <c r="C22" s="31" t="s">
        <v>941</v>
      </c>
      <c r="D22" s="31" t="s">
        <v>942</v>
      </c>
      <c r="E22" s="31" t="s">
        <v>943</v>
      </c>
      <c r="F22" s="32">
        <v>8</v>
      </c>
      <c r="G22" s="32">
        <v>520</v>
      </c>
      <c r="H22" s="32">
        <v>30</v>
      </c>
      <c r="I22" s="32">
        <f t="shared" si="0"/>
        <v>490</v>
      </c>
      <c r="J22" s="31" t="s">
        <v>889</v>
      </c>
      <c r="K22" s="31" t="s">
        <v>35</v>
      </c>
      <c r="L22" s="31" t="s">
        <v>890</v>
      </c>
      <c r="M22" s="31"/>
      <c r="N22" s="31"/>
      <c r="O22" s="31"/>
      <c r="P22" s="31"/>
      <c r="Q22" s="31">
        <v>1</v>
      </c>
    </row>
    <row r="23" spans="1:18" s="33" customFormat="1" x14ac:dyDescent="0.25">
      <c r="A23" s="31"/>
      <c r="B23" s="31" t="s">
        <v>29</v>
      </c>
      <c r="C23" s="31" t="s">
        <v>944</v>
      </c>
      <c r="D23" s="31" t="s">
        <v>945</v>
      </c>
      <c r="E23" s="31" t="s">
        <v>946</v>
      </c>
      <c r="F23" s="32">
        <v>7</v>
      </c>
      <c r="G23" s="32">
        <v>1110</v>
      </c>
      <c r="H23" s="32">
        <v>30</v>
      </c>
      <c r="I23" s="32">
        <f t="shared" si="0"/>
        <v>1080</v>
      </c>
      <c r="J23" s="31" t="s">
        <v>889</v>
      </c>
      <c r="K23" s="31" t="s">
        <v>35</v>
      </c>
      <c r="L23" s="31" t="s">
        <v>890</v>
      </c>
      <c r="M23" s="31"/>
      <c r="N23" s="31"/>
      <c r="O23" s="31"/>
      <c r="P23" s="31"/>
      <c r="Q23" s="31">
        <v>1</v>
      </c>
    </row>
    <row r="24" spans="1:18" s="33" customFormat="1" x14ac:dyDescent="0.25">
      <c r="A24" s="31"/>
      <c r="B24" s="31" t="s">
        <v>29</v>
      </c>
      <c r="C24" s="31" t="s">
        <v>947</v>
      </c>
      <c r="D24" s="31" t="s">
        <v>948</v>
      </c>
      <c r="E24" s="31" t="s">
        <v>949</v>
      </c>
      <c r="F24" s="32">
        <v>8</v>
      </c>
      <c r="G24" s="32">
        <v>830</v>
      </c>
      <c r="H24" s="32">
        <v>30</v>
      </c>
      <c r="I24" s="32">
        <f t="shared" si="0"/>
        <v>800</v>
      </c>
      <c r="J24" s="31" t="s">
        <v>889</v>
      </c>
      <c r="K24" s="31" t="s">
        <v>35</v>
      </c>
      <c r="L24" s="31" t="s">
        <v>890</v>
      </c>
      <c r="M24" s="31"/>
      <c r="N24" s="31"/>
      <c r="O24" s="31"/>
      <c r="P24" s="31"/>
      <c r="Q24" s="31">
        <v>1</v>
      </c>
    </row>
    <row r="25" spans="1:18" s="33" customFormat="1" x14ac:dyDescent="0.25">
      <c r="A25" s="31"/>
      <c r="B25" s="31" t="s">
        <v>29</v>
      </c>
      <c r="C25" s="31" t="s">
        <v>950</v>
      </c>
      <c r="D25" s="31" t="s">
        <v>951</v>
      </c>
      <c r="E25" s="31" t="s">
        <v>386</v>
      </c>
      <c r="F25" s="32">
        <v>9</v>
      </c>
      <c r="G25" s="32">
        <v>1560</v>
      </c>
      <c r="H25" s="32">
        <v>30</v>
      </c>
      <c r="I25" s="32">
        <f t="shared" si="0"/>
        <v>1530</v>
      </c>
      <c r="J25" s="31" t="s">
        <v>889</v>
      </c>
      <c r="K25" s="31" t="s">
        <v>35</v>
      </c>
      <c r="L25" s="31" t="s">
        <v>890</v>
      </c>
      <c r="M25" s="31"/>
      <c r="N25" s="31"/>
      <c r="O25" s="31"/>
      <c r="P25" s="31"/>
      <c r="Q25" s="31">
        <v>1</v>
      </c>
    </row>
    <row r="26" spans="1:18" s="33" customFormat="1" x14ac:dyDescent="0.25">
      <c r="A26" s="31"/>
      <c r="B26" s="31" t="s">
        <v>29</v>
      </c>
      <c r="C26" s="31" t="s">
        <v>952</v>
      </c>
      <c r="D26" s="31" t="s">
        <v>953</v>
      </c>
      <c r="E26" s="31" t="s">
        <v>954</v>
      </c>
      <c r="F26" s="32">
        <v>12</v>
      </c>
      <c r="G26" s="32">
        <v>2505</v>
      </c>
      <c r="H26" s="32">
        <v>35</v>
      </c>
      <c r="I26" s="32">
        <f t="shared" si="0"/>
        <v>2470</v>
      </c>
      <c r="J26" s="31" t="s">
        <v>35</v>
      </c>
      <c r="K26" s="31" t="s">
        <v>35</v>
      </c>
      <c r="L26" s="31" t="s">
        <v>890</v>
      </c>
      <c r="M26" s="31"/>
      <c r="N26" s="31"/>
      <c r="O26" s="31"/>
      <c r="P26" s="31"/>
      <c r="Q26" s="31">
        <v>1</v>
      </c>
    </row>
    <row r="27" spans="1:18" s="33" customFormat="1" x14ac:dyDescent="0.25">
      <c r="A27" s="31"/>
      <c r="B27" s="31" t="s">
        <v>29</v>
      </c>
      <c r="C27" s="31" t="s">
        <v>955</v>
      </c>
      <c r="D27" s="31" t="s">
        <v>956</v>
      </c>
      <c r="E27" s="31" t="s">
        <v>957</v>
      </c>
      <c r="F27" s="31" t="s">
        <v>57</v>
      </c>
      <c r="G27" s="32">
        <v>0</v>
      </c>
      <c r="H27" s="32">
        <v>20</v>
      </c>
      <c r="I27" s="32">
        <f t="shared" si="0"/>
        <v>-20</v>
      </c>
      <c r="J27" s="31" t="s">
        <v>35</v>
      </c>
      <c r="K27" s="31" t="s">
        <v>35</v>
      </c>
      <c r="L27" s="31" t="s">
        <v>890</v>
      </c>
      <c r="M27" s="31"/>
      <c r="N27" s="31"/>
      <c r="O27" s="31"/>
      <c r="P27" s="31"/>
      <c r="Q27" s="31">
        <v>1</v>
      </c>
      <c r="R27" s="38">
        <f>H27</f>
        <v>20</v>
      </c>
    </row>
    <row r="28" spans="1:18" s="33" customFormat="1" x14ac:dyDescent="0.25">
      <c r="A28" s="31"/>
      <c r="B28" s="31" t="s">
        <v>29</v>
      </c>
      <c r="C28" s="31" t="s">
        <v>958</v>
      </c>
      <c r="D28" s="31" t="s">
        <v>959</v>
      </c>
      <c r="E28" s="31" t="s">
        <v>960</v>
      </c>
      <c r="F28" s="32">
        <v>12</v>
      </c>
      <c r="G28" s="32">
        <v>30</v>
      </c>
      <c r="H28" s="32">
        <v>30</v>
      </c>
      <c r="I28" s="32">
        <f t="shared" si="0"/>
        <v>0</v>
      </c>
      <c r="J28" s="31" t="s">
        <v>35</v>
      </c>
      <c r="K28" s="31" t="s">
        <v>35</v>
      </c>
      <c r="L28" s="31" t="s">
        <v>890</v>
      </c>
      <c r="M28" s="31"/>
      <c r="N28" s="31"/>
      <c r="O28" s="31"/>
      <c r="P28" s="31"/>
      <c r="Q28" s="31">
        <v>1</v>
      </c>
    </row>
    <row r="29" spans="1:18" s="33" customFormat="1" x14ac:dyDescent="0.25">
      <c r="A29" s="31"/>
      <c r="B29" s="31" t="s">
        <v>29</v>
      </c>
      <c r="C29" s="31" t="s">
        <v>961</v>
      </c>
      <c r="D29" s="31" t="s">
        <v>962</v>
      </c>
      <c r="E29" s="31" t="s">
        <v>963</v>
      </c>
      <c r="F29" s="31" t="s">
        <v>57</v>
      </c>
      <c r="G29" s="32">
        <v>950</v>
      </c>
      <c r="H29" s="32">
        <v>20</v>
      </c>
      <c r="I29" s="32">
        <f t="shared" si="0"/>
        <v>930</v>
      </c>
      <c r="J29" s="31" t="s">
        <v>35</v>
      </c>
      <c r="K29" s="31" t="s">
        <v>35</v>
      </c>
      <c r="L29" s="31" t="s">
        <v>890</v>
      </c>
      <c r="M29" s="31"/>
      <c r="N29" s="31"/>
      <c r="O29" s="31"/>
      <c r="P29" s="31"/>
      <c r="Q29" s="31">
        <v>1</v>
      </c>
    </row>
    <row r="30" spans="1:18" s="33" customFormat="1" x14ac:dyDescent="0.25">
      <c r="A30" s="31"/>
      <c r="B30" s="31" t="s">
        <v>29</v>
      </c>
      <c r="C30" s="31" t="s">
        <v>964</v>
      </c>
      <c r="D30" s="31" t="s">
        <v>965</v>
      </c>
      <c r="E30" s="31" t="s">
        <v>238</v>
      </c>
      <c r="F30" s="31" t="s">
        <v>132</v>
      </c>
      <c r="G30" s="32">
        <v>0</v>
      </c>
      <c r="H30" s="32">
        <v>25</v>
      </c>
      <c r="I30" s="32">
        <f t="shared" si="0"/>
        <v>-25</v>
      </c>
      <c r="J30" s="31" t="s">
        <v>35</v>
      </c>
      <c r="K30" s="31" t="s">
        <v>35</v>
      </c>
      <c r="L30" s="31" t="s">
        <v>890</v>
      </c>
      <c r="M30" s="31"/>
      <c r="N30" s="31"/>
      <c r="O30" s="31"/>
      <c r="P30" s="31"/>
      <c r="Q30" s="31">
        <v>1</v>
      </c>
      <c r="R30" s="38">
        <f t="shared" ref="R30:R31" si="1">H30</f>
        <v>25</v>
      </c>
    </row>
    <row r="31" spans="1:18" s="33" customFormat="1" x14ac:dyDescent="0.25">
      <c r="A31" s="31"/>
      <c r="B31" s="31" t="s">
        <v>29</v>
      </c>
      <c r="C31" s="31" t="s">
        <v>966</v>
      </c>
      <c r="D31" s="31"/>
      <c r="E31" s="31" t="s">
        <v>967</v>
      </c>
      <c r="F31" s="31" t="s">
        <v>52</v>
      </c>
      <c r="G31" s="32">
        <v>0</v>
      </c>
      <c r="H31" s="32">
        <v>25</v>
      </c>
      <c r="I31" s="32">
        <f t="shared" si="0"/>
        <v>-25</v>
      </c>
      <c r="J31" s="31" t="s">
        <v>35</v>
      </c>
      <c r="K31" s="31" t="s">
        <v>35</v>
      </c>
      <c r="L31" s="31" t="s">
        <v>890</v>
      </c>
      <c r="M31" s="31"/>
      <c r="N31" s="31"/>
      <c r="O31" s="31"/>
      <c r="P31" s="31"/>
      <c r="Q31" s="31">
        <v>1</v>
      </c>
      <c r="R31" s="38">
        <f t="shared" si="1"/>
        <v>25</v>
      </c>
    </row>
    <row r="32" spans="1:18" s="33" customFormat="1" x14ac:dyDescent="0.25">
      <c r="A32" s="31"/>
      <c r="B32" s="31" t="s">
        <v>29</v>
      </c>
      <c r="C32" s="31" t="s">
        <v>968</v>
      </c>
      <c r="D32" s="31" t="s">
        <v>969</v>
      </c>
      <c r="E32" s="31" t="s">
        <v>970</v>
      </c>
      <c r="F32" s="31" t="s">
        <v>52</v>
      </c>
      <c r="G32" s="32">
        <v>1075</v>
      </c>
      <c r="H32" s="32">
        <v>25</v>
      </c>
      <c r="I32" s="32">
        <f t="shared" si="0"/>
        <v>1050</v>
      </c>
      <c r="J32" s="31" t="s">
        <v>35</v>
      </c>
      <c r="K32" s="31" t="s">
        <v>35</v>
      </c>
      <c r="L32" s="31" t="s">
        <v>890</v>
      </c>
      <c r="M32" s="31"/>
      <c r="N32" s="31"/>
      <c r="O32" s="31"/>
      <c r="P32" s="31"/>
      <c r="Q32" s="31">
        <v>1</v>
      </c>
    </row>
    <row r="33" spans="1:17" s="33" customFormat="1" x14ac:dyDescent="0.25">
      <c r="A33" s="31"/>
      <c r="B33" s="31" t="s">
        <v>29</v>
      </c>
      <c r="C33" s="31" t="s">
        <v>971</v>
      </c>
      <c r="D33" s="31" t="s">
        <v>972</v>
      </c>
      <c r="E33" s="31" t="s">
        <v>973</v>
      </c>
      <c r="F33" s="31" t="s">
        <v>57</v>
      </c>
      <c r="G33" s="32">
        <v>410</v>
      </c>
      <c r="H33" s="32">
        <v>20</v>
      </c>
      <c r="I33" s="32">
        <f t="shared" si="0"/>
        <v>390</v>
      </c>
      <c r="J33" s="31" t="s">
        <v>35</v>
      </c>
      <c r="K33" s="31" t="s">
        <v>35</v>
      </c>
      <c r="L33" s="31" t="s">
        <v>890</v>
      </c>
      <c r="M33" s="31"/>
      <c r="N33" s="31"/>
      <c r="O33" s="31"/>
      <c r="P33" s="31"/>
      <c r="Q33" s="31">
        <v>1</v>
      </c>
    </row>
    <row r="34" spans="1:17" s="33" customFormat="1" x14ac:dyDescent="0.25">
      <c r="A34" s="31"/>
      <c r="B34" s="31" t="s">
        <v>29</v>
      </c>
      <c r="C34" s="31" t="s">
        <v>974</v>
      </c>
      <c r="D34" s="31" t="s">
        <v>975</v>
      </c>
      <c r="E34" s="31" t="s">
        <v>976</v>
      </c>
      <c r="F34" s="31" t="s">
        <v>57</v>
      </c>
      <c r="G34" s="32">
        <v>370</v>
      </c>
      <c r="H34" s="32">
        <v>20</v>
      </c>
      <c r="I34" s="32">
        <f t="shared" si="0"/>
        <v>350</v>
      </c>
      <c r="J34" s="31" t="s">
        <v>35</v>
      </c>
      <c r="K34" s="31" t="s">
        <v>35</v>
      </c>
      <c r="L34" s="31" t="s">
        <v>890</v>
      </c>
      <c r="M34" s="31"/>
      <c r="N34" s="31"/>
      <c r="O34" s="31"/>
      <c r="P34" s="31"/>
      <c r="Q34" s="31">
        <v>1</v>
      </c>
    </row>
    <row r="35" spans="1:17" s="33" customFormat="1" x14ac:dyDescent="0.25">
      <c r="A35" s="31"/>
      <c r="B35" s="31" t="s">
        <v>29</v>
      </c>
      <c r="C35" s="31" t="s">
        <v>977</v>
      </c>
      <c r="D35" s="31" t="s">
        <v>978</v>
      </c>
      <c r="E35" s="31" t="s">
        <v>979</v>
      </c>
      <c r="F35" s="31" t="s">
        <v>132</v>
      </c>
      <c r="G35" s="32">
        <v>385</v>
      </c>
      <c r="H35" s="32">
        <v>25</v>
      </c>
      <c r="I35" s="32">
        <f t="shared" si="0"/>
        <v>360</v>
      </c>
      <c r="J35" s="31" t="s">
        <v>35</v>
      </c>
      <c r="K35" s="31" t="s">
        <v>35</v>
      </c>
      <c r="L35" s="31" t="s">
        <v>890</v>
      </c>
      <c r="M35" s="31"/>
      <c r="N35" s="31"/>
      <c r="O35" s="31"/>
      <c r="P35" s="31"/>
      <c r="Q35" s="31">
        <v>1</v>
      </c>
    </row>
    <row r="36" spans="1:17" s="33" customFormat="1" x14ac:dyDescent="0.25">
      <c r="A36" s="31"/>
      <c r="B36" s="31" t="s">
        <v>29</v>
      </c>
      <c r="C36" s="31" t="s">
        <v>980</v>
      </c>
      <c r="D36" s="31" t="s">
        <v>981</v>
      </c>
      <c r="E36" s="31" t="s">
        <v>982</v>
      </c>
      <c r="F36" s="31" t="s">
        <v>52</v>
      </c>
      <c r="G36" s="32">
        <v>545</v>
      </c>
      <c r="H36" s="32">
        <v>25</v>
      </c>
      <c r="I36" s="32">
        <f t="shared" si="0"/>
        <v>520</v>
      </c>
      <c r="J36" s="31" t="s">
        <v>35</v>
      </c>
      <c r="K36" s="31" t="s">
        <v>35</v>
      </c>
      <c r="L36" s="31" t="s">
        <v>890</v>
      </c>
      <c r="M36" s="31"/>
      <c r="N36" s="31"/>
      <c r="O36" s="31"/>
      <c r="P36" s="31"/>
      <c r="Q36" s="31">
        <v>1</v>
      </c>
    </row>
    <row r="37" spans="1:17" s="33" customFormat="1" x14ac:dyDescent="0.25">
      <c r="A37" s="31"/>
      <c r="B37" s="31" t="s">
        <v>29</v>
      </c>
      <c r="C37" s="31" t="s">
        <v>983</v>
      </c>
      <c r="D37" s="31" t="s">
        <v>984</v>
      </c>
      <c r="E37" s="31" t="s">
        <v>985</v>
      </c>
      <c r="F37" s="31" t="s">
        <v>191</v>
      </c>
      <c r="G37" s="32">
        <v>290</v>
      </c>
      <c r="H37" s="32">
        <v>30</v>
      </c>
      <c r="I37" s="32">
        <f t="shared" si="0"/>
        <v>260</v>
      </c>
      <c r="J37" s="31" t="s">
        <v>35</v>
      </c>
      <c r="K37" s="31" t="s">
        <v>35</v>
      </c>
      <c r="L37" s="31" t="s">
        <v>890</v>
      </c>
      <c r="M37" s="31"/>
      <c r="N37" s="31"/>
      <c r="O37" s="31"/>
      <c r="P37" s="31"/>
      <c r="Q37" s="31">
        <v>1</v>
      </c>
    </row>
    <row r="38" spans="1:17" s="33" customFormat="1" x14ac:dyDescent="0.25">
      <c r="A38" s="31"/>
      <c r="B38" s="31" t="s">
        <v>29</v>
      </c>
      <c r="C38" s="31" t="s">
        <v>986</v>
      </c>
      <c r="D38" s="31" t="s">
        <v>987</v>
      </c>
      <c r="E38" s="31" t="s">
        <v>988</v>
      </c>
      <c r="F38" s="31" t="s">
        <v>52</v>
      </c>
      <c r="G38" s="32">
        <v>885</v>
      </c>
      <c r="H38" s="32">
        <v>25</v>
      </c>
      <c r="I38" s="32">
        <f t="shared" si="0"/>
        <v>860</v>
      </c>
      <c r="J38" s="31" t="s">
        <v>35</v>
      </c>
      <c r="K38" s="31" t="s">
        <v>35</v>
      </c>
      <c r="L38" s="31" t="s">
        <v>890</v>
      </c>
      <c r="M38" s="31"/>
      <c r="N38" s="31"/>
      <c r="O38" s="31"/>
      <c r="P38" s="31"/>
      <c r="Q38" s="31">
        <v>1</v>
      </c>
    </row>
    <row r="39" spans="1:17" s="33" customFormat="1" x14ac:dyDescent="0.25">
      <c r="A39" s="31"/>
      <c r="B39" s="31" t="s">
        <v>29</v>
      </c>
      <c r="C39" s="31" t="s">
        <v>989</v>
      </c>
      <c r="D39" s="31" t="s">
        <v>990</v>
      </c>
      <c r="E39" s="31" t="s">
        <v>991</v>
      </c>
      <c r="F39" s="31" t="s">
        <v>57</v>
      </c>
      <c r="G39" s="32">
        <v>1200</v>
      </c>
      <c r="H39" s="32">
        <v>20</v>
      </c>
      <c r="I39" s="32">
        <f t="shared" si="0"/>
        <v>1180</v>
      </c>
      <c r="J39" s="31" t="s">
        <v>35</v>
      </c>
      <c r="K39" s="31" t="s">
        <v>35</v>
      </c>
      <c r="L39" s="31" t="s">
        <v>890</v>
      </c>
      <c r="M39" s="31"/>
      <c r="N39" s="31"/>
      <c r="O39" s="31"/>
      <c r="P39" s="31"/>
      <c r="Q39" s="31">
        <v>1</v>
      </c>
    </row>
    <row r="40" spans="1:17" s="33" customFormat="1" x14ac:dyDescent="0.25">
      <c r="A40" s="31"/>
      <c r="B40" s="31" t="s">
        <v>29</v>
      </c>
      <c r="C40" s="31" t="s">
        <v>992</v>
      </c>
      <c r="D40" s="31" t="s">
        <v>993</v>
      </c>
      <c r="E40" s="31" t="s">
        <v>994</v>
      </c>
      <c r="F40" s="31" t="s">
        <v>191</v>
      </c>
      <c r="G40" s="32">
        <v>1240</v>
      </c>
      <c r="H40" s="32">
        <v>30</v>
      </c>
      <c r="I40" s="32">
        <f t="shared" si="0"/>
        <v>1210</v>
      </c>
      <c r="J40" s="31" t="s">
        <v>35</v>
      </c>
      <c r="K40" s="31" t="s">
        <v>35</v>
      </c>
      <c r="L40" s="31" t="s">
        <v>890</v>
      </c>
      <c r="M40" s="31"/>
      <c r="N40" s="31"/>
      <c r="O40" s="31"/>
      <c r="P40" s="31"/>
      <c r="Q40" s="31">
        <v>1</v>
      </c>
    </row>
    <row r="41" spans="1:17" s="33" customFormat="1" x14ac:dyDescent="0.25">
      <c r="A41" s="31"/>
      <c r="B41" s="31" t="s">
        <v>29</v>
      </c>
      <c r="C41" s="31" t="s">
        <v>416</v>
      </c>
      <c r="D41" s="31" t="s">
        <v>995</v>
      </c>
      <c r="E41" s="31" t="s">
        <v>418</v>
      </c>
      <c r="F41" s="31" t="s">
        <v>191</v>
      </c>
      <c r="G41" s="32">
        <v>450</v>
      </c>
      <c r="H41" s="32">
        <v>30</v>
      </c>
      <c r="I41" s="32">
        <f t="shared" si="0"/>
        <v>420</v>
      </c>
      <c r="J41" s="31" t="s">
        <v>35</v>
      </c>
      <c r="K41" s="31" t="s">
        <v>35</v>
      </c>
      <c r="L41" s="31" t="s">
        <v>890</v>
      </c>
      <c r="M41" s="31"/>
      <c r="N41" s="31"/>
      <c r="O41" s="31"/>
      <c r="P41" s="31"/>
      <c r="Q41" s="31">
        <v>1</v>
      </c>
    </row>
    <row r="42" spans="1:17" s="33" customFormat="1" x14ac:dyDescent="0.25">
      <c r="A42" s="31"/>
      <c r="B42" s="31" t="s">
        <v>29</v>
      </c>
      <c r="C42" s="31" t="s">
        <v>996</v>
      </c>
      <c r="D42" s="31" t="s">
        <v>997</v>
      </c>
      <c r="E42" s="31" t="s">
        <v>998</v>
      </c>
      <c r="F42" s="31" t="s">
        <v>52</v>
      </c>
      <c r="G42" s="32">
        <v>315</v>
      </c>
      <c r="H42" s="32">
        <v>25</v>
      </c>
      <c r="I42" s="32">
        <f t="shared" si="0"/>
        <v>290</v>
      </c>
      <c r="J42" s="31" t="s">
        <v>35</v>
      </c>
      <c r="K42" s="31" t="s">
        <v>35</v>
      </c>
      <c r="L42" s="31" t="s">
        <v>890</v>
      </c>
      <c r="M42" s="31"/>
      <c r="N42" s="31"/>
      <c r="O42" s="31"/>
      <c r="P42" s="31"/>
      <c r="Q42" s="31">
        <v>1</v>
      </c>
    </row>
    <row r="43" spans="1:17" s="33" customFormat="1" x14ac:dyDescent="0.25">
      <c r="A43" s="31"/>
      <c r="B43" s="31" t="s">
        <v>29</v>
      </c>
      <c r="C43" s="31" t="s">
        <v>657</v>
      </c>
      <c r="D43" s="31" t="s">
        <v>860</v>
      </c>
      <c r="E43" s="31" t="s">
        <v>861</v>
      </c>
      <c r="F43" s="31" t="s">
        <v>191</v>
      </c>
      <c r="G43" s="32">
        <v>380</v>
      </c>
      <c r="H43" s="32">
        <v>30</v>
      </c>
      <c r="I43" s="32">
        <f t="shared" si="0"/>
        <v>350</v>
      </c>
      <c r="J43" s="31" t="s">
        <v>35</v>
      </c>
      <c r="K43" s="31" t="s">
        <v>35</v>
      </c>
      <c r="L43" s="31" t="s">
        <v>890</v>
      </c>
      <c r="M43" s="31"/>
      <c r="N43" s="31"/>
      <c r="O43" s="31"/>
      <c r="P43" s="31"/>
      <c r="Q43" s="31">
        <v>1</v>
      </c>
    </row>
    <row r="44" spans="1:17" s="33" customFormat="1" x14ac:dyDescent="0.25">
      <c r="A44" s="31" t="s">
        <v>43</v>
      </c>
      <c r="B44" s="31" t="s">
        <v>29</v>
      </c>
      <c r="C44" s="31" t="s">
        <v>999</v>
      </c>
      <c r="D44" s="31"/>
      <c r="E44" s="31" t="s">
        <v>1000</v>
      </c>
      <c r="F44" s="31" t="s">
        <v>52</v>
      </c>
      <c r="G44" s="32">
        <v>4680</v>
      </c>
      <c r="H44" s="32">
        <v>40</v>
      </c>
      <c r="I44" s="32">
        <f t="shared" si="0"/>
        <v>4640</v>
      </c>
      <c r="J44" s="31" t="s">
        <v>35</v>
      </c>
      <c r="K44" s="31" t="s">
        <v>35</v>
      </c>
      <c r="L44" s="31" t="s">
        <v>890</v>
      </c>
      <c r="M44" s="31"/>
      <c r="N44" s="31"/>
      <c r="O44" s="31"/>
      <c r="P44" s="31"/>
      <c r="Q44" s="31">
        <v>1</v>
      </c>
    </row>
    <row r="45" spans="1:17" s="33" customFormat="1" x14ac:dyDescent="0.25">
      <c r="A45" s="31"/>
      <c r="B45" s="31" t="s">
        <v>29</v>
      </c>
      <c r="C45" s="31" t="s">
        <v>1001</v>
      </c>
      <c r="D45" s="31" t="s">
        <v>1002</v>
      </c>
      <c r="E45" s="31" t="s">
        <v>1003</v>
      </c>
      <c r="F45" s="31" t="s">
        <v>252</v>
      </c>
      <c r="G45" s="32">
        <v>560</v>
      </c>
      <c r="H45" s="32">
        <v>20</v>
      </c>
      <c r="I45" s="32">
        <f t="shared" si="0"/>
        <v>540</v>
      </c>
      <c r="J45" s="31" t="s">
        <v>69</v>
      </c>
      <c r="K45" s="31" t="s">
        <v>35</v>
      </c>
      <c r="L45" s="31" t="s">
        <v>890</v>
      </c>
      <c r="M45" s="31"/>
      <c r="N45" s="31"/>
      <c r="O45" s="31"/>
      <c r="P45" s="31"/>
      <c r="Q45" s="31">
        <v>1</v>
      </c>
    </row>
    <row r="46" spans="1:17" s="33" customFormat="1" x14ac:dyDescent="0.25">
      <c r="A46" s="31"/>
      <c r="B46" s="31" t="s">
        <v>29</v>
      </c>
      <c r="C46" s="31" t="s">
        <v>1004</v>
      </c>
      <c r="D46" s="31" t="s">
        <v>1005</v>
      </c>
      <c r="E46" s="31" t="s">
        <v>1006</v>
      </c>
      <c r="F46" s="31" t="s">
        <v>132</v>
      </c>
      <c r="G46" s="32">
        <v>915</v>
      </c>
      <c r="H46" s="32">
        <v>25</v>
      </c>
      <c r="I46" s="32">
        <f t="shared" si="0"/>
        <v>890</v>
      </c>
      <c r="J46" s="31" t="s">
        <v>69</v>
      </c>
      <c r="K46" s="31" t="s">
        <v>35</v>
      </c>
      <c r="L46" s="31" t="s">
        <v>890</v>
      </c>
      <c r="M46" s="31"/>
      <c r="N46" s="31"/>
      <c r="O46" s="31"/>
      <c r="P46" s="31"/>
      <c r="Q46" s="31">
        <v>1</v>
      </c>
    </row>
    <row r="47" spans="1:17" s="33" customFormat="1" x14ac:dyDescent="0.25">
      <c r="A47" s="31"/>
      <c r="B47" s="31" t="s">
        <v>29</v>
      </c>
      <c r="C47" s="31" t="s">
        <v>1007</v>
      </c>
      <c r="D47" s="31" t="s">
        <v>1008</v>
      </c>
      <c r="E47" s="31" t="s">
        <v>1009</v>
      </c>
      <c r="F47" s="32">
        <v>4</v>
      </c>
      <c r="G47" s="32">
        <v>905</v>
      </c>
      <c r="H47" s="32">
        <v>25</v>
      </c>
      <c r="I47" s="32">
        <f t="shared" si="0"/>
        <v>880</v>
      </c>
      <c r="J47" s="31" t="s">
        <v>69</v>
      </c>
      <c r="K47" s="31" t="s">
        <v>35</v>
      </c>
      <c r="L47" s="31" t="s">
        <v>890</v>
      </c>
      <c r="M47" s="31"/>
      <c r="N47" s="31"/>
      <c r="O47" s="31"/>
      <c r="P47" s="31"/>
      <c r="Q47" s="31">
        <v>1</v>
      </c>
    </row>
    <row r="48" spans="1:17" s="33" customFormat="1" x14ac:dyDescent="0.25">
      <c r="A48" s="31"/>
      <c r="B48" s="31" t="s">
        <v>29</v>
      </c>
      <c r="C48" s="31" t="s">
        <v>1010</v>
      </c>
      <c r="D48" s="31" t="s">
        <v>1011</v>
      </c>
      <c r="E48" s="31" t="s">
        <v>1012</v>
      </c>
      <c r="F48" s="32">
        <v>3</v>
      </c>
      <c r="G48" s="32">
        <v>445</v>
      </c>
      <c r="H48" s="32">
        <v>25</v>
      </c>
      <c r="I48" s="32">
        <f t="shared" si="0"/>
        <v>420</v>
      </c>
      <c r="J48" s="31" t="s">
        <v>69</v>
      </c>
      <c r="K48" s="31" t="s">
        <v>35</v>
      </c>
      <c r="L48" s="31" t="s">
        <v>890</v>
      </c>
      <c r="M48" s="31"/>
      <c r="N48" s="31"/>
      <c r="O48" s="31"/>
      <c r="P48" s="31"/>
      <c r="Q48" s="31">
        <v>1</v>
      </c>
    </row>
    <row r="49" spans="1:18" s="33" customFormat="1" x14ac:dyDescent="0.25">
      <c r="A49" s="31"/>
      <c r="B49" s="31" t="s">
        <v>29</v>
      </c>
      <c r="C49" s="31" t="s">
        <v>1013</v>
      </c>
      <c r="D49" s="31" t="s">
        <v>1014</v>
      </c>
      <c r="E49" s="31" t="s">
        <v>1015</v>
      </c>
      <c r="F49" s="32">
        <v>10</v>
      </c>
      <c r="G49" s="32">
        <v>25</v>
      </c>
      <c r="H49" s="32">
        <v>25</v>
      </c>
      <c r="I49" s="32">
        <f t="shared" si="0"/>
        <v>0</v>
      </c>
      <c r="J49" s="31" t="s">
        <v>69</v>
      </c>
      <c r="K49" s="31" t="s">
        <v>35</v>
      </c>
      <c r="L49" s="31" t="s">
        <v>890</v>
      </c>
      <c r="M49" s="31"/>
      <c r="N49" s="31"/>
      <c r="O49" s="31"/>
      <c r="P49" s="31"/>
      <c r="Q49" s="31">
        <v>1</v>
      </c>
    </row>
    <row r="50" spans="1:18" s="33" customFormat="1" x14ac:dyDescent="0.25">
      <c r="A50" s="31"/>
      <c r="B50" s="31" t="s">
        <v>29</v>
      </c>
      <c r="C50" s="31" t="s">
        <v>1016</v>
      </c>
      <c r="D50" s="31" t="s">
        <v>1017</v>
      </c>
      <c r="E50" s="31" t="s">
        <v>1018</v>
      </c>
      <c r="F50" s="32">
        <v>1</v>
      </c>
      <c r="G50" s="32">
        <v>0</v>
      </c>
      <c r="H50" s="32">
        <v>25</v>
      </c>
      <c r="I50" s="32">
        <f t="shared" si="0"/>
        <v>-25</v>
      </c>
      <c r="J50" s="31" t="s">
        <v>69</v>
      </c>
      <c r="K50" s="31" t="s">
        <v>35</v>
      </c>
      <c r="L50" s="31" t="s">
        <v>890</v>
      </c>
      <c r="M50" s="31"/>
      <c r="N50" s="31"/>
      <c r="O50" s="31"/>
      <c r="P50" s="31"/>
      <c r="Q50" s="31">
        <v>1</v>
      </c>
      <c r="R50" s="38">
        <f>H50</f>
        <v>25</v>
      </c>
    </row>
    <row r="51" spans="1:18" s="37" customFormat="1" x14ac:dyDescent="0.25">
      <c r="A51" s="34"/>
      <c r="B51" s="34" t="s">
        <v>29</v>
      </c>
      <c r="C51" s="34" t="s">
        <v>1019</v>
      </c>
      <c r="D51" s="34" t="s">
        <v>1020</v>
      </c>
      <c r="E51" s="34" t="s">
        <v>1021</v>
      </c>
      <c r="F51" s="35">
        <v>1</v>
      </c>
      <c r="G51" s="35">
        <v>25</v>
      </c>
      <c r="H51" s="35">
        <v>25</v>
      </c>
      <c r="I51" s="35">
        <f t="shared" si="0"/>
        <v>0</v>
      </c>
      <c r="J51" s="34" t="s">
        <v>69</v>
      </c>
      <c r="K51" s="34" t="s">
        <v>35</v>
      </c>
      <c r="L51" s="34" t="s">
        <v>890</v>
      </c>
      <c r="M51" s="34" t="s">
        <v>53</v>
      </c>
      <c r="N51" s="34"/>
      <c r="O51" s="34"/>
      <c r="P51" s="34"/>
      <c r="Q51" s="34">
        <v>1</v>
      </c>
    </row>
    <row r="52" spans="1:18" s="33" customFormat="1" x14ac:dyDescent="0.25">
      <c r="A52" s="31"/>
      <c r="B52" s="31" t="s">
        <v>29</v>
      </c>
      <c r="C52" s="31" t="s">
        <v>1022</v>
      </c>
      <c r="D52" s="31" t="s">
        <v>1023</v>
      </c>
      <c r="E52" s="31" t="s">
        <v>1024</v>
      </c>
      <c r="F52" s="32">
        <v>5</v>
      </c>
      <c r="G52" s="32">
        <v>915</v>
      </c>
      <c r="H52" s="32">
        <v>25</v>
      </c>
      <c r="I52" s="32">
        <f t="shared" si="0"/>
        <v>890</v>
      </c>
      <c r="J52" s="31" t="s">
        <v>69</v>
      </c>
      <c r="K52" s="31" t="s">
        <v>35</v>
      </c>
      <c r="L52" s="31" t="s">
        <v>890</v>
      </c>
      <c r="M52" s="31"/>
      <c r="N52" s="31"/>
      <c r="O52" s="31"/>
      <c r="P52" s="31"/>
      <c r="Q52" s="31">
        <v>1</v>
      </c>
    </row>
    <row r="53" spans="1:18" s="33" customFormat="1" x14ac:dyDescent="0.25">
      <c r="A53" s="31"/>
      <c r="B53" s="31" t="s">
        <v>29</v>
      </c>
      <c r="C53" s="31" t="s">
        <v>1025</v>
      </c>
      <c r="D53" s="31" t="s">
        <v>1026</v>
      </c>
      <c r="E53" s="31" t="s">
        <v>1027</v>
      </c>
      <c r="F53" s="32">
        <v>3</v>
      </c>
      <c r="G53" s="32">
        <v>0</v>
      </c>
      <c r="H53" s="32">
        <v>25</v>
      </c>
      <c r="I53" s="32">
        <f t="shared" si="0"/>
        <v>-25</v>
      </c>
      <c r="J53" s="31" t="s">
        <v>69</v>
      </c>
      <c r="K53" s="31" t="s">
        <v>35</v>
      </c>
      <c r="L53" s="31" t="s">
        <v>890</v>
      </c>
      <c r="M53" s="31"/>
      <c r="N53" s="31"/>
      <c r="O53" s="31"/>
      <c r="P53" s="31"/>
      <c r="Q53" s="31">
        <v>1</v>
      </c>
      <c r="R53" s="38">
        <f>H53</f>
        <v>25</v>
      </c>
    </row>
    <row r="54" spans="1:18" s="33" customFormat="1" x14ac:dyDescent="0.25">
      <c r="A54" s="31"/>
      <c r="B54" s="31" t="s">
        <v>29</v>
      </c>
      <c r="C54" s="31" t="s">
        <v>1028</v>
      </c>
      <c r="D54" s="31" t="s">
        <v>1029</v>
      </c>
      <c r="E54" s="31" t="s">
        <v>1030</v>
      </c>
      <c r="F54" s="32">
        <v>1</v>
      </c>
      <c r="G54" s="32">
        <v>515</v>
      </c>
      <c r="H54" s="32">
        <v>25</v>
      </c>
      <c r="I54" s="32">
        <f t="shared" si="0"/>
        <v>490</v>
      </c>
      <c r="J54" s="31" t="s">
        <v>69</v>
      </c>
      <c r="K54" s="31" t="s">
        <v>35</v>
      </c>
      <c r="L54" s="31" t="s">
        <v>890</v>
      </c>
      <c r="M54" s="31"/>
      <c r="N54" s="31"/>
      <c r="O54" s="31"/>
      <c r="P54" s="31"/>
      <c r="Q54" s="31">
        <v>1</v>
      </c>
    </row>
    <row r="55" spans="1:18" s="33" customFormat="1" x14ac:dyDescent="0.25">
      <c r="A55" s="31"/>
      <c r="B55" s="31" t="s">
        <v>29</v>
      </c>
      <c r="C55" s="31" t="s">
        <v>1031</v>
      </c>
      <c r="D55" s="31" t="s">
        <v>1032</v>
      </c>
      <c r="E55" s="31" t="s">
        <v>1033</v>
      </c>
      <c r="F55" s="32">
        <v>10</v>
      </c>
      <c r="G55" s="32">
        <v>1155</v>
      </c>
      <c r="H55" s="32">
        <v>25</v>
      </c>
      <c r="I55" s="32">
        <f>G55-H55</f>
        <v>1130</v>
      </c>
      <c r="J55" s="31" t="s">
        <v>69</v>
      </c>
      <c r="K55" s="31" t="s">
        <v>35</v>
      </c>
      <c r="L55" s="31" t="s">
        <v>890</v>
      </c>
      <c r="M55" s="31"/>
      <c r="N55" s="31"/>
      <c r="O55" s="31"/>
      <c r="P55" s="31"/>
      <c r="Q55" s="31">
        <v>1</v>
      </c>
    </row>
    <row r="57" spans="1:18" x14ac:dyDescent="0.25">
      <c r="G57" s="1">
        <f t="shared" ref="G57:R57" si="2">SUBTOTAL(9,G3:G56)</f>
        <v>43240</v>
      </c>
      <c r="H57" s="1">
        <f t="shared" si="2"/>
        <v>1470</v>
      </c>
      <c r="I57" s="1">
        <f t="shared" si="2"/>
        <v>41770</v>
      </c>
      <c r="J57" s="1">
        <f t="shared" si="2"/>
        <v>0</v>
      </c>
      <c r="K57" s="1">
        <f t="shared" si="2"/>
        <v>0</v>
      </c>
      <c r="L57" s="1">
        <f t="shared" si="2"/>
        <v>0</v>
      </c>
      <c r="M57" s="1">
        <f t="shared" si="2"/>
        <v>0</v>
      </c>
      <c r="N57" s="1">
        <f t="shared" si="2"/>
        <v>0</v>
      </c>
      <c r="O57" s="1">
        <f t="shared" si="2"/>
        <v>0</v>
      </c>
      <c r="P57" s="1">
        <f t="shared" si="2"/>
        <v>0</v>
      </c>
      <c r="Q57" s="1">
        <f t="shared" si="2"/>
        <v>53</v>
      </c>
      <c r="R57" s="1">
        <f t="shared" si="2"/>
        <v>245</v>
      </c>
    </row>
    <row r="58" spans="1:18" x14ac:dyDescent="0.25">
      <c r="I58" s="1">
        <v>-210</v>
      </c>
      <c r="J58" s="1" t="s">
        <v>1034</v>
      </c>
    </row>
    <row r="61" spans="1:18" ht="20.25" customHeight="1" x14ac:dyDescent="0.3">
      <c r="H61" s="4" t="s">
        <v>885</v>
      </c>
      <c r="I61" s="5" t="s">
        <v>15</v>
      </c>
      <c r="J61" s="6" t="s">
        <v>16</v>
      </c>
    </row>
    <row r="62" spans="1:18" ht="15.75" customHeight="1" x14ac:dyDescent="0.25">
      <c r="H62" s="7" t="s">
        <v>17</v>
      </c>
      <c r="I62" s="8">
        <f>SUM(I56:I60)</f>
        <v>41560</v>
      </c>
      <c r="J62" s="8">
        <f>Q57</f>
        <v>53</v>
      </c>
    </row>
    <row r="63" spans="1:18" x14ac:dyDescent="0.25">
      <c r="H63" s="9" t="s">
        <v>18</v>
      </c>
      <c r="I63" s="10">
        <f>R57</f>
        <v>245</v>
      </c>
      <c r="J63" s="11"/>
    </row>
    <row r="64" spans="1:18" x14ac:dyDescent="0.25">
      <c r="H64" s="9" t="s">
        <v>19</v>
      </c>
      <c r="I64" s="10">
        <f>S56</f>
        <v>0</v>
      </c>
      <c r="J64" s="11"/>
    </row>
    <row r="65" spans="1:12" x14ac:dyDescent="0.25">
      <c r="H65" s="9" t="s">
        <v>20</v>
      </c>
      <c r="I65" s="10">
        <f>T56</f>
        <v>0</v>
      </c>
      <c r="J65" s="11"/>
    </row>
    <row r="66" spans="1:12" x14ac:dyDescent="0.25">
      <c r="H66" s="9" t="s">
        <v>21</v>
      </c>
      <c r="I66" s="10">
        <f>U56</f>
        <v>0</v>
      </c>
      <c r="J66" s="11"/>
    </row>
    <row r="67" spans="1:12" ht="15.75" customHeight="1" x14ac:dyDescent="0.25">
      <c r="H67" s="12" t="s">
        <v>22</v>
      </c>
      <c r="I67" s="13"/>
      <c r="J67" s="13"/>
    </row>
    <row r="68" spans="1:12" ht="15.75" customHeight="1" x14ac:dyDescent="0.25">
      <c r="H68" s="14" t="s">
        <v>23</v>
      </c>
      <c r="I68" s="13"/>
      <c r="J68" s="13"/>
    </row>
    <row r="69" spans="1:12" ht="21" customHeight="1" x14ac:dyDescent="0.35">
      <c r="H69" s="15" t="s">
        <v>24</v>
      </c>
      <c r="I69" s="16">
        <f>SUM(I62:I68)</f>
        <v>41805</v>
      </c>
      <c r="J69" s="16">
        <f>SUM(J62:J66)</f>
        <v>53</v>
      </c>
    </row>
    <row r="70" spans="1:12" x14ac:dyDescent="0.25">
      <c r="A70" s="1" t="s">
        <v>1034</v>
      </c>
    </row>
    <row r="71" spans="1:12" x14ac:dyDescent="0.25">
      <c r="A71" s="43" t="s">
        <v>29</v>
      </c>
      <c r="B71" s="43" t="s">
        <v>640</v>
      </c>
      <c r="C71" s="43" t="s">
        <v>641</v>
      </c>
      <c r="D71" s="43" t="s">
        <v>642</v>
      </c>
      <c r="E71" s="46" t="s">
        <v>1035</v>
      </c>
      <c r="F71" s="43">
        <v>210</v>
      </c>
      <c r="G71" s="43">
        <v>0</v>
      </c>
      <c r="H71" s="43">
        <f t="shared" ref="H71" si="3">F71-G71</f>
        <v>210</v>
      </c>
      <c r="I71" s="43" t="s">
        <v>531</v>
      </c>
      <c r="J71" s="43" t="s">
        <v>35</v>
      </c>
      <c r="K71" s="43" t="s">
        <v>543</v>
      </c>
      <c r="L71" s="39" t="s">
        <v>1036</v>
      </c>
    </row>
  </sheetData>
  <autoFilter ref="A2:P55" xr:uid="{00000000-0009-0000-0000-000006000000}">
    <sortState xmlns:xlrd2="http://schemas.microsoft.com/office/spreadsheetml/2017/richdata2" ref="A3:P55">
      <sortCondition ref="J2:J55"/>
    </sortState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E374F-43C2-466C-B154-F7E6C30AB4B9}">
  <dimension ref="A1:R58"/>
  <sheetViews>
    <sheetView tabSelected="1" topLeftCell="A23" zoomScale="85" zoomScaleNormal="85" workbookViewId="0">
      <selection activeCell="J58" sqref="J58"/>
    </sheetView>
  </sheetViews>
  <sheetFormatPr defaultRowHeight="15" x14ac:dyDescent="0.25"/>
  <cols>
    <col min="1" max="1" width="9.140625" style="1"/>
    <col min="2" max="2" width="10.28515625" style="1" customWidth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20" style="1" bestFit="1" customWidth="1"/>
    <col min="14" max="16384" width="9.140625" style="1"/>
  </cols>
  <sheetData>
    <row r="1" spans="1:18" x14ac:dyDescent="0.25">
      <c r="B1" s="1" t="s">
        <v>1037</v>
      </c>
      <c r="C1" s="1" t="s">
        <v>1038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33" customFormat="1" x14ac:dyDescent="0.25">
      <c r="A3" s="31" t="s">
        <v>43</v>
      </c>
      <c r="B3" s="31" t="s">
        <v>29</v>
      </c>
      <c r="C3" s="31" t="s">
        <v>1039</v>
      </c>
      <c r="D3" s="31"/>
      <c r="E3" s="31" t="s">
        <v>1040</v>
      </c>
      <c r="F3" s="32">
        <v>6</v>
      </c>
      <c r="G3" s="32">
        <v>1190</v>
      </c>
      <c r="H3" s="32">
        <v>30</v>
      </c>
      <c r="I3" s="32">
        <f t="shared" ref="I3:I39" si="0">G3-H3</f>
        <v>1160</v>
      </c>
      <c r="J3" s="31" t="s">
        <v>1041</v>
      </c>
      <c r="K3" s="31" t="s">
        <v>35</v>
      </c>
      <c r="L3" s="31" t="s">
        <v>1042</v>
      </c>
      <c r="M3" s="31"/>
      <c r="N3" s="31"/>
      <c r="O3" s="31"/>
      <c r="P3" s="31"/>
      <c r="Q3" s="31">
        <v>1</v>
      </c>
    </row>
    <row r="4" spans="1:18" s="33" customFormat="1" x14ac:dyDescent="0.25">
      <c r="A4" s="31"/>
      <c r="B4" s="31" t="s">
        <v>29</v>
      </c>
      <c r="C4" s="31" t="s">
        <v>1043</v>
      </c>
      <c r="D4" s="31" t="s">
        <v>1044</v>
      </c>
      <c r="E4" s="31" t="s">
        <v>1045</v>
      </c>
      <c r="F4" s="32">
        <v>9</v>
      </c>
      <c r="G4" s="32">
        <v>0</v>
      </c>
      <c r="H4" s="32">
        <v>30</v>
      </c>
      <c r="I4" s="32">
        <f t="shared" si="0"/>
        <v>-30</v>
      </c>
      <c r="J4" s="31" t="s">
        <v>1041</v>
      </c>
      <c r="K4" s="31" t="s">
        <v>35</v>
      </c>
      <c r="L4" s="31" t="s">
        <v>1042</v>
      </c>
      <c r="M4" s="31"/>
      <c r="N4" s="31"/>
      <c r="O4" s="31"/>
      <c r="P4" s="31"/>
      <c r="Q4" s="31">
        <v>1</v>
      </c>
      <c r="R4" s="38">
        <f>H4</f>
        <v>30</v>
      </c>
    </row>
    <row r="5" spans="1:18" s="33" customFormat="1" x14ac:dyDescent="0.25">
      <c r="A5" s="31"/>
      <c r="B5" s="31" t="s">
        <v>29</v>
      </c>
      <c r="C5" s="31" t="s">
        <v>1046</v>
      </c>
      <c r="D5" s="31" t="s">
        <v>1047</v>
      </c>
      <c r="E5" s="31" t="s">
        <v>1048</v>
      </c>
      <c r="F5" s="32">
        <v>9</v>
      </c>
      <c r="G5" s="32">
        <v>320</v>
      </c>
      <c r="H5" s="32">
        <v>30</v>
      </c>
      <c r="I5" s="32">
        <f t="shared" si="0"/>
        <v>290</v>
      </c>
      <c r="J5" s="31" t="s">
        <v>1041</v>
      </c>
      <c r="K5" s="31" t="s">
        <v>35</v>
      </c>
      <c r="L5" s="31" t="s">
        <v>1042</v>
      </c>
      <c r="M5" s="31"/>
      <c r="N5" s="31"/>
      <c r="O5" s="31"/>
      <c r="P5" s="31"/>
      <c r="Q5" s="31">
        <v>1</v>
      </c>
    </row>
    <row r="6" spans="1:18" s="33" customFormat="1" x14ac:dyDescent="0.25">
      <c r="A6" s="31"/>
      <c r="B6" s="31" t="s">
        <v>29</v>
      </c>
      <c r="C6" s="31" t="s">
        <v>1049</v>
      </c>
      <c r="D6" s="31" t="s">
        <v>1050</v>
      </c>
      <c r="E6" s="31" t="s">
        <v>1051</v>
      </c>
      <c r="F6" s="31" t="s">
        <v>48</v>
      </c>
      <c r="G6" s="32">
        <v>820</v>
      </c>
      <c r="H6" s="32">
        <v>30</v>
      </c>
      <c r="I6" s="32">
        <f t="shared" si="0"/>
        <v>790</v>
      </c>
      <c r="J6" s="31" t="s">
        <v>1041</v>
      </c>
      <c r="K6" s="31" t="s">
        <v>35</v>
      </c>
      <c r="L6" s="31" t="s">
        <v>1042</v>
      </c>
      <c r="M6" s="31"/>
      <c r="N6" s="31"/>
      <c r="O6" s="31"/>
      <c r="P6" s="31"/>
      <c r="Q6" s="31">
        <v>1</v>
      </c>
    </row>
    <row r="7" spans="1:18" s="37" customFormat="1" x14ac:dyDescent="0.25">
      <c r="A7" s="34"/>
      <c r="B7" s="34" t="s">
        <v>29</v>
      </c>
      <c r="C7" s="34" t="s">
        <v>1052</v>
      </c>
      <c r="D7" s="34" t="s">
        <v>1053</v>
      </c>
      <c r="E7" s="34" t="s">
        <v>1054</v>
      </c>
      <c r="F7" s="34" t="s">
        <v>87</v>
      </c>
      <c r="G7" s="35">
        <v>35</v>
      </c>
      <c r="H7" s="35">
        <v>35</v>
      </c>
      <c r="I7" s="35">
        <f t="shared" si="0"/>
        <v>0</v>
      </c>
      <c r="J7" s="34" t="s">
        <v>1041</v>
      </c>
      <c r="K7" s="34" t="s">
        <v>35</v>
      </c>
      <c r="L7" s="34" t="s">
        <v>1042</v>
      </c>
      <c r="M7" s="34" t="s">
        <v>53</v>
      </c>
      <c r="N7" s="34"/>
      <c r="O7" s="34"/>
      <c r="P7" s="34"/>
      <c r="Q7" s="34">
        <v>1</v>
      </c>
    </row>
    <row r="8" spans="1:18" s="33" customFormat="1" x14ac:dyDescent="0.25">
      <c r="A8" s="31"/>
      <c r="B8" s="31" t="s">
        <v>29</v>
      </c>
      <c r="C8" s="31" t="s">
        <v>1055</v>
      </c>
      <c r="D8" s="31" t="s">
        <v>1056</v>
      </c>
      <c r="E8" s="31" t="s">
        <v>1057</v>
      </c>
      <c r="F8" s="32">
        <v>6</v>
      </c>
      <c r="G8" s="32">
        <v>0</v>
      </c>
      <c r="H8" s="32">
        <v>25</v>
      </c>
      <c r="I8" s="32">
        <f t="shared" si="0"/>
        <v>-25</v>
      </c>
      <c r="J8" s="31" t="s">
        <v>1041</v>
      </c>
      <c r="K8" s="31" t="s">
        <v>35</v>
      </c>
      <c r="L8" s="31" t="s">
        <v>1042</v>
      </c>
      <c r="M8" s="31"/>
      <c r="N8" s="31"/>
      <c r="O8" s="31"/>
      <c r="P8" s="31"/>
      <c r="Q8" s="31">
        <v>1</v>
      </c>
      <c r="R8" s="38">
        <f t="shared" ref="R8:R9" si="1">H8</f>
        <v>25</v>
      </c>
    </row>
    <row r="9" spans="1:18" s="33" customFormat="1" x14ac:dyDescent="0.25">
      <c r="A9" s="31"/>
      <c r="B9" s="31" t="s">
        <v>29</v>
      </c>
      <c r="C9" s="31" t="s">
        <v>1058</v>
      </c>
      <c r="D9" s="31" t="s">
        <v>1059</v>
      </c>
      <c r="E9" s="31" t="s">
        <v>1060</v>
      </c>
      <c r="F9" s="31" t="s">
        <v>99</v>
      </c>
      <c r="G9" s="32">
        <v>0</v>
      </c>
      <c r="H9" s="32">
        <v>35</v>
      </c>
      <c r="I9" s="32">
        <f t="shared" si="0"/>
        <v>-35</v>
      </c>
      <c r="J9" s="31" t="s">
        <v>1041</v>
      </c>
      <c r="K9" s="31" t="s">
        <v>35</v>
      </c>
      <c r="L9" s="31" t="s">
        <v>1042</v>
      </c>
      <c r="M9" s="31"/>
      <c r="N9" s="31"/>
      <c r="O9" s="31"/>
      <c r="P9" s="31"/>
      <c r="Q9" s="31">
        <v>1</v>
      </c>
      <c r="R9" s="38">
        <f t="shared" si="1"/>
        <v>35</v>
      </c>
    </row>
    <row r="10" spans="1:18" s="33" customFormat="1" x14ac:dyDescent="0.25">
      <c r="A10" s="31"/>
      <c r="B10" s="31" t="s">
        <v>29</v>
      </c>
      <c r="C10" s="31" t="s">
        <v>1061</v>
      </c>
      <c r="D10" s="31" t="s">
        <v>1062</v>
      </c>
      <c r="E10" s="31" t="s">
        <v>1063</v>
      </c>
      <c r="F10" s="31" t="s">
        <v>48</v>
      </c>
      <c r="G10" s="32">
        <v>1070</v>
      </c>
      <c r="H10" s="32">
        <v>30</v>
      </c>
      <c r="I10" s="32">
        <f t="shared" si="0"/>
        <v>1040</v>
      </c>
      <c r="J10" s="31" t="s">
        <v>1041</v>
      </c>
      <c r="K10" s="31" t="s">
        <v>35</v>
      </c>
      <c r="L10" s="31" t="s">
        <v>1042</v>
      </c>
      <c r="M10" s="31"/>
      <c r="N10" s="31"/>
      <c r="O10" s="31"/>
      <c r="P10" s="31"/>
      <c r="Q10" s="31">
        <v>1</v>
      </c>
    </row>
    <row r="11" spans="1:18" s="33" customFormat="1" x14ac:dyDescent="0.25">
      <c r="A11" s="31"/>
      <c r="B11" s="31" t="s">
        <v>29</v>
      </c>
      <c r="C11" s="31" t="s">
        <v>567</v>
      </c>
      <c r="D11" s="31" t="s">
        <v>1064</v>
      </c>
      <c r="E11" s="31" t="s">
        <v>1065</v>
      </c>
      <c r="F11" s="32">
        <v>9</v>
      </c>
      <c r="G11" s="32">
        <v>550</v>
      </c>
      <c r="H11" s="32">
        <v>30</v>
      </c>
      <c r="I11" s="32">
        <f t="shared" si="0"/>
        <v>520</v>
      </c>
      <c r="J11" s="31" t="s">
        <v>1041</v>
      </c>
      <c r="K11" s="31" t="s">
        <v>35</v>
      </c>
      <c r="L11" s="31" t="s">
        <v>1042</v>
      </c>
      <c r="M11" s="31"/>
      <c r="N11" s="31"/>
      <c r="O11" s="31"/>
      <c r="P11" s="31"/>
      <c r="Q11" s="31">
        <v>1</v>
      </c>
    </row>
    <row r="12" spans="1:18" s="33" customFormat="1" x14ac:dyDescent="0.25">
      <c r="A12" s="31"/>
      <c r="B12" s="31" t="s">
        <v>29</v>
      </c>
      <c r="C12" s="31" t="s">
        <v>1066</v>
      </c>
      <c r="D12" s="31" t="s">
        <v>1067</v>
      </c>
      <c r="E12" s="31" t="s">
        <v>1068</v>
      </c>
      <c r="F12" s="31" t="s">
        <v>48</v>
      </c>
      <c r="G12" s="32">
        <v>0</v>
      </c>
      <c r="H12" s="32">
        <v>30</v>
      </c>
      <c r="I12" s="32">
        <f t="shared" si="0"/>
        <v>-30</v>
      </c>
      <c r="J12" s="31" t="s">
        <v>1041</v>
      </c>
      <c r="K12" s="31" t="s">
        <v>35</v>
      </c>
      <c r="L12" s="31" t="s">
        <v>1042</v>
      </c>
      <c r="M12" s="31"/>
      <c r="N12" s="31"/>
      <c r="O12" s="31"/>
      <c r="P12" s="31"/>
      <c r="Q12" s="31">
        <v>1</v>
      </c>
      <c r="R12" s="38">
        <f>H12</f>
        <v>30</v>
      </c>
    </row>
    <row r="13" spans="1:18" s="33" customFormat="1" x14ac:dyDescent="0.25">
      <c r="A13" s="31"/>
      <c r="B13" s="31" t="s">
        <v>29</v>
      </c>
      <c r="C13" s="31" t="s">
        <v>1069</v>
      </c>
      <c r="D13" s="31" t="s">
        <v>1070</v>
      </c>
      <c r="E13" s="31" t="s">
        <v>1071</v>
      </c>
      <c r="F13" s="32">
        <v>6</v>
      </c>
      <c r="G13" s="32">
        <v>435</v>
      </c>
      <c r="H13" s="32">
        <v>25</v>
      </c>
      <c r="I13" s="32">
        <f t="shared" si="0"/>
        <v>410</v>
      </c>
      <c r="J13" s="31" t="s">
        <v>1041</v>
      </c>
      <c r="K13" s="31" t="s">
        <v>35</v>
      </c>
      <c r="L13" s="31" t="s">
        <v>1042</v>
      </c>
      <c r="M13" s="31"/>
      <c r="N13" s="31"/>
      <c r="O13" s="31"/>
      <c r="P13" s="31"/>
      <c r="Q13" s="31">
        <v>1</v>
      </c>
    </row>
    <row r="14" spans="1:18" s="33" customFormat="1" x14ac:dyDescent="0.25">
      <c r="A14" s="31" t="s">
        <v>43</v>
      </c>
      <c r="B14" s="31" t="s">
        <v>29</v>
      </c>
      <c r="C14" s="31" t="s">
        <v>1072</v>
      </c>
      <c r="D14" s="31"/>
      <c r="E14" s="31" t="s">
        <v>1073</v>
      </c>
      <c r="F14" s="32">
        <v>12</v>
      </c>
      <c r="G14" s="32">
        <v>35</v>
      </c>
      <c r="H14" s="32">
        <v>35</v>
      </c>
      <c r="I14" s="32">
        <f t="shared" si="0"/>
        <v>0</v>
      </c>
      <c r="J14" s="31" t="s">
        <v>35</v>
      </c>
      <c r="K14" s="31" t="s">
        <v>35</v>
      </c>
      <c r="L14" s="31" t="s">
        <v>1042</v>
      </c>
      <c r="M14" s="31"/>
      <c r="N14" s="31"/>
      <c r="O14" s="31"/>
      <c r="P14" s="31"/>
      <c r="Q14" s="31">
        <v>1</v>
      </c>
    </row>
    <row r="15" spans="1:18" s="33" customFormat="1" x14ac:dyDescent="0.25">
      <c r="A15" s="31" t="s">
        <v>43</v>
      </c>
      <c r="B15" s="31" t="s">
        <v>29</v>
      </c>
      <c r="C15" s="31" t="s">
        <v>999</v>
      </c>
      <c r="D15" s="31"/>
      <c r="E15" s="31" t="s">
        <v>1000</v>
      </c>
      <c r="F15" s="31" t="s">
        <v>52</v>
      </c>
      <c r="G15" s="32">
        <v>4590</v>
      </c>
      <c r="H15" s="32">
        <v>30</v>
      </c>
      <c r="I15" s="32">
        <f t="shared" si="0"/>
        <v>4560</v>
      </c>
      <c r="J15" s="31" t="s">
        <v>35</v>
      </c>
      <c r="K15" s="31" t="s">
        <v>35</v>
      </c>
      <c r="L15" s="31" t="s">
        <v>1042</v>
      </c>
      <c r="M15" s="31"/>
      <c r="N15" s="31"/>
      <c r="O15" s="31"/>
      <c r="P15" s="31"/>
      <c r="Q15" s="31">
        <v>1</v>
      </c>
    </row>
    <row r="16" spans="1:18" s="33" customFormat="1" x14ac:dyDescent="0.25">
      <c r="A16" s="31" t="s">
        <v>43</v>
      </c>
      <c r="B16" s="31" t="s">
        <v>29</v>
      </c>
      <c r="C16" s="31" t="s">
        <v>64</v>
      </c>
      <c r="D16" s="31"/>
      <c r="E16" s="31" t="s">
        <v>65</v>
      </c>
      <c r="F16" s="31" t="s">
        <v>52</v>
      </c>
      <c r="G16" s="32">
        <v>30</v>
      </c>
      <c r="H16" s="32">
        <v>30</v>
      </c>
      <c r="I16" s="32">
        <f t="shared" si="0"/>
        <v>0</v>
      </c>
      <c r="J16" s="31" t="s">
        <v>35</v>
      </c>
      <c r="K16" s="31" t="s">
        <v>35</v>
      </c>
      <c r="L16" s="31" t="s">
        <v>1042</v>
      </c>
      <c r="M16" s="31"/>
      <c r="N16" s="31"/>
      <c r="O16" s="31"/>
      <c r="P16" s="31"/>
      <c r="Q16" s="31">
        <v>1</v>
      </c>
    </row>
    <row r="17" spans="1:18" s="33" customFormat="1" x14ac:dyDescent="0.25">
      <c r="A17" s="31"/>
      <c r="B17" s="31" t="s">
        <v>29</v>
      </c>
      <c r="C17" s="31" t="s">
        <v>1074</v>
      </c>
      <c r="D17" s="31" t="s">
        <v>1075</v>
      </c>
      <c r="E17" s="31" t="s">
        <v>1076</v>
      </c>
      <c r="F17" s="31" t="s">
        <v>57</v>
      </c>
      <c r="G17" s="32">
        <v>510</v>
      </c>
      <c r="H17" s="32">
        <v>20</v>
      </c>
      <c r="I17" s="32">
        <f t="shared" si="0"/>
        <v>490</v>
      </c>
      <c r="J17" s="31" t="s">
        <v>35</v>
      </c>
      <c r="K17" s="31" t="s">
        <v>35</v>
      </c>
      <c r="L17" s="31" t="s">
        <v>1042</v>
      </c>
      <c r="M17" s="31"/>
      <c r="N17" s="31"/>
      <c r="O17" s="31"/>
      <c r="P17" s="31"/>
      <c r="Q17" s="31">
        <v>1</v>
      </c>
    </row>
    <row r="18" spans="1:18" s="33" customFormat="1" x14ac:dyDescent="0.25">
      <c r="A18" s="31"/>
      <c r="B18" s="31" t="s">
        <v>29</v>
      </c>
      <c r="C18" s="31" t="s">
        <v>192</v>
      </c>
      <c r="D18" s="31" t="s">
        <v>1077</v>
      </c>
      <c r="E18" s="31" t="s">
        <v>194</v>
      </c>
      <c r="F18" s="31" t="s">
        <v>57</v>
      </c>
      <c r="G18" s="32">
        <v>1190</v>
      </c>
      <c r="H18" s="32">
        <v>20</v>
      </c>
      <c r="I18" s="32">
        <f t="shared" si="0"/>
        <v>1170</v>
      </c>
      <c r="J18" s="31" t="s">
        <v>35</v>
      </c>
      <c r="K18" s="31" t="s">
        <v>35</v>
      </c>
      <c r="L18" s="31" t="s">
        <v>1042</v>
      </c>
      <c r="M18" s="31"/>
      <c r="N18" s="31"/>
      <c r="O18" s="31"/>
      <c r="P18" s="31"/>
      <c r="Q18" s="31">
        <v>1</v>
      </c>
    </row>
    <row r="19" spans="1:18" s="33" customFormat="1" x14ac:dyDescent="0.25">
      <c r="A19" s="31"/>
      <c r="B19" s="31" t="s">
        <v>29</v>
      </c>
      <c r="C19" s="31" t="s">
        <v>1078</v>
      </c>
      <c r="D19" s="31" t="s">
        <v>1079</v>
      </c>
      <c r="E19" s="31" t="s">
        <v>1080</v>
      </c>
      <c r="F19" s="31" t="s">
        <v>52</v>
      </c>
      <c r="G19" s="32">
        <v>915</v>
      </c>
      <c r="H19" s="32">
        <v>25</v>
      </c>
      <c r="I19" s="32">
        <f t="shared" si="0"/>
        <v>890</v>
      </c>
      <c r="J19" s="31" t="s">
        <v>35</v>
      </c>
      <c r="K19" s="31" t="s">
        <v>35</v>
      </c>
      <c r="L19" s="31" t="s">
        <v>1042</v>
      </c>
      <c r="M19" s="31"/>
      <c r="N19" s="31"/>
      <c r="O19" s="31"/>
      <c r="P19" s="31"/>
      <c r="Q19" s="31">
        <v>1</v>
      </c>
    </row>
    <row r="20" spans="1:18" s="33" customFormat="1" x14ac:dyDescent="0.25">
      <c r="A20" s="31"/>
      <c r="B20" s="31" t="s">
        <v>29</v>
      </c>
      <c r="C20" s="31" t="s">
        <v>1081</v>
      </c>
      <c r="D20" s="31" t="s">
        <v>1082</v>
      </c>
      <c r="E20" s="31" t="s">
        <v>1083</v>
      </c>
      <c r="F20" s="31" t="s">
        <v>33</v>
      </c>
      <c r="G20" s="32">
        <v>515</v>
      </c>
      <c r="H20" s="32">
        <v>25</v>
      </c>
      <c r="I20" s="32">
        <f t="shared" si="0"/>
        <v>490</v>
      </c>
      <c r="J20" s="31" t="s">
        <v>35</v>
      </c>
      <c r="K20" s="31" t="s">
        <v>35</v>
      </c>
      <c r="L20" s="31" t="s">
        <v>1042</v>
      </c>
      <c r="M20" s="31"/>
      <c r="N20" s="31"/>
      <c r="O20" s="31"/>
      <c r="P20" s="31"/>
      <c r="Q20" s="31">
        <v>1</v>
      </c>
    </row>
    <row r="21" spans="1:18" s="33" customFormat="1" x14ac:dyDescent="0.25">
      <c r="A21" s="31"/>
      <c r="B21" s="31" t="s">
        <v>29</v>
      </c>
      <c r="C21" s="31" t="s">
        <v>1084</v>
      </c>
      <c r="D21" s="31" t="s">
        <v>1085</v>
      </c>
      <c r="E21" s="31" t="s">
        <v>1086</v>
      </c>
      <c r="F21" s="31" t="s">
        <v>52</v>
      </c>
      <c r="G21" s="32">
        <v>845</v>
      </c>
      <c r="H21" s="32">
        <v>25</v>
      </c>
      <c r="I21" s="32">
        <f t="shared" si="0"/>
        <v>820</v>
      </c>
      <c r="J21" s="31" t="s">
        <v>35</v>
      </c>
      <c r="K21" s="31" t="s">
        <v>35</v>
      </c>
      <c r="L21" s="31" t="s">
        <v>1042</v>
      </c>
      <c r="M21" s="31"/>
      <c r="N21" s="31"/>
      <c r="O21" s="31"/>
      <c r="P21" s="31"/>
      <c r="Q21" s="31">
        <v>1</v>
      </c>
    </row>
    <row r="22" spans="1:18" s="33" customFormat="1" x14ac:dyDescent="0.25">
      <c r="A22" s="31"/>
      <c r="B22" s="31" t="s">
        <v>29</v>
      </c>
      <c r="C22" s="31" t="s">
        <v>1087</v>
      </c>
      <c r="D22" s="31" t="s">
        <v>1088</v>
      </c>
      <c r="E22" s="31" t="s">
        <v>1089</v>
      </c>
      <c r="F22" s="31" t="s">
        <v>52</v>
      </c>
      <c r="G22" s="32">
        <v>1105</v>
      </c>
      <c r="H22" s="32">
        <v>25</v>
      </c>
      <c r="I22" s="32">
        <f t="shared" si="0"/>
        <v>1080</v>
      </c>
      <c r="J22" s="31" t="s">
        <v>35</v>
      </c>
      <c r="K22" s="31" t="s">
        <v>35</v>
      </c>
      <c r="L22" s="31" t="s">
        <v>1042</v>
      </c>
      <c r="M22" s="31"/>
      <c r="N22" s="31"/>
      <c r="O22" s="31"/>
      <c r="P22" s="31"/>
      <c r="Q22" s="31">
        <v>1</v>
      </c>
    </row>
    <row r="23" spans="1:18" s="33" customFormat="1" x14ac:dyDescent="0.25">
      <c r="A23" s="31"/>
      <c r="B23" s="31" t="s">
        <v>29</v>
      </c>
      <c r="C23" s="31" t="s">
        <v>1090</v>
      </c>
      <c r="D23" s="31" t="s">
        <v>1091</v>
      </c>
      <c r="E23" s="31" t="s">
        <v>1092</v>
      </c>
      <c r="F23" s="32">
        <v>12</v>
      </c>
      <c r="G23" s="32">
        <v>920</v>
      </c>
      <c r="H23" s="32">
        <v>30</v>
      </c>
      <c r="I23" s="32">
        <f t="shared" si="0"/>
        <v>890</v>
      </c>
      <c r="J23" s="31" t="s">
        <v>35</v>
      </c>
      <c r="K23" s="31" t="s">
        <v>35</v>
      </c>
      <c r="L23" s="31" t="s">
        <v>1042</v>
      </c>
      <c r="M23" s="31"/>
      <c r="N23" s="31"/>
      <c r="O23" s="31"/>
      <c r="P23" s="31"/>
      <c r="Q23" s="31">
        <v>1</v>
      </c>
    </row>
    <row r="24" spans="1:18" s="33" customFormat="1" x14ac:dyDescent="0.25">
      <c r="A24" s="31"/>
      <c r="B24" s="31" t="s">
        <v>29</v>
      </c>
      <c r="C24" s="31" t="s">
        <v>1093</v>
      </c>
      <c r="D24" s="31" t="s">
        <v>1094</v>
      </c>
      <c r="E24" s="31" t="s">
        <v>1095</v>
      </c>
      <c r="F24" s="32">
        <v>2</v>
      </c>
      <c r="G24" s="32">
        <v>2940</v>
      </c>
      <c r="H24" s="32">
        <v>35</v>
      </c>
      <c r="I24" s="32">
        <f t="shared" si="0"/>
        <v>2905</v>
      </c>
      <c r="J24" s="31" t="s">
        <v>35</v>
      </c>
      <c r="K24" s="31" t="s">
        <v>35</v>
      </c>
      <c r="L24" s="31" t="s">
        <v>1042</v>
      </c>
      <c r="M24" s="39" t="s">
        <v>58</v>
      </c>
      <c r="N24" s="31"/>
      <c r="O24" s="31"/>
      <c r="P24" s="31"/>
      <c r="Q24" s="31">
        <v>1</v>
      </c>
      <c r="R24" s="38">
        <f>H24</f>
        <v>35</v>
      </c>
    </row>
    <row r="25" spans="1:18" s="33" customFormat="1" x14ac:dyDescent="0.25">
      <c r="A25" s="31"/>
      <c r="B25" s="31" t="s">
        <v>29</v>
      </c>
      <c r="C25" s="31" t="s">
        <v>983</v>
      </c>
      <c r="D25" s="31" t="s">
        <v>1096</v>
      </c>
      <c r="E25" s="31" t="s">
        <v>985</v>
      </c>
      <c r="F25" s="31" t="s">
        <v>191</v>
      </c>
      <c r="G25" s="32">
        <v>290</v>
      </c>
      <c r="H25" s="32">
        <v>30</v>
      </c>
      <c r="I25" s="32">
        <f t="shared" si="0"/>
        <v>260</v>
      </c>
      <c r="J25" s="31" t="s">
        <v>35</v>
      </c>
      <c r="K25" s="31" t="s">
        <v>35</v>
      </c>
      <c r="L25" s="31" t="s">
        <v>1042</v>
      </c>
      <c r="M25" s="31"/>
      <c r="N25" s="31"/>
      <c r="O25" s="31"/>
      <c r="P25" s="31"/>
      <c r="Q25" s="31">
        <v>1</v>
      </c>
    </row>
    <row r="26" spans="1:18" s="33" customFormat="1" x14ac:dyDescent="0.25">
      <c r="A26" s="31"/>
      <c r="B26" s="31" t="s">
        <v>29</v>
      </c>
      <c r="C26" s="31" t="s">
        <v>1097</v>
      </c>
      <c r="D26" s="31" t="s">
        <v>1098</v>
      </c>
      <c r="E26" s="31" t="s">
        <v>1099</v>
      </c>
      <c r="F26" s="32">
        <v>2</v>
      </c>
      <c r="G26" s="32">
        <v>920</v>
      </c>
      <c r="H26" s="32">
        <v>30</v>
      </c>
      <c r="I26" s="32">
        <f t="shared" si="0"/>
        <v>890</v>
      </c>
      <c r="J26" s="31" t="s">
        <v>35</v>
      </c>
      <c r="K26" s="31" t="s">
        <v>35</v>
      </c>
      <c r="L26" s="31" t="s">
        <v>1042</v>
      </c>
      <c r="M26" s="31"/>
      <c r="N26" s="31"/>
      <c r="O26" s="31"/>
      <c r="P26" s="31"/>
      <c r="Q26" s="31">
        <v>1</v>
      </c>
    </row>
    <row r="27" spans="1:18" s="33" customFormat="1" x14ac:dyDescent="0.25">
      <c r="A27" s="31"/>
      <c r="B27" s="31" t="s">
        <v>29</v>
      </c>
      <c r="C27" s="31" t="s">
        <v>1100</v>
      </c>
      <c r="D27" s="31" t="s">
        <v>1101</v>
      </c>
      <c r="E27" s="31" t="s">
        <v>1102</v>
      </c>
      <c r="F27" s="31" t="s">
        <v>191</v>
      </c>
      <c r="G27" s="32">
        <v>0</v>
      </c>
      <c r="H27" s="32">
        <v>30</v>
      </c>
      <c r="I27" s="32">
        <f t="shared" si="0"/>
        <v>-30</v>
      </c>
      <c r="J27" s="31" t="s">
        <v>35</v>
      </c>
      <c r="K27" s="31" t="s">
        <v>35</v>
      </c>
      <c r="L27" s="31" t="s">
        <v>1042</v>
      </c>
      <c r="M27" s="31"/>
      <c r="N27" s="31"/>
      <c r="O27" s="31"/>
      <c r="P27" s="31"/>
      <c r="Q27" s="31">
        <v>1</v>
      </c>
      <c r="R27" s="38">
        <f>H27</f>
        <v>30</v>
      </c>
    </row>
    <row r="28" spans="1:18" s="33" customFormat="1" x14ac:dyDescent="0.25">
      <c r="A28" s="31"/>
      <c r="B28" s="31" t="s">
        <v>29</v>
      </c>
      <c r="C28" s="31" t="s">
        <v>1103</v>
      </c>
      <c r="D28" s="31" t="s">
        <v>1104</v>
      </c>
      <c r="E28" s="31" t="s">
        <v>1105</v>
      </c>
      <c r="F28" s="32">
        <v>3</v>
      </c>
      <c r="G28" s="32">
        <v>315</v>
      </c>
      <c r="H28" s="32">
        <v>25</v>
      </c>
      <c r="I28" s="32">
        <f t="shared" si="0"/>
        <v>290</v>
      </c>
      <c r="J28" s="31" t="s">
        <v>69</v>
      </c>
      <c r="K28" s="31" t="s">
        <v>35</v>
      </c>
      <c r="L28" s="31" t="s">
        <v>1042</v>
      </c>
      <c r="M28" s="31"/>
      <c r="N28" s="31"/>
      <c r="O28" s="31"/>
      <c r="P28" s="31"/>
      <c r="Q28" s="31">
        <v>1</v>
      </c>
    </row>
    <row r="29" spans="1:18" s="33" customFormat="1" x14ac:dyDescent="0.25">
      <c r="A29" s="31"/>
      <c r="B29" s="31" t="s">
        <v>29</v>
      </c>
      <c r="C29" s="31" t="s">
        <v>1106</v>
      </c>
      <c r="D29" s="31" t="s">
        <v>1107</v>
      </c>
      <c r="E29" s="31" t="s">
        <v>1108</v>
      </c>
      <c r="F29" s="32">
        <v>8</v>
      </c>
      <c r="G29" s="32">
        <v>1600</v>
      </c>
      <c r="H29" s="32">
        <v>30</v>
      </c>
      <c r="I29" s="32">
        <f t="shared" si="0"/>
        <v>1570</v>
      </c>
      <c r="J29" s="31" t="s">
        <v>69</v>
      </c>
      <c r="K29" s="31" t="s">
        <v>35</v>
      </c>
      <c r="L29" s="31" t="s">
        <v>1042</v>
      </c>
      <c r="M29" s="31"/>
      <c r="N29" s="31"/>
      <c r="O29" s="31"/>
      <c r="P29" s="31"/>
      <c r="Q29" s="31">
        <v>1</v>
      </c>
    </row>
    <row r="30" spans="1:18" s="33" customFormat="1" x14ac:dyDescent="0.25">
      <c r="A30" s="31"/>
      <c r="B30" s="31" t="s">
        <v>29</v>
      </c>
      <c r="C30" s="31" t="s">
        <v>1109</v>
      </c>
      <c r="D30" s="31" t="s">
        <v>1110</v>
      </c>
      <c r="E30" s="31" t="s">
        <v>1111</v>
      </c>
      <c r="F30" s="31" t="s">
        <v>132</v>
      </c>
      <c r="G30" s="32">
        <v>315</v>
      </c>
      <c r="H30" s="32">
        <v>25</v>
      </c>
      <c r="I30" s="32">
        <f t="shared" si="0"/>
        <v>290</v>
      </c>
      <c r="J30" s="31" t="s">
        <v>69</v>
      </c>
      <c r="K30" s="31" t="s">
        <v>35</v>
      </c>
      <c r="L30" s="31" t="s">
        <v>1042</v>
      </c>
      <c r="M30" s="31"/>
      <c r="N30" s="31"/>
      <c r="O30" s="31"/>
      <c r="P30" s="31"/>
      <c r="Q30" s="31">
        <v>1</v>
      </c>
    </row>
    <row r="31" spans="1:18" s="33" customFormat="1" x14ac:dyDescent="0.25">
      <c r="A31" s="31"/>
      <c r="B31" s="31" t="s">
        <v>29</v>
      </c>
      <c r="C31" s="31" t="s">
        <v>597</v>
      </c>
      <c r="D31" s="31" t="s">
        <v>1112</v>
      </c>
      <c r="E31" s="31" t="s">
        <v>1113</v>
      </c>
      <c r="F31" s="32">
        <v>7</v>
      </c>
      <c r="G31" s="32">
        <v>920</v>
      </c>
      <c r="H31" s="32">
        <v>30</v>
      </c>
      <c r="I31" s="32">
        <f t="shared" si="0"/>
        <v>890</v>
      </c>
      <c r="J31" s="31" t="s">
        <v>69</v>
      </c>
      <c r="K31" s="31" t="s">
        <v>35</v>
      </c>
      <c r="L31" s="31" t="s">
        <v>1042</v>
      </c>
      <c r="M31" s="31"/>
      <c r="N31" s="31"/>
      <c r="O31" s="31"/>
      <c r="P31" s="31"/>
      <c r="Q31" s="31">
        <v>1</v>
      </c>
    </row>
    <row r="32" spans="1:18" s="33" customFormat="1" x14ac:dyDescent="0.25">
      <c r="A32" s="31"/>
      <c r="B32" s="31" t="s">
        <v>29</v>
      </c>
      <c r="C32" s="31" t="s">
        <v>1114</v>
      </c>
      <c r="D32" s="31" t="s">
        <v>1115</v>
      </c>
      <c r="E32" s="31" t="s">
        <v>1116</v>
      </c>
      <c r="F32" s="31" t="s">
        <v>92</v>
      </c>
      <c r="G32" s="32">
        <v>1315</v>
      </c>
      <c r="H32" s="32">
        <v>35</v>
      </c>
      <c r="I32" s="32">
        <f t="shared" si="0"/>
        <v>1280</v>
      </c>
      <c r="J32" s="31" t="s">
        <v>69</v>
      </c>
      <c r="K32" s="31" t="s">
        <v>35</v>
      </c>
      <c r="L32" s="31" t="s">
        <v>1042</v>
      </c>
      <c r="M32" s="31"/>
      <c r="N32" s="31"/>
      <c r="O32" s="31"/>
      <c r="P32" s="31"/>
      <c r="Q32" s="31">
        <v>1</v>
      </c>
    </row>
    <row r="33" spans="1:18" s="33" customFormat="1" x14ac:dyDescent="0.25">
      <c r="A33" s="31"/>
      <c r="B33" s="31" t="s">
        <v>29</v>
      </c>
      <c r="C33" s="31" t="s">
        <v>471</v>
      </c>
      <c r="D33" s="31" t="s">
        <v>1117</v>
      </c>
      <c r="E33" s="31" t="s">
        <v>1118</v>
      </c>
      <c r="F33" s="32">
        <v>1</v>
      </c>
      <c r="G33" s="32">
        <v>890</v>
      </c>
      <c r="H33" s="32">
        <v>25</v>
      </c>
      <c r="I33" s="32">
        <f t="shared" si="0"/>
        <v>865</v>
      </c>
      <c r="J33" s="31" t="s">
        <v>69</v>
      </c>
      <c r="K33" s="31" t="s">
        <v>35</v>
      </c>
      <c r="L33" s="31" t="s">
        <v>1042</v>
      </c>
      <c r="M33" s="39" t="s">
        <v>58</v>
      </c>
      <c r="N33" s="31"/>
      <c r="O33" s="31"/>
      <c r="P33" s="31"/>
      <c r="Q33" s="31">
        <v>1</v>
      </c>
      <c r="R33" s="38">
        <f>H33</f>
        <v>25</v>
      </c>
    </row>
    <row r="34" spans="1:18" s="33" customFormat="1" x14ac:dyDescent="0.25">
      <c r="A34" s="31"/>
      <c r="B34" s="31" t="s">
        <v>29</v>
      </c>
      <c r="C34" s="31" t="s">
        <v>1119</v>
      </c>
      <c r="D34" s="31" t="s">
        <v>1120</v>
      </c>
      <c r="E34" s="31" t="s">
        <v>1121</v>
      </c>
      <c r="F34" s="31" t="s">
        <v>132</v>
      </c>
      <c r="G34" s="32">
        <v>885</v>
      </c>
      <c r="H34" s="32">
        <v>25</v>
      </c>
      <c r="I34" s="32">
        <f t="shared" si="0"/>
        <v>860</v>
      </c>
      <c r="J34" s="31" t="s">
        <v>69</v>
      </c>
      <c r="K34" s="31" t="s">
        <v>35</v>
      </c>
      <c r="L34" s="31" t="s">
        <v>1042</v>
      </c>
      <c r="M34" s="31"/>
      <c r="N34" s="31"/>
      <c r="O34" s="31"/>
      <c r="P34" s="31"/>
      <c r="Q34" s="31">
        <v>1</v>
      </c>
    </row>
    <row r="35" spans="1:18" s="33" customFormat="1" x14ac:dyDescent="0.25">
      <c r="A35" s="31"/>
      <c r="B35" s="31" t="s">
        <v>29</v>
      </c>
      <c r="C35" s="31" t="s">
        <v>1122</v>
      </c>
      <c r="D35" s="31" t="s">
        <v>1123</v>
      </c>
      <c r="E35" s="31" t="s">
        <v>1124</v>
      </c>
      <c r="F35" s="32">
        <v>1</v>
      </c>
      <c r="G35" s="32">
        <v>935</v>
      </c>
      <c r="H35" s="32">
        <v>25</v>
      </c>
      <c r="I35" s="32">
        <f t="shared" si="0"/>
        <v>910</v>
      </c>
      <c r="J35" s="31" t="s">
        <v>69</v>
      </c>
      <c r="K35" s="31" t="s">
        <v>35</v>
      </c>
      <c r="L35" s="31" t="s">
        <v>1042</v>
      </c>
      <c r="M35" s="31"/>
      <c r="N35" s="31"/>
      <c r="O35" s="31"/>
      <c r="P35" s="31"/>
      <c r="Q35" s="31">
        <v>1</v>
      </c>
    </row>
    <row r="36" spans="1:18" s="33" customFormat="1" x14ac:dyDescent="0.25">
      <c r="A36" s="31"/>
      <c r="B36" s="31" t="s">
        <v>29</v>
      </c>
      <c r="C36" s="31" t="s">
        <v>1125</v>
      </c>
      <c r="D36" s="31" t="s">
        <v>1126</v>
      </c>
      <c r="E36" s="31" t="s">
        <v>1127</v>
      </c>
      <c r="F36" s="32">
        <v>7</v>
      </c>
      <c r="G36" s="32">
        <v>470</v>
      </c>
      <c r="H36" s="32">
        <v>30</v>
      </c>
      <c r="I36" s="32">
        <f t="shared" si="0"/>
        <v>440</v>
      </c>
      <c r="J36" s="31" t="s">
        <v>69</v>
      </c>
      <c r="K36" s="31" t="s">
        <v>35</v>
      </c>
      <c r="L36" s="31" t="s">
        <v>1042</v>
      </c>
      <c r="M36" s="31"/>
      <c r="N36" s="31"/>
      <c r="O36" s="31"/>
      <c r="P36" s="31"/>
      <c r="Q36" s="31">
        <v>1</v>
      </c>
    </row>
    <row r="37" spans="1:18" s="33" customFormat="1" x14ac:dyDescent="0.25">
      <c r="A37" s="31"/>
      <c r="B37" s="31" t="s">
        <v>29</v>
      </c>
      <c r="C37" s="31" t="s">
        <v>1128</v>
      </c>
      <c r="D37" s="31" t="s">
        <v>1129</v>
      </c>
      <c r="E37" s="31" t="s">
        <v>1130</v>
      </c>
      <c r="F37" s="32">
        <v>7</v>
      </c>
      <c r="G37" s="32">
        <v>840</v>
      </c>
      <c r="H37" s="32">
        <v>30</v>
      </c>
      <c r="I37" s="32">
        <f t="shared" si="0"/>
        <v>810</v>
      </c>
      <c r="J37" s="31" t="s">
        <v>69</v>
      </c>
      <c r="K37" s="31" t="s">
        <v>35</v>
      </c>
      <c r="L37" s="31" t="s">
        <v>1042</v>
      </c>
      <c r="M37" s="31"/>
      <c r="N37" s="31"/>
      <c r="O37" s="31"/>
      <c r="P37" s="31"/>
      <c r="Q37" s="31">
        <v>1</v>
      </c>
    </row>
    <row r="38" spans="1:18" s="33" customFormat="1" x14ac:dyDescent="0.25">
      <c r="A38" s="31"/>
      <c r="B38" s="31" t="s">
        <v>29</v>
      </c>
      <c r="C38" s="31" t="s">
        <v>1131</v>
      </c>
      <c r="D38" s="31" t="s">
        <v>1132</v>
      </c>
      <c r="E38" s="31" t="s">
        <v>1133</v>
      </c>
      <c r="F38" s="32">
        <v>4</v>
      </c>
      <c r="G38" s="32">
        <v>575</v>
      </c>
      <c r="H38" s="32">
        <v>25</v>
      </c>
      <c r="I38" s="32">
        <f t="shared" si="0"/>
        <v>550</v>
      </c>
      <c r="J38" s="31" t="s">
        <v>69</v>
      </c>
      <c r="K38" s="31" t="s">
        <v>35</v>
      </c>
      <c r="L38" s="31" t="s">
        <v>1042</v>
      </c>
      <c r="M38" s="31"/>
      <c r="N38" s="31"/>
      <c r="O38" s="31"/>
      <c r="P38" s="31"/>
      <c r="Q38" s="31">
        <v>1</v>
      </c>
    </row>
    <row r="39" spans="1:18" s="33" customFormat="1" x14ac:dyDescent="0.25">
      <c r="A39" s="31"/>
      <c r="B39" s="31" t="s">
        <v>29</v>
      </c>
      <c r="C39" s="31" t="s">
        <v>1134</v>
      </c>
      <c r="D39" s="31" t="s">
        <v>1135</v>
      </c>
      <c r="E39" s="31" t="s">
        <v>1136</v>
      </c>
      <c r="F39" s="32">
        <v>5</v>
      </c>
      <c r="G39" s="32">
        <v>345</v>
      </c>
      <c r="H39" s="32">
        <v>25</v>
      </c>
      <c r="I39" s="32">
        <f t="shared" si="0"/>
        <v>320</v>
      </c>
      <c r="J39" s="31" t="s">
        <v>69</v>
      </c>
      <c r="K39" s="31" t="s">
        <v>35</v>
      </c>
      <c r="L39" s="31" t="s">
        <v>1042</v>
      </c>
      <c r="M39" s="31"/>
      <c r="N39" s="31"/>
      <c r="O39" s="31"/>
      <c r="P39" s="31"/>
      <c r="Q39" s="31">
        <v>1</v>
      </c>
    </row>
    <row r="41" spans="1:18" x14ac:dyDescent="0.25">
      <c r="G41" s="1">
        <f t="shared" ref="G41:Q41" si="2">SUBTOTAL(9,G3:G40)</f>
        <v>28630</v>
      </c>
      <c r="H41" s="1">
        <f t="shared" si="2"/>
        <v>1050</v>
      </c>
      <c r="I41" s="1">
        <f>SUBTOTAL(9,I3:I40)</f>
        <v>27580</v>
      </c>
      <c r="J41" s="1">
        <f t="shared" si="2"/>
        <v>0</v>
      </c>
      <c r="K41" s="1">
        <f t="shared" si="2"/>
        <v>0</v>
      </c>
      <c r="L41" s="1">
        <f t="shared" si="2"/>
        <v>0</v>
      </c>
      <c r="M41" s="1">
        <f t="shared" si="2"/>
        <v>0</v>
      </c>
      <c r="N41" s="1">
        <f t="shared" si="2"/>
        <v>0</v>
      </c>
      <c r="O41" s="1">
        <f t="shared" si="2"/>
        <v>0</v>
      </c>
      <c r="P41" s="1">
        <f t="shared" si="2"/>
        <v>0</v>
      </c>
      <c r="Q41" s="1">
        <f t="shared" si="2"/>
        <v>37</v>
      </c>
      <c r="R41" s="1">
        <f>SUBTOTAL(9,R3:R40,N55)</f>
        <v>245</v>
      </c>
    </row>
    <row r="42" spans="1:18" x14ac:dyDescent="0.25">
      <c r="I42" s="1">
        <v>-770</v>
      </c>
      <c r="J42" s="1" t="s">
        <v>1137</v>
      </c>
    </row>
    <row r="43" spans="1:18" x14ac:dyDescent="0.25">
      <c r="I43" s="1">
        <f>-H57</f>
        <v>-6415</v>
      </c>
      <c r="J43" s="1" t="s">
        <v>1034</v>
      </c>
    </row>
    <row r="44" spans="1:18" x14ac:dyDescent="0.25">
      <c r="I44" s="48">
        <f>H58</f>
        <v>1120</v>
      </c>
      <c r="J44" s="1" t="s">
        <v>1139</v>
      </c>
    </row>
    <row r="45" spans="1:18" ht="20.25" customHeight="1" x14ac:dyDescent="0.3">
      <c r="H45" s="4" t="s">
        <v>885</v>
      </c>
      <c r="I45" s="5" t="s">
        <v>15</v>
      </c>
      <c r="J45" s="6" t="s">
        <v>16</v>
      </c>
    </row>
    <row r="46" spans="1:18" ht="15.75" customHeight="1" x14ac:dyDescent="0.25">
      <c r="H46" s="7" t="s">
        <v>17</v>
      </c>
      <c r="I46" s="8">
        <f>SUM(I40:I44)</f>
        <v>21515</v>
      </c>
      <c r="J46" s="8">
        <f>Q41</f>
        <v>37</v>
      </c>
    </row>
    <row r="47" spans="1:18" x14ac:dyDescent="0.25">
      <c r="H47" s="9" t="s">
        <v>18</v>
      </c>
      <c r="I47" s="10">
        <f>R41</f>
        <v>245</v>
      </c>
      <c r="J47" s="11"/>
    </row>
    <row r="48" spans="1:18" x14ac:dyDescent="0.25">
      <c r="H48" s="9" t="s">
        <v>19</v>
      </c>
      <c r="I48" s="10">
        <f>S40</f>
        <v>0</v>
      </c>
      <c r="J48" s="11"/>
    </row>
    <row r="49" spans="1:14" x14ac:dyDescent="0.25">
      <c r="H49" s="9" t="s">
        <v>20</v>
      </c>
      <c r="I49" s="10">
        <f>T40</f>
        <v>0</v>
      </c>
      <c r="J49" s="11"/>
    </row>
    <row r="50" spans="1:14" x14ac:dyDescent="0.25">
      <c r="H50" s="9" t="s">
        <v>21</v>
      </c>
      <c r="I50" s="10">
        <f>U40</f>
        <v>0</v>
      </c>
      <c r="J50" s="11"/>
    </row>
    <row r="51" spans="1:14" ht="15.75" customHeight="1" x14ac:dyDescent="0.25">
      <c r="H51" s="12" t="s">
        <v>22</v>
      </c>
      <c r="I51" s="13"/>
      <c r="J51" s="13"/>
    </row>
    <row r="52" spans="1:14" ht="15.75" customHeight="1" x14ac:dyDescent="0.25">
      <c r="H52" s="14" t="s">
        <v>23</v>
      </c>
      <c r="I52" s="13"/>
      <c r="J52" s="13"/>
    </row>
    <row r="53" spans="1:14" ht="21" customHeight="1" x14ac:dyDescent="0.35">
      <c r="H53" s="15" t="s">
        <v>24</v>
      </c>
      <c r="I53" s="16">
        <f>SUM(I46:I52)</f>
        <v>21760</v>
      </c>
      <c r="J53" s="16">
        <f>SUM(J46:J50)</f>
        <v>37</v>
      </c>
    </row>
    <row r="54" spans="1:14" x14ac:dyDescent="0.25">
      <c r="A54" s="1" t="s">
        <v>1034</v>
      </c>
    </row>
    <row r="55" spans="1:14" x14ac:dyDescent="0.25">
      <c r="A55" s="43" t="s">
        <v>29</v>
      </c>
      <c r="B55" s="43" t="s">
        <v>897</v>
      </c>
      <c r="C55" s="43" t="s">
        <v>898</v>
      </c>
      <c r="D55" s="43" t="s">
        <v>899</v>
      </c>
      <c r="E55" s="46" t="s">
        <v>48</v>
      </c>
      <c r="F55" s="43">
        <v>6355</v>
      </c>
      <c r="G55" s="43">
        <v>35</v>
      </c>
      <c r="H55" s="43">
        <f>F55+G55</f>
        <v>6390</v>
      </c>
      <c r="I55" s="43" t="s">
        <v>531</v>
      </c>
      <c r="J55" s="43" t="s">
        <v>35</v>
      </c>
      <c r="K55" s="43" t="s">
        <v>890</v>
      </c>
      <c r="L55" s="39" t="s">
        <v>1138</v>
      </c>
      <c r="N55" s="1">
        <f>G55</f>
        <v>35</v>
      </c>
    </row>
    <row r="56" spans="1:14" x14ac:dyDescent="0.25">
      <c r="A56" s="40" t="s">
        <v>29</v>
      </c>
      <c r="B56" s="40" t="s">
        <v>1019</v>
      </c>
      <c r="C56" s="40" t="s">
        <v>1020</v>
      </c>
      <c r="D56" s="40" t="s">
        <v>1021</v>
      </c>
      <c r="E56" s="41">
        <v>1</v>
      </c>
      <c r="F56" s="41">
        <v>25</v>
      </c>
      <c r="G56" s="41">
        <v>0</v>
      </c>
      <c r="H56" s="41">
        <f t="shared" ref="H56" si="3">F56-G56</f>
        <v>25</v>
      </c>
      <c r="I56" s="40" t="s">
        <v>531</v>
      </c>
      <c r="J56" s="40" t="s">
        <v>35</v>
      </c>
      <c r="K56" s="40" t="s">
        <v>890</v>
      </c>
      <c r="L56" s="39" t="s">
        <v>1036</v>
      </c>
    </row>
    <row r="57" spans="1:14" x14ac:dyDescent="0.25">
      <c r="A57" s="1" t="s">
        <v>1140</v>
      </c>
      <c r="H57" s="1">
        <f>SUBTOTAL(9,H55:H56)</f>
        <v>6415</v>
      </c>
    </row>
    <row r="58" spans="1:14" x14ac:dyDescent="0.25">
      <c r="A58" s="40" t="s">
        <v>29</v>
      </c>
      <c r="B58" s="40" t="s">
        <v>1141</v>
      </c>
      <c r="C58" s="40" t="s">
        <v>1142</v>
      </c>
      <c r="D58" s="40" t="s">
        <v>1143</v>
      </c>
      <c r="E58" s="41">
        <v>6</v>
      </c>
      <c r="F58" s="41">
        <v>1120</v>
      </c>
      <c r="G58" s="41">
        <v>0</v>
      </c>
      <c r="H58" s="41">
        <f t="shared" ref="H58" si="4">F58-G58</f>
        <v>1120</v>
      </c>
      <c r="I58" s="40" t="s">
        <v>531</v>
      </c>
      <c r="J58" s="40" t="s">
        <v>35</v>
      </c>
      <c r="K58" s="40" t="s">
        <v>890</v>
      </c>
      <c r="L58" s="47"/>
    </row>
  </sheetData>
  <autoFilter ref="A2:P39" xr:uid="{00000000-0009-0000-0000-000006000000}">
    <sortState xmlns:xlrd2="http://schemas.microsoft.com/office/spreadsheetml/2017/richdata2" ref="A3:P39">
      <sortCondition ref="J2:J39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3-9</vt:lpstr>
      <vt:lpstr>4-9</vt:lpstr>
      <vt:lpstr>5-9</vt:lpstr>
      <vt:lpstr>6-9</vt:lpstr>
      <vt:lpstr>7-9</vt:lpstr>
      <vt:lpstr>8-9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2026-09-09T06:18:22Z</dcterms:modified>
</cp:coreProperties>
</file>