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Work\TextExtractorTool\data\sample\"/>
    </mc:Choice>
  </mc:AlternateContent>
  <xr:revisionPtr revIDLastSave="0" documentId="13_ncr:1_{FA7F63EE-613E-4BFD-B542-C8261D630597}" xr6:coauthVersionLast="45" xr6:coauthVersionMax="45" xr10:uidLastSave="{00000000-0000-0000-0000-000000000000}"/>
  <bookViews>
    <workbookView xWindow="-120" yWindow="-120" windowWidth="29040" windowHeight="15720" activeTab="9" xr2:uid="{00000000-000D-0000-FFFF-FFFF00000000}"/>
  </bookViews>
  <sheets>
    <sheet name="02-02" sheetId="1" r:id="rId1"/>
    <sheet name="03-02" sheetId="2" r:id="rId2"/>
    <sheet name="04-02" sheetId="3" r:id="rId3"/>
    <sheet name="05-02" sheetId="4" r:id="rId4"/>
    <sheet name="06-02" sheetId="5" r:id="rId5"/>
    <sheet name="07-02" sheetId="6" r:id="rId6"/>
    <sheet name="08-02" sheetId="7" r:id="rId7"/>
    <sheet name="09-02" sheetId="8" r:id="rId8"/>
    <sheet name="10-02" sheetId="9" r:id="rId9"/>
    <sheet name="11-02" sheetId="10" r:id="rId10"/>
    <sheet name="27-2" sheetId="11" r:id="rId11"/>
    <sheet name="28-2" sheetId="12" r:id="rId12"/>
  </sheets>
  <definedNames>
    <definedName name="_xlnm._FilterDatabase" localSheetId="0" hidden="1">'02-02'!$A$2:$Q$122</definedName>
    <definedName name="_xlnm._FilterDatabase" localSheetId="1" hidden="1">'03-02'!$A$2:$Q$61</definedName>
    <definedName name="_xlnm._FilterDatabase" localSheetId="2" hidden="1">'04-02'!$A$2:$Q$67</definedName>
    <definedName name="_xlnm._FilterDatabase" localSheetId="3" hidden="1">'05-02'!$A$2:$Q$73</definedName>
    <definedName name="_xlnm._FilterDatabase" localSheetId="4" hidden="1">'06-02'!$A$2:$Q$48</definedName>
    <definedName name="_xlnm._FilterDatabase" localSheetId="5" hidden="1">'07-02'!$A$2:$Q$91</definedName>
    <definedName name="_xlnm._FilterDatabase" localSheetId="6" hidden="1">'08-02'!$A$2:$Q$55</definedName>
    <definedName name="_xlnm._FilterDatabase" localSheetId="7" hidden="1">'09-02'!$A$2:$Q$139</definedName>
    <definedName name="_xlnm._FilterDatabase" localSheetId="8" hidden="1">'10-02'!$A$2:$Q$117</definedName>
    <definedName name="_xlnm._FilterDatabase" localSheetId="9" hidden="1">'11-02'!$A$2:$Q$65</definedName>
    <definedName name="_xlnm._FilterDatabase" localSheetId="10" hidden="1">'27-2'!$A$2:$Q$38</definedName>
    <definedName name="_xlnm._FilterDatabase" localSheetId="11" hidden="1">'28-2'!$A$2:$Q$32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2" l="1"/>
  <c r="J43" i="12"/>
  <c r="J42" i="12"/>
  <c r="J41" i="12"/>
  <c r="J40" i="12"/>
  <c r="K39" i="12"/>
  <c r="K46" i="12" s="1"/>
  <c r="S34" i="12"/>
  <c r="R34" i="12"/>
  <c r="Q34" i="12"/>
  <c r="P34" i="12"/>
  <c r="O34" i="12"/>
  <c r="N34" i="12"/>
  <c r="M34" i="12"/>
  <c r="L34" i="12"/>
  <c r="K34" i="12"/>
  <c r="I34" i="12"/>
  <c r="H34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34" i="12" s="1"/>
  <c r="J39" i="12" s="1"/>
  <c r="J46" i="12" s="1"/>
  <c r="I55" i="11"/>
  <c r="J49" i="11"/>
  <c r="J48" i="11"/>
  <c r="J47" i="11"/>
  <c r="J46" i="11"/>
  <c r="K45" i="11"/>
  <c r="K52" i="11" s="1"/>
  <c r="S40" i="11"/>
  <c r="R40" i="11"/>
  <c r="Q40" i="11"/>
  <c r="P40" i="11"/>
  <c r="O40" i="11"/>
  <c r="N40" i="11"/>
  <c r="M40" i="11"/>
  <c r="L40" i="11"/>
  <c r="K40" i="11"/>
  <c r="I40" i="11"/>
  <c r="H40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40" i="11" s="1"/>
  <c r="J45" i="11" s="1"/>
  <c r="J52" i="11" s="1"/>
  <c r="I84" i="10"/>
  <c r="I83" i="10"/>
  <c r="I82" i="10"/>
  <c r="J76" i="10"/>
  <c r="J75" i="10"/>
  <c r="J74" i="10"/>
  <c r="J73" i="10"/>
  <c r="T67" i="10"/>
  <c r="S67" i="10"/>
  <c r="R67" i="10"/>
  <c r="K72" i="10" s="1"/>
  <c r="K79" i="10" s="1"/>
  <c r="Q67" i="10"/>
  <c r="P67" i="10"/>
  <c r="O67" i="10"/>
  <c r="N67" i="10"/>
  <c r="M67" i="10"/>
  <c r="L67" i="10"/>
  <c r="K67" i="10"/>
  <c r="I67" i="10"/>
  <c r="H67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67" i="10" s="1"/>
  <c r="J72" i="10" s="1"/>
  <c r="J79" i="10" s="1"/>
  <c r="I138" i="9"/>
  <c r="I135" i="9"/>
  <c r="I134" i="9"/>
  <c r="J128" i="9"/>
  <c r="J127" i="9"/>
  <c r="J126" i="9"/>
  <c r="J125" i="9"/>
  <c r="K124" i="9"/>
  <c r="K131" i="9" s="1"/>
  <c r="T119" i="9"/>
  <c r="S119" i="9"/>
  <c r="R119" i="9"/>
  <c r="Q119" i="9"/>
  <c r="P119" i="9"/>
  <c r="O119" i="9"/>
  <c r="N119" i="9"/>
  <c r="M119" i="9"/>
  <c r="L119" i="9"/>
  <c r="K119" i="9"/>
  <c r="I119" i="9"/>
  <c r="H119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119" i="9" s="1"/>
  <c r="J124" i="9" s="1"/>
  <c r="J131" i="9" s="1"/>
  <c r="J3" i="9"/>
  <c r="I160" i="8"/>
  <c r="I159" i="8"/>
  <c r="I156" i="8"/>
  <c r="J150" i="8"/>
  <c r="J149" i="8"/>
  <c r="J148" i="8"/>
  <c r="J147" i="8"/>
  <c r="T141" i="8"/>
  <c r="S141" i="8"/>
  <c r="R141" i="8"/>
  <c r="K146" i="8" s="1"/>
  <c r="K153" i="8" s="1"/>
  <c r="Q141" i="8"/>
  <c r="P141" i="8"/>
  <c r="O141" i="8"/>
  <c r="N141" i="8"/>
  <c r="M141" i="8"/>
  <c r="L141" i="8"/>
  <c r="K141" i="8"/>
  <c r="I141" i="8"/>
  <c r="H141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141" i="8" s="1"/>
  <c r="J146" i="8" s="1"/>
  <c r="J153" i="8" s="1"/>
  <c r="J66" i="7"/>
  <c r="J65" i="7"/>
  <c r="J64" i="7"/>
  <c r="J63" i="7"/>
  <c r="T57" i="7"/>
  <c r="S57" i="7"/>
  <c r="R57" i="7"/>
  <c r="K62" i="7" s="1"/>
  <c r="K69" i="7" s="1"/>
  <c r="Q57" i="7"/>
  <c r="P57" i="7"/>
  <c r="O57" i="7"/>
  <c r="N57" i="7"/>
  <c r="M57" i="7"/>
  <c r="L57" i="7"/>
  <c r="K57" i="7"/>
  <c r="I57" i="7"/>
  <c r="H57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57" i="7" s="1"/>
  <c r="J62" i="7" s="1"/>
  <c r="J69" i="7" s="1"/>
  <c r="I108" i="6"/>
  <c r="J102" i="6"/>
  <c r="J101" i="6"/>
  <c r="J100" i="6"/>
  <c r="J99" i="6"/>
  <c r="T93" i="6"/>
  <c r="S93" i="6"/>
  <c r="R93" i="6"/>
  <c r="K98" i="6" s="1"/>
  <c r="K105" i="6" s="1"/>
  <c r="Q93" i="6"/>
  <c r="P93" i="6"/>
  <c r="O93" i="6"/>
  <c r="N93" i="6"/>
  <c r="M93" i="6"/>
  <c r="L93" i="6"/>
  <c r="K93" i="6"/>
  <c r="I93" i="6"/>
  <c r="H93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93" i="6" s="1"/>
  <c r="J98" i="6" s="1"/>
  <c r="J105" i="6" s="1"/>
  <c r="J13" i="6"/>
  <c r="J12" i="6"/>
  <c r="J11" i="6"/>
  <c r="J10" i="6"/>
  <c r="J9" i="6"/>
  <c r="J8" i="6"/>
  <c r="J7" i="6"/>
  <c r="J6" i="6"/>
  <c r="J5" i="6"/>
  <c r="J4" i="6"/>
  <c r="J3" i="6"/>
  <c r="I65" i="5"/>
  <c r="K62" i="5"/>
  <c r="J59" i="5"/>
  <c r="J58" i="5"/>
  <c r="J57" i="5"/>
  <c r="J56" i="5"/>
  <c r="K55" i="5"/>
  <c r="T50" i="5"/>
  <c r="S50" i="5"/>
  <c r="R50" i="5"/>
  <c r="Q50" i="5"/>
  <c r="P50" i="5"/>
  <c r="O50" i="5"/>
  <c r="N50" i="5"/>
  <c r="M50" i="5"/>
  <c r="L50" i="5"/>
  <c r="K50" i="5"/>
  <c r="I50" i="5"/>
  <c r="H50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50" i="5" s="1"/>
  <c r="J55" i="5" s="1"/>
  <c r="J62" i="5" s="1"/>
  <c r="I93" i="4"/>
  <c r="I90" i="4"/>
  <c r="J84" i="4"/>
  <c r="J83" i="4"/>
  <c r="J82" i="4"/>
  <c r="J81" i="4"/>
  <c r="T75" i="4"/>
  <c r="S75" i="4"/>
  <c r="R75" i="4"/>
  <c r="K80" i="4" s="1"/>
  <c r="K87" i="4" s="1"/>
  <c r="Q75" i="4"/>
  <c r="P75" i="4"/>
  <c r="O75" i="4"/>
  <c r="N75" i="4"/>
  <c r="M75" i="4"/>
  <c r="L75" i="4"/>
  <c r="K75" i="4"/>
  <c r="I75" i="4"/>
  <c r="H75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75" i="4" s="1"/>
  <c r="J80" i="4" s="1"/>
  <c r="J87" i="4" s="1"/>
  <c r="I83" i="3"/>
  <c r="K81" i="3"/>
  <c r="J78" i="3"/>
  <c r="J77" i="3"/>
  <c r="J76" i="3"/>
  <c r="J75" i="3"/>
  <c r="K74" i="3"/>
  <c r="T69" i="3"/>
  <c r="S69" i="3"/>
  <c r="R69" i="3"/>
  <c r="Q69" i="3"/>
  <c r="P69" i="3"/>
  <c r="O69" i="3"/>
  <c r="N69" i="3"/>
  <c r="M69" i="3"/>
  <c r="L69" i="3"/>
  <c r="K69" i="3"/>
  <c r="I69" i="3"/>
  <c r="H69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69" i="3" s="1"/>
  <c r="J74" i="3" s="1"/>
  <c r="J81" i="3" s="1"/>
  <c r="I78" i="2"/>
  <c r="J72" i="2"/>
  <c r="J71" i="2"/>
  <c r="J70" i="2"/>
  <c r="J69" i="2"/>
  <c r="T63" i="2"/>
  <c r="S63" i="2"/>
  <c r="R63" i="2"/>
  <c r="K68" i="2" s="1"/>
  <c r="K75" i="2" s="1"/>
  <c r="Q63" i="2"/>
  <c r="P63" i="2"/>
  <c r="O63" i="2"/>
  <c r="N63" i="2"/>
  <c r="M63" i="2"/>
  <c r="L63" i="2"/>
  <c r="K63" i="2"/>
  <c r="I63" i="2"/>
  <c r="H63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63" i="2" s="1"/>
  <c r="J68" i="2" s="1"/>
  <c r="J75" i="2" s="1"/>
  <c r="J7" i="2"/>
  <c r="J6" i="2"/>
  <c r="J5" i="2"/>
  <c r="J4" i="2"/>
  <c r="J3" i="2"/>
  <c r="I140" i="1"/>
  <c r="I139" i="1"/>
  <c r="J133" i="1"/>
  <c r="J132" i="1"/>
  <c r="J131" i="1"/>
  <c r="J130" i="1"/>
  <c r="K129" i="1"/>
  <c r="K136" i="1" s="1"/>
  <c r="T124" i="1"/>
  <c r="S124" i="1"/>
  <c r="R124" i="1"/>
  <c r="Q124" i="1"/>
  <c r="P124" i="1"/>
  <c r="O124" i="1"/>
  <c r="N124" i="1"/>
  <c r="M124" i="1"/>
  <c r="L124" i="1"/>
  <c r="K124" i="1"/>
  <c r="I124" i="1"/>
  <c r="H124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124" i="1" s="1"/>
  <c r="J129" i="1" s="1"/>
  <c r="J136" i="1" s="1"/>
  <c r="J6" i="1"/>
  <c r="J5" i="1"/>
  <c r="J4" i="1"/>
  <c r="J3" i="1"/>
</calcChain>
</file>

<file path=xl/sharedStrings.xml><?xml version="1.0" encoding="utf-8"?>
<sst xmlns="http://schemas.openxmlformats.org/spreadsheetml/2006/main" count="7840" uniqueCount="2628">
  <si>
    <t>THU 2</t>
  </si>
  <si>
    <t>NGAY 2-2</t>
  </si>
  <si>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</si>
  <si>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</si>
  <si>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</si>
  <si>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</si>
  <si>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</si>
  <si>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</si>
  <si>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</si>
  <si>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</si>
  <si>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</si>
  <si>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</si>
  <si>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</si>
  <si>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</si>
  <si>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</si>
  <si>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</si>
  <si>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</si>
  <si>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</si>
  <si>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</si>
  <si>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chau ngan</t>
  </si>
  <si>
    <t>ha hong quyen</t>
  </si>
  <si>
    <t>hd124455</t>
  </si>
  <si>
    <t>cc tecco</t>
  </si>
  <si>
    <t>thinh dan</t>
  </si>
  <si>
    <t>tinh</t>
  </si>
  <si>
    <t>luu tra</t>
  </si>
  <si>
    <t>c.cuong</t>
  </si>
  <si>
    <t>02-02-2026.</t>
  </si>
  <si>
    <t>hàng tỉnh</t>
  </si>
  <si>
    <t>x</t>
  </si>
  <si>
    <t>xx</t>
  </si>
  <si>
    <t>ngan nguyen</t>
  </si>
  <si>
    <t>hd125513</t>
  </si>
  <si>
    <t>103/23,</t>
  </si>
  <si>
    <t>co giang</t>
  </si>
  <si>
    <t>a hieu</t>
  </si>
  <si>
    <t>shop chiu ship</t>
  </si>
  <si>
    <t>hang si</t>
  </si>
  <si>
    <t>pe ni</t>
  </si>
  <si>
    <t>189b/A30</t>
  </si>
  <si>
    <t>cong quynh</t>
  </si>
  <si>
    <t>thao</t>
  </si>
  <si>
    <t>hd125222</t>
  </si>
  <si>
    <t>dinh tien hoang</t>
  </si>
  <si>
    <t>sivemey long</t>
  </si>
  <si>
    <t>hd125842</t>
  </si>
  <si>
    <t>le thanh ton</t>
  </si>
  <si>
    <t>tho le</t>
  </si>
  <si>
    <t>hd124634</t>
  </si>
  <si>
    <t>18b/73,</t>
  </si>
  <si>
    <t>ntmk</t>
  </si>
  <si>
    <t>ntn mai</t>
  </si>
  <si>
    <t>hd125756</t>
  </si>
  <si>
    <t>nguyen an ninh</t>
  </si>
  <si>
    <t xml:space="preserve">snit </t>
  </si>
  <si>
    <t>hd124859</t>
  </si>
  <si>
    <t>pham ngu lao</t>
  </si>
  <si>
    <t>thu thuy</t>
  </si>
  <si>
    <t>hd123597</t>
  </si>
  <si>
    <t>thai van lung</t>
  </si>
  <si>
    <t>tu tu</t>
  </si>
  <si>
    <t>hd124472</t>
  </si>
  <si>
    <t>auqa 1</t>
  </si>
  <si>
    <t>vinhome</t>
  </si>
  <si>
    <t>nhi tran</t>
  </si>
  <si>
    <t>pastuer</t>
  </si>
  <si>
    <t>nhung salim</t>
  </si>
  <si>
    <t>hd125874</t>
  </si>
  <si>
    <t>19A</t>
  </si>
  <si>
    <t>tran quang dieu</t>
  </si>
  <si>
    <t>kata le</t>
  </si>
  <si>
    <t>hd125392</t>
  </si>
  <si>
    <t>153/1,</t>
  </si>
  <si>
    <t>vo van tan</t>
  </si>
  <si>
    <t>nguyen nguyen</t>
  </si>
  <si>
    <t>ton dan</t>
  </si>
  <si>
    <t>hoai thi</t>
  </si>
  <si>
    <t>hd124231</t>
  </si>
  <si>
    <t>vinh hoi</t>
  </si>
  <si>
    <t>soma clothing</t>
  </si>
  <si>
    <t>hd124744</t>
  </si>
  <si>
    <t>xe khai nam</t>
  </si>
  <si>
    <t>cambodia</t>
  </si>
  <si>
    <t>ly mouy</t>
  </si>
  <si>
    <t>hd125851</t>
  </si>
  <si>
    <t>cty hai nam</t>
  </si>
  <si>
    <t>hung vuong</t>
  </si>
  <si>
    <t>thao phuong</t>
  </si>
  <si>
    <t>hd125355</t>
  </si>
  <si>
    <t>482/15/31,</t>
  </si>
  <si>
    <t>dien bien phu</t>
  </si>
  <si>
    <t>minh phuong</t>
  </si>
  <si>
    <t>hd125493</t>
  </si>
  <si>
    <t>duong 3/2.</t>
  </si>
  <si>
    <t>le tu tran</t>
  </si>
  <si>
    <t>hd125665</t>
  </si>
  <si>
    <t>606/85,</t>
  </si>
  <si>
    <t>truc huynh</t>
  </si>
  <si>
    <t>hd124896</t>
  </si>
  <si>
    <t>cc ha do</t>
  </si>
  <si>
    <t>nguyen linh</t>
  </si>
  <si>
    <t>hd124914</t>
  </si>
  <si>
    <t>le hong phong</t>
  </si>
  <si>
    <t>mai tran</t>
  </si>
  <si>
    <t>hd125818</t>
  </si>
  <si>
    <t>to hien thanh</t>
  </si>
  <si>
    <t>vy bui</t>
  </si>
  <si>
    <t>hd125850</t>
  </si>
  <si>
    <t>163/14,</t>
  </si>
  <si>
    <t>vo ngoc han</t>
  </si>
  <si>
    <t>hd124629</t>
  </si>
  <si>
    <t>thanh thai</t>
  </si>
  <si>
    <t>phuong quynh duong</t>
  </si>
  <si>
    <t>hd125195</t>
  </si>
  <si>
    <t>thu uyen</t>
  </si>
  <si>
    <t>hd125671</t>
  </si>
  <si>
    <t>hoang van thu</t>
  </si>
  <si>
    <t>phu nhuan</t>
  </si>
  <si>
    <t>hd125781</t>
  </si>
  <si>
    <t>529/78,</t>
  </si>
  <si>
    <t>huynh van banh</t>
  </si>
  <si>
    <t>ly huong quynh</t>
  </si>
  <si>
    <t>hd125853</t>
  </si>
  <si>
    <t>194/3,</t>
  </si>
  <si>
    <t>nguyen trong tuyen</t>
  </si>
  <si>
    <t>fang fang</t>
  </si>
  <si>
    <t>A75/6B/2,</t>
  </si>
  <si>
    <t>bach dang</t>
  </si>
  <si>
    <t>tan binh</t>
  </si>
  <si>
    <t>si be</t>
  </si>
  <si>
    <t>25/17/11,</t>
  </si>
  <si>
    <t>cuu long</t>
  </si>
  <si>
    <t>quoc hien</t>
  </si>
  <si>
    <t>hd118647</t>
  </si>
  <si>
    <t>281/17/12,</t>
  </si>
  <si>
    <t>le van sy</t>
  </si>
  <si>
    <t>choub srey rose</t>
  </si>
  <si>
    <t>hd124527</t>
  </si>
  <si>
    <t>270B</t>
  </si>
  <si>
    <t>ly thuong kiet</t>
  </si>
  <si>
    <t>thanh thanh to</t>
  </si>
  <si>
    <t>hd125555</t>
  </si>
  <si>
    <t>2/16,</t>
  </si>
  <si>
    <t>tan lap</t>
  </si>
  <si>
    <t>nhuong</t>
  </si>
  <si>
    <t>hd125199</t>
  </si>
  <si>
    <t>481/42,</t>
  </si>
  <si>
    <t>truong chinh</t>
  </si>
  <si>
    <t>huynh kim nhu</t>
  </si>
  <si>
    <t>hd125503</t>
  </si>
  <si>
    <t>yen the</t>
  </si>
  <si>
    <t>do thi kim luyen</t>
  </si>
  <si>
    <t>hd125607</t>
  </si>
  <si>
    <t>ds1</t>
  </si>
  <si>
    <t>anh dao</t>
  </si>
  <si>
    <t>hd125120</t>
  </si>
  <si>
    <t>ds5</t>
  </si>
  <si>
    <t>sieng sieng</t>
  </si>
  <si>
    <t>hd124865</t>
  </si>
  <si>
    <t>12A</t>
  </si>
  <si>
    <t>thuy chu</t>
  </si>
  <si>
    <t>hd125795</t>
  </si>
  <si>
    <t>ds61</t>
  </si>
  <si>
    <t>nguyen thi my phuc</t>
  </si>
  <si>
    <t>hd125209</t>
  </si>
  <si>
    <t>the sun</t>
  </si>
  <si>
    <t>mai chi tho</t>
  </si>
  <si>
    <t>linh ngoc doan</t>
  </si>
  <si>
    <t>hd125254</t>
  </si>
  <si>
    <t>cc vista</t>
  </si>
  <si>
    <t>nguyen thanh son</t>
  </si>
  <si>
    <t>lam lam</t>
  </si>
  <si>
    <t>hd124936</t>
  </si>
  <si>
    <t>than van nhiep</t>
  </si>
  <si>
    <t>nguyen van</t>
  </si>
  <si>
    <t>hd124943</t>
  </si>
  <si>
    <t>tran nao</t>
  </si>
  <si>
    <t>đổi hàng</t>
  </si>
  <si>
    <t>nhi nhan</t>
  </si>
  <si>
    <t>hd124649</t>
  </si>
  <si>
    <t>179/11/3,</t>
  </si>
  <si>
    <t>binh thanh</t>
  </si>
  <si>
    <t>huong tran</t>
  </si>
  <si>
    <t>261/26C</t>
  </si>
  <si>
    <t>chu van an</t>
  </si>
  <si>
    <t>bui thi bich huyen</t>
  </si>
  <si>
    <t>hd124726</t>
  </si>
  <si>
    <t>334/55,</t>
  </si>
  <si>
    <t>huong tra</t>
  </si>
  <si>
    <t>hd124627</t>
  </si>
  <si>
    <t>71/19,</t>
  </si>
  <si>
    <t>hang le</t>
  </si>
  <si>
    <t>hd124718</t>
  </si>
  <si>
    <t>cc parkview</t>
  </si>
  <si>
    <t>yen nhu</t>
  </si>
  <si>
    <t>hd125531</t>
  </si>
  <si>
    <t>bung ong thoan</t>
  </si>
  <si>
    <t>quyen</t>
  </si>
  <si>
    <t>thu hoang</t>
  </si>
  <si>
    <t>hd124860</t>
  </si>
  <si>
    <t>ds265</t>
  </si>
  <si>
    <t>thanh ngoc</t>
  </si>
  <si>
    <t>hd125452</t>
  </si>
  <si>
    <t>10A</t>
  </si>
  <si>
    <t>ds44</t>
  </si>
  <si>
    <t>yen nguyen</t>
  </si>
  <si>
    <t>hd125776</t>
  </si>
  <si>
    <t>100/40/56,</t>
  </si>
  <si>
    <t>le van duyet</t>
  </si>
  <si>
    <t>ha vy</t>
  </si>
  <si>
    <t>482/10/26,</t>
  </si>
  <si>
    <t>no trang long</t>
  </si>
  <si>
    <t>nguyen mi</t>
  </si>
  <si>
    <t>hd125139</t>
  </si>
  <si>
    <t>520/7,</t>
  </si>
  <si>
    <t>xvnt</t>
  </si>
  <si>
    <t>nguyen lucie</t>
  </si>
  <si>
    <t>hd125858</t>
  </si>
  <si>
    <t>61/15/14,</t>
  </si>
  <si>
    <t>ds19</t>
  </si>
  <si>
    <t>go vap</t>
  </si>
  <si>
    <t>my my truong</t>
  </si>
  <si>
    <t>hd125619</t>
  </si>
  <si>
    <t>37/1A</t>
  </si>
  <si>
    <t>hoa ngo</t>
  </si>
  <si>
    <t>hd125726</t>
  </si>
  <si>
    <t>nguyen kiem</t>
  </si>
  <si>
    <t>chi trang</t>
  </si>
  <si>
    <t>hd125243</t>
  </si>
  <si>
    <t>139/2,</t>
  </si>
  <si>
    <t>nguyen van luong</t>
  </si>
  <si>
    <t>ngan ngan</t>
  </si>
  <si>
    <t>hd125706</t>
  </si>
  <si>
    <t>111/46F</t>
  </si>
  <si>
    <t>pham van chieu</t>
  </si>
  <si>
    <t>jenny bouti</t>
  </si>
  <si>
    <t>quang trung</t>
  </si>
  <si>
    <t>ly clara</t>
  </si>
  <si>
    <t>tan son</t>
  </si>
  <si>
    <t>trang trang</t>
  </si>
  <si>
    <t>hd124908</t>
  </si>
  <si>
    <t>tran ba giao</t>
  </si>
  <si>
    <t>hoi- tran y na</t>
  </si>
  <si>
    <t>hd124538</t>
  </si>
  <si>
    <t>384/22,</t>
  </si>
  <si>
    <t>pham van bach</t>
  </si>
  <si>
    <t>pham thi bao tram</t>
  </si>
  <si>
    <t>hd124857</t>
  </si>
  <si>
    <t>block B</t>
  </si>
  <si>
    <t>cc urban</t>
  </si>
  <si>
    <t>thu duc</t>
  </si>
  <si>
    <t>lotus tram</t>
  </si>
  <si>
    <t>hd124792</t>
  </si>
  <si>
    <t>ds37</t>
  </si>
  <si>
    <t>on nha phuong</t>
  </si>
  <si>
    <t>hd125339</t>
  </si>
  <si>
    <t>84/5,</t>
  </si>
  <si>
    <t>ds9</t>
  </si>
  <si>
    <t>thu yen</t>
  </si>
  <si>
    <t>hd125472</t>
  </si>
  <si>
    <t>linh trung</t>
  </si>
  <si>
    <t>bich dung- mam quay</t>
  </si>
  <si>
    <t>hd124696</t>
  </si>
  <si>
    <t>520/90/8/18,</t>
  </si>
  <si>
    <t>ql13</t>
  </si>
  <si>
    <t>lucy nguyen</t>
  </si>
  <si>
    <t>hd125428</t>
  </si>
  <si>
    <t>R5</t>
  </si>
  <si>
    <t>cx phu lam a</t>
  </si>
  <si>
    <t>AT 2-2</t>
  </si>
  <si>
    <t>mie</t>
  </si>
  <si>
    <t>275/14B1</t>
  </si>
  <si>
    <t>dang nguyen can</t>
  </si>
  <si>
    <t>hd125258</t>
  </si>
  <si>
    <t>66D</t>
  </si>
  <si>
    <t>tuyet nhung</t>
  </si>
  <si>
    <t>hd125049</t>
  </si>
  <si>
    <t>ds17</t>
  </si>
  <si>
    <t>lucy pappy</t>
  </si>
  <si>
    <t>hd125253</t>
  </si>
  <si>
    <t>ngan ha</t>
  </si>
  <si>
    <t>ds53</t>
  </si>
  <si>
    <t>dao- panhpeo nguyen</t>
  </si>
  <si>
    <t>hd125517</t>
  </si>
  <si>
    <t>nhi le</t>
  </si>
  <si>
    <t>hd125037</t>
  </si>
  <si>
    <t>743/11/10,</t>
  </si>
  <si>
    <t>hong bang</t>
  </si>
  <si>
    <t>chi dieu</t>
  </si>
  <si>
    <t>hd124873</t>
  </si>
  <si>
    <t>vo ngoc thao</t>
  </si>
  <si>
    <t>hd125280</t>
  </si>
  <si>
    <t>11A</t>
  </si>
  <si>
    <t>ds14</t>
  </si>
  <si>
    <t>ngoc phuong</t>
  </si>
  <si>
    <t>hd125514</t>
  </si>
  <si>
    <t>midtown</t>
  </si>
  <si>
    <t>ds16</t>
  </si>
  <si>
    <t>gộp</t>
  </si>
  <si>
    <t>hd125447</t>
  </si>
  <si>
    <t xml:space="preserve">the grand </t>
  </si>
  <si>
    <t>huyen trang</t>
  </si>
  <si>
    <t>hd125412</t>
  </si>
  <si>
    <t>hoang trong mau</t>
  </si>
  <si>
    <t>nguyen thaoi</t>
  </si>
  <si>
    <t>hd125236</t>
  </si>
  <si>
    <t>B1-35,</t>
  </si>
  <si>
    <t>my phu 3a</t>
  </si>
  <si>
    <t>diem ncn</t>
  </si>
  <si>
    <t>hd125215</t>
  </si>
  <si>
    <t>thap x1</t>
  </si>
  <si>
    <t>nguyen huu tho</t>
  </si>
  <si>
    <t>hd125336</t>
  </si>
  <si>
    <t>nguyen luong bang</t>
  </si>
  <si>
    <t>ngoc venus</t>
  </si>
  <si>
    <t>hd125065</t>
  </si>
  <si>
    <t>pho tieu nam</t>
  </si>
  <si>
    <t>huyen trinh</t>
  </si>
  <si>
    <t>hd125401</t>
  </si>
  <si>
    <t>cherry thai</t>
  </si>
  <si>
    <t>hd125887</t>
  </si>
  <si>
    <t>ton dat tien</t>
  </si>
  <si>
    <t>ly hieu</t>
  </si>
  <si>
    <t>hd124479</t>
  </si>
  <si>
    <t>181b/7,</t>
  </si>
  <si>
    <t>au duong lan</t>
  </si>
  <si>
    <t>le ngoc thuy tien</t>
  </si>
  <si>
    <t>hd124724</t>
  </si>
  <si>
    <t>ds6</t>
  </si>
  <si>
    <t>bui vi thuong</t>
  </si>
  <si>
    <t>hd124481</t>
  </si>
  <si>
    <t>pham the hien</t>
  </si>
  <si>
    <t>phuc an</t>
  </si>
  <si>
    <t>hd125011</t>
  </si>
  <si>
    <t>1619/22,</t>
  </si>
  <si>
    <t>ngan thi tuyet nguyen</t>
  </si>
  <si>
    <t>hd125663</t>
  </si>
  <si>
    <t>68b/6,</t>
  </si>
  <si>
    <t>xinxin pham</t>
  </si>
  <si>
    <t>hd125780</t>
  </si>
  <si>
    <t>7/56/8,</t>
  </si>
  <si>
    <t>kieu luu</t>
  </si>
  <si>
    <t>hd125725</t>
  </si>
  <si>
    <t>161D/104A/17</t>
  </si>
  <si>
    <t>lac long quan</t>
  </si>
  <si>
    <t>nguyen phuong linh</t>
  </si>
  <si>
    <t>hd124366</t>
  </si>
  <si>
    <t>36-j3</t>
  </si>
  <si>
    <t>duong dd7-1</t>
  </si>
  <si>
    <t>hd125028</t>
  </si>
  <si>
    <t>anh thu</t>
  </si>
  <si>
    <t>hd124525</t>
  </si>
  <si>
    <t>270/20/38,</t>
  </si>
  <si>
    <t>nguyen thi bup</t>
  </si>
  <si>
    <t>tien</t>
  </si>
  <si>
    <t>hd124658</t>
  </si>
  <si>
    <t>phan van hon</t>
  </si>
  <si>
    <t>truong thi ngoc nhung</t>
  </si>
  <si>
    <t>hd125259</t>
  </si>
  <si>
    <t>144/1,</t>
  </si>
  <si>
    <t>ql1a</t>
  </si>
  <si>
    <t>w24130</t>
  </si>
  <si>
    <t>hd125764</t>
  </si>
  <si>
    <t>tan thoi hiep 21</t>
  </si>
  <si>
    <t>lina</t>
  </si>
  <si>
    <t>hd124692</t>
  </si>
  <si>
    <t>18A</t>
  </si>
  <si>
    <t xml:space="preserve">tan thoi nhat </t>
  </si>
  <si>
    <t>chi kim</t>
  </si>
  <si>
    <t>hd125321</t>
  </si>
  <si>
    <t>45/9,</t>
  </si>
  <si>
    <t>trung my tay 9</t>
  </si>
  <si>
    <t>nguyen huyen trang</t>
  </si>
  <si>
    <t>hd124703</t>
  </si>
  <si>
    <t>bchanh</t>
  </si>
  <si>
    <t>hd125738</t>
  </si>
  <si>
    <t>ngoc han nghiem</t>
  </si>
  <si>
    <t>hd125015</t>
  </si>
  <si>
    <t>mino</t>
  </si>
  <si>
    <t>hd125073</t>
  </si>
  <si>
    <t>ds9a</t>
  </si>
  <si>
    <t>le thi minh phuong</t>
  </si>
  <si>
    <t>hd125870</t>
  </si>
  <si>
    <t>169/15,</t>
  </si>
  <si>
    <t>ds11</t>
  </si>
  <si>
    <t>btan</t>
  </si>
  <si>
    <t>pham yen</t>
  </si>
  <si>
    <t>hd124648</t>
  </si>
  <si>
    <t>64b</t>
  </si>
  <si>
    <t>ds32</t>
  </si>
  <si>
    <t>hd125793</t>
  </si>
  <si>
    <t>khanh nhu</t>
  </si>
  <si>
    <t>hd125843</t>
  </si>
  <si>
    <t>688/23/1C</t>
  </si>
  <si>
    <t>huong lo 2</t>
  </si>
  <si>
    <t>coca coca</t>
  </si>
  <si>
    <t>hd125799</t>
  </si>
  <si>
    <t>730/129/3,</t>
  </si>
  <si>
    <t>coca</t>
  </si>
  <si>
    <t>hd125180</t>
  </si>
  <si>
    <t>532/3/93,</t>
  </si>
  <si>
    <t>kinh duong vuong</t>
  </si>
  <si>
    <t>luychanthida mao</t>
  </si>
  <si>
    <t>hd125409</t>
  </si>
  <si>
    <t>315/18/6,</t>
  </si>
  <si>
    <t>nguyen thi tu</t>
  </si>
  <si>
    <t>wei wei</t>
  </si>
  <si>
    <t>hd125506</t>
  </si>
  <si>
    <t>ten lua</t>
  </si>
  <si>
    <t>peo duong</t>
  </si>
  <si>
    <t>hd125262</t>
  </si>
  <si>
    <t>532/21/38,</t>
  </si>
  <si>
    <t>toa nha huy hung 2</t>
  </si>
  <si>
    <t>dang- kim lee</t>
  </si>
  <si>
    <t>hd125214</t>
  </si>
  <si>
    <t>3/44,</t>
  </si>
  <si>
    <t>ap nhi tan</t>
  </si>
  <si>
    <t>hocmon</t>
  </si>
  <si>
    <t>dung nguyen</t>
  </si>
  <si>
    <t>hd124899</t>
  </si>
  <si>
    <t>322/8,</t>
  </si>
  <si>
    <t>dao su tich</t>
  </si>
  <si>
    <t>nha be</t>
  </si>
  <si>
    <t>chi thuy</t>
  </si>
  <si>
    <t>hd125156</t>
  </si>
  <si>
    <t>sunrise</t>
  </si>
  <si>
    <t>tram nguyen</t>
  </si>
  <si>
    <t>hd125589</t>
  </si>
  <si>
    <t>sanh B1</t>
  </si>
  <si>
    <t>duong N3</t>
  </si>
  <si>
    <t>tphu</t>
  </si>
  <si>
    <t>đơn trả 3-2</t>
  </si>
  <si>
    <t>đơn cũ ck</t>
  </si>
  <si>
    <t>T2.2.2.2026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</si>
  <si>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</si>
  <si>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</si>
  <si>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</si>
  <si>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</si>
  <si>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</si>
  <si>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</si>
  <si>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</si>
  <si>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</si>
  <si>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</si>
  <si>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</si>
  <si>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phuong anh chu</t>
  </si>
  <si>
    <t>hd123917</t>
  </si>
  <si>
    <t>cc grand</t>
  </si>
  <si>
    <t>ben van don</t>
  </si>
  <si>
    <t>31-01-2026.</t>
  </si>
  <si>
    <t>kh ck 740</t>
  </si>
  <si>
    <t>alan</t>
  </si>
  <si>
    <t>hd120171</t>
  </si>
  <si>
    <t>163/11.</t>
  </si>
  <si>
    <t>vuon lai</t>
  </si>
  <si>
    <t>AT 26-1</t>
  </si>
  <si>
    <t>26-01-2026.</t>
  </si>
  <si>
    <t>kh ck 1010</t>
  </si>
  <si>
    <t>THU 3</t>
  </si>
  <si>
    <t>NGAY 3-2</t>
  </si>
  <si>
    <t>gem nguyen</t>
  </si>
  <si>
    <t>hd125926</t>
  </si>
  <si>
    <t>nguyen trai</t>
  </si>
  <si>
    <t>03-02-2026.</t>
  </si>
  <si>
    <t>yin</t>
  </si>
  <si>
    <t>hd126453</t>
  </si>
  <si>
    <t>35/51,</t>
  </si>
  <si>
    <t>tran dinh xu</t>
  </si>
  <si>
    <t>anh tho</t>
  </si>
  <si>
    <t>hd126477</t>
  </si>
  <si>
    <t>258/33,</t>
  </si>
  <si>
    <t>co loan</t>
  </si>
  <si>
    <t>hd126417</t>
  </si>
  <si>
    <t>46/1/12,</t>
  </si>
  <si>
    <t>vuon chuoi</t>
  </si>
  <si>
    <t>duyen huynh</t>
  </si>
  <si>
    <t>hd126496</t>
  </si>
  <si>
    <t>cc ton that thuyet</t>
  </si>
  <si>
    <t>phuong 1</t>
  </si>
  <si>
    <t>meng korng</t>
  </si>
  <si>
    <t>hd126359</t>
  </si>
  <si>
    <t>thao hoang</t>
  </si>
  <si>
    <t>hd126181</t>
  </si>
  <si>
    <t>159/19,</t>
  </si>
  <si>
    <t>thuy vy</t>
  </si>
  <si>
    <t>hd124961</t>
  </si>
  <si>
    <t>166/27,</t>
  </si>
  <si>
    <t>ho ba kien</t>
  </si>
  <si>
    <t>kim ni</t>
  </si>
  <si>
    <t>hd126075</t>
  </si>
  <si>
    <t>hoa hao</t>
  </si>
  <si>
    <t>nga tran</t>
  </si>
  <si>
    <t>hd126494</t>
  </si>
  <si>
    <t>tran nguyen dan</t>
  </si>
  <si>
    <t>yen yen</t>
  </si>
  <si>
    <t>hd126303</t>
  </si>
  <si>
    <t xml:space="preserve">nguyen dinh chieu </t>
  </si>
  <si>
    <t>khanh linh</t>
  </si>
  <si>
    <t>hd126033</t>
  </si>
  <si>
    <t>25/39,</t>
  </si>
  <si>
    <t>duong tram</t>
  </si>
  <si>
    <t>hd126490</t>
  </si>
  <si>
    <t>le hong nhu</t>
  </si>
  <si>
    <t>hd126187</t>
  </si>
  <si>
    <t>CUS24284</t>
  </si>
  <si>
    <t>hd124651</t>
  </si>
  <si>
    <t>le maika</t>
  </si>
  <si>
    <t>hd126262</t>
  </si>
  <si>
    <t>202/47/1,</t>
  </si>
  <si>
    <t>pham van hai</t>
  </si>
  <si>
    <t>sang tong</t>
  </si>
  <si>
    <t>hd126069</t>
  </si>
  <si>
    <t>36/15,</t>
  </si>
  <si>
    <t>hd126251</t>
  </si>
  <si>
    <t>r5</t>
  </si>
  <si>
    <t>cx phu lam A</t>
  </si>
  <si>
    <t>AT 3-2</t>
  </si>
  <si>
    <t>han nguyen</t>
  </si>
  <si>
    <t>hd125975</t>
  </si>
  <si>
    <t>633/28/19,</t>
  </si>
  <si>
    <t>hd125566</t>
  </si>
  <si>
    <t>nguyen ngoc anh</t>
  </si>
  <si>
    <t>hd126399</t>
  </si>
  <si>
    <t>cc q7</t>
  </si>
  <si>
    <t>dao tri</t>
  </si>
  <si>
    <t>hd126450</t>
  </si>
  <si>
    <t>the grand</t>
  </si>
  <si>
    <t>kh ck 405k</t>
  </si>
  <si>
    <t>phuong thao</t>
  </si>
  <si>
    <t>hd126418</t>
  </si>
  <si>
    <t>ds79</t>
  </si>
  <si>
    <t>an - hanh xuan</t>
  </si>
  <si>
    <t>hd126365</t>
  </si>
  <si>
    <t>the horizon</t>
  </si>
  <si>
    <t>tan phu</t>
  </si>
  <si>
    <t>vy mai</t>
  </si>
  <si>
    <t>hd125288</t>
  </si>
  <si>
    <t>543a</t>
  </si>
  <si>
    <t>tran xuan soan</t>
  </si>
  <si>
    <t>thien- may nguyen</t>
  </si>
  <si>
    <t>hd126357</t>
  </si>
  <si>
    <t>cc topaz</t>
  </si>
  <si>
    <t>cao lo</t>
  </si>
  <si>
    <t>hd125998</t>
  </si>
  <si>
    <t>tran</t>
  </si>
  <si>
    <t>hd125606</t>
  </si>
  <si>
    <t>2A/16,</t>
  </si>
  <si>
    <t>hung phu</t>
  </si>
  <si>
    <t>dung nhi</t>
  </si>
  <si>
    <t>hd126402</t>
  </si>
  <si>
    <t>761/8,</t>
  </si>
  <si>
    <t>kim xuyen</t>
  </si>
  <si>
    <t>hd126501</t>
  </si>
  <si>
    <t>ta quang buu</t>
  </si>
  <si>
    <t>au thi tuyen</t>
  </si>
  <si>
    <t>hd126157</t>
  </si>
  <si>
    <t>133/4,</t>
  </si>
  <si>
    <t>binh thoi</t>
  </si>
  <si>
    <t>kh ck 845</t>
  </si>
  <si>
    <t>huynh thi thu thao</t>
  </si>
  <si>
    <t>hd125624</t>
  </si>
  <si>
    <t>huynh thi hai</t>
  </si>
  <si>
    <t>hd126518</t>
  </si>
  <si>
    <t>dung vo</t>
  </si>
  <si>
    <t>hd126398</t>
  </si>
  <si>
    <t>ds18</t>
  </si>
  <si>
    <t>lua ly</t>
  </si>
  <si>
    <t>hd126034</t>
  </si>
  <si>
    <t>27/36/75/6,</t>
  </si>
  <si>
    <t>bui tu toan</t>
  </si>
  <si>
    <t>thaoyumi</t>
  </si>
  <si>
    <t>hd126288</t>
  </si>
  <si>
    <t>ds13</t>
  </si>
  <si>
    <t>lily- kuantuan</t>
  </si>
  <si>
    <t>hd125963</t>
  </si>
  <si>
    <t>nguyen diem</t>
  </si>
  <si>
    <t>hd126355</t>
  </si>
  <si>
    <t>cc ehome 3</t>
  </si>
  <si>
    <t>ho hoc lam</t>
  </si>
  <si>
    <t>nguyen thu thao</t>
  </si>
  <si>
    <t>hd126008</t>
  </si>
  <si>
    <t>A5/16q</t>
  </si>
  <si>
    <t>hd126263</t>
  </si>
  <si>
    <t>cc saigonsouth</t>
  </si>
  <si>
    <t>punlork</t>
  </si>
  <si>
    <t>xe phy phy</t>
  </si>
  <si>
    <t>doan tan</t>
  </si>
  <si>
    <t>hd126249</t>
  </si>
  <si>
    <t>27/5,</t>
  </si>
  <si>
    <t>do cong truong</t>
  </si>
  <si>
    <t>tran le tram anh</t>
  </si>
  <si>
    <t>hd125086</t>
  </si>
  <si>
    <t>179/13A</t>
  </si>
  <si>
    <t>hoa binh</t>
  </si>
  <si>
    <t>cmn86</t>
  </si>
  <si>
    <t>hd125664</t>
  </si>
  <si>
    <t>40/3,</t>
  </si>
  <si>
    <t>tan thanh</t>
  </si>
  <si>
    <t>hd126163</t>
  </si>
  <si>
    <t>vo thi ngoc giau</t>
  </si>
  <si>
    <t>hd126474</t>
  </si>
  <si>
    <t>dang bich ngoc</t>
  </si>
  <si>
    <t>hd126226</t>
  </si>
  <si>
    <t>estella</t>
  </si>
  <si>
    <t>song hanh</t>
  </si>
  <si>
    <t>phuong oanh phan</t>
  </si>
  <si>
    <t>hd125953</t>
  </si>
  <si>
    <t>82/1a</t>
  </si>
  <si>
    <t>nguyen xi</t>
  </si>
  <si>
    <t>hd126445</t>
  </si>
  <si>
    <t>nhi pham- linh phung</t>
  </si>
  <si>
    <t>hd126356</t>
  </si>
  <si>
    <t>843/16/6,</t>
  </si>
  <si>
    <t>thu- tracy trang</t>
  </si>
  <si>
    <t>hd126077</t>
  </si>
  <si>
    <t>bao tram</t>
  </si>
  <si>
    <t>hd125993</t>
  </si>
  <si>
    <t>phuc duyen</t>
  </si>
  <si>
    <t>hd126487</t>
  </si>
  <si>
    <t>61/25,</t>
  </si>
  <si>
    <t>yen nhi</t>
  </si>
  <si>
    <t>hd126257</t>
  </si>
  <si>
    <t>406/8,</t>
  </si>
  <si>
    <t>cong hoa</t>
  </si>
  <si>
    <t>ngoc ngoc</t>
  </si>
  <si>
    <t>hd126448</t>
  </si>
  <si>
    <t>chuong duong</t>
  </si>
  <si>
    <t>nguyen thi cam tu</t>
  </si>
  <si>
    <t>hd122610</t>
  </si>
  <si>
    <t>truong mam non loc an</t>
  </si>
  <si>
    <t>ds21</t>
  </si>
  <si>
    <t>pham thi bao tran</t>
  </si>
  <si>
    <t>hd126271</t>
  </si>
  <si>
    <t>hoai thanh</t>
  </si>
  <si>
    <t>hd126503</t>
  </si>
  <si>
    <t>108/10,</t>
  </si>
  <si>
    <t>ngo chi quoc</t>
  </si>
  <si>
    <t>kh ck 1000</t>
  </si>
  <si>
    <t>đơn trả 4-2</t>
  </si>
  <si>
    <t>T3.3.2.2026</t>
  </si>
  <si>
    <t>kh ck 2550</t>
  </si>
  <si>
    <t>đơn ck</t>
  </si>
  <si>
    <t>THU 4</t>
  </si>
  <si>
    <t>NGAY 4-2</t>
  </si>
  <si>
    <t>ngoc anh</t>
  </si>
  <si>
    <t>hd126458</t>
  </si>
  <si>
    <t>kbt ecoxuan</t>
  </si>
  <si>
    <t>duong N4</t>
  </si>
  <si>
    <t>04-02-2026.</t>
  </si>
  <si>
    <t>chi yen</t>
  </si>
  <si>
    <t>hd127175</t>
  </si>
  <si>
    <t>nhung nguyen</t>
  </si>
  <si>
    <t>hd126915</t>
  </si>
  <si>
    <t>13C</t>
  </si>
  <si>
    <t>anh nguyen</t>
  </si>
  <si>
    <t>hd127159</t>
  </si>
  <si>
    <t>nguyen cong tru</t>
  </si>
  <si>
    <t>mai dung- mai trinh</t>
  </si>
  <si>
    <t>hd127066</t>
  </si>
  <si>
    <t>cao thang</t>
  </si>
  <si>
    <t>nguyen thi minh thu</t>
  </si>
  <si>
    <t>hd126764</t>
  </si>
  <si>
    <t>le quoc hung</t>
  </si>
  <si>
    <t xml:space="preserve">thuy huynh </t>
  </si>
  <si>
    <t>hd127134</t>
  </si>
  <si>
    <t>88/30/5,</t>
  </si>
  <si>
    <t>nguyen khoai</t>
  </si>
  <si>
    <t>kami- dan khanh</t>
  </si>
  <si>
    <t>hd126745</t>
  </si>
  <si>
    <t>cc delasol</t>
  </si>
  <si>
    <t>ton that thuyet</t>
  </si>
  <si>
    <t>vvi eva</t>
  </si>
  <si>
    <t>tuyet tay</t>
  </si>
  <si>
    <t>hd126949</t>
  </si>
  <si>
    <t>ny</t>
  </si>
  <si>
    <t>hd126822</t>
  </si>
  <si>
    <t>anh thu nguyen</t>
  </si>
  <si>
    <t>hd126759</t>
  </si>
  <si>
    <t>my y</t>
  </si>
  <si>
    <t>hd127091</t>
  </si>
  <si>
    <t>hoang hoa tham</t>
  </si>
  <si>
    <t>thu thao</t>
  </si>
  <si>
    <t>hd126548</t>
  </si>
  <si>
    <t>le minh xuan</t>
  </si>
  <si>
    <t>hong nhi</t>
  </si>
  <si>
    <t>hd127071</t>
  </si>
  <si>
    <t>15A</t>
  </si>
  <si>
    <t>song da</t>
  </si>
  <si>
    <t>ngoc lam dang</t>
  </si>
  <si>
    <t>hd127064</t>
  </si>
  <si>
    <t>cang hkqty</t>
  </si>
  <si>
    <t>tan son nhat</t>
  </si>
  <si>
    <t>jully nguyen</t>
  </si>
  <si>
    <t>hd127148</t>
  </si>
  <si>
    <t>tran van quang</t>
  </si>
  <si>
    <t>thi pham</t>
  </si>
  <si>
    <t>hd127074</t>
  </si>
  <si>
    <t>trung lang</t>
  </si>
  <si>
    <t>nuong tran</t>
  </si>
  <si>
    <t>hd126678</t>
  </si>
  <si>
    <t>chi nhu- bich tien</t>
  </si>
  <si>
    <t>hd127120</t>
  </si>
  <si>
    <t>hau giang</t>
  </si>
  <si>
    <t>AT 4-2</t>
  </si>
  <si>
    <t>thy ( xa li)</t>
  </si>
  <si>
    <t>hd127173</t>
  </si>
  <si>
    <t>cc saigon</t>
  </si>
  <si>
    <t>yen may</t>
  </si>
  <si>
    <t>hd127095</t>
  </si>
  <si>
    <t>101/22,</t>
  </si>
  <si>
    <t>tan hoa</t>
  </si>
  <si>
    <t>nguyen hoang duy khoi</t>
  </si>
  <si>
    <t>hd126525</t>
  </si>
  <si>
    <t>phung mai linh</t>
  </si>
  <si>
    <t>hd126760</t>
  </si>
  <si>
    <t>my thanh</t>
  </si>
  <si>
    <t>hd126981</t>
  </si>
  <si>
    <t>diem phuc</t>
  </si>
  <si>
    <t>hd126964</t>
  </si>
  <si>
    <t>314/138</t>
  </si>
  <si>
    <t>thuy van</t>
  </si>
  <si>
    <t>hd126957</t>
  </si>
  <si>
    <t>1438h</t>
  </si>
  <si>
    <t>pham ngoc</t>
  </si>
  <si>
    <t>hd126455</t>
  </si>
  <si>
    <t>hong tham</t>
  </si>
  <si>
    <t>hd127124</t>
  </si>
  <si>
    <t>395/9G</t>
  </si>
  <si>
    <t>minh phung</t>
  </si>
  <si>
    <t>mino- hoa kim ty</t>
  </si>
  <si>
    <t>hd127133</t>
  </si>
  <si>
    <t>thy phan</t>
  </si>
  <si>
    <t>hd126267</t>
  </si>
  <si>
    <t>9A</t>
  </si>
  <si>
    <t>kdc trung son</t>
  </si>
  <si>
    <t>hd126756</t>
  </si>
  <si>
    <t>bella nguyen</t>
  </si>
  <si>
    <t>hd127097</t>
  </si>
  <si>
    <t>10/23,</t>
  </si>
  <si>
    <t>chien luoc</t>
  </si>
  <si>
    <t>lan anh</t>
  </si>
  <si>
    <t>hd127168</t>
  </si>
  <si>
    <t>nguyen ngoc duyen</t>
  </si>
  <si>
    <t>hd126624</t>
  </si>
  <si>
    <t>hanh tran</t>
  </si>
  <si>
    <t>hd126773</t>
  </si>
  <si>
    <t>cc tecc</t>
  </si>
  <si>
    <t>nguyen cuu phu</t>
  </si>
  <si>
    <t>etv to shinny cloudy</t>
  </si>
  <si>
    <t>hd126938</t>
  </si>
  <si>
    <t>tu phan</t>
  </si>
  <si>
    <t>hd126758</t>
  </si>
  <si>
    <t>cc emerlad</t>
  </si>
  <si>
    <t>julie mai</t>
  </si>
  <si>
    <t>hd126878</t>
  </si>
  <si>
    <t>221/25,</t>
  </si>
  <si>
    <t>hd126961</t>
  </si>
  <si>
    <t>dao kim cuong</t>
  </si>
  <si>
    <t>binh trung tay</t>
  </si>
  <si>
    <t>hd127119</t>
  </si>
  <si>
    <t>tuyet suong</t>
  </si>
  <si>
    <t>hd126535</t>
  </si>
  <si>
    <t>cc feliz</t>
  </si>
  <si>
    <t>le hien mai</t>
  </si>
  <si>
    <t>nuong huynh</t>
  </si>
  <si>
    <t>hd127167</t>
  </si>
  <si>
    <t>vick nguyen</t>
  </si>
  <si>
    <t>hd127140</t>
  </si>
  <si>
    <t>truong thi minh</t>
  </si>
  <si>
    <t>hd126686</t>
  </si>
  <si>
    <t>nguyen duy trinh</t>
  </si>
  <si>
    <t>loan huynh</t>
  </si>
  <si>
    <t>hd127128</t>
  </si>
  <si>
    <t>74/14,</t>
  </si>
  <si>
    <t>thy anh</t>
  </si>
  <si>
    <t>hd126396</t>
  </si>
  <si>
    <t>nguyen huu canh</t>
  </si>
  <si>
    <t>thu hong</t>
  </si>
  <si>
    <t>hd127114</t>
  </si>
  <si>
    <t>117/17,</t>
  </si>
  <si>
    <t>ngoc lan</t>
  </si>
  <si>
    <t>hd126358</t>
  </si>
  <si>
    <t>phan chu trinh</t>
  </si>
  <si>
    <t>minh nguyet</t>
  </si>
  <si>
    <t>hd126509</t>
  </si>
  <si>
    <t>park 5</t>
  </si>
  <si>
    <t>thuy ngok</t>
  </si>
  <si>
    <t>hd126671</t>
  </si>
  <si>
    <t>643/24/7,</t>
  </si>
  <si>
    <t>kh ck 1840</t>
  </si>
  <si>
    <t>duyen nguyen</t>
  </si>
  <si>
    <t>hd126530</t>
  </si>
  <si>
    <t>1244/64/7,</t>
  </si>
  <si>
    <t>le đuc tho</t>
  </si>
  <si>
    <t>hd127136</t>
  </si>
  <si>
    <t>nhu y nguyen</t>
  </si>
  <si>
    <t>hd126589</t>
  </si>
  <si>
    <t>nguyen van cong</t>
  </si>
  <si>
    <t>thuy duong</t>
  </si>
  <si>
    <t>hd126517</t>
  </si>
  <si>
    <t>pham huy thong</t>
  </si>
  <si>
    <t>nhung gumiho</t>
  </si>
  <si>
    <t>hd126579</t>
  </si>
  <si>
    <t>497/28,</t>
  </si>
  <si>
    <t>nguyen nu</t>
  </si>
  <si>
    <t>hd126750</t>
  </si>
  <si>
    <t>688/113/7,</t>
  </si>
  <si>
    <t>hoa thanh</t>
  </si>
  <si>
    <t>hd126536</t>
  </si>
  <si>
    <t>truc nguyen</t>
  </si>
  <si>
    <t>hd127005</t>
  </si>
  <si>
    <t>hd127032</t>
  </si>
  <si>
    <t>hd126875</t>
  </si>
  <si>
    <t>cc flora</t>
  </si>
  <si>
    <t>pham van dong</t>
  </si>
  <si>
    <t>lee linh</t>
  </si>
  <si>
    <t>397/5/7,</t>
  </si>
  <si>
    <t>do xuan hop</t>
  </si>
  <si>
    <t>ngan</t>
  </si>
  <si>
    <t>hd126924</t>
  </si>
  <si>
    <t>230/3/8,</t>
  </si>
  <si>
    <t>man thien</t>
  </si>
  <si>
    <t>thuy nguyen</t>
  </si>
  <si>
    <t>hd126987</t>
  </si>
  <si>
    <t>cc hausenco</t>
  </si>
  <si>
    <t>phu huu</t>
  </si>
  <si>
    <t>đơn trả 5-2</t>
  </si>
  <si>
    <t>T4.4.2.2026</t>
  </si>
  <si>
    <t>THU 5</t>
  </si>
  <si>
    <t>NGAY 5-2</t>
  </si>
  <si>
    <t>duong thuy</t>
  </si>
  <si>
    <t>hd127575</t>
  </si>
  <si>
    <t>bui thi xuan</t>
  </si>
  <si>
    <t>05-02-2026.</t>
  </si>
  <si>
    <t>le thi thuy hang</t>
  </si>
  <si>
    <t>hd127346</t>
  </si>
  <si>
    <t>dang thi nhu</t>
  </si>
  <si>
    <t>le tuyen</t>
  </si>
  <si>
    <t>xe tra lan vien</t>
  </si>
  <si>
    <t>khanh hoa</t>
  </si>
  <si>
    <t>oanh ngoc</t>
  </si>
  <si>
    <t>hd127482</t>
  </si>
  <si>
    <t>143/9,</t>
  </si>
  <si>
    <t>le thi rieng</t>
  </si>
  <si>
    <t>kate nguyen</t>
  </si>
  <si>
    <t>hd127526</t>
  </si>
  <si>
    <t>mac dinh chi</t>
  </si>
  <si>
    <t>van nguyen</t>
  </si>
  <si>
    <t>hd127314</t>
  </si>
  <si>
    <t>116f</t>
  </si>
  <si>
    <t>nguyen dinh chieu</t>
  </si>
  <si>
    <t>hd127624</t>
  </si>
  <si>
    <t>ngoc linh</t>
  </si>
  <si>
    <t>hd127296</t>
  </si>
  <si>
    <t>47/6,</t>
  </si>
  <si>
    <t>pham ngoc thach</t>
  </si>
  <si>
    <t>kim thanh</t>
  </si>
  <si>
    <t>hd127504</t>
  </si>
  <si>
    <t>108/69A</t>
  </si>
  <si>
    <t>thuy tien</t>
  </si>
  <si>
    <t>hd127340</t>
  </si>
  <si>
    <t>lo m2</t>
  </si>
  <si>
    <t>vo nguyen</t>
  </si>
  <si>
    <t>hd127523</t>
  </si>
  <si>
    <t>78/26,</t>
  </si>
  <si>
    <t>khanh hoi</t>
  </si>
  <si>
    <t>cindy pham</t>
  </si>
  <si>
    <t>hd127361</t>
  </si>
  <si>
    <t>bach van</t>
  </si>
  <si>
    <t>phan khanh ninh</t>
  </si>
  <si>
    <t>hd127293</t>
  </si>
  <si>
    <t>campuchia</t>
  </si>
  <si>
    <t>bee ty</t>
  </si>
  <si>
    <t>hd127773</t>
  </si>
  <si>
    <t>boramey</t>
  </si>
  <si>
    <t>hd127712</t>
  </si>
  <si>
    <t>hd127394</t>
  </si>
  <si>
    <t>nguyen dai trang</t>
  </si>
  <si>
    <t>hd127826</t>
  </si>
  <si>
    <t>93/5,</t>
  </si>
  <si>
    <t>sun ny</t>
  </si>
  <si>
    <t>hd127387</t>
  </si>
  <si>
    <t>108/3,</t>
  </si>
  <si>
    <t>dao duy anh</t>
  </si>
  <si>
    <t>nguyen kim ngan</t>
  </si>
  <si>
    <t>hd127823</t>
  </si>
  <si>
    <t>nguyen van troi</t>
  </si>
  <si>
    <t>a75/6B/2,</t>
  </si>
  <si>
    <t>hd127598</t>
  </si>
  <si>
    <t>lam son</t>
  </si>
  <si>
    <t>cus17800</t>
  </si>
  <si>
    <t>hd127528</t>
  </si>
  <si>
    <t>ly thuong kie</t>
  </si>
  <si>
    <t>tram- the hy</t>
  </si>
  <si>
    <t>hd123895</t>
  </si>
  <si>
    <t>cty the long</t>
  </si>
  <si>
    <t>quach van tuan</t>
  </si>
  <si>
    <t>su anh</t>
  </si>
  <si>
    <t>22/40,</t>
  </si>
  <si>
    <t>nguyen nhu quynh</t>
  </si>
  <si>
    <t>hd127459</t>
  </si>
  <si>
    <t>AT 5-2</t>
  </si>
  <si>
    <t>ly han thanh nguyen thi mong</t>
  </si>
  <si>
    <t>hd127417</t>
  </si>
  <si>
    <t>85/6,</t>
  </si>
  <si>
    <t>binh tay</t>
  </si>
  <si>
    <t>ly thanh tam</t>
  </si>
  <si>
    <t>hd127441</t>
  </si>
  <si>
    <t>S1/12</t>
  </si>
  <si>
    <t>han vu</t>
  </si>
  <si>
    <t>hd127777</t>
  </si>
  <si>
    <t>424/78/7,</t>
  </si>
  <si>
    <t>nga phan</t>
  </si>
  <si>
    <t>hd127520</t>
  </si>
  <si>
    <t>tam truong</t>
  </si>
  <si>
    <t>hd127478</t>
  </si>
  <si>
    <t>the antonia</t>
  </si>
  <si>
    <t>hd127442</t>
  </si>
  <si>
    <t>tan trao</t>
  </si>
  <si>
    <t>ruby ngoc</t>
  </si>
  <si>
    <t>hd127564</t>
  </si>
  <si>
    <t>hd127641</t>
  </si>
  <si>
    <t>kathy tran</t>
  </si>
  <si>
    <t>hd121137</t>
  </si>
  <si>
    <t>25F</t>
  </si>
  <si>
    <t>w3164</t>
  </si>
  <si>
    <t>hd127182</t>
  </si>
  <si>
    <t>huyen- bong tra</t>
  </si>
  <si>
    <t>hd127717</t>
  </si>
  <si>
    <t>ngo ngoc</t>
  </si>
  <si>
    <t>hd081740</t>
  </si>
  <si>
    <t>A9/16B4</t>
  </si>
  <si>
    <t>bong van dia</t>
  </si>
  <si>
    <t>hang nguyen- bella nguyen</t>
  </si>
  <si>
    <t>hd127608</t>
  </si>
  <si>
    <t>mai phuong</t>
  </si>
  <si>
    <t>hd127384</t>
  </si>
  <si>
    <t>33/16,</t>
  </si>
  <si>
    <t>ds4</t>
  </si>
  <si>
    <t>an- trang dang</t>
  </si>
  <si>
    <t>hd127455</t>
  </si>
  <si>
    <t>29/11,</t>
  </si>
  <si>
    <t>ds5e</t>
  </si>
  <si>
    <t>phuong chau nguyen</t>
  </si>
  <si>
    <t>hd127280</t>
  </si>
  <si>
    <t>298/8,</t>
  </si>
  <si>
    <t>le van quoi</t>
  </si>
  <si>
    <t>hd127353</t>
  </si>
  <si>
    <t>le vna quoi</t>
  </si>
  <si>
    <t>hanh pham</t>
  </si>
  <si>
    <t>hd127381</t>
  </si>
  <si>
    <t>tinh lo 10</t>
  </si>
  <si>
    <t>kh ck 820</t>
  </si>
  <si>
    <t>nhung hm</t>
  </si>
  <si>
    <t>8/1,</t>
  </si>
  <si>
    <t>nguyen anh thu</t>
  </si>
  <si>
    <t>thanh hang</t>
  </si>
  <si>
    <t>605A</t>
  </si>
  <si>
    <t>au co</t>
  </si>
  <si>
    <t>phuong pham</t>
  </si>
  <si>
    <t>hd127283</t>
  </si>
  <si>
    <t>107/52,</t>
  </si>
  <si>
    <t>ni su huynh lien</t>
  </si>
  <si>
    <t>hd127294</t>
  </si>
  <si>
    <t>hd127318</t>
  </si>
  <si>
    <t>may ngoc nguyen</t>
  </si>
  <si>
    <t>hd127832</t>
  </si>
  <si>
    <t>lo J nha D</t>
  </si>
  <si>
    <t>cc binh khanh</t>
  </si>
  <si>
    <t>vu tuong vy</t>
  </si>
  <si>
    <t>hd127837</t>
  </si>
  <si>
    <t>the vista</t>
  </si>
  <si>
    <t>vo nguyen giap</t>
  </si>
  <si>
    <t>thu phung</t>
  </si>
  <si>
    <t>hd127690</t>
  </si>
  <si>
    <t>toa west</t>
  </si>
  <si>
    <t>vo truong toan</t>
  </si>
  <si>
    <t>hisu suong</t>
  </si>
  <si>
    <t>hd127615</t>
  </si>
  <si>
    <t>157/28,</t>
  </si>
  <si>
    <t>nguyen gia tri</t>
  </si>
  <si>
    <t>thy thy</t>
  </si>
  <si>
    <t>hd127637</t>
  </si>
  <si>
    <t>36/32/15,</t>
  </si>
  <si>
    <t>hd127774</t>
  </si>
  <si>
    <t>hd127391</t>
  </si>
  <si>
    <t>117/26,</t>
  </si>
  <si>
    <t>nhu yen</t>
  </si>
  <si>
    <t>hd127409</t>
  </si>
  <si>
    <t>central 2</t>
  </si>
  <si>
    <t>phuong le</t>
  </si>
  <si>
    <t>hd127548</t>
  </si>
  <si>
    <t>saphire 1</t>
  </si>
  <si>
    <t>sai gon pearl</t>
  </si>
  <si>
    <t>thuy tran</t>
  </si>
  <si>
    <t>hd127782</t>
  </si>
  <si>
    <t>110/55/4,</t>
  </si>
  <si>
    <t>ds30</t>
  </si>
  <si>
    <t>phuong mai</t>
  </si>
  <si>
    <t>hd127400</t>
  </si>
  <si>
    <t>433/11/2,</t>
  </si>
  <si>
    <t>le duc tho</t>
  </si>
  <si>
    <t>tuan bin</t>
  </si>
  <si>
    <t>hd127732</t>
  </si>
  <si>
    <t>50/24,</t>
  </si>
  <si>
    <t>le thi hong</t>
  </si>
  <si>
    <t>thanh kim</t>
  </si>
  <si>
    <t>hd127546</t>
  </si>
  <si>
    <t>35/14/16,</t>
  </si>
  <si>
    <t>nguyen tu gian</t>
  </si>
  <si>
    <t>chan</t>
  </si>
  <si>
    <t>hd127212</t>
  </si>
  <si>
    <t>656/54,</t>
  </si>
  <si>
    <t>lan pham</t>
  </si>
  <si>
    <t>hd127416</t>
  </si>
  <si>
    <t>52/6,</t>
  </si>
  <si>
    <t>nguyen sy sach</t>
  </si>
  <si>
    <t>truc le</t>
  </si>
  <si>
    <t>hd127342</t>
  </si>
  <si>
    <t>ds2</t>
  </si>
  <si>
    <t>lotus pham</t>
  </si>
  <si>
    <t>hd127301</t>
  </si>
  <si>
    <t>ngoc quyen</t>
  </si>
  <si>
    <t>hd127836</t>
  </si>
  <si>
    <t>625/18,</t>
  </si>
  <si>
    <t>đơn trả 6-2</t>
  </si>
  <si>
    <t>đơn trả tối 5-2</t>
  </si>
  <si>
    <t>T5.5.2.2026</t>
  </si>
  <si>
    <t>kh ck 810</t>
  </si>
  <si>
    <t>THU 6</t>
  </si>
  <si>
    <t>NGAY 6-2</t>
  </si>
  <si>
    <t>hd127792</t>
  </si>
  <si>
    <t>06-02-2026.</t>
  </si>
  <si>
    <t>may nguyen</t>
  </si>
  <si>
    <t>hd127888</t>
  </si>
  <si>
    <t>mui mui</t>
  </si>
  <si>
    <t>hd128016</t>
  </si>
  <si>
    <t>214b/8,</t>
  </si>
  <si>
    <t>linh- nguyen anna</t>
  </si>
  <si>
    <t>hd127851</t>
  </si>
  <si>
    <t>12bis</t>
  </si>
  <si>
    <t>phan ke binh</t>
  </si>
  <si>
    <t>det</t>
  </si>
  <si>
    <t>hd128034</t>
  </si>
  <si>
    <t>lấy hàng về cho shop</t>
  </si>
  <si>
    <t>hd128035</t>
  </si>
  <si>
    <t>tan da</t>
  </si>
  <si>
    <t>chi thi</t>
  </si>
  <si>
    <t>hd127861</t>
  </si>
  <si>
    <t>tan hang</t>
  </si>
  <si>
    <t>thai tram</t>
  </si>
  <si>
    <t>hd128125</t>
  </si>
  <si>
    <t>7A/46,</t>
  </si>
  <si>
    <t>my xuyen</t>
  </si>
  <si>
    <t>hd128192</t>
  </si>
  <si>
    <t>183/37,</t>
  </si>
  <si>
    <t>duong 3/2</t>
  </si>
  <si>
    <t>gold</t>
  </si>
  <si>
    <t>hd127908</t>
  </si>
  <si>
    <t>80/20,</t>
  </si>
  <si>
    <t>dang van ngu</t>
  </si>
  <si>
    <t>nhi</t>
  </si>
  <si>
    <t>hd127931</t>
  </si>
  <si>
    <t>orhchard</t>
  </si>
  <si>
    <t>hong ha</t>
  </si>
  <si>
    <t>vevey</t>
  </si>
  <si>
    <t>B12</t>
  </si>
  <si>
    <t>yuri what</t>
  </si>
  <si>
    <t>2/13,</t>
  </si>
  <si>
    <t>nguyen bac</t>
  </si>
  <si>
    <t>viet trinh</t>
  </si>
  <si>
    <t>hd128389</t>
  </si>
  <si>
    <t>nguyen trong loi</t>
  </si>
  <si>
    <t>hao</t>
  </si>
  <si>
    <t>hd127863</t>
  </si>
  <si>
    <t>AT 6-2</t>
  </si>
  <si>
    <t>trang nhung</t>
  </si>
  <si>
    <t>hd128293</t>
  </si>
  <si>
    <t>cc eco</t>
  </si>
  <si>
    <t>block C</t>
  </si>
  <si>
    <t>kh ck 795</t>
  </si>
  <si>
    <t>mie mie</t>
  </si>
  <si>
    <t>hd128117</t>
  </si>
  <si>
    <t>hd127665</t>
  </si>
  <si>
    <t>cc antonia</t>
  </si>
  <si>
    <t>sun na</t>
  </si>
  <si>
    <t>hd128390</t>
  </si>
  <si>
    <t>cc cardinal</t>
  </si>
  <si>
    <t>toa b</t>
  </si>
  <si>
    <t>tien tien</t>
  </si>
  <si>
    <t>hd127983</t>
  </si>
  <si>
    <t>anh lee</t>
  </si>
  <si>
    <t>hd128383</t>
  </si>
  <si>
    <t>ba dinh</t>
  </si>
  <si>
    <t>hd127954</t>
  </si>
  <si>
    <t>tran kha nhi</t>
  </si>
  <si>
    <t>hd128379</t>
  </si>
  <si>
    <t>288/30,</t>
  </si>
  <si>
    <t>duong ba trac</t>
  </si>
  <si>
    <t>man nghi</t>
  </si>
  <si>
    <t>hd128372</t>
  </si>
  <si>
    <t>ds7a</t>
  </si>
  <si>
    <t>tu trinh</t>
  </si>
  <si>
    <t>hd127562</t>
  </si>
  <si>
    <t>le thi bach cat</t>
  </si>
  <si>
    <t>a nhan- vo ngoc tram</t>
  </si>
  <si>
    <t>hd128342</t>
  </si>
  <si>
    <t>hd128155</t>
  </si>
  <si>
    <t>18a</t>
  </si>
  <si>
    <t>tan thoi nhat</t>
  </si>
  <si>
    <t>hd128050</t>
  </si>
  <si>
    <t>gucci</t>
  </si>
  <si>
    <t>hd127722</t>
  </si>
  <si>
    <t>2/11,</t>
  </si>
  <si>
    <t>thien phuoc</t>
  </si>
  <si>
    <t>quyn nguyen</t>
  </si>
  <si>
    <t>hd128126</t>
  </si>
  <si>
    <t>cc emerald</t>
  </si>
  <si>
    <t>sandy nguyen</t>
  </si>
  <si>
    <t>hd127976</t>
  </si>
  <si>
    <t>cong 2</t>
  </si>
  <si>
    <t>bo bao tan thang</t>
  </si>
  <si>
    <t>kieu oann</t>
  </si>
  <si>
    <t>hd127917</t>
  </si>
  <si>
    <t>cc dai thanh</t>
  </si>
  <si>
    <t>trinh dinh trong</t>
  </si>
  <si>
    <t>anh duong</t>
  </si>
  <si>
    <t>hd128282</t>
  </si>
  <si>
    <t>lo D</t>
  </si>
  <si>
    <t>cc R7</t>
  </si>
  <si>
    <t>anh nguyet</t>
  </si>
  <si>
    <t>hd128115</t>
  </si>
  <si>
    <t>598/70,</t>
  </si>
  <si>
    <t>lan quynh</t>
  </si>
  <si>
    <t>hd128391</t>
  </si>
  <si>
    <t>nguyen cuu van</t>
  </si>
  <si>
    <t>ha pham</t>
  </si>
  <si>
    <t>hd128169</t>
  </si>
  <si>
    <t>132/63,</t>
  </si>
  <si>
    <t>men hm</t>
  </si>
  <si>
    <t>hd128289</t>
  </si>
  <si>
    <t>landmakr 2</t>
  </si>
  <si>
    <t>linh pham</t>
  </si>
  <si>
    <t>hd128388</t>
  </si>
  <si>
    <t>vu huy tan</t>
  </si>
  <si>
    <t>hoang quyen</t>
  </si>
  <si>
    <t>hd127919</t>
  </si>
  <si>
    <t>212/7,</t>
  </si>
  <si>
    <t>dan phuong</t>
  </si>
  <si>
    <t>hd128272</t>
  </si>
  <si>
    <t>35/2,</t>
  </si>
  <si>
    <t>đổi hàng, shop chiu ship</t>
  </si>
  <si>
    <t>kieuu diem</t>
  </si>
  <si>
    <t>hd127982</t>
  </si>
  <si>
    <t>1D</t>
  </si>
  <si>
    <t>nguyen hoang diem le</t>
  </si>
  <si>
    <t>hd127973</t>
  </si>
  <si>
    <t>8b</t>
  </si>
  <si>
    <t>ds7</t>
  </si>
  <si>
    <t>my luong nguyen</t>
  </si>
  <si>
    <t>hd128023</t>
  </si>
  <si>
    <t>85/4b</t>
  </si>
  <si>
    <t>tran thi dieu</t>
  </si>
  <si>
    <t>ĐƠN TRẢ 7-2</t>
  </si>
  <si>
    <t>T6.6.2.2026</t>
  </si>
  <si>
    <t>ĐƠN CK</t>
  </si>
  <si>
    <t>THU 7</t>
  </si>
  <si>
    <t>NGAY 7-2</t>
  </si>
  <si>
    <t>to uyen</t>
  </si>
  <si>
    <t>hd129004</t>
  </si>
  <si>
    <t>56/1/11,</t>
  </si>
  <si>
    <t>van chung</t>
  </si>
  <si>
    <t>07-02-2026.</t>
  </si>
  <si>
    <t>shop báo trả</t>
  </si>
  <si>
    <t>oc tieu</t>
  </si>
  <si>
    <t>hd128424</t>
  </si>
  <si>
    <t>cong truong me linh</t>
  </si>
  <si>
    <t>diem my</t>
  </si>
  <si>
    <t>hd128443</t>
  </si>
  <si>
    <t>nguyen anna</t>
  </si>
  <si>
    <t>hd129044</t>
  </si>
  <si>
    <t>thanh- le rum</t>
  </si>
  <si>
    <t>hd128978</t>
  </si>
  <si>
    <t>suong nguyet anh</t>
  </si>
  <si>
    <t>ly nguyen</t>
  </si>
  <si>
    <t>hd128514</t>
  </si>
  <si>
    <t>6A</t>
  </si>
  <si>
    <t>thi sach</t>
  </si>
  <si>
    <t>kim thuong</t>
  </si>
  <si>
    <t>hd128813</t>
  </si>
  <si>
    <t>212a</t>
  </si>
  <si>
    <t>tran hung dao</t>
  </si>
  <si>
    <t>pham le</t>
  </si>
  <si>
    <t>hd128928</t>
  </si>
  <si>
    <t>vo van kiet</t>
  </si>
  <si>
    <t>ro en ben</t>
  </si>
  <si>
    <t>hd128740</t>
  </si>
  <si>
    <t>le quy don</t>
  </si>
  <si>
    <t>trang thuy</t>
  </si>
  <si>
    <t>hd129017</t>
  </si>
  <si>
    <t>225/11,</t>
  </si>
  <si>
    <t>kh ck 370</t>
  </si>
  <si>
    <t>nguyen nhi</t>
  </si>
  <si>
    <t>hd128632</t>
  </si>
  <si>
    <t>16/18/5,</t>
  </si>
  <si>
    <t>nguyen thien thuat</t>
  </si>
  <si>
    <t>co mieu lien</t>
  </si>
  <si>
    <t>hd120154</t>
  </si>
  <si>
    <t>77b</t>
  </si>
  <si>
    <t>an binh</t>
  </si>
  <si>
    <t>chi oanh</t>
  </si>
  <si>
    <t>hd128465</t>
  </si>
  <si>
    <t>thao ngan</t>
  </si>
  <si>
    <t>hd128455</t>
  </si>
  <si>
    <t>44/139,</t>
  </si>
  <si>
    <t>tran binh trong</t>
  </si>
  <si>
    <t>yen nhii</t>
  </si>
  <si>
    <t>hd128516</t>
  </si>
  <si>
    <t>15b</t>
  </si>
  <si>
    <t>tran phu</t>
  </si>
  <si>
    <t>hoai trang</t>
  </si>
  <si>
    <t>hd128896</t>
  </si>
  <si>
    <t>iris 3</t>
  </si>
  <si>
    <t>yen le phuong</t>
  </si>
  <si>
    <t>hd129021</t>
  </si>
  <si>
    <t>283/1,</t>
  </si>
  <si>
    <t>cmt8</t>
  </si>
  <si>
    <t>kim han</t>
  </si>
  <si>
    <t>hd128895</t>
  </si>
  <si>
    <t>truong nguyen chi thanh</t>
  </si>
  <si>
    <t>nguyen chi thnah</t>
  </si>
  <si>
    <t>gemini phuong</t>
  </si>
  <si>
    <t>hd128489</t>
  </si>
  <si>
    <t>273/74,</t>
  </si>
  <si>
    <t>phan thi hoai</t>
  </si>
  <si>
    <t>hd128478</t>
  </si>
  <si>
    <t>25A</t>
  </si>
  <si>
    <t>nguyen thi huynh</t>
  </si>
  <si>
    <t>hoan kim</t>
  </si>
  <si>
    <t>hd128533</t>
  </si>
  <si>
    <t>1036/20/4,</t>
  </si>
  <si>
    <t>thanh thao</t>
  </si>
  <si>
    <t>hd128583</t>
  </si>
  <si>
    <t>chau vinh te</t>
  </si>
  <si>
    <t>hd128430</t>
  </si>
  <si>
    <t>huyen</t>
  </si>
  <si>
    <t>hd128605</t>
  </si>
  <si>
    <t>macle nguyen</t>
  </si>
  <si>
    <t>hd128843</t>
  </si>
  <si>
    <t>tuyen nguyen</t>
  </si>
  <si>
    <t>hd128611</t>
  </si>
  <si>
    <t>55/107A/63</t>
  </si>
  <si>
    <t>thanh my</t>
  </si>
  <si>
    <t>truc linh</t>
  </si>
  <si>
    <t>hd128411</t>
  </si>
  <si>
    <t>AT 7-2</t>
  </si>
  <si>
    <t>hd128990</t>
  </si>
  <si>
    <t>hd129041</t>
  </si>
  <si>
    <t>240/37/7,</t>
  </si>
  <si>
    <t>vo thuy an</t>
  </si>
  <si>
    <t>hd128460</t>
  </si>
  <si>
    <t>sky garden 2</t>
  </si>
  <si>
    <t>block 5a</t>
  </si>
  <si>
    <t>nhi nhi</t>
  </si>
  <si>
    <t>hd128535</t>
  </si>
  <si>
    <t>cc sunrise</t>
  </si>
  <si>
    <t>block b</t>
  </si>
  <si>
    <t>le yen nhu</t>
  </si>
  <si>
    <t>hd128613</t>
  </si>
  <si>
    <t>cc riverpark</t>
  </si>
  <si>
    <t>dang duc thuat</t>
  </si>
  <si>
    <t>le yen thu</t>
  </si>
  <si>
    <t>hd128920</t>
  </si>
  <si>
    <t>heng tham</t>
  </si>
  <si>
    <t>hd128823</t>
  </si>
  <si>
    <t>90b</t>
  </si>
  <si>
    <t>quynh nhu</t>
  </si>
  <si>
    <t>hd128624</t>
  </si>
  <si>
    <t>nguyen yen nhi</t>
  </si>
  <si>
    <t>hd128506</t>
  </si>
  <si>
    <t>my tran</t>
  </si>
  <si>
    <t>hd128053</t>
  </si>
  <si>
    <t>tran van khanh</t>
  </si>
  <si>
    <t>nhu nhu</t>
  </si>
  <si>
    <t>hd128984</t>
  </si>
  <si>
    <t>66A</t>
  </si>
  <si>
    <t>an duong vuong</t>
  </si>
  <si>
    <t>hd129046</t>
  </si>
  <si>
    <t>pham nhu y</t>
  </si>
  <si>
    <t>hd128754</t>
  </si>
  <si>
    <t>duong F</t>
  </si>
  <si>
    <t>ton thi thao nguyen</t>
  </si>
  <si>
    <t>hd128881</t>
  </si>
  <si>
    <t>49C</t>
  </si>
  <si>
    <t>le quang kim</t>
  </si>
  <si>
    <t>kim hang</t>
  </si>
  <si>
    <t>hd128958</t>
  </si>
  <si>
    <t>451/40,</t>
  </si>
  <si>
    <t>trangg phan</t>
  </si>
  <si>
    <t>hd128447</t>
  </si>
  <si>
    <t>lanh binh thang</t>
  </si>
  <si>
    <t xml:space="preserve">co 10 </t>
  </si>
  <si>
    <t>hd128554</t>
  </si>
  <si>
    <t>351/137,</t>
  </si>
  <si>
    <t>le dai hanh</t>
  </si>
  <si>
    <t>thao ly nguyen</t>
  </si>
  <si>
    <t>hd128414</t>
  </si>
  <si>
    <t>35/4,</t>
  </si>
  <si>
    <t>hd128998</t>
  </si>
  <si>
    <t>my linh</t>
  </si>
  <si>
    <t>hd129086</t>
  </si>
  <si>
    <t>A33/27L</t>
  </si>
  <si>
    <t>binh hung</t>
  </si>
  <si>
    <t>hd128839</t>
  </si>
  <si>
    <t>C4/20kd4</t>
  </si>
  <si>
    <t>pham hung</t>
  </si>
  <si>
    <t>linh thao</t>
  </si>
  <si>
    <t>hd126245</t>
  </si>
  <si>
    <t>10/7,</t>
  </si>
  <si>
    <t>ruby eyelash</t>
  </si>
  <si>
    <t>hd128630</t>
  </si>
  <si>
    <t>rubi phan</t>
  </si>
  <si>
    <t>hd128573</t>
  </si>
  <si>
    <t>ds3</t>
  </si>
  <si>
    <t>na na phan</t>
  </si>
  <si>
    <t>hd128874</t>
  </si>
  <si>
    <t>huong nguyen</t>
  </si>
  <si>
    <t>hd128512</t>
  </si>
  <si>
    <t>182/9/5,</t>
  </si>
  <si>
    <t>duong 26/3,</t>
  </si>
  <si>
    <t>hana le</t>
  </si>
  <si>
    <t>hd128850</t>
  </si>
  <si>
    <t>427/22,</t>
  </si>
  <si>
    <t>hd128966</t>
  </si>
  <si>
    <t>phuong my</t>
  </si>
  <si>
    <t>hd129012</t>
  </si>
  <si>
    <t>126/5h</t>
  </si>
  <si>
    <t>thuy luong</t>
  </si>
  <si>
    <t>hd128922</t>
  </si>
  <si>
    <t>1886/45/19,</t>
  </si>
  <si>
    <t>huynh tan phat</t>
  </si>
  <si>
    <t>thu tiền về cho shop</t>
  </si>
  <si>
    <t>nguyen hai phung</t>
  </si>
  <si>
    <t>hd129045</t>
  </si>
  <si>
    <t>hd117644</t>
  </si>
  <si>
    <t>227/9,</t>
  </si>
  <si>
    <t>go dau</t>
  </si>
  <si>
    <t>nga bap</t>
  </si>
  <si>
    <t>hd128544</t>
  </si>
  <si>
    <t>26/3,</t>
  </si>
  <si>
    <t>hoang xuan hoanh</t>
  </si>
  <si>
    <t>tuyet ngoc</t>
  </si>
  <si>
    <t>hd128179</t>
  </si>
  <si>
    <t>le sao</t>
  </si>
  <si>
    <t>angel</t>
  </si>
  <si>
    <t>hd128921</t>
  </si>
  <si>
    <t>138/4,</t>
  </si>
  <si>
    <t>phu tho hoa</t>
  </si>
  <si>
    <t>nga nguyen</t>
  </si>
  <si>
    <t>hd128957</t>
  </si>
  <si>
    <t>tan huong</t>
  </si>
  <si>
    <t>nguyen minh thu</t>
  </si>
  <si>
    <t>hd128582</t>
  </si>
  <si>
    <t>ds51</t>
  </si>
  <si>
    <t>hd128992</t>
  </si>
  <si>
    <t>thanh tam ci</t>
  </si>
  <si>
    <t>hd129075</t>
  </si>
  <si>
    <t>ds8</t>
  </si>
  <si>
    <t>hong phuong</t>
  </si>
  <si>
    <t>hd128494</t>
  </si>
  <si>
    <t>empire</t>
  </si>
  <si>
    <t>hd128474</t>
  </si>
  <si>
    <t>tina nguyen</t>
  </si>
  <si>
    <t>hd128486</t>
  </si>
  <si>
    <t>140/25,</t>
  </si>
  <si>
    <t>huynh khuong an</t>
  </si>
  <si>
    <t>khanh ha nguyen duy</t>
  </si>
  <si>
    <t>hd129082</t>
  </si>
  <si>
    <t>le van tho</t>
  </si>
  <si>
    <t>trinh ngoc</t>
  </si>
  <si>
    <t>hd128561</t>
  </si>
  <si>
    <t>237/14/24,</t>
  </si>
  <si>
    <t>nguyen ngoc han</t>
  </si>
  <si>
    <t>hd128727</t>
  </si>
  <si>
    <t>672A18</t>
  </si>
  <si>
    <t>phan van tri</t>
  </si>
  <si>
    <t>jenny</t>
  </si>
  <si>
    <t>thao thi le</t>
  </si>
  <si>
    <t>hd129003</t>
  </si>
  <si>
    <t>1306/17</t>
  </si>
  <si>
    <t>tran thi phuong nga</t>
  </si>
  <si>
    <t>hd128628</t>
  </si>
  <si>
    <t>block D</t>
  </si>
  <si>
    <t>cc cong hoa</t>
  </si>
  <si>
    <t>hd128821</t>
  </si>
  <si>
    <t>kinshi house</t>
  </si>
  <si>
    <t>hd128993</t>
  </si>
  <si>
    <t>nguyen phuc chu</t>
  </si>
  <si>
    <t>ivy huyen</t>
  </si>
  <si>
    <t>nhat chi mai</t>
  </si>
  <si>
    <t>chi dai- chu linh</t>
  </si>
  <si>
    <t>hd128408</t>
  </si>
  <si>
    <t>dang van bi</t>
  </si>
  <si>
    <t>ngoc nina</t>
  </si>
  <si>
    <t>hd128819</t>
  </si>
  <si>
    <t>to ngoc van</t>
  </si>
  <si>
    <t>hd128781</t>
  </si>
  <si>
    <t>nguyen trinh</t>
  </si>
  <si>
    <t>hd128437</t>
  </si>
  <si>
    <t>bui thi my hao</t>
  </si>
  <si>
    <t>hd128064</t>
  </si>
  <si>
    <t>145/9,</t>
  </si>
  <si>
    <t>minh ngan</t>
  </si>
  <si>
    <t>hd128877</t>
  </si>
  <si>
    <t>b2/1a</t>
  </si>
  <si>
    <t>ds385</t>
  </si>
  <si>
    <t>hd128929</t>
  </si>
  <si>
    <t>77/46,</t>
  </si>
  <si>
    <t>tan lap 2</t>
  </si>
  <si>
    <t>đơn trả 8-2</t>
  </si>
  <si>
    <t>T7.7.2.2026</t>
  </si>
  <si>
    <t xml:space="preserve">CHU NHAT </t>
  </si>
  <si>
    <t>NGAY 8-2</t>
  </si>
  <si>
    <t>hd129325</t>
  </si>
  <si>
    <t>143/9.</t>
  </si>
  <si>
    <t>08-02-2026.</t>
  </si>
  <si>
    <t>dolly dolly</t>
  </si>
  <si>
    <t>hd129577</t>
  </si>
  <si>
    <t>tk19/19.</t>
  </si>
  <si>
    <t>nguyen canh chan</t>
  </si>
  <si>
    <t>hd129438</t>
  </si>
  <si>
    <t>212A</t>
  </si>
  <si>
    <t>nail- mi y huynh</t>
  </si>
  <si>
    <t>hd129586</t>
  </si>
  <si>
    <t>138/7.</t>
  </si>
  <si>
    <t>tuyet mai</t>
  </si>
  <si>
    <t>hd129545</t>
  </si>
  <si>
    <t>386/5c</t>
  </si>
  <si>
    <t>giang</t>
  </si>
  <si>
    <t>hd129094</t>
  </si>
  <si>
    <t>11bis</t>
  </si>
  <si>
    <t>nguyen gia thieu</t>
  </si>
  <si>
    <t>song ngu</t>
  </si>
  <si>
    <t>hd129544</t>
  </si>
  <si>
    <t xml:space="preserve">hoang dieu </t>
  </si>
  <si>
    <t>hd129217</t>
  </si>
  <si>
    <t>thuy nga</t>
  </si>
  <si>
    <t>hd129569</t>
  </si>
  <si>
    <t>45A</t>
  </si>
  <si>
    <t>thanh truc</t>
  </si>
  <si>
    <t>hd129436</t>
  </si>
  <si>
    <t>nguyen tri phuong</t>
  </si>
  <si>
    <t>truong my my</t>
  </si>
  <si>
    <t>hd129477</t>
  </si>
  <si>
    <t>525/11.</t>
  </si>
  <si>
    <t>su van hanh</t>
  </si>
  <si>
    <t>hd129281</t>
  </si>
  <si>
    <t>131/20.</t>
  </si>
  <si>
    <t>bao tran</t>
  </si>
  <si>
    <t>hd129097</t>
  </si>
  <si>
    <t>159/36.</t>
  </si>
  <si>
    <t>bao ngan</t>
  </si>
  <si>
    <t>hd129187</t>
  </si>
  <si>
    <t>34/8A</t>
  </si>
  <si>
    <t>nhien anh lee</t>
  </si>
  <si>
    <t>hd129130</t>
  </si>
  <si>
    <t>cc botanica</t>
  </si>
  <si>
    <t>trang le</t>
  </si>
  <si>
    <t>hd128308</t>
  </si>
  <si>
    <t>8A</t>
  </si>
  <si>
    <t>song thuong</t>
  </si>
  <si>
    <t>uyen nhi</t>
  </si>
  <si>
    <t>hd129119</t>
  </si>
  <si>
    <t>yumi huynh</t>
  </si>
  <si>
    <t>hd129449</t>
  </si>
  <si>
    <t>mai thu</t>
  </si>
  <si>
    <t>hd129563</t>
  </si>
  <si>
    <t>454/51/99</t>
  </si>
  <si>
    <t>AT 8-2</t>
  </si>
  <si>
    <t>trang ho vinh nhu</t>
  </si>
  <si>
    <t>hd129421</t>
  </si>
  <si>
    <t>dang duc thaut</t>
  </si>
  <si>
    <t>da so</t>
  </si>
  <si>
    <t>hd129090</t>
  </si>
  <si>
    <t>alan vo</t>
  </si>
  <si>
    <t>hd129095</t>
  </si>
  <si>
    <t>98/36A</t>
  </si>
  <si>
    <t>vo thi kim anh</t>
  </si>
  <si>
    <t>hd129517</t>
  </si>
  <si>
    <t>ds40</t>
  </si>
  <si>
    <t>hd129277</t>
  </si>
  <si>
    <t>jang milk</t>
  </si>
  <si>
    <t>hd129352</t>
  </si>
  <si>
    <t>nhi dinh</t>
  </si>
  <si>
    <t>hd129362</t>
  </si>
  <si>
    <t>39b</t>
  </si>
  <si>
    <t>nguyen van linh</t>
  </si>
  <si>
    <t>trinh thao</t>
  </si>
  <si>
    <t>hd129214</t>
  </si>
  <si>
    <t>144/3c</t>
  </si>
  <si>
    <t>ngoc tiny</t>
  </si>
  <si>
    <t>hd129244</t>
  </si>
  <si>
    <t>2385/10.</t>
  </si>
  <si>
    <t>minh anh</t>
  </si>
  <si>
    <t>hd129318</t>
  </si>
  <si>
    <t>1A</t>
  </si>
  <si>
    <t>hd129143</t>
  </si>
  <si>
    <t>ong ich khiem</t>
  </si>
  <si>
    <t>huynh dao kim tuyen</t>
  </si>
  <si>
    <t>hd129509</t>
  </si>
  <si>
    <t>binh tri dong</t>
  </si>
  <si>
    <t>pham phuong</t>
  </si>
  <si>
    <t>hd129211</t>
  </si>
  <si>
    <t>ds12</t>
  </si>
  <si>
    <t>nguyen quyen</t>
  </si>
  <si>
    <t>hd128549</t>
  </si>
  <si>
    <t>vyvy</t>
  </si>
  <si>
    <t>hd129540</t>
  </si>
  <si>
    <t>ds2c</t>
  </si>
  <si>
    <t>tra hoa nu</t>
  </si>
  <si>
    <t>hd129203</t>
  </si>
  <si>
    <t>le van luogn</t>
  </si>
  <si>
    <t>huyen papy</t>
  </si>
  <si>
    <t>hd129380</t>
  </si>
  <si>
    <t>254/8/7A</t>
  </si>
  <si>
    <t>hong truong</t>
  </si>
  <si>
    <t>hd128967</t>
  </si>
  <si>
    <t>nguyen thai hoc</t>
  </si>
  <si>
    <t>rose love</t>
  </si>
  <si>
    <t>hd129363</t>
  </si>
  <si>
    <t>quach dinh bao</t>
  </si>
  <si>
    <t>anh thy nguyen</t>
  </si>
  <si>
    <t>hd129302</t>
  </si>
  <si>
    <t>343/41.</t>
  </si>
  <si>
    <t>tran thu do</t>
  </si>
  <si>
    <t>bich phuong</t>
  </si>
  <si>
    <t>hd129541</t>
  </si>
  <si>
    <t>cc petrovietnam</t>
  </si>
  <si>
    <t>kha han</t>
  </si>
  <si>
    <t>hd129562</t>
  </si>
  <si>
    <t>nguyen truong phuong oanh</t>
  </si>
  <si>
    <t>hd129364</t>
  </si>
  <si>
    <t>125/42/4.</t>
  </si>
  <si>
    <t>bui dinh tuy</t>
  </si>
  <si>
    <t>nguyen bao</t>
  </si>
  <si>
    <t>hd129504</t>
  </si>
  <si>
    <t>cc pham viet chanh</t>
  </si>
  <si>
    <t>thuy trang</t>
  </si>
  <si>
    <t>hd129149</t>
  </si>
  <si>
    <t>300c1</t>
  </si>
  <si>
    <t>nguyen van dau</t>
  </si>
  <si>
    <t>quynh nhu nguyen</t>
  </si>
  <si>
    <t>hd129224</t>
  </si>
  <si>
    <t>117/5/26.</t>
  </si>
  <si>
    <t>phan van han</t>
  </si>
  <si>
    <t>phuc nguyen thanh</t>
  </si>
  <si>
    <t>hd129572</t>
  </si>
  <si>
    <t>L4</t>
  </si>
  <si>
    <t>phu</t>
  </si>
  <si>
    <t>hd129104</t>
  </si>
  <si>
    <t>cong so 2</t>
  </si>
  <si>
    <t>cc khang ga</t>
  </si>
  <si>
    <t>vo ngoc huong</t>
  </si>
  <si>
    <t>hd129301</t>
  </si>
  <si>
    <t>phan nhi</t>
  </si>
  <si>
    <t>hd126724</t>
  </si>
  <si>
    <t>107/189.</t>
  </si>
  <si>
    <t>phuong quynh</t>
  </si>
  <si>
    <t>hd129543</t>
  </si>
  <si>
    <t>7/3A</t>
  </si>
  <si>
    <t>hoang bat dat</t>
  </si>
  <si>
    <t>le thao nguyen</t>
  </si>
  <si>
    <t>hd129515</t>
  </si>
  <si>
    <t>20A</t>
  </si>
  <si>
    <t>tam binh</t>
  </si>
  <si>
    <t>huyen mini</t>
  </si>
  <si>
    <t>hd129238</t>
  </si>
  <si>
    <t>tam ha</t>
  </si>
  <si>
    <t>dea- monic</t>
  </si>
  <si>
    <t>hd128135</t>
  </si>
  <si>
    <t>26/8.</t>
  </si>
  <si>
    <t>truong dinh</t>
  </si>
  <si>
    <t>grab</t>
  </si>
  <si>
    <t>book grab</t>
  </si>
  <si>
    <t>CN.8.2.2026</t>
  </si>
  <si>
    <t>NGAY 9-2</t>
  </si>
  <si>
    <t>nguyen vo thanh hue</t>
  </si>
  <si>
    <t>hd129991</t>
  </si>
  <si>
    <t>ap phu tho</t>
  </si>
  <si>
    <t>xuyen moc</t>
  </si>
  <si>
    <t>09-02-2026.</t>
  </si>
  <si>
    <t>dinh thi bang tam</t>
  </si>
  <si>
    <t>hd130006</t>
  </si>
  <si>
    <t>138/7,</t>
  </si>
  <si>
    <t>quynh nga</t>
  </si>
  <si>
    <t>hd129949</t>
  </si>
  <si>
    <t>bui vien</t>
  </si>
  <si>
    <t>hd129671</t>
  </si>
  <si>
    <t>anh hoang giang</t>
  </si>
  <si>
    <t>hd129694</t>
  </si>
  <si>
    <t>189A</t>
  </si>
  <si>
    <t>hd129376</t>
  </si>
  <si>
    <t>huyen bui</t>
  </si>
  <si>
    <t>hd130046</t>
  </si>
  <si>
    <t>le van huu</t>
  </si>
  <si>
    <t>cam tu</t>
  </si>
  <si>
    <t>hd129807</t>
  </si>
  <si>
    <t>ng trai</t>
  </si>
  <si>
    <t>thanh thao nguyen</t>
  </si>
  <si>
    <t>hd129841</t>
  </si>
  <si>
    <t>ngo duc ke</t>
  </si>
  <si>
    <t>c hang</t>
  </si>
  <si>
    <t>hd129879</t>
  </si>
  <si>
    <t>ha na tran</t>
  </si>
  <si>
    <t>hd130066</t>
  </si>
  <si>
    <t>ngo bao nhi</t>
  </si>
  <si>
    <t>hd129664</t>
  </si>
  <si>
    <t>10b</t>
  </si>
  <si>
    <t>thuy an</t>
  </si>
  <si>
    <t>hd129668</t>
  </si>
  <si>
    <t>73A</t>
  </si>
  <si>
    <t>hd129697</t>
  </si>
  <si>
    <t>phan boi chau</t>
  </si>
  <si>
    <t>hd129812</t>
  </si>
  <si>
    <t>63/47.</t>
  </si>
  <si>
    <t>pho duc chinh</t>
  </si>
  <si>
    <t>c hoang</t>
  </si>
  <si>
    <t>hd129980</t>
  </si>
  <si>
    <t>518/20/16.</t>
  </si>
  <si>
    <t>ching ching</t>
  </si>
  <si>
    <t>hd130020</t>
  </si>
  <si>
    <t>tran ml</t>
  </si>
  <si>
    <t>hd129941</t>
  </si>
  <si>
    <t>don vu</t>
  </si>
  <si>
    <t>hd129696</t>
  </si>
  <si>
    <t>nguyet hong</t>
  </si>
  <si>
    <t>hd129913</t>
  </si>
  <si>
    <t>9/1.</t>
  </si>
  <si>
    <t>nguyen tran thanh diem</t>
  </si>
  <si>
    <t>hd130012</t>
  </si>
  <si>
    <t>hd130017</t>
  </si>
  <si>
    <t>47/6.</t>
  </si>
  <si>
    <t>huong quynh</t>
  </si>
  <si>
    <t>hd130019</t>
  </si>
  <si>
    <t>79/42,</t>
  </si>
  <si>
    <t>tran van dang</t>
  </si>
  <si>
    <t>kim ngan</t>
  </si>
  <si>
    <t>hd129825</t>
  </si>
  <si>
    <t>tu xuong</t>
  </si>
  <si>
    <t>chann chann</t>
  </si>
  <si>
    <t>hd129736</t>
  </si>
  <si>
    <t>12/1/3.</t>
  </si>
  <si>
    <t>thanh thanh</t>
  </si>
  <si>
    <t>hd129926</t>
  </si>
  <si>
    <t>nguyen thi thao hien</t>
  </si>
  <si>
    <t>hd130000</t>
  </si>
  <si>
    <t>giau nguyen</t>
  </si>
  <si>
    <t>hd129708</t>
  </si>
  <si>
    <t>198a</t>
  </si>
  <si>
    <t>le thu thao</t>
  </si>
  <si>
    <t>hd129718</t>
  </si>
  <si>
    <t>cherry nguyen</t>
  </si>
  <si>
    <t>hd129716</t>
  </si>
  <si>
    <t>nguyen my hanh</t>
  </si>
  <si>
    <t>hd129723</t>
  </si>
  <si>
    <t>nguyen ngoc loc</t>
  </si>
  <si>
    <t>le nhat tam</t>
  </si>
  <si>
    <t>hd129930</t>
  </si>
  <si>
    <t>3/40.</t>
  </si>
  <si>
    <t>hd129912</t>
  </si>
  <si>
    <t>3/51/4.</t>
  </si>
  <si>
    <t>ly ly</t>
  </si>
  <si>
    <t>hd129920</t>
  </si>
  <si>
    <t>163/1.</t>
  </si>
  <si>
    <t>ngo thi bich loan</t>
  </si>
  <si>
    <t>hd129601</t>
  </si>
  <si>
    <t>tom ag</t>
  </si>
  <si>
    <t>ho van hue</t>
  </si>
  <si>
    <t>mia</t>
  </si>
  <si>
    <t>hd129928</t>
  </si>
  <si>
    <t>hd129784</t>
  </si>
  <si>
    <t>kieu nga</t>
  </si>
  <si>
    <t>hd129858</t>
  </si>
  <si>
    <t xml:space="preserve">cong hoa garden </t>
  </si>
  <si>
    <t>trang tran 2</t>
  </si>
  <si>
    <t>23/5,</t>
  </si>
  <si>
    <t>duong C1</t>
  </si>
  <si>
    <t>thuy linh</t>
  </si>
  <si>
    <t>hd129910</t>
  </si>
  <si>
    <t>45/28A</t>
  </si>
  <si>
    <t>giai phong</t>
  </si>
  <si>
    <t>khanh nam</t>
  </si>
  <si>
    <t>hd129735</t>
  </si>
  <si>
    <t>127/12,</t>
  </si>
  <si>
    <t>mai ly</t>
  </si>
  <si>
    <t>hd129702</t>
  </si>
  <si>
    <t>158/2a</t>
  </si>
  <si>
    <t>ken nguyen</t>
  </si>
  <si>
    <t>hd129706</t>
  </si>
  <si>
    <t>120/43.</t>
  </si>
  <si>
    <t>hd130009</t>
  </si>
  <si>
    <t>nguyen angela</t>
  </si>
  <si>
    <t>hd129752</t>
  </si>
  <si>
    <t>136b</t>
  </si>
  <si>
    <t>nhi mom</t>
  </si>
  <si>
    <t>hd130008</t>
  </si>
  <si>
    <t>41/4.</t>
  </si>
  <si>
    <t>AT 9-2</t>
  </si>
  <si>
    <t>thanh hien</t>
  </si>
  <si>
    <t>hd129933</t>
  </si>
  <si>
    <t>block A</t>
  </si>
  <si>
    <t>cc him lam</t>
  </si>
  <si>
    <t>thu ly</t>
  </si>
  <si>
    <t>hd129732</t>
  </si>
  <si>
    <t>gia phu</t>
  </si>
  <si>
    <t>huyen tran</t>
  </si>
  <si>
    <t>hd129929</t>
  </si>
  <si>
    <t>228/1.</t>
  </si>
  <si>
    <t>hd129829</t>
  </si>
  <si>
    <t>my ngan</t>
  </si>
  <si>
    <t>hd129707</t>
  </si>
  <si>
    <t>mercy nguyen pmu</t>
  </si>
  <si>
    <t>hd129803</t>
  </si>
  <si>
    <t>298/16/8bb</t>
  </si>
  <si>
    <t>tan hoa dong</t>
  </si>
  <si>
    <t>hong tuoi</t>
  </si>
  <si>
    <t>hd129992</t>
  </si>
  <si>
    <t>block a</t>
  </si>
  <si>
    <t>cat tuong</t>
  </si>
  <si>
    <t>hd129817</t>
  </si>
  <si>
    <t>nic nic</t>
  </si>
  <si>
    <t>hd129692</t>
  </si>
  <si>
    <t>ds85</t>
  </si>
  <si>
    <t>xuan bui</t>
  </si>
  <si>
    <t>hd129946</t>
  </si>
  <si>
    <t>cc florita</t>
  </si>
  <si>
    <t>haong trong mau</t>
  </si>
  <si>
    <t>hang</t>
  </si>
  <si>
    <t>hd129931</t>
  </si>
  <si>
    <t>block K</t>
  </si>
  <si>
    <t>happy valley</t>
  </si>
  <si>
    <t>thao vi</t>
  </si>
  <si>
    <t>hd129916</t>
  </si>
  <si>
    <t>hoang van thai</t>
  </si>
  <si>
    <t>hong dao nguyen</t>
  </si>
  <si>
    <t>hd129827</t>
  </si>
  <si>
    <t>dieu quyen</t>
  </si>
  <si>
    <t>hd129754</t>
  </si>
  <si>
    <t>441/21.</t>
  </si>
  <si>
    <t>le van luongh</t>
  </si>
  <si>
    <t>tran vu anh thu</t>
  </si>
  <si>
    <t>hd129943</t>
  </si>
  <si>
    <t>eco</t>
  </si>
  <si>
    <t>hd129847</t>
  </si>
  <si>
    <t xml:space="preserve">lavida </t>
  </si>
  <si>
    <t>rensy tran</t>
  </si>
  <si>
    <t>hd129900</t>
  </si>
  <si>
    <t>phu thuan</t>
  </si>
  <si>
    <t>huy</t>
  </si>
  <si>
    <t>hd129762</t>
  </si>
  <si>
    <t>hoang trang</t>
  </si>
  <si>
    <t>hd129805</t>
  </si>
  <si>
    <t>1041/82/3/12.</t>
  </si>
  <si>
    <t>hd129793</t>
  </si>
  <si>
    <t>543A</t>
  </si>
  <si>
    <t>hd129657</t>
  </si>
  <si>
    <t>314/54.</t>
  </si>
  <si>
    <t>giang- quyen mi</t>
  </si>
  <si>
    <t>hd129713</t>
  </si>
  <si>
    <t>topaz</t>
  </si>
  <si>
    <t>dragon</t>
  </si>
  <si>
    <t>hd129791</t>
  </si>
  <si>
    <t>288/30.</t>
  </si>
  <si>
    <t>hd129714</t>
  </si>
  <si>
    <t>45/20,</t>
  </si>
  <si>
    <t>nhan thanh</t>
  </si>
  <si>
    <t>hd129777</t>
  </si>
  <si>
    <t>317/29/2.</t>
  </si>
  <si>
    <t>trinh quang nghi</t>
  </si>
  <si>
    <t>kieu pham</t>
  </si>
  <si>
    <t>hd129688</t>
  </si>
  <si>
    <t>tung thien vuong</t>
  </si>
  <si>
    <t>khanh tran</t>
  </si>
  <si>
    <t>hd129987</t>
  </si>
  <si>
    <t>cty fpt</t>
  </si>
  <si>
    <t>duong D2</t>
  </si>
  <si>
    <t>maris</t>
  </si>
  <si>
    <t>41/15,</t>
  </si>
  <si>
    <t>go cat</t>
  </si>
  <si>
    <t>phuong ngoc nguyen</t>
  </si>
  <si>
    <t>hd129700</t>
  </si>
  <si>
    <t>30c</t>
  </si>
  <si>
    <t>mai mai</t>
  </si>
  <si>
    <t>hd129740</t>
  </si>
  <si>
    <t>cc 8x</t>
  </si>
  <si>
    <t>truong nhu ngoc</t>
  </si>
  <si>
    <t>hd129775</t>
  </si>
  <si>
    <t>280/75a</t>
  </si>
  <si>
    <t>tx25</t>
  </si>
  <si>
    <t>hong luu</t>
  </si>
  <si>
    <t>hd129998</t>
  </si>
  <si>
    <t>A8/17,</t>
  </si>
  <si>
    <t>ap 1 vinh loc b</t>
  </si>
  <si>
    <t>huong vuong</t>
  </si>
  <si>
    <t>hd129982</t>
  </si>
  <si>
    <t>cc conic</t>
  </si>
  <si>
    <t>hd129763</t>
  </si>
  <si>
    <t>nguyen thu</t>
  </si>
  <si>
    <t>hd129676</t>
  </si>
  <si>
    <t>e8/28/12A</t>
  </si>
  <si>
    <t>thoi hoa</t>
  </si>
  <si>
    <t>gia linh</t>
  </si>
  <si>
    <t>hd129922</t>
  </si>
  <si>
    <t>D2/469.</t>
  </si>
  <si>
    <t>vuon thom</t>
  </si>
  <si>
    <t>loan</t>
  </si>
  <si>
    <t>hd129800</t>
  </si>
  <si>
    <t>9D</t>
  </si>
  <si>
    <t>chi tran</t>
  </si>
  <si>
    <t>hd129990</t>
  </si>
  <si>
    <t>ds19b</t>
  </si>
  <si>
    <t>dao thuy dung</t>
  </si>
  <si>
    <t>hd129902</t>
  </si>
  <si>
    <t>38A</t>
  </si>
  <si>
    <t>le ngung</t>
  </si>
  <si>
    <t>hd129729</t>
  </si>
  <si>
    <t>le phuong</t>
  </si>
  <si>
    <t>hd129896</t>
  </si>
  <si>
    <t>vanh dai trong</t>
  </si>
  <si>
    <t>kim trang</t>
  </si>
  <si>
    <t>hd129832</t>
  </si>
  <si>
    <t>2/59.</t>
  </si>
  <si>
    <t>bui thi lung</t>
  </si>
  <si>
    <t>hien mini</t>
  </si>
  <si>
    <t>hd130042</t>
  </si>
  <si>
    <t>chi na</t>
  </si>
  <si>
    <t>hd129901</t>
  </si>
  <si>
    <t>86/65.</t>
  </si>
  <si>
    <t>kim vy</t>
  </si>
  <si>
    <t>hd129905</t>
  </si>
  <si>
    <t>175/32.</t>
  </si>
  <si>
    <t>hd130005</t>
  </si>
  <si>
    <t>345/17.</t>
  </si>
  <si>
    <t>pham thuy lien</t>
  </si>
  <si>
    <t>hd129681</t>
  </si>
  <si>
    <t>300/19/25.</t>
  </si>
  <si>
    <t>trinh dinh trang</t>
  </si>
  <si>
    <t>pham le quynh vy</t>
  </si>
  <si>
    <t>hd129744</t>
  </si>
  <si>
    <t>quynh huong</t>
  </si>
  <si>
    <t>hd129683</t>
  </si>
  <si>
    <t>toa bora</t>
  </si>
  <si>
    <t>hoa ban mai</t>
  </si>
  <si>
    <t>hd129898</t>
  </si>
  <si>
    <t>trieu man</t>
  </si>
  <si>
    <t>hd129819</t>
  </si>
  <si>
    <t>cc cennata</t>
  </si>
  <si>
    <t>tho selina</t>
  </si>
  <si>
    <t>hd130033</t>
  </si>
  <si>
    <t>thap S2</t>
  </si>
  <si>
    <t>viet</t>
  </si>
  <si>
    <t>hd129923</t>
  </si>
  <si>
    <t>112/8.</t>
  </si>
  <si>
    <t>nguyen van huong</t>
  </si>
  <si>
    <t>kh ck 1214</t>
  </si>
  <si>
    <t>viet- hoang nguyet</t>
  </si>
  <si>
    <t>hd129685</t>
  </si>
  <si>
    <t>kbt kim son</t>
  </si>
  <si>
    <t>chi lin ngo</t>
  </si>
  <si>
    <t>hd129734</t>
  </si>
  <si>
    <t>cc masteri</t>
  </si>
  <si>
    <t>vo nguyen gaip</t>
  </si>
  <si>
    <t>bi ne</t>
  </si>
  <si>
    <t>landmark 4</t>
  </si>
  <si>
    <t>nguyen thuy linh</t>
  </si>
  <si>
    <t>hd130013</t>
  </si>
  <si>
    <t>nguyen hoang mong thi</t>
  </si>
  <si>
    <t>hd129658</t>
  </si>
  <si>
    <t>hien nguyen</t>
  </si>
  <si>
    <t>hd129983</t>
  </si>
  <si>
    <t xml:space="preserve">mie nguyen </t>
  </si>
  <si>
    <t>hd129411</t>
  </si>
  <si>
    <t>73g</t>
  </si>
  <si>
    <t>nguyen thuong hien</t>
  </si>
  <si>
    <t>hoai vy</t>
  </si>
  <si>
    <t>hd130054</t>
  </si>
  <si>
    <t>27b</t>
  </si>
  <si>
    <t>lan lan</t>
  </si>
  <si>
    <t>hd129703</t>
  </si>
  <si>
    <t>thanh da</t>
  </si>
  <si>
    <t>thien- khanh ngo</t>
  </si>
  <si>
    <t>hd129911</t>
  </si>
  <si>
    <t>24/28.</t>
  </si>
  <si>
    <t>cao oanh</t>
  </si>
  <si>
    <t>hd129670</t>
  </si>
  <si>
    <t>702/86/6,</t>
  </si>
  <si>
    <t>khanh han</t>
  </si>
  <si>
    <t>hd129997</t>
  </si>
  <si>
    <t>55/5.</t>
  </si>
  <si>
    <t>hd129673</t>
  </si>
  <si>
    <t>498/42.</t>
  </si>
  <si>
    <t>hd129876</t>
  </si>
  <si>
    <t>313/17/6A</t>
  </si>
  <si>
    <t>phan huy ich</t>
  </si>
  <si>
    <t>hd129678</t>
  </si>
  <si>
    <t>1306/17.</t>
  </si>
  <si>
    <t>nguyen ngoc nhu y</t>
  </si>
  <si>
    <t>hd129826</t>
  </si>
  <si>
    <t>637/105</t>
  </si>
  <si>
    <t>diem thy</t>
  </si>
  <si>
    <t>hd129611</t>
  </si>
  <si>
    <t>114/19.</t>
  </si>
  <si>
    <t>tran quoc tuan</t>
  </si>
  <si>
    <t>thi tran</t>
  </si>
  <si>
    <t>hd129999</t>
  </si>
  <si>
    <t>15/25.</t>
  </si>
  <si>
    <t>bich pham</t>
  </si>
  <si>
    <t>hd129906</t>
  </si>
  <si>
    <t>2/4b</t>
  </si>
  <si>
    <t>thu ha</t>
  </si>
  <si>
    <t>hd129806</t>
  </si>
  <si>
    <t>61/8.</t>
  </si>
  <si>
    <t>ds23</t>
  </si>
  <si>
    <t>nguyen thi minh nhan</t>
  </si>
  <si>
    <t>hd129835</t>
  </si>
  <si>
    <t>756/15.</t>
  </si>
  <si>
    <t>kha van can</t>
  </si>
  <si>
    <t>thien an</t>
  </si>
  <si>
    <t>hd129927</t>
  </si>
  <si>
    <t>hd130015</t>
  </si>
  <si>
    <t>anh mai nguyen</t>
  </si>
  <si>
    <t>hd129809</t>
  </si>
  <si>
    <t>to vinh dien</t>
  </si>
  <si>
    <t>mai van</t>
  </si>
  <si>
    <t>hd129978</t>
  </si>
  <si>
    <t>fuji</t>
  </si>
  <si>
    <t>luc linh quyen</t>
  </si>
  <si>
    <t>hd129390</t>
  </si>
  <si>
    <t>quang- nguyen thi phuong</t>
  </si>
  <si>
    <t>hd129947</t>
  </si>
  <si>
    <t>tam hoang</t>
  </si>
  <si>
    <t>hd129917</t>
  </si>
  <si>
    <t>357f</t>
  </si>
  <si>
    <t>la xuan oai</t>
  </si>
  <si>
    <t>ng phan</t>
  </si>
  <si>
    <t>hd129701</t>
  </si>
  <si>
    <t>339/3/13.</t>
  </si>
  <si>
    <t>lien phuong</t>
  </si>
  <si>
    <t>kh ck 414</t>
  </si>
  <si>
    <t>thy vo</t>
  </si>
  <si>
    <t>hd129801</t>
  </si>
  <si>
    <t>tan hoa 2</t>
  </si>
  <si>
    <t>nhi ha</t>
  </si>
  <si>
    <t>hd129725</t>
  </si>
  <si>
    <t>vo chi cong</t>
  </si>
  <si>
    <t>nguyen thi tra my</t>
  </si>
  <si>
    <t>hd129743</t>
  </si>
  <si>
    <t>vo van hat</t>
  </si>
  <si>
    <t>ĐƠN TRẢ 10-2</t>
  </si>
  <si>
    <t>T2.9.2.2026</t>
  </si>
  <si>
    <t>kh ck 515</t>
  </si>
  <si>
    <t>NGAY 10-2</t>
  </si>
  <si>
    <t>diem kieu</t>
  </si>
  <si>
    <t>hd130436</t>
  </si>
  <si>
    <t>nghi phuong 4</t>
  </si>
  <si>
    <t>xa than linh</t>
  </si>
  <si>
    <t>10-02-2026.</t>
  </si>
  <si>
    <t>duong hai yen</t>
  </si>
  <si>
    <t>hd129924</t>
  </si>
  <si>
    <t>A5</t>
  </si>
  <si>
    <t>tan thuan</t>
  </si>
  <si>
    <t>trùng đơn</t>
  </si>
  <si>
    <t>elly nguyen</t>
  </si>
  <si>
    <t>hd130332</t>
  </si>
  <si>
    <t>431/7B</t>
  </si>
  <si>
    <t>tang gia han</t>
  </si>
  <si>
    <t>hd130522</t>
  </si>
  <si>
    <t>tuyen</t>
  </si>
  <si>
    <t>hd130515</t>
  </si>
  <si>
    <t>1/12A</t>
  </si>
  <si>
    <t>calmette</t>
  </si>
  <si>
    <t>vinh xuan</t>
  </si>
  <si>
    <t>hd130527</t>
  </si>
  <si>
    <t>127/37,</t>
  </si>
  <si>
    <t>tran hieu</t>
  </si>
  <si>
    <t>hd130307</t>
  </si>
  <si>
    <t>cong truong lam son</t>
  </si>
  <si>
    <t>teresa nguyen</t>
  </si>
  <si>
    <t>hd130248</t>
  </si>
  <si>
    <t>spphy wong</t>
  </si>
  <si>
    <t>hd130417</t>
  </si>
  <si>
    <t>dong du</t>
  </si>
  <si>
    <t>hd130540</t>
  </si>
  <si>
    <t>ngoc nguyen</t>
  </si>
  <si>
    <t>hd130241</t>
  </si>
  <si>
    <t>ly tu trong</t>
  </si>
  <si>
    <t>huyen thu</t>
  </si>
  <si>
    <t>hd130135</t>
  </si>
  <si>
    <t>do nguyet</t>
  </si>
  <si>
    <t>hd130498</t>
  </si>
  <si>
    <t>diamond</t>
  </si>
  <si>
    <t>nguyen van chiem</t>
  </si>
  <si>
    <t>hd130366</t>
  </si>
  <si>
    <t>ton that tung</t>
  </si>
  <si>
    <t>pe ti</t>
  </si>
  <si>
    <t>hd130541</t>
  </si>
  <si>
    <t>365h</t>
  </si>
  <si>
    <t>nguyet</t>
  </si>
  <si>
    <t>hd130373</t>
  </si>
  <si>
    <t>lux 6</t>
  </si>
  <si>
    <t>hd130403</t>
  </si>
  <si>
    <t>518/20/16,</t>
  </si>
  <si>
    <t>my hanh</t>
  </si>
  <si>
    <t>hd130380</t>
  </si>
  <si>
    <t>ban co</t>
  </si>
  <si>
    <t>thuy thuy</t>
  </si>
  <si>
    <t>hd130530</t>
  </si>
  <si>
    <t>58E</t>
  </si>
  <si>
    <t>thao le</t>
  </si>
  <si>
    <t>hd130329</t>
  </si>
  <si>
    <t>tam thanh luu</t>
  </si>
  <si>
    <t>hd130296</t>
  </si>
  <si>
    <t>nkkn</t>
  </si>
  <si>
    <t>linh le</t>
  </si>
  <si>
    <t>hd130286</t>
  </si>
  <si>
    <t>56/4,</t>
  </si>
  <si>
    <t>nguyen thong</t>
  </si>
  <si>
    <t>mai vu phuong uyen</t>
  </si>
  <si>
    <t>hd130580</t>
  </si>
  <si>
    <t>dinh le</t>
  </si>
  <si>
    <t>nhu huynh nguyen</t>
  </si>
  <si>
    <t>hd130260</t>
  </si>
  <si>
    <t>ba hat</t>
  </si>
  <si>
    <t>hy hy</t>
  </si>
  <si>
    <t>hd130523</t>
  </si>
  <si>
    <t>hd130512</t>
  </si>
  <si>
    <t>phuong</t>
  </si>
  <si>
    <t>hd130029</t>
  </si>
  <si>
    <t>106/23A</t>
  </si>
  <si>
    <t>hoa hung</t>
  </si>
  <si>
    <t>bella ngoc</t>
  </si>
  <si>
    <t>hd130179</t>
  </si>
  <si>
    <t>133/3</t>
  </si>
  <si>
    <t>kim an</t>
  </si>
  <si>
    <t>hd130157</t>
  </si>
  <si>
    <t>14/27,</t>
  </si>
  <si>
    <t>hoang du khuong</t>
  </si>
  <si>
    <t>nguyen thi truc uyen</t>
  </si>
  <si>
    <t>hd130080</t>
  </si>
  <si>
    <t>ut be</t>
  </si>
  <si>
    <t>hd130264</t>
  </si>
  <si>
    <t>44/1,</t>
  </si>
  <si>
    <t>mi nguyen</t>
  </si>
  <si>
    <t>hd130537</t>
  </si>
  <si>
    <t>129/1/20C</t>
  </si>
  <si>
    <t>tran ngoc to nhu</t>
  </si>
  <si>
    <t>hd130176</t>
  </si>
  <si>
    <t>9/13,</t>
  </si>
  <si>
    <t>co kieu huong</t>
  </si>
  <si>
    <t>hd130490</t>
  </si>
  <si>
    <t>168a</t>
  </si>
  <si>
    <t>tran huy lieu</t>
  </si>
  <si>
    <t>ngan tran- rita luu</t>
  </si>
  <si>
    <t>hd130571</t>
  </si>
  <si>
    <t>808/6A</t>
  </si>
  <si>
    <t>tai phuong</t>
  </si>
  <si>
    <t>hd130550</t>
  </si>
  <si>
    <t>luong ai vy</t>
  </si>
  <si>
    <t>hd130283</t>
  </si>
  <si>
    <t>hoang minh giam</t>
  </si>
  <si>
    <t>chi vy</t>
  </si>
  <si>
    <t>hd130506</t>
  </si>
  <si>
    <t>AT 10-2</t>
  </si>
  <si>
    <t>hd130232</t>
  </si>
  <si>
    <t>3D</t>
  </si>
  <si>
    <t>pham huu chi</t>
  </si>
  <si>
    <t>hd130259</t>
  </si>
  <si>
    <t xml:space="preserve">dang nguyen can </t>
  </si>
  <si>
    <t>nguyen thi tuyet nhi</t>
  </si>
  <si>
    <t>hd130496</t>
  </si>
  <si>
    <t>thao lee</t>
  </si>
  <si>
    <t>hd130441</t>
  </si>
  <si>
    <t>hd130056</t>
  </si>
  <si>
    <t>cc green valley</t>
  </si>
  <si>
    <t>karen nguyen</t>
  </si>
  <si>
    <t>hd130285</t>
  </si>
  <si>
    <t>7G</t>
  </si>
  <si>
    <t>hd130254</t>
  </si>
  <si>
    <t>le van luong</t>
  </si>
  <si>
    <t>nguyen ai ni</t>
  </si>
  <si>
    <t>hd130501</t>
  </si>
  <si>
    <t>truong cam duyen</t>
  </si>
  <si>
    <t>hd130253</t>
  </si>
  <si>
    <t>176/14/12,</t>
  </si>
  <si>
    <t>nguyen thi thap</t>
  </si>
  <si>
    <t>hd129839</t>
  </si>
  <si>
    <t>lavida plus</t>
  </si>
  <si>
    <t>tuyet</t>
  </si>
  <si>
    <t>hd130231</t>
  </si>
  <si>
    <t>cc vstar</t>
  </si>
  <si>
    <t>hd130110</t>
  </si>
  <si>
    <t>thi truc linh pham</t>
  </si>
  <si>
    <t>hd130213</t>
  </si>
  <si>
    <t>793/49/10,</t>
  </si>
  <si>
    <t>hd130152</t>
  </si>
  <si>
    <t>trang vo</t>
  </si>
  <si>
    <t>hd130112</t>
  </si>
  <si>
    <t>dai</t>
  </si>
  <si>
    <t>hd129909</t>
  </si>
  <si>
    <t>thanh thao- nguyen hong van</t>
  </si>
  <si>
    <t>hd130402</t>
  </si>
  <si>
    <t>ha le</t>
  </si>
  <si>
    <t>hd130327</t>
  </si>
  <si>
    <t>279/8,</t>
  </si>
  <si>
    <t>tung thien vuogn</t>
  </si>
  <si>
    <t>thuy thanh</t>
  </si>
  <si>
    <t>hd130518</t>
  </si>
  <si>
    <t>cc thai an 2</t>
  </si>
  <si>
    <t>nguyen thuy hang</t>
  </si>
  <si>
    <t>hd130390</t>
  </si>
  <si>
    <t>61/24,</t>
  </si>
  <si>
    <t>ta18</t>
  </si>
  <si>
    <t>nguyen vy</t>
  </si>
  <si>
    <t>hd130343</t>
  </si>
  <si>
    <t>tan thoi hiep 20</t>
  </si>
  <si>
    <t>kieu tien le</t>
  </si>
  <si>
    <t>hd130434</t>
  </si>
  <si>
    <t>ao doi</t>
  </si>
  <si>
    <t>le ngoc giau</t>
  </si>
  <si>
    <t>hd130442</t>
  </si>
  <si>
    <t>hd130192</t>
  </si>
  <si>
    <t>179/9,</t>
  </si>
  <si>
    <t>hd130543</t>
  </si>
  <si>
    <t>ngoc ngan</t>
  </si>
  <si>
    <t>hd130242</t>
  </si>
  <si>
    <t>huyen vuong</t>
  </si>
  <si>
    <t>hd129821</t>
  </si>
  <si>
    <t>hd130356</t>
  </si>
  <si>
    <t>931/14/09</t>
  </si>
  <si>
    <t>heng roza</t>
  </si>
  <si>
    <t>hd130482</t>
  </si>
  <si>
    <t>ngo tinh</t>
  </si>
  <si>
    <t>hd130225</t>
  </si>
  <si>
    <t>hd130319</t>
  </si>
  <si>
    <t>banh canh</t>
  </si>
  <si>
    <t>hd130507</t>
  </si>
  <si>
    <t>541/6,</t>
  </si>
  <si>
    <t>ngoc trinh</t>
  </si>
  <si>
    <t>hd130529</t>
  </si>
  <si>
    <t>C60</t>
  </si>
  <si>
    <t>kdc an huy</t>
  </si>
  <si>
    <t>ngoc dung</t>
  </si>
  <si>
    <t>hd130539</t>
  </si>
  <si>
    <t>652/14,</t>
  </si>
  <si>
    <t>ju ju</t>
  </si>
  <si>
    <t>hd130404</t>
  </si>
  <si>
    <t>687/60/3,</t>
  </si>
  <si>
    <t>pham thu nga</t>
  </si>
  <si>
    <t>hd130369</t>
  </si>
  <si>
    <t>88/3,</t>
  </si>
  <si>
    <t>hd130102</t>
  </si>
  <si>
    <t>cc babylon</t>
  </si>
  <si>
    <t>nguyen thi my hang</t>
  </si>
  <si>
    <t>hd130500</t>
  </si>
  <si>
    <t>duong n4</t>
  </si>
  <si>
    <t>nguyen huyen ngoc</t>
  </si>
  <si>
    <t>hd130136</t>
  </si>
  <si>
    <t>huynh van mot</t>
  </si>
  <si>
    <t>hd130553</t>
  </si>
  <si>
    <t>nguyen huu tien</t>
  </si>
  <si>
    <t>phung do</t>
  </si>
  <si>
    <t>hd130401</t>
  </si>
  <si>
    <t>nha G lo N</t>
  </si>
  <si>
    <t>ai linh</t>
  </si>
  <si>
    <t>hd130438</t>
  </si>
  <si>
    <t>ds26</t>
  </si>
  <si>
    <t>hd130378</t>
  </si>
  <si>
    <t>vu ngoc anh</t>
  </si>
  <si>
    <t>hd130533</t>
  </si>
  <si>
    <t>cong B</t>
  </si>
  <si>
    <t>nguyen thi dinh</t>
  </si>
  <si>
    <t>hd130552</t>
  </si>
  <si>
    <t>cc thu thiem sky</t>
  </si>
  <si>
    <t>nguyen vu thuy trang</t>
  </si>
  <si>
    <t>hd130387</t>
  </si>
  <si>
    <t>A2</t>
  </si>
  <si>
    <t>sarica</t>
  </si>
  <si>
    <t>nguyen alley</t>
  </si>
  <si>
    <t>hd130584</t>
  </si>
  <si>
    <t>thao dien</t>
  </si>
  <si>
    <t>bao quyen</t>
  </si>
  <si>
    <t>hd130414</t>
  </si>
  <si>
    <t>3/5,</t>
  </si>
  <si>
    <t>kh ck 788</t>
  </si>
  <si>
    <t>hd130311</t>
  </si>
  <si>
    <t>bao quynh</t>
  </si>
  <si>
    <t>hd130531</t>
  </si>
  <si>
    <t>71/3,</t>
  </si>
  <si>
    <t>nguyen van thuong</t>
  </si>
  <si>
    <t>tran my nhi</t>
  </si>
  <si>
    <t>hd130202</t>
  </si>
  <si>
    <t>kim tieu</t>
  </si>
  <si>
    <t>hd130306</t>
  </si>
  <si>
    <t>toa C3</t>
  </si>
  <si>
    <t>hd130195</t>
  </si>
  <si>
    <t>landmark 2</t>
  </si>
  <si>
    <t>thu truong</t>
  </si>
  <si>
    <t>189/22,</t>
  </si>
  <si>
    <t>kim thoa</t>
  </si>
  <si>
    <t>hd130412</t>
  </si>
  <si>
    <t>193/2/22,</t>
  </si>
  <si>
    <t>ds20</t>
  </si>
  <si>
    <t>thuy truong</t>
  </si>
  <si>
    <t>hd130415</t>
  </si>
  <si>
    <t>256/1/32,</t>
  </si>
  <si>
    <t>duong quang ham</t>
  </si>
  <si>
    <t>thanh hoang</t>
  </si>
  <si>
    <t>hd130461</t>
  </si>
  <si>
    <t>385/56/6,</t>
  </si>
  <si>
    <t>nguyen thi huyen thu</t>
  </si>
  <si>
    <t>hd129925</t>
  </si>
  <si>
    <t>hd130211</t>
  </si>
  <si>
    <t>20/38,</t>
  </si>
  <si>
    <t>nguyen van dung</t>
  </si>
  <si>
    <t>ho thanh phuong</t>
  </si>
  <si>
    <t>hd129903</t>
  </si>
  <si>
    <t>158/56/21,</t>
  </si>
  <si>
    <t>tran thi ngoc duyen</t>
  </si>
  <si>
    <t>hd130321</t>
  </si>
  <si>
    <t>91/71,</t>
  </si>
  <si>
    <t>thu ngan</t>
  </si>
  <si>
    <t>hd130111</t>
  </si>
  <si>
    <t>2A</t>
  </si>
  <si>
    <t>huynh thuong</t>
  </si>
  <si>
    <t>hd130245</t>
  </si>
  <si>
    <t>600/33,</t>
  </si>
  <si>
    <t>thao nguyen</t>
  </si>
  <si>
    <t>hd130400</t>
  </si>
  <si>
    <t>ngoc ngoc vu</t>
  </si>
  <si>
    <t>hd130534</t>
  </si>
  <si>
    <t>3/20/6,</t>
  </si>
  <si>
    <t>ds10</t>
  </si>
  <si>
    <t>phuongdung dang</t>
  </si>
  <si>
    <t>hd130284</t>
  </si>
  <si>
    <t>52/16,</t>
  </si>
  <si>
    <t>nguyen thuan</t>
  </si>
  <si>
    <t>hd130169</t>
  </si>
  <si>
    <t>27/4A</t>
  </si>
  <si>
    <t>huynh thu le</t>
  </si>
  <si>
    <t>hd130097</t>
  </si>
  <si>
    <t>91/38,</t>
  </si>
  <si>
    <t>hang nguyen</t>
  </si>
  <si>
    <t>hd130455</t>
  </si>
  <si>
    <t>truc phuong</t>
  </si>
  <si>
    <t>hd130497</t>
  </si>
  <si>
    <t>70/45,</t>
  </si>
  <si>
    <t>ds339</t>
  </si>
  <si>
    <t>thien nguyen</t>
  </si>
  <si>
    <t>hd130243</t>
  </si>
  <si>
    <t>103/11,</t>
  </si>
  <si>
    <t>duong dinh hoi</t>
  </si>
  <si>
    <t>lam an an</t>
  </si>
  <si>
    <t>hd130278</t>
  </si>
  <si>
    <t>14/18,</t>
  </si>
  <si>
    <t>lang tang phu</t>
  </si>
  <si>
    <t>do huyen</t>
  </si>
  <si>
    <t>hd130479</t>
  </si>
  <si>
    <t>PS15</t>
  </si>
  <si>
    <t>pham ai nhi</t>
  </si>
  <si>
    <t>hd130484</t>
  </si>
  <si>
    <t>sanh bs12</t>
  </si>
  <si>
    <t>chon vo</t>
  </si>
  <si>
    <t>hd130468</t>
  </si>
  <si>
    <t>đơn trả 11-2</t>
  </si>
  <si>
    <t>T3.10.2.2026</t>
  </si>
  <si>
    <t>kh ck 1330</t>
  </si>
  <si>
    <t>kh ck 336k</t>
  </si>
  <si>
    <t>NGAY 11-2</t>
  </si>
  <si>
    <t>cam tien</t>
  </si>
  <si>
    <t>hd130819</t>
  </si>
  <si>
    <t>nguyen cu trinh</t>
  </si>
  <si>
    <t>11-02-2026.</t>
  </si>
  <si>
    <t>ngoc nhi</t>
  </si>
  <si>
    <t>hd130727</t>
  </si>
  <si>
    <t>A25</t>
  </si>
  <si>
    <t>nguyen tria</t>
  </si>
  <si>
    <t xml:space="preserve">mai </t>
  </si>
  <si>
    <t>hd130822</t>
  </si>
  <si>
    <t>nguyen van cu</t>
  </si>
  <si>
    <t>mua axit</t>
  </si>
  <si>
    <t>hd131022</t>
  </si>
  <si>
    <t>hd130781</t>
  </si>
  <si>
    <t>trang nguyen</t>
  </si>
  <si>
    <t>hd130969</t>
  </si>
  <si>
    <t>ut thuong</t>
  </si>
  <si>
    <t>hd131015</t>
  </si>
  <si>
    <t>sreyengegn</t>
  </si>
  <si>
    <t>hd131118</t>
  </si>
  <si>
    <t>bang</t>
  </si>
  <si>
    <t>hd130576</t>
  </si>
  <si>
    <t>hd130802</t>
  </si>
  <si>
    <t>hd130882</t>
  </si>
  <si>
    <t>kella abbie</t>
  </si>
  <si>
    <t>hd130323</t>
  </si>
  <si>
    <t>hung long</t>
  </si>
  <si>
    <t>hd131121</t>
  </si>
  <si>
    <t>vu thai thuy</t>
  </si>
  <si>
    <t>hd130625</t>
  </si>
  <si>
    <t>458/59</t>
  </si>
  <si>
    <t>ly thai to</t>
  </si>
  <si>
    <t>yuri ng</t>
  </si>
  <si>
    <t>hd</t>
  </si>
  <si>
    <t>ks happy</t>
  </si>
  <si>
    <t>hd130385</t>
  </si>
  <si>
    <t>nguyen chi thanh</t>
  </si>
  <si>
    <t>lona nguyen</t>
  </si>
  <si>
    <t>hd130848</t>
  </si>
  <si>
    <t>nguyen kim</t>
  </si>
  <si>
    <t>thanh nien huynh vu</t>
  </si>
  <si>
    <t>hd130528</t>
  </si>
  <si>
    <t>48/14.</t>
  </si>
  <si>
    <t>ho bieu chanh</t>
  </si>
  <si>
    <t>huyen uss nguyen</t>
  </si>
  <si>
    <t>hd130984</t>
  </si>
  <si>
    <t>5/1.</t>
  </si>
  <si>
    <t>phung van cung</t>
  </si>
  <si>
    <t>bi chau</t>
  </si>
  <si>
    <t>hd130975</t>
  </si>
  <si>
    <t>hd130567</t>
  </si>
  <si>
    <t>quyen truong</t>
  </si>
  <si>
    <t>hd130986</t>
  </si>
  <si>
    <t>botanica</t>
  </si>
  <si>
    <t>ai quyen mai</t>
  </si>
  <si>
    <t>hd129519</t>
  </si>
  <si>
    <t>1/18.</t>
  </si>
  <si>
    <t>nguyen van vinh</t>
  </si>
  <si>
    <t>hd130742</t>
  </si>
  <si>
    <t>hd130818</t>
  </si>
  <si>
    <t>duc anh</t>
  </si>
  <si>
    <t>hd130967</t>
  </si>
  <si>
    <t>lo C7</t>
  </si>
  <si>
    <t>thanh my loi</t>
  </si>
  <si>
    <t>linh khanh</t>
  </si>
  <si>
    <t>hd128851</t>
  </si>
  <si>
    <t>masteri</t>
  </si>
  <si>
    <t>xlhn</t>
  </si>
  <si>
    <t>mai tram</t>
  </si>
  <si>
    <t>hd131024</t>
  </si>
  <si>
    <t>8/74A</t>
  </si>
  <si>
    <t>dinh bo linh</t>
  </si>
  <si>
    <t>hd130193</t>
  </si>
  <si>
    <t>157/28</t>
  </si>
  <si>
    <t>quynh tram tran</t>
  </si>
  <si>
    <t>hd130252</t>
  </si>
  <si>
    <t>cc saigon land</t>
  </si>
  <si>
    <t>hd130782</t>
  </si>
  <si>
    <t>my duyen</t>
  </si>
  <si>
    <t>hd131047</t>
  </si>
  <si>
    <t>an nhon</t>
  </si>
  <si>
    <t>lan thanh</t>
  </si>
  <si>
    <t>hd131162</t>
  </si>
  <si>
    <t>8/2.</t>
  </si>
  <si>
    <t>do thuc tinh</t>
  </si>
  <si>
    <t>nguyen doan trang</t>
  </si>
  <si>
    <t>hd130981</t>
  </si>
  <si>
    <t>163/8</t>
  </si>
  <si>
    <t>phuong dung</t>
  </si>
  <si>
    <t>hd131009</t>
  </si>
  <si>
    <t>163/8.</t>
  </si>
  <si>
    <t>tran quynh giao</t>
  </si>
  <si>
    <t>hd130684</t>
  </si>
  <si>
    <t>26/22</t>
  </si>
  <si>
    <t>le nguyen cat tuong</t>
  </si>
  <si>
    <t>hd130708</t>
  </si>
  <si>
    <t>566/197/30</t>
  </si>
  <si>
    <t>ngueyn thai son</t>
  </si>
  <si>
    <t>hd130945</t>
  </si>
  <si>
    <t>ai ngoc</t>
  </si>
  <si>
    <t>hd131120</t>
  </si>
  <si>
    <t>160/37.</t>
  </si>
  <si>
    <t>long- hanh tran</t>
  </si>
  <si>
    <t>hd130560</t>
  </si>
  <si>
    <t>48/13/1.</t>
  </si>
  <si>
    <t>go dua</t>
  </si>
  <si>
    <t>ngo hoang anh</t>
  </si>
  <si>
    <t>hd129698</t>
  </si>
  <si>
    <t>hd131023</t>
  </si>
  <si>
    <t>181/10</t>
  </si>
  <si>
    <t>tam chau</t>
  </si>
  <si>
    <t>dao tay</t>
  </si>
  <si>
    <t>hd130978</t>
  </si>
  <si>
    <t>S3.03</t>
  </si>
  <si>
    <t>hue- yen sao foody</t>
  </si>
  <si>
    <t>hd130778</t>
  </si>
  <si>
    <t>s702</t>
  </si>
  <si>
    <t>hd130683</t>
  </si>
  <si>
    <t>143/9</t>
  </si>
  <si>
    <t>pham minh thu</t>
  </si>
  <si>
    <t>hd130467</t>
  </si>
  <si>
    <t>ba hom</t>
  </si>
  <si>
    <t>AT 11-2</t>
  </si>
  <si>
    <t>khanh van</t>
  </si>
  <si>
    <t>hd131056</t>
  </si>
  <si>
    <t>77/39</t>
  </si>
  <si>
    <t>vy vy</t>
  </si>
  <si>
    <t>hd131057</t>
  </si>
  <si>
    <t>60/51.</t>
  </si>
  <si>
    <t>lam van ben</t>
  </si>
  <si>
    <t>kieu nhu</t>
  </si>
  <si>
    <t>hd131046</t>
  </si>
  <si>
    <t>90/4/4.</t>
  </si>
  <si>
    <t>bong sao</t>
  </si>
  <si>
    <t>van ng</t>
  </si>
  <si>
    <t>hd130689</t>
  </si>
  <si>
    <t>luu huu phuoc</t>
  </si>
  <si>
    <t>hd131043</t>
  </si>
  <si>
    <t>36/3.</t>
  </si>
  <si>
    <t>tran nguyen han</t>
  </si>
  <si>
    <t>nguyen le long chau</t>
  </si>
  <si>
    <t>hd130707</t>
  </si>
  <si>
    <t>123/49/4.</t>
  </si>
  <si>
    <t>nguyen van sang</t>
  </si>
  <si>
    <t>hd130630</t>
  </si>
  <si>
    <t>tan thoi hiep 14</t>
  </si>
  <si>
    <t>hd130792</t>
  </si>
  <si>
    <t>do hoai</t>
  </si>
  <si>
    <t>hd130279</t>
  </si>
  <si>
    <t>F4/2A</t>
  </si>
  <si>
    <t>vinh loc B</t>
  </si>
  <si>
    <t>tran mi</t>
  </si>
  <si>
    <t>hd130642</t>
  </si>
  <si>
    <t>16/10/1.</t>
  </si>
  <si>
    <t>chheth srey</t>
  </si>
  <si>
    <t>hd130980</t>
  </si>
  <si>
    <t>315/18/6.</t>
  </si>
  <si>
    <t>loan nguyen</t>
  </si>
  <si>
    <t>hd130803</t>
  </si>
  <si>
    <t>71/9.</t>
  </si>
  <si>
    <t>dong thanh</t>
  </si>
  <si>
    <t>co ly nga</t>
  </si>
  <si>
    <t>hd130987</t>
  </si>
  <si>
    <t>bau cat 5</t>
  </si>
  <si>
    <t>hd130873</t>
  </si>
  <si>
    <t>88/3.</t>
  </si>
  <si>
    <t>hd131033</t>
  </si>
  <si>
    <t>tram vo</t>
  </si>
  <si>
    <t>hd130983</t>
  </si>
  <si>
    <t>nguyen van duong</t>
  </si>
  <si>
    <t>nguyen le</t>
  </si>
  <si>
    <t>hd130973</t>
  </si>
  <si>
    <t>287/1/5.</t>
  </si>
  <si>
    <t>thanh cong</t>
  </si>
  <si>
    <t>đơn trả 12.2</t>
  </si>
  <si>
    <t>T4.11.2.2026</t>
  </si>
  <si>
    <t>t trả</t>
  </si>
  <si>
    <t>kh ck 35k</t>
  </si>
  <si>
    <t>kh ck 1894</t>
  </si>
  <si>
    <t>kh ck 422</t>
  </si>
  <si>
    <t>NGAY 27-2</t>
  </si>
  <si>
    <t>thanh thanh pham</t>
  </si>
  <si>
    <t>hd132848</t>
  </si>
  <si>
    <t>le lai</t>
  </si>
  <si>
    <t>27-02-2026.</t>
  </si>
  <si>
    <t>hue nghi</t>
  </si>
  <si>
    <t>hd132646</t>
  </si>
  <si>
    <t>115/52a</t>
  </si>
  <si>
    <t>nguyen ngoc lan anh</t>
  </si>
  <si>
    <t>hd132605</t>
  </si>
  <si>
    <t>82/92,</t>
  </si>
  <si>
    <t>ly chinh thang</t>
  </si>
  <si>
    <t>hd132833</t>
  </si>
  <si>
    <t>hd132785</t>
  </si>
  <si>
    <t>hien hien</t>
  </si>
  <si>
    <t>hd132512</t>
  </si>
  <si>
    <t>163/25/42,</t>
  </si>
  <si>
    <t>hd132844</t>
  </si>
  <si>
    <t>3/51/4,</t>
  </si>
  <si>
    <t>chỉ thu 711k+ ship</t>
  </si>
  <si>
    <t>thanh thuy</t>
  </si>
  <si>
    <t>hd132797</t>
  </si>
  <si>
    <t>270/20/2A</t>
  </si>
  <si>
    <t>C30ST</t>
  </si>
  <si>
    <t>hd132516</t>
  </si>
  <si>
    <t>tran thi cam thuy</t>
  </si>
  <si>
    <t>hd132461</t>
  </si>
  <si>
    <t>5b</t>
  </si>
  <si>
    <t>pho quang</t>
  </si>
  <si>
    <t>lindsie pham</t>
  </si>
  <si>
    <t>hd132489</t>
  </si>
  <si>
    <t xml:space="preserve">sky garden </t>
  </si>
  <si>
    <t>AT 27-2.</t>
  </si>
  <si>
    <t>hd132572</t>
  </si>
  <si>
    <t>tuyet nhi</t>
  </si>
  <si>
    <t>hd132665</t>
  </si>
  <si>
    <t>block D2</t>
  </si>
  <si>
    <t>cc saigon riverside</t>
  </si>
  <si>
    <t>ha nguyen</t>
  </si>
  <si>
    <t>hd132670</t>
  </si>
  <si>
    <t>487/46/4,</t>
  </si>
  <si>
    <t>vo thi nho</t>
  </si>
  <si>
    <t>hd132853</t>
  </si>
  <si>
    <t>325/9,</t>
  </si>
  <si>
    <t>bui minh truc</t>
  </si>
  <si>
    <t>kim anh pham</t>
  </si>
  <si>
    <t>hd132501</t>
  </si>
  <si>
    <t>16 cx binh minh</t>
  </si>
  <si>
    <t>hd132872</t>
  </si>
  <si>
    <t>123/49/4,</t>
  </si>
  <si>
    <t>minh thu</t>
  </si>
  <si>
    <t>hd132809</t>
  </si>
  <si>
    <t>6/24,</t>
  </si>
  <si>
    <t>tan chanh hiep 36</t>
  </si>
  <si>
    <t>tuyet nhung nguyen</t>
  </si>
  <si>
    <t>hd132679</t>
  </si>
  <si>
    <t>duy tan</t>
  </si>
  <si>
    <t>nguyen kim dung</t>
  </si>
  <si>
    <t>hd132850</t>
  </si>
  <si>
    <t>40/20,</t>
  </si>
  <si>
    <t>quynh nhi</t>
  </si>
  <si>
    <t>hd132657</t>
  </si>
  <si>
    <t>180/1T</t>
  </si>
  <si>
    <t>thuong 1994</t>
  </si>
  <si>
    <t>S501</t>
  </si>
  <si>
    <t>hd132539</t>
  </si>
  <si>
    <t>720A</t>
  </si>
  <si>
    <t>hd132817</t>
  </si>
  <si>
    <t>truong sa</t>
  </si>
  <si>
    <t>bing bing</t>
  </si>
  <si>
    <t>hd132820</t>
  </si>
  <si>
    <t>landmark 5</t>
  </si>
  <si>
    <t>nguyen huynh cam tu</t>
  </si>
  <si>
    <t>hd132836</t>
  </si>
  <si>
    <t>park 1</t>
  </si>
  <si>
    <t>quynh giao ngoc phan</t>
  </si>
  <si>
    <t>hd132847</t>
  </si>
  <si>
    <t>paark 6b</t>
  </si>
  <si>
    <t>anh truong</t>
  </si>
  <si>
    <t>hd132474</t>
  </si>
  <si>
    <t>cc khang gia</t>
  </si>
  <si>
    <t>hd132813</t>
  </si>
  <si>
    <t>nguyen ha</t>
  </si>
  <si>
    <t>hd132789</t>
  </si>
  <si>
    <t xml:space="preserve">jenny </t>
  </si>
  <si>
    <t>hd132673</t>
  </si>
  <si>
    <t>bau cat 1</t>
  </si>
  <si>
    <t>minh tue</t>
  </si>
  <si>
    <t>tran thi minh thuy</t>
  </si>
  <si>
    <t>hd132455</t>
  </si>
  <si>
    <t>683A</t>
  </si>
  <si>
    <t>T6.27.2.2026</t>
  </si>
  <si>
    <t>đơn sửa cod</t>
  </si>
  <si>
    <t>NGAY 28-2</t>
  </si>
  <si>
    <t>thu be</t>
  </si>
  <si>
    <t>hd132995</t>
  </si>
  <si>
    <t>2,26 lo A</t>
  </si>
  <si>
    <t>cc lac long quan</t>
  </si>
  <si>
    <t>28-02-2026.</t>
  </si>
  <si>
    <t>cao hanh</t>
  </si>
  <si>
    <t>hd133238</t>
  </si>
  <si>
    <t>320/45c</t>
  </si>
  <si>
    <t>hang nhi</t>
  </si>
  <si>
    <t>hd133190</t>
  </si>
  <si>
    <t>cc dao kim cuong</t>
  </si>
  <si>
    <t>ds104</t>
  </si>
  <si>
    <t>pham tran dieu ky</t>
  </si>
  <si>
    <t>hd132955</t>
  </si>
  <si>
    <t>119/7,</t>
  </si>
  <si>
    <t>hd133080</t>
  </si>
  <si>
    <t>dii da</t>
  </si>
  <si>
    <t>hd133135</t>
  </si>
  <si>
    <t>yun yun</t>
  </si>
  <si>
    <t>hd133075</t>
  </si>
  <si>
    <t>357/3,</t>
  </si>
  <si>
    <t>minh tuyet</t>
  </si>
  <si>
    <t>hd132944</t>
  </si>
  <si>
    <t>594/7,</t>
  </si>
  <si>
    <t>dinh luong</t>
  </si>
  <si>
    <t>hd132912</t>
  </si>
  <si>
    <t>nguyen duy duong</t>
  </si>
  <si>
    <t>hd133228</t>
  </si>
  <si>
    <t>hd133234</t>
  </si>
  <si>
    <t>thanh tuyen</t>
  </si>
  <si>
    <t>hd132887</t>
  </si>
  <si>
    <t>chi vi</t>
  </si>
  <si>
    <t>hd132942</t>
  </si>
  <si>
    <t>dao hanh</t>
  </si>
  <si>
    <t>hd133268</t>
  </si>
  <si>
    <t>bella tran</t>
  </si>
  <si>
    <t>AT 28-2</t>
  </si>
  <si>
    <t>kha anh hong</t>
  </si>
  <si>
    <t>hd132933</t>
  </si>
  <si>
    <t>424/31/21,</t>
  </si>
  <si>
    <t>hd132890</t>
  </si>
  <si>
    <t>giang donna</t>
  </si>
  <si>
    <t>hd133288</t>
  </si>
  <si>
    <t>saigon</t>
  </si>
  <si>
    <t>vu tu hao</t>
  </si>
  <si>
    <t>hd133001</t>
  </si>
  <si>
    <t>258/46,</t>
  </si>
  <si>
    <t>hd132963</t>
  </si>
  <si>
    <t>tran trang</t>
  </si>
  <si>
    <t>hd133078</t>
  </si>
  <si>
    <t>vts-62803PTA</t>
  </si>
  <si>
    <t>hd133007</t>
  </si>
  <si>
    <t>hai anh</t>
  </si>
  <si>
    <t>hd133088</t>
  </si>
  <si>
    <t>L-1506</t>
  </si>
  <si>
    <t>cc one vannah</t>
  </si>
  <si>
    <t>kh ck 1020</t>
  </si>
  <si>
    <t>thai ha</t>
  </si>
  <si>
    <t>hd133019</t>
  </si>
  <si>
    <t>linden</t>
  </si>
  <si>
    <t>loan loan</t>
  </si>
  <si>
    <t>hd133227</t>
  </si>
  <si>
    <t>49/8/4b</t>
  </si>
  <si>
    <t>kim chi</t>
  </si>
  <si>
    <t>hd133105</t>
  </si>
  <si>
    <t>50D</t>
  </si>
  <si>
    <t>hd133205</t>
  </si>
  <si>
    <t>chi quynh</t>
  </si>
  <si>
    <t>hd133222</t>
  </si>
  <si>
    <t>kem kem</t>
  </si>
  <si>
    <t>hd133029</t>
  </si>
  <si>
    <t>632/5,</t>
  </si>
  <si>
    <t>chi lam</t>
  </si>
  <si>
    <t>hd133128</t>
  </si>
  <si>
    <t>22/11,</t>
  </si>
  <si>
    <t>đơn trả 2-3</t>
  </si>
  <si>
    <t>T7.28.2.2026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</si>
</sst>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  <scheme val="minor"/>
    </font>
    <font>
      <b/>
      <sz val="11"/>
      <name val="Arial"/>
    </font>
    <font>
      <sz val="11"/>
      <color rgb="FFFF0000"/>
      <name val="Arial"/>
    </font>
    <font>
      <sz val="11"/>
      <name val="Arial"/>
    </font>
    <font>
      <b/>
      <sz val="14"/>
      <name val="Arial"/>
    </font>
    <font>
      <b/>
      <sz val="12"/>
      <name val="Arial"/>
    </font>
    <font>
      <b/>
      <sz val="11"/>
      <color rgb="FFFF0000"/>
      <name val="Arial"/>
    </font>
    <font>
      <b/>
      <sz val="12"/>
      <color rgb="FFFF0000"/>
      <name val="Arial"/>
    </font>
    <font>
      <b/>
      <sz val="16"/>
      <name val="Arial"/>
    </font>
    <font>
      <sz val="11"/>
      <color rgb="FF0070C0"/>
      <name val="Arial"/>
    </font>
    <font>
      <sz val="11"/>
      <color rgb="FFFF0000"/>
      <name val="Times New Roman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1" fillId="7" borderId="1" xfId="0" applyFont="1" applyFill="1" applyBorder="1" applyAlignment="1">
      <alignment horizontal="left"/>
    </xf>
    <xf numFmtId="0" fontId="7" fillId="7" borderId="1" xfId="0" applyFont="1" applyFill="1" applyBorder="1"/>
    <xf numFmtId="0" fontId="6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right"/>
    </xf>
    <xf numFmtId="0" fontId="2" fillId="3" borderId="1" xfId="0" applyFont="1" applyFill="1" applyBorder="1"/>
    <xf numFmtId="0" fontId="9" fillId="0" borderId="0" xfId="0" applyFont="1"/>
    <xf numFmtId="0" fontId="3" fillId="0" borderId="1" xfId="0" applyFont="1" applyBorder="1"/>
    <xf numFmtId="0" fontId="6" fillId="3" borderId="1" xfId="0" applyFont="1" applyFill="1" applyBorder="1"/>
    <xf numFmtId="0" fontId="10" fillId="0" borderId="0" xfId="0" applyFont="1"/>
    <xf numFmtId="0" fontId="10" fillId="0" borderId="1" xfId="0" applyFont="1" applyBorder="1"/>
    <xf numFmtId="0" fontId="10" fillId="2" borderId="1" xfId="0" applyFont="1" applyFill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"/>
  <sheetViews>
    <sheetView topLeftCell="A112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0</v>
      </c>
      <c r="C1" t="s">
        <v>1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2"/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>
        <v>790</v>
      </c>
      <c r="I3" s="2">
        <v>0</v>
      </c>
      <c r="J3" s="2">
        <f t="shared" ref="J3:J122" si="0">H3-I3</f>
        <v>790</v>
      </c>
      <c r="K3" s="2" t="s">
        <v>25</v>
      </c>
      <c r="L3" s="2" t="s">
        <v>26</v>
      </c>
      <c r="M3" s="2" t="s">
        <v>27</v>
      </c>
      <c r="N3" s="3" t="s">
        <v>28</v>
      </c>
      <c r="O3" s="2" t="s">
        <v>29</v>
      </c>
      <c r="P3" s="2"/>
      <c r="Q3" s="2" t="s">
        <v>30</v>
      </c>
      <c r="R3" s="4">
        <v>1</v>
      </c>
      <c r="S3" s="4"/>
      <c r="T3" s="4"/>
    </row>
    <row r="4" spans="1:20" ht="14.25" customHeight="1">
      <c r="A4" s="5"/>
      <c r="B4" s="5" t="s">
        <v>19</v>
      </c>
      <c r="C4" s="5" t="s">
        <v>31</v>
      </c>
      <c r="D4" s="5" t="s">
        <v>32</v>
      </c>
      <c r="E4" s="5" t="s">
        <v>33</v>
      </c>
      <c r="F4" s="5" t="s">
        <v>34</v>
      </c>
      <c r="G4" s="5">
        <v>1</v>
      </c>
      <c r="H4" s="5">
        <v>2310</v>
      </c>
      <c r="I4" s="5">
        <v>25</v>
      </c>
      <c r="J4" s="5">
        <f t="shared" si="0"/>
        <v>2285</v>
      </c>
      <c r="K4" s="5" t="s">
        <v>35</v>
      </c>
      <c r="L4" s="5" t="s">
        <v>26</v>
      </c>
      <c r="M4" s="5" t="s">
        <v>27</v>
      </c>
      <c r="N4" s="5" t="s">
        <v>36</v>
      </c>
      <c r="O4" s="5"/>
      <c r="P4" s="5"/>
      <c r="Q4" s="5"/>
      <c r="R4">
        <v>1</v>
      </c>
    </row>
    <row r="5" spans="1:20" ht="14.25" customHeight="1">
      <c r="A5" s="6" t="s">
        <v>37</v>
      </c>
      <c r="B5" s="6" t="s">
        <v>19</v>
      </c>
      <c r="C5" s="6" t="s">
        <v>38</v>
      </c>
      <c r="D5" s="6"/>
      <c r="E5" s="6" t="s">
        <v>39</v>
      </c>
      <c r="F5" s="6" t="s">
        <v>40</v>
      </c>
      <c r="G5" s="6">
        <v>1</v>
      </c>
      <c r="H5" s="6">
        <v>890</v>
      </c>
      <c r="I5" s="6">
        <v>30</v>
      </c>
      <c r="J5" s="6">
        <f t="shared" si="0"/>
        <v>860</v>
      </c>
      <c r="K5" s="6" t="s">
        <v>35</v>
      </c>
      <c r="L5" s="6" t="s">
        <v>26</v>
      </c>
      <c r="M5" s="6" t="s">
        <v>27</v>
      </c>
      <c r="N5" s="6"/>
      <c r="O5" s="6"/>
      <c r="P5" s="6"/>
      <c r="Q5" s="6"/>
      <c r="R5">
        <v>1</v>
      </c>
    </row>
    <row r="6" spans="1:20" ht="14.25" customHeight="1">
      <c r="A6" s="6"/>
      <c r="B6" s="6" t="s">
        <v>19</v>
      </c>
      <c r="C6" s="6" t="s">
        <v>41</v>
      </c>
      <c r="D6" s="6" t="s">
        <v>42</v>
      </c>
      <c r="E6" s="6">
        <v>190</v>
      </c>
      <c r="F6" s="6" t="s">
        <v>43</v>
      </c>
      <c r="G6" s="6">
        <v>1</v>
      </c>
      <c r="H6" s="6">
        <v>790</v>
      </c>
      <c r="I6" s="6">
        <v>20</v>
      </c>
      <c r="J6" s="6">
        <f t="shared" si="0"/>
        <v>770</v>
      </c>
      <c r="K6" s="6" t="s">
        <v>35</v>
      </c>
      <c r="L6" s="6" t="s">
        <v>26</v>
      </c>
      <c r="M6" s="6" t="s">
        <v>27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44</v>
      </c>
      <c r="D7" s="6" t="s">
        <v>45</v>
      </c>
      <c r="E7" s="6">
        <v>44</v>
      </c>
      <c r="F7" s="6" t="s">
        <v>46</v>
      </c>
      <c r="G7" s="6">
        <v>1</v>
      </c>
      <c r="H7" s="6">
        <v>0</v>
      </c>
      <c r="I7" s="6">
        <v>20</v>
      </c>
      <c r="J7" s="6">
        <f t="shared" si="0"/>
        <v>-20</v>
      </c>
      <c r="K7" s="6" t="s">
        <v>35</v>
      </c>
      <c r="L7" s="6" t="s">
        <v>26</v>
      </c>
      <c r="M7" s="6" t="s">
        <v>27</v>
      </c>
      <c r="N7" s="6"/>
      <c r="O7" s="6"/>
      <c r="P7" s="6"/>
      <c r="Q7" s="6"/>
      <c r="R7">
        <v>1</v>
      </c>
      <c r="S7">
        <v>20</v>
      </c>
    </row>
    <row r="8" spans="1:20" ht="14.25" customHeight="1">
      <c r="A8" s="6"/>
      <c r="B8" s="6" t="s">
        <v>19</v>
      </c>
      <c r="C8" s="6" t="s">
        <v>47</v>
      </c>
      <c r="D8" s="6" t="s">
        <v>48</v>
      </c>
      <c r="E8" s="6" t="s">
        <v>49</v>
      </c>
      <c r="F8" s="6" t="s">
        <v>50</v>
      </c>
      <c r="G8" s="6">
        <v>1</v>
      </c>
      <c r="H8" s="6">
        <v>440</v>
      </c>
      <c r="I8" s="6">
        <v>20</v>
      </c>
      <c r="J8" s="6">
        <f t="shared" si="0"/>
        <v>420</v>
      </c>
      <c r="K8" s="6" t="s">
        <v>35</v>
      </c>
      <c r="L8" s="6" t="s">
        <v>26</v>
      </c>
      <c r="M8" s="6" t="s">
        <v>27</v>
      </c>
      <c r="N8" s="6"/>
      <c r="O8" s="6"/>
      <c r="P8" s="6"/>
      <c r="Q8" s="6"/>
      <c r="R8">
        <v>1</v>
      </c>
    </row>
    <row r="9" spans="1:20" ht="14.25" customHeight="1">
      <c r="A9" s="6"/>
      <c r="B9" s="6" t="s">
        <v>19</v>
      </c>
      <c r="C9" s="6" t="s">
        <v>51</v>
      </c>
      <c r="D9" s="6" t="s">
        <v>52</v>
      </c>
      <c r="E9" s="6">
        <v>29</v>
      </c>
      <c r="F9" s="6" t="s">
        <v>53</v>
      </c>
      <c r="G9" s="6">
        <v>1</v>
      </c>
      <c r="H9" s="6">
        <v>1410</v>
      </c>
      <c r="I9" s="6">
        <v>20</v>
      </c>
      <c r="J9" s="6">
        <f t="shared" si="0"/>
        <v>1390</v>
      </c>
      <c r="K9" s="6" t="s">
        <v>35</v>
      </c>
      <c r="L9" s="6" t="s">
        <v>26</v>
      </c>
      <c r="M9" s="6" t="s">
        <v>27</v>
      </c>
      <c r="N9" s="6"/>
      <c r="O9" s="6"/>
      <c r="P9" s="6"/>
      <c r="Q9" s="6"/>
      <c r="R9">
        <v>1</v>
      </c>
    </row>
    <row r="10" spans="1:20" ht="14.25" customHeight="1">
      <c r="A10" s="6"/>
      <c r="B10" s="6" t="s">
        <v>19</v>
      </c>
      <c r="C10" s="6" t="s">
        <v>54</v>
      </c>
      <c r="D10" s="6" t="s">
        <v>55</v>
      </c>
      <c r="E10" s="6">
        <v>301</v>
      </c>
      <c r="F10" s="6" t="s">
        <v>56</v>
      </c>
      <c r="G10" s="6">
        <v>1</v>
      </c>
      <c r="H10" s="6">
        <v>0</v>
      </c>
      <c r="I10" s="6">
        <v>20</v>
      </c>
      <c r="J10" s="6">
        <f t="shared" si="0"/>
        <v>-20</v>
      </c>
      <c r="K10" s="6" t="s">
        <v>35</v>
      </c>
      <c r="L10" s="6" t="s">
        <v>26</v>
      </c>
      <c r="M10" s="6" t="s">
        <v>27</v>
      </c>
      <c r="N10" s="6"/>
      <c r="O10" s="6"/>
      <c r="P10" s="6"/>
      <c r="Q10" s="6"/>
      <c r="R10">
        <v>1</v>
      </c>
      <c r="S10">
        <v>20</v>
      </c>
    </row>
    <row r="11" spans="1:20" ht="14.25" customHeight="1">
      <c r="A11" s="6"/>
      <c r="B11" s="6" t="s">
        <v>19</v>
      </c>
      <c r="C11" s="6" t="s">
        <v>57</v>
      </c>
      <c r="D11" s="6" t="s">
        <v>58</v>
      </c>
      <c r="E11" s="6">
        <v>23</v>
      </c>
      <c r="F11" s="6" t="s">
        <v>59</v>
      </c>
      <c r="G11" s="6">
        <v>1</v>
      </c>
      <c r="H11" s="6">
        <v>610</v>
      </c>
      <c r="I11" s="6">
        <v>20</v>
      </c>
      <c r="J11" s="6">
        <f t="shared" si="0"/>
        <v>590</v>
      </c>
      <c r="K11" s="6" t="s">
        <v>35</v>
      </c>
      <c r="L11" s="6" t="s">
        <v>26</v>
      </c>
      <c r="M11" s="6" t="s">
        <v>27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60</v>
      </c>
      <c r="D12" s="6" t="s">
        <v>61</v>
      </c>
      <c r="E12" s="6" t="s">
        <v>62</v>
      </c>
      <c r="F12" s="6" t="s">
        <v>63</v>
      </c>
      <c r="G12" s="6">
        <v>1</v>
      </c>
      <c r="H12" s="6">
        <v>810</v>
      </c>
      <c r="I12" s="6">
        <v>20</v>
      </c>
      <c r="J12" s="6">
        <f t="shared" si="0"/>
        <v>790</v>
      </c>
      <c r="K12" s="6" t="s">
        <v>35</v>
      </c>
      <c r="L12" s="6" t="s">
        <v>26</v>
      </c>
      <c r="M12" s="6" t="s">
        <v>27</v>
      </c>
      <c r="N12" s="6"/>
      <c r="O12" s="6"/>
      <c r="P12" s="6"/>
      <c r="Q12" s="6"/>
      <c r="R12">
        <v>1</v>
      </c>
    </row>
    <row r="13" spans="1:20" ht="14.25" customHeight="1">
      <c r="A13" s="6" t="s">
        <v>37</v>
      </c>
      <c r="B13" s="6" t="s">
        <v>19</v>
      </c>
      <c r="C13" s="6" t="s">
        <v>64</v>
      </c>
      <c r="D13" s="6"/>
      <c r="E13" s="6">
        <v>163</v>
      </c>
      <c r="F13" s="6" t="s">
        <v>65</v>
      </c>
      <c r="G13" s="6">
        <v>3</v>
      </c>
      <c r="H13" s="6">
        <v>915</v>
      </c>
      <c r="I13" s="6">
        <v>25</v>
      </c>
      <c r="J13" s="6">
        <f t="shared" si="0"/>
        <v>890</v>
      </c>
      <c r="K13" s="6" t="s">
        <v>35</v>
      </c>
      <c r="L13" s="6" t="s">
        <v>26</v>
      </c>
      <c r="M13" s="6" t="s">
        <v>27</v>
      </c>
      <c r="N13" s="6"/>
      <c r="O13" s="6"/>
      <c r="P13" s="6"/>
      <c r="Q13" s="6"/>
      <c r="R13">
        <v>1</v>
      </c>
    </row>
    <row r="14" spans="1:20" ht="14.25" customHeight="1">
      <c r="A14" s="6"/>
      <c r="B14" s="6" t="s">
        <v>19</v>
      </c>
      <c r="C14" s="6" t="s">
        <v>66</v>
      </c>
      <c r="D14" s="6" t="s">
        <v>67</v>
      </c>
      <c r="E14" s="6" t="s">
        <v>68</v>
      </c>
      <c r="F14" s="6" t="s">
        <v>69</v>
      </c>
      <c r="G14" s="6">
        <v>3</v>
      </c>
      <c r="H14" s="6">
        <v>1010</v>
      </c>
      <c r="I14" s="6">
        <v>20</v>
      </c>
      <c r="J14" s="6">
        <f t="shared" si="0"/>
        <v>990</v>
      </c>
      <c r="K14" s="6" t="s">
        <v>35</v>
      </c>
      <c r="L14" s="6" t="s">
        <v>26</v>
      </c>
      <c r="M14" s="6" t="s">
        <v>27</v>
      </c>
      <c r="N14" s="6"/>
      <c r="O14" s="6"/>
      <c r="P14" s="6"/>
      <c r="Q14" s="6"/>
      <c r="R14">
        <v>1</v>
      </c>
    </row>
    <row r="15" spans="1:20" ht="14.25" customHeight="1">
      <c r="A15" s="6"/>
      <c r="B15" s="6" t="s">
        <v>19</v>
      </c>
      <c r="C15" s="6" t="s">
        <v>70</v>
      </c>
      <c r="D15" s="6" t="s">
        <v>71</v>
      </c>
      <c r="E15" s="6" t="s">
        <v>72</v>
      </c>
      <c r="F15" s="6" t="s">
        <v>73</v>
      </c>
      <c r="G15" s="6">
        <v>3</v>
      </c>
      <c r="H15" s="6">
        <v>370</v>
      </c>
      <c r="I15" s="6">
        <v>20</v>
      </c>
      <c r="J15" s="6">
        <f t="shared" si="0"/>
        <v>350</v>
      </c>
      <c r="K15" s="6" t="s">
        <v>35</v>
      </c>
      <c r="L15" s="6" t="s">
        <v>26</v>
      </c>
      <c r="M15" s="6" t="s">
        <v>27</v>
      </c>
      <c r="N15" s="6"/>
      <c r="O15" s="6"/>
      <c r="P15" s="6"/>
      <c r="Q15" s="6"/>
      <c r="R15">
        <v>1</v>
      </c>
    </row>
    <row r="16" spans="1:20" ht="14.25" customHeight="1">
      <c r="A16" s="6" t="s">
        <v>37</v>
      </c>
      <c r="B16" s="6" t="s">
        <v>19</v>
      </c>
      <c r="C16" s="6" t="s">
        <v>74</v>
      </c>
      <c r="D16" s="6"/>
      <c r="E16" s="6">
        <v>12</v>
      </c>
      <c r="F16" s="6" t="s">
        <v>75</v>
      </c>
      <c r="G16" s="6">
        <v>4</v>
      </c>
      <c r="H16" s="6">
        <v>30</v>
      </c>
      <c r="I16" s="6">
        <v>30</v>
      </c>
      <c r="J16" s="6">
        <f t="shared" si="0"/>
        <v>0</v>
      </c>
      <c r="K16" s="6" t="s">
        <v>35</v>
      </c>
      <c r="L16" s="6" t="s">
        <v>26</v>
      </c>
      <c r="M16" s="6" t="s">
        <v>27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76</v>
      </c>
      <c r="D17" s="6" t="s">
        <v>77</v>
      </c>
      <c r="E17" s="6">
        <v>107</v>
      </c>
      <c r="F17" s="6" t="s">
        <v>78</v>
      </c>
      <c r="G17" s="6">
        <v>4</v>
      </c>
      <c r="H17" s="6">
        <v>995</v>
      </c>
      <c r="I17" s="6">
        <v>25</v>
      </c>
      <c r="J17" s="6">
        <f t="shared" si="0"/>
        <v>970</v>
      </c>
      <c r="K17" s="6" t="s">
        <v>35</v>
      </c>
      <c r="L17" s="6" t="s">
        <v>26</v>
      </c>
      <c r="M17" s="6" t="s">
        <v>27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79</v>
      </c>
      <c r="D18" s="6" t="s">
        <v>80</v>
      </c>
      <c r="E18" s="6" t="s">
        <v>81</v>
      </c>
      <c r="F18" s="6" t="s">
        <v>82</v>
      </c>
      <c r="G18" s="6">
        <v>5</v>
      </c>
      <c r="H18" s="6">
        <v>0</v>
      </c>
      <c r="I18" s="6">
        <v>25</v>
      </c>
      <c r="J18" s="6">
        <f t="shared" si="0"/>
        <v>-25</v>
      </c>
      <c r="K18" s="6" t="s">
        <v>35</v>
      </c>
      <c r="L18" s="6" t="s">
        <v>26</v>
      </c>
      <c r="M18" s="6" t="s">
        <v>27</v>
      </c>
      <c r="N18" s="6"/>
      <c r="O18" s="6"/>
      <c r="P18" s="6"/>
      <c r="Q18" s="6"/>
      <c r="R18">
        <v>1</v>
      </c>
      <c r="S18">
        <v>25</v>
      </c>
    </row>
    <row r="19" spans="1:19" ht="14.25" customHeight="1">
      <c r="A19" s="6"/>
      <c r="B19" s="6" t="s">
        <v>19</v>
      </c>
      <c r="C19" s="6" t="s">
        <v>83</v>
      </c>
      <c r="D19" s="6" t="s">
        <v>84</v>
      </c>
      <c r="E19" s="6" t="s">
        <v>85</v>
      </c>
      <c r="F19" s="6" t="s">
        <v>86</v>
      </c>
      <c r="G19" s="6">
        <v>5</v>
      </c>
      <c r="H19" s="6">
        <v>0</v>
      </c>
      <c r="I19" s="6">
        <v>25</v>
      </c>
      <c r="J19" s="6">
        <f t="shared" si="0"/>
        <v>-25</v>
      </c>
      <c r="K19" s="6" t="s">
        <v>35</v>
      </c>
      <c r="L19" s="6" t="s">
        <v>26</v>
      </c>
      <c r="M19" s="6" t="s">
        <v>27</v>
      </c>
      <c r="N19" s="6"/>
      <c r="O19" s="6"/>
      <c r="P19" s="6"/>
      <c r="Q19" s="6"/>
      <c r="R19">
        <v>1</v>
      </c>
      <c r="S19">
        <v>25</v>
      </c>
    </row>
    <row r="20" spans="1:19" ht="14.25" customHeight="1">
      <c r="A20" s="6"/>
      <c r="B20" s="6" t="s">
        <v>19</v>
      </c>
      <c r="C20" s="6" t="s">
        <v>87</v>
      </c>
      <c r="D20" s="6" t="s">
        <v>88</v>
      </c>
      <c r="E20" s="6" t="s">
        <v>89</v>
      </c>
      <c r="F20" s="6" t="s">
        <v>90</v>
      </c>
      <c r="G20" s="6">
        <v>10</v>
      </c>
      <c r="H20" s="6">
        <v>855</v>
      </c>
      <c r="I20" s="6">
        <v>25</v>
      </c>
      <c r="J20" s="6">
        <f t="shared" si="0"/>
        <v>830</v>
      </c>
      <c r="K20" s="6" t="s">
        <v>35</v>
      </c>
      <c r="L20" s="6" t="s">
        <v>26</v>
      </c>
      <c r="M20" s="6" t="s">
        <v>27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91</v>
      </c>
      <c r="D21" s="6" t="s">
        <v>92</v>
      </c>
      <c r="E21" s="6">
        <v>258</v>
      </c>
      <c r="F21" s="6" t="s">
        <v>93</v>
      </c>
      <c r="G21" s="6">
        <v>10</v>
      </c>
      <c r="H21" s="6">
        <v>765</v>
      </c>
      <c r="I21" s="6">
        <v>25</v>
      </c>
      <c r="J21" s="6">
        <f t="shared" si="0"/>
        <v>740</v>
      </c>
      <c r="K21" s="6" t="s">
        <v>35</v>
      </c>
      <c r="L21" s="6" t="s">
        <v>26</v>
      </c>
      <c r="M21" s="6" t="s">
        <v>27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94</v>
      </c>
      <c r="D22" s="6" t="s">
        <v>95</v>
      </c>
      <c r="E22" s="6" t="s">
        <v>96</v>
      </c>
      <c r="F22" s="6" t="s">
        <v>93</v>
      </c>
      <c r="G22" s="6">
        <v>10</v>
      </c>
      <c r="H22" s="6">
        <v>0</v>
      </c>
      <c r="I22" s="6">
        <v>25</v>
      </c>
      <c r="J22" s="6">
        <f t="shared" si="0"/>
        <v>-25</v>
      </c>
      <c r="K22" s="6" t="s">
        <v>35</v>
      </c>
      <c r="L22" s="6" t="s">
        <v>26</v>
      </c>
      <c r="M22" s="6" t="s">
        <v>27</v>
      </c>
      <c r="N22" s="6"/>
      <c r="O22" s="6"/>
      <c r="P22" s="6"/>
      <c r="Q22" s="6"/>
      <c r="R22">
        <v>1</v>
      </c>
      <c r="S22">
        <v>25</v>
      </c>
    </row>
    <row r="23" spans="1:19" ht="14.25" customHeight="1">
      <c r="A23" s="6"/>
      <c r="B23" s="6" t="s">
        <v>19</v>
      </c>
      <c r="C23" s="6" t="s">
        <v>97</v>
      </c>
      <c r="D23" s="6" t="s">
        <v>98</v>
      </c>
      <c r="E23" s="6" t="s">
        <v>99</v>
      </c>
      <c r="F23" s="6" t="s">
        <v>93</v>
      </c>
      <c r="G23" s="6">
        <v>10</v>
      </c>
      <c r="H23" s="6">
        <v>445</v>
      </c>
      <c r="I23" s="6">
        <v>25</v>
      </c>
      <c r="J23" s="6">
        <f t="shared" si="0"/>
        <v>420</v>
      </c>
      <c r="K23" s="6" t="s">
        <v>35</v>
      </c>
      <c r="L23" s="6" t="s">
        <v>26</v>
      </c>
      <c r="M23" s="6" t="s">
        <v>27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100</v>
      </c>
      <c r="D24" s="6" t="s">
        <v>101</v>
      </c>
      <c r="E24" s="6">
        <v>398</v>
      </c>
      <c r="F24" s="6" t="s">
        <v>102</v>
      </c>
      <c r="G24" s="6">
        <v>10</v>
      </c>
      <c r="H24" s="6">
        <v>405</v>
      </c>
      <c r="I24" s="6">
        <v>25</v>
      </c>
      <c r="J24" s="6">
        <f t="shared" si="0"/>
        <v>380</v>
      </c>
      <c r="K24" s="6" t="s">
        <v>35</v>
      </c>
      <c r="L24" s="6" t="s">
        <v>26</v>
      </c>
      <c r="M24" s="6" t="s">
        <v>27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103</v>
      </c>
      <c r="D25" s="6" t="s">
        <v>104</v>
      </c>
      <c r="E25" s="6">
        <v>159</v>
      </c>
      <c r="F25" s="6" t="s">
        <v>105</v>
      </c>
      <c r="G25" s="6">
        <v>10</v>
      </c>
      <c r="H25" s="6">
        <v>405</v>
      </c>
      <c r="I25" s="6">
        <v>25</v>
      </c>
      <c r="J25" s="6">
        <f t="shared" si="0"/>
        <v>380</v>
      </c>
      <c r="K25" s="6" t="s">
        <v>35</v>
      </c>
      <c r="L25" s="6" t="s">
        <v>26</v>
      </c>
      <c r="M25" s="6" t="s">
        <v>27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106</v>
      </c>
      <c r="D26" s="6" t="s">
        <v>107</v>
      </c>
      <c r="E26" s="6" t="s">
        <v>108</v>
      </c>
      <c r="F26" s="6" t="s">
        <v>105</v>
      </c>
      <c r="G26" s="6">
        <v>10</v>
      </c>
      <c r="H26" s="6">
        <v>665</v>
      </c>
      <c r="I26" s="6">
        <v>25</v>
      </c>
      <c r="J26" s="6">
        <f t="shared" si="0"/>
        <v>640</v>
      </c>
      <c r="K26" s="6" t="s">
        <v>35</v>
      </c>
      <c r="L26" s="6" t="s">
        <v>26</v>
      </c>
      <c r="M26" s="6" t="s">
        <v>27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109</v>
      </c>
      <c r="D27" s="6" t="s">
        <v>110</v>
      </c>
      <c r="E27" s="6">
        <v>150</v>
      </c>
      <c r="F27" s="6" t="s">
        <v>111</v>
      </c>
      <c r="G27" s="6">
        <v>10</v>
      </c>
      <c r="H27" s="6">
        <v>735</v>
      </c>
      <c r="I27" s="6">
        <v>25</v>
      </c>
      <c r="J27" s="6">
        <f t="shared" si="0"/>
        <v>710</v>
      </c>
      <c r="K27" s="6" t="s">
        <v>35</v>
      </c>
      <c r="L27" s="6" t="s">
        <v>26</v>
      </c>
      <c r="M27" s="6" t="s">
        <v>27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112</v>
      </c>
      <c r="D28" s="6" t="s">
        <v>113</v>
      </c>
      <c r="E28" s="6">
        <v>186</v>
      </c>
      <c r="F28" s="6" t="s">
        <v>111</v>
      </c>
      <c r="G28" s="6">
        <v>10</v>
      </c>
      <c r="H28" s="6">
        <v>0</v>
      </c>
      <c r="I28" s="6">
        <v>25</v>
      </c>
      <c r="J28" s="6">
        <f t="shared" si="0"/>
        <v>-25</v>
      </c>
      <c r="K28" s="6" t="s">
        <v>35</v>
      </c>
      <c r="L28" s="6" t="s">
        <v>26</v>
      </c>
      <c r="M28" s="6" t="s">
        <v>27</v>
      </c>
      <c r="N28" s="6"/>
      <c r="O28" s="6"/>
      <c r="P28" s="6"/>
      <c r="Q28" s="6"/>
      <c r="R28">
        <v>1</v>
      </c>
      <c r="S28">
        <v>25</v>
      </c>
    </row>
    <row r="29" spans="1:19" ht="14.25" customHeight="1">
      <c r="A29" s="6"/>
      <c r="B29" s="6" t="s">
        <v>19</v>
      </c>
      <c r="C29" s="6" t="s">
        <v>114</v>
      </c>
      <c r="D29" s="6" t="s">
        <v>115</v>
      </c>
      <c r="E29" s="6">
        <v>219</v>
      </c>
      <c r="F29" s="6" t="s">
        <v>116</v>
      </c>
      <c r="G29" s="6" t="s">
        <v>117</v>
      </c>
      <c r="H29" s="6">
        <v>810</v>
      </c>
      <c r="I29" s="6">
        <v>20</v>
      </c>
      <c r="J29" s="6">
        <f t="shared" si="0"/>
        <v>790</v>
      </c>
      <c r="K29" s="6" t="s">
        <v>35</v>
      </c>
      <c r="L29" s="6" t="s">
        <v>26</v>
      </c>
      <c r="M29" s="6" t="s">
        <v>27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41</v>
      </c>
      <c r="D30" s="6" t="s">
        <v>118</v>
      </c>
      <c r="E30" s="6" t="s">
        <v>119</v>
      </c>
      <c r="F30" s="6" t="s">
        <v>120</v>
      </c>
      <c r="G30" s="6" t="s">
        <v>117</v>
      </c>
      <c r="H30" s="6">
        <v>390</v>
      </c>
      <c r="I30" s="6">
        <v>20</v>
      </c>
      <c r="J30" s="6">
        <f t="shared" si="0"/>
        <v>370</v>
      </c>
      <c r="K30" s="6" t="s">
        <v>35</v>
      </c>
      <c r="L30" s="6" t="s">
        <v>26</v>
      </c>
      <c r="M30" s="6" t="s">
        <v>27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121</v>
      </c>
      <c r="D31" s="6" t="s">
        <v>122</v>
      </c>
      <c r="E31" s="6" t="s">
        <v>123</v>
      </c>
      <c r="F31" s="6" t="s">
        <v>124</v>
      </c>
      <c r="G31" s="6" t="s">
        <v>117</v>
      </c>
      <c r="H31" s="6">
        <v>700</v>
      </c>
      <c r="I31" s="6">
        <v>20</v>
      </c>
      <c r="J31" s="6">
        <f t="shared" si="0"/>
        <v>680</v>
      </c>
      <c r="K31" s="6" t="s">
        <v>35</v>
      </c>
      <c r="L31" s="6" t="s">
        <v>26</v>
      </c>
      <c r="M31" s="6" t="s">
        <v>27</v>
      </c>
      <c r="N31" s="6"/>
      <c r="O31" s="6"/>
      <c r="P31" s="6"/>
      <c r="Q31" s="6"/>
      <c r="R31">
        <v>1</v>
      </c>
    </row>
    <row r="32" spans="1:19" ht="14.25" customHeight="1">
      <c r="A32" s="6" t="s">
        <v>37</v>
      </c>
      <c r="B32" s="6" t="s">
        <v>19</v>
      </c>
      <c r="C32" s="6" t="s">
        <v>125</v>
      </c>
      <c r="D32" s="6"/>
      <c r="E32" s="6" t="s">
        <v>126</v>
      </c>
      <c r="F32" s="6" t="s">
        <v>127</v>
      </c>
      <c r="G32" s="6" t="s">
        <v>128</v>
      </c>
      <c r="H32" s="6">
        <v>0</v>
      </c>
      <c r="I32" s="6">
        <v>25</v>
      </c>
      <c r="J32" s="6">
        <f t="shared" si="0"/>
        <v>-25</v>
      </c>
      <c r="K32" s="6" t="s">
        <v>35</v>
      </c>
      <c r="L32" s="6" t="s">
        <v>26</v>
      </c>
      <c r="M32" s="6" t="s">
        <v>27</v>
      </c>
      <c r="N32" s="6"/>
      <c r="O32" s="6"/>
      <c r="P32" s="6"/>
      <c r="Q32" s="6"/>
      <c r="R32">
        <v>1</v>
      </c>
      <c r="S32">
        <v>25</v>
      </c>
    </row>
    <row r="33" spans="1:19" ht="14.25" customHeight="1">
      <c r="A33" s="6" t="s">
        <v>37</v>
      </c>
      <c r="B33" s="6" t="s">
        <v>19</v>
      </c>
      <c r="C33" s="6" t="s">
        <v>129</v>
      </c>
      <c r="D33" s="6"/>
      <c r="E33" s="6" t="s">
        <v>130</v>
      </c>
      <c r="F33" s="6" t="s">
        <v>131</v>
      </c>
      <c r="G33" s="6" t="s">
        <v>128</v>
      </c>
      <c r="H33" s="6">
        <v>0</v>
      </c>
      <c r="I33" s="6">
        <v>25</v>
      </c>
      <c r="J33" s="6">
        <f t="shared" si="0"/>
        <v>-25</v>
      </c>
      <c r="K33" s="6" t="s">
        <v>35</v>
      </c>
      <c r="L33" s="6" t="s">
        <v>26</v>
      </c>
      <c r="M33" s="6" t="s">
        <v>27</v>
      </c>
      <c r="N33" s="6"/>
      <c r="O33" s="6"/>
      <c r="P33" s="6"/>
      <c r="Q33" s="6"/>
      <c r="R33">
        <v>1</v>
      </c>
      <c r="S33">
        <v>25</v>
      </c>
    </row>
    <row r="34" spans="1:19" ht="14.25" customHeight="1">
      <c r="A34" s="6"/>
      <c r="B34" s="6" t="s">
        <v>19</v>
      </c>
      <c r="C34" s="6" t="s">
        <v>132</v>
      </c>
      <c r="D34" s="6" t="s">
        <v>133</v>
      </c>
      <c r="E34" s="6" t="s">
        <v>134</v>
      </c>
      <c r="F34" s="6" t="s">
        <v>135</v>
      </c>
      <c r="G34" s="6" t="s">
        <v>128</v>
      </c>
      <c r="H34" s="6">
        <v>0</v>
      </c>
      <c r="I34" s="6">
        <v>25</v>
      </c>
      <c r="J34" s="6">
        <f t="shared" si="0"/>
        <v>-25</v>
      </c>
      <c r="K34" s="6" t="s">
        <v>35</v>
      </c>
      <c r="L34" s="6" t="s">
        <v>26</v>
      </c>
      <c r="M34" s="6" t="s">
        <v>27</v>
      </c>
      <c r="N34" s="6"/>
      <c r="O34" s="6"/>
      <c r="P34" s="6"/>
      <c r="Q34" s="6"/>
      <c r="R34">
        <v>1</v>
      </c>
      <c r="S34">
        <v>25</v>
      </c>
    </row>
    <row r="35" spans="1:19" ht="14.25" customHeight="1">
      <c r="A35" s="6"/>
      <c r="B35" s="6" t="s">
        <v>19</v>
      </c>
      <c r="C35" s="6" t="s">
        <v>136</v>
      </c>
      <c r="D35" s="6" t="s">
        <v>137</v>
      </c>
      <c r="E35" s="6" t="s">
        <v>138</v>
      </c>
      <c r="F35" s="6" t="s">
        <v>139</v>
      </c>
      <c r="G35" s="6" t="s">
        <v>128</v>
      </c>
      <c r="H35" s="6">
        <v>0</v>
      </c>
      <c r="I35" s="6">
        <v>25</v>
      </c>
      <c r="J35" s="6">
        <f t="shared" si="0"/>
        <v>-25</v>
      </c>
      <c r="K35" s="6" t="s">
        <v>35</v>
      </c>
      <c r="L35" s="6" t="s">
        <v>26</v>
      </c>
      <c r="M35" s="6" t="s">
        <v>27</v>
      </c>
      <c r="N35" s="6"/>
      <c r="O35" s="6"/>
      <c r="P35" s="6"/>
      <c r="Q35" s="6"/>
      <c r="R35">
        <v>1</v>
      </c>
      <c r="S35">
        <v>25</v>
      </c>
    </row>
    <row r="36" spans="1:19" ht="14.25" customHeight="1">
      <c r="A36" s="6"/>
      <c r="B36" s="6" t="s">
        <v>19</v>
      </c>
      <c r="C36" s="6" t="s">
        <v>140</v>
      </c>
      <c r="D36" s="6" t="s">
        <v>141</v>
      </c>
      <c r="E36" s="6" t="s">
        <v>142</v>
      </c>
      <c r="F36" s="6" t="s">
        <v>143</v>
      </c>
      <c r="G36" s="6" t="s">
        <v>128</v>
      </c>
      <c r="H36" s="6">
        <v>25</v>
      </c>
      <c r="I36" s="6">
        <v>25</v>
      </c>
      <c r="J36" s="6">
        <f t="shared" si="0"/>
        <v>0</v>
      </c>
      <c r="K36" s="6" t="s">
        <v>35</v>
      </c>
      <c r="L36" s="6" t="s">
        <v>26</v>
      </c>
      <c r="M36" s="6" t="s">
        <v>27</v>
      </c>
      <c r="N36" s="6"/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144</v>
      </c>
      <c r="D37" s="6" t="s">
        <v>145</v>
      </c>
      <c r="E37" s="6" t="s">
        <v>146</v>
      </c>
      <c r="F37" s="6" t="s">
        <v>147</v>
      </c>
      <c r="G37" s="6" t="s">
        <v>128</v>
      </c>
      <c r="H37" s="6">
        <v>0</v>
      </c>
      <c r="I37" s="6">
        <v>25</v>
      </c>
      <c r="J37" s="6">
        <f t="shared" si="0"/>
        <v>-25</v>
      </c>
      <c r="K37" s="6" t="s">
        <v>35</v>
      </c>
      <c r="L37" s="6" t="s">
        <v>26</v>
      </c>
      <c r="M37" s="6" t="s">
        <v>27</v>
      </c>
      <c r="N37" s="6"/>
      <c r="O37" s="6"/>
      <c r="P37" s="6"/>
      <c r="Q37" s="6"/>
      <c r="R37">
        <v>1</v>
      </c>
      <c r="S37">
        <v>25</v>
      </c>
    </row>
    <row r="38" spans="1:19" ht="14.25" customHeight="1">
      <c r="A38" s="6"/>
      <c r="B38" s="6" t="s">
        <v>19</v>
      </c>
      <c r="C38" s="6" t="s">
        <v>148</v>
      </c>
      <c r="D38" s="6" t="s">
        <v>149</v>
      </c>
      <c r="E38" s="6">
        <v>19</v>
      </c>
      <c r="F38" s="6" t="s">
        <v>150</v>
      </c>
      <c r="G38" s="6" t="s">
        <v>128</v>
      </c>
      <c r="H38" s="6">
        <v>1645</v>
      </c>
      <c r="I38" s="6">
        <v>25</v>
      </c>
      <c r="J38" s="6">
        <f t="shared" si="0"/>
        <v>1620</v>
      </c>
      <c r="K38" s="6" t="s">
        <v>35</v>
      </c>
      <c r="L38" s="6" t="s">
        <v>26</v>
      </c>
      <c r="M38" s="6" t="s">
        <v>27</v>
      </c>
      <c r="N38" s="6"/>
      <c r="O38" s="6"/>
      <c r="P38" s="6"/>
      <c r="Q38" s="6"/>
      <c r="R38">
        <v>1</v>
      </c>
    </row>
    <row r="39" spans="1:19" ht="14.25" customHeight="1">
      <c r="A39" s="6"/>
      <c r="B39" s="6" t="s">
        <v>19</v>
      </c>
      <c r="C39" s="6" t="s">
        <v>151</v>
      </c>
      <c r="D39" s="6" t="s">
        <v>152</v>
      </c>
      <c r="E39" s="6">
        <v>1</v>
      </c>
      <c r="F39" s="6" t="s">
        <v>153</v>
      </c>
      <c r="G39" s="6">
        <v>2</v>
      </c>
      <c r="H39" s="6">
        <v>0</v>
      </c>
      <c r="I39" s="6">
        <v>30</v>
      </c>
      <c r="J39" s="6">
        <f t="shared" si="0"/>
        <v>-30</v>
      </c>
      <c r="K39" s="6" t="s">
        <v>26</v>
      </c>
      <c r="L39" s="6" t="s">
        <v>26</v>
      </c>
      <c r="M39" s="6" t="s">
        <v>27</v>
      </c>
      <c r="N39" s="6"/>
      <c r="O39" s="6"/>
      <c r="P39" s="6"/>
      <c r="Q39" s="6"/>
      <c r="R39">
        <v>1</v>
      </c>
      <c r="S39">
        <v>30</v>
      </c>
    </row>
    <row r="40" spans="1:19" ht="14.25" customHeight="1">
      <c r="A40" s="6"/>
      <c r="B40" s="6" t="s">
        <v>19</v>
      </c>
      <c r="C40" s="6" t="s">
        <v>154</v>
      </c>
      <c r="D40" s="6" t="s">
        <v>155</v>
      </c>
      <c r="E40" s="6">
        <v>7</v>
      </c>
      <c r="F40" s="6" t="s">
        <v>156</v>
      </c>
      <c r="G40" s="6">
        <v>2</v>
      </c>
      <c r="H40" s="6">
        <v>1500</v>
      </c>
      <c r="I40" s="6">
        <v>30</v>
      </c>
      <c r="J40" s="6">
        <f t="shared" si="0"/>
        <v>1470</v>
      </c>
      <c r="K40" s="6" t="s">
        <v>26</v>
      </c>
      <c r="L40" s="6" t="s">
        <v>26</v>
      </c>
      <c r="M40" s="6" t="s">
        <v>27</v>
      </c>
      <c r="N40" s="6"/>
      <c r="O40" s="6"/>
      <c r="P40" s="6"/>
      <c r="Q40" s="6"/>
      <c r="R40">
        <v>1</v>
      </c>
    </row>
    <row r="41" spans="1:19" ht="14.25" customHeight="1">
      <c r="A41" s="6"/>
      <c r="B41" s="6" t="s">
        <v>19</v>
      </c>
      <c r="C41" s="6" t="s">
        <v>157</v>
      </c>
      <c r="D41" s="6" t="s">
        <v>158</v>
      </c>
      <c r="E41" s="6" t="s">
        <v>159</v>
      </c>
      <c r="F41" s="6" t="s">
        <v>156</v>
      </c>
      <c r="G41" s="6">
        <v>2</v>
      </c>
      <c r="H41" s="6">
        <v>0</v>
      </c>
      <c r="I41" s="6">
        <v>30</v>
      </c>
      <c r="J41" s="6">
        <f t="shared" si="0"/>
        <v>-30</v>
      </c>
      <c r="K41" s="6" t="s">
        <v>26</v>
      </c>
      <c r="L41" s="6" t="s">
        <v>26</v>
      </c>
      <c r="M41" s="6" t="s">
        <v>27</v>
      </c>
      <c r="N41" s="6"/>
      <c r="O41" s="6"/>
      <c r="P41" s="6"/>
      <c r="Q41" s="6"/>
      <c r="R41">
        <v>1</v>
      </c>
      <c r="S41">
        <v>30</v>
      </c>
    </row>
    <row r="42" spans="1:19" ht="14.25" customHeight="1">
      <c r="A42" s="6"/>
      <c r="B42" s="6" t="s">
        <v>19</v>
      </c>
      <c r="C42" s="6" t="s">
        <v>160</v>
      </c>
      <c r="D42" s="6" t="s">
        <v>161</v>
      </c>
      <c r="E42" s="6">
        <v>8</v>
      </c>
      <c r="F42" s="6" t="s">
        <v>162</v>
      </c>
      <c r="G42" s="6">
        <v>2</v>
      </c>
      <c r="H42" s="6">
        <v>1020</v>
      </c>
      <c r="I42" s="6">
        <v>30</v>
      </c>
      <c r="J42" s="6">
        <f t="shared" si="0"/>
        <v>990</v>
      </c>
      <c r="K42" s="6" t="s">
        <v>26</v>
      </c>
      <c r="L42" s="6" t="s">
        <v>26</v>
      </c>
      <c r="M42" s="6" t="s">
        <v>27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163</v>
      </c>
      <c r="D43" s="6" t="s">
        <v>164</v>
      </c>
      <c r="E43" s="6" t="s">
        <v>165</v>
      </c>
      <c r="F43" s="6" t="s">
        <v>166</v>
      </c>
      <c r="G43" s="6">
        <v>2</v>
      </c>
      <c r="H43" s="6">
        <v>0</v>
      </c>
      <c r="I43" s="6">
        <v>30</v>
      </c>
      <c r="J43" s="6">
        <f t="shared" si="0"/>
        <v>-30</v>
      </c>
      <c r="K43" s="6" t="s">
        <v>26</v>
      </c>
      <c r="L43" s="6" t="s">
        <v>26</v>
      </c>
      <c r="M43" s="6" t="s">
        <v>27</v>
      </c>
      <c r="N43" s="6"/>
      <c r="O43" s="6"/>
      <c r="P43" s="6"/>
      <c r="Q43" s="6"/>
      <c r="R43">
        <v>1</v>
      </c>
      <c r="S43">
        <v>30</v>
      </c>
    </row>
    <row r="44" spans="1:19" ht="14.25" customHeight="1">
      <c r="A44" s="6"/>
      <c r="B44" s="6" t="s">
        <v>19</v>
      </c>
      <c r="C44" s="6" t="s">
        <v>167</v>
      </c>
      <c r="D44" s="6" t="s">
        <v>168</v>
      </c>
      <c r="E44" s="6" t="s">
        <v>169</v>
      </c>
      <c r="F44" s="6" t="s">
        <v>170</v>
      </c>
      <c r="G44" s="6">
        <v>2</v>
      </c>
      <c r="H44" s="6">
        <v>700</v>
      </c>
      <c r="I44" s="6">
        <v>30</v>
      </c>
      <c r="J44" s="6">
        <f t="shared" si="0"/>
        <v>670</v>
      </c>
      <c r="K44" s="6" t="s">
        <v>26</v>
      </c>
      <c r="L44" s="6" t="s">
        <v>26</v>
      </c>
      <c r="M44" s="6" t="s">
        <v>27</v>
      </c>
      <c r="N44" s="6"/>
      <c r="O44" s="6"/>
      <c r="P44" s="6"/>
      <c r="Q44" s="6"/>
      <c r="R44">
        <v>1</v>
      </c>
    </row>
    <row r="45" spans="1:19" ht="14.25" customHeight="1">
      <c r="A45" s="6"/>
      <c r="B45" s="6" t="s">
        <v>19</v>
      </c>
      <c r="C45" s="6" t="s">
        <v>171</v>
      </c>
      <c r="D45" s="6" t="s">
        <v>172</v>
      </c>
      <c r="E45" s="6">
        <v>78</v>
      </c>
      <c r="F45" s="6" t="s">
        <v>173</v>
      </c>
      <c r="G45" s="6">
        <v>2</v>
      </c>
      <c r="H45" s="6">
        <v>1020</v>
      </c>
      <c r="I45" s="6">
        <v>30</v>
      </c>
      <c r="J45" s="6">
        <f t="shared" si="0"/>
        <v>990</v>
      </c>
      <c r="K45" s="6" t="s">
        <v>26</v>
      </c>
      <c r="L45" s="6" t="s">
        <v>26</v>
      </c>
      <c r="M45" s="6" t="s">
        <v>27</v>
      </c>
      <c r="N45" s="6"/>
      <c r="O45" s="6"/>
      <c r="P45" s="6"/>
      <c r="Q45" s="6"/>
      <c r="R45">
        <v>1</v>
      </c>
    </row>
    <row r="46" spans="1:19" ht="14.25" customHeight="1">
      <c r="A46" s="5"/>
      <c r="B46" s="5" t="s">
        <v>19</v>
      </c>
      <c r="C46" s="5" t="s">
        <v>174</v>
      </c>
      <c r="D46" s="5" t="s">
        <v>175</v>
      </c>
      <c r="E46" s="5">
        <v>17</v>
      </c>
      <c r="F46" s="5" t="s">
        <v>176</v>
      </c>
      <c r="G46" s="5">
        <v>2</v>
      </c>
      <c r="H46" s="5">
        <v>30</v>
      </c>
      <c r="I46" s="5">
        <v>30</v>
      </c>
      <c r="J46" s="5">
        <f t="shared" si="0"/>
        <v>0</v>
      </c>
      <c r="K46" s="5" t="s">
        <v>26</v>
      </c>
      <c r="L46" s="5" t="s">
        <v>26</v>
      </c>
      <c r="M46" s="5" t="s">
        <v>27</v>
      </c>
      <c r="N46" s="5" t="s">
        <v>177</v>
      </c>
      <c r="O46" s="5"/>
      <c r="P46" s="5"/>
      <c r="Q46" s="5"/>
      <c r="R46">
        <v>1</v>
      </c>
    </row>
    <row r="47" spans="1:19" ht="14.25" customHeight="1">
      <c r="A47" s="6"/>
      <c r="B47" s="6" t="s">
        <v>19</v>
      </c>
      <c r="C47" s="6" t="s">
        <v>178</v>
      </c>
      <c r="D47" s="6" t="s">
        <v>179</v>
      </c>
      <c r="E47" s="6" t="s">
        <v>180</v>
      </c>
      <c r="F47" s="6" t="s">
        <v>127</v>
      </c>
      <c r="G47" s="6" t="s">
        <v>181</v>
      </c>
      <c r="H47" s="6">
        <v>20</v>
      </c>
      <c r="I47" s="6">
        <v>20</v>
      </c>
      <c r="J47" s="6">
        <f t="shared" si="0"/>
        <v>0</v>
      </c>
      <c r="K47" s="6" t="s">
        <v>26</v>
      </c>
      <c r="L47" s="6" t="s">
        <v>26</v>
      </c>
      <c r="M47" s="6" t="s">
        <v>27</v>
      </c>
      <c r="N47" s="6"/>
      <c r="O47" s="6"/>
      <c r="P47" s="6"/>
      <c r="Q47" s="6"/>
      <c r="R47">
        <v>1</v>
      </c>
    </row>
    <row r="48" spans="1:19" ht="14.25" customHeight="1">
      <c r="A48" s="6" t="s">
        <v>37</v>
      </c>
      <c r="B48" s="6" t="s">
        <v>19</v>
      </c>
      <c r="C48" s="6" t="s">
        <v>182</v>
      </c>
      <c r="D48" s="6"/>
      <c r="E48" s="6" t="s">
        <v>183</v>
      </c>
      <c r="F48" s="6" t="s">
        <v>184</v>
      </c>
      <c r="G48" s="6" t="s">
        <v>181</v>
      </c>
      <c r="H48" s="6">
        <v>390</v>
      </c>
      <c r="I48" s="6">
        <v>20</v>
      </c>
      <c r="J48" s="6">
        <f t="shared" si="0"/>
        <v>370</v>
      </c>
      <c r="K48" s="6" t="s">
        <v>26</v>
      </c>
      <c r="L48" s="6" t="s">
        <v>26</v>
      </c>
      <c r="M48" s="6" t="s">
        <v>27</v>
      </c>
      <c r="N48" s="6"/>
      <c r="O48" s="6"/>
      <c r="P48" s="6"/>
      <c r="Q48" s="6"/>
      <c r="R48">
        <v>1</v>
      </c>
    </row>
    <row r="49" spans="1:19" ht="14.25" customHeight="1">
      <c r="A49" s="6"/>
      <c r="B49" s="6" t="s">
        <v>19</v>
      </c>
      <c r="C49" s="6" t="s">
        <v>185</v>
      </c>
      <c r="D49" s="6" t="s">
        <v>186</v>
      </c>
      <c r="E49" s="6" t="s">
        <v>187</v>
      </c>
      <c r="F49" s="6" t="s">
        <v>184</v>
      </c>
      <c r="G49" s="6" t="s">
        <v>181</v>
      </c>
      <c r="H49" s="6">
        <v>550</v>
      </c>
      <c r="I49" s="6">
        <v>20</v>
      </c>
      <c r="J49" s="6">
        <f t="shared" si="0"/>
        <v>530</v>
      </c>
      <c r="K49" s="6" t="s">
        <v>26</v>
      </c>
      <c r="L49" s="6" t="s">
        <v>26</v>
      </c>
      <c r="M49" s="6" t="s">
        <v>27</v>
      </c>
      <c r="N49" s="6"/>
      <c r="O49" s="6"/>
      <c r="P49" s="6"/>
      <c r="Q49" s="6"/>
      <c r="R49">
        <v>1</v>
      </c>
    </row>
    <row r="50" spans="1:19" ht="14.25" customHeight="1">
      <c r="A50" s="6"/>
      <c r="B50" s="6" t="s">
        <v>19</v>
      </c>
      <c r="C50" s="6" t="s">
        <v>188</v>
      </c>
      <c r="D50" s="6" t="s">
        <v>189</v>
      </c>
      <c r="E50" s="6" t="s">
        <v>190</v>
      </c>
      <c r="F50" s="6" t="s">
        <v>90</v>
      </c>
      <c r="G50" s="6" t="s">
        <v>181</v>
      </c>
      <c r="H50" s="6">
        <v>1000</v>
      </c>
      <c r="I50" s="6">
        <v>20</v>
      </c>
      <c r="J50" s="6">
        <f t="shared" si="0"/>
        <v>980</v>
      </c>
      <c r="K50" s="6" t="s">
        <v>26</v>
      </c>
      <c r="L50" s="6" t="s">
        <v>26</v>
      </c>
      <c r="M50" s="6" t="s">
        <v>27</v>
      </c>
      <c r="N50" s="6"/>
      <c r="O50" s="6"/>
      <c r="P50" s="6"/>
      <c r="Q50" s="6"/>
      <c r="R50">
        <v>1</v>
      </c>
    </row>
    <row r="51" spans="1:19" ht="14.25" customHeight="1">
      <c r="A51" s="6"/>
      <c r="B51" s="6" t="s">
        <v>19</v>
      </c>
      <c r="C51" s="6" t="s">
        <v>191</v>
      </c>
      <c r="D51" s="6" t="s">
        <v>192</v>
      </c>
      <c r="E51" s="6" t="s">
        <v>193</v>
      </c>
      <c r="F51" s="6" t="s">
        <v>90</v>
      </c>
      <c r="G51" s="6" t="s">
        <v>181</v>
      </c>
      <c r="H51" s="6">
        <v>0</v>
      </c>
      <c r="I51" s="6">
        <v>20</v>
      </c>
      <c r="J51" s="6">
        <f t="shared" si="0"/>
        <v>-20</v>
      </c>
      <c r="K51" s="6" t="s">
        <v>26</v>
      </c>
      <c r="L51" s="6" t="s">
        <v>26</v>
      </c>
      <c r="M51" s="6" t="s">
        <v>27</v>
      </c>
      <c r="N51" s="6"/>
      <c r="O51" s="6"/>
      <c r="P51" s="6"/>
      <c r="Q51" s="6"/>
      <c r="R51">
        <v>1</v>
      </c>
      <c r="S51">
        <v>20</v>
      </c>
    </row>
    <row r="52" spans="1:19" ht="14.25" customHeight="1">
      <c r="A52" s="6"/>
      <c r="B52" s="6" t="s">
        <v>19</v>
      </c>
      <c r="C52" s="6" t="s">
        <v>194</v>
      </c>
      <c r="D52" s="6" t="s">
        <v>195</v>
      </c>
      <c r="E52" s="6">
        <v>213</v>
      </c>
      <c r="F52" s="6" t="s">
        <v>196</v>
      </c>
      <c r="G52" s="6">
        <v>9</v>
      </c>
      <c r="H52" s="6">
        <v>990</v>
      </c>
      <c r="I52" s="6">
        <v>30</v>
      </c>
      <c r="J52" s="6">
        <f t="shared" si="0"/>
        <v>960</v>
      </c>
      <c r="K52" s="6" t="s">
        <v>197</v>
      </c>
      <c r="L52" s="6" t="s">
        <v>26</v>
      </c>
      <c r="M52" s="6" t="s">
        <v>27</v>
      </c>
      <c r="N52" s="6"/>
      <c r="O52" s="6"/>
      <c r="P52" s="6"/>
      <c r="Q52" s="6"/>
      <c r="R52">
        <v>1</v>
      </c>
    </row>
    <row r="53" spans="1:19" ht="14.25" customHeight="1">
      <c r="A53" s="6"/>
      <c r="B53" s="6" t="s">
        <v>19</v>
      </c>
      <c r="C53" s="6" t="s">
        <v>198</v>
      </c>
      <c r="D53" s="6" t="s">
        <v>199</v>
      </c>
      <c r="E53" s="6">
        <v>67</v>
      </c>
      <c r="F53" s="6" t="s">
        <v>200</v>
      </c>
      <c r="G53" s="6">
        <v>9</v>
      </c>
      <c r="H53" s="6">
        <v>720</v>
      </c>
      <c r="I53" s="6">
        <v>30</v>
      </c>
      <c r="J53" s="6">
        <f t="shared" si="0"/>
        <v>690</v>
      </c>
      <c r="K53" s="6" t="s">
        <v>197</v>
      </c>
      <c r="L53" s="6" t="s">
        <v>26</v>
      </c>
      <c r="M53" s="6" t="s">
        <v>27</v>
      </c>
      <c r="N53" s="6"/>
      <c r="O53" s="6"/>
      <c r="P53" s="6"/>
      <c r="Q53" s="6"/>
      <c r="R53">
        <v>1</v>
      </c>
    </row>
    <row r="54" spans="1:19" ht="14.25" customHeight="1">
      <c r="A54" s="6"/>
      <c r="B54" s="6" t="s">
        <v>19</v>
      </c>
      <c r="C54" s="6" t="s">
        <v>201</v>
      </c>
      <c r="D54" s="6" t="s">
        <v>202</v>
      </c>
      <c r="E54" s="6" t="s">
        <v>203</v>
      </c>
      <c r="F54" s="6" t="s">
        <v>204</v>
      </c>
      <c r="G54" s="6">
        <v>9</v>
      </c>
      <c r="H54" s="6">
        <v>0</v>
      </c>
      <c r="I54" s="6">
        <v>30</v>
      </c>
      <c r="J54" s="6">
        <f t="shared" si="0"/>
        <v>-30</v>
      </c>
      <c r="K54" s="6" t="s">
        <v>197</v>
      </c>
      <c r="L54" s="6" t="s">
        <v>26</v>
      </c>
      <c r="M54" s="6" t="s">
        <v>27</v>
      </c>
      <c r="N54" s="6"/>
      <c r="O54" s="6"/>
      <c r="P54" s="6"/>
      <c r="Q54" s="6"/>
      <c r="R54">
        <v>1</v>
      </c>
      <c r="S54">
        <v>30</v>
      </c>
    </row>
    <row r="55" spans="1:19" ht="14.25" customHeight="1">
      <c r="A55" s="6"/>
      <c r="B55" s="6" t="s">
        <v>19</v>
      </c>
      <c r="C55" s="6" t="s">
        <v>205</v>
      </c>
      <c r="D55" s="6" t="s">
        <v>206</v>
      </c>
      <c r="E55" s="6" t="s">
        <v>207</v>
      </c>
      <c r="F55" s="6" t="s">
        <v>208</v>
      </c>
      <c r="G55" s="6" t="s">
        <v>181</v>
      </c>
      <c r="H55" s="6">
        <v>1550</v>
      </c>
      <c r="I55" s="6">
        <v>20</v>
      </c>
      <c r="J55" s="6">
        <f t="shared" si="0"/>
        <v>1530</v>
      </c>
      <c r="K55" s="6" t="s">
        <v>26</v>
      </c>
      <c r="L55" s="6" t="s">
        <v>26</v>
      </c>
      <c r="M55" s="6" t="s">
        <v>27</v>
      </c>
      <c r="N55" s="6"/>
      <c r="O55" s="6"/>
      <c r="P55" s="6"/>
      <c r="Q55" s="6"/>
      <c r="R55">
        <v>1</v>
      </c>
    </row>
    <row r="56" spans="1:19" ht="14.25" customHeight="1">
      <c r="A56" s="6" t="s">
        <v>37</v>
      </c>
      <c r="B56" s="6" t="s">
        <v>19</v>
      </c>
      <c r="C56" s="6" t="s">
        <v>209</v>
      </c>
      <c r="D56" s="6"/>
      <c r="E56" s="6" t="s">
        <v>210</v>
      </c>
      <c r="F56" s="6" t="s">
        <v>211</v>
      </c>
      <c r="G56" s="6" t="s">
        <v>181</v>
      </c>
      <c r="H56" s="6">
        <v>20</v>
      </c>
      <c r="I56" s="6">
        <v>20</v>
      </c>
      <c r="J56" s="6">
        <f t="shared" si="0"/>
        <v>0</v>
      </c>
      <c r="K56" s="6" t="s">
        <v>26</v>
      </c>
      <c r="L56" s="6" t="s">
        <v>26</v>
      </c>
      <c r="M56" s="6" t="s">
        <v>27</v>
      </c>
      <c r="N56" s="6"/>
      <c r="O56" s="6"/>
      <c r="P56" s="6"/>
      <c r="Q56" s="6"/>
      <c r="R56">
        <v>1</v>
      </c>
    </row>
    <row r="57" spans="1:19" ht="14.25" customHeight="1">
      <c r="A57" s="6"/>
      <c r="B57" s="6" t="s">
        <v>19</v>
      </c>
      <c r="C57" s="6" t="s">
        <v>212</v>
      </c>
      <c r="D57" s="6" t="s">
        <v>213</v>
      </c>
      <c r="E57" s="6" t="s">
        <v>214</v>
      </c>
      <c r="F57" s="6" t="s">
        <v>215</v>
      </c>
      <c r="G57" s="6" t="s">
        <v>181</v>
      </c>
      <c r="H57" s="6">
        <v>710</v>
      </c>
      <c r="I57" s="6">
        <v>20</v>
      </c>
      <c r="J57" s="6">
        <f t="shared" si="0"/>
        <v>690</v>
      </c>
      <c r="K57" s="6" t="s">
        <v>26</v>
      </c>
      <c r="L57" s="6" t="s">
        <v>26</v>
      </c>
      <c r="M57" s="6" t="s">
        <v>27</v>
      </c>
      <c r="N57" s="6"/>
      <c r="O57" s="6"/>
      <c r="P57" s="6"/>
      <c r="Q57" s="6"/>
      <c r="R57">
        <v>1</v>
      </c>
    </row>
    <row r="58" spans="1:19" ht="14.25" customHeight="1">
      <c r="A58" s="6"/>
      <c r="B58" s="6" t="s">
        <v>19</v>
      </c>
      <c r="C58" s="6" t="s">
        <v>216</v>
      </c>
      <c r="D58" s="6" t="s">
        <v>217</v>
      </c>
      <c r="E58" s="6" t="s">
        <v>218</v>
      </c>
      <c r="F58" s="6" t="s">
        <v>219</v>
      </c>
      <c r="G58" s="6" t="s">
        <v>220</v>
      </c>
      <c r="H58" s="6">
        <v>855</v>
      </c>
      <c r="I58" s="6">
        <v>25</v>
      </c>
      <c r="J58" s="6">
        <f t="shared" si="0"/>
        <v>830</v>
      </c>
      <c r="K58" s="6" t="s">
        <v>26</v>
      </c>
      <c r="L58" s="6" t="s">
        <v>26</v>
      </c>
      <c r="M58" s="6" t="s">
        <v>27</v>
      </c>
      <c r="N58" s="6"/>
      <c r="O58" s="6"/>
      <c r="P58" s="6"/>
      <c r="Q58" s="6"/>
      <c r="R58">
        <v>1</v>
      </c>
    </row>
    <row r="59" spans="1:19" ht="14.25" customHeight="1">
      <c r="A59" s="6"/>
      <c r="B59" s="6" t="s">
        <v>19</v>
      </c>
      <c r="C59" s="6" t="s">
        <v>221</v>
      </c>
      <c r="D59" s="6" t="s">
        <v>222</v>
      </c>
      <c r="E59" s="6" t="s">
        <v>223</v>
      </c>
      <c r="F59" s="6" t="s">
        <v>204</v>
      </c>
      <c r="G59" s="6" t="s">
        <v>220</v>
      </c>
      <c r="H59" s="6">
        <v>855</v>
      </c>
      <c r="I59" s="6">
        <v>25</v>
      </c>
      <c r="J59" s="6">
        <f t="shared" si="0"/>
        <v>830</v>
      </c>
      <c r="K59" s="6" t="s">
        <v>26</v>
      </c>
      <c r="L59" s="6" t="s">
        <v>26</v>
      </c>
      <c r="M59" s="6" t="s">
        <v>27</v>
      </c>
      <c r="N59" s="6"/>
      <c r="O59" s="6"/>
      <c r="P59" s="6"/>
      <c r="Q59" s="6"/>
      <c r="R59">
        <v>1</v>
      </c>
    </row>
    <row r="60" spans="1:19" ht="14.25" customHeight="1">
      <c r="A60" s="6"/>
      <c r="B60" s="6" t="s">
        <v>19</v>
      </c>
      <c r="C60" s="6" t="s">
        <v>224</v>
      </c>
      <c r="D60" s="6" t="s">
        <v>225</v>
      </c>
      <c r="E60" s="6">
        <v>967</v>
      </c>
      <c r="F60" s="6" t="s">
        <v>226</v>
      </c>
      <c r="G60" s="6" t="s">
        <v>220</v>
      </c>
      <c r="H60" s="6">
        <v>845</v>
      </c>
      <c r="I60" s="6">
        <v>25</v>
      </c>
      <c r="J60" s="6">
        <f t="shared" si="0"/>
        <v>820</v>
      </c>
      <c r="K60" s="6" t="s">
        <v>26</v>
      </c>
      <c r="L60" s="6" t="s">
        <v>26</v>
      </c>
      <c r="M60" s="6" t="s">
        <v>27</v>
      </c>
      <c r="N60" s="6"/>
      <c r="O60" s="6"/>
      <c r="P60" s="6"/>
      <c r="Q60" s="6"/>
      <c r="R60">
        <v>1</v>
      </c>
    </row>
    <row r="61" spans="1:19" ht="14.25" customHeight="1">
      <c r="A61" s="6"/>
      <c r="B61" s="6" t="s">
        <v>19</v>
      </c>
      <c r="C61" s="6" t="s">
        <v>227</v>
      </c>
      <c r="D61" s="6" t="s">
        <v>228</v>
      </c>
      <c r="E61" s="6" t="s">
        <v>229</v>
      </c>
      <c r="F61" s="6" t="s">
        <v>230</v>
      </c>
      <c r="G61" s="6" t="s">
        <v>220</v>
      </c>
      <c r="H61" s="6">
        <v>855</v>
      </c>
      <c r="I61" s="6">
        <v>25</v>
      </c>
      <c r="J61" s="6">
        <f t="shared" si="0"/>
        <v>830</v>
      </c>
      <c r="K61" s="6" t="s">
        <v>26</v>
      </c>
      <c r="L61" s="6" t="s">
        <v>26</v>
      </c>
      <c r="M61" s="6" t="s">
        <v>27</v>
      </c>
      <c r="N61" s="6"/>
      <c r="O61" s="6"/>
      <c r="P61" s="6"/>
      <c r="Q61" s="6"/>
      <c r="R61">
        <v>1</v>
      </c>
    </row>
    <row r="62" spans="1:19" ht="14.25" customHeight="1">
      <c r="A62" s="6"/>
      <c r="B62" s="6" t="s">
        <v>19</v>
      </c>
      <c r="C62" s="6" t="s">
        <v>231</v>
      </c>
      <c r="D62" s="6" t="s">
        <v>232</v>
      </c>
      <c r="E62" s="6" t="s">
        <v>233</v>
      </c>
      <c r="F62" s="6" t="s">
        <v>234</v>
      </c>
      <c r="G62" s="6" t="s">
        <v>220</v>
      </c>
      <c r="H62" s="6">
        <v>715</v>
      </c>
      <c r="I62" s="6">
        <v>25</v>
      </c>
      <c r="J62" s="6">
        <f t="shared" si="0"/>
        <v>690</v>
      </c>
      <c r="K62" s="6" t="s">
        <v>26</v>
      </c>
      <c r="L62" s="6" t="s">
        <v>26</v>
      </c>
      <c r="M62" s="6" t="s">
        <v>27</v>
      </c>
      <c r="N62" s="6"/>
      <c r="O62" s="6"/>
      <c r="P62" s="6"/>
      <c r="Q62" s="6"/>
      <c r="R62">
        <v>1</v>
      </c>
    </row>
    <row r="63" spans="1:19" ht="14.25" customHeight="1">
      <c r="A63" s="6" t="s">
        <v>37</v>
      </c>
      <c r="B63" s="6" t="s">
        <v>19</v>
      </c>
      <c r="C63" s="6" t="s">
        <v>235</v>
      </c>
      <c r="D63" s="6"/>
      <c r="E63" s="6">
        <v>401</v>
      </c>
      <c r="F63" s="6" t="s">
        <v>236</v>
      </c>
      <c r="G63" s="6" t="s">
        <v>220</v>
      </c>
      <c r="H63" s="6">
        <v>5200</v>
      </c>
      <c r="I63" s="6">
        <v>30</v>
      </c>
      <c r="J63" s="6">
        <f t="shared" si="0"/>
        <v>5170</v>
      </c>
      <c r="K63" s="6" t="s">
        <v>26</v>
      </c>
      <c r="L63" s="6" t="s">
        <v>26</v>
      </c>
      <c r="M63" s="6" t="s">
        <v>27</v>
      </c>
      <c r="N63" s="6"/>
      <c r="O63" s="6"/>
      <c r="P63" s="6"/>
      <c r="Q63" s="6"/>
      <c r="R63">
        <v>1</v>
      </c>
    </row>
    <row r="64" spans="1:19" ht="14.25" customHeight="1">
      <c r="A64" s="6" t="s">
        <v>37</v>
      </c>
      <c r="B64" s="6" t="s">
        <v>19</v>
      </c>
      <c r="C64" s="6" t="s">
        <v>237</v>
      </c>
      <c r="D64" s="6"/>
      <c r="E64" s="6">
        <v>403</v>
      </c>
      <c r="F64" s="6" t="s">
        <v>238</v>
      </c>
      <c r="G64" s="6" t="s">
        <v>220</v>
      </c>
      <c r="H64" s="6">
        <v>30</v>
      </c>
      <c r="I64" s="6">
        <v>30</v>
      </c>
      <c r="J64" s="6">
        <f t="shared" si="0"/>
        <v>0</v>
      </c>
      <c r="K64" s="6" t="s">
        <v>26</v>
      </c>
      <c r="L64" s="6" t="s">
        <v>26</v>
      </c>
      <c r="M64" s="6" t="s">
        <v>27</v>
      </c>
      <c r="N64" s="6"/>
      <c r="O64" s="6"/>
      <c r="P64" s="6"/>
      <c r="Q64" s="6"/>
      <c r="R64">
        <v>1</v>
      </c>
    </row>
    <row r="65" spans="1:19" ht="14.25" customHeight="1">
      <c r="A65" s="6"/>
      <c r="B65" s="6" t="s">
        <v>19</v>
      </c>
      <c r="C65" s="6" t="s">
        <v>239</v>
      </c>
      <c r="D65" s="6" t="s">
        <v>240</v>
      </c>
      <c r="E65" s="6">
        <v>217</v>
      </c>
      <c r="F65" s="6" t="s">
        <v>241</v>
      </c>
      <c r="G65" s="6" t="s">
        <v>220</v>
      </c>
      <c r="H65" s="6">
        <v>375</v>
      </c>
      <c r="I65" s="6">
        <v>25</v>
      </c>
      <c r="J65" s="6">
        <f t="shared" si="0"/>
        <v>350</v>
      </c>
      <c r="K65" s="6" t="s">
        <v>26</v>
      </c>
      <c r="L65" s="6" t="s">
        <v>26</v>
      </c>
      <c r="M65" s="6" t="s">
        <v>27</v>
      </c>
      <c r="N65" s="6"/>
      <c r="O65" s="6"/>
      <c r="P65" s="6"/>
      <c r="Q65" s="6"/>
      <c r="R65">
        <v>1</v>
      </c>
    </row>
    <row r="66" spans="1:19" ht="14.25" customHeight="1">
      <c r="A66" s="6"/>
      <c r="B66" s="6" t="s">
        <v>19</v>
      </c>
      <c r="C66" s="6" t="s">
        <v>242</v>
      </c>
      <c r="D66" s="6" t="s">
        <v>243</v>
      </c>
      <c r="E66" s="6" t="s">
        <v>244</v>
      </c>
      <c r="F66" s="6" t="s">
        <v>245</v>
      </c>
      <c r="G66" s="6" t="s">
        <v>128</v>
      </c>
      <c r="H66" s="6">
        <v>0</v>
      </c>
      <c r="I66" s="6">
        <v>25</v>
      </c>
      <c r="J66" s="6">
        <f t="shared" si="0"/>
        <v>-25</v>
      </c>
      <c r="K66" s="6" t="s">
        <v>26</v>
      </c>
      <c r="L66" s="6" t="s">
        <v>26</v>
      </c>
      <c r="M66" s="6" t="s">
        <v>27</v>
      </c>
      <c r="N66" s="6"/>
      <c r="O66" s="6"/>
      <c r="P66" s="6"/>
      <c r="Q66" s="6"/>
      <c r="R66">
        <v>1</v>
      </c>
      <c r="S66">
        <v>25</v>
      </c>
    </row>
    <row r="67" spans="1:19" ht="14.25" customHeight="1">
      <c r="A67" s="6"/>
      <c r="B67" s="6" t="s">
        <v>19</v>
      </c>
      <c r="C67" s="6" t="s">
        <v>246</v>
      </c>
      <c r="D67" s="6" t="s">
        <v>247</v>
      </c>
      <c r="E67" s="6" t="s">
        <v>248</v>
      </c>
      <c r="F67" s="6" t="s">
        <v>249</v>
      </c>
      <c r="G67" s="6" t="s">
        <v>250</v>
      </c>
      <c r="H67" s="6">
        <v>740</v>
      </c>
      <c r="I67" s="6">
        <v>30</v>
      </c>
      <c r="J67" s="6">
        <f t="shared" si="0"/>
        <v>710</v>
      </c>
      <c r="K67" s="6" t="s">
        <v>26</v>
      </c>
      <c r="L67" s="6" t="s">
        <v>26</v>
      </c>
      <c r="M67" s="6" t="s">
        <v>27</v>
      </c>
      <c r="N67" s="6"/>
      <c r="O67" s="6"/>
      <c r="P67" s="6"/>
      <c r="Q67" s="6"/>
      <c r="R67">
        <v>1</v>
      </c>
    </row>
    <row r="68" spans="1:19" ht="14.25" customHeight="1">
      <c r="A68" s="6"/>
      <c r="B68" s="6" t="s">
        <v>19</v>
      </c>
      <c r="C68" s="6" t="s">
        <v>251</v>
      </c>
      <c r="D68" s="6" t="s">
        <v>252</v>
      </c>
      <c r="E68" s="6">
        <v>3</v>
      </c>
      <c r="F68" s="6" t="s">
        <v>253</v>
      </c>
      <c r="G68" s="6" t="s">
        <v>250</v>
      </c>
      <c r="H68" s="6">
        <v>980</v>
      </c>
      <c r="I68" s="6">
        <v>30</v>
      </c>
      <c r="J68" s="6">
        <f t="shared" si="0"/>
        <v>950</v>
      </c>
      <c r="K68" s="6" t="s">
        <v>26</v>
      </c>
      <c r="L68" s="6" t="s">
        <v>26</v>
      </c>
      <c r="M68" s="6" t="s">
        <v>27</v>
      </c>
      <c r="N68" s="6"/>
      <c r="O68" s="6"/>
      <c r="P68" s="6"/>
      <c r="Q68" s="6"/>
      <c r="R68">
        <v>1</v>
      </c>
    </row>
    <row r="69" spans="1:19" ht="14.25" customHeight="1">
      <c r="A69" s="6"/>
      <c r="B69" s="6" t="s">
        <v>19</v>
      </c>
      <c r="C69" s="6" t="s">
        <v>254</v>
      </c>
      <c r="D69" s="6" t="s">
        <v>255</v>
      </c>
      <c r="E69" s="6" t="s">
        <v>256</v>
      </c>
      <c r="F69" s="6" t="s">
        <v>257</v>
      </c>
      <c r="G69" s="6" t="s">
        <v>250</v>
      </c>
      <c r="H69" s="6">
        <v>400</v>
      </c>
      <c r="I69" s="6">
        <v>30</v>
      </c>
      <c r="J69" s="6">
        <f t="shared" si="0"/>
        <v>370</v>
      </c>
      <c r="K69" s="6" t="s">
        <v>26</v>
      </c>
      <c r="L69" s="6" t="s">
        <v>26</v>
      </c>
      <c r="M69" s="6" t="s">
        <v>27</v>
      </c>
      <c r="N69" s="6"/>
      <c r="O69" s="6"/>
      <c r="P69" s="6"/>
      <c r="Q69" s="6"/>
      <c r="R69">
        <v>1</v>
      </c>
    </row>
    <row r="70" spans="1:19" ht="14.25" customHeight="1">
      <c r="A70" s="6"/>
      <c r="B70" s="6" t="s">
        <v>19</v>
      </c>
      <c r="C70" s="6" t="s">
        <v>258</v>
      </c>
      <c r="D70" s="6" t="s">
        <v>259</v>
      </c>
      <c r="E70" s="6">
        <v>104</v>
      </c>
      <c r="F70" s="6" t="s">
        <v>260</v>
      </c>
      <c r="G70" s="6" t="s">
        <v>250</v>
      </c>
      <c r="H70" s="6">
        <v>820</v>
      </c>
      <c r="I70" s="6">
        <v>30</v>
      </c>
      <c r="J70" s="6">
        <f t="shared" si="0"/>
        <v>790</v>
      </c>
      <c r="K70" s="6" t="s">
        <v>26</v>
      </c>
      <c r="L70" s="6" t="s">
        <v>26</v>
      </c>
      <c r="M70" s="6" t="s">
        <v>27</v>
      </c>
      <c r="N70" s="6"/>
      <c r="O70" s="6"/>
      <c r="P70" s="6"/>
      <c r="Q70" s="6"/>
      <c r="R70">
        <v>1</v>
      </c>
    </row>
    <row r="71" spans="1:19" ht="14.25" customHeight="1">
      <c r="A71" s="6"/>
      <c r="B71" s="6" t="s">
        <v>19</v>
      </c>
      <c r="C71" s="6" t="s">
        <v>261</v>
      </c>
      <c r="D71" s="6" t="s">
        <v>262</v>
      </c>
      <c r="E71" s="6" t="s">
        <v>263</v>
      </c>
      <c r="F71" s="6" t="s">
        <v>264</v>
      </c>
      <c r="G71" s="6" t="s">
        <v>250</v>
      </c>
      <c r="H71" s="6">
        <v>520</v>
      </c>
      <c r="I71" s="6">
        <v>30</v>
      </c>
      <c r="J71" s="6">
        <f t="shared" si="0"/>
        <v>490</v>
      </c>
      <c r="K71" s="6" t="s">
        <v>26</v>
      </c>
      <c r="L71" s="6" t="s">
        <v>26</v>
      </c>
      <c r="M71" s="6" t="s">
        <v>27</v>
      </c>
      <c r="N71" s="6"/>
      <c r="O71" s="6"/>
      <c r="P71" s="6"/>
      <c r="Q71" s="6"/>
      <c r="R71">
        <v>1</v>
      </c>
    </row>
    <row r="72" spans="1:19" ht="14.25" customHeight="1">
      <c r="A72" s="6"/>
      <c r="B72" s="6" t="s">
        <v>19</v>
      </c>
      <c r="C72" s="6" t="s">
        <v>265</v>
      </c>
      <c r="D72" s="6" t="s">
        <v>266</v>
      </c>
      <c r="E72" s="6" t="s">
        <v>267</v>
      </c>
      <c r="F72" s="6" t="s">
        <v>268</v>
      </c>
      <c r="G72" s="6">
        <v>6</v>
      </c>
      <c r="H72" s="6">
        <v>855</v>
      </c>
      <c r="I72" s="6">
        <v>25</v>
      </c>
      <c r="J72" s="6">
        <f t="shared" si="0"/>
        <v>830</v>
      </c>
      <c r="K72" s="6" t="s">
        <v>269</v>
      </c>
      <c r="L72" s="6" t="s">
        <v>26</v>
      </c>
      <c r="M72" s="6" t="s">
        <v>27</v>
      </c>
      <c r="N72" s="6"/>
      <c r="O72" s="6"/>
      <c r="P72" s="6"/>
      <c r="Q72" s="6"/>
      <c r="R72">
        <v>1</v>
      </c>
    </row>
    <row r="73" spans="1:19" ht="14.25" customHeight="1">
      <c r="A73" s="6" t="s">
        <v>37</v>
      </c>
      <c r="B73" s="6" t="s">
        <v>19</v>
      </c>
      <c r="C73" s="6" t="s">
        <v>270</v>
      </c>
      <c r="D73" s="6"/>
      <c r="E73" s="6" t="s">
        <v>271</v>
      </c>
      <c r="F73" s="6" t="s">
        <v>272</v>
      </c>
      <c r="G73" s="6">
        <v>6</v>
      </c>
      <c r="H73" s="6">
        <v>0</v>
      </c>
      <c r="I73" s="6">
        <v>30</v>
      </c>
      <c r="J73" s="6">
        <f t="shared" si="0"/>
        <v>-30</v>
      </c>
      <c r="K73" s="6" t="s">
        <v>269</v>
      </c>
      <c r="L73" s="6" t="s">
        <v>26</v>
      </c>
      <c r="M73" s="6" t="s">
        <v>27</v>
      </c>
      <c r="N73" s="6"/>
      <c r="O73" s="6"/>
      <c r="P73" s="6"/>
      <c r="Q73" s="6"/>
      <c r="R73">
        <v>1</v>
      </c>
      <c r="S73">
        <v>30</v>
      </c>
    </row>
    <row r="74" spans="1:19" ht="14.25" customHeight="1">
      <c r="A74" s="6"/>
      <c r="B74" s="6" t="s">
        <v>19</v>
      </c>
      <c r="C74" s="6" t="s">
        <v>31</v>
      </c>
      <c r="D74" s="6" t="s">
        <v>273</v>
      </c>
      <c r="E74" s="6" t="s">
        <v>274</v>
      </c>
      <c r="F74" s="6" t="s">
        <v>272</v>
      </c>
      <c r="G74" s="6">
        <v>6</v>
      </c>
      <c r="H74" s="6">
        <v>855</v>
      </c>
      <c r="I74" s="6">
        <v>25</v>
      </c>
      <c r="J74" s="6">
        <f t="shared" si="0"/>
        <v>830</v>
      </c>
      <c r="K74" s="6" t="s">
        <v>269</v>
      </c>
      <c r="L74" s="6" t="s">
        <v>26</v>
      </c>
      <c r="M74" s="6" t="s">
        <v>27</v>
      </c>
      <c r="N74" s="6"/>
      <c r="O74" s="6"/>
      <c r="P74" s="6"/>
      <c r="Q74" s="6"/>
      <c r="R74">
        <v>1</v>
      </c>
    </row>
    <row r="75" spans="1:19" ht="14.25" customHeight="1">
      <c r="A75" s="6"/>
      <c r="B75" s="6" t="s">
        <v>19</v>
      </c>
      <c r="C75" s="6" t="s">
        <v>275</v>
      </c>
      <c r="D75" s="6" t="s">
        <v>276</v>
      </c>
      <c r="E75" s="6">
        <v>66</v>
      </c>
      <c r="F75" s="6" t="s">
        <v>277</v>
      </c>
      <c r="G75" s="6">
        <v>6</v>
      </c>
      <c r="H75" s="6">
        <v>0</v>
      </c>
      <c r="I75" s="6">
        <v>25</v>
      </c>
      <c r="J75" s="6">
        <f t="shared" si="0"/>
        <v>-25</v>
      </c>
      <c r="K75" s="6" t="s">
        <v>269</v>
      </c>
      <c r="L75" s="6" t="s">
        <v>26</v>
      </c>
      <c r="M75" s="6" t="s">
        <v>27</v>
      </c>
      <c r="N75" s="6"/>
      <c r="O75" s="6"/>
      <c r="P75" s="6"/>
      <c r="Q75" s="6"/>
      <c r="R75">
        <v>1</v>
      </c>
      <c r="S75">
        <v>25</v>
      </c>
    </row>
    <row r="76" spans="1:19" ht="14.25" customHeight="1">
      <c r="A76" s="6"/>
      <c r="B76" s="6" t="s">
        <v>19</v>
      </c>
      <c r="C76" s="6" t="s">
        <v>278</v>
      </c>
      <c r="D76" s="6" t="s">
        <v>279</v>
      </c>
      <c r="E76" s="6">
        <v>66</v>
      </c>
      <c r="F76" s="6" t="s">
        <v>277</v>
      </c>
      <c r="G76" s="6">
        <v>6</v>
      </c>
      <c r="H76" s="6">
        <v>915</v>
      </c>
      <c r="I76" s="6">
        <v>25</v>
      </c>
      <c r="J76" s="6">
        <f t="shared" si="0"/>
        <v>890</v>
      </c>
      <c r="K76" s="6" t="s">
        <v>269</v>
      </c>
      <c r="L76" s="6" t="s">
        <v>26</v>
      </c>
      <c r="M76" s="6" t="s">
        <v>27</v>
      </c>
      <c r="N76" s="6"/>
      <c r="O76" s="6"/>
      <c r="P76" s="6"/>
      <c r="Q76" s="6"/>
      <c r="R76">
        <v>1</v>
      </c>
    </row>
    <row r="77" spans="1:19" ht="14.25" customHeight="1">
      <c r="A77" s="6" t="s">
        <v>37</v>
      </c>
      <c r="B77" s="6" t="s">
        <v>19</v>
      </c>
      <c r="C77" s="6" t="s">
        <v>280</v>
      </c>
      <c r="D77" s="6"/>
      <c r="E77" s="6">
        <v>40</v>
      </c>
      <c r="F77" s="6" t="s">
        <v>281</v>
      </c>
      <c r="G77" s="6">
        <v>6</v>
      </c>
      <c r="H77" s="6">
        <v>0</v>
      </c>
      <c r="I77" s="6">
        <v>30</v>
      </c>
      <c r="J77" s="6">
        <f t="shared" si="0"/>
        <v>-30</v>
      </c>
      <c r="K77" s="6" t="s">
        <v>269</v>
      </c>
      <c r="L77" s="6" t="s">
        <v>26</v>
      </c>
      <c r="M77" s="6" t="s">
        <v>27</v>
      </c>
      <c r="N77" s="6"/>
      <c r="O77" s="6"/>
      <c r="P77" s="6"/>
      <c r="Q77" s="6"/>
      <c r="R77">
        <v>1</v>
      </c>
      <c r="S77">
        <v>30</v>
      </c>
    </row>
    <row r="78" spans="1:19" ht="14.25" customHeight="1">
      <c r="A78" s="6"/>
      <c r="B78" s="6" t="s">
        <v>19</v>
      </c>
      <c r="C78" s="6" t="s">
        <v>282</v>
      </c>
      <c r="D78" s="6" t="s">
        <v>283</v>
      </c>
      <c r="E78" s="6">
        <v>79</v>
      </c>
      <c r="F78" s="6" t="s">
        <v>162</v>
      </c>
      <c r="G78" s="6">
        <v>6</v>
      </c>
      <c r="H78" s="6">
        <v>1000</v>
      </c>
      <c r="I78" s="6">
        <v>30</v>
      </c>
      <c r="J78" s="6">
        <f t="shared" si="0"/>
        <v>970</v>
      </c>
      <c r="K78" s="6" t="s">
        <v>269</v>
      </c>
      <c r="L78" s="6" t="s">
        <v>26</v>
      </c>
      <c r="M78" s="6" t="s">
        <v>27</v>
      </c>
      <c r="N78" s="6"/>
      <c r="O78" s="6"/>
      <c r="P78" s="6"/>
      <c r="Q78" s="6"/>
      <c r="R78">
        <v>1</v>
      </c>
    </row>
    <row r="79" spans="1:19" ht="14.25" customHeight="1">
      <c r="A79" s="5"/>
      <c r="B79" s="5" t="s">
        <v>19</v>
      </c>
      <c r="C79" s="5" t="s">
        <v>284</v>
      </c>
      <c r="D79" s="5" t="s">
        <v>285</v>
      </c>
      <c r="E79" s="5" t="s">
        <v>286</v>
      </c>
      <c r="F79" s="5" t="s">
        <v>287</v>
      </c>
      <c r="G79" s="5">
        <v>6</v>
      </c>
      <c r="H79" s="5">
        <v>2550</v>
      </c>
      <c r="I79" s="5">
        <v>30</v>
      </c>
      <c r="J79" s="5">
        <f t="shared" si="0"/>
        <v>2520</v>
      </c>
      <c r="K79" s="5" t="s">
        <v>269</v>
      </c>
      <c r="L79" s="5" t="s">
        <v>26</v>
      </c>
      <c r="M79" s="5" t="s">
        <v>27</v>
      </c>
      <c r="N79" s="5" t="s">
        <v>36</v>
      </c>
      <c r="O79" s="5"/>
      <c r="P79" s="5"/>
      <c r="Q79" s="5"/>
      <c r="R79">
        <v>1</v>
      </c>
    </row>
    <row r="80" spans="1:19" ht="14.25" customHeight="1">
      <c r="A80" s="6"/>
      <c r="B80" s="6" t="s">
        <v>19</v>
      </c>
      <c r="C80" s="6" t="s">
        <v>288</v>
      </c>
      <c r="D80" s="6" t="s">
        <v>289</v>
      </c>
      <c r="E80" s="6">
        <v>132</v>
      </c>
      <c r="F80" s="6" t="s">
        <v>153</v>
      </c>
      <c r="G80" s="6">
        <v>7</v>
      </c>
      <c r="H80" s="6">
        <v>715</v>
      </c>
      <c r="I80" s="6">
        <v>25</v>
      </c>
      <c r="J80" s="6">
        <f t="shared" si="0"/>
        <v>690</v>
      </c>
      <c r="K80" s="6" t="s">
        <v>269</v>
      </c>
      <c r="L80" s="6" t="s">
        <v>26</v>
      </c>
      <c r="M80" s="6" t="s">
        <v>27</v>
      </c>
      <c r="N80" s="6"/>
      <c r="O80" s="6"/>
      <c r="P80" s="6"/>
      <c r="Q80" s="6"/>
      <c r="R80">
        <v>1</v>
      </c>
    </row>
    <row r="81" spans="1:19" ht="14.25" customHeight="1">
      <c r="A81" s="6"/>
      <c r="B81" s="6" t="s">
        <v>19</v>
      </c>
      <c r="C81" s="6" t="s">
        <v>290</v>
      </c>
      <c r="D81" s="6" t="s">
        <v>291</v>
      </c>
      <c r="E81" s="6" t="s">
        <v>292</v>
      </c>
      <c r="F81" s="6" t="s">
        <v>293</v>
      </c>
      <c r="G81" s="6">
        <v>7</v>
      </c>
      <c r="H81" s="6">
        <v>375</v>
      </c>
      <c r="I81" s="6">
        <v>25</v>
      </c>
      <c r="J81" s="6">
        <f t="shared" si="0"/>
        <v>350</v>
      </c>
      <c r="K81" s="6" t="s">
        <v>269</v>
      </c>
      <c r="L81" s="6" t="s">
        <v>26</v>
      </c>
      <c r="M81" s="6" t="s">
        <v>27</v>
      </c>
      <c r="N81" s="6"/>
      <c r="O81" s="6"/>
      <c r="P81" s="6"/>
      <c r="Q81" s="6"/>
      <c r="R81">
        <v>1</v>
      </c>
    </row>
    <row r="82" spans="1:19" ht="14.25" customHeight="1">
      <c r="A82" s="6"/>
      <c r="B82" s="6" t="s">
        <v>19</v>
      </c>
      <c r="C82" s="6" t="s">
        <v>294</v>
      </c>
      <c r="D82" s="6" t="s">
        <v>295</v>
      </c>
      <c r="E82" s="6" t="s">
        <v>296</v>
      </c>
      <c r="F82" s="6" t="s">
        <v>297</v>
      </c>
      <c r="G82" s="6">
        <v>7</v>
      </c>
      <c r="H82" s="6">
        <v>0</v>
      </c>
      <c r="I82" s="6">
        <v>0</v>
      </c>
      <c r="J82" s="6">
        <f t="shared" si="0"/>
        <v>0</v>
      </c>
      <c r="K82" s="6" t="s">
        <v>269</v>
      </c>
      <c r="L82" s="6" t="s">
        <v>26</v>
      </c>
      <c r="M82" s="6" t="s">
        <v>27</v>
      </c>
      <c r="N82" s="7" t="s">
        <v>298</v>
      </c>
      <c r="O82" s="6"/>
      <c r="P82" s="6"/>
      <c r="Q82" s="6"/>
      <c r="R82">
        <v>1</v>
      </c>
      <c r="S82">
        <v>0</v>
      </c>
    </row>
    <row r="83" spans="1:19" ht="14.25" customHeight="1">
      <c r="A83" s="6"/>
      <c r="B83" s="6" t="s">
        <v>19</v>
      </c>
      <c r="C83" s="6" t="s">
        <v>294</v>
      </c>
      <c r="D83" s="6" t="s">
        <v>299</v>
      </c>
      <c r="E83" s="6" t="s">
        <v>300</v>
      </c>
      <c r="F83" s="6" t="s">
        <v>297</v>
      </c>
      <c r="G83" s="6">
        <v>7</v>
      </c>
      <c r="H83" s="6">
        <v>0</v>
      </c>
      <c r="I83" s="6">
        <v>25</v>
      </c>
      <c r="J83" s="6">
        <f t="shared" si="0"/>
        <v>-25</v>
      </c>
      <c r="K83" s="6" t="s">
        <v>269</v>
      </c>
      <c r="L83" s="6" t="s">
        <v>26</v>
      </c>
      <c r="M83" s="6" t="s">
        <v>27</v>
      </c>
      <c r="N83" s="6"/>
      <c r="O83" s="6"/>
      <c r="P83" s="6"/>
      <c r="Q83" s="6"/>
      <c r="R83">
        <v>1</v>
      </c>
      <c r="S83">
        <v>25</v>
      </c>
    </row>
    <row r="84" spans="1:19" ht="14.25" customHeight="1">
      <c r="A84" s="6"/>
      <c r="B84" s="6" t="s">
        <v>19</v>
      </c>
      <c r="C84" s="6" t="s">
        <v>301</v>
      </c>
      <c r="D84" s="6" t="s">
        <v>302</v>
      </c>
      <c r="E84" s="6">
        <v>72</v>
      </c>
      <c r="F84" s="6" t="s">
        <v>303</v>
      </c>
      <c r="G84" s="6">
        <v>7</v>
      </c>
      <c r="H84" s="6">
        <v>25</v>
      </c>
      <c r="I84" s="6">
        <v>25</v>
      </c>
      <c r="J84" s="6">
        <f t="shared" si="0"/>
        <v>0</v>
      </c>
      <c r="K84" s="6" t="s">
        <v>269</v>
      </c>
      <c r="L84" s="6" t="s">
        <v>26</v>
      </c>
      <c r="M84" s="6" t="s">
        <v>27</v>
      </c>
      <c r="N84" s="6"/>
      <c r="O84" s="6"/>
      <c r="P84" s="6"/>
      <c r="Q84" s="6"/>
      <c r="R84">
        <v>1</v>
      </c>
    </row>
    <row r="85" spans="1:19" ht="14.25" customHeight="1">
      <c r="A85" s="5"/>
      <c r="B85" s="5" t="s">
        <v>19</v>
      </c>
      <c r="C85" s="5" t="s">
        <v>304</v>
      </c>
      <c r="D85" s="5" t="s">
        <v>305</v>
      </c>
      <c r="E85" s="5" t="s">
        <v>306</v>
      </c>
      <c r="F85" s="5" t="s">
        <v>307</v>
      </c>
      <c r="G85" s="5">
        <v>7</v>
      </c>
      <c r="H85" s="5">
        <v>950</v>
      </c>
      <c r="I85" s="5">
        <v>25</v>
      </c>
      <c r="J85" s="5">
        <f t="shared" si="0"/>
        <v>925</v>
      </c>
      <c r="K85" s="5" t="s">
        <v>269</v>
      </c>
      <c r="L85" s="5" t="s">
        <v>26</v>
      </c>
      <c r="M85" s="5" t="s">
        <v>27</v>
      </c>
      <c r="N85" s="5" t="s">
        <v>36</v>
      </c>
      <c r="O85" s="5"/>
      <c r="P85" s="5"/>
      <c r="Q85" s="5"/>
      <c r="R85">
        <v>1</v>
      </c>
    </row>
    <row r="86" spans="1:19" ht="14.25" customHeight="1">
      <c r="A86" s="6"/>
      <c r="B86" s="6" t="s">
        <v>19</v>
      </c>
      <c r="C86" s="6" t="s">
        <v>308</v>
      </c>
      <c r="D86" s="6" t="s">
        <v>309</v>
      </c>
      <c r="E86" s="6" t="s">
        <v>310</v>
      </c>
      <c r="F86" s="6" t="s">
        <v>311</v>
      </c>
      <c r="G86" s="6">
        <v>7</v>
      </c>
      <c r="H86" s="6">
        <v>1525</v>
      </c>
      <c r="I86" s="6">
        <v>25</v>
      </c>
      <c r="J86" s="6">
        <f t="shared" si="0"/>
        <v>1500</v>
      </c>
      <c r="K86" s="6" t="s">
        <v>269</v>
      </c>
      <c r="L86" s="6" t="s">
        <v>26</v>
      </c>
      <c r="M86" s="6" t="s">
        <v>27</v>
      </c>
      <c r="N86" s="6"/>
      <c r="O86" s="6"/>
      <c r="P86" s="6"/>
      <c r="Q86" s="6"/>
      <c r="R86">
        <v>1</v>
      </c>
    </row>
    <row r="87" spans="1:19" ht="14.25" customHeight="1">
      <c r="A87" s="6"/>
      <c r="B87" s="6" t="s">
        <v>19</v>
      </c>
      <c r="C87" s="6" t="s">
        <v>284</v>
      </c>
      <c r="D87" s="6" t="s">
        <v>312</v>
      </c>
      <c r="E87" s="6">
        <v>180</v>
      </c>
      <c r="F87" s="6" t="s">
        <v>313</v>
      </c>
      <c r="G87" s="6">
        <v>7</v>
      </c>
      <c r="H87" s="6">
        <v>855</v>
      </c>
      <c r="I87" s="6">
        <v>25</v>
      </c>
      <c r="J87" s="6">
        <f t="shared" si="0"/>
        <v>830</v>
      </c>
      <c r="K87" s="6" t="s">
        <v>269</v>
      </c>
      <c r="L87" s="6" t="s">
        <v>26</v>
      </c>
      <c r="M87" s="6" t="s">
        <v>27</v>
      </c>
      <c r="N87" s="6"/>
      <c r="O87" s="6"/>
      <c r="P87" s="6"/>
      <c r="Q87" s="6"/>
      <c r="R87">
        <v>1</v>
      </c>
    </row>
    <row r="88" spans="1:19" ht="14.25" customHeight="1">
      <c r="A88" s="6"/>
      <c r="B88" s="6" t="s">
        <v>19</v>
      </c>
      <c r="C88" s="6" t="s">
        <v>314</v>
      </c>
      <c r="D88" s="6" t="s">
        <v>315</v>
      </c>
      <c r="E88" s="6">
        <v>69</v>
      </c>
      <c r="F88" s="6" t="s">
        <v>316</v>
      </c>
      <c r="G88" s="6">
        <v>7</v>
      </c>
      <c r="H88" s="6">
        <v>1015</v>
      </c>
      <c r="I88" s="6">
        <v>25</v>
      </c>
      <c r="J88" s="6">
        <f t="shared" si="0"/>
        <v>990</v>
      </c>
      <c r="K88" s="6" t="s">
        <v>269</v>
      </c>
      <c r="L88" s="6" t="s">
        <v>26</v>
      </c>
      <c r="M88" s="6" t="s">
        <v>27</v>
      </c>
      <c r="N88" s="6"/>
      <c r="O88" s="6"/>
      <c r="P88" s="6"/>
      <c r="Q88" s="6"/>
      <c r="R88">
        <v>1</v>
      </c>
    </row>
    <row r="89" spans="1:19" ht="14.25" customHeight="1">
      <c r="A89" s="6"/>
      <c r="B89" s="6" t="s">
        <v>19</v>
      </c>
      <c r="C89" s="6" t="s">
        <v>317</v>
      </c>
      <c r="D89" s="6" t="s">
        <v>318</v>
      </c>
      <c r="E89" s="6">
        <v>69</v>
      </c>
      <c r="F89" s="6" t="s">
        <v>316</v>
      </c>
      <c r="G89" s="6">
        <v>7</v>
      </c>
      <c r="H89" s="6">
        <v>465</v>
      </c>
      <c r="I89" s="6">
        <v>25</v>
      </c>
      <c r="J89" s="6">
        <f t="shared" si="0"/>
        <v>440</v>
      </c>
      <c r="K89" s="6" t="s">
        <v>269</v>
      </c>
      <c r="L89" s="6" t="s">
        <v>26</v>
      </c>
      <c r="M89" s="6" t="s">
        <v>27</v>
      </c>
      <c r="N89" s="6"/>
      <c r="O89" s="6"/>
      <c r="P89" s="6"/>
      <c r="Q89" s="6"/>
      <c r="R89">
        <v>1</v>
      </c>
    </row>
    <row r="90" spans="1:19" ht="14.25" customHeight="1">
      <c r="A90" s="6"/>
      <c r="B90" s="6" t="s">
        <v>19</v>
      </c>
      <c r="C90" s="6" t="s">
        <v>319</v>
      </c>
      <c r="D90" s="6" t="s">
        <v>320</v>
      </c>
      <c r="E90" s="6">
        <v>19</v>
      </c>
      <c r="F90" s="6" t="s">
        <v>321</v>
      </c>
      <c r="G90" s="6">
        <v>7</v>
      </c>
      <c r="H90" s="6">
        <v>855</v>
      </c>
      <c r="I90" s="6">
        <v>25</v>
      </c>
      <c r="J90" s="6">
        <f t="shared" si="0"/>
        <v>830</v>
      </c>
      <c r="K90" s="6" t="s">
        <v>269</v>
      </c>
      <c r="L90" s="6" t="s">
        <v>26</v>
      </c>
      <c r="M90" s="6" t="s">
        <v>27</v>
      </c>
      <c r="N90" s="6"/>
      <c r="O90" s="6"/>
      <c r="P90" s="6"/>
      <c r="Q90" s="6"/>
      <c r="R90">
        <v>1</v>
      </c>
    </row>
    <row r="91" spans="1:19" ht="14.25" customHeight="1">
      <c r="A91" s="6"/>
      <c r="B91" s="6" t="s">
        <v>19</v>
      </c>
      <c r="C91" s="6" t="s">
        <v>322</v>
      </c>
      <c r="D91" s="6" t="s">
        <v>323</v>
      </c>
      <c r="E91" s="6" t="s">
        <v>324</v>
      </c>
      <c r="F91" s="6" t="s">
        <v>325</v>
      </c>
      <c r="G91" s="6">
        <v>8</v>
      </c>
      <c r="H91" s="6">
        <v>1475</v>
      </c>
      <c r="I91" s="6">
        <v>25</v>
      </c>
      <c r="J91" s="6">
        <f t="shared" si="0"/>
        <v>1450</v>
      </c>
      <c r="K91" s="6" t="s">
        <v>269</v>
      </c>
      <c r="L91" s="6" t="s">
        <v>26</v>
      </c>
      <c r="M91" s="6" t="s">
        <v>27</v>
      </c>
      <c r="N91" s="6"/>
      <c r="O91" s="6"/>
      <c r="P91" s="6"/>
      <c r="Q91" s="6"/>
      <c r="R91">
        <v>1</v>
      </c>
    </row>
    <row r="92" spans="1:19" ht="14.25" customHeight="1">
      <c r="A92" s="6"/>
      <c r="B92" s="6" t="s">
        <v>19</v>
      </c>
      <c r="C92" s="6" t="s">
        <v>326</v>
      </c>
      <c r="D92" s="6" t="s">
        <v>327</v>
      </c>
      <c r="E92" s="6">
        <v>20</v>
      </c>
      <c r="F92" s="6" t="s">
        <v>328</v>
      </c>
      <c r="G92" s="6">
        <v>8</v>
      </c>
      <c r="H92" s="6">
        <v>1000</v>
      </c>
      <c r="I92" s="6">
        <v>30</v>
      </c>
      <c r="J92" s="6">
        <f t="shared" si="0"/>
        <v>970</v>
      </c>
      <c r="K92" s="6" t="s">
        <v>269</v>
      </c>
      <c r="L92" s="6" t="s">
        <v>26</v>
      </c>
      <c r="M92" s="6" t="s">
        <v>27</v>
      </c>
      <c r="N92" s="6"/>
      <c r="O92" s="6"/>
      <c r="P92" s="6"/>
      <c r="Q92" s="6"/>
      <c r="R92">
        <v>1</v>
      </c>
    </row>
    <row r="93" spans="1:19" ht="14.25" customHeight="1">
      <c r="A93" s="6"/>
      <c r="B93" s="6" t="s">
        <v>19</v>
      </c>
      <c r="C93" s="6" t="s">
        <v>329</v>
      </c>
      <c r="D93" s="6" t="s">
        <v>330</v>
      </c>
      <c r="E93" s="6">
        <v>3273</v>
      </c>
      <c r="F93" s="6" t="s">
        <v>331</v>
      </c>
      <c r="G93" s="6">
        <v>8</v>
      </c>
      <c r="H93" s="6">
        <v>810</v>
      </c>
      <c r="I93" s="6">
        <v>30</v>
      </c>
      <c r="J93" s="6">
        <f t="shared" si="0"/>
        <v>780</v>
      </c>
      <c r="K93" s="6" t="s">
        <v>269</v>
      </c>
      <c r="L93" s="6" t="s">
        <v>26</v>
      </c>
      <c r="M93" s="6" t="s">
        <v>27</v>
      </c>
      <c r="N93" s="6"/>
      <c r="O93" s="6"/>
      <c r="P93" s="6"/>
      <c r="Q93" s="6"/>
      <c r="R93">
        <v>1</v>
      </c>
    </row>
    <row r="94" spans="1:19" ht="14.25" customHeight="1">
      <c r="A94" s="6"/>
      <c r="B94" s="6" t="s">
        <v>19</v>
      </c>
      <c r="C94" s="6" t="s">
        <v>332</v>
      </c>
      <c r="D94" s="6" t="s">
        <v>333</v>
      </c>
      <c r="E94" s="6" t="s">
        <v>334</v>
      </c>
      <c r="F94" s="6" t="s">
        <v>331</v>
      </c>
      <c r="G94" s="6">
        <v>8</v>
      </c>
      <c r="H94" s="6">
        <v>820</v>
      </c>
      <c r="I94" s="6">
        <v>30</v>
      </c>
      <c r="J94" s="6">
        <f t="shared" si="0"/>
        <v>790</v>
      </c>
      <c r="K94" s="6" t="s">
        <v>269</v>
      </c>
      <c r="L94" s="6" t="s">
        <v>26</v>
      </c>
      <c r="M94" s="6" t="s">
        <v>27</v>
      </c>
      <c r="N94" s="6"/>
      <c r="O94" s="6"/>
      <c r="P94" s="6"/>
      <c r="Q94" s="6"/>
      <c r="R94">
        <v>1</v>
      </c>
    </row>
    <row r="95" spans="1:19" ht="14.25" customHeight="1">
      <c r="A95" s="6"/>
      <c r="B95" s="6" t="s">
        <v>19</v>
      </c>
      <c r="C95" s="6" t="s">
        <v>335</v>
      </c>
      <c r="D95" s="6" t="s">
        <v>336</v>
      </c>
      <c r="E95" s="6" t="s">
        <v>337</v>
      </c>
      <c r="F95" s="6" t="s">
        <v>331</v>
      </c>
      <c r="G95" s="6">
        <v>8</v>
      </c>
      <c r="H95" s="6">
        <v>845</v>
      </c>
      <c r="I95" s="6">
        <v>25</v>
      </c>
      <c r="J95" s="6">
        <f t="shared" si="0"/>
        <v>820</v>
      </c>
      <c r="K95" s="6" t="s">
        <v>269</v>
      </c>
      <c r="L95" s="6" t="s">
        <v>26</v>
      </c>
      <c r="M95" s="6" t="s">
        <v>27</v>
      </c>
      <c r="N95" s="6"/>
      <c r="O95" s="6"/>
      <c r="P95" s="6"/>
      <c r="Q95" s="6"/>
      <c r="R95">
        <v>1</v>
      </c>
    </row>
    <row r="96" spans="1:19" ht="14.25" customHeight="1">
      <c r="A96" s="6"/>
      <c r="B96" s="6" t="s">
        <v>19</v>
      </c>
      <c r="C96" s="6" t="s">
        <v>338</v>
      </c>
      <c r="D96" s="6" t="s">
        <v>339</v>
      </c>
      <c r="E96" s="6" t="s">
        <v>340</v>
      </c>
      <c r="F96" s="6" t="s">
        <v>328</v>
      </c>
      <c r="G96" s="6">
        <v>9</v>
      </c>
      <c r="H96" s="6">
        <v>1020</v>
      </c>
      <c r="I96" s="6">
        <v>30</v>
      </c>
      <c r="J96" s="6">
        <f t="shared" si="0"/>
        <v>990</v>
      </c>
      <c r="K96" s="6" t="s">
        <v>269</v>
      </c>
      <c r="L96" s="6" t="s">
        <v>26</v>
      </c>
      <c r="M96" s="6" t="s">
        <v>27</v>
      </c>
      <c r="N96" s="6"/>
      <c r="O96" s="6"/>
      <c r="P96" s="6"/>
      <c r="Q96" s="6"/>
      <c r="R96">
        <v>1</v>
      </c>
    </row>
    <row r="97" spans="1:19" ht="14.25" customHeight="1">
      <c r="A97" s="6"/>
      <c r="B97" s="6" t="s">
        <v>19</v>
      </c>
      <c r="C97" s="6" t="s">
        <v>341</v>
      </c>
      <c r="D97" s="6" t="s">
        <v>342</v>
      </c>
      <c r="E97" s="6" t="s">
        <v>343</v>
      </c>
      <c r="F97" s="6" t="s">
        <v>344</v>
      </c>
      <c r="G97" s="6">
        <v>11</v>
      </c>
      <c r="H97" s="6">
        <v>815</v>
      </c>
      <c r="I97" s="6">
        <v>25</v>
      </c>
      <c r="J97" s="6">
        <f t="shared" si="0"/>
        <v>790</v>
      </c>
      <c r="K97" s="6" t="s">
        <v>269</v>
      </c>
      <c r="L97" s="6" t="s">
        <v>26</v>
      </c>
      <c r="M97" s="6" t="s">
        <v>27</v>
      </c>
      <c r="N97" s="6"/>
      <c r="O97" s="6"/>
      <c r="P97" s="6"/>
      <c r="Q97" s="6"/>
      <c r="R97">
        <v>1</v>
      </c>
    </row>
    <row r="98" spans="1:19" ht="14.25" customHeight="1">
      <c r="A98" s="6"/>
      <c r="B98" s="6" t="s">
        <v>19</v>
      </c>
      <c r="C98" s="6" t="s">
        <v>345</v>
      </c>
      <c r="D98" s="6" t="s">
        <v>346</v>
      </c>
      <c r="E98" s="6" t="s">
        <v>347</v>
      </c>
      <c r="F98" s="6" t="s">
        <v>348</v>
      </c>
      <c r="G98" s="6">
        <v>12</v>
      </c>
      <c r="H98" s="6">
        <v>0</v>
      </c>
      <c r="I98" s="6">
        <v>0</v>
      </c>
      <c r="J98" s="6">
        <f t="shared" si="0"/>
        <v>0</v>
      </c>
      <c r="K98" s="6" t="s">
        <v>269</v>
      </c>
      <c r="L98" s="6" t="s">
        <v>26</v>
      </c>
      <c r="M98" s="6" t="s">
        <v>27</v>
      </c>
      <c r="N98" s="7" t="s">
        <v>298</v>
      </c>
      <c r="O98" s="6"/>
      <c r="P98" s="6"/>
      <c r="Q98" s="6"/>
      <c r="R98">
        <v>1</v>
      </c>
      <c r="S98">
        <v>0</v>
      </c>
    </row>
    <row r="99" spans="1:19" ht="14.25" customHeight="1">
      <c r="A99" s="5"/>
      <c r="B99" s="5" t="s">
        <v>19</v>
      </c>
      <c r="C99" s="5" t="s">
        <v>345</v>
      </c>
      <c r="D99" s="5" t="s">
        <v>349</v>
      </c>
      <c r="E99" s="5" t="s">
        <v>347</v>
      </c>
      <c r="F99" s="5" t="s">
        <v>348</v>
      </c>
      <c r="G99" s="5">
        <v>12</v>
      </c>
      <c r="H99" s="5">
        <v>850</v>
      </c>
      <c r="I99" s="5">
        <v>30</v>
      </c>
      <c r="J99" s="5">
        <f t="shared" si="0"/>
        <v>820</v>
      </c>
      <c r="K99" s="5" t="s">
        <v>269</v>
      </c>
      <c r="L99" s="5" t="s">
        <v>26</v>
      </c>
      <c r="M99" s="5" t="s">
        <v>27</v>
      </c>
      <c r="N99" s="5" t="s">
        <v>177</v>
      </c>
      <c r="O99" s="5"/>
      <c r="P99" s="5"/>
      <c r="Q99" s="5"/>
      <c r="R99">
        <v>1</v>
      </c>
    </row>
    <row r="100" spans="1:19" ht="14.25" customHeight="1">
      <c r="A100" s="6"/>
      <c r="B100" s="6" t="s">
        <v>19</v>
      </c>
      <c r="C100" s="6" t="s">
        <v>350</v>
      </c>
      <c r="D100" s="6" t="s">
        <v>351</v>
      </c>
      <c r="E100" s="6" t="s">
        <v>352</v>
      </c>
      <c r="F100" s="6" t="s">
        <v>353</v>
      </c>
      <c r="G100" s="6">
        <v>12</v>
      </c>
      <c r="H100" s="6">
        <v>410</v>
      </c>
      <c r="I100" s="6">
        <v>30</v>
      </c>
      <c r="J100" s="6">
        <f t="shared" si="0"/>
        <v>380</v>
      </c>
      <c r="K100" s="6" t="s">
        <v>269</v>
      </c>
      <c r="L100" s="6" t="s">
        <v>26</v>
      </c>
      <c r="M100" s="6" t="s">
        <v>27</v>
      </c>
      <c r="N100" s="6"/>
      <c r="O100" s="6"/>
      <c r="P100" s="6"/>
      <c r="Q100" s="6"/>
      <c r="R100">
        <v>1</v>
      </c>
    </row>
    <row r="101" spans="1:19" ht="14.25" customHeight="1">
      <c r="A101" s="6"/>
      <c r="B101" s="6" t="s">
        <v>19</v>
      </c>
      <c r="C101" s="6" t="s">
        <v>354</v>
      </c>
      <c r="D101" s="6" t="s">
        <v>355</v>
      </c>
      <c r="E101" s="6">
        <v>102</v>
      </c>
      <c r="F101" s="6" t="s">
        <v>356</v>
      </c>
      <c r="G101" s="6">
        <v>12</v>
      </c>
      <c r="H101" s="6">
        <v>520</v>
      </c>
      <c r="I101" s="6">
        <v>30</v>
      </c>
      <c r="J101" s="6">
        <f t="shared" si="0"/>
        <v>490</v>
      </c>
      <c r="K101" s="6" t="s">
        <v>269</v>
      </c>
      <c r="L101" s="6" t="s">
        <v>26</v>
      </c>
      <c r="M101" s="6" t="s">
        <v>27</v>
      </c>
      <c r="N101" s="6"/>
      <c r="O101" s="6"/>
      <c r="P101" s="6"/>
      <c r="Q101" s="6"/>
      <c r="R101">
        <v>1</v>
      </c>
    </row>
    <row r="102" spans="1:19" ht="14.25" customHeight="1">
      <c r="A102" s="6"/>
      <c r="B102" s="6" t="s">
        <v>19</v>
      </c>
      <c r="C102" s="6" t="s">
        <v>357</v>
      </c>
      <c r="D102" s="6" t="s">
        <v>358</v>
      </c>
      <c r="E102" s="6" t="s">
        <v>359</v>
      </c>
      <c r="F102" s="6" t="s">
        <v>360</v>
      </c>
      <c r="G102" s="6">
        <v>12</v>
      </c>
      <c r="H102" s="6">
        <v>740</v>
      </c>
      <c r="I102" s="6">
        <v>30</v>
      </c>
      <c r="J102" s="6">
        <f t="shared" si="0"/>
        <v>710</v>
      </c>
      <c r="K102" s="6" t="s">
        <v>269</v>
      </c>
      <c r="L102" s="6" t="s">
        <v>26</v>
      </c>
      <c r="M102" s="6" t="s">
        <v>27</v>
      </c>
      <c r="N102" s="6"/>
      <c r="O102" s="6"/>
      <c r="P102" s="6"/>
      <c r="Q102" s="6"/>
      <c r="R102">
        <v>1</v>
      </c>
    </row>
    <row r="103" spans="1:19" ht="14.25" customHeight="1">
      <c r="A103" s="6"/>
      <c r="B103" s="6" t="s">
        <v>19</v>
      </c>
      <c r="C103" s="6" t="s">
        <v>361</v>
      </c>
      <c r="D103" s="6" t="s">
        <v>362</v>
      </c>
      <c r="E103" s="6">
        <v>375</v>
      </c>
      <c r="F103" s="6" t="s">
        <v>363</v>
      </c>
      <c r="G103" s="6">
        <v>12</v>
      </c>
      <c r="H103" s="6">
        <v>0</v>
      </c>
      <c r="I103" s="6">
        <v>30</v>
      </c>
      <c r="J103" s="6">
        <f t="shared" si="0"/>
        <v>-30</v>
      </c>
      <c r="K103" s="6" t="s">
        <v>269</v>
      </c>
      <c r="L103" s="6" t="s">
        <v>26</v>
      </c>
      <c r="M103" s="6" t="s">
        <v>27</v>
      </c>
      <c r="N103" s="6"/>
      <c r="O103" s="6"/>
      <c r="P103" s="6"/>
      <c r="Q103" s="6"/>
      <c r="R103">
        <v>1</v>
      </c>
      <c r="S103">
        <v>30</v>
      </c>
    </row>
    <row r="104" spans="1:19" ht="14.25" customHeight="1">
      <c r="A104" s="6"/>
      <c r="B104" s="6" t="s">
        <v>19</v>
      </c>
      <c r="C104" s="6" t="s">
        <v>364</v>
      </c>
      <c r="D104" s="6" t="s">
        <v>365</v>
      </c>
      <c r="E104" s="6" t="s">
        <v>366</v>
      </c>
      <c r="F104" s="6" t="s">
        <v>367</v>
      </c>
      <c r="G104" s="6">
        <v>12</v>
      </c>
      <c r="H104" s="6">
        <v>0</v>
      </c>
      <c r="I104" s="6">
        <v>30</v>
      </c>
      <c r="J104" s="6">
        <f t="shared" si="0"/>
        <v>-30</v>
      </c>
      <c r="K104" s="6" t="s">
        <v>269</v>
      </c>
      <c r="L104" s="6" t="s">
        <v>26</v>
      </c>
      <c r="M104" s="6" t="s">
        <v>27</v>
      </c>
      <c r="N104" s="6"/>
      <c r="O104" s="6"/>
      <c r="P104" s="6"/>
      <c r="Q104" s="6"/>
      <c r="R104">
        <v>1</v>
      </c>
      <c r="S104">
        <v>30</v>
      </c>
    </row>
    <row r="105" spans="1:19" ht="14.25" customHeight="1">
      <c r="A105" s="6"/>
      <c r="B105" s="6" t="s">
        <v>19</v>
      </c>
      <c r="C105" s="6" t="s">
        <v>368</v>
      </c>
      <c r="D105" s="6" t="s">
        <v>369</v>
      </c>
      <c r="E105" s="6" t="s">
        <v>370</v>
      </c>
      <c r="F105" s="6" t="s">
        <v>371</v>
      </c>
      <c r="G105" s="6">
        <v>12</v>
      </c>
      <c r="H105" s="6">
        <v>380</v>
      </c>
      <c r="I105" s="6">
        <v>30</v>
      </c>
      <c r="J105" s="6">
        <f t="shared" si="0"/>
        <v>350</v>
      </c>
      <c r="K105" s="6" t="s">
        <v>269</v>
      </c>
      <c r="L105" s="6" t="s">
        <v>26</v>
      </c>
      <c r="M105" s="6" t="s">
        <v>27</v>
      </c>
      <c r="N105" s="6"/>
      <c r="O105" s="6"/>
      <c r="P105" s="6"/>
      <c r="Q105" s="6"/>
      <c r="R105">
        <v>1</v>
      </c>
    </row>
    <row r="106" spans="1:19" ht="14.25" customHeight="1">
      <c r="A106" s="6"/>
      <c r="B106" s="6" t="s">
        <v>19</v>
      </c>
      <c r="C106" s="6" t="s">
        <v>372</v>
      </c>
      <c r="D106" s="6" t="s">
        <v>373</v>
      </c>
      <c r="E106" s="6">
        <v>67</v>
      </c>
      <c r="F106" s="6" t="s">
        <v>293</v>
      </c>
      <c r="G106" s="6" t="s">
        <v>374</v>
      </c>
      <c r="H106" s="6">
        <v>1015</v>
      </c>
      <c r="I106" s="6">
        <v>35</v>
      </c>
      <c r="J106" s="6">
        <f t="shared" si="0"/>
        <v>980</v>
      </c>
      <c r="K106" s="6" t="s">
        <v>269</v>
      </c>
      <c r="L106" s="6" t="s">
        <v>26</v>
      </c>
      <c r="M106" s="6" t="s">
        <v>27</v>
      </c>
      <c r="N106" s="6"/>
      <c r="O106" s="6"/>
      <c r="P106" s="6"/>
      <c r="Q106" s="6"/>
      <c r="R106">
        <v>1</v>
      </c>
    </row>
    <row r="107" spans="1:19" ht="14.25" customHeight="1">
      <c r="A107" s="6"/>
      <c r="B107" s="6" t="s">
        <v>19</v>
      </c>
      <c r="C107" s="6" t="s">
        <v>372</v>
      </c>
      <c r="D107" s="6" t="s">
        <v>375</v>
      </c>
      <c r="E107" s="6">
        <v>67</v>
      </c>
      <c r="F107" s="6" t="s">
        <v>293</v>
      </c>
      <c r="G107" s="6" t="s">
        <v>374</v>
      </c>
      <c r="H107" s="6">
        <v>785</v>
      </c>
      <c r="I107" s="6">
        <v>35</v>
      </c>
      <c r="J107" s="6">
        <f t="shared" si="0"/>
        <v>750</v>
      </c>
      <c r="K107" s="6" t="s">
        <v>269</v>
      </c>
      <c r="L107" s="6" t="s">
        <v>26</v>
      </c>
      <c r="M107" s="6" t="s">
        <v>27</v>
      </c>
      <c r="N107" s="6"/>
      <c r="O107" s="6"/>
      <c r="P107" s="6"/>
      <c r="Q107" s="6"/>
      <c r="R107">
        <v>1</v>
      </c>
    </row>
    <row r="108" spans="1:19" ht="14.25" customHeight="1">
      <c r="A108" s="6"/>
      <c r="B108" s="6" t="s">
        <v>19</v>
      </c>
      <c r="C108" s="6" t="s">
        <v>376</v>
      </c>
      <c r="D108" s="6" t="s">
        <v>377</v>
      </c>
      <c r="E108" s="6">
        <v>124</v>
      </c>
      <c r="F108" s="6" t="s">
        <v>257</v>
      </c>
      <c r="G108" s="6" t="s">
        <v>374</v>
      </c>
      <c r="H108" s="6">
        <v>0</v>
      </c>
      <c r="I108" s="6">
        <v>35</v>
      </c>
      <c r="J108" s="6">
        <f t="shared" si="0"/>
        <v>-35</v>
      </c>
      <c r="K108" s="6" t="s">
        <v>269</v>
      </c>
      <c r="L108" s="6" t="s">
        <v>26</v>
      </c>
      <c r="M108" s="6" t="s">
        <v>27</v>
      </c>
      <c r="N108" s="6"/>
      <c r="O108" s="6"/>
      <c r="P108" s="6"/>
      <c r="Q108" s="6"/>
      <c r="R108">
        <v>1</v>
      </c>
      <c r="S108">
        <v>35</v>
      </c>
    </row>
    <row r="109" spans="1:19" ht="14.25" customHeight="1">
      <c r="A109" s="6"/>
      <c r="B109" s="6" t="s">
        <v>19</v>
      </c>
      <c r="C109" s="6" t="s">
        <v>378</v>
      </c>
      <c r="D109" s="6" t="s">
        <v>379</v>
      </c>
      <c r="E109" s="6">
        <v>200</v>
      </c>
      <c r="F109" s="6" t="s">
        <v>380</v>
      </c>
      <c r="G109" s="6" t="s">
        <v>374</v>
      </c>
      <c r="H109" s="6">
        <v>1905</v>
      </c>
      <c r="I109" s="6">
        <v>35</v>
      </c>
      <c r="J109" s="6">
        <f t="shared" si="0"/>
        <v>1870</v>
      </c>
      <c r="K109" s="6" t="s">
        <v>269</v>
      </c>
      <c r="L109" s="6" t="s">
        <v>26</v>
      </c>
      <c r="M109" s="6" t="s">
        <v>27</v>
      </c>
      <c r="N109" s="6"/>
      <c r="O109" s="6"/>
      <c r="P109" s="6"/>
      <c r="Q109" s="6"/>
      <c r="R109">
        <v>1</v>
      </c>
    </row>
    <row r="110" spans="1:19" ht="14.25" customHeight="1">
      <c r="A110" s="6"/>
      <c r="B110" s="6" t="s">
        <v>19</v>
      </c>
      <c r="C110" s="6" t="s">
        <v>381</v>
      </c>
      <c r="D110" s="6" t="s">
        <v>382</v>
      </c>
      <c r="E110" s="6" t="s">
        <v>383</v>
      </c>
      <c r="F110" s="6" t="s">
        <v>384</v>
      </c>
      <c r="G110" s="6" t="s">
        <v>385</v>
      </c>
      <c r="H110" s="6">
        <v>1280</v>
      </c>
      <c r="I110" s="6">
        <v>30</v>
      </c>
      <c r="J110" s="6">
        <f t="shared" si="0"/>
        <v>1250</v>
      </c>
      <c r="K110" s="6" t="s">
        <v>269</v>
      </c>
      <c r="L110" s="6" t="s">
        <v>26</v>
      </c>
      <c r="M110" s="6" t="s">
        <v>27</v>
      </c>
      <c r="N110" s="6"/>
      <c r="O110" s="6"/>
      <c r="P110" s="6"/>
      <c r="Q110" s="6"/>
      <c r="R110">
        <v>1</v>
      </c>
    </row>
    <row r="111" spans="1:19" ht="14.25" customHeight="1">
      <c r="A111" s="6"/>
      <c r="B111" s="6" t="s">
        <v>19</v>
      </c>
      <c r="C111" s="6" t="s">
        <v>386</v>
      </c>
      <c r="D111" s="6" t="s">
        <v>387</v>
      </c>
      <c r="E111" s="6" t="s">
        <v>388</v>
      </c>
      <c r="F111" s="6" t="s">
        <v>389</v>
      </c>
      <c r="G111" s="6" t="s">
        <v>385</v>
      </c>
      <c r="H111" s="6">
        <v>1020</v>
      </c>
      <c r="I111" s="6">
        <v>30</v>
      </c>
      <c r="J111" s="6">
        <f t="shared" si="0"/>
        <v>990</v>
      </c>
      <c r="K111" s="6" t="s">
        <v>269</v>
      </c>
      <c r="L111" s="6" t="s">
        <v>26</v>
      </c>
      <c r="M111" s="6" t="s">
        <v>27</v>
      </c>
      <c r="N111" s="6"/>
      <c r="O111" s="6"/>
      <c r="P111" s="6"/>
      <c r="Q111" s="6"/>
      <c r="R111">
        <v>1</v>
      </c>
    </row>
    <row r="112" spans="1:19" ht="14.25" customHeight="1">
      <c r="A112" s="6"/>
      <c r="B112" s="6" t="s">
        <v>19</v>
      </c>
      <c r="C112" s="6" t="s">
        <v>386</v>
      </c>
      <c r="D112" s="6" t="s">
        <v>390</v>
      </c>
      <c r="E112" s="6" t="s">
        <v>388</v>
      </c>
      <c r="F112" s="6" t="s">
        <v>389</v>
      </c>
      <c r="G112" s="6" t="s">
        <v>385</v>
      </c>
      <c r="H112" s="6">
        <v>830</v>
      </c>
      <c r="I112" s="6">
        <v>0</v>
      </c>
      <c r="J112" s="6">
        <f t="shared" si="0"/>
        <v>830</v>
      </c>
      <c r="K112" s="6" t="s">
        <v>269</v>
      </c>
      <c r="L112" s="6" t="s">
        <v>26</v>
      </c>
      <c r="M112" s="6" t="s">
        <v>27</v>
      </c>
      <c r="N112" s="7" t="s">
        <v>298</v>
      </c>
      <c r="O112" s="6"/>
      <c r="P112" s="6"/>
      <c r="Q112" s="6"/>
      <c r="R112">
        <v>1</v>
      </c>
    </row>
    <row r="113" spans="1:20" ht="14.25" customHeight="1">
      <c r="A113" s="6"/>
      <c r="B113" s="6" t="s">
        <v>19</v>
      </c>
      <c r="C113" s="6" t="s">
        <v>391</v>
      </c>
      <c r="D113" s="6" t="s">
        <v>392</v>
      </c>
      <c r="E113" s="6" t="s">
        <v>393</v>
      </c>
      <c r="F113" s="6" t="s">
        <v>394</v>
      </c>
      <c r="G113" s="6" t="s">
        <v>385</v>
      </c>
      <c r="H113" s="6">
        <v>720</v>
      </c>
      <c r="I113" s="6">
        <v>30</v>
      </c>
      <c r="J113" s="6">
        <f t="shared" si="0"/>
        <v>690</v>
      </c>
      <c r="K113" s="6" t="s">
        <v>269</v>
      </c>
      <c r="L113" s="6" t="s">
        <v>26</v>
      </c>
      <c r="M113" s="6" t="s">
        <v>27</v>
      </c>
      <c r="N113" s="6"/>
      <c r="O113" s="6"/>
      <c r="P113" s="6"/>
      <c r="Q113" s="6"/>
      <c r="R113">
        <v>1</v>
      </c>
    </row>
    <row r="114" spans="1:20" ht="14.25" customHeight="1">
      <c r="A114" s="6"/>
      <c r="B114" s="6" t="s">
        <v>19</v>
      </c>
      <c r="C114" s="6" t="s">
        <v>395</v>
      </c>
      <c r="D114" s="6" t="s">
        <v>396</v>
      </c>
      <c r="E114" s="6" t="s">
        <v>397</v>
      </c>
      <c r="F114" s="6" t="s">
        <v>394</v>
      </c>
      <c r="G114" s="6" t="s">
        <v>385</v>
      </c>
      <c r="H114" s="6">
        <v>600</v>
      </c>
      <c r="I114" s="6">
        <v>30</v>
      </c>
      <c r="J114" s="6">
        <f t="shared" si="0"/>
        <v>570</v>
      </c>
      <c r="K114" s="6" t="s">
        <v>269</v>
      </c>
      <c r="L114" s="6" t="s">
        <v>26</v>
      </c>
      <c r="M114" s="6" t="s">
        <v>27</v>
      </c>
      <c r="N114" s="6"/>
      <c r="O114" s="6"/>
      <c r="P114" s="6"/>
      <c r="Q114" s="6"/>
      <c r="R114">
        <v>1</v>
      </c>
    </row>
    <row r="115" spans="1:20" ht="14.25" customHeight="1">
      <c r="A115" s="5"/>
      <c r="B115" s="5" t="s">
        <v>19</v>
      </c>
      <c r="C115" s="5" t="s">
        <v>398</v>
      </c>
      <c r="D115" s="5" t="s">
        <v>399</v>
      </c>
      <c r="E115" s="5" t="s">
        <v>400</v>
      </c>
      <c r="F115" s="5" t="s">
        <v>401</v>
      </c>
      <c r="G115" s="5" t="s">
        <v>385</v>
      </c>
      <c r="H115" s="5">
        <v>2870</v>
      </c>
      <c r="I115" s="5">
        <v>35</v>
      </c>
      <c r="J115" s="5">
        <f t="shared" si="0"/>
        <v>2835</v>
      </c>
      <c r="K115" s="5" t="s">
        <v>269</v>
      </c>
      <c r="L115" s="5" t="s">
        <v>26</v>
      </c>
      <c r="M115" s="5" t="s">
        <v>27</v>
      </c>
      <c r="N115" s="5" t="s">
        <v>36</v>
      </c>
      <c r="O115" s="5"/>
      <c r="P115" s="5"/>
      <c r="Q115" s="5"/>
      <c r="R115">
        <v>1</v>
      </c>
    </row>
    <row r="116" spans="1:20" ht="14.25" customHeight="1">
      <c r="A116" s="6"/>
      <c r="B116" s="6" t="s">
        <v>19</v>
      </c>
      <c r="C116" s="6" t="s">
        <v>402</v>
      </c>
      <c r="D116" s="6" t="s">
        <v>403</v>
      </c>
      <c r="E116" s="6" t="s">
        <v>404</v>
      </c>
      <c r="F116" s="6" t="s">
        <v>405</v>
      </c>
      <c r="G116" s="6" t="s">
        <v>385</v>
      </c>
      <c r="H116" s="6">
        <v>0</v>
      </c>
      <c r="I116" s="6">
        <v>30</v>
      </c>
      <c r="J116" s="6">
        <f t="shared" si="0"/>
        <v>-30</v>
      </c>
      <c r="K116" s="6" t="s">
        <v>269</v>
      </c>
      <c r="L116" s="6" t="s">
        <v>26</v>
      </c>
      <c r="M116" s="6" t="s">
        <v>27</v>
      </c>
      <c r="N116" s="6"/>
      <c r="O116" s="6"/>
      <c r="P116" s="6"/>
      <c r="Q116" s="6"/>
      <c r="R116">
        <v>1</v>
      </c>
      <c r="S116">
        <v>30</v>
      </c>
    </row>
    <row r="117" spans="1:20" ht="14.25" customHeight="1">
      <c r="A117" s="6"/>
      <c r="B117" s="6" t="s">
        <v>19</v>
      </c>
      <c r="C117" s="6" t="s">
        <v>406</v>
      </c>
      <c r="D117" s="6" t="s">
        <v>407</v>
      </c>
      <c r="E117" s="6">
        <v>51</v>
      </c>
      <c r="F117" s="6" t="s">
        <v>408</v>
      </c>
      <c r="G117" s="6" t="s">
        <v>385</v>
      </c>
      <c r="H117" s="6">
        <v>860</v>
      </c>
      <c r="I117" s="6">
        <v>30</v>
      </c>
      <c r="J117" s="6">
        <f t="shared" si="0"/>
        <v>830</v>
      </c>
      <c r="K117" s="6" t="s">
        <v>269</v>
      </c>
      <c r="L117" s="6" t="s">
        <v>26</v>
      </c>
      <c r="M117" s="6" t="s">
        <v>27</v>
      </c>
      <c r="N117" s="6"/>
      <c r="O117" s="6"/>
      <c r="P117" s="6"/>
      <c r="Q117" s="6"/>
      <c r="R117">
        <v>1</v>
      </c>
    </row>
    <row r="118" spans="1:20" ht="14.25" customHeight="1">
      <c r="A118" s="6"/>
      <c r="B118" s="6" t="s">
        <v>19</v>
      </c>
      <c r="C118" s="6" t="s">
        <v>409</v>
      </c>
      <c r="D118" s="6" t="s">
        <v>410</v>
      </c>
      <c r="E118" s="6" t="s">
        <v>411</v>
      </c>
      <c r="F118" s="6" t="s">
        <v>412</v>
      </c>
      <c r="G118" s="6" t="s">
        <v>385</v>
      </c>
      <c r="H118" s="6">
        <v>1790</v>
      </c>
      <c r="I118" s="6">
        <v>30</v>
      </c>
      <c r="J118" s="6">
        <f t="shared" si="0"/>
        <v>1760</v>
      </c>
      <c r="K118" s="6" t="s">
        <v>269</v>
      </c>
      <c r="L118" s="6" t="s">
        <v>26</v>
      </c>
      <c r="M118" s="6" t="s">
        <v>27</v>
      </c>
      <c r="N118" s="6"/>
      <c r="O118" s="6"/>
      <c r="P118" s="6"/>
      <c r="Q118" s="6"/>
      <c r="R118">
        <v>1</v>
      </c>
    </row>
    <row r="119" spans="1:20" ht="14.25" customHeight="1">
      <c r="A119" s="6"/>
      <c r="B119" s="6" t="s">
        <v>19</v>
      </c>
      <c r="C119" s="6" t="s">
        <v>413</v>
      </c>
      <c r="D119" s="6" t="s">
        <v>414</v>
      </c>
      <c r="E119" s="6" t="s">
        <v>415</v>
      </c>
      <c r="F119" s="6" t="s">
        <v>416</v>
      </c>
      <c r="G119" s="6" t="s">
        <v>417</v>
      </c>
      <c r="H119" s="6">
        <v>1225</v>
      </c>
      <c r="I119" s="6">
        <v>35</v>
      </c>
      <c r="J119" s="6">
        <f t="shared" si="0"/>
        <v>1190</v>
      </c>
      <c r="K119" s="6" t="s">
        <v>269</v>
      </c>
      <c r="L119" s="6" t="s">
        <v>26</v>
      </c>
      <c r="M119" s="6" t="s">
        <v>27</v>
      </c>
      <c r="N119" s="6"/>
      <c r="O119" s="6"/>
      <c r="P119" s="6"/>
      <c r="Q119" s="6"/>
      <c r="R119">
        <v>1</v>
      </c>
    </row>
    <row r="120" spans="1:20" ht="14.25" customHeight="1">
      <c r="A120" s="6"/>
      <c r="B120" s="6" t="s">
        <v>19</v>
      </c>
      <c r="C120" s="6" t="s">
        <v>418</v>
      </c>
      <c r="D120" s="6" t="s">
        <v>419</v>
      </c>
      <c r="E120" s="6" t="s">
        <v>420</v>
      </c>
      <c r="F120" s="6" t="s">
        <v>421</v>
      </c>
      <c r="G120" s="6" t="s">
        <v>422</v>
      </c>
      <c r="H120" s="6">
        <v>425</v>
      </c>
      <c r="I120" s="6">
        <v>35</v>
      </c>
      <c r="J120" s="6">
        <f t="shared" si="0"/>
        <v>390</v>
      </c>
      <c r="K120" s="6" t="s">
        <v>269</v>
      </c>
      <c r="L120" s="6" t="s">
        <v>26</v>
      </c>
      <c r="M120" s="6" t="s">
        <v>27</v>
      </c>
      <c r="N120" s="6"/>
      <c r="O120" s="6"/>
      <c r="P120" s="6"/>
      <c r="Q120" s="6"/>
      <c r="R120">
        <v>1</v>
      </c>
    </row>
    <row r="121" spans="1:20" ht="14.25" customHeight="1">
      <c r="A121" s="6"/>
      <c r="B121" s="6" t="s">
        <v>19</v>
      </c>
      <c r="C121" s="6" t="s">
        <v>423</v>
      </c>
      <c r="D121" s="6" t="s">
        <v>424</v>
      </c>
      <c r="E121" s="6" t="s">
        <v>425</v>
      </c>
      <c r="F121" s="6" t="s">
        <v>311</v>
      </c>
      <c r="G121" s="6" t="s">
        <v>422</v>
      </c>
      <c r="H121" s="6">
        <v>1695</v>
      </c>
      <c r="I121" s="6">
        <v>35</v>
      </c>
      <c r="J121" s="6">
        <f t="shared" si="0"/>
        <v>1660</v>
      </c>
      <c r="K121" s="6" t="s">
        <v>269</v>
      </c>
      <c r="L121" s="6" t="s">
        <v>26</v>
      </c>
      <c r="M121" s="6" t="s">
        <v>27</v>
      </c>
      <c r="N121" s="6"/>
      <c r="O121" s="6"/>
      <c r="P121" s="6"/>
      <c r="Q121" s="6"/>
      <c r="R121">
        <v>1</v>
      </c>
    </row>
    <row r="122" spans="1:20" ht="14.25" customHeight="1">
      <c r="A122" s="5"/>
      <c r="B122" s="5" t="s">
        <v>19</v>
      </c>
      <c r="C122" s="5" t="s">
        <v>426</v>
      </c>
      <c r="D122" s="5" t="s">
        <v>427</v>
      </c>
      <c r="E122" s="5" t="s">
        <v>428</v>
      </c>
      <c r="F122" s="5" t="s">
        <v>429</v>
      </c>
      <c r="G122" s="5" t="s">
        <v>430</v>
      </c>
      <c r="H122" s="5">
        <v>25</v>
      </c>
      <c r="I122" s="5">
        <v>25</v>
      </c>
      <c r="J122" s="5">
        <f t="shared" si="0"/>
        <v>0</v>
      </c>
      <c r="K122" s="5" t="s">
        <v>269</v>
      </c>
      <c r="L122" s="5" t="s">
        <v>26</v>
      </c>
      <c r="M122" s="5" t="s">
        <v>27</v>
      </c>
      <c r="N122" s="5" t="s">
        <v>177</v>
      </c>
      <c r="O122" s="5"/>
      <c r="P122" s="5"/>
      <c r="Q122" s="5"/>
      <c r="R122">
        <v>1</v>
      </c>
    </row>
    <row r="123" spans="1:20" ht="14.25" customHeight="1"/>
    <row r="124" spans="1:20" ht="14.25" customHeight="1">
      <c r="H124">
        <f t="shared" ref="H124:T124" si="1">SUBTOTAL(9,H3:H123)</f>
        <v>82310</v>
      </c>
      <c r="I124">
        <f t="shared" si="1"/>
        <v>3090</v>
      </c>
      <c r="J124">
        <f t="shared" si="1"/>
        <v>79220</v>
      </c>
      <c r="K124">
        <f t="shared" si="1"/>
        <v>0</v>
      </c>
      <c r="L124">
        <f t="shared" si="1"/>
        <v>0</v>
      </c>
      <c r="M124">
        <f t="shared" si="1"/>
        <v>0</v>
      </c>
      <c r="N124">
        <f t="shared" si="1"/>
        <v>0</v>
      </c>
      <c r="O124">
        <f t="shared" si="1"/>
        <v>0</v>
      </c>
      <c r="P124">
        <f t="shared" si="1"/>
        <v>0</v>
      </c>
      <c r="Q124">
        <f t="shared" si="1"/>
        <v>0</v>
      </c>
      <c r="R124">
        <f t="shared" si="1"/>
        <v>120</v>
      </c>
      <c r="S124">
        <f t="shared" si="1"/>
        <v>665</v>
      </c>
      <c r="T124">
        <f t="shared" si="1"/>
        <v>0</v>
      </c>
    </row>
    <row r="125" spans="1:20" ht="14.25" customHeight="1">
      <c r="J125">
        <v>-790</v>
      </c>
      <c r="K125" t="s">
        <v>431</v>
      </c>
    </row>
    <row r="126" spans="1:20" ht="14.25" customHeight="1">
      <c r="J126">
        <v>-1750</v>
      </c>
      <c r="K126" t="s">
        <v>432</v>
      </c>
    </row>
    <row r="127" spans="1:20" ht="14.25" customHeight="1"/>
    <row r="128" spans="1:20" ht="20.25" customHeight="1">
      <c r="I128" s="8" t="s">
        <v>433</v>
      </c>
      <c r="J128" s="9" t="s">
        <v>434</v>
      </c>
      <c r="K128" s="10" t="s">
        <v>435</v>
      </c>
    </row>
    <row r="129" spans="1:20" ht="14.25" customHeight="1">
      <c r="I129" s="11" t="s">
        <v>436</v>
      </c>
      <c r="J129" s="12">
        <f>SUM(J123:J127)</f>
        <v>76680</v>
      </c>
      <c r="K129" s="12">
        <f>R124</f>
        <v>120</v>
      </c>
    </row>
    <row r="130" spans="1:20" ht="14.25" customHeight="1">
      <c r="I130" s="13" t="s">
        <v>437</v>
      </c>
      <c r="J130" s="14">
        <f>S123</f>
        <v>0</v>
      </c>
      <c r="K130" s="15"/>
    </row>
    <row r="131" spans="1:20" ht="14.25" customHeight="1">
      <c r="I131" s="13" t="s">
        <v>438</v>
      </c>
      <c r="J131" s="14">
        <f>T123</f>
        <v>0</v>
      </c>
      <c r="K131" s="15"/>
    </row>
    <row r="132" spans="1:20" ht="14.25" customHeight="1">
      <c r="I132" s="13" t="s">
        <v>439</v>
      </c>
      <c r="J132" s="14">
        <f>U123</f>
        <v>0</v>
      </c>
      <c r="K132" s="15"/>
    </row>
    <row r="133" spans="1:20" ht="14.25" customHeight="1">
      <c r="I133" s="13" t="s">
        <v>440</v>
      </c>
      <c r="J133" s="14">
        <f>V123</f>
        <v>0</v>
      </c>
      <c r="K133" s="15"/>
    </row>
    <row r="134" spans="1:20" ht="14.25" customHeight="1">
      <c r="I134" s="16" t="s">
        <v>441</v>
      </c>
      <c r="J134" s="17"/>
      <c r="K134" s="17"/>
    </row>
    <row r="135" spans="1:20" ht="14.25" customHeight="1">
      <c r="I135" s="18" t="s">
        <v>442</v>
      </c>
      <c r="J135" s="17"/>
      <c r="K135" s="17"/>
    </row>
    <row r="136" spans="1:20" ht="14.25" customHeight="1">
      <c r="I136" s="19" t="s">
        <v>443</v>
      </c>
      <c r="J136" s="20">
        <f>SUM(J129:J135)</f>
        <v>76680</v>
      </c>
      <c r="K136" s="20">
        <f>SUM(K129:K133)</f>
        <v>120</v>
      </c>
    </row>
    <row r="137" spans="1:20" ht="14.25" customHeight="1"/>
    <row r="138" spans="1:20" ht="14.25" customHeight="1">
      <c r="A138" t="s">
        <v>432</v>
      </c>
    </row>
    <row r="139" spans="1:20" ht="14.25" customHeight="1">
      <c r="A139" s="2" t="s">
        <v>19</v>
      </c>
      <c r="B139" s="2" t="s">
        <v>444</v>
      </c>
      <c r="C139" s="2" t="s">
        <v>445</v>
      </c>
      <c r="D139" s="2" t="s">
        <v>446</v>
      </c>
      <c r="E139" s="2" t="s">
        <v>447</v>
      </c>
      <c r="F139" s="2">
        <v>4</v>
      </c>
      <c r="G139" s="2">
        <v>740</v>
      </c>
      <c r="H139" s="2">
        <v>0</v>
      </c>
      <c r="I139" s="2">
        <f t="shared" ref="I139:I140" si="2">G139-H139</f>
        <v>740</v>
      </c>
      <c r="J139" s="2" t="s">
        <v>25</v>
      </c>
      <c r="K139" s="2" t="s">
        <v>26</v>
      </c>
      <c r="L139" s="2" t="s">
        <v>448</v>
      </c>
      <c r="M139" s="3" t="s">
        <v>449</v>
      </c>
    </row>
    <row r="140" spans="1:20" ht="14.25" customHeight="1">
      <c r="A140" s="2" t="s">
        <v>19</v>
      </c>
      <c r="B140" s="2" t="s">
        <v>450</v>
      </c>
      <c r="C140" s="2" t="s">
        <v>451</v>
      </c>
      <c r="D140" s="2" t="s">
        <v>452</v>
      </c>
      <c r="E140" s="2" t="s">
        <v>453</v>
      </c>
      <c r="F140" s="2">
        <v>12</v>
      </c>
      <c r="G140" s="2">
        <v>1010</v>
      </c>
      <c r="H140" s="2">
        <v>0</v>
      </c>
      <c r="I140" s="2">
        <f t="shared" si="2"/>
        <v>1010</v>
      </c>
      <c r="J140" s="2" t="s">
        <v>454</v>
      </c>
      <c r="K140" s="2" t="s">
        <v>26</v>
      </c>
      <c r="L140" s="2" t="s">
        <v>455</v>
      </c>
      <c r="M140" s="3" t="s">
        <v>456</v>
      </c>
      <c r="N140" s="4"/>
      <c r="O140" s="4"/>
      <c r="P140" s="4"/>
      <c r="Q140" s="4"/>
      <c r="R140" s="4"/>
      <c r="S140" s="4"/>
      <c r="T140" s="4"/>
    </row>
  </sheetData>
  <autoFilter ref="A2:Q122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A55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457</v>
      </c>
      <c r="C1" t="s">
        <v>458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6"/>
      <c r="B3" s="6" t="s">
        <v>19</v>
      </c>
      <c r="C3" s="6" t="s">
        <v>459</v>
      </c>
      <c r="D3" s="6" t="s">
        <v>460</v>
      </c>
      <c r="E3" s="6">
        <v>333</v>
      </c>
      <c r="F3" s="6" t="s">
        <v>461</v>
      </c>
      <c r="G3" s="6">
        <v>1</v>
      </c>
      <c r="H3" s="6">
        <v>1010</v>
      </c>
      <c r="I3" s="6">
        <v>20</v>
      </c>
      <c r="J3" s="6">
        <f t="shared" ref="J3:J61" si="0">H3-I3</f>
        <v>990</v>
      </c>
      <c r="K3" s="6" t="s">
        <v>35</v>
      </c>
      <c r="L3" s="6" t="s">
        <v>26</v>
      </c>
      <c r="M3" s="6" t="s">
        <v>462</v>
      </c>
      <c r="N3" s="6"/>
      <c r="O3" s="6"/>
      <c r="P3" s="6"/>
      <c r="Q3" s="6"/>
      <c r="R3" s="4">
        <v>1</v>
      </c>
      <c r="S3" s="4"/>
      <c r="T3" s="4"/>
    </row>
    <row r="4" spans="1:20" ht="14.25" customHeight="1">
      <c r="A4" s="6"/>
      <c r="B4" s="6" t="s">
        <v>19</v>
      </c>
      <c r="C4" s="6" t="s">
        <v>463</v>
      </c>
      <c r="D4" s="6" t="s">
        <v>464</v>
      </c>
      <c r="E4" s="6" t="s">
        <v>465</v>
      </c>
      <c r="F4" s="6" t="s">
        <v>466</v>
      </c>
      <c r="G4" s="6">
        <v>1</v>
      </c>
      <c r="H4" s="6">
        <v>0</v>
      </c>
      <c r="I4" s="6">
        <v>20</v>
      </c>
      <c r="J4" s="6">
        <f t="shared" si="0"/>
        <v>-20</v>
      </c>
      <c r="K4" s="6" t="s">
        <v>35</v>
      </c>
      <c r="L4" s="6" t="s">
        <v>26</v>
      </c>
      <c r="M4" s="6" t="s">
        <v>462</v>
      </c>
      <c r="N4" s="6"/>
      <c r="O4" s="6"/>
      <c r="P4" s="6"/>
      <c r="Q4" s="6"/>
      <c r="R4">
        <v>1</v>
      </c>
      <c r="S4">
        <v>20</v>
      </c>
    </row>
    <row r="5" spans="1:20" ht="14.25" customHeight="1">
      <c r="A5" s="6"/>
      <c r="B5" s="6" t="s">
        <v>19</v>
      </c>
      <c r="C5" s="6" t="s">
        <v>467</v>
      </c>
      <c r="D5" s="6" t="s">
        <v>468</v>
      </c>
      <c r="E5" s="6" t="s">
        <v>469</v>
      </c>
      <c r="F5" s="6" t="s">
        <v>73</v>
      </c>
      <c r="G5" s="6">
        <v>3</v>
      </c>
      <c r="H5" s="6">
        <v>710</v>
      </c>
      <c r="I5" s="6">
        <v>20</v>
      </c>
      <c r="J5" s="6">
        <f t="shared" si="0"/>
        <v>690</v>
      </c>
      <c r="K5" s="6" t="s">
        <v>35</v>
      </c>
      <c r="L5" s="6" t="s">
        <v>26</v>
      </c>
      <c r="M5" s="6" t="s">
        <v>462</v>
      </c>
      <c r="N5" s="6"/>
      <c r="O5" s="6"/>
      <c r="P5" s="6"/>
      <c r="Q5" s="6"/>
      <c r="R5">
        <v>1</v>
      </c>
    </row>
    <row r="6" spans="1:20" ht="14.25" customHeight="1">
      <c r="A6" s="6"/>
      <c r="B6" s="6" t="s">
        <v>19</v>
      </c>
      <c r="C6" s="6" t="s">
        <v>470</v>
      </c>
      <c r="D6" s="6" t="s">
        <v>471</v>
      </c>
      <c r="E6" s="6" t="s">
        <v>472</v>
      </c>
      <c r="F6" s="6" t="s">
        <v>473</v>
      </c>
      <c r="G6" s="6">
        <v>3</v>
      </c>
      <c r="H6" s="6">
        <v>790</v>
      </c>
      <c r="I6" s="6">
        <v>20</v>
      </c>
      <c r="J6" s="6">
        <f t="shared" si="0"/>
        <v>770</v>
      </c>
      <c r="K6" s="6" t="s">
        <v>35</v>
      </c>
      <c r="L6" s="6" t="s">
        <v>26</v>
      </c>
      <c r="M6" s="6" t="s">
        <v>462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474</v>
      </c>
      <c r="D7" s="6" t="s">
        <v>475</v>
      </c>
      <c r="E7" s="6" t="s">
        <v>476</v>
      </c>
      <c r="F7" s="6" t="s">
        <v>477</v>
      </c>
      <c r="G7" s="6">
        <v>4</v>
      </c>
      <c r="H7" s="6">
        <v>785</v>
      </c>
      <c r="I7" s="6">
        <v>25</v>
      </c>
      <c r="J7" s="6">
        <f t="shared" si="0"/>
        <v>760</v>
      </c>
      <c r="K7" s="6" t="s">
        <v>35</v>
      </c>
      <c r="L7" s="6" t="s">
        <v>26</v>
      </c>
      <c r="M7" s="6" t="s">
        <v>462</v>
      </c>
      <c r="N7" s="6"/>
      <c r="O7" s="6"/>
      <c r="P7" s="6"/>
      <c r="Q7" s="6"/>
      <c r="R7">
        <v>1</v>
      </c>
    </row>
    <row r="8" spans="1:20" ht="14.25" customHeight="1">
      <c r="A8" s="6"/>
      <c r="B8" s="6" t="s">
        <v>19</v>
      </c>
      <c r="C8" s="6" t="s">
        <v>478</v>
      </c>
      <c r="D8" s="6" t="s">
        <v>479</v>
      </c>
      <c r="E8" s="6" t="s">
        <v>81</v>
      </c>
      <c r="F8" s="6" t="s">
        <v>82</v>
      </c>
      <c r="G8" s="6">
        <v>5</v>
      </c>
      <c r="H8" s="6">
        <v>0</v>
      </c>
      <c r="I8" s="6">
        <v>25</v>
      </c>
      <c r="J8" s="6">
        <f t="shared" si="0"/>
        <v>-25</v>
      </c>
      <c r="K8" s="6" t="s">
        <v>35</v>
      </c>
      <c r="L8" s="6" t="s">
        <v>26</v>
      </c>
      <c r="M8" s="6" t="s">
        <v>462</v>
      </c>
      <c r="N8" s="6"/>
      <c r="O8" s="6"/>
      <c r="P8" s="6"/>
      <c r="Q8" s="6"/>
      <c r="R8">
        <v>1</v>
      </c>
      <c r="S8">
        <v>25</v>
      </c>
    </row>
    <row r="9" spans="1:20" ht="14.25" customHeight="1">
      <c r="A9" s="5"/>
      <c r="B9" s="5" t="s">
        <v>19</v>
      </c>
      <c r="C9" s="5" t="s">
        <v>480</v>
      </c>
      <c r="D9" s="5" t="s">
        <v>481</v>
      </c>
      <c r="E9" s="5" t="s">
        <v>482</v>
      </c>
      <c r="F9" s="5" t="s">
        <v>461</v>
      </c>
      <c r="G9" s="5">
        <v>5</v>
      </c>
      <c r="H9" s="5">
        <v>0</v>
      </c>
      <c r="I9" s="5">
        <v>25</v>
      </c>
      <c r="J9" s="5">
        <f t="shared" si="0"/>
        <v>-25</v>
      </c>
      <c r="K9" s="5" t="s">
        <v>35</v>
      </c>
      <c r="L9" s="5" t="s">
        <v>26</v>
      </c>
      <c r="M9" s="5" t="s">
        <v>462</v>
      </c>
      <c r="N9" s="5" t="s">
        <v>177</v>
      </c>
      <c r="O9" s="5"/>
      <c r="P9" s="5"/>
      <c r="Q9" s="5"/>
      <c r="R9">
        <v>1</v>
      </c>
      <c r="S9">
        <v>25</v>
      </c>
    </row>
    <row r="10" spans="1:20" ht="14.25" customHeight="1">
      <c r="A10" s="6"/>
      <c r="B10" s="6" t="s">
        <v>19</v>
      </c>
      <c r="C10" s="6" t="s">
        <v>483</v>
      </c>
      <c r="D10" s="6" t="s">
        <v>484</v>
      </c>
      <c r="E10" s="6" t="s">
        <v>485</v>
      </c>
      <c r="F10" s="6" t="s">
        <v>486</v>
      </c>
      <c r="G10" s="6">
        <v>10</v>
      </c>
      <c r="H10" s="6">
        <v>775</v>
      </c>
      <c r="I10" s="6">
        <v>25</v>
      </c>
      <c r="J10" s="6">
        <f t="shared" si="0"/>
        <v>750</v>
      </c>
      <c r="K10" s="6" t="s">
        <v>35</v>
      </c>
      <c r="L10" s="6" t="s">
        <v>26</v>
      </c>
      <c r="M10" s="6" t="s">
        <v>462</v>
      </c>
      <c r="N10" s="6"/>
      <c r="O10" s="6"/>
      <c r="P10" s="6"/>
      <c r="Q10" s="6"/>
      <c r="R10">
        <v>1</v>
      </c>
    </row>
    <row r="11" spans="1:20" ht="14.25" customHeight="1">
      <c r="A11" s="6"/>
      <c r="B11" s="6" t="s">
        <v>19</v>
      </c>
      <c r="C11" s="6" t="s">
        <v>487</v>
      </c>
      <c r="D11" s="6" t="s">
        <v>488</v>
      </c>
      <c r="E11" s="6">
        <v>247</v>
      </c>
      <c r="F11" s="6" t="s">
        <v>489</v>
      </c>
      <c r="G11" s="6">
        <v>10</v>
      </c>
      <c r="H11" s="6">
        <v>855</v>
      </c>
      <c r="I11" s="6">
        <v>25</v>
      </c>
      <c r="J11" s="6">
        <f t="shared" si="0"/>
        <v>830</v>
      </c>
      <c r="K11" s="6" t="s">
        <v>35</v>
      </c>
      <c r="L11" s="6" t="s">
        <v>26</v>
      </c>
      <c r="M11" s="6" t="s">
        <v>462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490</v>
      </c>
      <c r="D12" s="6" t="s">
        <v>491</v>
      </c>
      <c r="E12" s="6">
        <v>113</v>
      </c>
      <c r="F12" s="6" t="s">
        <v>492</v>
      </c>
      <c r="G12" s="6" t="s">
        <v>181</v>
      </c>
      <c r="H12" s="6">
        <v>780</v>
      </c>
      <c r="I12" s="6">
        <v>20</v>
      </c>
      <c r="J12" s="6">
        <f t="shared" si="0"/>
        <v>760</v>
      </c>
      <c r="K12" s="6" t="s">
        <v>35</v>
      </c>
      <c r="L12" s="6" t="s">
        <v>26</v>
      </c>
      <c r="M12" s="6" t="s">
        <v>462</v>
      </c>
      <c r="N12" s="6"/>
      <c r="O12" s="6"/>
      <c r="P12" s="6"/>
      <c r="Q12" s="6"/>
      <c r="R12">
        <v>1</v>
      </c>
    </row>
    <row r="13" spans="1:20" ht="14.25" customHeight="1">
      <c r="A13" s="6"/>
      <c r="B13" s="6" t="s">
        <v>19</v>
      </c>
      <c r="C13" s="6" t="s">
        <v>493</v>
      </c>
      <c r="D13" s="6" t="s">
        <v>494</v>
      </c>
      <c r="E13" s="6">
        <v>43</v>
      </c>
      <c r="F13" s="6" t="s">
        <v>495</v>
      </c>
      <c r="G13" s="6" t="s">
        <v>117</v>
      </c>
      <c r="H13" s="6">
        <v>790</v>
      </c>
      <c r="I13" s="6">
        <v>20</v>
      </c>
      <c r="J13" s="6">
        <f t="shared" si="0"/>
        <v>770</v>
      </c>
      <c r="K13" s="6" t="s">
        <v>35</v>
      </c>
      <c r="L13" s="6" t="s">
        <v>26</v>
      </c>
      <c r="M13" s="6" t="s">
        <v>462</v>
      </c>
      <c r="N13" s="6"/>
      <c r="O13" s="6"/>
      <c r="P13" s="6"/>
      <c r="Q13" s="6"/>
      <c r="R13">
        <v>1</v>
      </c>
    </row>
    <row r="14" spans="1:20" ht="14.25" customHeight="1">
      <c r="A14" s="5"/>
      <c r="B14" s="5" t="s">
        <v>19</v>
      </c>
      <c r="C14" s="5" t="s">
        <v>496</v>
      </c>
      <c r="D14" s="5" t="s">
        <v>497</v>
      </c>
      <c r="E14" s="5" t="s">
        <v>498</v>
      </c>
      <c r="F14" s="5" t="s">
        <v>131</v>
      </c>
      <c r="G14" s="5" t="s">
        <v>128</v>
      </c>
      <c r="H14" s="5">
        <v>4840</v>
      </c>
      <c r="I14" s="5">
        <v>35</v>
      </c>
      <c r="J14" s="5">
        <f t="shared" si="0"/>
        <v>4805</v>
      </c>
      <c r="K14" s="5" t="s">
        <v>35</v>
      </c>
      <c r="L14" s="5" t="s">
        <v>26</v>
      </c>
      <c r="M14" s="5" t="s">
        <v>462</v>
      </c>
      <c r="N14" s="5" t="s">
        <v>36</v>
      </c>
      <c r="O14" s="5"/>
      <c r="P14" s="5"/>
      <c r="Q14" s="5"/>
      <c r="R14">
        <v>1</v>
      </c>
      <c r="S14">
        <v>35</v>
      </c>
    </row>
    <row r="15" spans="1:20" ht="14.25" customHeight="1">
      <c r="A15" s="6"/>
      <c r="B15" s="6" t="s">
        <v>19</v>
      </c>
      <c r="C15" s="6" t="s">
        <v>499</v>
      </c>
      <c r="D15" s="6" t="s">
        <v>500</v>
      </c>
      <c r="E15" s="6" t="s">
        <v>498</v>
      </c>
      <c r="F15" s="6" t="s">
        <v>131</v>
      </c>
      <c r="G15" s="6" t="s">
        <v>128</v>
      </c>
      <c r="H15" s="6">
        <v>0</v>
      </c>
      <c r="I15" s="6">
        <v>25</v>
      </c>
      <c r="J15" s="6">
        <f t="shared" si="0"/>
        <v>-25</v>
      </c>
      <c r="K15" s="6" t="s">
        <v>35</v>
      </c>
      <c r="L15" s="6" t="s">
        <v>26</v>
      </c>
      <c r="M15" s="6" t="s">
        <v>462</v>
      </c>
      <c r="N15" s="6"/>
      <c r="O15" s="6"/>
      <c r="P15" s="6"/>
      <c r="Q15" s="6"/>
      <c r="R15">
        <v>1</v>
      </c>
      <c r="S15">
        <v>25</v>
      </c>
    </row>
    <row r="16" spans="1:20" ht="14.25" customHeight="1">
      <c r="A16" s="6"/>
      <c r="B16" s="6" t="s">
        <v>19</v>
      </c>
      <c r="C16" s="6" t="s">
        <v>501</v>
      </c>
      <c r="D16" s="6" t="s">
        <v>502</v>
      </c>
      <c r="E16" s="6">
        <v>443</v>
      </c>
      <c r="F16" s="6" t="s">
        <v>139</v>
      </c>
      <c r="G16" s="6" t="s">
        <v>128</v>
      </c>
      <c r="H16" s="6">
        <v>465</v>
      </c>
      <c r="I16" s="6">
        <v>25</v>
      </c>
      <c r="J16" s="6">
        <f t="shared" si="0"/>
        <v>440</v>
      </c>
      <c r="K16" s="6" t="s">
        <v>35</v>
      </c>
      <c r="L16" s="6" t="s">
        <v>26</v>
      </c>
      <c r="M16" s="6" t="s">
        <v>462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503</v>
      </c>
      <c r="D17" s="6" t="s">
        <v>504</v>
      </c>
      <c r="E17" s="6" t="s">
        <v>138</v>
      </c>
      <c r="F17" s="6" t="s">
        <v>139</v>
      </c>
      <c r="G17" s="6" t="s">
        <v>128</v>
      </c>
      <c r="H17" s="6">
        <v>0</v>
      </c>
      <c r="I17" s="6">
        <v>40</v>
      </c>
      <c r="J17" s="6">
        <f t="shared" si="0"/>
        <v>-40</v>
      </c>
      <c r="K17" s="6" t="s">
        <v>35</v>
      </c>
      <c r="L17" s="6" t="s">
        <v>26</v>
      </c>
      <c r="M17" s="6" t="s">
        <v>462</v>
      </c>
      <c r="N17" s="6"/>
      <c r="O17" s="6"/>
      <c r="P17" s="6"/>
      <c r="Q17" s="6"/>
      <c r="R17">
        <v>1</v>
      </c>
      <c r="S17">
        <v>40</v>
      </c>
    </row>
    <row r="18" spans="1:19" ht="14.25" customHeight="1">
      <c r="A18" s="6"/>
      <c r="B18" s="6" t="s">
        <v>19</v>
      </c>
      <c r="C18" s="6" t="s">
        <v>505</v>
      </c>
      <c r="D18" s="6" t="s">
        <v>506</v>
      </c>
      <c r="E18" s="6" t="s">
        <v>507</v>
      </c>
      <c r="F18" s="6" t="s">
        <v>508</v>
      </c>
      <c r="G18" s="6" t="s">
        <v>128</v>
      </c>
      <c r="H18" s="6">
        <v>815</v>
      </c>
      <c r="I18" s="6">
        <v>25</v>
      </c>
      <c r="J18" s="6">
        <f t="shared" si="0"/>
        <v>790</v>
      </c>
      <c r="K18" s="6" t="s">
        <v>35</v>
      </c>
      <c r="L18" s="6" t="s">
        <v>26</v>
      </c>
      <c r="M18" s="6" t="s">
        <v>462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509</v>
      </c>
      <c r="D19" s="6" t="s">
        <v>510</v>
      </c>
      <c r="E19" s="6" t="s">
        <v>511</v>
      </c>
      <c r="F19" s="6" t="s">
        <v>150</v>
      </c>
      <c r="G19" s="6" t="s">
        <v>128</v>
      </c>
      <c r="H19" s="6">
        <v>0</v>
      </c>
      <c r="I19" s="6">
        <v>25</v>
      </c>
      <c r="J19" s="6">
        <f t="shared" si="0"/>
        <v>-25</v>
      </c>
      <c r="K19" s="6" t="s">
        <v>35</v>
      </c>
      <c r="L19" s="6" t="s">
        <v>26</v>
      </c>
      <c r="M19" s="6" t="s">
        <v>462</v>
      </c>
      <c r="N19" s="6"/>
      <c r="O19" s="6"/>
      <c r="P19" s="6"/>
      <c r="Q19" s="6"/>
      <c r="R19">
        <v>1</v>
      </c>
      <c r="S19">
        <v>25</v>
      </c>
    </row>
    <row r="20" spans="1:19" ht="14.25" customHeight="1">
      <c r="A20" s="5"/>
      <c r="B20" s="5" t="s">
        <v>19</v>
      </c>
      <c r="C20" s="5" t="s">
        <v>265</v>
      </c>
      <c r="D20" s="5" t="s">
        <v>512</v>
      </c>
      <c r="E20" s="5" t="s">
        <v>513</v>
      </c>
      <c r="F20" s="5" t="s">
        <v>514</v>
      </c>
      <c r="G20" s="5">
        <v>6</v>
      </c>
      <c r="H20" s="5">
        <v>0</v>
      </c>
      <c r="I20" s="5">
        <v>25</v>
      </c>
      <c r="J20" s="5">
        <f t="shared" si="0"/>
        <v>-25</v>
      </c>
      <c r="K20" s="5" t="s">
        <v>515</v>
      </c>
      <c r="L20" s="5" t="s">
        <v>26</v>
      </c>
      <c r="M20" s="5" t="s">
        <v>462</v>
      </c>
      <c r="N20" s="5" t="s">
        <v>177</v>
      </c>
      <c r="O20" s="5"/>
      <c r="P20" s="5"/>
      <c r="Q20" s="5"/>
      <c r="R20">
        <v>1</v>
      </c>
      <c r="S20">
        <v>25</v>
      </c>
    </row>
    <row r="21" spans="1:19" ht="14.25" customHeight="1">
      <c r="A21" s="6"/>
      <c r="B21" s="6" t="s">
        <v>19</v>
      </c>
      <c r="C21" s="6" t="s">
        <v>516</v>
      </c>
      <c r="D21" s="6" t="s">
        <v>517</v>
      </c>
      <c r="E21" s="6" t="s">
        <v>518</v>
      </c>
      <c r="F21" s="6" t="s">
        <v>287</v>
      </c>
      <c r="G21" s="6">
        <v>6</v>
      </c>
      <c r="H21" s="6">
        <v>845</v>
      </c>
      <c r="I21" s="6">
        <v>25</v>
      </c>
      <c r="J21" s="6">
        <f t="shared" si="0"/>
        <v>820</v>
      </c>
      <c r="K21" s="6" t="s">
        <v>515</v>
      </c>
      <c r="L21" s="6" t="s">
        <v>26</v>
      </c>
      <c r="M21" s="6" t="s">
        <v>462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284</v>
      </c>
      <c r="D22" s="6" t="s">
        <v>519</v>
      </c>
      <c r="E22" s="6" t="s">
        <v>286</v>
      </c>
      <c r="F22" s="6" t="s">
        <v>287</v>
      </c>
      <c r="G22" s="6">
        <v>6</v>
      </c>
      <c r="H22" s="6">
        <v>0</v>
      </c>
      <c r="I22" s="6">
        <v>25</v>
      </c>
      <c r="J22" s="6">
        <f t="shared" si="0"/>
        <v>-25</v>
      </c>
      <c r="K22" s="6" t="s">
        <v>515</v>
      </c>
      <c r="L22" s="6" t="s">
        <v>26</v>
      </c>
      <c r="M22" s="6" t="s">
        <v>462</v>
      </c>
      <c r="N22" s="6"/>
      <c r="O22" s="6"/>
      <c r="P22" s="6"/>
      <c r="Q22" s="6"/>
      <c r="R22">
        <v>1</v>
      </c>
      <c r="S22">
        <v>25</v>
      </c>
    </row>
    <row r="23" spans="1:19" ht="14.25" customHeight="1">
      <c r="A23" s="6"/>
      <c r="B23" s="6" t="s">
        <v>19</v>
      </c>
      <c r="C23" s="6" t="s">
        <v>520</v>
      </c>
      <c r="D23" s="6" t="s">
        <v>521</v>
      </c>
      <c r="E23" s="6" t="s">
        <v>522</v>
      </c>
      <c r="F23" s="6" t="s">
        <v>523</v>
      </c>
      <c r="G23" s="6">
        <v>7</v>
      </c>
      <c r="H23" s="6">
        <v>415</v>
      </c>
      <c r="I23" s="6">
        <v>25</v>
      </c>
      <c r="J23" s="6">
        <f t="shared" si="0"/>
        <v>390</v>
      </c>
      <c r="K23" s="6" t="s">
        <v>515</v>
      </c>
      <c r="L23" s="6" t="s">
        <v>26</v>
      </c>
      <c r="M23" s="6" t="s">
        <v>462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294</v>
      </c>
      <c r="D24" s="6" t="s">
        <v>524</v>
      </c>
      <c r="E24" s="6" t="s">
        <v>525</v>
      </c>
      <c r="F24" s="6" t="s">
        <v>297</v>
      </c>
      <c r="G24" s="6">
        <v>7</v>
      </c>
      <c r="H24" s="6">
        <v>0</v>
      </c>
      <c r="I24" s="6">
        <v>25</v>
      </c>
      <c r="J24" s="6">
        <f t="shared" si="0"/>
        <v>-25</v>
      </c>
      <c r="K24" s="6" t="s">
        <v>515</v>
      </c>
      <c r="L24" s="6" t="s">
        <v>26</v>
      </c>
      <c r="M24" s="6" t="s">
        <v>462</v>
      </c>
      <c r="N24" s="7" t="s">
        <v>526</v>
      </c>
      <c r="O24" s="6"/>
      <c r="P24" s="6"/>
      <c r="Q24" s="6"/>
      <c r="R24">
        <v>1</v>
      </c>
      <c r="S24">
        <v>25</v>
      </c>
    </row>
    <row r="25" spans="1:19" ht="14.25" customHeight="1">
      <c r="A25" s="6"/>
      <c r="B25" s="6" t="s">
        <v>19</v>
      </c>
      <c r="C25" s="6" t="s">
        <v>527</v>
      </c>
      <c r="D25" s="6" t="s">
        <v>528</v>
      </c>
      <c r="E25" s="6">
        <v>150</v>
      </c>
      <c r="F25" s="6" t="s">
        <v>529</v>
      </c>
      <c r="G25" s="6">
        <v>7</v>
      </c>
      <c r="H25" s="6">
        <v>715</v>
      </c>
      <c r="I25" s="6">
        <v>25</v>
      </c>
      <c r="J25" s="6">
        <f t="shared" si="0"/>
        <v>690</v>
      </c>
      <c r="K25" s="6" t="s">
        <v>515</v>
      </c>
      <c r="L25" s="6" t="s">
        <v>26</v>
      </c>
      <c r="M25" s="6" t="s">
        <v>462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530</v>
      </c>
      <c r="D26" s="6" t="s">
        <v>531</v>
      </c>
      <c r="E26" s="6" t="s">
        <v>532</v>
      </c>
      <c r="F26" s="6" t="s">
        <v>533</v>
      </c>
      <c r="G26" s="6">
        <v>7</v>
      </c>
      <c r="H26" s="6">
        <v>815</v>
      </c>
      <c r="I26" s="6">
        <v>25</v>
      </c>
      <c r="J26" s="6">
        <f t="shared" si="0"/>
        <v>790</v>
      </c>
      <c r="K26" s="6" t="s">
        <v>515</v>
      </c>
      <c r="L26" s="6" t="s">
        <v>26</v>
      </c>
      <c r="M26" s="6" t="s">
        <v>462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534</v>
      </c>
      <c r="D27" s="6" t="s">
        <v>535</v>
      </c>
      <c r="E27" s="6" t="s">
        <v>536</v>
      </c>
      <c r="F27" s="6" t="s">
        <v>537</v>
      </c>
      <c r="G27" s="6">
        <v>7</v>
      </c>
      <c r="H27" s="6">
        <v>855</v>
      </c>
      <c r="I27" s="6">
        <v>25</v>
      </c>
      <c r="J27" s="6">
        <f t="shared" si="0"/>
        <v>830</v>
      </c>
      <c r="K27" s="6" t="s">
        <v>515</v>
      </c>
      <c r="L27" s="6" t="s">
        <v>26</v>
      </c>
      <c r="M27" s="6" t="s">
        <v>462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538</v>
      </c>
      <c r="D28" s="6" t="s">
        <v>539</v>
      </c>
      <c r="E28" s="6" t="s">
        <v>540</v>
      </c>
      <c r="F28" s="6" t="s">
        <v>541</v>
      </c>
      <c r="G28" s="6">
        <v>8</v>
      </c>
      <c r="H28" s="6">
        <v>1015</v>
      </c>
      <c r="I28" s="6">
        <v>25</v>
      </c>
      <c r="J28" s="6">
        <f t="shared" si="0"/>
        <v>990</v>
      </c>
      <c r="K28" s="6" t="s">
        <v>515</v>
      </c>
      <c r="L28" s="6" t="s">
        <v>26</v>
      </c>
      <c r="M28" s="6" t="s">
        <v>462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174</v>
      </c>
      <c r="D29" s="6" t="s">
        <v>542</v>
      </c>
      <c r="E29" s="6">
        <v>10</v>
      </c>
      <c r="F29" s="6" t="s">
        <v>328</v>
      </c>
      <c r="G29" s="6">
        <v>8</v>
      </c>
      <c r="H29" s="6">
        <v>860</v>
      </c>
      <c r="I29" s="6">
        <v>30</v>
      </c>
      <c r="J29" s="6">
        <f t="shared" si="0"/>
        <v>830</v>
      </c>
      <c r="K29" s="6" t="s">
        <v>515</v>
      </c>
      <c r="L29" s="6" t="s">
        <v>26</v>
      </c>
      <c r="M29" s="6" t="s">
        <v>462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174</v>
      </c>
      <c r="D30" s="6" t="s">
        <v>542</v>
      </c>
      <c r="E30" s="6">
        <v>10</v>
      </c>
      <c r="F30" s="6" t="s">
        <v>328</v>
      </c>
      <c r="G30" s="6">
        <v>8</v>
      </c>
      <c r="H30" s="6">
        <v>860</v>
      </c>
      <c r="I30" s="6">
        <v>30</v>
      </c>
      <c r="J30" s="6">
        <f t="shared" si="0"/>
        <v>830</v>
      </c>
      <c r="K30" s="6" t="s">
        <v>515</v>
      </c>
      <c r="L30" s="6" t="s">
        <v>26</v>
      </c>
      <c r="M30" s="6" t="s">
        <v>462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543</v>
      </c>
      <c r="D31" s="6" t="s">
        <v>544</v>
      </c>
      <c r="E31" s="6" t="s">
        <v>545</v>
      </c>
      <c r="F31" s="6" t="s">
        <v>546</v>
      </c>
      <c r="G31" s="6">
        <v>8</v>
      </c>
      <c r="H31" s="6">
        <v>1015</v>
      </c>
      <c r="I31" s="6">
        <v>25</v>
      </c>
      <c r="J31" s="6">
        <f t="shared" si="0"/>
        <v>990</v>
      </c>
      <c r="K31" s="6" t="s">
        <v>515</v>
      </c>
      <c r="L31" s="6" t="s">
        <v>26</v>
      </c>
      <c r="M31" s="6" t="s">
        <v>462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547</v>
      </c>
      <c r="D32" s="6" t="s">
        <v>548</v>
      </c>
      <c r="E32" s="6" t="s">
        <v>549</v>
      </c>
      <c r="F32" s="6" t="s">
        <v>546</v>
      </c>
      <c r="G32" s="6">
        <v>8</v>
      </c>
      <c r="H32" s="6">
        <v>1015</v>
      </c>
      <c r="I32" s="6">
        <v>25</v>
      </c>
      <c r="J32" s="6">
        <f t="shared" si="0"/>
        <v>990</v>
      </c>
      <c r="K32" s="6" t="s">
        <v>515</v>
      </c>
      <c r="L32" s="6" t="s">
        <v>26</v>
      </c>
      <c r="M32" s="6" t="s">
        <v>462</v>
      </c>
      <c r="N32" s="6"/>
      <c r="O32" s="6"/>
      <c r="P32" s="6"/>
      <c r="Q32" s="6"/>
      <c r="R32">
        <v>1</v>
      </c>
    </row>
    <row r="33" spans="1:19" ht="14.25" customHeight="1">
      <c r="A33" s="5"/>
      <c r="B33" s="5" t="s">
        <v>19</v>
      </c>
      <c r="C33" s="5" t="s">
        <v>550</v>
      </c>
      <c r="D33" s="5" t="s">
        <v>551</v>
      </c>
      <c r="E33" s="5">
        <v>1002</v>
      </c>
      <c r="F33" s="5" t="s">
        <v>552</v>
      </c>
      <c r="G33" s="5">
        <v>8</v>
      </c>
      <c r="H33" s="5">
        <v>3070</v>
      </c>
      <c r="I33" s="5">
        <v>30</v>
      </c>
      <c r="J33" s="5">
        <f t="shared" si="0"/>
        <v>3040</v>
      </c>
      <c r="K33" s="5" t="s">
        <v>515</v>
      </c>
      <c r="L33" s="5" t="s">
        <v>26</v>
      </c>
      <c r="M33" s="5" t="s">
        <v>462</v>
      </c>
      <c r="N33" s="5" t="s">
        <v>36</v>
      </c>
      <c r="O33" s="5"/>
      <c r="P33" s="5"/>
      <c r="Q33" s="5"/>
      <c r="R33">
        <v>1</v>
      </c>
      <c r="S33">
        <v>30</v>
      </c>
    </row>
    <row r="34" spans="1:19" ht="14.25" customHeight="1">
      <c r="A34" s="6"/>
      <c r="B34" s="6" t="s">
        <v>19</v>
      </c>
      <c r="C34" s="6" t="s">
        <v>553</v>
      </c>
      <c r="D34" s="6" t="s">
        <v>554</v>
      </c>
      <c r="E34" s="6" t="s">
        <v>555</v>
      </c>
      <c r="F34" s="6" t="s">
        <v>556</v>
      </c>
      <c r="G34" s="6">
        <v>11</v>
      </c>
      <c r="H34" s="6">
        <v>0</v>
      </c>
      <c r="I34" s="6">
        <v>25</v>
      </c>
      <c r="J34" s="6">
        <f t="shared" si="0"/>
        <v>-25</v>
      </c>
      <c r="K34" s="6" t="s">
        <v>515</v>
      </c>
      <c r="L34" s="6" t="s">
        <v>26</v>
      </c>
      <c r="M34" s="6" t="s">
        <v>462</v>
      </c>
      <c r="N34" s="7" t="s">
        <v>557</v>
      </c>
      <c r="O34" s="6"/>
      <c r="P34" s="6"/>
      <c r="Q34" s="6"/>
      <c r="R34">
        <v>1</v>
      </c>
      <c r="S34">
        <v>25</v>
      </c>
    </row>
    <row r="35" spans="1:19" ht="14.25" customHeight="1">
      <c r="A35" s="6"/>
      <c r="B35" s="6" t="s">
        <v>19</v>
      </c>
      <c r="C35" s="6" t="s">
        <v>558</v>
      </c>
      <c r="D35" s="6" t="s">
        <v>559</v>
      </c>
      <c r="E35" s="6">
        <v>183</v>
      </c>
      <c r="F35" s="6" t="s">
        <v>560</v>
      </c>
      <c r="G35" s="6">
        <v>12</v>
      </c>
      <c r="H35" s="6">
        <v>910</v>
      </c>
      <c r="I35" s="6">
        <v>30</v>
      </c>
      <c r="J35" s="6">
        <f t="shared" si="0"/>
        <v>880</v>
      </c>
      <c r="K35" s="6" t="s">
        <v>515</v>
      </c>
      <c r="L35" s="6" t="s">
        <v>26</v>
      </c>
      <c r="M35" s="6" t="s">
        <v>462</v>
      </c>
      <c r="N35" s="6"/>
      <c r="O35" s="6"/>
      <c r="P35" s="6"/>
      <c r="Q35" s="6"/>
      <c r="R35">
        <v>1</v>
      </c>
    </row>
    <row r="36" spans="1:19" ht="14.25" customHeight="1">
      <c r="A36" s="5"/>
      <c r="B36" s="5" t="s">
        <v>19</v>
      </c>
      <c r="C36" s="5" t="s">
        <v>372</v>
      </c>
      <c r="D36" s="5" t="s">
        <v>561</v>
      </c>
      <c r="E36" s="5">
        <v>67</v>
      </c>
      <c r="F36" s="5" t="s">
        <v>293</v>
      </c>
      <c r="G36" s="5" t="s">
        <v>374</v>
      </c>
      <c r="H36" s="5">
        <v>35</v>
      </c>
      <c r="I36" s="5">
        <v>35</v>
      </c>
      <c r="J36" s="5">
        <f t="shared" si="0"/>
        <v>0</v>
      </c>
      <c r="K36" s="5" t="s">
        <v>515</v>
      </c>
      <c r="L36" s="5" t="s">
        <v>26</v>
      </c>
      <c r="M36" s="5" t="s">
        <v>462</v>
      </c>
      <c r="N36" s="5" t="s">
        <v>177</v>
      </c>
      <c r="O36" s="5"/>
      <c r="P36" s="5"/>
      <c r="Q36" s="5"/>
      <c r="R36">
        <v>1</v>
      </c>
    </row>
    <row r="37" spans="1:19" ht="14.25" customHeight="1">
      <c r="A37" s="6"/>
      <c r="B37" s="6" t="s">
        <v>19</v>
      </c>
      <c r="C37" s="6" t="s">
        <v>562</v>
      </c>
      <c r="D37" s="6" t="s">
        <v>563</v>
      </c>
      <c r="E37" s="6">
        <v>50</v>
      </c>
      <c r="F37" s="6" t="s">
        <v>564</v>
      </c>
      <c r="G37" s="6" t="s">
        <v>374</v>
      </c>
      <c r="H37" s="6">
        <v>725</v>
      </c>
      <c r="I37" s="6">
        <v>35</v>
      </c>
      <c r="J37" s="6">
        <f t="shared" si="0"/>
        <v>690</v>
      </c>
      <c r="K37" s="6" t="s">
        <v>515</v>
      </c>
      <c r="L37" s="6" t="s">
        <v>26</v>
      </c>
      <c r="M37" s="6" t="s">
        <v>462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565</v>
      </c>
      <c r="D38" s="6" t="s">
        <v>566</v>
      </c>
      <c r="E38" s="6" t="s">
        <v>567</v>
      </c>
      <c r="F38" s="6" t="s">
        <v>568</v>
      </c>
      <c r="G38" s="6" t="s">
        <v>385</v>
      </c>
      <c r="H38" s="6">
        <v>590</v>
      </c>
      <c r="I38" s="6">
        <v>30</v>
      </c>
      <c r="J38" s="6">
        <f t="shared" si="0"/>
        <v>560</v>
      </c>
      <c r="K38" s="6" t="s">
        <v>515</v>
      </c>
      <c r="L38" s="6" t="s">
        <v>26</v>
      </c>
      <c r="M38" s="6" t="s">
        <v>462</v>
      </c>
      <c r="N38" s="6"/>
      <c r="O38" s="6"/>
      <c r="P38" s="6"/>
      <c r="Q38" s="6"/>
      <c r="R38">
        <v>1</v>
      </c>
    </row>
    <row r="39" spans="1:19" ht="14.25" customHeight="1">
      <c r="A39" s="6"/>
      <c r="B39" s="6" t="s">
        <v>19</v>
      </c>
      <c r="C39" s="6" t="s">
        <v>569</v>
      </c>
      <c r="D39" s="6" t="s">
        <v>570</v>
      </c>
      <c r="E39" s="6">
        <v>17</v>
      </c>
      <c r="F39" s="6" t="s">
        <v>571</v>
      </c>
      <c r="G39" s="6" t="s">
        <v>385</v>
      </c>
      <c r="H39" s="6">
        <v>450</v>
      </c>
      <c r="I39" s="6">
        <v>30</v>
      </c>
      <c r="J39" s="6">
        <f t="shared" si="0"/>
        <v>420</v>
      </c>
      <c r="K39" s="6" t="s">
        <v>515</v>
      </c>
      <c r="L39" s="6" t="s">
        <v>26</v>
      </c>
      <c r="M39" s="6" t="s">
        <v>462</v>
      </c>
      <c r="N39" s="6"/>
      <c r="O39" s="6"/>
      <c r="P39" s="6"/>
      <c r="Q39" s="6"/>
      <c r="R39">
        <v>1</v>
      </c>
    </row>
    <row r="40" spans="1:19" ht="14.25" customHeight="1">
      <c r="A40" s="6"/>
      <c r="B40" s="6" t="s">
        <v>19</v>
      </c>
      <c r="C40" s="6" t="s">
        <v>572</v>
      </c>
      <c r="D40" s="6" t="s">
        <v>573</v>
      </c>
      <c r="E40" s="6">
        <v>17</v>
      </c>
      <c r="F40" s="6" t="s">
        <v>571</v>
      </c>
      <c r="G40" s="6" t="s">
        <v>385</v>
      </c>
      <c r="H40" s="6">
        <v>0</v>
      </c>
      <c r="I40" s="6">
        <v>30</v>
      </c>
      <c r="J40" s="6">
        <f t="shared" si="0"/>
        <v>-30</v>
      </c>
      <c r="K40" s="6" t="s">
        <v>515</v>
      </c>
      <c r="L40" s="6" t="s">
        <v>26</v>
      </c>
      <c r="M40" s="6" t="s">
        <v>462</v>
      </c>
      <c r="N40" s="6"/>
      <c r="O40" s="6"/>
      <c r="P40" s="6"/>
      <c r="Q40" s="6"/>
      <c r="R40">
        <v>1</v>
      </c>
      <c r="S40">
        <v>30</v>
      </c>
    </row>
    <row r="41" spans="1:19" ht="14.25" customHeight="1">
      <c r="A41" s="6"/>
      <c r="B41" s="6" t="s">
        <v>19</v>
      </c>
      <c r="C41" s="6" t="s">
        <v>574</v>
      </c>
      <c r="D41" s="6" t="s">
        <v>575</v>
      </c>
      <c r="E41" s="6" t="s">
        <v>576</v>
      </c>
      <c r="F41" s="6" t="s">
        <v>577</v>
      </c>
      <c r="G41" s="6" t="s">
        <v>385</v>
      </c>
      <c r="H41" s="6">
        <v>450</v>
      </c>
      <c r="I41" s="6">
        <v>30</v>
      </c>
      <c r="J41" s="6">
        <f t="shared" si="0"/>
        <v>420</v>
      </c>
      <c r="K41" s="6" t="s">
        <v>515</v>
      </c>
      <c r="L41" s="6" t="s">
        <v>26</v>
      </c>
      <c r="M41" s="6" t="s">
        <v>462</v>
      </c>
      <c r="N41" s="6"/>
      <c r="O41" s="6"/>
      <c r="P41" s="6"/>
      <c r="Q41" s="6"/>
      <c r="R41">
        <v>1</v>
      </c>
    </row>
    <row r="42" spans="1:19" ht="14.25" customHeight="1">
      <c r="A42" s="6"/>
      <c r="B42" s="6" t="s">
        <v>19</v>
      </c>
      <c r="C42" s="6" t="s">
        <v>578</v>
      </c>
      <c r="D42" s="6" t="s">
        <v>579</v>
      </c>
      <c r="E42" s="6" t="s">
        <v>580</v>
      </c>
      <c r="F42" s="6" t="s">
        <v>360</v>
      </c>
      <c r="G42" s="6" t="s">
        <v>385</v>
      </c>
      <c r="H42" s="6">
        <v>610</v>
      </c>
      <c r="I42" s="6">
        <v>30</v>
      </c>
      <c r="J42" s="6">
        <f t="shared" si="0"/>
        <v>580</v>
      </c>
      <c r="K42" s="6" t="s">
        <v>515</v>
      </c>
      <c r="L42" s="6" t="s">
        <v>26</v>
      </c>
      <c r="M42" s="6" t="s">
        <v>462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496</v>
      </c>
      <c r="D43" s="6" t="s">
        <v>581</v>
      </c>
      <c r="E43" s="6" t="s">
        <v>582</v>
      </c>
      <c r="F43" s="6" t="s">
        <v>311</v>
      </c>
      <c r="G43" s="6" t="s">
        <v>422</v>
      </c>
      <c r="H43" s="6">
        <v>715</v>
      </c>
      <c r="I43" s="6">
        <v>35</v>
      </c>
      <c r="J43" s="6">
        <f t="shared" si="0"/>
        <v>680</v>
      </c>
      <c r="K43" s="6" t="s">
        <v>515</v>
      </c>
      <c r="L43" s="6" t="s">
        <v>26</v>
      </c>
      <c r="M43" s="6" t="s">
        <v>462</v>
      </c>
      <c r="N43" s="6"/>
      <c r="O43" s="6"/>
      <c r="P43" s="6"/>
      <c r="Q43" s="6"/>
      <c r="R43">
        <v>1</v>
      </c>
    </row>
    <row r="44" spans="1:19" ht="14.25" customHeight="1">
      <c r="A44" s="6" t="s">
        <v>37</v>
      </c>
      <c r="B44" s="6" t="s">
        <v>19</v>
      </c>
      <c r="C44" s="6" t="s">
        <v>583</v>
      </c>
      <c r="D44" s="6"/>
      <c r="E44" s="6" t="s">
        <v>584</v>
      </c>
      <c r="F44" s="6" t="s">
        <v>82</v>
      </c>
      <c r="G44" s="6" t="s">
        <v>128</v>
      </c>
      <c r="H44" s="6">
        <v>0</v>
      </c>
      <c r="I44" s="6">
        <v>35</v>
      </c>
      <c r="J44" s="6">
        <f t="shared" si="0"/>
        <v>-35</v>
      </c>
      <c r="K44" s="6" t="s">
        <v>515</v>
      </c>
      <c r="L44" s="6" t="s">
        <v>26</v>
      </c>
      <c r="M44" s="6" t="s">
        <v>462</v>
      </c>
      <c r="N44" s="6"/>
      <c r="O44" s="6"/>
      <c r="P44" s="6"/>
      <c r="Q44" s="6"/>
      <c r="R44">
        <v>1</v>
      </c>
      <c r="S44">
        <v>35</v>
      </c>
    </row>
    <row r="45" spans="1:19" ht="14.25" customHeight="1">
      <c r="A45" s="6"/>
      <c r="B45" s="6" t="s">
        <v>19</v>
      </c>
      <c r="C45" s="6" t="s">
        <v>585</v>
      </c>
      <c r="D45" s="6" t="s">
        <v>586</v>
      </c>
      <c r="E45" s="6" t="s">
        <v>587</v>
      </c>
      <c r="F45" s="6" t="s">
        <v>588</v>
      </c>
      <c r="G45" s="6" t="s">
        <v>430</v>
      </c>
      <c r="H45" s="6">
        <v>465</v>
      </c>
      <c r="I45" s="6">
        <v>25</v>
      </c>
      <c r="J45" s="6">
        <f t="shared" si="0"/>
        <v>440</v>
      </c>
      <c r="K45" s="6" t="s">
        <v>515</v>
      </c>
      <c r="L45" s="6" t="s">
        <v>26</v>
      </c>
      <c r="M45" s="6" t="s">
        <v>462</v>
      </c>
      <c r="N45" s="6"/>
      <c r="O45" s="6"/>
      <c r="P45" s="6"/>
      <c r="Q45" s="6"/>
      <c r="R45">
        <v>1</v>
      </c>
    </row>
    <row r="46" spans="1:19" ht="14.25" customHeight="1">
      <c r="A46" s="6"/>
      <c r="B46" s="6" t="s">
        <v>19</v>
      </c>
      <c r="C46" s="6" t="s">
        <v>589</v>
      </c>
      <c r="D46" s="6" t="s">
        <v>590</v>
      </c>
      <c r="E46" s="6" t="s">
        <v>591</v>
      </c>
      <c r="F46" s="6" t="s">
        <v>592</v>
      </c>
      <c r="G46" s="6" t="s">
        <v>430</v>
      </c>
      <c r="H46" s="6">
        <v>1195</v>
      </c>
      <c r="I46" s="6">
        <v>25</v>
      </c>
      <c r="J46" s="6">
        <f t="shared" si="0"/>
        <v>1170</v>
      </c>
      <c r="K46" s="6" t="s">
        <v>515</v>
      </c>
      <c r="L46" s="6" t="s">
        <v>26</v>
      </c>
      <c r="M46" s="6" t="s">
        <v>462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593</v>
      </c>
      <c r="D47" s="6" t="s">
        <v>594</v>
      </c>
      <c r="E47" s="6" t="s">
        <v>595</v>
      </c>
      <c r="F47" s="6" t="s">
        <v>596</v>
      </c>
      <c r="G47" s="6" t="s">
        <v>430</v>
      </c>
      <c r="H47" s="6">
        <v>0</v>
      </c>
      <c r="I47" s="6">
        <v>25</v>
      </c>
      <c r="J47" s="6">
        <f t="shared" si="0"/>
        <v>-25</v>
      </c>
      <c r="K47" s="6" t="s">
        <v>515</v>
      </c>
      <c r="L47" s="6" t="s">
        <v>26</v>
      </c>
      <c r="M47" s="6" t="s">
        <v>462</v>
      </c>
      <c r="N47" s="6"/>
      <c r="O47" s="6"/>
      <c r="P47" s="6"/>
      <c r="Q47" s="6"/>
      <c r="R47">
        <v>1</v>
      </c>
      <c r="S47">
        <v>25</v>
      </c>
    </row>
    <row r="48" spans="1:19" ht="14.25" customHeight="1">
      <c r="A48" s="6"/>
      <c r="B48" s="6" t="s">
        <v>19</v>
      </c>
      <c r="C48" s="6" t="s">
        <v>151</v>
      </c>
      <c r="D48" s="6" t="s">
        <v>597</v>
      </c>
      <c r="E48" s="6">
        <v>1</v>
      </c>
      <c r="F48" s="6" t="s">
        <v>153</v>
      </c>
      <c r="G48" s="6">
        <v>2</v>
      </c>
      <c r="H48" s="6">
        <v>0</v>
      </c>
      <c r="I48" s="6">
        <v>30</v>
      </c>
      <c r="J48" s="6">
        <f t="shared" si="0"/>
        <v>-30</v>
      </c>
      <c r="K48" s="6" t="s">
        <v>26</v>
      </c>
      <c r="L48" s="6" t="s">
        <v>26</v>
      </c>
      <c r="M48" s="6" t="s">
        <v>462</v>
      </c>
      <c r="N48" s="6"/>
      <c r="O48" s="6"/>
      <c r="P48" s="6"/>
      <c r="Q48" s="6"/>
      <c r="R48">
        <v>1</v>
      </c>
      <c r="S48">
        <v>30</v>
      </c>
    </row>
    <row r="49" spans="1:20" ht="14.25" customHeight="1">
      <c r="A49" s="6"/>
      <c r="B49" s="6" t="s">
        <v>19</v>
      </c>
      <c r="C49" s="6" t="s">
        <v>598</v>
      </c>
      <c r="D49" s="6" t="s">
        <v>599</v>
      </c>
      <c r="E49" s="6">
        <v>2</v>
      </c>
      <c r="F49" s="6" t="s">
        <v>166</v>
      </c>
      <c r="G49" s="6">
        <v>2</v>
      </c>
      <c r="H49" s="6">
        <v>790</v>
      </c>
      <c r="I49" s="6">
        <v>30</v>
      </c>
      <c r="J49" s="6">
        <f t="shared" si="0"/>
        <v>760</v>
      </c>
      <c r="K49" s="6" t="s">
        <v>26</v>
      </c>
      <c r="L49" s="6" t="s">
        <v>26</v>
      </c>
      <c r="M49" s="6" t="s">
        <v>462</v>
      </c>
      <c r="N49" s="6"/>
      <c r="O49" s="6"/>
      <c r="P49" s="6"/>
      <c r="Q49" s="6"/>
      <c r="R49">
        <v>1</v>
      </c>
    </row>
    <row r="50" spans="1:20" ht="14.25" customHeight="1">
      <c r="A50" s="6"/>
      <c r="B50" s="6" t="s">
        <v>19</v>
      </c>
      <c r="C50" s="6" t="s">
        <v>600</v>
      </c>
      <c r="D50" s="6" t="s">
        <v>601</v>
      </c>
      <c r="E50" s="6" t="s">
        <v>602</v>
      </c>
      <c r="F50" s="6" t="s">
        <v>603</v>
      </c>
      <c r="G50" s="6">
        <v>2</v>
      </c>
      <c r="H50" s="6">
        <v>1020</v>
      </c>
      <c r="I50" s="6">
        <v>30</v>
      </c>
      <c r="J50" s="6">
        <f t="shared" si="0"/>
        <v>990</v>
      </c>
      <c r="K50" s="6" t="s">
        <v>26</v>
      </c>
      <c r="L50" s="6" t="s">
        <v>26</v>
      </c>
      <c r="M50" s="6" t="s">
        <v>462</v>
      </c>
      <c r="N50" s="6"/>
      <c r="O50" s="6"/>
      <c r="P50" s="6"/>
      <c r="Q50" s="6"/>
      <c r="R50">
        <v>1</v>
      </c>
    </row>
    <row r="51" spans="1:20" ht="14.25" customHeight="1">
      <c r="A51" s="6"/>
      <c r="B51" s="6" t="s">
        <v>19</v>
      </c>
      <c r="C51" s="6" t="s">
        <v>604</v>
      </c>
      <c r="D51" s="6" t="s">
        <v>605</v>
      </c>
      <c r="E51" s="6" t="s">
        <v>606</v>
      </c>
      <c r="F51" s="6" t="s">
        <v>607</v>
      </c>
      <c r="G51" s="6" t="s">
        <v>181</v>
      </c>
      <c r="H51" s="6">
        <v>1450</v>
      </c>
      <c r="I51" s="6">
        <v>20</v>
      </c>
      <c r="J51" s="6">
        <f t="shared" si="0"/>
        <v>1430</v>
      </c>
      <c r="K51" s="6" t="s">
        <v>26</v>
      </c>
      <c r="L51" s="6" t="s">
        <v>26</v>
      </c>
      <c r="M51" s="6" t="s">
        <v>462</v>
      </c>
      <c r="N51" s="6"/>
      <c r="O51" s="6"/>
      <c r="P51" s="6"/>
      <c r="Q51" s="6"/>
      <c r="R51">
        <v>1</v>
      </c>
    </row>
    <row r="52" spans="1:20" ht="14.25" customHeight="1">
      <c r="A52" s="5"/>
      <c r="B52" s="5" t="s">
        <v>19</v>
      </c>
      <c r="C52" s="5" t="s">
        <v>224</v>
      </c>
      <c r="D52" s="5" t="s">
        <v>608</v>
      </c>
      <c r="E52" s="5">
        <v>967</v>
      </c>
      <c r="F52" s="5" t="s">
        <v>226</v>
      </c>
      <c r="G52" s="5" t="s">
        <v>220</v>
      </c>
      <c r="H52" s="5">
        <v>0</v>
      </c>
      <c r="I52" s="5">
        <v>25</v>
      </c>
      <c r="J52" s="5">
        <f t="shared" si="0"/>
        <v>-25</v>
      </c>
      <c r="K52" s="5" t="s">
        <v>26</v>
      </c>
      <c r="L52" s="5" t="s">
        <v>26</v>
      </c>
      <c r="M52" s="5" t="s">
        <v>462</v>
      </c>
      <c r="N52" s="5" t="s">
        <v>177</v>
      </c>
      <c r="O52" s="5"/>
      <c r="P52" s="5"/>
      <c r="Q52" s="5"/>
      <c r="R52">
        <v>1</v>
      </c>
      <c r="S52">
        <v>25</v>
      </c>
    </row>
    <row r="53" spans="1:20" ht="14.25" customHeight="1">
      <c r="A53" s="6"/>
      <c r="B53" s="6" t="s">
        <v>19</v>
      </c>
      <c r="C53" s="6" t="s">
        <v>609</v>
      </c>
      <c r="D53" s="6" t="s">
        <v>610</v>
      </c>
      <c r="E53" s="6" t="s">
        <v>611</v>
      </c>
      <c r="F53" s="6" t="s">
        <v>226</v>
      </c>
      <c r="G53" s="6" t="s">
        <v>220</v>
      </c>
      <c r="H53" s="6">
        <v>0</v>
      </c>
      <c r="I53" s="6">
        <v>25</v>
      </c>
      <c r="J53" s="6">
        <f t="shared" si="0"/>
        <v>-25</v>
      </c>
      <c r="K53" s="6" t="s">
        <v>26</v>
      </c>
      <c r="L53" s="6" t="s">
        <v>26</v>
      </c>
      <c r="M53" s="6" t="s">
        <v>462</v>
      </c>
      <c r="N53" s="6"/>
      <c r="O53" s="6"/>
      <c r="P53" s="6"/>
      <c r="Q53" s="6"/>
      <c r="R53">
        <v>1</v>
      </c>
      <c r="S53">
        <v>25</v>
      </c>
    </row>
    <row r="54" spans="1:20" ht="14.25" customHeight="1">
      <c r="A54" s="6"/>
      <c r="B54" s="6" t="s">
        <v>19</v>
      </c>
      <c r="C54" s="6" t="s">
        <v>612</v>
      </c>
      <c r="D54" s="6" t="s">
        <v>613</v>
      </c>
      <c r="E54" s="6">
        <v>695</v>
      </c>
      <c r="F54" s="6" t="s">
        <v>234</v>
      </c>
      <c r="G54" s="6" t="s">
        <v>220</v>
      </c>
      <c r="H54" s="6">
        <v>815</v>
      </c>
      <c r="I54" s="6">
        <v>25</v>
      </c>
      <c r="J54" s="6">
        <f t="shared" si="0"/>
        <v>790</v>
      </c>
      <c r="K54" s="6" t="s">
        <v>26</v>
      </c>
      <c r="L54" s="6" t="s">
        <v>26</v>
      </c>
      <c r="M54" s="6" t="s">
        <v>462</v>
      </c>
      <c r="N54" s="6"/>
      <c r="O54" s="6"/>
      <c r="P54" s="6"/>
      <c r="Q54" s="6"/>
      <c r="R54">
        <v>1</v>
      </c>
    </row>
    <row r="55" spans="1:20" ht="14.25" customHeight="1">
      <c r="A55" s="6"/>
      <c r="B55" s="6" t="s">
        <v>19</v>
      </c>
      <c r="C55" s="6" t="s">
        <v>614</v>
      </c>
      <c r="D55" s="6" t="s">
        <v>615</v>
      </c>
      <c r="E55" s="6">
        <v>542</v>
      </c>
      <c r="F55" s="6" t="s">
        <v>236</v>
      </c>
      <c r="G55" s="6" t="s">
        <v>220</v>
      </c>
      <c r="H55" s="6">
        <v>995</v>
      </c>
      <c r="I55" s="6">
        <v>25</v>
      </c>
      <c r="J55" s="6">
        <f t="shared" si="0"/>
        <v>970</v>
      </c>
      <c r="K55" s="6" t="s">
        <v>26</v>
      </c>
      <c r="L55" s="6" t="s">
        <v>26</v>
      </c>
      <c r="M55" s="6" t="s">
        <v>462</v>
      </c>
      <c r="N55" s="6"/>
      <c r="O55" s="6"/>
      <c r="P55" s="6"/>
      <c r="Q55" s="6"/>
      <c r="R55">
        <v>1</v>
      </c>
    </row>
    <row r="56" spans="1:20" ht="14.25" customHeight="1">
      <c r="A56" s="5"/>
      <c r="B56" s="5" t="s">
        <v>19</v>
      </c>
      <c r="C56" s="5" t="s">
        <v>616</v>
      </c>
      <c r="D56" s="5" t="s">
        <v>617</v>
      </c>
      <c r="E56" s="5" t="s">
        <v>618</v>
      </c>
      <c r="F56" s="5" t="s">
        <v>236</v>
      </c>
      <c r="G56" s="5" t="s">
        <v>220</v>
      </c>
      <c r="H56" s="5">
        <v>25</v>
      </c>
      <c r="I56" s="5">
        <v>25</v>
      </c>
      <c r="J56" s="5">
        <f t="shared" si="0"/>
        <v>0</v>
      </c>
      <c r="K56" s="5" t="s">
        <v>26</v>
      </c>
      <c r="L56" s="5" t="s">
        <v>26</v>
      </c>
      <c r="M56" s="5" t="s">
        <v>462</v>
      </c>
      <c r="N56" s="5" t="s">
        <v>177</v>
      </c>
      <c r="O56" s="5"/>
      <c r="P56" s="5"/>
      <c r="Q56" s="5"/>
      <c r="R56">
        <v>1</v>
      </c>
    </row>
    <row r="57" spans="1:20" ht="14.25" customHeight="1">
      <c r="A57" s="6"/>
      <c r="B57" s="6" t="s">
        <v>19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128</v>
      </c>
      <c r="H57" s="6">
        <v>855</v>
      </c>
      <c r="I57" s="6">
        <v>25</v>
      </c>
      <c r="J57" s="6">
        <f t="shared" si="0"/>
        <v>830</v>
      </c>
      <c r="K57" s="6" t="s">
        <v>26</v>
      </c>
      <c r="L57" s="6" t="s">
        <v>26</v>
      </c>
      <c r="M57" s="6" t="s">
        <v>462</v>
      </c>
      <c r="N57" s="6"/>
      <c r="O57" s="6"/>
      <c r="P57" s="6"/>
      <c r="Q57" s="6"/>
      <c r="R57">
        <v>1</v>
      </c>
    </row>
    <row r="58" spans="1:20" ht="14.25" customHeight="1">
      <c r="A58" s="6"/>
      <c r="B58" s="6" t="s">
        <v>19</v>
      </c>
      <c r="C58" s="6" t="s">
        <v>623</v>
      </c>
      <c r="D58" s="6" t="s">
        <v>624</v>
      </c>
      <c r="E58" s="6">
        <v>23</v>
      </c>
      <c r="F58" s="6" t="s">
        <v>625</v>
      </c>
      <c r="G58" s="6" t="s">
        <v>250</v>
      </c>
      <c r="H58" s="6">
        <v>410</v>
      </c>
      <c r="I58" s="6">
        <v>30</v>
      </c>
      <c r="J58" s="6">
        <f t="shared" si="0"/>
        <v>380</v>
      </c>
      <c r="K58" s="6" t="s">
        <v>26</v>
      </c>
      <c r="L58" s="6" t="s">
        <v>26</v>
      </c>
      <c r="M58" s="6" t="s">
        <v>462</v>
      </c>
      <c r="N58" s="6"/>
      <c r="O58" s="6"/>
      <c r="P58" s="6"/>
      <c r="Q58" s="6"/>
      <c r="R58">
        <v>1</v>
      </c>
    </row>
    <row r="59" spans="1:20" ht="14.25" customHeight="1">
      <c r="A59" s="5"/>
      <c r="B59" s="5" t="s">
        <v>19</v>
      </c>
      <c r="C59" s="5" t="s">
        <v>626</v>
      </c>
      <c r="D59" s="5" t="s">
        <v>627</v>
      </c>
      <c r="E59" s="5" t="s">
        <v>628</v>
      </c>
      <c r="F59" s="5" t="s">
        <v>629</v>
      </c>
      <c r="G59" s="5" t="s">
        <v>250</v>
      </c>
      <c r="H59" s="5">
        <v>2660</v>
      </c>
      <c r="I59" s="5">
        <v>35</v>
      </c>
      <c r="J59" s="5">
        <f t="shared" si="0"/>
        <v>2625</v>
      </c>
      <c r="K59" s="5" t="s">
        <v>26</v>
      </c>
      <c r="L59" s="5" t="s">
        <v>26</v>
      </c>
      <c r="M59" s="5" t="s">
        <v>462</v>
      </c>
      <c r="N59" s="5" t="s">
        <v>36</v>
      </c>
      <c r="O59" s="5"/>
      <c r="P59" s="5"/>
      <c r="Q59" s="5"/>
      <c r="R59">
        <v>1</v>
      </c>
      <c r="S59">
        <v>35</v>
      </c>
    </row>
    <row r="60" spans="1:20" ht="14.25" customHeight="1">
      <c r="A60" s="6"/>
      <c r="B60" s="6" t="s">
        <v>19</v>
      </c>
      <c r="C60" s="6" t="s">
        <v>630</v>
      </c>
      <c r="D60" s="6" t="s">
        <v>631</v>
      </c>
      <c r="E60" s="6" t="s">
        <v>248</v>
      </c>
      <c r="F60" s="6" t="s">
        <v>328</v>
      </c>
      <c r="G60" s="6" t="s">
        <v>250</v>
      </c>
      <c r="H60" s="6">
        <v>850</v>
      </c>
      <c r="I60" s="6">
        <v>30</v>
      </c>
      <c r="J60" s="6">
        <f t="shared" si="0"/>
        <v>820</v>
      </c>
      <c r="K60" s="6" t="s">
        <v>26</v>
      </c>
      <c r="L60" s="6" t="s">
        <v>26</v>
      </c>
      <c r="M60" s="6" t="s">
        <v>462</v>
      </c>
      <c r="N60" s="6"/>
      <c r="O60" s="6"/>
      <c r="P60" s="6"/>
      <c r="Q60" s="6"/>
      <c r="R60">
        <v>1</v>
      </c>
    </row>
    <row r="61" spans="1:20" ht="14.25" customHeight="1">
      <c r="A61" s="6"/>
      <c r="B61" s="6" t="s">
        <v>19</v>
      </c>
      <c r="C61" s="6" t="s">
        <v>632</v>
      </c>
      <c r="D61" s="6" t="s">
        <v>633</v>
      </c>
      <c r="E61" s="6" t="s">
        <v>634</v>
      </c>
      <c r="F61" s="6" t="s">
        <v>635</v>
      </c>
      <c r="G61" s="6" t="s">
        <v>250</v>
      </c>
      <c r="H61" s="6">
        <v>0</v>
      </c>
      <c r="I61" s="6">
        <v>30</v>
      </c>
      <c r="J61" s="6">
        <f t="shared" si="0"/>
        <v>-30</v>
      </c>
      <c r="K61" s="6" t="s">
        <v>26</v>
      </c>
      <c r="L61" s="6" t="s">
        <v>26</v>
      </c>
      <c r="M61" s="6" t="s">
        <v>462</v>
      </c>
      <c r="N61" s="7" t="s">
        <v>636</v>
      </c>
      <c r="O61" s="6"/>
      <c r="P61" s="6"/>
      <c r="Q61" s="6"/>
      <c r="R61">
        <v>1</v>
      </c>
      <c r="S61">
        <v>30</v>
      </c>
    </row>
    <row r="62" spans="1:20" ht="14.25" customHeight="1"/>
    <row r="63" spans="1:20" ht="14.25" customHeight="1">
      <c r="H63">
        <f t="shared" ref="H63:T63" si="1">SUBTOTAL(9,H3:H62)</f>
        <v>40110</v>
      </c>
      <c r="I63">
        <f t="shared" si="1"/>
        <v>1590</v>
      </c>
      <c r="J63">
        <f t="shared" si="1"/>
        <v>38520</v>
      </c>
      <c r="K63">
        <f t="shared" si="1"/>
        <v>0</v>
      </c>
      <c r="L63">
        <f t="shared" si="1"/>
        <v>0</v>
      </c>
      <c r="M63">
        <f t="shared" si="1"/>
        <v>0</v>
      </c>
      <c r="N63">
        <f t="shared" si="1"/>
        <v>0</v>
      </c>
      <c r="O63">
        <f t="shared" si="1"/>
        <v>0</v>
      </c>
      <c r="P63">
        <f t="shared" si="1"/>
        <v>0</v>
      </c>
      <c r="Q63">
        <f t="shared" si="1"/>
        <v>0</v>
      </c>
      <c r="R63">
        <f t="shared" si="1"/>
        <v>59</v>
      </c>
      <c r="S63">
        <f t="shared" si="1"/>
        <v>560</v>
      </c>
      <c r="T63">
        <f t="shared" si="1"/>
        <v>0</v>
      </c>
    </row>
    <row r="64" spans="1:20" ht="14.25" customHeight="1">
      <c r="J64">
        <v>-1110</v>
      </c>
      <c r="K64" t="s">
        <v>637</v>
      </c>
    </row>
    <row r="65" spans="1:13" ht="14.25" customHeight="1">
      <c r="J65">
        <v>-2550</v>
      </c>
      <c r="K65" t="s">
        <v>432</v>
      </c>
    </row>
    <row r="66" spans="1:13" ht="14.25" customHeight="1"/>
    <row r="67" spans="1:13" ht="20.25" customHeight="1">
      <c r="I67" s="8" t="s">
        <v>638</v>
      </c>
      <c r="J67" s="9" t="s">
        <v>434</v>
      </c>
      <c r="K67" s="10" t="s">
        <v>435</v>
      </c>
    </row>
    <row r="68" spans="1:13" ht="14.25" customHeight="1">
      <c r="I68" s="11" t="s">
        <v>436</v>
      </c>
      <c r="J68" s="12">
        <f>SUM(J62:J66)</f>
        <v>34860</v>
      </c>
      <c r="K68" s="12">
        <f>R63</f>
        <v>59</v>
      </c>
    </row>
    <row r="69" spans="1:13" ht="14.25" customHeight="1">
      <c r="I69" s="13" t="s">
        <v>437</v>
      </c>
      <c r="J69" s="14">
        <f>S62</f>
        <v>0</v>
      </c>
      <c r="K69" s="15"/>
    </row>
    <row r="70" spans="1:13" ht="14.25" customHeight="1">
      <c r="I70" s="13" t="s">
        <v>438</v>
      </c>
      <c r="J70" s="14">
        <f>T62</f>
        <v>0</v>
      </c>
      <c r="K70" s="15"/>
    </row>
    <row r="71" spans="1:13" ht="14.25" customHeight="1">
      <c r="I71" s="13" t="s">
        <v>439</v>
      </c>
      <c r="J71" s="14">
        <f>U62</f>
        <v>0</v>
      </c>
      <c r="K71" s="15"/>
    </row>
    <row r="72" spans="1:13" ht="14.25" customHeight="1">
      <c r="I72" s="13" t="s">
        <v>440</v>
      </c>
      <c r="J72" s="14">
        <f>V62</f>
        <v>0</v>
      </c>
      <c r="K72" s="15"/>
    </row>
    <row r="73" spans="1:13" ht="14.25" customHeight="1">
      <c r="I73" s="16" t="s">
        <v>441</v>
      </c>
      <c r="J73" s="17"/>
      <c r="K73" s="17"/>
    </row>
    <row r="74" spans="1:13" ht="14.25" customHeight="1">
      <c r="I74" s="18" t="s">
        <v>442</v>
      </c>
      <c r="J74" s="17"/>
      <c r="K74" s="17"/>
    </row>
    <row r="75" spans="1:13" ht="14.25" customHeight="1">
      <c r="I75" s="19" t="s">
        <v>443</v>
      </c>
      <c r="J75" s="20">
        <f>SUM(J68:J74)</f>
        <v>34860</v>
      </c>
      <c r="K75" s="20">
        <f>SUM(K68:K72)</f>
        <v>59</v>
      </c>
    </row>
    <row r="76" spans="1:13" ht="14.25" customHeight="1"/>
    <row r="77" spans="1:13" ht="14.25" customHeight="1">
      <c r="A77" t="s">
        <v>432</v>
      </c>
    </row>
    <row r="78" spans="1:13" ht="14.25" customHeight="1">
      <c r="A78" s="21" t="s">
        <v>19</v>
      </c>
      <c r="B78" s="21" t="s">
        <v>284</v>
      </c>
      <c r="C78" s="21" t="s">
        <v>285</v>
      </c>
      <c r="D78" s="21" t="s">
        <v>286</v>
      </c>
      <c r="E78" s="21" t="s">
        <v>287</v>
      </c>
      <c r="F78" s="21">
        <v>6</v>
      </c>
      <c r="G78" s="21">
        <v>2550</v>
      </c>
      <c r="H78" s="21">
        <v>0</v>
      </c>
      <c r="I78" s="21">
        <f>G78-H78</f>
        <v>2550</v>
      </c>
      <c r="J78" s="21" t="s">
        <v>25</v>
      </c>
      <c r="K78" s="21" t="s">
        <v>26</v>
      </c>
      <c r="L78" s="21" t="s">
        <v>27</v>
      </c>
      <c r="M78" s="3" t="s">
        <v>639</v>
      </c>
    </row>
    <row r="79" spans="1:13" ht="14.25" customHeight="1"/>
    <row r="80" spans="1:13" ht="14.25" customHeight="1">
      <c r="A80" t="s">
        <v>640</v>
      </c>
    </row>
    <row r="81" spans="1:13" ht="14.25" customHeight="1">
      <c r="A81" s="2" t="s">
        <v>19</v>
      </c>
      <c r="B81" s="2" t="s">
        <v>294</v>
      </c>
      <c r="C81" s="2" t="s">
        <v>524</v>
      </c>
      <c r="D81" s="2" t="s">
        <v>525</v>
      </c>
      <c r="E81" s="2" t="s">
        <v>297</v>
      </c>
      <c r="F81" s="2">
        <v>7</v>
      </c>
      <c r="G81" s="2">
        <v>405</v>
      </c>
      <c r="H81" s="2">
        <v>0</v>
      </c>
      <c r="I81" s="2">
        <v>405</v>
      </c>
      <c r="J81" s="2" t="s">
        <v>515</v>
      </c>
      <c r="K81" s="2" t="s">
        <v>26</v>
      </c>
      <c r="L81" s="2" t="s">
        <v>462</v>
      </c>
      <c r="M81" s="3" t="s">
        <v>526</v>
      </c>
    </row>
    <row r="82" spans="1:13" ht="14.25" customHeight="1">
      <c r="A82" s="2" t="s">
        <v>19</v>
      </c>
      <c r="B82" s="2" t="s">
        <v>553</v>
      </c>
      <c r="C82" s="2" t="s">
        <v>554</v>
      </c>
      <c r="D82" s="2" t="s">
        <v>555</v>
      </c>
      <c r="E82" s="2" t="s">
        <v>556</v>
      </c>
      <c r="F82" s="2">
        <v>11</v>
      </c>
      <c r="G82" s="2">
        <v>845</v>
      </c>
      <c r="H82" s="2">
        <v>0</v>
      </c>
      <c r="I82" s="2">
        <v>845</v>
      </c>
      <c r="J82" s="2" t="s">
        <v>515</v>
      </c>
      <c r="K82" s="2" t="s">
        <v>26</v>
      </c>
      <c r="L82" s="2" t="s">
        <v>462</v>
      </c>
      <c r="M82" s="3" t="s">
        <v>557</v>
      </c>
    </row>
    <row r="83" spans="1:13" ht="14.25" customHeight="1">
      <c r="A83" s="2" t="s">
        <v>19</v>
      </c>
      <c r="B83" s="2" t="s">
        <v>632</v>
      </c>
      <c r="C83" s="2" t="s">
        <v>633</v>
      </c>
      <c r="D83" s="2" t="s">
        <v>634</v>
      </c>
      <c r="E83" s="2" t="s">
        <v>635</v>
      </c>
      <c r="F83" s="2" t="s">
        <v>250</v>
      </c>
      <c r="G83" s="2">
        <v>1000</v>
      </c>
      <c r="H83" s="2">
        <v>0</v>
      </c>
      <c r="I83" s="2">
        <v>1000</v>
      </c>
      <c r="J83" s="2" t="s">
        <v>26</v>
      </c>
      <c r="K83" s="2" t="s">
        <v>26</v>
      </c>
      <c r="L83" s="2" t="s">
        <v>462</v>
      </c>
      <c r="M83" s="3" t="s">
        <v>636</v>
      </c>
    </row>
    <row r="84" spans="1:13" ht="14.25" customHeight="1"/>
    <row r="85" spans="1:13" ht="14.25" customHeight="1"/>
    <row r="86" spans="1:13" ht="14.25" customHeight="1"/>
    <row r="87" spans="1:13" ht="14.25" customHeight="1"/>
    <row r="88" spans="1:13" ht="14.25" customHeight="1"/>
    <row r="89" spans="1:13" ht="14.25" customHeight="1"/>
    <row r="90" spans="1:13" ht="14.25" customHeight="1"/>
    <row r="91" spans="1:13" ht="14.25" customHeight="1"/>
    <row r="92" spans="1:13" ht="14.25" customHeight="1"/>
    <row r="93" spans="1:13" ht="14.25" customHeight="1"/>
    <row r="94" spans="1:13" ht="14.25" customHeight="1"/>
    <row r="95" spans="1:13" ht="14.25" customHeight="1"/>
    <row r="96" spans="1:13" ht="14.25" customHeight="1"/>
    <row r="97" ht="14.25" customHeight="1"/>
    <row r="98" ht="14.25" customHeight="1"/>
    <row r="99" ht="14.25" customHeight="1"/>
    <row r="100" ht="14.25" customHeight="1"/>
  </sheetData>
  <autoFilter ref="A2:Q6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topLeftCell="A61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641</v>
      </c>
      <c r="C1" t="s">
        <v>642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2"/>
      <c r="B3" s="2" t="s">
        <v>19</v>
      </c>
      <c r="C3" s="2" t="s">
        <v>643</v>
      </c>
      <c r="D3" s="2" t="s">
        <v>644</v>
      </c>
      <c r="E3" s="2" t="s">
        <v>645</v>
      </c>
      <c r="F3" s="2" t="s">
        <v>646</v>
      </c>
      <c r="G3" s="2" t="s">
        <v>24</v>
      </c>
      <c r="H3" s="2">
        <v>1780</v>
      </c>
      <c r="I3" s="2">
        <v>0</v>
      </c>
      <c r="J3" s="2">
        <f t="shared" ref="J3:J67" si="0">H3-I3</f>
        <v>1780</v>
      </c>
      <c r="K3" s="2" t="s">
        <v>25</v>
      </c>
      <c r="L3" s="2" t="s">
        <v>26</v>
      </c>
      <c r="M3" s="2" t="s">
        <v>647</v>
      </c>
      <c r="N3" s="3" t="s">
        <v>28</v>
      </c>
      <c r="O3" s="2" t="s">
        <v>29</v>
      </c>
      <c r="P3" s="2"/>
      <c r="Q3" s="2" t="s">
        <v>30</v>
      </c>
      <c r="R3" s="22">
        <v>1</v>
      </c>
      <c r="S3" s="22"/>
      <c r="T3" s="22"/>
    </row>
    <row r="4" spans="1:20" ht="14.25" customHeight="1">
      <c r="A4" s="5"/>
      <c r="B4" s="5" t="s">
        <v>19</v>
      </c>
      <c r="C4" s="5" t="s">
        <v>648</v>
      </c>
      <c r="D4" s="5" t="s">
        <v>649</v>
      </c>
      <c r="E4" s="5">
        <v>241</v>
      </c>
      <c r="F4" s="5" t="s">
        <v>46</v>
      </c>
      <c r="G4" s="5">
        <v>1</v>
      </c>
      <c r="H4" s="5">
        <v>30</v>
      </c>
      <c r="I4" s="5">
        <v>20</v>
      </c>
      <c r="J4" s="5">
        <f t="shared" si="0"/>
        <v>10</v>
      </c>
      <c r="K4" s="5" t="s">
        <v>35</v>
      </c>
      <c r="L4" s="5" t="s">
        <v>26</v>
      </c>
      <c r="M4" s="5" t="s">
        <v>647</v>
      </c>
      <c r="N4" s="5" t="s">
        <v>177</v>
      </c>
      <c r="O4" s="5"/>
      <c r="P4" s="5"/>
      <c r="Q4" s="5"/>
      <c r="R4">
        <v>1</v>
      </c>
      <c r="S4" s="4"/>
      <c r="T4" s="4"/>
    </row>
    <row r="5" spans="1:20" ht="14.25" customHeight="1">
      <c r="A5" s="6"/>
      <c r="B5" s="6" t="s">
        <v>19</v>
      </c>
      <c r="C5" s="6" t="s">
        <v>650</v>
      </c>
      <c r="D5" s="6" t="s">
        <v>651</v>
      </c>
      <c r="E5" s="6" t="s">
        <v>652</v>
      </c>
      <c r="F5" s="6" t="s">
        <v>46</v>
      </c>
      <c r="G5" s="6">
        <v>1</v>
      </c>
      <c r="H5" s="6">
        <v>400</v>
      </c>
      <c r="I5" s="6">
        <v>20</v>
      </c>
      <c r="J5" s="6">
        <f t="shared" si="0"/>
        <v>380</v>
      </c>
      <c r="K5" s="6" t="s">
        <v>35</v>
      </c>
      <c r="L5" s="6" t="s">
        <v>26</v>
      </c>
      <c r="M5" s="6" t="s">
        <v>647</v>
      </c>
      <c r="N5" s="6"/>
      <c r="O5" s="6"/>
      <c r="P5" s="6"/>
      <c r="Q5" s="6"/>
      <c r="R5">
        <v>1</v>
      </c>
      <c r="S5" s="4"/>
      <c r="T5" s="4"/>
    </row>
    <row r="6" spans="1:20" ht="14.25" customHeight="1">
      <c r="A6" s="6"/>
      <c r="B6" s="6" t="s">
        <v>19</v>
      </c>
      <c r="C6" s="6" t="s">
        <v>653</v>
      </c>
      <c r="D6" s="6" t="s">
        <v>654</v>
      </c>
      <c r="E6" s="6">
        <v>86</v>
      </c>
      <c r="F6" s="6" t="s">
        <v>655</v>
      </c>
      <c r="G6" s="6">
        <v>1</v>
      </c>
      <c r="H6" s="6">
        <v>1000</v>
      </c>
      <c r="I6" s="6">
        <v>20</v>
      </c>
      <c r="J6" s="6">
        <f t="shared" si="0"/>
        <v>980</v>
      </c>
      <c r="K6" s="6" t="s">
        <v>35</v>
      </c>
      <c r="L6" s="6" t="s">
        <v>26</v>
      </c>
      <c r="M6" s="6" t="s">
        <v>647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656</v>
      </c>
      <c r="D7" s="6" t="s">
        <v>657</v>
      </c>
      <c r="E7" s="6">
        <v>110</v>
      </c>
      <c r="F7" s="6" t="s">
        <v>658</v>
      </c>
      <c r="G7" s="6">
        <v>3</v>
      </c>
      <c r="H7" s="6">
        <v>810</v>
      </c>
      <c r="I7" s="6">
        <v>20</v>
      </c>
      <c r="J7" s="6">
        <f t="shared" si="0"/>
        <v>790</v>
      </c>
      <c r="K7" s="6" t="s">
        <v>35</v>
      </c>
      <c r="L7" s="6" t="s">
        <v>26</v>
      </c>
      <c r="M7" s="6" t="s">
        <v>647</v>
      </c>
      <c r="N7" s="6"/>
      <c r="O7" s="6"/>
      <c r="P7" s="6"/>
      <c r="Q7" s="6"/>
      <c r="R7">
        <v>1</v>
      </c>
    </row>
    <row r="8" spans="1:20" ht="14.25" customHeight="1">
      <c r="A8" s="6"/>
      <c r="B8" s="6" t="s">
        <v>19</v>
      </c>
      <c r="C8" s="6" t="s">
        <v>659</v>
      </c>
      <c r="D8" s="6" t="s">
        <v>660</v>
      </c>
      <c r="E8" s="6">
        <v>164</v>
      </c>
      <c r="F8" s="6" t="s">
        <v>661</v>
      </c>
      <c r="G8" s="6">
        <v>4</v>
      </c>
      <c r="H8" s="6">
        <v>0</v>
      </c>
      <c r="I8" s="6">
        <v>25</v>
      </c>
      <c r="J8" s="6">
        <f t="shared" si="0"/>
        <v>-25</v>
      </c>
      <c r="K8" s="6" t="s">
        <v>35</v>
      </c>
      <c r="L8" s="6" t="s">
        <v>26</v>
      </c>
      <c r="M8" s="6" t="s">
        <v>647</v>
      </c>
      <c r="N8" s="6"/>
      <c r="O8" s="6"/>
      <c r="P8" s="6"/>
      <c r="Q8" s="6"/>
      <c r="R8">
        <v>1</v>
      </c>
      <c r="S8">
        <v>25</v>
      </c>
    </row>
    <row r="9" spans="1:20" ht="14.25" customHeight="1">
      <c r="A9" s="6"/>
      <c r="B9" s="6" t="s">
        <v>19</v>
      </c>
      <c r="C9" s="6" t="s">
        <v>662</v>
      </c>
      <c r="D9" s="6" t="s">
        <v>663</v>
      </c>
      <c r="E9" s="6" t="s">
        <v>664</v>
      </c>
      <c r="F9" s="6" t="s">
        <v>665</v>
      </c>
      <c r="G9" s="6">
        <v>4</v>
      </c>
      <c r="H9" s="6">
        <v>815</v>
      </c>
      <c r="I9" s="6">
        <v>25</v>
      </c>
      <c r="J9" s="6">
        <f t="shared" si="0"/>
        <v>790</v>
      </c>
      <c r="K9" s="6" t="s">
        <v>35</v>
      </c>
      <c r="L9" s="6" t="s">
        <v>26</v>
      </c>
      <c r="M9" s="6" t="s">
        <v>647</v>
      </c>
      <c r="N9" s="6"/>
      <c r="O9" s="6"/>
      <c r="P9" s="6"/>
      <c r="Q9" s="6"/>
      <c r="R9">
        <v>1</v>
      </c>
    </row>
    <row r="10" spans="1:20" ht="14.25" customHeight="1">
      <c r="A10" s="5"/>
      <c r="B10" s="5" t="s">
        <v>19</v>
      </c>
      <c r="C10" s="5" t="s">
        <v>666</v>
      </c>
      <c r="D10" s="5" t="s">
        <v>667</v>
      </c>
      <c r="E10" s="5" t="s">
        <v>668</v>
      </c>
      <c r="F10" s="5" t="s">
        <v>669</v>
      </c>
      <c r="G10" s="5">
        <v>4</v>
      </c>
      <c r="H10" s="5">
        <v>3620</v>
      </c>
      <c r="I10" s="5">
        <v>30</v>
      </c>
      <c r="J10" s="5">
        <f t="shared" si="0"/>
        <v>3590</v>
      </c>
      <c r="K10" s="5" t="s">
        <v>35</v>
      </c>
      <c r="L10" s="5" t="s">
        <v>26</v>
      </c>
      <c r="M10" s="5" t="s">
        <v>647</v>
      </c>
      <c r="N10" s="5" t="s">
        <v>36</v>
      </c>
      <c r="O10" s="5"/>
      <c r="P10" s="5"/>
      <c r="Q10" s="5"/>
      <c r="R10">
        <v>1</v>
      </c>
      <c r="S10">
        <v>30</v>
      </c>
    </row>
    <row r="11" spans="1:20" ht="14.25" customHeight="1">
      <c r="A11" s="6" t="s">
        <v>37</v>
      </c>
      <c r="B11" s="6" t="s">
        <v>19</v>
      </c>
      <c r="C11" s="6" t="s">
        <v>670</v>
      </c>
      <c r="D11" s="6"/>
      <c r="E11" s="6">
        <v>141</v>
      </c>
      <c r="F11" s="6" t="s">
        <v>86</v>
      </c>
      <c r="G11" s="6">
        <v>5</v>
      </c>
      <c r="H11" s="6">
        <v>4280</v>
      </c>
      <c r="I11" s="6">
        <v>30</v>
      </c>
      <c r="J11" s="6">
        <f t="shared" si="0"/>
        <v>4250</v>
      </c>
      <c r="K11" s="6" t="s">
        <v>35</v>
      </c>
      <c r="L11" s="6" t="s">
        <v>26</v>
      </c>
      <c r="M11" s="6" t="s">
        <v>647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671</v>
      </c>
      <c r="D12" s="6" t="s">
        <v>672</v>
      </c>
      <c r="E12" s="6">
        <v>323</v>
      </c>
      <c r="F12" s="6" t="s">
        <v>86</v>
      </c>
      <c r="G12" s="6">
        <v>5</v>
      </c>
      <c r="H12" s="6">
        <v>765</v>
      </c>
      <c r="I12" s="6">
        <v>25</v>
      </c>
      <c r="J12" s="6">
        <f t="shared" si="0"/>
        <v>740</v>
      </c>
      <c r="K12" s="6" t="s">
        <v>35</v>
      </c>
      <c r="L12" s="6" t="s">
        <v>26</v>
      </c>
      <c r="M12" s="6" t="s">
        <v>647</v>
      </c>
      <c r="N12" s="6"/>
      <c r="O12" s="6"/>
      <c r="P12" s="6"/>
      <c r="Q12" s="6"/>
      <c r="R12">
        <v>1</v>
      </c>
    </row>
    <row r="13" spans="1:20" ht="14.25" customHeight="1">
      <c r="A13" s="6"/>
      <c r="B13" s="6" t="s">
        <v>19</v>
      </c>
      <c r="C13" s="6" t="s">
        <v>673</v>
      </c>
      <c r="D13" s="6" t="s">
        <v>674</v>
      </c>
      <c r="E13" s="6">
        <v>363</v>
      </c>
      <c r="F13" s="6" t="s">
        <v>86</v>
      </c>
      <c r="G13" s="6">
        <v>5</v>
      </c>
      <c r="H13" s="6">
        <v>0</v>
      </c>
      <c r="I13" s="6">
        <v>25</v>
      </c>
      <c r="J13" s="6">
        <f t="shared" si="0"/>
        <v>-25</v>
      </c>
      <c r="K13" s="6" t="s">
        <v>35</v>
      </c>
      <c r="L13" s="6" t="s">
        <v>26</v>
      </c>
      <c r="M13" s="6" t="s">
        <v>647</v>
      </c>
      <c r="N13" s="6"/>
      <c r="O13" s="6"/>
      <c r="P13" s="6"/>
      <c r="Q13" s="6"/>
      <c r="R13">
        <v>1</v>
      </c>
      <c r="S13">
        <v>25</v>
      </c>
    </row>
    <row r="14" spans="1:20" ht="14.25" customHeight="1">
      <c r="A14" s="6"/>
      <c r="B14" s="6" t="s">
        <v>19</v>
      </c>
      <c r="C14" s="6" t="s">
        <v>675</v>
      </c>
      <c r="D14" s="6" t="s">
        <v>676</v>
      </c>
      <c r="E14" s="6">
        <v>230</v>
      </c>
      <c r="F14" s="6" t="s">
        <v>658</v>
      </c>
      <c r="G14" s="6">
        <v>10</v>
      </c>
      <c r="H14" s="6">
        <v>375</v>
      </c>
      <c r="I14" s="6">
        <v>25</v>
      </c>
      <c r="J14" s="6">
        <f t="shared" si="0"/>
        <v>350</v>
      </c>
      <c r="K14" s="6" t="s">
        <v>35</v>
      </c>
      <c r="L14" s="6" t="s">
        <v>26</v>
      </c>
      <c r="M14" s="6" t="s">
        <v>647</v>
      </c>
      <c r="N14" s="6"/>
      <c r="O14" s="6"/>
      <c r="P14" s="6"/>
      <c r="Q14" s="6"/>
      <c r="R14">
        <v>1</v>
      </c>
    </row>
    <row r="15" spans="1:20" ht="14.25" customHeight="1">
      <c r="A15" s="6"/>
      <c r="B15" s="6" t="s">
        <v>19</v>
      </c>
      <c r="C15" s="6" t="s">
        <v>677</v>
      </c>
      <c r="D15" s="6" t="s">
        <v>678</v>
      </c>
      <c r="E15" s="6">
        <v>137</v>
      </c>
      <c r="F15" s="6" t="s">
        <v>679</v>
      </c>
      <c r="G15" s="6" t="s">
        <v>128</v>
      </c>
      <c r="H15" s="6">
        <v>0</v>
      </c>
      <c r="I15" s="6">
        <v>25</v>
      </c>
      <c r="J15" s="6">
        <f t="shared" si="0"/>
        <v>-25</v>
      </c>
      <c r="K15" s="6" t="s">
        <v>35</v>
      </c>
      <c r="L15" s="6" t="s">
        <v>26</v>
      </c>
      <c r="M15" s="6" t="s">
        <v>647</v>
      </c>
      <c r="N15" s="6"/>
      <c r="O15" s="6"/>
      <c r="P15" s="6"/>
      <c r="Q15" s="6"/>
      <c r="R15">
        <v>1</v>
      </c>
      <c r="S15">
        <v>25</v>
      </c>
    </row>
    <row r="16" spans="1:20" ht="14.25" customHeight="1">
      <c r="A16" s="6"/>
      <c r="B16" s="6" t="s">
        <v>19</v>
      </c>
      <c r="C16" s="6" t="s">
        <v>680</v>
      </c>
      <c r="D16" s="6" t="s">
        <v>681</v>
      </c>
      <c r="E16" s="6">
        <v>54</v>
      </c>
      <c r="F16" s="6" t="s">
        <v>682</v>
      </c>
      <c r="G16" s="6" t="s">
        <v>128</v>
      </c>
      <c r="H16" s="6">
        <v>0</v>
      </c>
      <c r="I16" s="6">
        <v>25</v>
      </c>
      <c r="J16" s="6">
        <f t="shared" si="0"/>
        <v>-25</v>
      </c>
      <c r="K16" s="6" t="s">
        <v>35</v>
      </c>
      <c r="L16" s="6" t="s">
        <v>26</v>
      </c>
      <c r="M16" s="6" t="s">
        <v>647</v>
      </c>
      <c r="N16" s="6"/>
      <c r="O16" s="6"/>
      <c r="P16" s="6"/>
      <c r="Q16" s="6"/>
      <c r="R16">
        <v>1</v>
      </c>
      <c r="S16">
        <v>25</v>
      </c>
    </row>
    <row r="17" spans="1:19" ht="14.25" customHeight="1">
      <c r="A17" s="6"/>
      <c r="B17" s="6" t="s">
        <v>19</v>
      </c>
      <c r="C17" s="6" t="s">
        <v>683</v>
      </c>
      <c r="D17" s="6" t="s">
        <v>684</v>
      </c>
      <c r="E17" s="6" t="s">
        <v>685</v>
      </c>
      <c r="F17" s="6" t="s">
        <v>686</v>
      </c>
      <c r="G17" s="6" t="s">
        <v>128</v>
      </c>
      <c r="H17" s="6">
        <v>605</v>
      </c>
      <c r="I17" s="6">
        <v>25</v>
      </c>
      <c r="J17" s="6">
        <f t="shared" si="0"/>
        <v>580</v>
      </c>
      <c r="K17" s="6" t="s">
        <v>35</v>
      </c>
      <c r="L17" s="6" t="s">
        <v>26</v>
      </c>
      <c r="M17" s="6" t="s">
        <v>647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687</v>
      </c>
      <c r="D18" s="6" t="s">
        <v>688</v>
      </c>
      <c r="E18" s="6" t="s">
        <v>689</v>
      </c>
      <c r="F18" s="6" t="s">
        <v>690</v>
      </c>
      <c r="G18" s="6" t="s">
        <v>128</v>
      </c>
      <c r="H18" s="6">
        <v>1015</v>
      </c>
      <c r="I18" s="6">
        <v>25</v>
      </c>
      <c r="J18" s="6">
        <f t="shared" si="0"/>
        <v>990</v>
      </c>
      <c r="K18" s="6" t="s">
        <v>35</v>
      </c>
      <c r="L18" s="6" t="s">
        <v>26</v>
      </c>
      <c r="M18" s="6" t="s">
        <v>647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691</v>
      </c>
      <c r="D19" s="6" t="s">
        <v>692</v>
      </c>
      <c r="E19" s="6">
        <v>55</v>
      </c>
      <c r="F19" s="6" t="s">
        <v>693</v>
      </c>
      <c r="G19" s="6" t="s">
        <v>128</v>
      </c>
      <c r="H19" s="6">
        <v>0</v>
      </c>
      <c r="I19" s="6">
        <v>25</v>
      </c>
      <c r="J19" s="6">
        <f t="shared" si="0"/>
        <v>-25</v>
      </c>
      <c r="K19" s="6" t="s">
        <v>35</v>
      </c>
      <c r="L19" s="6" t="s">
        <v>26</v>
      </c>
      <c r="M19" s="6" t="s">
        <v>647</v>
      </c>
      <c r="N19" s="6"/>
      <c r="O19" s="6"/>
      <c r="P19" s="6"/>
      <c r="Q19" s="6"/>
      <c r="R19">
        <v>1</v>
      </c>
      <c r="S19">
        <v>25</v>
      </c>
    </row>
    <row r="20" spans="1:19" ht="14.25" customHeight="1">
      <c r="A20" s="6"/>
      <c r="B20" s="6" t="s">
        <v>19</v>
      </c>
      <c r="C20" s="6" t="s">
        <v>694</v>
      </c>
      <c r="D20" s="6" t="s">
        <v>695</v>
      </c>
      <c r="E20" s="6">
        <v>29</v>
      </c>
      <c r="F20" s="6" t="s">
        <v>696</v>
      </c>
      <c r="G20" s="6" t="s">
        <v>128</v>
      </c>
      <c r="H20" s="6">
        <v>1005</v>
      </c>
      <c r="I20" s="6">
        <v>25</v>
      </c>
      <c r="J20" s="6">
        <f t="shared" si="0"/>
        <v>980</v>
      </c>
      <c r="K20" s="6" t="s">
        <v>35</v>
      </c>
      <c r="L20" s="6" t="s">
        <v>26</v>
      </c>
      <c r="M20" s="6" t="s">
        <v>647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697</v>
      </c>
      <c r="D21" s="6" t="s">
        <v>698</v>
      </c>
      <c r="E21" s="6" t="s">
        <v>146</v>
      </c>
      <c r="F21" s="6" t="s">
        <v>147</v>
      </c>
      <c r="G21" s="6" t="s">
        <v>128</v>
      </c>
      <c r="H21" s="6">
        <v>765</v>
      </c>
      <c r="I21" s="6">
        <v>25</v>
      </c>
      <c r="J21" s="6">
        <f t="shared" si="0"/>
        <v>740</v>
      </c>
      <c r="K21" s="6" t="s">
        <v>35</v>
      </c>
      <c r="L21" s="6" t="s">
        <v>26</v>
      </c>
      <c r="M21" s="6" t="s">
        <v>647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699</v>
      </c>
      <c r="D22" s="6" t="s">
        <v>700</v>
      </c>
      <c r="E22" s="6">
        <v>961</v>
      </c>
      <c r="F22" s="6" t="s">
        <v>701</v>
      </c>
      <c r="G22" s="6">
        <v>6</v>
      </c>
      <c r="H22" s="6">
        <v>795</v>
      </c>
      <c r="I22" s="6">
        <v>25</v>
      </c>
      <c r="J22" s="6">
        <f t="shared" si="0"/>
        <v>770</v>
      </c>
      <c r="K22" s="6" t="s">
        <v>702</v>
      </c>
      <c r="L22" s="6" t="s">
        <v>26</v>
      </c>
      <c r="M22" s="6" t="s">
        <v>647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703</v>
      </c>
      <c r="D23" s="6" t="s">
        <v>704</v>
      </c>
      <c r="E23" s="6" t="s">
        <v>705</v>
      </c>
      <c r="F23" s="6" t="s">
        <v>230</v>
      </c>
      <c r="G23" s="6">
        <v>6</v>
      </c>
      <c r="H23" s="6">
        <v>405</v>
      </c>
      <c r="I23" s="6">
        <v>25</v>
      </c>
      <c r="J23" s="6">
        <f t="shared" si="0"/>
        <v>380</v>
      </c>
      <c r="K23" s="6" t="s">
        <v>702</v>
      </c>
      <c r="L23" s="6" t="s">
        <v>26</v>
      </c>
      <c r="M23" s="6" t="s">
        <v>647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706</v>
      </c>
      <c r="D24" s="6" t="s">
        <v>707</v>
      </c>
      <c r="E24" s="6" t="s">
        <v>708</v>
      </c>
      <c r="F24" s="6" t="s">
        <v>709</v>
      </c>
      <c r="G24" s="6">
        <v>6</v>
      </c>
      <c r="H24" s="6">
        <v>0</v>
      </c>
      <c r="I24" s="6">
        <v>25</v>
      </c>
      <c r="J24" s="6">
        <f t="shared" si="0"/>
        <v>-25</v>
      </c>
      <c r="K24" s="6" t="s">
        <v>702</v>
      </c>
      <c r="L24" s="6" t="s">
        <v>26</v>
      </c>
      <c r="M24" s="6" t="s">
        <v>647</v>
      </c>
      <c r="N24" s="6"/>
      <c r="O24" s="6"/>
      <c r="P24" s="6"/>
      <c r="Q24" s="6"/>
      <c r="R24">
        <v>1</v>
      </c>
      <c r="S24">
        <v>25</v>
      </c>
    </row>
    <row r="25" spans="1:19" ht="14.25" customHeight="1">
      <c r="A25" s="6"/>
      <c r="B25" s="6" t="s">
        <v>19</v>
      </c>
      <c r="C25" s="6" t="s">
        <v>710</v>
      </c>
      <c r="D25" s="6" t="s">
        <v>711</v>
      </c>
      <c r="E25" s="6">
        <v>21</v>
      </c>
      <c r="F25" s="6" t="s">
        <v>384</v>
      </c>
      <c r="G25" s="6">
        <v>7</v>
      </c>
      <c r="H25" s="6">
        <v>785</v>
      </c>
      <c r="I25" s="6">
        <v>25</v>
      </c>
      <c r="J25" s="6">
        <f t="shared" si="0"/>
        <v>760</v>
      </c>
      <c r="K25" s="6" t="s">
        <v>702</v>
      </c>
      <c r="L25" s="6" t="s">
        <v>26</v>
      </c>
      <c r="M25" s="6" t="s">
        <v>647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712</v>
      </c>
      <c r="D26" s="6" t="s">
        <v>713</v>
      </c>
      <c r="E26" s="6">
        <v>33</v>
      </c>
      <c r="F26" s="6" t="s">
        <v>311</v>
      </c>
      <c r="G26" s="6">
        <v>7</v>
      </c>
      <c r="H26" s="6">
        <v>735</v>
      </c>
      <c r="I26" s="6">
        <v>25</v>
      </c>
      <c r="J26" s="6">
        <f t="shared" si="0"/>
        <v>710</v>
      </c>
      <c r="K26" s="6" t="s">
        <v>702</v>
      </c>
      <c r="L26" s="6" t="s">
        <v>26</v>
      </c>
      <c r="M26" s="6" t="s">
        <v>647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714</v>
      </c>
      <c r="D27" s="6" t="s">
        <v>715</v>
      </c>
      <c r="E27" s="6" t="s">
        <v>522</v>
      </c>
      <c r="F27" s="6" t="s">
        <v>313</v>
      </c>
      <c r="G27" s="6">
        <v>7</v>
      </c>
      <c r="H27" s="6">
        <v>405</v>
      </c>
      <c r="I27" s="6">
        <v>25</v>
      </c>
      <c r="J27" s="6">
        <f t="shared" si="0"/>
        <v>380</v>
      </c>
      <c r="K27" s="6" t="s">
        <v>702</v>
      </c>
      <c r="L27" s="6" t="s">
        <v>26</v>
      </c>
      <c r="M27" s="6" t="s">
        <v>647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716</v>
      </c>
      <c r="D28" s="6" t="s">
        <v>717</v>
      </c>
      <c r="E28" s="6" t="s">
        <v>718</v>
      </c>
      <c r="F28" s="6" t="s">
        <v>325</v>
      </c>
      <c r="G28" s="6">
        <v>8</v>
      </c>
      <c r="H28" s="6">
        <v>445</v>
      </c>
      <c r="I28" s="6">
        <v>25</v>
      </c>
      <c r="J28" s="6">
        <f t="shared" si="0"/>
        <v>420</v>
      </c>
      <c r="K28" s="6" t="s">
        <v>702</v>
      </c>
      <c r="L28" s="6" t="s">
        <v>26</v>
      </c>
      <c r="M28" s="6" t="s">
        <v>647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719</v>
      </c>
      <c r="D29" s="6" t="s">
        <v>720</v>
      </c>
      <c r="E29" s="6" t="s">
        <v>721</v>
      </c>
      <c r="F29" s="6" t="s">
        <v>331</v>
      </c>
      <c r="G29" s="6">
        <v>8</v>
      </c>
      <c r="H29" s="6">
        <v>790</v>
      </c>
      <c r="I29" s="6">
        <v>30</v>
      </c>
      <c r="J29" s="6">
        <f t="shared" si="0"/>
        <v>760</v>
      </c>
      <c r="K29" s="6" t="s">
        <v>702</v>
      </c>
      <c r="L29" s="6" t="s">
        <v>26</v>
      </c>
      <c r="M29" s="6" t="s">
        <v>647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722</v>
      </c>
      <c r="D30" s="6" t="s">
        <v>723</v>
      </c>
      <c r="E30" s="6">
        <v>1002</v>
      </c>
      <c r="F30" s="6" t="s">
        <v>552</v>
      </c>
      <c r="G30" s="6">
        <v>8</v>
      </c>
      <c r="H30" s="6">
        <v>410</v>
      </c>
      <c r="I30" s="6">
        <v>30</v>
      </c>
      <c r="J30" s="6">
        <f t="shared" si="0"/>
        <v>380</v>
      </c>
      <c r="K30" s="6" t="s">
        <v>702</v>
      </c>
      <c r="L30" s="6" t="s">
        <v>26</v>
      </c>
      <c r="M30" s="6" t="s">
        <v>647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724</v>
      </c>
      <c r="D31" s="6" t="s">
        <v>725</v>
      </c>
      <c r="E31" s="6" t="s">
        <v>726</v>
      </c>
      <c r="F31" s="6" t="s">
        <v>727</v>
      </c>
      <c r="G31" s="6">
        <v>11</v>
      </c>
      <c r="H31" s="6">
        <v>855</v>
      </c>
      <c r="I31" s="6">
        <v>25</v>
      </c>
      <c r="J31" s="6">
        <f t="shared" si="0"/>
        <v>830</v>
      </c>
      <c r="K31" s="6" t="s">
        <v>702</v>
      </c>
      <c r="L31" s="6" t="s">
        <v>26</v>
      </c>
      <c r="M31" s="6" t="s">
        <v>647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728</v>
      </c>
      <c r="D32" s="6" t="s">
        <v>729</v>
      </c>
      <c r="E32" s="6">
        <v>200</v>
      </c>
      <c r="F32" s="6" t="s">
        <v>380</v>
      </c>
      <c r="G32" s="6" t="s">
        <v>374</v>
      </c>
      <c r="H32" s="6">
        <v>1015</v>
      </c>
      <c r="I32" s="6">
        <v>35</v>
      </c>
      <c r="J32" s="6">
        <f t="shared" si="0"/>
        <v>980</v>
      </c>
      <c r="K32" s="6" t="s">
        <v>702</v>
      </c>
      <c r="L32" s="6" t="s">
        <v>26</v>
      </c>
      <c r="M32" s="6" t="s">
        <v>647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730</v>
      </c>
      <c r="D33" s="6" t="s">
        <v>731</v>
      </c>
      <c r="E33" s="6" t="s">
        <v>732</v>
      </c>
      <c r="F33" s="6" t="s">
        <v>733</v>
      </c>
      <c r="G33" s="6" t="s">
        <v>374</v>
      </c>
      <c r="H33" s="6">
        <v>455</v>
      </c>
      <c r="I33" s="6">
        <v>35</v>
      </c>
      <c r="J33" s="6">
        <f t="shared" si="0"/>
        <v>420</v>
      </c>
      <c r="K33" s="6" t="s">
        <v>702</v>
      </c>
      <c r="L33" s="6" t="s">
        <v>26</v>
      </c>
      <c r="M33" s="6" t="s">
        <v>647</v>
      </c>
      <c r="N33" s="6"/>
      <c r="O33" s="6"/>
      <c r="P33" s="6"/>
      <c r="Q33" s="6"/>
      <c r="R33">
        <v>1</v>
      </c>
    </row>
    <row r="34" spans="1:19" ht="14.25" customHeight="1">
      <c r="A34" s="6"/>
      <c r="B34" s="6" t="s">
        <v>19</v>
      </c>
      <c r="C34" s="6" t="s">
        <v>565</v>
      </c>
      <c r="D34" s="6" t="s">
        <v>734</v>
      </c>
      <c r="E34" s="6" t="s">
        <v>567</v>
      </c>
      <c r="F34" s="6" t="s">
        <v>568</v>
      </c>
      <c r="G34" s="6" t="s">
        <v>385</v>
      </c>
      <c r="H34" s="6">
        <v>410</v>
      </c>
      <c r="I34" s="6">
        <v>30</v>
      </c>
      <c r="J34" s="6">
        <f t="shared" si="0"/>
        <v>380</v>
      </c>
      <c r="K34" s="6" t="s">
        <v>702</v>
      </c>
      <c r="L34" s="6" t="s">
        <v>26</v>
      </c>
      <c r="M34" s="6" t="s">
        <v>647</v>
      </c>
      <c r="N34" s="6"/>
      <c r="O34" s="6"/>
      <c r="P34" s="6"/>
      <c r="Q34" s="6"/>
      <c r="R34">
        <v>1</v>
      </c>
    </row>
    <row r="35" spans="1:19" ht="14.25" customHeight="1">
      <c r="A35" s="6"/>
      <c r="B35" s="6" t="s">
        <v>19</v>
      </c>
      <c r="C35" s="6" t="s">
        <v>735</v>
      </c>
      <c r="D35" s="6" t="s">
        <v>736</v>
      </c>
      <c r="E35" s="6" t="s">
        <v>737</v>
      </c>
      <c r="F35" s="6" t="s">
        <v>738</v>
      </c>
      <c r="G35" s="6" t="s">
        <v>385</v>
      </c>
      <c r="H35" s="6">
        <v>1790</v>
      </c>
      <c r="I35" s="6">
        <v>30</v>
      </c>
      <c r="J35" s="6">
        <f t="shared" si="0"/>
        <v>1760</v>
      </c>
      <c r="K35" s="6" t="s">
        <v>702</v>
      </c>
      <c r="L35" s="6" t="s">
        <v>26</v>
      </c>
      <c r="M35" s="6" t="s">
        <v>647</v>
      </c>
      <c r="N35" s="6"/>
      <c r="O35" s="6"/>
      <c r="P35" s="6"/>
      <c r="Q35" s="6"/>
      <c r="R35">
        <v>1</v>
      </c>
    </row>
    <row r="36" spans="1:19" ht="14.25" customHeight="1">
      <c r="A36" s="6"/>
      <c r="B36" s="6" t="s">
        <v>19</v>
      </c>
      <c r="C36" s="6" t="s">
        <v>739</v>
      </c>
      <c r="D36" s="6" t="s">
        <v>740</v>
      </c>
      <c r="E36" s="6">
        <v>17</v>
      </c>
      <c r="F36" s="6" t="s">
        <v>571</v>
      </c>
      <c r="G36" s="6" t="s">
        <v>385</v>
      </c>
      <c r="H36" s="6">
        <v>0</v>
      </c>
      <c r="I36" s="6">
        <v>30</v>
      </c>
      <c r="J36" s="6">
        <f t="shared" si="0"/>
        <v>-30</v>
      </c>
      <c r="K36" s="6" t="s">
        <v>702</v>
      </c>
      <c r="L36" s="6" t="s">
        <v>26</v>
      </c>
      <c r="M36" s="6" t="s">
        <v>647</v>
      </c>
      <c r="N36" s="6"/>
      <c r="O36" s="6"/>
      <c r="P36" s="6"/>
      <c r="Q36" s="6"/>
      <c r="R36">
        <v>1</v>
      </c>
      <c r="S36">
        <v>30</v>
      </c>
    </row>
    <row r="37" spans="1:19" ht="14.25" customHeight="1">
      <c r="A37" s="6"/>
      <c r="B37" s="6" t="s">
        <v>19</v>
      </c>
      <c r="C37" s="6" t="s">
        <v>741</v>
      </c>
      <c r="D37" s="6" t="s">
        <v>742</v>
      </c>
      <c r="E37" s="6">
        <v>17</v>
      </c>
      <c r="F37" s="6" t="s">
        <v>571</v>
      </c>
      <c r="G37" s="6" t="s">
        <v>385</v>
      </c>
      <c r="H37" s="6">
        <v>820</v>
      </c>
      <c r="I37" s="6">
        <v>30</v>
      </c>
      <c r="J37" s="6">
        <f t="shared" si="0"/>
        <v>790</v>
      </c>
      <c r="K37" s="6" t="s">
        <v>702</v>
      </c>
      <c r="L37" s="6" t="s">
        <v>26</v>
      </c>
      <c r="M37" s="6" t="s">
        <v>647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743</v>
      </c>
      <c r="D38" s="6" t="s">
        <v>744</v>
      </c>
      <c r="E38" s="6" t="s">
        <v>745</v>
      </c>
      <c r="F38" s="6" t="s">
        <v>746</v>
      </c>
      <c r="G38" s="6" t="s">
        <v>385</v>
      </c>
      <c r="H38" s="6">
        <v>800</v>
      </c>
      <c r="I38" s="6">
        <v>30</v>
      </c>
      <c r="J38" s="6">
        <f t="shared" si="0"/>
        <v>770</v>
      </c>
      <c r="K38" s="6" t="s">
        <v>702</v>
      </c>
      <c r="L38" s="6" t="s">
        <v>26</v>
      </c>
      <c r="M38" s="6" t="s">
        <v>647</v>
      </c>
      <c r="N38" s="6"/>
      <c r="O38" s="6"/>
      <c r="P38" s="6"/>
      <c r="Q38" s="6"/>
      <c r="R38">
        <v>1</v>
      </c>
    </row>
    <row r="39" spans="1:19" ht="14.25" customHeight="1">
      <c r="A39" s="6"/>
      <c r="B39" s="6" t="s">
        <v>19</v>
      </c>
      <c r="C39" s="6" t="s">
        <v>747</v>
      </c>
      <c r="D39" s="6" t="s">
        <v>748</v>
      </c>
      <c r="E39" s="6" t="s">
        <v>404</v>
      </c>
      <c r="F39" s="6" t="s">
        <v>405</v>
      </c>
      <c r="G39" s="6" t="s">
        <v>385</v>
      </c>
      <c r="H39" s="6">
        <v>0</v>
      </c>
      <c r="I39" s="6">
        <v>30</v>
      </c>
      <c r="J39" s="6">
        <f t="shared" si="0"/>
        <v>-30</v>
      </c>
      <c r="K39" s="6" t="s">
        <v>702</v>
      </c>
      <c r="L39" s="6" t="s">
        <v>26</v>
      </c>
      <c r="M39" s="6" t="s">
        <v>647</v>
      </c>
      <c r="N39" s="6"/>
      <c r="O39" s="6"/>
      <c r="P39" s="6"/>
      <c r="Q39" s="6"/>
      <c r="R39">
        <v>1</v>
      </c>
      <c r="S39">
        <v>30</v>
      </c>
    </row>
    <row r="40" spans="1:19" ht="14.25" customHeight="1">
      <c r="A40" s="6"/>
      <c r="B40" s="6" t="s">
        <v>19</v>
      </c>
      <c r="C40" s="6" t="s">
        <v>749</v>
      </c>
      <c r="D40" s="6" t="s">
        <v>750</v>
      </c>
      <c r="E40" s="6" t="s">
        <v>751</v>
      </c>
      <c r="F40" s="6" t="s">
        <v>646</v>
      </c>
      <c r="G40" s="6" t="s">
        <v>430</v>
      </c>
      <c r="H40" s="6">
        <v>405</v>
      </c>
      <c r="I40" s="6">
        <v>25</v>
      </c>
      <c r="J40" s="6">
        <f t="shared" si="0"/>
        <v>380</v>
      </c>
      <c r="K40" s="6" t="s">
        <v>702</v>
      </c>
      <c r="L40" s="6" t="s">
        <v>26</v>
      </c>
      <c r="M40" s="6" t="s">
        <v>647</v>
      </c>
      <c r="N40" s="6"/>
      <c r="O40" s="6"/>
      <c r="P40" s="6"/>
      <c r="Q40" s="6"/>
      <c r="R40">
        <v>1</v>
      </c>
    </row>
    <row r="41" spans="1:19" ht="14.25" customHeight="1">
      <c r="A41" s="5"/>
      <c r="B41" s="5" t="s">
        <v>19</v>
      </c>
      <c r="C41" s="5" t="s">
        <v>752</v>
      </c>
      <c r="D41" s="5" t="s">
        <v>753</v>
      </c>
      <c r="E41" s="5" t="s">
        <v>754</v>
      </c>
      <c r="F41" s="5" t="s">
        <v>453</v>
      </c>
      <c r="G41" s="5" t="s">
        <v>430</v>
      </c>
      <c r="H41" s="5">
        <v>2580</v>
      </c>
      <c r="I41" s="5">
        <v>30</v>
      </c>
      <c r="J41" s="5">
        <f t="shared" si="0"/>
        <v>2550</v>
      </c>
      <c r="K41" s="5" t="s">
        <v>702</v>
      </c>
      <c r="L41" s="5" t="s">
        <v>26</v>
      </c>
      <c r="M41" s="5" t="s">
        <v>647</v>
      </c>
      <c r="N41" s="5" t="s">
        <v>36</v>
      </c>
      <c r="O41" s="5"/>
      <c r="P41" s="5"/>
      <c r="Q41" s="5"/>
      <c r="R41">
        <v>1</v>
      </c>
      <c r="S41">
        <v>30</v>
      </c>
    </row>
    <row r="42" spans="1:19" ht="14.25" customHeight="1">
      <c r="A42" s="6"/>
      <c r="B42" s="6" t="s">
        <v>19</v>
      </c>
      <c r="C42" s="6"/>
      <c r="D42" s="6" t="s">
        <v>755</v>
      </c>
      <c r="E42" s="6" t="s">
        <v>756</v>
      </c>
      <c r="F42" s="6" t="s">
        <v>757</v>
      </c>
      <c r="G42" s="6">
        <v>2</v>
      </c>
      <c r="H42" s="6">
        <v>860</v>
      </c>
      <c r="I42" s="6">
        <v>30</v>
      </c>
      <c r="J42" s="6">
        <f t="shared" si="0"/>
        <v>830</v>
      </c>
      <c r="K42" s="6" t="s">
        <v>26</v>
      </c>
      <c r="L42" s="6" t="s">
        <v>26</v>
      </c>
      <c r="M42" s="6" t="s">
        <v>647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160</v>
      </c>
      <c r="D43" s="6" t="s">
        <v>758</v>
      </c>
      <c r="E43" s="6">
        <v>8</v>
      </c>
      <c r="F43" s="6" t="s">
        <v>162</v>
      </c>
      <c r="G43" s="6">
        <v>2</v>
      </c>
      <c r="H43" s="6">
        <v>1590</v>
      </c>
      <c r="I43" s="6">
        <v>30</v>
      </c>
      <c r="J43" s="6">
        <f t="shared" si="0"/>
        <v>1560</v>
      </c>
      <c r="K43" s="6" t="s">
        <v>26</v>
      </c>
      <c r="L43" s="6" t="s">
        <v>26</v>
      </c>
      <c r="M43" s="6" t="s">
        <v>647</v>
      </c>
      <c r="N43" s="6"/>
      <c r="O43" s="6"/>
      <c r="P43" s="6"/>
      <c r="Q43" s="6"/>
      <c r="R43">
        <v>1</v>
      </c>
    </row>
    <row r="44" spans="1:19" ht="14.25" customHeight="1">
      <c r="A44" s="6"/>
      <c r="B44" s="6" t="s">
        <v>19</v>
      </c>
      <c r="C44" s="6" t="s">
        <v>759</v>
      </c>
      <c r="D44" s="6" t="s">
        <v>760</v>
      </c>
      <c r="E44" s="6" t="s">
        <v>761</v>
      </c>
      <c r="F44" s="6" t="s">
        <v>762</v>
      </c>
      <c r="G44" s="6">
        <v>2</v>
      </c>
      <c r="H44" s="6">
        <v>860</v>
      </c>
      <c r="I44" s="6">
        <v>30</v>
      </c>
      <c r="J44" s="6">
        <f t="shared" si="0"/>
        <v>830</v>
      </c>
      <c r="K44" s="6" t="s">
        <v>26</v>
      </c>
      <c r="L44" s="6" t="s">
        <v>26</v>
      </c>
      <c r="M44" s="6" t="s">
        <v>647</v>
      </c>
      <c r="N44" s="6"/>
      <c r="O44" s="6"/>
      <c r="P44" s="6"/>
      <c r="Q44" s="6"/>
      <c r="R44">
        <v>1</v>
      </c>
    </row>
    <row r="45" spans="1:19" ht="14.25" customHeight="1">
      <c r="A45" s="6"/>
      <c r="B45" s="6" t="s">
        <v>19</v>
      </c>
      <c r="C45" s="6" t="s">
        <v>763</v>
      </c>
      <c r="D45" s="6" t="s">
        <v>764</v>
      </c>
      <c r="E45" s="6">
        <v>67</v>
      </c>
      <c r="F45" s="6" t="s">
        <v>166</v>
      </c>
      <c r="G45" s="6">
        <v>2</v>
      </c>
      <c r="H45" s="6">
        <v>820</v>
      </c>
      <c r="I45" s="6">
        <v>30</v>
      </c>
      <c r="J45" s="6">
        <f t="shared" si="0"/>
        <v>790</v>
      </c>
      <c r="K45" s="6" t="s">
        <v>26</v>
      </c>
      <c r="L45" s="6" t="s">
        <v>26</v>
      </c>
      <c r="M45" s="6" t="s">
        <v>647</v>
      </c>
      <c r="N45" s="6"/>
      <c r="O45" s="6"/>
      <c r="P45" s="6"/>
      <c r="Q45" s="6"/>
      <c r="R45">
        <v>1</v>
      </c>
    </row>
    <row r="46" spans="1:19" ht="14.25" customHeight="1">
      <c r="A46" s="6"/>
      <c r="B46" s="6" t="s">
        <v>19</v>
      </c>
      <c r="C46" s="6" t="s">
        <v>765</v>
      </c>
      <c r="D46" s="6" t="s">
        <v>766</v>
      </c>
      <c r="E46" s="6" t="s">
        <v>165</v>
      </c>
      <c r="F46" s="6" t="s">
        <v>166</v>
      </c>
      <c r="G46" s="6">
        <v>2</v>
      </c>
      <c r="H46" s="6">
        <v>790</v>
      </c>
      <c r="I46" s="6">
        <v>30</v>
      </c>
      <c r="J46" s="6">
        <f t="shared" si="0"/>
        <v>760</v>
      </c>
      <c r="K46" s="6" t="s">
        <v>26</v>
      </c>
      <c r="L46" s="6" t="s">
        <v>26</v>
      </c>
      <c r="M46" s="6" t="s">
        <v>647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767</v>
      </c>
      <c r="D47" s="6" t="s">
        <v>768</v>
      </c>
      <c r="E47" s="6">
        <v>657</v>
      </c>
      <c r="F47" s="6" t="s">
        <v>769</v>
      </c>
      <c r="G47" s="6">
        <v>2</v>
      </c>
      <c r="H47" s="6">
        <v>990</v>
      </c>
      <c r="I47" s="6">
        <v>30</v>
      </c>
      <c r="J47" s="6">
        <f t="shared" si="0"/>
        <v>960</v>
      </c>
      <c r="K47" s="6" t="s">
        <v>26</v>
      </c>
      <c r="L47" s="6" t="s">
        <v>26</v>
      </c>
      <c r="M47" s="6" t="s">
        <v>647</v>
      </c>
      <c r="N47" s="6"/>
      <c r="O47" s="6"/>
      <c r="P47" s="6"/>
      <c r="Q47" s="6"/>
      <c r="R47">
        <v>1</v>
      </c>
    </row>
    <row r="48" spans="1:19" ht="14.25" customHeight="1">
      <c r="A48" s="6"/>
      <c r="B48" s="6" t="s">
        <v>19</v>
      </c>
      <c r="C48" s="6" t="s">
        <v>770</v>
      </c>
      <c r="D48" s="6" t="s">
        <v>771</v>
      </c>
      <c r="E48" s="6" t="s">
        <v>772</v>
      </c>
      <c r="F48" s="6" t="s">
        <v>173</v>
      </c>
      <c r="G48" s="6">
        <v>2</v>
      </c>
      <c r="H48" s="6">
        <v>420</v>
      </c>
      <c r="I48" s="6">
        <v>30</v>
      </c>
      <c r="J48" s="6">
        <f t="shared" si="0"/>
        <v>390</v>
      </c>
      <c r="K48" s="6" t="s">
        <v>26</v>
      </c>
      <c r="L48" s="6" t="s">
        <v>26</v>
      </c>
      <c r="M48" s="6" t="s">
        <v>647</v>
      </c>
      <c r="N48" s="6"/>
      <c r="O48" s="6"/>
      <c r="P48" s="6"/>
      <c r="Q48" s="6"/>
      <c r="R48">
        <v>1</v>
      </c>
    </row>
    <row r="49" spans="1:19" ht="14.25" customHeight="1">
      <c r="A49" s="6"/>
      <c r="B49" s="6" t="s">
        <v>19</v>
      </c>
      <c r="C49" s="6" t="s">
        <v>773</v>
      </c>
      <c r="D49" s="6" t="s">
        <v>774</v>
      </c>
      <c r="E49" s="6">
        <v>208</v>
      </c>
      <c r="F49" s="6" t="s">
        <v>775</v>
      </c>
      <c r="G49" s="6" t="s">
        <v>181</v>
      </c>
      <c r="H49" s="6">
        <v>1010</v>
      </c>
      <c r="I49" s="6">
        <v>20</v>
      </c>
      <c r="J49" s="6">
        <f t="shared" si="0"/>
        <v>990</v>
      </c>
      <c r="K49" s="6" t="s">
        <v>26</v>
      </c>
      <c r="L49" s="6" t="s">
        <v>26</v>
      </c>
      <c r="M49" s="6" t="s">
        <v>647</v>
      </c>
      <c r="N49" s="6"/>
      <c r="O49" s="6"/>
      <c r="P49" s="6"/>
      <c r="Q49" s="6"/>
      <c r="R49">
        <v>1</v>
      </c>
    </row>
    <row r="50" spans="1:19" ht="14.25" customHeight="1">
      <c r="A50" s="6"/>
      <c r="B50" s="6" t="s">
        <v>19</v>
      </c>
      <c r="C50" s="6" t="s">
        <v>776</v>
      </c>
      <c r="D50" s="6" t="s">
        <v>777</v>
      </c>
      <c r="E50" s="6" t="s">
        <v>778</v>
      </c>
      <c r="F50" s="6" t="s">
        <v>775</v>
      </c>
      <c r="G50" s="6" t="s">
        <v>181</v>
      </c>
      <c r="H50" s="6">
        <v>790</v>
      </c>
      <c r="I50" s="6">
        <v>20</v>
      </c>
      <c r="J50" s="6">
        <f t="shared" si="0"/>
        <v>770</v>
      </c>
      <c r="K50" s="6" t="s">
        <v>26</v>
      </c>
      <c r="L50" s="6" t="s">
        <v>26</v>
      </c>
      <c r="M50" s="6" t="s">
        <v>647</v>
      </c>
      <c r="N50" s="6"/>
      <c r="O50" s="6"/>
      <c r="P50" s="6"/>
      <c r="Q50" s="6"/>
      <c r="R50">
        <v>1</v>
      </c>
    </row>
    <row r="51" spans="1:19" ht="14.25" customHeight="1">
      <c r="A51" s="6"/>
      <c r="B51" s="6" t="s">
        <v>19</v>
      </c>
      <c r="C51" s="6" t="s">
        <v>779</v>
      </c>
      <c r="D51" s="6" t="s">
        <v>780</v>
      </c>
      <c r="E51" s="6">
        <v>30</v>
      </c>
      <c r="F51" s="6" t="s">
        <v>781</v>
      </c>
      <c r="G51" s="6" t="s">
        <v>181</v>
      </c>
      <c r="H51" s="6">
        <v>930</v>
      </c>
      <c r="I51" s="6">
        <v>20</v>
      </c>
      <c r="J51" s="6">
        <f t="shared" si="0"/>
        <v>910</v>
      </c>
      <c r="K51" s="6" t="s">
        <v>26</v>
      </c>
      <c r="L51" s="6" t="s">
        <v>26</v>
      </c>
      <c r="M51" s="6" t="s">
        <v>647</v>
      </c>
      <c r="N51" s="6"/>
      <c r="O51" s="6"/>
      <c r="P51" s="6"/>
      <c r="Q51" s="6"/>
      <c r="R51">
        <v>1</v>
      </c>
    </row>
    <row r="52" spans="1:19" ht="14.25" customHeight="1">
      <c r="A52" s="6"/>
      <c r="B52" s="6" t="s">
        <v>19</v>
      </c>
      <c r="C52" s="6" t="s">
        <v>782</v>
      </c>
      <c r="D52" s="6" t="s">
        <v>783</v>
      </c>
      <c r="E52" s="6" t="s">
        <v>784</v>
      </c>
      <c r="F52" s="6" t="s">
        <v>63</v>
      </c>
      <c r="G52" s="6" t="s">
        <v>181</v>
      </c>
      <c r="H52" s="6">
        <v>720</v>
      </c>
      <c r="I52" s="6">
        <v>20</v>
      </c>
      <c r="J52" s="6">
        <f t="shared" si="0"/>
        <v>700</v>
      </c>
      <c r="K52" s="6" t="s">
        <v>26</v>
      </c>
      <c r="L52" s="6" t="s">
        <v>26</v>
      </c>
      <c r="M52" s="6" t="s">
        <v>647</v>
      </c>
      <c r="N52" s="6"/>
      <c r="O52" s="6"/>
      <c r="P52" s="6"/>
      <c r="Q52" s="6"/>
      <c r="R52">
        <v>1</v>
      </c>
    </row>
    <row r="53" spans="1:19" ht="14.25" customHeight="1">
      <c r="A53" s="6"/>
      <c r="B53" s="6" t="s">
        <v>19</v>
      </c>
      <c r="C53" s="6" t="s">
        <v>785</v>
      </c>
      <c r="D53" s="6" t="s">
        <v>786</v>
      </c>
      <c r="E53" s="6" t="s">
        <v>787</v>
      </c>
      <c r="F53" s="6" t="s">
        <v>215</v>
      </c>
      <c r="G53" s="6" t="s">
        <v>181</v>
      </c>
      <c r="H53" s="6">
        <v>0</v>
      </c>
      <c r="I53" s="6">
        <v>20</v>
      </c>
      <c r="J53" s="6">
        <f t="shared" si="0"/>
        <v>-20</v>
      </c>
      <c r="K53" s="6" t="s">
        <v>26</v>
      </c>
      <c r="L53" s="6" t="s">
        <v>26</v>
      </c>
      <c r="M53" s="6" t="s">
        <v>647</v>
      </c>
      <c r="N53" s="7" t="s">
        <v>788</v>
      </c>
      <c r="O53" s="6"/>
      <c r="P53" s="6"/>
      <c r="Q53" s="6"/>
      <c r="R53">
        <v>1</v>
      </c>
      <c r="S53">
        <v>20</v>
      </c>
    </row>
    <row r="54" spans="1:19" ht="14.25" customHeight="1">
      <c r="A54" s="6"/>
      <c r="B54" s="6" t="s">
        <v>19</v>
      </c>
      <c r="C54" s="6" t="s">
        <v>789</v>
      </c>
      <c r="D54" s="6" t="s">
        <v>790</v>
      </c>
      <c r="E54" s="6" t="s">
        <v>791</v>
      </c>
      <c r="F54" s="6" t="s">
        <v>792</v>
      </c>
      <c r="G54" s="6" t="s">
        <v>220</v>
      </c>
      <c r="H54" s="6">
        <v>1005</v>
      </c>
      <c r="I54" s="6">
        <v>25</v>
      </c>
      <c r="J54" s="6">
        <f t="shared" si="0"/>
        <v>980</v>
      </c>
      <c r="K54" s="6" t="s">
        <v>26</v>
      </c>
      <c r="L54" s="6" t="s">
        <v>26</v>
      </c>
      <c r="M54" s="6" t="s">
        <v>647</v>
      </c>
      <c r="N54" s="6"/>
      <c r="O54" s="6"/>
      <c r="P54" s="6"/>
      <c r="Q54" s="6"/>
      <c r="R54">
        <v>1</v>
      </c>
    </row>
    <row r="55" spans="1:19" ht="14.25" customHeight="1">
      <c r="A55" s="5"/>
      <c r="B55" s="5" t="s">
        <v>19</v>
      </c>
      <c r="C55" s="5" t="s">
        <v>224</v>
      </c>
      <c r="D55" s="5" t="s">
        <v>793</v>
      </c>
      <c r="E55" s="5">
        <v>967</v>
      </c>
      <c r="F55" s="5" t="s">
        <v>226</v>
      </c>
      <c r="G55" s="5" t="s">
        <v>220</v>
      </c>
      <c r="H55" s="5">
        <v>25</v>
      </c>
      <c r="I55" s="5">
        <v>25</v>
      </c>
      <c r="J55" s="5">
        <f t="shared" si="0"/>
        <v>0</v>
      </c>
      <c r="K55" s="5" t="s">
        <v>26</v>
      </c>
      <c r="L55" s="5" t="s">
        <v>26</v>
      </c>
      <c r="M55" s="5" t="s">
        <v>647</v>
      </c>
      <c r="N55" s="5" t="s">
        <v>177</v>
      </c>
      <c r="O55" s="5"/>
      <c r="P55" s="5"/>
      <c r="Q55" s="5"/>
      <c r="R55">
        <v>1</v>
      </c>
    </row>
    <row r="56" spans="1:19" ht="14.25" customHeight="1">
      <c r="A56" s="6"/>
      <c r="B56" s="6" t="s">
        <v>19</v>
      </c>
      <c r="C56" s="6" t="s">
        <v>794</v>
      </c>
      <c r="D56" s="6" t="s">
        <v>795</v>
      </c>
      <c r="E56" s="6">
        <v>83</v>
      </c>
      <c r="F56" s="6" t="s">
        <v>796</v>
      </c>
      <c r="G56" s="6" t="s">
        <v>220</v>
      </c>
      <c r="H56" s="6">
        <v>1005</v>
      </c>
      <c r="I56" s="6">
        <v>25</v>
      </c>
      <c r="J56" s="6">
        <f t="shared" si="0"/>
        <v>980</v>
      </c>
      <c r="K56" s="6" t="s">
        <v>26</v>
      </c>
      <c r="L56" s="6" t="s">
        <v>26</v>
      </c>
      <c r="M56" s="6" t="s">
        <v>647</v>
      </c>
      <c r="N56" s="6"/>
      <c r="O56" s="6"/>
      <c r="P56" s="6"/>
      <c r="Q56" s="6"/>
      <c r="R56">
        <v>1</v>
      </c>
    </row>
    <row r="57" spans="1:19" ht="14.25" customHeight="1">
      <c r="A57" s="6"/>
      <c r="B57" s="6" t="s">
        <v>19</v>
      </c>
      <c r="C57" s="6" t="s">
        <v>797</v>
      </c>
      <c r="D57" s="6" t="s">
        <v>798</v>
      </c>
      <c r="E57" s="6">
        <v>93</v>
      </c>
      <c r="F57" s="6" t="s">
        <v>799</v>
      </c>
      <c r="G57" s="6" t="s">
        <v>220</v>
      </c>
      <c r="H57" s="6">
        <v>765</v>
      </c>
      <c r="I57" s="6">
        <v>25</v>
      </c>
      <c r="J57" s="6">
        <f t="shared" si="0"/>
        <v>740</v>
      </c>
      <c r="K57" s="6" t="s">
        <v>26</v>
      </c>
      <c r="L57" s="6" t="s">
        <v>26</v>
      </c>
      <c r="M57" s="6" t="s">
        <v>647</v>
      </c>
      <c r="N57" s="6"/>
      <c r="O57" s="6"/>
      <c r="P57" s="6"/>
      <c r="Q57" s="6"/>
      <c r="R57">
        <v>1</v>
      </c>
    </row>
    <row r="58" spans="1:19" ht="14.25" customHeight="1">
      <c r="A58" s="6"/>
      <c r="B58" s="6" t="s">
        <v>19</v>
      </c>
      <c r="C58" s="6" t="s">
        <v>800</v>
      </c>
      <c r="D58" s="6" t="s">
        <v>801</v>
      </c>
      <c r="E58" s="6" t="s">
        <v>802</v>
      </c>
      <c r="F58" s="6" t="s">
        <v>234</v>
      </c>
      <c r="G58" s="6" t="s">
        <v>220</v>
      </c>
      <c r="H58" s="6">
        <v>1005</v>
      </c>
      <c r="I58" s="6">
        <v>25</v>
      </c>
      <c r="J58" s="6">
        <f t="shared" si="0"/>
        <v>980</v>
      </c>
      <c r="K58" s="6" t="s">
        <v>26</v>
      </c>
      <c r="L58" s="6" t="s">
        <v>26</v>
      </c>
      <c r="M58" s="6" t="s">
        <v>647</v>
      </c>
      <c r="N58" s="6"/>
      <c r="O58" s="6"/>
      <c r="P58" s="6"/>
      <c r="Q58" s="6"/>
      <c r="R58">
        <v>1</v>
      </c>
    </row>
    <row r="59" spans="1:19" ht="14.25" customHeight="1">
      <c r="A59" s="6"/>
      <c r="B59" s="6" t="s">
        <v>19</v>
      </c>
      <c r="C59" s="6" t="s">
        <v>803</v>
      </c>
      <c r="D59" s="6" t="s">
        <v>804</v>
      </c>
      <c r="E59" s="6" t="s">
        <v>805</v>
      </c>
      <c r="F59" s="6" t="s">
        <v>236</v>
      </c>
      <c r="G59" s="6" t="s">
        <v>220</v>
      </c>
      <c r="H59" s="6">
        <v>845</v>
      </c>
      <c r="I59" s="6">
        <v>25</v>
      </c>
      <c r="J59" s="6">
        <f t="shared" si="0"/>
        <v>820</v>
      </c>
      <c r="K59" s="6" t="s">
        <v>26</v>
      </c>
      <c r="L59" s="6" t="s">
        <v>26</v>
      </c>
      <c r="M59" s="6" t="s">
        <v>647</v>
      </c>
      <c r="N59" s="6"/>
      <c r="O59" s="6"/>
      <c r="P59" s="6"/>
      <c r="Q59" s="6"/>
      <c r="R59">
        <v>1</v>
      </c>
    </row>
    <row r="60" spans="1:19" ht="14.25" customHeight="1">
      <c r="A60" s="6"/>
      <c r="B60" s="6" t="s">
        <v>19</v>
      </c>
      <c r="C60" s="6" t="s">
        <v>806</v>
      </c>
      <c r="D60" s="6" t="s">
        <v>807</v>
      </c>
      <c r="E60" s="6">
        <v>268</v>
      </c>
      <c r="F60" s="6" t="s">
        <v>238</v>
      </c>
      <c r="G60" s="6" t="s">
        <v>220</v>
      </c>
      <c r="H60" s="6">
        <v>855</v>
      </c>
      <c r="I60" s="6">
        <v>25</v>
      </c>
      <c r="J60" s="6">
        <f t="shared" si="0"/>
        <v>830</v>
      </c>
      <c r="K60" s="6" t="s">
        <v>26</v>
      </c>
      <c r="L60" s="6" t="s">
        <v>26</v>
      </c>
      <c r="M60" s="6" t="s">
        <v>647</v>
      </c>
      <c r="N60" s="6"/>
      <c r="O60" s="6"/>
      <c r="P60" s="6"/>
      <c r="Q60" s="6"/>
      <c r="R60">
        <v>1</v>
      </c>
    </row>
    <row r="61" spans="1:19" ht="14.25" customHeight="1">
      <c r="A61" s="6" t="s">
        <v>37</v>
      </c>
      <c r="B61" s="6" t="s">
        <v>19</v>
      </c>
      <c r="C61" s="6" t="s">
        <v>237</v>
      </c>
      <c r="D61" s="6"/>
      <c r="E61" s="6">
        <v>403</v>
      </c>
      <c r="F61" s="6" t="s">
        <v>238</v>
      </c>
      <c r="G61" s="6" t="s">
        <v>220</v>
      </c>
      <c r="H61" s="6">
        <v>30</v>
      </c>
      <c r="I61" s="6">
        <v>30</v>
      </c>
      <c r="J61" s="6">
        <f t="shared" si="0"/>
        <v>0</v>
      </c>
      <c r="K61" s="6" t="s">
        <v>26</v>
      </c>
      <c r="L61" s="6" t="s">
        <v>26</v>
      </c>
      <c r="M61" s="6" t="s">
        <v>647</v>
      </c>
      <c r="N61" s="6"/>
      <c r="O61" s="6"/>
      <c r="P61" s="6"/>
      <c r="Q61" s="6"/>
      <c r="R61">
        <v>1</v>
      </c>
    </row>
    <row r="62" spans="1:19" ht="14.25" customHeight="1">
      <c r="A62" s="6"/>
      <c r="B62" s="6" t="s">
        <v>19</v>
      </c>
      <c r="C62" s="6" t="s">
        <v>808</v>
      </c>
      <c r="D62" s="6" t="s">
        <v>809</v>
      </c>
      <c r="E62" s="6">
        <v>38</v>
      </c>
      <c r="F62" s="6" t="s">
        <v>328</v>
      </c>
      <c r="G62" s="6" t="s">
        <v>250</v>
      </c>
      <c r="H62" s="6">
        <v>410</v>
      </c>
      <c r="I62" s="6">
        <v>30</v>
      </c>
      <c r="J62" s="6">
        <f t="shared" si="0"/>
        <v>380</v>
      </c>
      <c r="K62" s="6" t="s">
        <v>26</v>
      </c>
      <c r="L62" s="6" t="s">
        <v>26</v>
      </c>
      <c r="M62" s="6" t="s">
        <v>647</v>
      </c>
      <c r="N62" s="6"/>
      <c r="O62" s="6"/>
      <c r="P62" s="6"/>
      <c r="Q62" s="6"/>
      <c r="R62">
        <v>1</v>
      </c>
    </row>
    <row r="63" spans="1:19" ht="14.25" customHeight="1">
      <c r="A63" s="5"/>
      <c r="B63" s="5" t="s">
        <v>19</v>
      </c>
      <c r="C63" s="5" t="s">
        <v>254</v>
      </c>
      <c r="D63" s="5" t="s">
        <v>810</v>
      </c>
      <c r="E63" s="5" t="s">
        <v>256</v>
      </c>
      <c r="F63" s="5" t="s">
        <v>257</v>
      </c>
      <c r="G63" s="5" t="s">
        <v>250</v>
      </c>
      <c r="H63" s="5">
        <v>0</v>
      </c>
      <c r="I63" s="5">
        <v>30</v>
      </c>
      <c r="J63" s="5">
        <f t="shared" si="0"/>
        <v>-30</v>
      </c>
      <c r="K63" s="5" t="s">
        <v>26</v>
      </c>
      <c r="L63" s="5" t="s">
        <v>26</v>
      </c>
      <c r="M63" s="5" t="s">
        <v>647</v>
      </c>
      <c r="N63" s="5" t="s">
        <v>177</v>
      </c>
      <c r="O63" s="5"/>
      <c r="P63" s="5"/>
      <c r="Q63" s="5"/>
      <c r="R63">
        <v>1</v>
      </c>
      <c r="S63">
        <v>30</v>
      </c>
    </row>
    <row r="64" spans="1:19" ht="14.25" customHeight="1">
      <c r="A64" s="6"/>
      <c r="B64" s="6" t="s">
        <v>19</v>
      </c>
      <c r="C64" s="6" t="s">
        <v>643</v>
      </c>
      <c r="D64" s="6" t="s">
        <v>811</v>
      </c>
      <c r="E64" s="6" t="s">
        <v>812</v>
      </c>
      <c r="F64" s="6" t="s">
        <v>813</v>
      </c>
      <c r="G64" s="6" t="s">
        <v>250</v>
      </c>
      <c r="H64" s="6">
        <v>410</v>
      </c>
      <c r="I64" s="6">
        <v>30</v>
      </c>
      <c r="J64" s="6">
        <f t="shared" si="0"/>
        <v>380</v>
      </c>
      <c r="K64" s="6" t="s">
        <v>26</v>
      </c>
      <c r="L64" s="6" t="s">
        <v>26</v>
      </c>
      <c r="M64" s="6" t="s">
        <v>647</v>
      </c>
      <c r="N64" s="6"/>
      <c r="O64" s="6"/>
      <c r="P64" s="6"/>
      <c r="Q64" s="6"/>
      <c r="R64">
        <v>1</v>
      </c>
    </row>
    <row r="65" spans="1:20" ht="14.25" customHeight="1">
      <c r="A65" s="6" t="s">
        <v>37</v>
      </c>
      <c r="B65" s="6" t="s">
        <v>19</v>
      </c>
      <c r="C65" s="6" t="s">
        <v>814</v>
      </c>
      <c r="D65" s="6"/>
      <c r="E65" s="6" t="s">
        <v>815</v>
      </c>
      <c r="F65" s="6" t="s">
        <v>816</v>
      </c>
      <c r="G65" s="6">
        <v>9</v>
      </c>
      <c r="H65" s="6">
        <v>35</v>
      </c>
      <c r="I65" s="6">
        <v>35</v>
      </c>
      <c r="J65" s="6">
        <f t="shared" si="0"/>
        <v>0</v>
      </c>
      <c r="K65" s="6" t="s">
        <v>197</v>
      </c>
      <c r="L65" s="6" t="s">
        <v>26</v>
      </c>
      <c r="M65" s="6" t="s">
        <v>647</v>
      </c>
      <c r="N65" s="6"/>
      <c r="O65" s="6"/>
      <c r="P65" s="6"/>
      <c r="Q65" s="6"/>
      <c r="R65">
        <v>1</v>
      </c>
    </row>
    <row r="66" spans="1:20" ht="14.25" customHeight="1">
      <c r="A66" s="6"/>
      <c r="B66" s="6" t="s">
        <v>19</v>
      </c>
      <c r="C66" s="6" t="s">
        <v>817</v>
      </c>
      <c r="D66" s="6" t="s">
        <v>818</v>
      </c>
      <c r="E66" s="6" t="s">
        <v>819</v>
      </c>
      <c r="F66" s="6" t="s">
        <v>820</v>
      </c>
      <c r="G66" s="6">
        <v>9</v>
      </c>
      <c r="H66" s="6">
        <v>920</v>
      </c>
      <c r="I66" s="6">
        <v>30</v>
      </c>
      <c r="J66" s="6">
        <f t="shared" si="0"/>
        <v>890</v>
      </c>
      <c r="K66" s="6" t="s">
        <v>197</v>
      </c>
      <c r="L66" s="6" t="s">
        <v>26</v>
      </c>
      <c r="M66" s="6" t="s">
        <v>647</v>
      </c>
      <c r="N66" s="6"/>
      <c r="O66" s="6"/>
      <c r="P66" s="6"/>
      <c r="Q66" s="6"/>
      <c r="R66">
        <v>1</v>
      </c>
    </row>
    <row r="67" spans="1:20" ht="14.25" customHeight="1">
      <c r="A67" s="6"/>
      <c r="B67" s="6" t="s">
        <v>19</v>
      </c>
      <c r="C67" s="6" t="s">
        <v>821</v>
      </c>
      <c r="D67" s="6" t="s">
        <v>822</v>
      </c>
      <c r="E67" s="6" t="s">
        <v>823</v>
      </c>
      <c r="F67" s="6" t="s">
        <v>824</v>
      </c>
      <c r="G67" s="6">
        <v>9</v>
      </c>
      <c r="H67" s="6">
        <v>850</v>
      </c>
      <c r="I67" s="6">
        <v>30</v>
      </c>
      <c r="J67" s="6">
        <f t="shared" si="0"/>
        <v>820</v>
      </c>
      <c r="K67" s="6" t="s">
        <v>197</v>
      </c>
      <c r="L67" s="6" t="s">
        <v>26</v>
      </c>
      <c r="M67" s="6" t="s">
        <v>647</v>
      </c>
      <c r="N67" s="6"/>
      <c r="O67" s="6"/>
      <c r="P67" s="6"/>
      <c r="Q67" s="6"/>
      <c r="R67">
        <v>1</v>
      </c>
    </row>
    <row r="68" spans="1:20" ht="14.25" customHeight="1"/>
    <row r="69" spans="1:20" ht="14.25" customHeight="1">
      <c r="H69">
        <f t="shared" ref="H69:T69" si="1">SUBTOTAL(9,H3:H68)</f>
        <v>49105</v>
      </c>
      <c r="I69">
        <f t="shared" si="1"/>
        <v>1705</v>
      </c>
      <c r="J69">
        <f t="shared" si="1"/>
        <v>47400</v>
      </c>
      <c r="K69">
        <f t="shared" si="1"/>
        <v>0</v>
      </c>
      <c r="L69">
        <f t="shared" si="1"/>
        <v>0</v>
      </c>
      <c r="M69">
        <f t="shared" si="1"/>
        <v>0</v>
      </c>
      <c r="N69">
        <f t="shared" si="1"/>
        <v>0</v>
      </c>
      <c r="O69">
        <f t="shared" si="1"/>
        <v>0</v>
      </c>
      <c r="P69">
        <f t="shared" si="1"/>
        <v>0</v>
      </c>
      <c r="Q69">
        <f t="shared" si="1"/>
        <v>0</v>
      </c>
      <c r="R69">
        <f t="shared" si="1"/>
        <v>65</v>
      </c>
      <c r="S69">
        <f t="shared" si="1"/>
        <v>320</v>
      </c>
      <c r="T69">
        <f t="shared" si="1"/>
        <v>0</v>
      </c>
    </row>
    <row r="70" spans="1:20" ht="14.25" customHeight="1">
      <c r="J70">
        <v>-8770</v>
      </c>
      <c r="K70" t="s">
        <v>825</v>
      </c>
    </row>
    <row r="71" spans="1:20" ht="14.25" customHeight="1"/>
    <row r="72" spans="1:20" ht="14.25" customHeight="1"/>
    <row r="73" spans="1:20" ht="20.25" customHeight="1">
      <c r="I73" s="8" t="s">
        <v>826</v>
      </c>
      <c r="J73" s="9" t="s">
        <v>434</v>
      </c>
      <c r="K73" s="10" t="s">
        <v>435</v>
      </c>
    </row>
    <row r="74" spans="1:20" ht="14.25" customHeight="1">
      <c r="I74" s="11" t="s">
        <v>436</v>
      </c>
      <c r="J74" s="12">
        <f>SUM(J68:J72)</f>
        <v>38630</v>
      </c>
      <c r="K74" s="12">
        <f>R69</f>
        <v>65</v>
      </c>
    </row>
    <row r="75" spans="1:20" ht="14.25" customHeight="1">
      <c r="I75" s="13" t="s">
        <v>437</v>
      </c>
      <c r="J75" s="14">
        <f>S68</f>
        <v>0</v>
      </c>
      <c r="K75" s="15"/>
    </row>
    <row r="76" spans="1:20" ht="14.25" customHeight="1">
      <c r="I76" s="13" t="s">
        <v>438</v>
      </c>
      <c r="J76" s="14">
        <f>T68</f>
        <v>0</v>
      </c>
      <c r="K76" s="15"/>
    </row>
    <row r="77" spans="1:20" ht="14.25" customHeight="1">
      <c r="I77" s="13" t="s">
        <v>439</v>
      </c>
      <c r="J77" s="14">
        <f>U68</f>
        <v>0</v>
      </c>
      <c r="K77" s="15"/>
    </row>
    <row r="78" spans="1:20" ht="14.25" customHeight="1">
      <c r="I78" s="13" t="s">
        <v>440</v>
      </c>
      <c r="J78" s="14">
        <f>V68</f>
        <v>0</v>
      </c>
      <c r="K78" s="15"/>
    </row>
    <row r="79" spans="1:20" ht="14.25" customHeight="1">
      <c r="I79" s="16" t="s">
        <v>441</v>
      </c>
      <c r="J79" s="17"/>
      <c r="K79" s="17"/>
    </row>
    <row r="80" spans="1:20" ht="14.25" customHeight="1">
      <c r="I80" s="18" t="s">
        <v>442</v>
      </c>
      <c r="J80" s="17"/>
      <c r="K80" s="17"/>
    </row>
    <row r="81" spans="1:20" ht="14.25" customHeight="1">
      <c r="I81" s="19" t="s">
        <v>443</v>
      </c>
      <c r="J81" s="20">
        <f>SUM(J74:J80)</f>
        <v>38630</v>
      </c>
      <c r="K81" s="20">
        <f>SUM(K74:K78)</f>
        <v>65</v>
      </c>
    </row>
    <row r="82" spans="1:20" ht="14.25" customHeight="1">
      <c r="A82" t="s">
        <v>640</v>
      </c>
    </row>
    <row r="83" spans="1:20" ht="14.25" customHeight="1">
      <c r="A83" s="2" t="s">
        <v>19</v>
      </c>
      <c r="B83" s="2" t="s">
        <v>785</v>
      </c>
      <c r="C83" s="2" t="s">
        <v>786</v>
      </c>
      <c r="D83" s="2" t="s">
        <v>787</v>
      </c>
      <c r="E83" s="2" t="s">
        <v>215</v>
      </c>
      <c r="F83" s="2" t="s">
        <v>181</v>
      </c>
      <c r="G83" s="2">
        <v>1840</v>
      </c>
      <c r="H83" s="2">
        <v>0</v>
      </c>
      <c r="I83" s="2">
        <f>G83-H83</f>
        <v>1840</v>
      </c>
      <c r="J83" s="2" t="s">
        <v>26</v>
      </c>
      <c r="K83" s="2" t="s">
        <v>26</v>
      </c>
      <c r="L83" s="2" t="s">
        <v>647</v>
      </c>
      <c r="M83" s="3" t="s">
        <v>788</v>
      </c>
      <c r="N83" s="4"/>
      <c r="O83" s="4"/>
      <c r="P83" s="4"/>
      <c r="Q83" s="4"/>
      <c r="R83" s="4"/>
      <c r="S83" s="4"/>
      <c r="T83" s="4"/>
    </row>
    <row r="84" spans="1:20" ht="14.25" customHeight="1"/>
    <row r="85" spans="1:20" ht="14.25" customHeight="1"/>
    <row r="86" spans="1:20" ht="14.25" customHeight="1"/>
    <row r="87" spans="1:20" ht="14.25" customHeight="1"/>
    <row r="88" spans="1:20" ht="14.25" customHeight="1"/>
    <row r="89" spans="1:20" ht="14.25" customHeight="1"/>
    <row r="90" spans="1:20" ht="14.25" customHeight="1"/>
    <row r="91" spans="1:20" ht="14.25" customHeight="1"/>
    <row r="92" spans="1:20" ht="14.25" customHeight="1"/>
    <row r="93" spans="1:20" ht="14.25" customHeight="1"/>
    <row r="94" spans="1:20" ht="14.25" customHeight="1"/>
    <row r="95" spans="1:20" ht="14.25" customHeight="1"/>
    <row r="96" spans="1:20" ht="14.25" customHeight="1"/>
    <row r="97" ht="14.25" customHeight="1"/>
    <row r="98" ht="14.25" customHeight="1"/>
    <row r="99" ht="14.25" customHeight="1"/>
    <row r="100" ht="14.25" customHeight="1"/>
  </sheetData>
  <autoFilter ref="A2:Q67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topLeftCell="A58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827</v>
      </c>
      <c r="C1" t="s">
        <v>828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6"/>
      <c r="B3" s="6" t="s">
        <v>19</v>
      </c>
      <c r="C3" s="6" t="s">
        <v>829</v>
      </c>
      <c r="D3" s="6" t="s">
        <v>830</v>
      </c>
      <c r="E3" s="6">
        <v>8</v>
      </c>
      <c r="F3" s="6" t="s">
        <v>831</v>
      </c>
      <c r="G3" s="6">
        <v>1</v>
      </c>
      <c r="H3" s="6">
        <v>840</v>
      </c>
      <c r="I3" s="6">
        <v>20</v>
      </c>
      <c r="J3" s="6">
        <f t="shared" ref="J3:J73" si="0">H3-I3</f>
        <v>820</v>
      </c>
      <c r="K3" s="6" t="s">
        <v>35</v>
      </c>
      <c r="L3" s="6" t="s">
        <v>26</v>
      </c>
      <c r="M3" s="6" t="s">
        <v>832</v>
      </c>
      <c r="N3" s="6"/>
      <c r="O3" s="6"/>
      <c r="P3" s="6"/>
      <c r="Q3" s="6"/>
      <c r="R3" s="4">
        <v>1</v>
      </c>
      <c r="S3" s="4"/>
      <c r="T3" s="4"/>
    </row>
    <row r="4" spans="1:20" ht="14.25" customHeight="1">
      <c r="A4" s="6"/>
      <c r="B4" s="6" t="s">
        <v>19</v>
      </c>
      <c r="C4" s="6" t="s">
        <v>833</v>
      </c>
      <c r="D4" s="6" t="s">
        <v>834</v>
      </c>
      <c r="E4" s="6">
        <v>31</v>
      </c>
      <c r="F4" s="6" t="s">
        <v>835</v>
      </c>
      <c r="G4" s="6">
        <v>1</v>
      </c>
      <c r="H4" s="6">
        <v>20</v>
      </c>
      <c r="I4" s="6">
        <v>20</v>
      </c>
      <c r="J4" s="6">
        <f t="shared" si="0"/>
        <v>0</v>
      </c>
      <c r="K4" s="6" t="s">
        <v>35</v>
      </c>
      <c r="L4" s="6" t="s">
        <v>26</v>
      </c>
      <c r="M4" s="6" t="s">
        <v>832</v>
      </c>
      <c r="N4" s="6"/>
      <c r="O4" s="6"/>
      <c r="P4" s="6"/>
      <c r="Q4" s="6"/>
      <c r="R4">
        <v>1</v>
      </c>
    </row>
    <row r="5" spans="1:20" ht="14.25" customHeight="1">
      <c r="A5" s="6" t="s">
        <v>37</v>
      </c>
      <c r="B5" s="6" t="s">
        <v>19</v>
      </c>
      <c r="C5" s="6" t="s">
        <v>836</v>
      </c>
      <c r="D5" s="6"/>
      <c r="E5" s="6" t="s">
        <v>837</v>
      </c>
      <c r="F5" s="6" t="s">
        <v>838</v>
      </c>
      <c r="G5" s="6">
        <v>1</v>
      </c>
      <c r="H5" s="6">
        <v>0</v>
      </c>
      <c r="I5" s="6">
        <v>30</v>
      </c>
      <c r="J5" s="6">
        <f t="shared" si="0"/>
        <v>-30</v>
      </c>
      <c r="K5" s="6" t="s">
        <v>35</v>
      </c>
      <c r="L5" s="6" t="s">
        <v>26</v>
      </c>
      <c r="M5" s="6" t="s">
        <v>832</v>
      </c>
      <c r="N5" s="6"/>
      <c r="O5" s="6"/>
      <c r="P5" s="6"/>
      <c r="Q5" s="6"/>
      <c r="R5">
        <v>1</v>
      </c>
      <c r="S5">
        <v>30</v>
      </c>
    </row>
    <row r="6" spans="1:20" ht="14.25" customHeight="1">
      <c r="A6" s="6"/>
      <c r="B6" s="6" t="s">
        <v>19</v>
      </c>
      <c r="C6" s="6" t="s">
        <v>839</v>
      </c>
      <c r="D6" s="6" t="s">
        <v>840</v>
      </c>
      <c r="E6" s="6" t="s">
        <v>841</v>
      </c>
      <c r="F6" s="6" t="s">
        <v>842</v>
      </c>
      <c r="G6" s="6">
        <v>1</v>
      </c>
      <c r="H6" s="6">
        <v>780</v>
      </c>
      <c r="I6" s="6">
        <v>20</v>
      </c>
      <c r="J6" s="6">
        <f t="shared" si="0"/>
        <v>760</v>
      </c>
      <c r="K6" s="6" t="s">
        <v>35</v>
      </c>
      <c r="L6" s="6" t="s">
        <v>26</v>
      </c>
      <c r="M6" s="6" t="s">
        <v>832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843</v>
      </c>
      <c r="D7" s="6" t="s">
        <v>844</v>
      </c>
      <c r="E7" s="6">
        <v>43</v>
      </c>
      <c r="F7" s="6" t="s">
        <v>845</v>
      </c>
      <c r="G7" s="6">
        <v>1</v>
      </c>
      <c r="H7" s="6">
        <v>400</v>
      </c>
      <c r="I7" s="6">
        <v>20</v>
      </c>
      <c r="J7" s="6">
        <f t="shared" si="0"/>
        <v>380</v>
      </c>
      <c r="K7" s="6" t="s">
        <v>35</v>
      </c>
      <c r="L7" s="6" t="s">
        <v>26</v>
      </c>
      <c r="M7" s="6" t="s">
        <v>832</v>
      </c>
      <c r="N7" s="6"/>
      <c r="O7" s="6"/>
      <c r="P7" s="6"/>
      <c r="Q7" s="6"/>
      <c r="R7">
        <v>1</v>
      </c>
    </row>
    <row r="8" spans="1:20" ht="14.25" customHeight="1">
      <c r="A8" s="6"/>
      <c r="B8" s="6" t="s">
        <v>19</v>
      </c>
      <c r="C8" s="6" t="s">
        <v>846</v>
      </c>
      <c r="D8" s="6" t="s">
        <v>847</v>
      </c>
      <c r="E8" s="6" t="s">
        <v>848</v>
      </c>
      <c r="F8" s="6" t="s">
        <v>849</v>
      </c>
      <c r="G8" s="6">
        <v>1</v>
      </c>
      <c r="H8" s="6">
        <v>440</v>
      </c>
      <c r="I8" s="6">
        <v>20</v>
      </c>
      <c r="J8" s="6">
        <f t="shared" si="0"/>
        <v>420</v>
      </c>
      <c r="K8" s="6" t="s">
        <v>35</v>
      </c>
      <c r="L8" s="6" t="s">
        <v>26</v>
      </c>
      <c r="M8" s="6" t="s">
        <v>832</v>
      </c>
      <c r="N8" s="6"/>
      <c r="O8" s="6"/>
      <c r="P8" s="6"/>
      <c r="Q8" s="6"/>
      <c r="R8">
        <v>1</v>
      </c>
    </row>
    <row r="9" spans="1:20" ht="14.25" customHeight="1">
      <c r="A9" s="6"/>
      <c r="B9" s="6" t="s">
        <v>19</v>
      </c>
      <c r="C9" s="6" t="s">
        <v>846</v>
      </c>
      <c r="D9" s="6" t="s">
        <v>850</v>
      </c>
      <c r="E9" s="6" t="s">
        <v>848</v>
      </c>
      <c r="F9" s="6" t="s">
        <v>849</v>
      </c>
      <c r="G9" s="6">
        <v>1</v>
      </c>
      <c r="H9" s="6">
        <v>380</v>
      </c>
      <c r="I9" s="6">
        <v>0</v>
      </c>
      <c r="J9" s="6">
        <f t="shared" si="0"/>
        <v>380</v>
      </c>
      <c r="K9" s="6" t="s">
        <v>35</v>
      </c>
      <c r="L9" s="6" t="s">
        <v>26</v>
      </c>
      <c r="M9" s="6" t="s">
        <v>832</v>
      </c>
      <c r="N9" s="7" t="s">
        <v>298</v>
      </c>
      <c r="O9" s="6"/>
      <c r="P9" s="6"/>
      <c r="Q9" s="6"/>
      <c r="R9">
        <v>1</v>
      </c>
    </row>
    <row r="10" spans="1:20" ht="14.25" customHeight="1">
      <c r="A10" s="5"/>
      <c r="B10" s="5" t="s">
        <v>19</v>
      </c>
      <c r="C10" s="5" t="s">
        <v>851</v>
      </c>
      <c r="D10" s="5" t="s">
        <v>852</v>
      </c>
      <c r="E10" s="5" t="s">
        <v>853</v>
      </c>
      <c r="F10" s="5" t="s">
        <v>854</v>
      </c>
      <c r="G10" s="5">
        <v>3</v>
      </c>
      <c r="H10" s="5">
        <v>5300</v>
      </c>
      <c r="I10" s="5">
        <v>35</v>
      </c>
      <c r="J10" s="5">
        <f t="shared" si="0"/>
        <v>5265</v>
      </c>
      <c r="K10" s="5" t="s">
        <v>35</v>
      </c>
      <c r="L10" s="5" t="s">
        <v>26</v>
      </c>
      <c r="M10" s="5" t="s">
        <v>832</v>
      </c>
      <c r="N10" s="5" t="s">
        <v>36</v>
      </c>
      <c r="O10" s="5"/>
      <c r="P10" s="5"/>
      <c r="Q10" s="5"/>
      <c r="R10">
        <v>1</v>
      </c>
      <c r="S10">
        <v>35</v>
      </c>
    </row>
    <row r="11" spans="1:20" ht="14.25" customHeight="1">
      <c r="A11" s="6"/>
      <c r="B11" s="6" t="s">
        <v>19</v>
      </c>
      <c r="C11" s="6" t="s">
        <v>855</v>
      </c>
      <c r="D11" s="6" t="s">
        <v>856</v>
      </c>
      <c r="E11" s="6" t="s">
        <v>857</v>
      </c>
      <c r="F11" s="6" t="s">
        <v>69</v>
      </c>
      <c r="G11" s="6">
        <v>3</v>
      </c>
      <c r="H11" s="6">
        <v>860</v>
      </c>
      <c r="I11" s="6">
        <v>20</v>
      </c>
      <c r="J11" s="6">
        <f t="shared" si="0"/>
        <v>840</v>
      </c>
      <c r="K11" s="6" t="s">
        <v>35</v>
      </c>
      <c r="L11" s="6" t="s">
        <v>26</v>
      </c>
      <c r="M11" s="6" t="s">
        <v>832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858</v>
      </c>
      <c r="D12" s="6" t="s">
        <v>859</v>
      </c>
      <c r="E12" s="6" t="s">
        <v>860</v>
      </c>
      <c r="F12" s="6" t="s">
        <v>476</v>
      </c>
      <c r="G12" s="6">
        <v>4</v>
      </c>
      <c r="H12" s="6">
        <v>995</v>
      </c>
      <c r="I12" s="6">
        <v>25</v>
      </c>
      <c r="J12" s="6">
        <f t="shared" si="0"/>
        <v>970</v>
      </c>
      <c r="K12" s="6" t="s">
        <v>35</v>
      </c>
      <c r="L12" s="6" t="s">
        <v>26</v>
      </c>
      <c r="M12" s="6" t="s">
        <v>832</v>
      </c>
      <c r="N12" s="6"/>
      <c r="O12" s="6"/>
      <c r="P12" s="6"/>
      <c r="Q12" s="6"/>
      <c r="R12">
        <v>1</v>
      </c>
    </row>
    <row r="13" spans="1:20" ht="14.25" customHeight="1">
      <c r="A13" s="6"/>
      <c r="B13" s="6" t="s">
        <v>19</v>
      </c>
      <c r="C13" s="6" t="s">
        <v>861</v>
      </c>
      <c r="D13" s="6" t="s">
        <v>862</v>
      </c>
      <c r="E13" s="6" t="s">
        <v>863</v>
      </c>
      <c r="F13" s="6" t="s">
        <v>864</v>
      </c>
      <c r="G13" s="6">
        <v>4</v>
      </c>
      <c r="H13" s="6">
        <v>445</v>
      </c>
      <c r="I13" s="6">
        <v>25</v>
      </c>
      <c r="J13" s="6">
        <f t="shared" si="0"/>
        <v>420</v>
      </c>
      <c r="K13" s="6" t="s">
        <v>35</v>
      </c>
      <c r="L13" s="6" t="s">
        <v>26</v>
      </c>
      <c r="M13" s="6" t="s">
        <v>832</v>
      </c>
      <c r="N13" s="6"/>
      <c r="O13" s="6"/>
      <c r="P13" s="6"/>
      <c r="Q13" s="6"/>
      <c r="R13">
        <v>1</v>
      </c>
    </row>
    <row r="14" spans="1:20" ht="14.25" customHeight="1">
      <c r="A14" s="6"/>
      <c r="B14" s="6" t="s">
        <v>19</v>
      </c>
      <c r="C14" s="6" t="s">
        <v>865</v>
      </c>
      <c r="D14" s="6" t="s">
        <v>866</v>
      </c>
      <c r="E14" s="6">
        <v>54</v>
      </c>
      <c r="F14" s="6" t="s">
        <v>867</v>
      </c>
      <c r="G14" s="6">
        <v>5</v>
      </c>
      <c r="H14" s="6">
        <v>0</v>
      </c>
      <c r="I14" s="6">
        <v>25</v>
      </c>
      <c r="J14" s="6">
        <f t="shared" si="0"/>
        <v>-25</v>
      </c>
      <c r="K14" s="6" t="s">
        <v>35</v>
      </c>
      <c r="L14" s="6" t="s">
        <v>26</v>
      </c>
      <c r="M14" s="6" t="s">
        <v>832</v>
      </c>
      <c r="N14" s="6"/>
      <c r="O14" s="6"/>
      <c r="P14" s="6"/>
      <c r="Q14" s="6"/>
      <c r="R14">
        <v>1</v>
      </c>
      <c r="S14">
        <v>25</v>
      </c>
    </row>
    <row r="15" spans="1:20" ht="14.25" customHeight="1">
      <c r="A15" s="6"/>
      <c r="B15" s="6" t="s">
        <v>19</v>
      </c>
      <c r="C15" s="6" t="s">
        <v>868</v>
      </c>
      <c r="D15" s="6" t="s">
        <v>869</v>
      </c>
      <c r="E15" s="6">
        <v>54</v>
      </c>
      <c r="F15" s="6" t="s">
        <v>867</v>
      </c>
      <c r="G15" s="6">
        <v>5</v>
      </c>
      <c r="H15" s="6">
        <v>0</v>
      </c>
      <c r="I15" s="6">
        <v>25</v>
      </c>
      <c r="J15" s="6">
        <f t="shared" si="0"/>
        <v>-25</v>
      </c>
      <c r="K15" s="6" t="s">
        <v>35</v>
      </c>
      <c r="L15" s="6" t="s">
        <v>26</v>
      </c>
      <c r="M15" s="6" t="s">
        <v>832</v>
      </c>
      <c r="N15" s="6"/>
      <c r="O15" s="6"/>
      <c r="P15" s="6"/>
      <c r="Q15" s="6"/>
      <c r="R15">
        <v>1</v>
      </c>
      <c r="S15">
        <v>25</v>
      </c>
    </row>
    <row r="16" spans="1:20" ht="14.25" customHeight="1">
      <c r="A16" s="6" t="s">
        <v>37</v>
      </c>
      <c r="B16" s="6" t="s">
        <v>19</v>
      </c>
      <c r="C16" s="6"/>
      <c r="D16" s="6"/>
      <c r="E16" s="6" t="s">
        <v>81</v>
      </c>
      <c r="F16" s="6" t="s">
        <v>870</v>
      </c>
      <c r="G16" s="6">
        <v>5</v>
      </c>
      <c r="H16" s="6">
        <v>0</v>
      </c>
      <c r="I16" s="6">
        <v>30</v>
      </c>
      <c r="J16" s="6">
        <f t="shared" si="0"/>
        <v>-30</v>
      </c>
      <c r="K16" s="6" t="s">
        <v>35</v>
      </c>
      <c r="L16" s="6" t="s">
        <v>26</v>
      </c>
      <c r="M16" s="6" t="s">
        <v>832</v>
      </c>
      <c r="N16" s="6"/>
      <c r="O16" s="6"/>
      <c r="P16" s="6"/>
      <c r="Q16" s="6"/>
      <c r="R16">
        <v>1</v>
      </c>
      <c r="S16">
        <v>30</v>
      </c>
    </row>
    <row r="17" spans="1:19" ht="14.25" customHeight="1">
      <c r="A17" s="6"/>
      <c r="B17" s="6" t="s">
        <v>19</v>
      </c>
      <c r="C17" s="6" t="s">
        <v>871</v>
      </c>
      <c r="D17" s="6" t="s">
        <v>872</v>
      </c>
      <c r="E17" s="6" t="s">
        <v>81</v>
      </c>
      <c r="F17" s="6" t="s">
        <v>870</v>
      </c>
      <c r="G17" s="6">
        <v>5</v>
      </c>
      <c r="H17" s="6">
        <v>0</v>
      </c>
      <c r="I17" s="6">
        <v>25</v>
      </c>
      <c r="J17" s="6">
        <f t="shared" si="0"/>
        <v>-25</v>
      </c>
      <c r="K17" s="6" t="s">
        <v>35</v>
      </c>
      <c r="L17" s="6" t="s">
        <v>26</v>
      </c>
      <c r="M17" s="6" t="s">
        <v>832</v>
      </c>
      <c r="N17" s="6"/>
      <c r="O17" s="6"/>
      <c r="P17" s="6"/>
      <c r="Q17" s="6"/>
      <c r="R17">
        <v>1</v>
      </c>
      <c r="S17">
        <v>25</v>
      </c>
    </row>
    <row r="18" spans="1:19" ht="14.25" customHeight="1">
      <c r="A18" s="6"/>
      <c r="B18" s="6" t="s">
        <v>19</v>
      </c>
      <c r="C18" s="6" t="s">
        <v>873</v>
      </c>
      <c r="D18" s="6" t="s">
        <v>874</v>
      </c>
      <c r="E18" s="6" t="s">
        <v>81</v>
      </c>
      <c r="F18" s="6" t="s">
        <v>870</v>
      </c>
      <c r="G18" s="6">
        <v>5</v>
      </c>
      <c r="H18" s="6">
        <v>0</v>
      </c>
      <c r="I18" s="6">
        <v>25</v>
      </c>
      <c r="J18" s="6">
        <f t="shared" si="0"/>
        <v>-25</v>
      </c>
      <c r="K18" s="6" t="s">
        <v>35</v>
      </c>
      <c r="L18" s="6" t="s">
        <v>26</v>
      </c>
      <c r="M18" s="6" t="s">
        <v>832</v>
      </c>
      <c r="N18" s="6"/>
      <c r="O18" s="6"/>
      <c r="P18" s="6"/>
      <c r="Q18" s="6"/>
      <c r="R18">
        <v>1</v>
      </c>
      <c r="S18">
        <v>25</v>
      </c>
    </row>
    <row r="19" spans="1:19" ht="14.25" customHeight="1">
      <c r="A19" s="6" t="s">
        <v>37</v>
      </c>
      <c r="B19" s="6" t="s">
        <v>19</v>
      </c>
      <c r="C19" s="6" t="s">
        <v>670</v>
      </c>
      <c r="D19" s="6"/>
      <c r="E19" s="6">
        <v>141</v>
      </c>
      <c r="F19" s="6" t="s">
        <v>86</v>
      </c>
      <c r="G19" s="6">
        <v>5</v>
      </c>
      <c r="H19" s="6">
        <v>1620</v>
      </c>
      <c r="I19" s="6">
        <v>30</v>
      </c>
      <c r="J19" s="6">
        <f t="shared" si="0"/>
        <v>1590</v>
      </c>
      <c r="K19" s="6" t="s">
        <v>35</v>
      </c>
      <c r="L19" s="6" t="s">
        <v>26</v>
      </c>
      <c r="M19" s="6" t="s">
        <v>832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527</v>
      </c>
      <c r="D20" s="6" t="s">
        <v>875</v>
      </c>
      <c r="E20" s="6">
        <v>46</v>
      </c>
      <c r="F20" s="6" t="s">
        <v>102</v>
      </c>
      <c r="G20" s="6">
        <v>5</v>
      </c>
      <c r="H20" s="6">
        <v>405</v>
      </c>
      <c r="I20" s="6">
        <v>25</v>
      </c>
      <c r="J20" s="6">
        <f t="shared" si="0"/>
        <v>380</v>
      </c>
      <c r="K20" s="6" t="s">
        <v>35</v>
      </c>
      <c r="L20" s="6" t="s">
        <v>26</v>
      </c>
      <c r="M20" s="6" t="s">
        <v>832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876</v>
      </c>
      <c r="D21" s="6" t="s">
        <v>877</v>
      </c>
      <c r="E21" s="6" t="s">
        <v>878</v>
      </c>
      <c r="F21" s="6" t="s">
        <v>679</v>
      </c>
      <c r="G21" s="6" t="s">
        <v>181</v>
      </c>
      <c r="H21" s="6">
        <v>800</v>
      </c>
      <c r="I21" s="6">
        <v>20</v>
      </c>
      <c r="J21" s="6">
        <f t="shared" si="0"/>
        <v>780</v>
      </c>
      <c r="K21" s="6" t="s">
        <v>35</v>
      </c>
      <c r="L21" s="6" t="s">
        <v>26</v>
      </c>
      <c r="M21" s="6" t="s">
        <v>832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879</v>
      </c>
      <c r="D22" s="6" t="s">
        <v>880</v>
      </c>
      <c r="E22" s="6" t="s">
        <v>881</v>
      </c>
      <c r="F22" s="6" t="s">
        <v>882</v>
      </c>
      <c r="G22" s="6" t="s">
        <v>117</v>
      </c>
      <c r="H22" s="6">
        <v>810</v>
      </c>
      <c r="I22" s="6">
        <v>20</v>
      </c>
      <c r="J22" s="6">
        <f t="shared" si="0"/>
        <v>790</v>
      </c>
      <c r="K22" s="6" t="s">
        <v>35</v>
      </c>
      <c r="L22" s="6" t="s">
        <v>26</v>
      </c>
      <c r="M22" s="6" t="s">
        <v>832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883</v>
      </c>
      <c r="D23" s="6" t="s">
        <v>884</v>
      </c>
      <c r="E23" s="6">
        <v>84</v>
      </c>
      <c r="F23" s="6" t="s">
        <v>885</v>
      </c>
      <c r="G23" s="6" t="s">
        <v>117</v>
      </c>
      <c r="H23" s="6">
        <v>600</v>
      </c>
      <c r="I23" s="6">
        <v>20</v>
      </c>
      <c r="J23" s="6">
        <f t="shared" si="0"/>
        <v>580</v>
      </c>
      <c r="K23" s="6" t="s">
        <v>35</v>
      </c>
      <c r="L23" s="6" t="s">
        <v>26</v>
      </c>
      <c r="M23" s="6" t="s">
        <v>832</v>
      </c>
      <c r="N23" s="6"/>
      <c r="O23" s="6"/>
      <c r="P23" s="6"/>
      <c r="Q23" s="6"/>
      <c r="R23">
        <v>1</v>
      </c>
    </row>
    <row r="24" spans="1:19" ht="14.25" customHeight="1">
      <c r="A24" s="6" t="s">
        <v>37</v>
      </c>
      <c r="B24" s="6" t="s">
        <v>19</v>
      </c>
      <c r="C24" s="6" t="s">
        <v>125</v>
      </c>
      <c r="D24" s="6"/>
      <c r="E24" s="6" t="s">
        <v>886</v>
      </c>
      <c r="F24" s="6" t="s">
        <v>127</v>
      </c>
      <c r="G24" s="6" t="s">
        <v>128</v>
      </c>
      <c r="H24" s="6">
        <v>815</v>
      </c>
      <c r="I24" s="6">
        <v>25</v>
      </c>
      <c r="J24" s="6">
        <f t="shared" si="0"/>
        <v>790</v>
      </c>
      <c r="K24" s="6" t="s">
        <v>35</v>
      </c>
      <c r="L24" s="6" t="s">
        <v>26</v>
      </c>
      <c r="M24" s="6" t="s">
        <v>832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209</v>
      </c>
      <c r="D25" s="6" t="s">
        <v>887</v>
      </c>
      <c r="E25" s="6">
        <v>42</v>
      </c>
      <c r="F25" s="6" t="s">
        <v>888</v>
      </c>
      <c r="G25" s="6" t="s">
        <v>128</v>
      </c>
      <c r="H25" s="6">
        <v>795</v>
      </c>
      <c r="I25" s="6">
        <v>25</v>
      </c>
      <c r="J25" s="6">
        <f t="shared" si="0"/>
        <v>770</v>
      </c>
      <c r="K25" s="6" t="s">
        <v>35</v>
      </c>
      <c r="L25" s="6" t="s">
        <v>26</v>
      </c>
      <c r="M25" s="6" t="s">
        <v>832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889</v>
      </c>
      <c r="D26" s="6" t="s">
        <v>890</v>
      </c>
      <c r="E26" s="6" t="s">
        <v>138</v>
      </c>
      <c r="F26" s="6" t="s">
        <v>891</v>
      </c>
      <c r="G26" s="6" t="s">
        <v>128</v>
      </c>
      <c r="H26" s="6">
        <v>0</v>
      </c>
      <c r="I26" s="6">
        <v>25</v>
      </c>
      <c r="J26" s="6">
        <f t="shared" si="0"/>
        <v>-25</v>
      </c>
      <c r="K26" s="6" t="s">
        <v>35</v>
      </c>
      <c r="L26" s="6" t="s">
        <v>26</v>
      </c>
      <c r="M26" s="6" t="s">
        <v>832</v>
      </c>
      <c r="N26" s="6"/>
      <c r="O26" s="6"/>
      <c r="P26" s="6"/>
      <c r="Q26" s="6"/>
      <c r="R26">
        <v>1</v>
      </c>
      <c r="S26">
        <v>25</v>
      </c>
    </row>
    <row r="27" spans="1:19" ht="14.25" customHeight="1">
      <c r="A27" s="6"/>
      <c r="B27" s="6" t="s">
        <v>19</v>
      </c>
      <c r="C27" s="6" t="s">
        <v>892</v>
      </c>
      <c r="D27" s="6" t="s">
        <v>893</v>
      </c>
      <c r="E27" s="6" t="s">
        <v>894</v>
      </c>
      <c r="F27" s="6" t="s">
        <v>895</v>
      </c>
      <c r="G27" s="6" t="s">
        <v>128</v>
      </c>
      <c r="H27" s="6">
        <v>25</v>
      </c>
      <c r="I27" s="6">
        <v>25</v>
      </c>
      <c r="J27" s="6">
        <f t="shared" si="0"/>
        <v>0</v>
      </c>
      <c r="K27" s="6" t="s">
        <v>35</v>
      </c>
      <c r="L27" s="6" t="s">
        <v>26</v>
      </c>
      <c r="M27" s="6" t="s">
        <v>832</v>
      </c>
      <c r="N27" s="6"/>
      <c r="O27" s="6"/>
      <c r="P27" s="6"/>
      <c r="Q27" s="6"/>
      <c r="R27">
        <v>1</v>
      </c>
    </row>
    <row r="28" spans="1:19" ht="14.25" customHeight="1">
      <c r="A28" s="6" t="s">
        <v>37</v>
      </c>
      <c r="B28" s="6" t="s">
        <v>19</v>
      </c>
      <c r="C28" s="6" t="s">
        <v>896</v>
      </c>
      <c r="D28" s="6"/>
      <c r="E28" s="6" t="s">
        <v>897</v>
      </c>
      <c r="F28" s="6" t="s">
        <v>150</v>
      </c>
      <c r="G28" s="6" t="s">
        <v>128</v>
      </c>
      <c r="H28" s="6">
        <v>0</v>
      </c>
      <c r="I28" s="6">
        <v>25</v>
      </c>
      <c r="J28" s="6">
        <f t="shared" si="0"/>
        <v>-25</v>
      </c>
      <c r="K28" s="6" t="s">
        <v>35</v>
      </c>
      <c r="L28" s="6" t="s">
        <v>26</v>
      </c>
      <c r="M28" s="6" t="s">
        <v>832</v>
      </c>
      <c r="N28" s="6"/>
      <c r="O28" s="6"/>
      <c r="P28" s="6"/>
      <c r="Q28" s="6"/>
      <c r="R28">
        <v>1</v>
      </c>
      <c r="S28">
        <v>25</v>
      </c>
    </row>
    <row r="29" spans="1:19" ht="14.25" customHeight="1">
      <c r="A29" s="6"/>
      <c r="B29" s="6" t="s">
        <v>19</v>
      </c>
      <c r="C29" s="6" t="s">
        <v>898</v>
      </c>
      <c r="D29" s="6" t="s">
        <v>899</v>
      </c>
      <c r="E29" s="6">
        <v>1057</v>
      </c>
      <c r="F29" s="6" t="s">
        <v>461</v>
      </c>
      <c r="G29" s="6">
        <v>5</v>
      </c>
      <c r="H29" s="6">
        <v>0</v>
      </c>
      <c r="I29" s="6">
        <v>25</v>
      </c>
      <c r="J29" s="6">
        <f t="shared" si="0"/>
        <v>-25</v>
      </c>
      <c r="K29" s="6" t="s">
        <v>900</v>
      </c>
      <c r="L29" s="6" t="s">
        <v>26</v>
      </c>
      <c r="M29" s="6" t="s">
        <v>832</v>
      </c>
      <c r="N29" s="6"/>
      <c r="O29" s="6"/>
      <c r="P29" s="6"/>
      <c r="Q29" s="6"/>
      <c r="R29">
        <v>1</v>
      </c>
      <c r="S29">
        <v>25</v>
      </c>
    </row>
    <row r="30" spans="1:19" ht="14.25" customHeight="1">
      <c r="A30" s="6"/>
      <c r="B30" s="6" t="s">
        <v>19</v>
      </c>
      <c r="C30" s="6" t="s">
        <v>901</v>
      </c>
      <c r="D30" s="6" t="s">
        <v>902</v>
      </c>
      <c r="E30" s="6" t="s">
        <v>903</v>
      </c>
      <c r="F30" s="6" t="s">
        <v>904</v>
      </c>
      <c r="G30" s="6">
        <v>6</v>
      </c>
      <c r="H30" s="6">
        <v>815</v>
      </c>
      <c r="I30" s="6">
        <v>25</v>
      </c>
      <c r="J30" s="6">
        <f t="shared" si="0"/>
        <v>790</v>
      </c>
      <c r="K30" s="6" t="s">
        <v>900</v>
      </c>
      <c r="L30" s="6" t="s">
        <v>26</v>
      </c>
      <c r="M30" s="6" t="s">
        <v>832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905</v>
      </c>
      <c r="D31" s="6" t="s">
        <v>906</v>
      </c>
      <c r="E31" s="6" t="s">
        <v>907</v>
      </c>
      <c r="F31" s="6" t="s">
        <v>514</v>
      </c>
      <c r="G31" s="6">
        <v>6</v>
      </c>
      <c r="H31" s="6">
        <v>795</v>
      </c>
      <c r="I31" s="6">
        <v>25</v>
      </c>
      <c r="J31" s="6">
        <f t="shared" si="0"/>
        <v>770</v>
      </c>
      <c r="K31" s="6" t="s">
        <v>900</v>
      </c>
      <c r="L31" s="6" t="s">
        <v>26</v>
      </c>
      <c r="M31" s="6" t="s">
        <v>832</v>
      </c>
      <c r="N31" s="6"/>
      <c r="O31" s="6"/>
      <c r="P31" s="6"/>
      <c r="Q31" s="6"/>
      <c r="R31">
        <v>1</v>
      </c>
    </row>
    <row r="32" spans="1:19" ht="14.25" customHeight="1">
      <c r="A32" s="6" t="s">
        <v>37</v>
      </c>
      <c r="B32" s="6" t="s">
        <v>19</v>
      </c>
      <c r="C32" s="6" t="s">
        <v>270</v>
      </c>
      <c r="D32" s="6"/>
      <c r="E32" s="6" t="s">
        <v>271</v>
      </c>
      <c r="F32" s="6" t="s">
        <v>272</v>
      </c>
      <c r="G32" s="6">
        <v>6</v>
      </c>
      <c r="H32" s="6">
        <v>0</v>
      </c>
      <c r="I32" s="6">
        <v>30</v>
      </c>
      <c r="J32" s="6">
        <f t="shared" si="0"/>
        <v>-30</v>
      </c>
      <c r="K32" s="6" t="s">
        <v>900</v>
      </c>
      <c r="L32" s="6" t="s">
        <v>26</v>
      </c>
      <c r="M32" s="6" t="s">
        <v>832</v>
      </c>
      <c r="N32" s="6"/>
      <c r="O32" s="6"/>
      <c r="P32" s="6"/>
      <c r="Q32" s="6"/>
      <c r="R32">
        <v>1</v>
      </c>
      <c r="S32">
        <v>30</v>
      </c>
    </row>
    <row r="33" spans="1:19" ht="14.25" customHeight="1">
      <c r="A33" s="6"/>
      <c r="B33" s="6" t="s">
        <v>19</v>
      </c>
      <c r="C33" s="6" t="s">
        <v>908</v>
      </c>
      <c r="D33" s="6" t="s">
        <v>909</v>
      </c>
      <c r="E33" s="6" t="s">
        <v>910</v>
      </c>
      <c r="F33" s="6" t="s">
        <v>230</v>
      </c>
      <c r="G33" s="6">
        <v>6</v>
      </c>
      <c r="H33" s="6">
        <v>615</v>
      </c>
      <c r="I33" s="6">
        <v>25</v>
      </c>
      <c r="J33" s="6">
        <f t="shared" si="0"/>
        <v>590</v>
      </c>
      <c r="K33" s="6" t="s">
        <v>900</v>
      </c>
      <c r="L33" s="6" t="s">
        <v>26</v>
      </c>
      <c r="M33" s="6" t="s">
        <v>832</v>
      </c>
      <c r="N33" s="6"/>
      <c r="O33" s="6"/>
      <c r="P33" s="6"/>
      <c r="Q33" s="6"/>
      <c r="R33">
        <v>1</v>
      </c>
    </row>
    <row r="34" spans="1:19" ht="14.25" customHeight="1">
      <c r="A34" s="6"/>
      <c r="B34" s="6" t="s">
        <v>19</v>
      </c>
      <c r="C34" s="6" t="s">
        <v>911</v>
      </c>
      <c r="D34" s="6" t="s">
        <v>912</v>
      </c>
      <c r="E34" s="6">
        <v>600</v>
      </c>
      <c r="F34" s="6" t="s">
        <v>313</v>
      </c>
      <c r="G34" s="6">
        <v>7</v>
      </c>
      <c r="H34" s="6">
        <v>795</v>
      </c>
      <c r="I34" s="6">
        <v>25</v>
      </c>
      <c r="J34" s="6">
        <f t="shared" si="0"/>
        <v>770</v>
      </c>
      <c r="K34" s="6" t="s">
        <v>900</v>
      </c>
      <c r="L34" s="6" t="s">
        <v>26</v>
      </c>
      <c r="M34" s="6" t="s">
        <v>832</v>
      </c>
      <c r="N34" s="6"/>
      <c r="O34" s="6"/>
      <c r="P34" s="6"/>
      <c r="Q34" s="6"/>
      <c r="R34">
        <v>1</v>
      </c>
    </row>
    <row r="35" spans="1:19" ht="14.25" customHeight="1">
      <c r="A35" s="5"/>
      <c r="B35" s="5" t="s">
        <v>19</v>
      </c>
      <c r="C35" s="5" t="s">
        <v>913</v>
      </c>
      <c r="D35" s="5" t="s">
        <v>914</v>
      </c>
      <c r="E35" s="5" t="s">
        <v>915</v>
      </c>
      <c r="F35" s="5" t="s">
        <v>313</v>
      </c>
      <c r="G35" s="5">
        <v>7</v>
      </c>
      <c r="H35" s="5">
        <v>2300</v>
      </c>
      <c r="I35" s="5">
        <v>30</v>
      </c>
      <c r="J35" s="5">
        <f t="shared" si="0"/>
        <v>2270</v>
      </c>
      <c r="K35" s="5" t="s">
        <v>900</v>
      </c>
      <c r="L35" s="5" t="s">
        <v>26</v>
      </c>
      <c r="M35" s="5" t="s">
        <v>832</v>
      </c>
      <c r="N35" s="5" t="s">
        <v>36</v>
      </c>
      <c r="O35" s="5"/>
      <c r="P35" s="5"/>
      <c r="Q35" s="5"/>
      <c r="R35">
        <v>1</v>
      </c>
      <c r="S35">
        <v>30</v>
      </c>
    </row>
    <row r="36" spans="1:19" ht="14.25" customHeight="1">
      <c r="A36" s="6"/>
      <c r="B36" s="6" t="s">
        <v>19</v>
      </c>
      <c r="C36" s="6" t="s">
        <v>680</v>
      </c>
      <c r="D36" s="6" t="s">
        <v>916</v>
      </c>
      <c r="E36" s="6">
        <v>12</v>
      </c>
      <c r="F36" s="6" t="s">
        <v>917</v>
      </c>
      <c r="G36" s="6">
        <v>7</v>
      </c>
      <c r="H36" s="6">
        <v>715</v>
      </c>
      <c r="I36" s="6">
        <v>25</v>
      </c>
      <c r="J36" s="6">
        <f t="shared" si="0"/>
        <v>690</v>
      </c>
      <c r="K36" s="6" t="s">
        <v>900</v>
      </c>
      <c r="L36" s="6" t="s">
        <v>26</v>
      </c>
      <c r="M36" s="6" t="s">
        <v>832</v>
      </c>
      <c r="N36" s="6"/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918</v>
      </c>
      <c r="D37" s="6" t="s">
        <v>919</v>
      </c>
      <c r="E37" s="6">
        <v>19</v>
      </c>
      <c r="F37" s="6" t="s">
        <v>321</v>
      </c>
      <c r="G37" s="6">
        <v>7</v>
      </c>
      <c r="H37" s="6">
        <v>755</v>
      </c>
      <c r="I37" s="6">
        <v>25</v>
      </c>
      <c r="J37" s="6">
        <f t="shared" si="0"/>
        <v>730</v>
      </c>
      <c r="K37" s="6" t="s">
        <v>900</v>
      </c>
      <c r="L37" s="6" t="s">
        <v>26</v>
      </c>
      <c r="M37" s="6" t="s">
        <v>832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326</v>
      </c>
      <c r="D38" s="6" t="s">
        <v>920</v>
      </c>
      <c r="E38" s="6">
        <v>20</v>
      </c>
      <c r="F38" s="6" t="s">
        <v>328</v>
      </c>
      <c r="G38" s="6">
        <v>8</v>
      </c>
      <c r="H38" s="6">
        <v>0</v>
      </c>
      <c r="I38" s="6">
        <v>30</v>
      </c>
      <c r="J38" s="6">
        <f t="shared" si="0"/>
        <v>-30</v>
      </c>
      <c r="K38" s="6" t="s">
        <v>900</v>
      </c>
      <c r="L38" s="6" t="s">
        <v>26</v>
      </c>
      <c r="M38" s="6" t="s">
        <v>832</v>
      </c>
      <c r="N38" s="6"/>
      <c r="O38" s="6"/>
      <c r="P38" s="6"/>
      <c r="Q38" s="6"/>
      <c r="R38">
        <v>1</v>
      </c>
      <c r="S38">
        <v>30</v>
      </c>
    </row>
    <row r="39" spans="1:19" ht="14.25" customHeight="1">
      <c r="A39" s="6"/>
      <c r="B39" s="6" t="s">
        <v>19</v>
      </c>
      <c r="C39" s="6" t="s">
        <v>921</v>
      </c>
      <c r="D39" s="6" t="s">
        <v>922</v>
      </c>
      <c r="E39" s="6" t="s">
        <v>923</v>
      </c>
      <c r="F39" s="6" t="s">
        <v>344</v>
      </c>
      <c r="G39" s="6">
        <v>11</v>
      </c>
      <c r="H39" s="6">
        <v>0</v>
      </c>
      <c r="I39" s="6">
        <v>25</v>
      </c>
      <c r="J39" s="6">
        <f t="shared" si="0"/>
        <v>-25</v>
      </c>
      <c r="K39" s="6" t="s">
        <v>900</v>
      </c>
      <c r="L39" s="6" t="s">
        <v>26</v>
      </c>
      <c r="M39" s="6" t="s">
        <v>832</v>
      </c>
      <c r="N39" s="6"/>
      <c r="O39" s="6"/>
      <c r="P39" s="6"/>
      <c r="Q39" s="6"/>
      <c r="R39">
        <v>1</v>
      </c>
      <c r="S39">
        <v>25</v>
      </c>
    </row>
    <row r="40" spans="1:19" ht="14.25" customHeight="1">
      <c r="A40" s="6"/>
      <c r="B40" s="6" t="s">
        <v>19</v>
      </c>
      <c r="C40" s="6" t="s">
        <v>924</v>
      </c>
      <c r="D40" s="6" t="s">
        <v>925</v>
      </c>
      <c r="E40" s="6">
        <v>375</v>
      </c>
      <c r="F40" s="6" t="s">
        <v>363</v>
      </c>
      <c r="G40" s="6">
        <v>12</v>
      </c>
      <c r="H40" s="6">
        <v>0</v>
      </c>
      <c r="I40" s="6">
        <v>30</v>
      </c>
      <c r="J40" s="6">
        <f t="shared" si="0"/>
        <v>-30</v>
      </c>
      <c r="K40" s="6" t="s">
        <v>900</v>
      </c>
      <c r="L40" s="6" t="s">
        <v>26</v>
      </c>
      <c r="M40" s="6" t="s">
        <v>832</v>
      </c>
      <c r="N40" s="6"/>
      <c r="O40" s="6"/>
      <c r="P40" s="6"/>
      <c r="Q40" s="6"/>
      <c r="R40">
        <v>1</v>
      </c>
      <c r="S40">
        <v>30</v>
      </c>
    </row>
    <row r="41" spans="1:19" ht="14.25" customHeight="1">
      <c r="A41" s="6"/>
      <c r="B41" s="6" t="s">
        <v>19</v>
      </c>
      <c r="C41" s="6" t="s">
        <v>926</v>
      </c>
      <c r="D41" s="6" t="s">
        <v>927</v>
      </c>
      <c r="E41" s="6">
        <v>303</v>
      </c>
      <c r="F41" s="6" t="s">
        <v>147</v>
      </c>
      <c r="G41" s="6">
        <v>12</v>
      </c>
      <c r="H41" s="6">
        <v>800</v>
      </c>
      <c r="I41" s="6">
        <v>30</v>
      </c>
      <c r="J41" s="6">
        <f t="shared" si="0"/>
        <v>770</v>
      </c>
      <c r="K41" s="6" t="s">
        <v>900</v>
      </c>
      <c r="L41" s="6" t="s">
        <v>26</v>
      </c>
      <c r="M41" s="6" t="s">
        <v>832</v>
      </c>
      <c r="N41" s="6"/>
      <c r="O41" s="6"/>
      <c r="P41" s="6"/>
      <c r="Q41" s="6"/>
      <c r="R41">
        <v>1</v>
      </c>
    </row>
    <row r="42" spans="1:19" ht="14.25" customHeight="1">
      <c r="A42" s="6"/>
      <c r="B42" s="6" t="s">
        <v>19</v>
      </c>
      <c r="C42" s="6" t="s">
        <v>928</v>
      </c>
      <c r="D42" s="6" t="s">
        <v>929</v>
      </c>
      <c r="E42" s="6" t="s">
        <v>930</v>
      </c>
      <c r="F42" s="6" t="s">
        <v>931</v>
      </c>
      <c r="G42" s="6" t="s">
        <v>374</v>
      </c>
      <c r="H42" s="6">
        <v>0</v>
      </c>
      <c r="I42" s="6">
        <v>40</v>
      </c>
      <c r="J42" s="6">
        <f t="shared" si="0"/>
        <v>-40</v>
      </c>
      <c r="K42" s="6" t="s">
        <v>900</v>
      </c>
      <c r="L42" s="6" t="s">
        <v>26</v>
      </c>
      <c r="M42" s="6" t="s">
        <v>832</v>
      </c>
      <c r="N42" s="6"/>
      <c r="O42" s="6"/>
      <c r="P42" s="6"/>
      <c r="Q42" s="6"/>
      <c r="R42">
        <v>1</v>
      </c>
      <c r="S42">
        <v>40</v>
      </c>
    </row>
    <row r="43" spans="1:19" ht="14.25" customHeight="1">
      <c r="A43" s="5"/>
      <c r="B43" s="5" t="s">
        <v>19</v>
      </c>
      <c r="C43" s="5" t="s">
        <v>932</v>
      </c>
      <c r="D43" s="5" t="s">
        <v>933</v>
      </c>
      <c r="E43" s="5" t="s">
        <v>737</v>
      </c>
      <c r="F43" s="5" t="s">
        <v>738</v>
      </c>
      <c r="G43" s="5" t="s">
        <v>385</v>
      </c>
      <c r="H43" s="5">
        <v>30</v>
      </c>
      <c r="I43" s="5">
        <v>30</v>
      </c>
      <c r="J43" s="5">
        <f t="shared" si="0"/>
        <v>0</v>
      </c>
      <c r="K43" s="5" t="s">
        <v>900</v>
      </c>
      <c r="L43" s="5" t="s">
        <v>26</v>
      </c>
      <c r="M43" s="5" t="s">
        <v>832</v>
      </c>
      <c r="N43" s="5" t="s">
        <v>177</v>
      </c>
      <c r="O43" s="5"/>
      <c r="P43" s="5"/>
      <c r="Q43" s="5"/>
      <c r="R43">
        <v>1</v>
      </c>
    </row>
    <row r="44" spans="1:19" ht="14.25" customHeight="1">
      <c r="A44" s="6"/>
      <c r="B44" s="6" t="s">
        <v>19</v>
      </c>
      <c r="C44" s="6" t="s">
        <v>934</v>
      </c>
      <c r="D44" s="6" t="s">
        <v>935</v>
      </c>
      <c r="E44" s="6" t="s">
        <v>936</v>
      </c>
      <c r="F44" s="6" t="s">
        <v>937</v>
      </c>
      <c r="G44" s="6" t="s">
        <v>385</v>
      </c>
      <c r="H44" s="6">
        <v>1010</v>
      </c>
      <c r="I44" s="6">
        <v>30</v>
      </c>
      <c r="J44" s="6">
        <f t="shared" si="0"/>
        <v>980</v>
      </c>
      <c r="K44" s="6" t="s">
        <v>900</v>
      </c>
      <c r="L44" s="6" t="s">
        <v>26</v>
      </c>
      <c r="M44" s="6" t="s">
        <v>832</v>
      </c>
      <c r="N44" s="6"/>
      <c r="O44" s="6"/>
      <c r="P44" s="6"/>
      <c r="Q44" s="6"/>
      <c r="R44">
        <v>1</v>
      </c>
    </row>
    <row r="45" spans="1:19" ht="14.25" customHeight="1">
      <c r="A45" s="6"/>
      <c r="B45" s="6" t="s">
        <v>19</v>
      </c>
      <c r="C45" s="6" t="s">
        <v>938</v>
      </c>
      <c r="D45" s="6" t="s">
        <v>939</v>
      </c>
      <c r="E45" s="6" t="s">
        <v>940</v>
      </c>
      <c r="F45" s="6" t="s">
        <v>941</v>
      </c>
      <c r="G45" s="6" t="s">
        <v>385</v>
      </c>
      <c r="H45" s="6">
        <v>0</v>
      </c>
      <c r="I45" s="6">
        <v>30</v>
      </c>
      <c r="J45" s="6">
        <f t="shared" si="0"/>
        <v>-30</v>
      </c>
      <c r="K45" s="6" t="s">
        <v>900</v>
      </c>
      <c r="L45" s="6" t="s">
        <v>26</v>
      </c>
      <c r="M45" s="6" t="s">
        <v>832</v>
      </c>
      <c r="N45" s="6"/>
      <c r="O45" s="6"/>
      <c r="P45" s="6"/>
      <c r="Q45" s="6"/>
      <c r="R45">
        <v>1</v>
      </c>
      <c r="S45">
        <v>30</v>
      </c>
    </row>
    <row r="46" spans="1:19" ht="14.25" customHeight="1">
      <c r="A46" s="6"/>
      <c r="B46" s="6" t="s">
        <v>19</v>
      </c>
      <c r="C46" s="6" t="s">
        <v>942</v>
      </c>
      <c r="D46" s="6" t="s">
        <v>943</v>
      </c>
      <c r="E46" s="6" t="s">
        <v>944</v>
      </c>
      <c r="F46" s="6" t="s">
        <v>945</v>
      </c>
      <c r="G46" s="6" t="s">
        <v>385</v>
      </c>
      <c r="H46" s="6">
        <v>450</v>
      </c>
      <c r="I46" s="6">
        <v>30</v>
      </c>
      <c r="J46" s="6">
        <f t="shared" si="0"/>
        <v>420</v>
      </c>
      <c r="K46" s="6" t="s">
        <v>900</v>
      </c>
      <c r="L46" s="6" t="s">
        <v>26</v>
      </c>
      <c r="M46" s="6" t="s">
        <v>832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942</v>
      </c>
      <c r="D47" s="6" t="s">
        <v>946</v>
      </c>
      <c r="E47" s="6" t="s">
        <v>944</v>
      </c>
      <c r="F47" s="6" t="s">
        <v>947</v>
      </c>
      <c r="G47" s="6" t="s">
        <v>385</v>
      </c>
      <c r="H47" s="6">
        <v>920</v>
      </c>
      <c r="I47" s="6">
        <v>30</v>
      </c>
      <c r="J47" s="6">
        <f t="shared" si="0"/>
        <v>890</v>
      </c>
      <c r="K47" s="6" t="s">
        <v>900</v>
      </c>
      <c r="L47" s="6" t="s">
        <v>26</v>
      </c>
      <c r="M47" s="6" t="s">
        <v>832</v>
      </c>
      <c r="N47" s="6"/>
      <c r="O47" s="6"/>
      <c r="P47" s="6"/>
      <c r="Q47" s="6"/>
      <c r="R47">
        <v>1</v>
      </c>
    </row>
    <row r="48" spans="1:19" ht="14.25" customHeight="1">
      <c r="A48" s="6"/>
      <c r="B48" s="6" t="s">
        <v>19</v>
      </c>
      <c r="C48" s="6" t="s">
        <v>948</v>
      </c>
      <c r="D48" s="6" t="s">
        <v>949</v>
      </c>
      <c r="E48" s="6">
        <v>527</v>
      </c>
      <c r="F48" s="6" t="s">
        <v>950</v>
      </c>
      <c r="G48" s="6" t="s">
        <v>385</v>
      </c>
      <c r="H48" s="6">
        <v>0</v>
      </c>
      <c r="I48" s="6">
        <v>30</v>
      </c>
      <c r="J48" s="6">
        <f t="shared" si="0"/>
        <v>-30</v>
      </c>
      <c r="K48" s="6" t="s">
        <v>900</v>
      </c>
      <c r="L48" s="6" t="s">
        <v>26</v>
      </c>
      <c r="M48" s="6" t="s">
        <v>832</v>
      </c>
      <c r="N48" s="7" t="s">
        <v>951</v>
      </c>
      <c r="O48" s="6"/>
      <c r="P48" s="6"/>
      <c r="Q48" s="6"/>
      <c r="R48">
        <v>1</v>
      </c>
      <c r="S48">
        <v>30</v>
      </c>
    </row>
    <row r="49" spans="1:18" ht="14.25" customHeight="1">
      <c r="A49" s="6" t="s">
        <v>37</v>
      </c>
      <c r="B49" s="6" t="s">
        <v>19</v>
      </c>
      <c r="C49" s="6" t="s">
        <v>952</v>
      </c>
      <c r="D49" s="6"/>
      <c r="E49" s="6" t="s">
        <v>953</v>
      </c>
      <c r="F49" s="6" t="s">
        <v>954</v>
      </c>
      <c r="G49" s="6" t="s">
        <v>417</v>
      </c>
      <c r="H49" s="6">
        <v>1580</v>
      </c>
      <c r="I49" s="6">
        <v>40</v>
      </c>
      <c r="J49" s="6">
        <f t="shared" si="0"/>
        <v>1540</v>
      </c>
      <c r="K49" s="6" t="s">
        <v>900</v>
      </c>
      <c r="L49" s="6" t="s">
        <v>26</v>
      </c>
      <c r="M49" s="6" t="s">
        <v>832</v>
      </c>
      <c r="N49" s="6"/>
      <c r="O49" s="6"/>
      <c r="P49" s="6"/>
      <c r="Q49" s="6"/>
      <c r="R49">
        <v>1</v>
      </c>
    </row>
    <row r="50" spans="1:18" ht="14.25" customHeight="1">
      <c r="A50" s="6" t="s">
        <v>37</v>
      </c>
      <c r="B50" s="6" t="s">
        <v>19</v>
      </c>
      <c r="C50" s="6" t="s">
        <v>955</v>
      </c>
      <c r="D50" s="6"/>
      <c r="E50" s="6" t="s">
        <v>956</v>
      </c>
      <c r="F50" s="6" t="s">
        <v>957</v>
      </c>
      <c r="G50" s="6" t="s">
        <v>128</v>
      </c>
      <c r="H50" s="6">
        <v>30</v>
      </c>
      <c r="I50" s="6">
        <v>30</v>
      </c>
      <c r="J50" s="6">
        <f t="shared" si="0"/>
        <v>0</v>
      </c>
      <c r="K50" s="6" t="s">
        <v>900</v>
      </c>
      <c r="L50" s="6" t="s">
        <v>26</v>
      </c>
      <c r="M50" s="6" t="s">
        <v>832</v>
      </c>
      <c r="N50" s="6"/>
      <c r="O50" s="6"/>
      <c r="P50" s="6"/>
      <c r="Q50" s="6"/>
      <c r="R50">
        <v>1</v>
      </c>
    </row>
    <row r="51" spans="1:18" ht="14.25" customHeight="1">
      <c r="A51" s="6"/>
      <c r="B51" s="6" t="s">
        <v>19</v>
      </c>
      <c r="C51" s="6" t="s">
        <v>958</v>
      </c>
      <c r="D51" s="6" t="s">
        <v>959</v>
      </c>
      <c r="E51" s="6" t="s">
        <v>960</v>
      </c>
      <c r="F51" s="6" t="s">
        <v>961</v>
      </c>
      <c r="G51" s="6" t="s">
        <v>128</v>
      </c>
      <c r="H51" s="6">
        <v>815</v>
      </c>
      <c r="I51" s="6">
        <v>25</v>
      </c>
      <c r="J51" s="6">
        <f t="shared" si="0"/>
        <v>790</v>
      </c>
      <c r="K51" s="6" t="s">
        <v>900</v>
      </c>
      <c r="L51" s="6" t="s">
        <v>26</v>
      </c>
      <c r="M51" s="6" t="s">
        <v>832</v>
      </c>
      <c r="N51" s="6"/>
      <c r="O51" s="6"/>
      <c r="P51" s="6"/>
      <c r="Q51" s="6"/>
      <c r="R51">
        <v>1</v>
      </c>
    </row>
    <row r="52" spans="1:18" ht="14.25" customHeight="1">
      <c r="A52" s="6"/>
      <c r="B52" s="6" t="s">
        <v>19</v>
      </c>
      <c r="C52" s="6" t="s">
        <v>589</v>
      </c>
      <c r="D52" s="6" t="s">
        <v>962</v>
      </c>
      <c r="E52" s="6" t="s">
        <v>591</v>
      </c>
      <c r="F52" s="6" t="s">
        <v>592</v>
      </c>
      <c r="G52" s="6" t="s">
        <v>430</v>
      </c>
      <c r="H52" s="6">
        <v>1005</v>
      </c>
      <c r="I52" s="6">
        <v>25</v>
      </c>
      <c r="J52" s="6">
        <f t="shared" si="0"/>
        <v>980</v>
      </c>
      <c r="K52" s="6" t="s">
        <v>900</v>
      </c>
      <c r="L52" s="6" t="s">
        <v>26</v>
      </c>
      <c r="M52" s="6" t="s">
        <v>832</v>
      </c>
      <c r="N52" s="6"/>
      <c r="O52" s="6"/>
      <c r="P52" s="6"/>
      <c r="Q52" s="6"/>
      <c r="R52">
        <v>1</v>
      </c>
    </row>
    <row r="53" spans="1:18" ht="14.25" customHeight="1">
      <c r="A53" s="6"/>
      <c r="B53" s="6" t="s">
        <v>19</v>
      </c>
      <c r="C53" s="6"/>
      <c r="D53" s="6" t="s">
        <v>963</v>
      </c>
      <c r="E53" s="6" t="s">
        <v>756</v>
      </c>
      <c r="F53" s="6" t="s">
        <v>757</v>
      </c>
      <c r="G53" s="6">
        <v>2</v>
      </c>
      <c r="H53" s="6">
        <v>990</v>
      </c>
      <c r="I53" s="6">
        <v>30</v>
      </c>
      <c r="J53" s="6">
        <f t="shared" si="0"/>
        <v>960</v>
      </c>
      <c r="K53" s="6" t="s">
        <v>26</v>
      </c>
      <c r="L53" s="6" t="s">
        <v>26</v>
      </c>
      <c r="M53" s="6" t="s">
        <v>832</v>
      </c>
      <c r="N53" s="6"/>
      <c r="O53" s="6"/>
      <c r="P53" s="6"/>
      <c r="Q53" s="6"/>
      <c r="R53">
        <v>1</v>
      </c>
    </row>
    <row r="54" spans="1:18" ht="14.25" customHeight="1">
      <c r="A54" s="6"/>
      <c r="B54" s="6" t="s">
        <v>19</v>
      </c>
      <c r="C54" s="6" t="s">
        <v>964</v>
      </c>
      <c r="D54" s="6" t="s">
        <v>965</v>
      </c>
      <c r="E54" s="6" t="s">
        <v>966</v>
      </c>
      <c r="F54" s="6" t="s">
        <v>967</v>
      </c>
      <c r="G54" s="6">
        <v>2</v>
      </c>
      <c r="H54" s="6">
        <v>460</v>
      </c>
      <c r="I54" s="6">
        <v>30</v>
      </c>
      <c r="J54" s="6">
        <f t="shared" si="0"/>
        <v>430</v>
      </c>
      <c r="K54" s="6" t="s">
        <v>26</v>
      </c>
      <c r="L54" s="6" t="s">
        <v>26</v>
      </c>
      <c r="M54" s="6" t="s">
        <v>832</v>
      </c>
      <c r="N54" s="6"/>
      <c r="O54" s="6"/>
      <c r="P54" s="6"/>
      <c r="Q54" s="6"/>
      <c r="R54">
        <v>1</v>
      </c>
    </row>
    <row r="55" spans="1:18" ht="14.25" customHeight="1">
      <c r="A55" s="6"/>
      <c r="B55" s="6" t="s">
        <v>19</v>
      </c>
      <c r="C55" s="6" t="s">
        <v>968</v>
      </c>
      <c r="D55" s="6" t="s">
        <v>969</v>
      </c>
      <c r="E55" s="6" t="s">
        <v>970</v>
      </c>
      <c r="F55" s="6" t="s">
        <v>971</v>
      </c>
      <c r="G55" s="6">
        <v>2</v>
      </c>
      <c r="H55" s="6">
        <v>1020</v>
      </c>
      <c r="I55" s="6">
        <v>30</v>
      </c>
      <c r="J55" s="6">
        <f t="shared" si="0"/>
        <v>990</v>
      </c>
      <c r="K55" s="6" t="s">
        <v>26</v>
      </c>
      <c r="L55" s="6" t="s">
        <v>26</v>
      </c>
      <c r="M55" s="6" t="s">
        <v>832</v>
      </c>
      <c r="N55" s="6"/>
      <c r="O55" s="6"/>
      <c r="P55" s="6"/>
      <c r="Q55" s="6"/>
      <c r="R55">
        <v>1</v>
      </c>
    </row>
    <row r="56" spans="1:18" ht="14.25" customHeight="1">
      <c r="A56" s="6"/>
      <c r="B56" s="6" t="s">
        <v>19</v>
      </c>
      <c r="C56" s="6" t="s">
        <v>972</v>
      </c>
      <c r="D56" s="6" t="s">
        <v>973</v>
      </c>
      <c r="E56" s="6" t="s">
        <v>974</v>
      </c>
      <c r="F56" s="6" t="s">
        <v>975</v>
      </c>
      <c r="G56" s="6">
        <v>2</v>
      </c>
      <c r="H56" s="6">
        <v>855</v>
      </c>
      <c r="I56" s="6">
        <v>30</v>
      </c>
      <c r="J56" s="6">
        <f t="shared" si="0"/>
        <v>825</v>
      </c>
      <c r="K56" s="6" t="s">
        <v>26</v>
      </c>
      <c r="L56" s="6" t="s">
        <v>26</v>
      </c>
      <c r="M56" s="6" t="s">
        <v>832</v>
      </c>
      <c r="N56" s="6"/>
      <c r="O56" s="6"/>
      <c r="P56" s="6"/>
      <c r="Q56" s="6"/>
      <c r="R56">
        <v>1</v>
      </c>
    </row>
    <row r="57" spans="1:18" ht="14.25" customHeight="1">
      <c r="A57" s="6" t="s">
        <v>37</v>
      </c>
      <c r="B57" s="6" t="s">
        <v>19</v>
      </c>
      <c r="C57" s="6" t="s">
        <v>209</v>
      </c>
      <c r="D57" s="6"/>
      <c r="E57" s="6" t="s">
        <v>210</v>
      </c>
      <c r="F57" s="6" t="s">
        <v>211</v>
      </c>
      <c r="G57" s="6" t="s">
        <v>181</v>
      </c>
      <c r="H57" s="6">
        <v>20</v>
      </c>
      <c r="I57" s="6">
        <v>20</v>
      </c>
      <c r="J57" s="6">
        <f t="shared" si="0"/>
        <v>0</v>
      </c>
      <c r="K57" s="6" t="s">
        <v>26</v>
      </c>
      <c r="L57" s="6" t="s">
        <v>26</v>
      </c>
      <c r="M57" s="6" t="s">
        <v>832</v>
      </c>
      <c r="N57" s="6"/>
      <c r="O57" s="6"/>
      <c r="P57" s="6"/>
      <c r="Q57" s="6"/>
      <c r="R57">
        <v>1</v>
      </c>
    </row>
    <row r="58" spans="1:18" ht="14.25" customHeight="1">
      <c r="A58" s="6"/>
      <c r="B58" s="6" t="s">
        <v>19</v>
      </c>
      <c r="C58" s="6" t="s">
        <v>976</v>
      </c>
      <c r="D58" s="6" t="s">
        <v>977</v>
      </c>
      <c r="E58" s="6" t="s">
        <v>978</v>
      </c>
      <c r="F58" s="6" t="s">
        <v>979</v>
      </c>
      <c r="G58" s="6" t="s">
        <v>181</v>
      </c>
      <c r="H58" s="6">
        <v>410</v>
      </c>
      <c r="I58" s="6">
        <v>20</v>
      </c>
      <c r="J58" s="6">
        <f t="shared" si="0"/>
        <v>390</v>
      </c>
      <c r="K58" s="6" t="s">
        <v>26</v>
      </c>
      <c r="L58" s="6" t="s">
        <v>26</v>
      </c>
      <c r="M58" s="6" t="s">
        <v>832</v>
      </c>
      <c r="N58" s="6"/>
      <c r="O58" s="6"/>
      <c r="P58" s="6"/>
      <c r="Q58" s="6"/>
      <c r="R58">
        <v>1</v>
      </c>
    </row>
    <row r="59" spans="1:18" ht="14.25" customHeight="1">
      <c r="A59" s="6"/>
      <c r="B59" s="6" t="s">
        <v>19</v>
      </c>
      <c r="C59" s="6" t="s">
        <v>980</v>
      </c>
      <c r="D59" s="6" t="s">
        <v>981</v>
      </c>
      <c r="E59" s="6" t="s">
        <v>982</v>
      </c>
      <c r="F59" s="6" t="s">
        <v>979</v>
      </c>
      <c r="G59" s="6" t="s">
        <v>181</v>
      </c>
      <c r="H59" s="6">
        <v>810</v>
      </c>
      <c r="I59" s="6">
        <v>20</v>
      </c>
      <c r="J59" s="6">
        <f t="shared" si="0"/>
        <v>790</v>
      </c>
      <c r="K59" s="6" t="s">
        <v>26</v>
      </c>
      <c r="L59" s="6" t="s">
        <v>26</v>
      </c>
      <c r="M59" s="6" t="s">
        <v>832</v>
      </c>
      <c r="N59" s="6"/>
      <c r="O59" s="6"/>
      <c r="P59" s="6"/>
      <c r="Q59" s="6"/>
      <c r="R59">
        <v>1</v>
      </c>
    </row>
    <row r="60" spans="1:18" ht="14.25" customHeight="1">
      <c r="A60" s="6"/>
      <c r="B60" s="6" t="s">
        <v>19</v>
      </c>
      <c r="C60" s="6" t="s">
        <v>74</v>
      </c>
      <c r="D60" s="6" t="s">
        <v>983</v>
      </c>
      <c r="E60" s="6">
        <v>91</v>
      </c>
      <c r="F60" s="6" t="s">
        <v>775</v>
      </c>
      <c r="G60" s="6" t="s">
        <v>181</v>
      </c>
      <c r="H60" s="6">
        <v>980</v>
      </c>
      <c r="I60" s="6">
        <v>20</v>
      </c>
      <c r="J60" s="6">
        <f t="shared" si="0"/>
        <v>960</v>
      </c>
      <c r="K60" s="6" t="s">
        <v>26</v>
      </c>
      <c r="L60" s="6" t="s">
        <v>26</v>
      </c>
      <c r="M60" s="6" t="s">
        <v>832</v>
      </c>
      <c r="N60" s="6"/>
      <c r="O60" s="6"/>
      <c r="P60" s="6"/>
      <c r="Q60" s="6"/>
      <c r="R60">
        <v>1</v>
      </c>
    </row>
    <row r="61" spans="1:18" ht="14.25" customHeight="1">
      <c r="A61" s="6"/>
      <c r="B61" s="6" t="s">
        <v>19</v>
      </c>
      <c r="C61" s="6" t="s">
        <v>516</v>
      </c>
      <c r="D61" s="6" t="s">
        <v>984</v>
      </c>
      <c r="E61" s="6" t="s">
        <v>985</v>
      </c>
      <c r="F61" s="6" t="s">
        <v>775</v>
      </c>
      <c r="G61" s="6" t="s">
        <v>181</v>
      </c>
      <c r="H61" s="6">
        <v>900</v>
      </c>
      <c r="I61" s="6">
        <v>20</v>
      </c>
      <c r="J61" s="6">
        <f t="shared" si="0"/>
        <v>880</v>
      </c>
      <c r="K61" s="6" t="s">
        <v>26</v>
      </c>
      <c r="L61" s="6" t="s">
        <v>26</v>
      </c>
      <c r="M61" s="6" t="s">
        <v>832</v>
      </c>
      <c r="N61" s="6"/>
      <c r="O61" s="6"/>
      <c r="P61" s="6"/>
      <c r="Q61" s="6"/>
      <c r="R61">
        <v>1</v>
      </c>
    </row>
    <row r="62" spans="1:18" ht="14.25" customHeight="1">
      <c r="A62" s="6"/>
      <c r="B62" s="6" t="s">
        <v>19</v>
      </c>
      <c r="C62" s="6" t="s">
        <v>986</v>
      </c>
      <c r="D62" s="6" t="s">
        <v>987</v>
      </c>
      <c r="E62" s="6" t="s">
        <v>988</v>
      </c>
      <c r="F62" s="6" t="s">
        <v>775</v>
      </c>
      <c r="G62" s="6" t="s">
        <v>181</v>
      </c>
      <c r="H62" s="6">
        <v>1010</v>
      </c>
      <c r="I62" s="6">
        <v>20</v>
      </c>
      <c r="J62" s="6">
        <f t="shared" si="0"/>
        <v>990</v>
      </c>
      <c r="K62" s="6" t="s">
        <v>26</v>
      </c>
      <c r="L62" s="6" t="s">
        <v>26</v>
      </c>
      <c r="M62" s="6" t="s">
        <v>832</v>
      </c>
      <c r="N62" s="6"/>
      <c r="O62" s="6"/>
      <c r="P62" s="6"/>
      <c r="Q62" s="6"/>
      <c r="R62">
        <v>1</v>
      </c>
    </row>
    <row r="63" spans="1:18" ht="14.25" customHeight="1">
      <c r="A63" s="6"/>
      <c r="B63" s="6" t="s">
        <v>19</v>
      </c>
      <c r="C63" s="6" t="s">
        <v>989</v>
      </c>
      <c r="D63" s="6" t="s">
        <v>990</v>
      </c>
      <c r="E63" s="6" t="s">
        <v>991</v>
      </c>
      <c r="F63" s="6" t="s">
        <v>992</v>
      </c>
      <c r="G63" s="6" t="s">
        <v>181</v>
      </c>
      <c r="H63" s="6">
        <v>1680</v>
      </c>
      <c r="I63" s="6">
        <v>20</v>
      </c>
      <c r="J63" s="6">
        <f t="shared" si="0"/>
        <v>1660</v>
      </c>
      <c r="K63" s="6" t="s">
        <v>26</v>
      </c>
      <c r="L63" s="6" t="s">
        <v>26</v>
      </c>
      <c r="M63" s="6" t="s">
        <v>832</v>
      </c>
      <c r="N63" s="6"/>
      <c r="O63" s="6"/>
      <c r="P63" s="6"/>
      <c r="Q63" s="6"/>
      <c r="R63">
        <v>1</v>
      </c>
    </row>
    <row r="64" spans="1:18" ht="14.25" customHeight="1">
      <c r="A64" s="6"/>
      <c r="B64" s="6" t="s">
        <v>19</v>
      </c>
      <c r="C64" s="6" t="s">
        <v>993</v>
      </c>
      <c r="D64" s="6" t="s">
        <v>994</v>
      </c>
      <c r="E64" s="6" t="s">
        <v>995</v>
      </c>
      <c r="F64" s="6" t="s">
        <v>996</v>
      </c>
      <c r="G64" s="6" t="s">
        <v>220</v>
      </c>
      <c r="H64" s="6">
        <v>405</v>
      </c>
      <c r="I64" s="6">
        <v>25</v>
      </c>
      <c r="J64" s="6">
        <f t="shared" si="0"/>
        <v>380</v>
      </c>
      <c r="K64" s="6" t="s">
        <v>26</v>
      </c>
      <c r="L64" s="6" t="s">
        <v>26</v>
      </c>
      <c r="M64" s="6" t="s">
        <v>832</v>
      </c>
      <c r="N64" s="6"/>
      <c r="O64" s="6"/>
      <c r="P64" s="6"/>
      <c r="Q64" s="6"/>
      <c r="R64">
        <v>1</v>
      </c>
    </row>
    <row r="65" spans="1:20" ht="14.25" customHeight="1">
      <c r="A65" s="6"/>
      <c r="B65" s="6" t="s">
        <v>19</v>
      </c>
      <c r="C65" s="6" t="s">
        <v>997</v>
      </c>
      <c r="D65" s="6" t="s">
        <v>998</v>
      </c>
      <c r="E65" s="6" t="s">
        <v>999</v>
      </c>
      <c r="F65" s="6" t="s">
        <v>1000</v>
      </c>
      <c r="G65" s="6" t="s">
        <v>220</v>
      </c>
      <c r="H65" s="6">
        <v>795</v>
      </c>
      <c r="I65" s="6">
        <v>25</v>
      </c>
      <c r="J65" s="6">
        <f t="shared" si="0"/>
        <v>770</v>
      </c>
      <c r="K65" s="6" t="s">
        <v>26</v>
      </c>
      <c r="L65" s="6" t="s">
        <v>26</v>
      </c>
      <c r="M65" s="6" t="s">
        <v>832</v>
      </c>
      <c r="N65" s="6"/>
      <c r="O65" s="6"/>
      <c r="P65" s="6"/>
      <c r="Q65" s="6"/>
      <c r="R65">
        <v>1</v>
      </c>
    </row>
    <row r="66" spans="1:20" ht="14.25" customHeight="1">
      <c r="A66" s="6"/>
      <c r="B66" s="6" t="s">
        <v>19</v>
      </c>
      <c r="C66" s="6" t="s">
        <v>1001</v>
      </c>
      <c r="D66" s="6" t="s">
        <v>1002</v>
      </c>
      <c r="E66" s="6" t="s">
        <v>1003</v>
      </c>
      <c r="F66" s="6" t="s">
        <v>1004</v>
      </c>
      <c r="G66" s="6" t="s">
        <v>220</v>
      </c>
      <c r="H66" s="6">
        <v>1615</v>
      </c>
      <c r="I66" s="6">
        <v>25</v>
      </c>
      <c r="J66" s="6">
        <f t="shared" si="0"/>
        <v>1590</v>
      </c>
      <c r="K66" s="6" t="s">
        <v>26</v>
      </c>
      <c r="L66" s="6" t="s">
        <v>26</v>
      </c>
      <c r="M66" s="6" t="s">
        <v>832</v>
      </c>
      <c r="N66" s="6"/>
      <c r="O66" s="6"/>
      <c r="P66" s="6"/>
      <c r="Q66" s="6"/>
      <c r="R66">
        <v>1</v>
      </c>
    </row>
    <row r="67" spans="1:20" ht="14.25" customHeight="1">
      <c r="A67" s="6"/>
      <c r="B67" s="6" t="s">
        <v>19</v>
      </c>
      <c r="C67" s="6" t="s">
        <v>1005</v>
      </c>
      <c r="D67" s="6" t="s">
        <v>1006</v>
      </c>
      <c r="E67" s="6" t="s">
        <v>1007</v>
      </c>
      <c r="F67" s="6" t="s">
        <v>1008</v>
      </c>
      <c r="G67" s="6" t="s">
        <v>220</v>
      </c>
      <c r="H67" s="6">
        <v>685</v>
      </c>
      <c r="I67" s="6">
        <v>25</v>
      </c>
      <c r="J67" s="6">
        <f t="shared" si="0"/>
        <v>660</v>
      </c>
      <c r="K67" s="6" t="s">
        <v>26</v>
      </c>
      <c r="L67" s="6" t="s">
        <v>26</v>
      </c>
      <c r="M67" s="6" t="s">
        <v>832</v>
      </c>
      <c r="N67" s="6"/>
      <c r="O67" s="6"/>
      <c r="P67" s="6"/>
      <c r="Q67" s="6"/>
      <c r="R67">
        <v>1</v>
      </c>
    </row>
    <row r="68" spans="1:20" ht="14.25" customHeight="1">
      <c r="A68" s="6"/>
      <c r="B68" s="6" t="s">
        <v>19</v>
      </c>
      <c r="C68" s="6" t="s">
        <v>1009</v>
      </c>
      <c r="D68" s="6" t="s">
        <v>1010</v>
      </c>
      <c r="E68" s="6" t="s">
        <v>1011</v>
      </c>
      <c r="F68" s="6" t="s">
        <v>236</v>
      </c>
      <c r="G68" s="6" t="s">
        <v>220</v>
      </c>
      <c r="H68" s="6">
        <v>405</v>
      </c>
      <c r="I68" s="6">
        <v>25</v>
      </c>
      <c r="J68" s="6">
        <f t="shared" si="0"/>
        <v>380</v>
      </c>
      <c r="K68" s="6" t="s">
        <v>26</v>
      </c>
      <c r="L68" s="6" t="s">
        <v>26</v>
      </c>
      <c r="M68" s="6" t="s">
        <v>832</v>
      </c>
      <c r="N68" s="6"/>
      <c r="O68" s="6"/>
      <c r="P68" s="6"/>
      <c r="Q68" s="6"/>
      <c r="R68">
        <v>1</v>
      </c>
    </row>
    <row r="69" spans="1:20" ht="14.25" customHeight="1">
      <c r="A69" s="6" t="s">
        <v>37</v>
      </c>
      <c r="B69" s="6" t="s">
        <v>19</v>
      </c>
      <c r="C69" s="6" t="s">
        <v>237</v>
      </c>
      <c r="D69" s="6"/>
      <c r="E69" s="6">
        <v>403</v>
      </c>
      <c r="F69" s="6" t="s">
        <v>238</v>
      </c>
      <c r="G69" s="6" t="s">
        <v>220</v>
      </c>
      <c r="H69" s="6">
        <v>30</v>
      </c>
      <c r="I69" s="6">
        <v>30</v>
      </c>
      <c r="J69" s="6">
        <f t="shared" si="0"/>
        <v>0</v>
      </c>
      <c r="K69" s="6" t="s">
        <v>26</v>
      </c>
      <c r="L69" s="6" t="s">
        <v>26</v>
      </c>
      <c r="M69" s="6" t="s">
        <v>832</v>
      </c>
      <c r="N69" s="6"/>
      <c r="O69" s="6"/>
      <c r="P69" s="6"/>
      <c r="Q69" s="6"/>
      <c r="R69">
        <v>1</v>
      </c>
    </row>
    <row r="70" spans="1:20" ht="14.25" customHeight="1">
      <c r="A70" s="6"/>
      <c r="B70" s="6" t="s">
        <v>19</v>
      </c>
      <c r="C70" s="6" t="s">
        <v>1012</v>
      </c>
      <c r="D70" s="6" t="s">
        <v>1013</v>
      </c>
      <c r="E70" s="6" t="s">
        <v>1014</v>
      </c>
      <c r="F70" s="6" t="s">
        <v>1015</v>
      </c>
      <c r="G70" s="6" t="s">
        <v>128</v>
      </c>
      <c r="H70" s="6">
        <v>0</v>
      </c>
      <c r="I70" s="6">
        <v>25</v>
      </c>
      <c r="J70" s="6">
        <f t="shared" si="0"/>
        <v>-25</v>
      </c>
      <c r="K70" s="6" t="s">
        <v>26</v>
      </c>
      <c r="L70" s="6" t="s">
        <v>26</v>
      </c>
      <c r="M70" s="6" t="s">
        <v>832</v>
      </c>
      <c r="N70" s="6"/>
      <c r="O70" s="6"/>
      <c r="P70" s="6"/>
      <c r="Q70" s="6"/>
      <c r="R70">
        <v>1</v>
      </c>
      <c r="S70">
        <v>25</v>
      </c>
    </row>
    <row r="71" spans="1:20" ht="14.25" customHeight="1">
      <c r="A71" s="6"/>
      <c r="B71" s="6" t="s">
        <v>19</v>
      </c>
      <c r="C71" s="6" t="s">
        <v>1016</v>
      </c>
      <c r="D71" s="6" t="s">
        <v>1017</v>
      </c>
      <c r="E71" s="6">
        <v>69</v>
      </c>
      <c r="F71" s="6" t="s">
        <v>1018</v>
      </c>
      <c r="G71" s="6" t="s">
        <v>250</v>
      </c>
      <c r="H71" s="6">
        <v>820</v>
      </c>
      <c r="I71" s="6">
        <v>30</v>
      </c>
      <c r="J71" s="6">
        <f t="shared" si="0"/>
        <v>790</v>
      </c>
      <c r="K71" s="6" t="s">
        <v>26</v>
      </c>
      <c r="L71" s="6" t="s">
        <v>26</v>
      </c>
      <c r="M71" s="6" t="s">
        <v>832</v>
      </c>
      <c r="N71" s="6"/>
      <c r="O71" s="6"/>
      <c r="P71" s="6"/>
      <c r="Q71" s="6"/>
      <c r="R71">
        <v>1</v>
      </c>
    </row>
    <row r="72" spans="1:20" ht="14.25" customHeight="1">
      <c r="A72" s="6"/>
      <c r="B72" s="6" t="s">
        <v>19</v>
      </c>
      <c r="C72" s="6" t="s">
        <v>1019</v>
      </c>
      <c r="D72" s="6" t="s">
        <v>1020</v>
      </c>
      <c r="E72" s="6">
        <v>3</v>
      </c>
      <c r="F72" s="6" t="s">
        <v>253</v>
      </c>
      <c r="G72" s="6" t="s">
        <v>250</v>
      </c>
      <c r="H72" s="6">
        <v>170</v>
      </c>
      <c r="I72" s="6">
        <v>30</v>
      </c>
      <c r="J72" s="6">
        <f t="shared" si="0"/>
        <v>140</v>
      </c>
      <c r="K72" s="6" t="s">
        <v>26</v>
      </c>
      <c r="L72" s="6" t="s">
        <v>26</v>
      </c>
      <c r="M72" s="6" t="s">
        <v>832</v>
      </c>
      <c r="N72" s="6"/>
      <c r="O72" s="6"/>
      <c r="P72" s="6"/>
      <c r="Q72" s="6"/>
      <c r="R72">
        <v>1</v>
      </c>
    </row>
    <row r="73" spans="1:20" ht="14.25" customHeight="1">
      <c r="A73" s="6"/>
      <c r="B73" s="6" t="s">
        <v>19</v>
      </c>
      <c r="C73" s="6" t="s">
        <v>1021</v>
      </c>
      <c r="D73" s="6" t="s">
        <v>1022</v>
      </c>
      <c r="E73" s="6" t="s">
        <v>1023</v>
      </c>
      <c r="F73" s="6" t="s">
        <v>264</v>
      </c>
      <c r="G73" s="6" t="s">
        <v>250</v>
      </c>
      <c r="H73" s="6">
        <v>920</v>
      </c>
      <c r="I73" s="6">
        <v>30</v>
      </c>
      <c r="J73" s="6">
        <f t="shared" si="0"/>
        <v>890</v>
      </c>
      <c r="K73" s="6" t="s">
        <v>26</v>
      </c>
      <c r="L73" s="6" t="s">
        <v>26</v>
      </c>
      <c r="M73" s="6" t="s">
        <v>832</v>
      </c>
      <c r="N73" s="6"/>
      <c r="O73" s="6"/>
      <c r="P73" s="6"/>
      <c r="Q73" s="6"/>
      <c r="R73">
        <v>1</v>
      </c>
    </row>
    <row r="74" spans="1:20" ht="14.25" customHeight="1"/>
    <row r="75" spans="1:20" ht="14.25" customHeight="1">
      <c r="H75">
        <f t="shared" ref="H75:T75" si="1">SUBTOTAL(9,H3:H74)</f>
        <v>44740</v>
      </c>
      <c r="I75">
        <f t="shared" si="1"/>
        <v>1825</v>
      </c>
      <c r="J75">
        <f t="shared" si="1"/>
        <v>42915</v>
      </c>
      <c r="K75">
        <f t="shared" si="1"/>
        <v>0</v>
      </c>
      <c r="L75">
        <f t="shared" si="1"/>
        <v>0</v>
      </c>
      <c r="M75">
        <f t="shared" si="1"/>
        <v>0</v>
      </c>
      <c r="N75">
        <f t="shared" si="1"/>
        <v>0</v>
      </c>
      <c r="O75">
        <f t="shared" si="1"/>
        <v>0</v>
      </c>
      <c r="P75">
        <f t="shared" si="1"/>
        <v>0</v>
      </c>
      <c r="Q75">
        <f t="shared" si="1"/>
        <v>0</v>
      </c>
      <c r="R75">
        <f t="shared" si="1"/>
        <v>71</v>
      </c>
      <c r="S75">
        <f t="shared" si="1"/>
        <v>540</v>
      </c>
      <c r="T75">
        <f t="shared" si="1"/>
        <v>0</v>
      </c>
    </row>
    <row r="76" spans="1:20" ht="14.25" customHeight="1">
      <c r="J76">
        <v>-830</v>
      </c>
      <c r="K76" t="s">
        <v>1024</v>
      </c>
    </row>
    <row r="77" spans="1:20" ht="14.25" customHeight="1">
      <c r="J77">
        <v>-810</v>
      </c>
      <c r="K77" t="s">
        <v>432</v>
      </c>
    </row>
    <row r="78" spans="1:20" ht="14.25" customHeight="1">
      <c r="J78">
        <v>-960</v>
      </c>
      <c r="K78" t="s">
        <v>1025</v>
      </c>
    </row>
    <row r="79" spans="1:20" ht="20.25" customHeight="1">
      <c r="I79" s="8" t="s">
        <v>1026</v>
      </c>
      <c r="J79" s="9" t="s">
        <v>434</v>
      </c>
      <c r="K79" s="10" t="s">
        <v>435</v>
      </c>
    </row>
    <row r="80" spans="1:20" ht="14.25" customHeight="1">
      <c r="I80" s="11" t="s">
        <v>436</v>
      </c>
      <c r="J80" s="12">
        <f>SUM(J74:J78)</f>
        <v>40315</v>
      </c>
      <c r="K80" s="12">
        <f>R75</f>
        <v>71</v>
      </c>
    </row>
    <row r="81" spans="1:13" ht="14.25" customHeight="1">
      <c r="I81" s="13" t="s">
        <v>437</v>
      </c>
      <c r="J81" s="14">
        <f>S74</f>
        <v>0</v>
      </c>
      <c r="K81" s="15"/>
    </row>
    <row r="82" spans="1:13" ht="14.25" customHeight="1">
      <c r="I82" s="13" t="s">
        <v>438</v>
      </c>
      <c r="J82" s="14">
        <f>T74</f>
        <v>0</v>
      </c>
      <c r="K82" s="15"/>
    </row>
    <row r="83" spans="1:13" ht="14.25" customHeight="1">
      <c r="I83" s="13" t="s">
        <v>439</v>
      </c>
      <c r="J83" s="14">
        <f>U74</f>
        <v>0</v>
      </c>
      <c r="K83" s="15"/>
    </row>
    <row r="84" spans="1:13" ht="14.25" customHeight="1">
      <c r="I84" s="13" t="s">
        <v>440</v>
      </c>
      <c r="J84" s="14">
        <f>V74</f>
        <v>0</v>
      </c>
      <c r="K84" s="15"/>
    </row>
    <row r="85" spans="1:13" ht="14.25" customHeight="1">
      <c r="I85" s="16" t="s">
        <v>441</v>
      </c>
      <c r="J85" s="17"/>
      <c r="K85" s="17"/>
    </row>
    <row r="86" spans="1:13" ht="14.25" customHeight="1">
      <c r="I86" s="18" t="s">
        <v>442</v>
      </c>
      <c r="J86" s="17"/>
      <c r="K86" s="17"/>
    </row>
    <row r="87" spans="1:13" ht="14.25" customHeight="1">
      <c r="I87" s="19" t="s">
        <v>443</v>
      </c>
      <c r="J87" s="20">
        <f>SUM(J80:J86)</f>
        <v>40315</v>
      </c>
      <c r="K87" s="20">
        <f>SUM(K80:K84)</f>
        <v>71</v>
      </c>
    </row>
    <row r="88" spans="1:13" ht="14.25" customHeight="1"/>
    <row r="89" spans="1:13" ht="14.25" customHeight="1">
      <c r="A89" t="s">
        <v>432</v>
      </c>
    </row>
    <row r="90" spans="1:13" ht="14.25" customHeight="1">
      <c r="A90" s="2" t="s">
        <v>19</v>
      </c>
      <c r="B90" s="2" t="s">
        <v>60</v>
      </c>
      <c r="C90" s="2" t="s">
        <v>61</v>
      </c>
      <c r="D90" s="2" t="s">
        <v>62</v>
      </c>
      <c r="E90" s="2" t="s">
        <v>63</v>
      </c>
      <c r="F90" s="2">
        <v>1</v>
      </c>
      <c r="G90" s="2">
        <v>810</v>
      </c>
      <c r="H90" s="2">
        <v>0</v>
      </c>
      <c r="I90" s="2">
        <f>G90-H90</f>
        <v>810</v>
      </c>
      <c r="J90" s="2" t="s">
        <v>25</v>
      </c>
      <c r="K90" s="2" t="s">
        <v>26</v>
      </c>
      <c r="L90" s="2" t="s">
        <v>27</v>
      </c>
      <c r="M90" s="3" t="s">
        <v>1027</v>
      </c>
    </row>
    <row r="91" spans="1:13" ht="14.25" customHeight="1"/>
    <row r="92" spans="1:13" ht="14.25" customHeight="1">
      <c r="A92" t="s">
        <v>640</v>
      </c>
    </row>
    <row r="93" spans="1:13" ht="14.25" customHeight="1">
      <c r="A93" s="2" t="s">
        <v>19</v>
      </c>
      <c r="B93" s="2" t="s">
        <v>948</v>
      </c>
      <c r="C93" s="2" t="s">
        <v>949</v>
      </c>
      <c r="D93" s="2">
        <v>527</v>
      </c>
      <c r="E93" s="2" t="s">
        <v>950</v>
      </c>
      <c r="F93" s="2" t="s">
        <v>385</v>
      </c>
      <c r="G93" s="2">
        <v>820</v>
      </c>
      <c r="H93" s="2">
        <v>0</v>
      </c>
      <c r="I93" s="2">
        <f>G93-H93</f>
        <v>820</v>
      </c>
      <c r="J93" s="2" t="s">
        <v>900</v>
      </c>
      <c r="K93" s="2" t="s">
        <v>26</v>
      </c>
      <c r="L93" s="2" t="s">
        <v>832</v>
      </c>
      <c r="M93" s="3" t="s">
        <v>951</v>
      </c>
    </row>
    <row r="94" spans="1:13" ht="14.25" customHeight="1"/>
    <row r="95" spans="1:13" ht="14.25" customHeight="1"/>
    <row r="96" spans="1:13" ht="14.25" customHeight="1"/>
    <row r="97" ht="14.25" customHeight="1"/>
    <row r="98" ht="14.25" customHeight="1"/>
    <row r="99" ht="14.25" customHeight="1"/>
    <row r="100" ht="14.25" customHeight="1"/>
  </sheetData>
  <autoFilter ref="A2:Q73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topLeftCell="A7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1028</v>
      </c>
      <c r="C1" t="s">
        <v>1029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6"/>
      <c r="B3" s="6" t="s">
        <v>19</v>
      </c>
      <c r="C3" s="6" t="s">
        <v>31</v>
      </c>
      <c r="D3" s="6" t="s">
        <v>1030</v>
      </c>
      <c r="E3" s="6" t="s">
        <v>33</v>
      </c>
      <c r="F3" s="6" t="s">
        <v>34</v>
      </c>
      <c r="G3" s="6">
        <v>1</v>
      </c>
      <c r="H3" s="6">
        <v>910</v>
      </c>
      <c r="I3" s="6">
        <v>20</v>
      </c>
      <c r="J3" s="6">
        <f t="shared" ref="J3:J48" si="0">H3-I3</f>
        <v>890</v>
      </c>
      <c r="K3" s="6" t="s">
        <v>35</v>
      </c>
      <c r="L3" s="6" t="s">
        <v>26</v>
      </c>
      <c r="M3" s="6" t="s">
        <v>1031</v>
      </c>
      <c r="N3" s="6"/>
      <c r="O3" s="6"/>
      <c r="P3" s="6"/>
      <c r="Q3" s="6"/>
      <c r="R3" s="4">
        <v>1</v>
      </c>
      <c r="S3" s="4"/>
      <c r="T3" s="4"/>
    </row>
    <row r="4" spans="1:20" ht="14.25" customHeight="1">
      <c r="A4" s="6"/>
      <c r="B4" s="6" t="s">
        <v>19</v>
      </c>
      <c r="C4" s="6" t="s">
        <v>1032</v>
      </c>
      <c r="D4" s="6" t="s">
        <v>1033</v>
      </c>
      <c r="E4" s="6">
        <v>192</v>
      </c>
      <c r="F4" s="6" t="s">
        <v>46</v>
      </c>
      <c r="G4" s="6">
        <v>1</v>
      </c>
      <c r="H4" s="6">
        <v>790</v>
      </c>
      <c r="I4" s="6">
        <v>20</v>
      </c>
      <c r="J4" s="6">
        <f t="shared" si="0"/>
        <v>770</v>
      </c>
      <c r="K4" s="6" t="s">
        <v>35</v>
      </c>
      <c r="L4" s="6" t="s">
        <v>26</v>
      </c>
      <c r="M4" s="6" t="s">
        <v>1031</v>
      </c>
      <c r="N4" s="6"/>
      <c r="O4" s="6"/>
      <c r="P4" s="6"/>
      <c r="Q4" s="6"/>
      <c r="R4">
        <v>1</v>
      </c>
    </row>
    <row r="5" spans="1:20" ht="14.25" customHeight="1">
      <c r="A5" s="6"/>
      <c r="B5" s="6" t="s">
        <v>19</v>
      </c>
      <c r="C5" s="6" t="s">
        <v>1034</v>
      </c>
      <c r="D5" s="6" t="s">
        <v>1035</v>
      </c>
      <c r="E5" s="6" t="s">
        <v>1036</v>
      </c>
      <c r="F5" s="6" t="s">
        <v>461</v>
      </c>
      <c r="G5" s="6">
        <v>1</v>
      </c>
      <c r="H5" s="6">
        <v>710</v>
      </c>
      <c r="I5" s="6">
        <v>20</v>
      </c>
      <c r="J5" s="6">
        <f t="shared" si="0"/>
        <v>690</v>
      </c>
      <c r="K5" s="6" t="s">
        <v>35</v>
      </c>
      <c r="L5" s="6" t="s">
        <v>26</v>
      </c>
      <c r="M5" s="6" t="s">
        <v>1031</v>
      </c>
      <c r="N5" s="6"/>
      <c r="O5" s="6"/>
      <c r="P5" s="6"/>
      <c r="Q5" s="6"/>
      <c r="R5">
        <v>1</v>
      </c>
    </row>
    <row r="6" spans="1:20" ht="14.25" customHeight="1">
      <c r="A6" s="5"/>
      <c r="B6" s="5" t="s">
        <v>19</v>
      </c>
      <c r="C6" s="5" t="s">
        <v>1037</v>
      </c>
      <c r="D6" s="5" t="s">
        <v>1038</v>
      </c>
      <c r="E6" s="5" t="s">
        <v>1039</v>
      </c>
      <c r="F6" s="5" t="s">
        <v>1040</v>
      </c>
      <c r="G6" s="5">
        <v>1</v>
      </c>
      <c r="H6" s="5">
        <v>790</v>
      </c>
      <c r="I6" s="5">
        <v>20</v>
      </c>
      <c r="J6" s="5">
        <f t="shared" si="0"/>
        <v>770</v>
      </c>
      <c r="K6" s="5" t="s">
        <v>35</v>
      </c>
      <c r="L6" s="5" t="s">
        <v>26</v>
      </c>
      <c r="M6" s="5" t="s">
        <v>1031</v>
      </c>
      <c r="N6" s="5" t="s">
        <v>177</v>
      </c>
      <c r="O6" s="5"/>
      <c r="P6" s="5"/>
      <c r="Q6" s="5"/>
      <c r="R6">
        <v>1</v>
      </c>
    </row>
    <row r="7" spans="1:20" ht="14.25" customHeight="1">
      <c r="A7" s="6"/>
      <c r="B7" s="6" t="s">
        <v>19</v>
      </c>
      <c r="C7" s="6" t="s">
        <v>1041</v>
      </c>
      <c r="D7" s="6" t="s">
        <v>1042</v>
      </c>
      <c r="E7" s="6" t="s">
        <v>81</v>
      </c>
      <c r="F7" s="6" t="s">
        <v>82</v>
      </c>
      <c r="G7" s="6">
        <v>5</v>
      </c>
      <c r="H7" s="6">
        <v>0</v>
      </c>
      <c r="I7" s="6">
        <v>25</v>
      </c>
      <c r="J7" s="6">
        <f t="shared" si="0"/>
        <v>-25</v>
      </c>
      <c r="K7" s="6" t="s">
        <v>35</v>
      </c>
      <c r="L7" s="6" t="s">
        <v>26</v>
      </c>
      <c r="M7" s="6" t="s">
        <v>1031</v>
      </c>
      <c r="N7" s="6"/>
      <c r="O7" s="6"/>
      <c r="P7" s="6"/>
      <c r="Q7" s="6"/>
      <c r="R7">
        <v>1</v>
      </c>
      <c r="S7">
        <v>25</v>
      </c>
    </row>
    <row r="8" spans="1:20" ht="14.25" customHeight="1">
      <c r="A8" s="5"/>
      <c r="B8" s="5" t="s">
        <v>19</v>
      </c>
      <c r="C8" s="5"/>
      <c r="D8" s="5"/>
      <c r="E8" s="5">
        <v>363</v>
      </c>
      <c r="F8" s="5" t="s">
        <v>86</v>
      </c>
      <c r="G8" s="5">
        <v>5</v>
      </c>
      <c r="H8" s="5">
        <v>-132</v>
      </c>
      <c r="I8" s="5">
        <v>25</v>
      </c>
      <c r="J8" s="5">
        <f t="shared" si="0"/>
        <v>-157</v>
      </c>
      <c r="K8" s="5" t="s">
        <v>35</v>
      </c>
      <c r="L8" s="5" t="s">
        <v>26</v>
      </c>
      <c r="M8" s="5" t="s">
        <v>1031</v>
      </c>
      <c r="N8" s="5" t="s">
        <v>1043</v>
      </c>
      <c r="O8" s="5"/>
      <c r="P8" s="5"/>
      <c r="Q8" s="5"/>
      <c r="R8">
        <v>1</v>
      </c>
      <c r="S8">
        <v>25</v>
      </c>
      <c r="T8">
        <v>132</v>
      </c>
    </row>
    <row r="9" spans="1:20" ht="14.25" customHeight="1">
      <c r="A9" s="6"/>
      <c r="B9" s="6" t="s">
        <v>19</v>
      </c>
      <c r="C9" s="6" t="s">
        <v>619</v>
      </c>
      <c r="D9" s="6" t="s">
        <v>1044</v>
      </c>
      <c r="E9" s="6">
        <v>86</v>
      </c>
      <c r="F9" s="6" t="s">
        <v>1045</v>
      </c>
      <c r="G9" s="6">
        <v>5</v>
      </c>
      <c r="H9" s="6">
        <v>0</v>
      </c>
      <c r="I9" s="6">
        <v>25</v>
      </c>
      <c r="J9" s="6">
        <f t="shared" si="0"/>
        <v>-25</v>
      </c>
      <c r="K9" s="6" t="s">
        <v>35</v>
      </c>
      <c r="L9" s="6" t="s">
        <v>26</v>
      </c>
      <c r="M9" s="6" t="s">
        <v>1031</v>
      </c>
      <c r="N9" s="6"/>
      <c r="O9" s="6"/>
      <c r="P9" s="6"/>
      <c r="Q9" s="6"/>
      <c r="R9">
        <v>1</v>
      </c>
      <c r="S9">
        <v>25</v>
      </c>
    </row>
    <row r="10" spans="1:20" ht="14.25" customHeight="1">
      <c r="A10" s="6"/>
      <c r="B10" s="6" t="s">
        <v>19</v>
      </c>
      <c r="C10" s="6" t="s">
        <v>1046</v>
      </c>
      <c r="D10" s="6" t="s">
        <v>1047</v>
      </c>
      <c r="E10" s="6">
        <v>12</v>
      </c>
      <c r="F10" s="6" t="s">
        <v>1048</v>
      </c>
      <c r="G10" s="6">
        <v>5</v>
      </c>
      <c r="H10" s="6">
        <v>945</v>
      </c>
      <c r="I10" s="6">
        <v>25</v>
      </c>
      <c r="J10" s="6">
        <f t="shared" si="0"/>
        <v>920</v>
      </c>
      <c r="K10" s="6" t="s">
        <v>35</v>
      </c>
      <c r="L10" s="6" t="s">
        <v>26</v>
      </c>
      <c r="M10" s="6" t="s">
        <v>1031</v>
      </c>
      <c r="N10" s="6"/>
      <c r="O10" s="6"/>
      <c r="P10" s="6"/>
      <c r="Q10" s="6"/>
      <c r="R10">
        <v>1</v>
      </c>
    </row>
    <row r="11" spans="1:20" ht="14.25" customHeight="1">
      <c r="A11" s="6"/>
      <c r="B11" s="6" t="s">
        <v>19</v>
      </c>
      <c r="C11" s="6" t="s">
        <v>1049</v>
      </c>
      <c r="D11" s="6" t="s">
        <v>1050</v>
      </c>
      <c r="E11" s="6" t="s">
        <v>1051</v>
      </c>
      <c r="F11" s="6" t="s">
        <v>111</v>
      </c>
      <c r="G11" s="6">
        <v>10</v>
      </c>
      <c r="H11" s="6">
        <v>405</v>
      </c>
      <c r="I11" s="6">
        <v>25</v>
      </c>
      <c r="J11" s="6">
        <f t="shared" si="0"/>
        <v>380</v>
      </c>
      <c r="K11" s="6" t="s">
        <v>35</v>
      </c>
      <c r="L11" s="6" t="s">
        <v>26</v>
      </c>
      <c r="M11" s="6" t="s">
        <v>1031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1052</v>
      </c>
      <c r="D12" s="6" t="s">
        <v>1053</v>
      </c>
      <c r="E12" s="6" t="s">
        <v>1054</v>
      </c>
      <c r="F12" s="6" t="s">
        <v>1055</v>
      </c>
      <c r="G12" s="6">
        <v>10</v>
      </c>
      <c r="H12" s="6">
        <v>0</v>
      </c>
      <c r="I12" s="6">
        <v>25</v>
      </c>
      <c r="J12" s="6">
        <f t="shared" si="0"/>
        <v>-25</v>
      </c>
      <c r="K12" s="6" t="s">
        <v>35</v>
      </c>
      <c r="L12" s="6" t="s">
        <v>26</v>
      </c>
      <c r="M12" s="6" t="s">
        <v>1031</v>
      </c>
      <c r="N12" s="6"/>
      <c r="O12" s="6"/>
      <c r="P12" s="6"/>
      <c r="Q12" s="6"/>
      <c r="R12">
        <v>1</v>
      </c>
      <c r="S12">
        <v>25</v>
      </c>
    </row>
    <row r="13" spans="1:20" ht="14.25" customHeight="1">
      <c r="A13" s="6"/>
      <c r="B13" s="6" t="s">
        <v>19</v>
      </c>
      <c r="C13" s="6" t="s">
        <v>1056</v>
      </c>
      <c r="D13" s="6" t="s">
        <v>1057</v>
      </c>
      <c r="E13" s="6" t="s">
        <v>1058</v>
      </c>
      <c r="F13" s="6" t="s">
        <v>1059</v>
      </c>
      <c r="G13" s="6" t="s">
        <v>117</v>
      </c>
      <c r="H13" s="6">
        <v>400</v>
      </c>
      <c r="I13" s="6">
        <v>20</v>
      </c>
      <c r="J13" s="6">
        <f t="shared" si="0"/>
        <v>380</v>
      </c>
      <c r="K13" s="6" t="s">
        <v>35</v>
      </c>
      <c r="L13" s="6" t="s">
        <v>26</v>
      </c>
      <c r="M13" s="6" t="s">
        <v>1031</v>
      </c>
      <c r="N13" s="6"/>
      <c r="O13" s="6"/>
      <c r="P13" s="6"/>
      <c r="Q13" s="6"/>
      <c r="R13">
        <v>1</v>
      </c>
    </row>
    <row r="14" spans="1:20" ht="14.25" customHeight="1">
      <c r="A14" s="6"/>
      <c r="B14" s="6" t="s">
        <v>19</v>
      </c>
      <c r="C14" s="6" t="s">
        <v>1060</v>
      </c>
      <c r="D14" s="6" t="s">
        <v>1061</v>
      </c>
      <c r="E14" s="6" t="s">
        <v>1062</v>
      </c>
      <c r="F14" s="6" t="s">
        <v>1063</v>
      </c>
      <c r="G14" s="6" t="s">
        <v>117</v>
      </c>
      <c r="H14" s="6">
        <v>760</v>
      </c>
      <c r="I14" s="6">
        <v>20</v>
      </c>
      <c r="J14" s="6">
        <f t="shared" si="0"/>
        <v>740</v>
      </c>
      <c r="K14" s="6" t="s">
        <v>35</v>
      </c>
      <c r="L14" s="6" t="s">
        <v>26</v>
      </c>
      <c r="M14" s="6" t="s">
        <v>1031</v>
      </c>
      <c r="N14" s="6"/>
      <c r="O14" s="6"/>
      <c r="P14" s="6"/>
      <c r="Q14" s="6"/>
      <c r="R14">
        <v>1</v>
      </c>
    </row>
    <row r="15" spans="1:20" ht="14.25" customHeight="1">
      <c r="A15" s="6" t="s">
        <v>37</v>
      </c>
      <c r="B15" s="6" t="s">
        <v>19</v>
      </c>
      <c r="C15" s="6" t="s">
        <v>1064</v>
      </c>
      <c r="D15" s="6"/>
      <c r="E15" s="6" t="s">
        <v>1065</v>
      </c>
      <c r="F15" s="6" t="s">
        <v>127</v>
      </c>
      <c r="G15" s="6" t="s">
        <v>128</v>
      </c>
      <c r="H15" s="6">
        <v>0</v>
      </c>
      <c r="I15" s="6">
        <v>30</v>
      </c>
      <c r="J15" s="6">
        <f t="shared" si="0"/>
        <v>-30</v>
      </c>
      <c r="K15" s="6" t="s">
        <v>35</v>
      </c>
      <c r="L15" s="6" t="s">
        <v>26</v>
      </c>
      <c r="M15" s="6" t="s">
        <v>1031</v>
      </c>
      <c r="N15" s="6"/>
      <c r="O15" s="6"/>
      <c r="P15" s="6"/>
      <c r="Q15" s="6"/>
      <c r="R15">
        <v>1</v>
      </c>
      <c r="S15">
        <v>30</v>
      </c>
    </row>
    <row r="16" spans="1:20" ht="14.25" customHeight="1">
      <c r="A16" s="6" t="s">
        <v>37</v>
      </c>
      <c r="B16" s="6" t="s">
        <v>19</v>
      </c>
      <c r="C16" s="6" t="s">
        <v>1066</v>
      </c>
      <c r="D16" s="6"/>
      <c r="E16" s="6" t="s">
        <v>1067</v>
      </c>
      <c r="F16" s="6" t="s">
        <v>1068</v>
      </c>
      <c r="G16" s="6" t="s">
        <v>128</v>
      </c>
      <c r="H16" s="6">
        <v>30</v>
      </c>
      <c r="I16" s="6">
        <v>30</v>
      </c>
      <c r="J16" s="6">
        <f t="shared" si="0"/>
        <v>0</v>
      </c>
      <c r="K16" s="6" t="s">
        <v>35</v>
      </c>
      <c r="L16" s="6" t="s">
        <v>26</v>
      </c>
      <c r="M16" s="6" t="s">
        <v>1031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1069</v>
      </c>
      <c r="D17" s="6" t="s">
        <v>1070</v>
      </c>
      <c r="E17" s="6">
        <v>53</v>
      </c>
      <c r="F17" s="6" t="s">
        <v>1071</v>
      </c>
      <c r="G17" s="6" t="s">
        <v>128</v>
      </c>
      <c r="H17" s="6">
        <v>445</v>
      </c>
      <c r="I17" s="6">
        <v>25</v>
      </c>
      <c r="J17" s="6">
        <f t="shared" si="0"/>
        <v>420</v>
      </c>
      <c r="K17" s="6" t="s">
        <v>35</v>
      </c>
      <c r="L17" s="6" t="s">
        <v>26</v>
      </c>
      <c r="M17" s="6" t="s">
        <v>1031</v>
      </c>
      <c r="N17" s="6"/>
      <c r="O17" s="6"/>
      <c r="P17" s="6"/>
      <c r="Q17" s="6"/>
      <c r="R17">
        <v>1</v>
      </c>
    </row>
    <row r="18" spans="1:19" ht="14.25" customHeight="1">
      <c r="A18" s="6" t="s">
        <v>37</v>
      </c>
      <c r="B18" s="6" t="s">
        <v>19</v>
      </c>
      <c r="C18" s="6" t="s">
        <v>896</v>
      </c>
      <c r="D18" s="6"/>
      <c r="E18" s="6" t="s">
        <v>897</v>
      </c>
      <c r="F18" s="6" t="s">
        <v>150</v>
      </c>
      <c r="G18" s="6" t="s">
        <v>128</v>
      </c>
      <c r="H18" s="6">
        <v>0</v>
      </c>
      <c r="I18" s="6">
        <v>25</v>
      </c>
      <c r="J18" s="6">
        <f t="shared" si="0"/>
        <v>-25</v>
      </c>
      <c r="K18" s="6" t="s">
        <v>35</v>
      </c>
      <c r="L18" s="6" t="s">
        <v>26</v>
      </c>
      <c r="M18" s="6" t="s">
        <v>1031</v>
      </c>
      <c r="N18" s="6"/>
      <c r="O18" s="6"/>
      <c r="P18" s="6"/>
      <c r="Q18" s="6"/>
      <c r="R18">
        <v>1</v>
      </c>
      <c r="S18">
        <v>25</v>
      </c>
    </row>
    <row r="19" spans="1:19" ht="14.25" customHeight="1">
      <c r="A19" s="6"/>
      <c r="B19" s="6" t="s">
        <v>19</v>
      </c>
      <c r="C19" s="6" t="s">
        <v>1072</v>
      </c>
      <c r="D19" s="6" t="s">
        <v>1073</v>
      </c>
      <c r="E19" s="6">
        <v>491</v>
      </c>
      <c r="F19" s="6" t="s">
        <v>701</v>
      </c>
      <c r="G19" s="6">
        <v>6</v>
      </c>
      <c r="H19" s="6">
        <v>445</v>
      </c>
      <c r="I19" s="6">
        <v>25</v>
      </c>
      <c r="J19" s="6">
        <f t="shared" si="0"/>
        <v>420</v>
      </c>
      <c r="K19" s="6" t="s">
        <v>1074</v>
      </c>
      <c r="L19" s="6" t="s">
        <v>26</v>
      </c>
      <c r="M19" s="6" t="s">
        <v>1031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1075</v>
      </c>
      <c r="D20" s="6" t="s">
        <v>1076</v>
      </c>
      <c r="E20" s="6" t="s">
        <v>1077</v>
      </c>
      <c r="F20" s="6" t="s">
        <v>1078</v>
      </c>
      <c r="G20" s="6">
        <v>7</v>
      </c>
      <c r="H20" s="6">
        <v>0</v>
      </c>
      <c r="I20" s="6">
        <v>25</v>
      </c>
      <c r="J20" s="6">
        <f t="shared" si="0"/>
        <v>-25</v>
      </c>
      <c r="K20" s="6" t="s">
        <v>1074</v>
      </c>
      <c r="L20" s="6" t="s">
        <v>26</v>
      </c>
      <c r="M20" s="6" t="s">
        <v>1031</v>
      </c>
      <c r="N20" s="7" t="s">
        <v>1079</v>
      </c>
      <c r="O20" s="6"/>
      <c r="P20" s="6"/>
      <c r="Q20" s="6"/>
      <c r="R20">
        <v>1</v>
      </c>
      <c r="S20">
        <v>25</v>
      </c>
    </row>
    <row r="21" spans="1:19" ht="14.25" customHeight="1">
      <c r="A21" s="6"/>
      <c r="B21" s="6" t="s">
        <v>19</v>
      </c>
      <c r="C21" s="6" t="s">
        <v>1080</v>
      </c>
      <c r="D21" s="6" t="s">
        <v>1081</v>
      </c>
      <c r="E21" s="6">
        <v>25</v>
      </c>
      <c r="F21" s="6" t="s">
        <v>277</v>
      </c>
      <c r="G21" s="6">
        <v>7</v>
      </c>
      <c r="H21" s="6">
        <v>765</v>
      </c>
      <c r="I21" s="6">
        <v>25</v>
      </c>
      <c r="J21" s="6">
        <f t="shared" si="0"/>
        <v>740</v>
      </c>
      <c r="K21" s="6" t="s">
        <v>1074</v>
      </c>
      <c r="L21" s="6" t="s">
        <v>26</v>
      </c>
      <c r="M21" s="6" t="s">
        <v>1031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354</v>
      </c>
      <c r="D22" s="6" t="s">
        <v>1082</v>
      </c>
      <c r="E22" s="6" t="s">
        <v>1083</v>
      </c>
      <c r="F22" s="6" t="s">
        <v>313</v>
      </c>
      <c r="G22" s="6">
        <v>7</v>
      </c>
      <c r="H22" s="6">
        <v>1005</v>
      </c>
      <c r="I22" s="6">
        <v>25</v>
      </c>
      <c r="J22" s="6">
        <f t="shared" si="0"/>
        <v>980</v>
      </c>
      <c r="K22" s="6" t="s">
        <v>1074</v>
      </c>
      <c r="L22" s="6" t="s">
        <v>26</v>
      </c>
      <c r="M22" s="6" t="s">
        <v>1031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1084</v>
      </c>
      <c r="D23" s="6" t="s">
        <v>1085</v>
      </c>
      <c r="E23" s="6" t="s">
        <v>1086</v>
      </c>
      <c r="F23" s="6" t="s">
        <v>1087</v>
      </c>
      <c r="G23" s="6">
        <v>7</v>
      </c>
      <c r="H23" s="6">
        <v>795</v>
      </c>
      <c r="I23" s="6">
        <v>25</v>
      </c>
      <c r="J23" s="6">
        <f t="shared" si="0"/>
        <v>770</v>
      </c>
      <c r="K23" s="6" t="s">
        <v>1074</v>
      </c>
      <c r="L23" s="6" t="s">
        <v>26</v>
      </c>
      <c r="M23" s="6" t="s">
        <v>1031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1088</v>
      </c>
      <c r="D24" s="6" t="s">
        <v>1089</v>
      </c>
      <c r="E24" s="6">
        <v>855</v>
      </c>
      <c r="F24" s="6" t="s">
        <v>537</v>
      </c>
      <c r="G24" s="6">
        <v>7</v>
      </c>
      <c r="H24" s="6">
        <v>725</v>
      </c>
      <c r="I24" s="6">
        <v>25</v>
      </c>
      <c r="J24" s="6">
        <f t="shared" si="0"/>
        <v>700</v>
      </c>
      <c r="K24" s="6" t="s">
        <v>1074</v>
      </c>
      <c r="L24" s="6" t="s">
        <v>26</v>
      </c>
      <c r="M24" s="6" t="s">
        <v>1031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1090</v>
      </c>
      <c r="D25" s="6" t="s">
        <v>1091</v>
      </c>
      <c r="E25" s="6">
        <v>340</v>
      </c>
      <c r="F25" s="6" t="s">
        <v>1092</v>
      </c>
      <c r="G25" s="6">
        <v>8</v>
      </c>
      <c r="H25" s="6">
        <v>585</v>
      </c>
      <c r="I25" s="6">
        <v>25</v>
      </c>
      <c r="J25" s="6">
        <f t="shared" si="0"/>
        <v>560</v>
      </c>
      <c r="K25" s="6" t="s">
        <v>1074</v>
      </c>
      <c r="L25" s="6" t="s">
        <v>26</v>
      </c>
      <c r="M25" s="6" t="s">
        <v>1031</v>
      </c>
      <c r="N25" s="6"/>
      <c r="O25" s="6"/>
      <c r="P25" s="6"/>
      <c r="Q25" s="6"/>
      <c r="R25">
        <v>1</v>
      </c>
    </row>
    <row r="26" spans="1:19" ht="14.25" customHeight="1">
      <c r="A26" s="5"/>
      <c r="B26" s="5" t="s">
        <v>19</v>
      </c>
      <c r="C26" s="5" t="s">
        <v>326</v>
      </c>
      <c r="D26" s="5" t="s">
        <v>1093</v>
      </c>
      <c r="E26" s="5">
        <v>20</v>
      </c>
      <c r="F26" s="5" t="s">
        <v>328</v>
      </c>
      <c r="G26" s="5">
        <v>8</v>
      </c>
      <c r="H26" s="5">
        <v>0</v>
      </c>
      <c r="I26" s="5">
        <v>30</v>
      </c>
      <c r="J26" s="5">
        <f t="shared" si="0"/>
        <v>-30</v>
      </c>
      <c r="K26" s="5" t="s">
        <v>1074</v>
      </c>
      <c r="L26" s="5" t="s">
        <v>26</v>
      </c>
      <c r="M26" s="5" t="s">
        <v>1031</v>
      </c>
      <c r="N26" s="5" t="s">
        <v>177</v>
      </c>
      <c r="O26" s="5"/>
      <c r="P26" s="5"/>
      <c r="Q26" s="5"/>
      <c r="R26">
        <v>1</v>
      </c>
      <c r="S26">
        <v>30</v>
      </c>
    </row>
    <row r="27" spans="1:19" ht="14.25" customHeight="1">
      <c r="A27" s="6"/>
      <c r="B27" s="6" t="s">
        <v>19</v>
      </c>
      <c r="C27" s="6" t="s">
        <v>1094</v>
      </c>
      <c r="D27" s="6" t="s">
        <v>1095</v>
      </c>
      <c r="E27" s="6" t="s">
        <v>1096</v>
      </c>
      <c r="F27" s="6" t="s">
        <v>1097</v>
      </c>
      <c r="G27" s="6">
        <v>8</v>
      </c>
      <c r="H27" s="6">
        <v>765</v>
      </c>
      <c r="I27" s="6">
        <v>25</v>
      </c>
      <c r="J27" s="6">
        <f t="shared" si="0"/>
        <v>740</v>
      </c>
      <c r="K27" s="6" t="s">
        <v>1074</v>
      </c>
      <c r="L27" s="6" t="s">
        <v>26</v>
      </c>
      <c r="M27" s="6" t="s">
        <v>1031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1098</v>
      </c>
      <c r="D28" s="6" t="s">
        <v>1099</v>
      </c>
      <c r="E28" s="6">
        <v>3</v>
      </c>
      <c r="F28" s="6" t="s">
        <v>1100</v>
      </c>
      <c r="G28" s="6">
        <v>11</v>
      </c>
      <c r="H28" s="6">
        <v>765</v>
      </c>
      <c r="I28" s="6">
        <v>25</v>
      </c>
      <c r="J28" s="6">
        <f t="shared" si="0"/>
        <v>740</v>
      </c>
      <c r="K28" s="6" t="s">
        <v>1074</v>
      </c>
      <c r="L28" s="6" t="s">
        <v>26</v>
      </c>
      <c r="M28" s="6" t="s">
        <v>1031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1101</v>
      </c>
      <c r="D29" s="6" t="s">
        <v>1102</v>
      </c>
      <c r="E29" s="6">
        <v>134</v>
      </c>
      <c r="F29" s="6" t="s">
        <v>1103</v>
      </c>
      <c r="G29" s="6">
        <v>11</v>
      </c>
      <c r="H29" s="6">
        <v>715</v>
      </c>
      <c r="I29" s="6">
        <v>25</v>
      </c>
      <c r="J29" s="6">
        <f t="shared" si="0"/>
        <v>690</v>
      </c>
      <c r="K29" s="6" t="s">
        <v>1074</v>
      </c>
      <c r="L29" s="6" t="s">
        <v>26</v>
      </c>
      <c r="M29" s="6" t="s">
        <v>1031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1104</v>
      </c>
      <c r="D30" s="6" t="s">
        <v>1105</v>
      </c>
      <c r="E30" s="6">
        <v>287</v>
      </c>
      <c r="F30" s="6" t="s">
        <v>22</v>
      </c>
      <c r="G30" s="6">
        <v>12</v>
      </c>
      <c r="H30" s="6">
        <v>730</v>
      </c>
      <c r="I30" s="6">
        <v>30</v>
      </c>
      <c r="J30" s="6">
        <f t="shared" si="0"/>
        <v>700</v>
      </c>
      <c r="K30" s="6" t="s">
        <v>1074</v>
      </c>
      <c r="L30" s="6" t="s">
        <v>26</v>
      </c>
      <c r="M30" s="6" t="s">
        <v>1031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364</v>
      </c>
      <c r="D31" s="6" t="s">
        <v>1106</v>
      </c>
      <c r="E31" s="6" t="s">
        <v>1107</v>
      </c>
      <c r="F31" s="6" t="s">
        <v>1108</v>
      </c>
      <c r="G31" s="6">
        <v>12</v>
      </c>
      <c r="H31" s="6">
        <v>0</v>
      </c>
      <c r="I31" s="6">
        <v>30</v>
      </c>
      <c r="J31" s="6">
        <f t="shared" si="0"/>
        <v>-30</v>
      </c>
      <c r="K31" s="6" t="s">
        <v>1074</v>
      </c>
      <c r="L31" s="6" t="s">
        <v>26</v>
      </c>
      <c r="M31" s="6" t="s">
        <v>1031</v>
      </c>
      <c r="N31" s="6"/>
      <c r="O31" s="6"/>
      <c r="P31" s="6"/>
      <c r="Q31" s="6"/>
      <c r="R31">
        <v>1</v>
      </c>
      <c r="S31">
        <v>30</v>
      </c>
    </row>
    <row r="32" spans="1:19" ht="14.25" customHeight="1">
      <c r="A32" s="6"/>
      <c r="B32" s="6" t="s">
        <v>19</v>
      </c>
      <c r="C32" s="6" t="s">
        <v>565</v>
      </c>
      <c r="D32" s="6" t="s">
        <v>1109</v>
      </c>
      <c r="E32" s="6" t="s">
        <v>567</v>
      </c>
      <c r="F32" s="6" t="s">
        <v>568</v>
      </c>
      <c r="G32" s="6" t="s">
        <v>385</v>
      </c>
      <c r="H32" s="6">
        <v>1000</v>
      </c>
      <c r="I32" s="6">
        <v>30</v>
      </c>
      <c r="J32" s="6">
        <f t="shared" si="0"/>
        <v>970</v>
      </c>
      <c r="K32" s="6" t="s">
        <v>1074</v>
      </c>
      <c r="L32" s="6" t="s">
        <v>26</v>
      </c>
      <c r="M32" s="6" t="s">
        <v>1031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1110</v>
      </c>
      <c r="D33" s="6" t="s">
        <v>1111</v>
      </c>
      <c r="E33" s="6" t="s">
        <v>1112</v>
      </c>
      <c r="F33" s="6" t="s">
        <v>1113</v>
      </c>
      <c r="G33" s="6" t="s">
        <v>128</v>
      </c>
      <c r="H33" s="6">
        <v>0</v>
      </c>
      <c r="I33" s="6">
        <v>25</v>
      </c>
      <c r="J33" s="6">
        <f t="shared" si="0"/>
        <v>-25</v>
      </c>
      <c r="K33" s="6" t="s">
        <v>1074</v>
      </c>
      <c r="L33" s="6" t="s">
        <v>26</v>
      </c>
      <c r="M33" s="6" t="s">
        <v>1031</v>
      </c>
      <c r="N33" s="6"/>
      <c r="O33" s="6"/>
      <c r="P33" s="6"/>
      <c r="Q33" s="6"/>
      <c r="R33">
        <v>1</v>
      </c>
      <c r="S33">
        <v>25</v>
      </c>
    </row>
    <row r="34" spans="1:19" ht="14.25" customHeight="1">
      <c r="A34" s="6"/>
      <c r="B34" s="6" t="s">
        <v>19</v>
      </c>
      <c r="C34" s="6" t="s">
        <v>1114</v>
      </c>
      <c r="D34" s="6" t="s">
        <v>1115</v>
      </c>
      <c r="E34" s="6" t="s">
        <v>1116</v>
      </c>
      <c r="F34" s="6" t="s">
        <v>1078</v>
      </c>
      <c r="G34" s="6" t="s">
        <v>430</v>
      </c>
      <c r="H34" s="6">
        <v>765</v>
      </c>
      <c r="I34" s="6">
        <v>25</v>
      </c>
      <c r="J34" s="6">
        <f t="shared" si="0"/>
        <v>740</v>
      </c>
      <c r="K34" s="6" t="s">
        <v>1074</v>
      </c>
      <c r="L34" s="6" t="s">
        <v>26</v>
      </c>
      <c r="M34" s="6" t="s">
        <v>1031</v>
      </c>
      <c r="N34" s="6"/>
      <c r="O34" s="6"/>
      <c r="P34" s="6"/>
      <c r="Q34" s="6"/>
      <c r="R34">
        <v>1</v>
      </c>
    </row>
    <row r="35" spans="1:19" ht="14.25" customHeight="1">
      <c r="A35" s="6"/>
      <c r="B35" s="6" t="s">
        <v>19</v>
      </c>
      <c r="C35" s="6" t="s">
        <v>1117</v>
      </c>
      <c r="D35" s="6" t="s">
        <v>1118</v>
      </c>
      <c r="E35" s="6" t="s">
        <v>1119</v>
      </c>
      <c r="F35" s="6" t="s">
        <v>1120</v>
      </c>
      <c r="G35" s="6" t="s">
        <v>430</v>
      </c>
      <c r="H35" s="6">
        <v>1585</v>
      </c>
      <c r="I35" s="6">
        <v>25</v>
      </c>
      <c r="J35" s="6">
        <f t="shared" si="0"/>
        <v>1560</v>
      </c>
      <c r="K35" s="6" t="s">
        <v>1074</v>
      </c>
      <c r="L35" s="6" t="s">
        <v>26</v>
      </c>
      <c r="M35" s="6" t="s">
        <v>1031</v>
      </c>
      <c r="N35" s="6"/>
      <c r="O35" s="6"/>
      <c r="P35" s="6"/>
      <c r="Q35" s="6"/>
      <c r="R35">
        <v>1</v>
      </c>
    </row>
    <row r="36" spans="1:19" ht="14.25" customHeight="1">
      <c r="A36" s="6"/>
      <c r="B36" s="6" t="s">
        <v>19</v>
      </c>
      <c r="C36" s="6" t="s">
        <v>1121</v>
      </c>
      <c r="D36" s="6" t="s">
        <v>1122</v>
      </c>
      <c r="E36" s="6" t="s">
        <v>1123</v>
      </c>
      <c r="F36" s="6" t="s">
        <v>1124</v>
      </c>
      <c r="G36" s="6" t="s">
        <v>430</v>
      </c>
      <c r="H36" s="6">
        <v>405</v>
      </c>
      <c r="I36" s="6">
        <v>25</v>
      </c>
      <c r="J36" s="6">
        <f t="shared" si="0"/>
        <v>380</v>
      </c>
      <c r="K36" s="6" t="s">
        <v>1074</v>
      </c>
      <c r="L36" s="6" t="s">
        <v>26</v>
      </c>
      <c r="M36" s="6" t="s">
        <v>1031</v>
      </c>
      <c r="N36" s="6"/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1125</v>
      </c>
      <c r="D37" s="6" t="s">
        <v>1126</v>
      </c>
      <c r="E37" s="6" t="s">
        <v>1127</v>
      </c>
      <c r="F37" s="6" t="s">
        <v>1128</v>
      </c>
      <c r="G37" s="6">
        <v>2</v>
      </c>
      <c r="H37" s="6">
        <v>860</v>
      </c>
      <c r="I37" s="6">
        <v>30</v>
      </c>
      <c r="J37" s="6">
        <f t="shared" si="0"/>
        <v>830</v>
      </c>
      <c r="K37" s="6" t="s">
        <v>26</v>
      </c>
      <c r="L37" s="6" t="s">
        <v>26</v>
      </c>
      <c r="M37" s="6" t="s">
        <v>1031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1129</v>
      </c>
      <c r="D38" s="6" t="s">
        <v>1130</v>
      </c>
      <c r="E38" s="6" t="s">
        <v>1131</v>
      </c>
      <c r="F38" s="6" t="s">
        <v>90</v>
      </c>
      <c r="G38" s="6" t="s">
        <v>181</v>
      </c>
      <c r="H38" s="6">
        <v>810</v>
      </c>
      <c r="I38" s="6">
        <v>20</v>
      </c>
      <c r="J38" s="6">
        <f t="shared" si="0"/>
        <v>790</v>
      </c>
      <c r="K38" s="6" t="s">
        <v>26</v>
      </c>
      <c r="L38" s="6" t="s">
        <v>26</v>
      </c>
      <c r="M38" s="6" t="s">
        <v>1031</v>
      </c>
      <c r="N38" s="6"/>
      <c r="O38" s="6"/>
      <c r="P38" s="6"/>
      <c r="Q38" s="6"/>
      <c r="R38">
        <v>1</v>
      </c>
    </row>
    <row r="39" spans="1:19" ht="14.25" customHeight="1">
      <c r="A39" s="6" t="s">
        <v>37</v>
      </c>
      <c r="B39" s="6" t="s">
        <v>19</v>
      </c>
      <c r="C39" s="6" t="s">
        <v>209</v>
      </c>
      <c r="D39" s="6"/>
      <c r="E39" s="6" t="s">
        <v>210</v>
      </c>
      <c r="F39" s="6" t="s">
        <v>211</v>
      </c>
      <c r="G39" s="6" t="s">
        <v>181</v>
      </c>
      <c r="H39" s="6">
        <v>20</v>
      </c>
      <c r="I39" s="6">
        <v>20</v>
      </c>
      <c r="J39" s="6">
        <f t="shared" si="0"/>
        <v>0</v>
      </c>
      <c r="K39" s="6" t="s">
        <v>26</v>
      </c>
      <c r="L39" s="6" t="s">
        <v>26</v>
      </c>
      <c r="M39" s="6" t="s">
        <v>1031</v>
      </c>
      <c r="N39" s="6"/>
      <c r="O39" s="6"/>
      <c r="P39" s="6"/>
      <c r="Q39" s="6"/>
      <c r="R39">
        <v>1</v>
      </c>
    </row>
    <row r="40" spans="1:19" ht="14.25" customHeight="1">
      <c r="A40" s="6"/>
      <c r="B40" s="6" t="s">
        <v>19</v>
      </c>
      <c r="C40" s="6" t="s">
        <v>1132</v>
      </c>
      <c r="D40" s="6" t="s">
        <v>1133</v>
      </c>
      <c r="E40" s="6">
        <v>92</v>
      </c>
      <c r="F40" s="6" t="s">
        <v>1134</v>
      </c>
      <c r="G40" s="6" t="s">
        <v>181</v>
      </c>
      <c r="H40" s="6">
        <v>900</v>
      </c>
      <c r="I40" s="6">
        <v>20</v>
      </c>
      <c r="J40" s="6">
        <f t="shared" si="0"/>
        <v>880</v>
      </c>
      <c r="K40" s="6" t="s">
        <v>26</v>
      </c>
      <c r="L40" s="6" t="s">
        <v>26</v>
      </c>
      <c r="M40" s="6" t="s">
        <v>1031</v>
      </c>
      <c r="N40" s="6"/>
      <c r="O40" s="6"/>
      <c r="P40" s="6"/>
      <c r="Q40" s="6"/>
      <c r="R40">
        <v>1</v>
      </c>
    </row>
    <row r="41" spans="1:19" ht="14.25" customHeight="1">
      <c r="A41" s="6"/>
      <c r="B41" s="6" t="s">
        <v>19</v>
      </c>
      <c r="C41" s="6" t="s">
        <v>1135</v>
      </c>
      <c r="D41" s="6" t="s">
        <v>1136</v>
      </c>
      <c r="E41" s="6" t="s">
        <v>1137</v>
      </c>
      <c r="F41" s="6" t="s">
        <v>775</v>
      </c>
      <c r="G41" s="6" t="s">
        <v>181</v>
      </c>
      <c r="H41" s="6">
        <v>400</v>
      </c>
      <c r="I41" s="6">
        <v>20</v>
      </c>
      <c r="J41" s="6">
        <f t="shared" si="0"/>
        <v>380</v>
      </c>
      <c r="K41" s="6" t="s">
        <v>26</v>
      </c>
      <c r="L41" s="6" t="s">
        <v>26</v>
      </c>
      <c r="M41" s="6" t="s">
        <v>1031</v>
      </c>
      <c r="N41" s="6"/>
      <c r="O41" s="6"/>
      <c r="P41" s="6"/>
      <c r="Q41" s="6"/>
      <c r="R41">
        <v>1</v>
      </c>
    </row>
    <row r="42" spans="1:19" ht="14.25" customHeight="1">
      <c r="A42" s="5"/>
      <c r="B42" s="5" t="s">
        <v>19</v>
      </c>
      <c r="C42" s="5" t="s">
        <v>1138</v>
      </c>
      <c r="D42" s="5" t="s">
        <v>1139</v>
      </c>
      <c r="E42" s="5" t="s">
        <v>1140</v>
      </c>
      <c r="F42" s="5" t="s">
        <v>63</v>
      </c>
      <c r="G42" s="5" t="s">
        <v>181</v>
      </c>
      <c r="H42" s="5">
        <v>2830</v>
      </c>
      <c r="I42" s="5">
        <v>25</v>
      </c>
      <c r="J42" s="5">
        <f t="shared" si="0"/>
        <v>2805</v>
      </c>
      <c r="K42" s="5" t="s">
        <v>26</v>
      </c>
      <c r="L42" s="5" t="s">
        <v>26</v>
      </c>
      <c r="M42" s="5" t="s">
        <v>1031</v>
      </c>
      <c r="N42" s="5" t="s">
        <v>36</v>
      </c>
      <c r="O42" s="5"/>
      <c r="P42" s="5"/>
      <c r="Q42" s="5"/>
      <c r="R42">
        <v>1</v>
      </c>
      <c r="S42">
        <v>25</v>
      </c>
    </row>
    <row r="43" spans="1:19" ht="14.25" customHeight="1">
      <c r="A43" s="6"/>
      <c r="B43" s="6" t="s">
        <v>19</v>
      </c>
      <c r="C43" s="6" t="s">
        <v>1141</v>
      </c>
      <c r="D43" s="6" t="s">
        <v>1142</v>
      </c>
      <c r="E43" s="6">
        <v>24</v>
      </c>
      <c r="F43" s="6" t="s">
        <v>1143</v>
      </c>
      <c r="G43" s="6" t="s">
        <v>181</v>
      </c>
      <c r="H43" s="6">
        <v>760</v>
      </c>
      <c r="I43" s="6">
        <v>20</v>
      </c>
      <c r="J43" s="6">
        <f t="shared" si="0"/>
        <v>740</v>
      </c>
      <c r="K43" s="6" t="s">
        <v>26</v>
      </c>
      <c r="L43" s="6" t="s">
        <v>26</v>
      </c>
      <c r="M43" s="6" t="s">
        <v>1031</v>
      </c>
      <c r="N43" s="6"/>
      <c r="O43" s="6"/>
      <c r="P43" s="6"/>
      <c r="Q43" s="6"/>
      <c r="R43">
        <v>1</v>
      </c>
    </row>
    <row r="44" spans="1:19" ht="14.25" customHeight="1">
      <c r="A44" s="6"/>
      <c r="B44" s="6" t="s">
        <v>19</v>
      </c>
      <c r="C44" s="6" t="s">
        <v>1144</v>
      </c>
      <c r="D44" s="6" t="s">
        <v>1145</v>
      </c>
      <c r="E44" s="6" t="s">
        <v>1146</v>
      </c>
      <c r="F44" s="6" t="s">
        <v>234</v>
      </c>
      <c r="G44" s="6" t="s">
        <v>220</v>
      </c>
      <c r="H44" s="6">
        <v>915</v>
      </c>
      <c r="I44" s="6">
        <v>25</v>
      </c>
      <c r="J44" s="6">
        <f t="shared" si="0"/>
        <v>890</v>
      </c>
      <c r="K44" s="6" t="s">
        <v>26</v>
      </c>
      <c r="L44" s="6" t="s">
        <v>26</v>
      </c>
      <c r="M44" s="6" t="s">
        <v>1031</v>
      </c>
      <c r="N44" s="6"/>
      <c r="O44" s="6"/>
      <c r="P44" s="6"/>
      <c r="Q44" s="6"/>
      <c r="R44">
        <v>1</v>
      </c>
    </row>
    <row r="45" spans="1:19" ht="14.25" customHeight="1">
      <c r="A45" s="5"/>
      <c r="B45" s="5" t="s">
        <v>19</v>
      </c>
      <c r="C45" s="5" t="s">
        <v>1147</v>
      </c>
      <c r="D45" s="5" t="s">
        <v>1148</v>
      </c>
      <c r="E45" s="5" t="s">
        <v>1149</v>
      </c>
      <c r="F45" s="5" t="s">
        <v>384</v>
      </c>
      <c r="G45" s="5" t="s">
        <v>250</v>
      </c>
      <c r="H45" s="5">
        <v>100</v>
      </c>
      <c r="I45" s="5">
        <v>30</v>
      </c>
      <c r="J45" s="5">
        <f t="shared" si="0"/>
        <v>70</v>
      </c>
      <c r="K45" s="5" t="s">
        <v>26</v>
      </c>
      <c r="L45" s="5" t="s">
        <v>26</v>
      </c>
      <c r="M45" s="5" t="s">
        <v>1031</v>
      </c>
      <c r="N45" s="5" t="s">
        <v>1150</v>
      </c>
      <c r="O45" s="5"/>
      <c r="P45" s="5"/>
      <c r="Q45" s="5"/>
      <c r="R45">
        <v>1</v>
      </c>
      <c r="S45">
        <v>30</v>
      </c>
    </row>
    <row r="46" spans="1:19" ht="14.25" customHeight="1">
      <c r="A46" s="6"/>
      <c r="B46" s="6" t="s">
        <v>19</v>
      </c>
      <c r="C46" s="6" t="s">
        <v>1151</v>
      </c>
      <c r="D46" s="6" t="s">
        <v>1152</v>
      </c>
      <c r="E46" s="6" t="s">
        <v>1153</v>
      </c>
      <c r="F46" s="6" t="s">
        <v>629</v>
      </c>
      <c r="G46" s="6" t="s">
        <v>250</v>
      </c>
      <c r="H46" s="6">
        <v>770</v>
      </c>
      <c r="I46" s="6">
        <v>30</v>
      </c>
      <c r="J46" s="6">
        <f t="shared" si="0"/>
        <v>740</v>
      </c>
      <c r="K46" s="6" t="s">
        <v>26</v>
      </c>
      <c r="L46" s="6" t="s">
        <v>26</v>
      </c>
      <c r="M46" s="6" t="s">
        <v>1031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1154</v>
      </c>
      <c r="D47" s="6" t="s">
        <v>1155</v>
      </c>
      <c r="E47" s="6" t="s">
        <v>1156</v>
      </c>
      <c r="F47" s="6" t="s">
        <v>1157</v>
      </c>
      <c r="G47" s="6" t="s">
        <v>250</v>
      </c>
      <c r="H47" s="6">
        <v>800</v>
      </c>
      <c r="I47" s="6">
        <v>30</v>
      </c>
      <c r="J47" s="6">
        <f t="shared" si="0"/>
        <v>770</v>
      </c>
      <c r="K47" s="6" t="s">
        <v>26</v>
      </c>
      <c r="L47" s="6" t="s">
        <v>26</v>
      </c>
      <c r="M47" s="6" t="s">
        <v>1031</v>
      </c>
      <c r="N47" s="6"/>
      <c r="O47" s="6"/>
      <c r="P47" s="6"/>
      <c r="Q47" s="6"/>
      <c r="R47">
        <v>1</v>
      </c>
    </row>
    <row r="48" spans="1:19" ht="14.25" customHeight="1">
      <c r="A48" s="6"/>
      <c r="B48" s="6" t="s">
        <v>19</v>
      </c>
      <c r="C48" s="6" t="s">
        <v>1158</v>
      </c>
      <c r="D48" s="6" t="s">
        <v>1159</v>
      </c>
      <c r="E48" s="6" t="s">
        <v>1160</v>
      </c>
      <c r="F48" s="6" t="s">
        <v>1161</v>
      </c>
      <c r="G48" s="6">
        <v>9</v>
      </c>
      <c r="H48" s="6">
        <v>470</v>
      </c>
      <c r="I48" s="6">
        <v>30</v>
      </c>
      <c r="J48" s="6">
        <f t="shared" si="0"/>
        <v>440</v>
      </c>
      <c r="K48" s="6" t="s">
        <v>197</v>
      </c>
      <c r="L48" s="6" t="s">
        <v>26</v>
      </c>
      <c r="M48" s="6" t="s">
        <v>1031</v>
      </c>
      <c r="N48" s="6"/>
      <c r="O48" s="6"/>
      <c r="P48" s="6"/>
      <c r="Q48" s="6"/>
      <c r="R48">
        <v>1</v>
      </c>
    </row>
    <row r="49" spans="1:20" ht="14.25" customHeight="1"/>
    <row r="50" spans="1:20" ht="14.25" customHeight="1">
      <c r="H50">
        <f t="shared" ref="H50:T50" si="1">SUBTOTAL(9,H3:H49)</f>
        <v>26738</v>
      </c>
      <c r="I50">
        <f t="shared" si="1"/>
        <v>1150</v>
      </c>
      <c r="J50">
        <f t="shared" si="1"/>
        <v>25588</v>
      </c>
      <c r="K50">
        <f t="shared" si="1"/>
        <v>0</v>
      </c>
      <c r="L50">
        <f t="shared" si="1"/>
        <v>0</v>
      </c>
      <c r="M50">
        <f t="shared" si="1"/>
        <v>0</v>
      </c>
      <c r="N50">
        <f t="shared" si="1"/>
        <v>0</v>
      </c>
      <c r="O50">
        <f t="shared" si="1"/>
        <v>0</v>
      </c>
      <c r="P50">
        <f t="shared" si="1"/>
        <v>0</v>
      </c>
      <c r="Q50">
        <f t="shared" si="1"/>
        <v>0</v>
      </c>
      <c r="R50">
        <f t="shared" si="1"/>
        <v>46</v>
      </c>
      <c r="S50">
        <f t="shared" si="1"/>
        <v>320</v>
      </c>
      <c r="T50">
        <f t="shared" si="1"/>
        <v>132</v>
      </c>
    </row>
    <row r="51" spans="1:20" ht="14.25" customHeight="1">
      <c r="J51">
        <v>-380</v>
      </c>
      <c r="K51" t="s">
        <v>1162</v>
      </c>
    </row>
    <row r="52" spans="1:20" ht="14.25" customHeight="1"/>
    <row r="53" spans="1:20" ht="14.25" customHeight="1"/>
    <row r="54" spans="1:20" ht="20.25" customHeight="1">
      <c r="I54" s="8" t="s">
        <v>1163</v>
      </c>
      <c r="J54" s="9" t="s">
        <v>434</v>
      </c>
      <c r="K54" s="10" t="s">
        <v>435</v>
      </c>
    </row>
    <row r="55" spans="1:20" ht="14.25" customHeight="1">
      <c r="I55" s="11" t="s">
        <v>436</v>
      </c>
      <c r="J55" s="12">
        <f>SUM(J49:J53)</f>
        <v>25208</v>
      </c>
      <c r="K55" s="12">
        <f>R50</f>
        <v>46</v>
      </c>
    </row>
    <row r="56" spans="1:20" ht="14.25" customHeight="1">
      <c r="I56" s="13" t="s">
        <v>437</v>
      </c>
      <c r="J56" s="14">
        <f>S49</f>
        <v>0</v>
      </c>
      <c r="K56" s="15"/>
    </row>
    <row r="57" spans="1:20" ht="14.25" customHeight="1">
      <c r="I57" s="13" t="s">
        <v>438</v>
      </c>
      <c r="J57" s="14">
        <f>T49</f>
        <v>0</v>
      </c>
      <c r="K57" s="15"/>
    </row>
    <row r="58" spans="1:20" ht="14.25" customHeight="1">
      <c r="I58" s="13" t="s">
        <v>439</v>
      </c>
      <c r="J58" s="14">
        <f>U49</f>
        <v>0</v>
      </c>
      <c r="K58" s="15"/>
    </row>
    <row r="59" spans="1:20" ht="14.25" customHeight="1">
      <c r="I59" s="13" t="s">
        <v>440</v>
      </c>
      <c r="J59" s="14">
        <f>V49</f>
        <v>0</v>
      </c>
      <c r="K59" s="15"/>
    </row>
    <row r="60" spans="1:20" ht="14.25" customHeight="1">
      <c r="I60" s="16" t="s">
        <v>441</v>
      </c>
      <c r="J60" s="17"/>
      <c r="K60" s="17"/>
    </row>
    <row r="61" spans="1:20" ht="14.25" customHeight="1">
      <c r="I61" s="18" t="s">
        <v>442</v>
      </c>
      <c r="J61" s="17"/>
      <c r="K61" s="17"/>
    </row>
    <row r="62" spans="1:20" ht="14.25" customHeight="1">
      <c r="I62" s="19" t="s">
        <v>443</v>
      </c>
      <c r="J62" s="20">
        <f>SUM(J55:J61)</f>
        <v>25208</v>
      </c>
      <c r="K62" s="20">
        <f>SUM(K55:K59)</f>
        <v>46</v>
      </c>
    </row>
    <row r="63" spans="1:20" ht="14.25" customHeight="1"/>
    <row r="64" spans="1:20" ht="14.25" customHeight="1">
      <c r="A64" t="s">
        <v>1164</v>
      </c>
    </row>
    <row r="65" spans="1:20" ht="14.25" customHeight="1">
      <c r="A65" s="2" t="s">
        <v>19</v>
      </c>
      <c r="B65" s="2" t="s">
        <v>1075</v>
      </c>
      <c r="C65" s="2" t="s">
        <v>1076</v>
      </c>
      <c r="D65" s="2" t="s">
        <v>1077</v>
      </c>
      <c r="E65" s="2" t="s">
        <v>1078</v>
      </c>
      <c r="F65" s="2">
        <v>7</v>
      </c>
      <c r="G65" s="2">
        <v>795</v>
      </c>
      <c r="H65" s="2">
        <v>0</v>
      </c>
      <c r="I65" s="2">
        <f>G65-H65</f>
        <v>795</v>
      </c>
      <c r="J65" s="2" t="s">
        <v>1074</v>
      </c>
      <c r="K65" s="2" t="s">
        <v>26</v>
      </c>
      <c r="L65" s="2" t="s">
        <v>1031</v>
      </c>
      <c r="M65" s="3" t="s">
        <v>1079</v>
      </c>
      <c r="N65" s="4"/>
      <c r="O65" s="4"/>
      <c r="P65" s="4"/>
      <c r="Q65" s="4"/>
      <c r="R65" s="4"/>
      <c r="S65" s="4"/>
      <c r="T65" s="4"/>
    </row>
    <row r="66" spans="1:20" ht="14.25" customHeight="1"/>
    <row r="67" spans="1:20" ht="14.25" customHeight="1"/>
    <row r="68" spans="1:20" ht="14.25" customHeight="1"/>
    <row r="69" spans="1:20" ht="14.25" customHeight="1"/>
    <row r="70" spans="1:20" ht="14.25" customHeight="1"/>
    <row r="71" spans="1:20" ht="14.25" customHeight="1"/>
    <row r="72" spans="1:20" ht="14.25" customHeight="1"/>
    <row r="73" spans="1:20" ht="14.25" customHeight="1"/>
    <row r="74" spans="1:20" ht="14.25" customHeight="1"/>
    <row r="75" spans="1:20" ht="14.25" customHeight="1"/>
    <row r="76" spans="1:20" ht="14.25" customHeight="1"/>
    <row r="77" spans="1:20" ht="14.25" customHeight="1"/>
    <row r="78" spans="1:20" ht="14.25" customHeight="1"/>
    <row r="79" spans="1:20" ht="14.25" customHeight="1"/>
    <row r="80" spans="1:2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2:Q48" xr:uid="{00000000-0009-0000-0000-000004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8"/>
  <sheetViews>
    <sheetView topLeftCell="A70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1165</v>
      </c>
      <c r="C1" t="s">
        <v>1166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2"/>
      <c r="B3" s="2" t="s">
        <v>19</v>
      </c>
      <c r="C3" s="2" t="s">
        <v>1167</v>
      </c>
      <c r="D3" s="2" t="s">
        <v>1168</v>
      </c>
      <c r="E3" s="2" t="s">
        <v>1169</v>
      </c>
      <c r="F3" s="2" t="s">
        <v>1170</v>
      </c>
      <c r="G3" s="2" t="s">
        <v>128</v>
      </c>
      <c r="H3" s="2">
        <v>420</v>
      </c>
      <c r="I3" s="2">
        <v>0</v>
      </c>
      <c r="J3" s="2">
        <f t="shared" ref="J3:J91" si="0">H3-I3</f>
        <v>420</v>
      </c>
      <c r="K3" s="2" t="s">
        <v>25</v>
      </c>
      <c r="L3" s="2" t="s">
        <v>26</v>
      </c>
      <c r="M3" s="2" t="s">
        <v>1171</v>
      </c>
      <c r="N3" s="3" t="s">
        <v>1172</v>
      </c>
      <c r="O3" s="2" t="s">
        <v>29</v>
      </c>
      <c r="P3" s="2"/>
      <c r="Q3" s="2" t="s">
        <v>30</v>
      </c>
      <c r="R3" s="4">
        <v>1</v>
      </c>
      <c r="S3" s="4"/>
      <c r="T3" s="4"/>
    </row>
    <row r="4" spans="1:20" ht="14.25" customHeight="1">
      <c r="A4" s="6"/>
      <c r="B4" s="6" t="s">
        <v>19</v>
      </c>
      <c r="C4" s="6" t="s">
        <v>1173</v>
      </c>
      <c r="D4" s="6" t="s">
        <v>1174</v>
      </c>
      <c r="E4" s="6">
        <v>5</v>
      </c>
      <c r="F4" s="6" t="s">
        <v>1175</v>
      </c>
      <c r="G4" s="6">
        <v>1</v>
      </c>
      <c r="H4" s="6">
        <v>20</v>
      </c>
      <c r="I4" s="6">
        <v>20</v>
      </c>
      <c r="J4" s="6">
        <f t="shared" si="0"/>
        <v>0</v>
      </c>
      <c r="K4" s="6" t="s">
        <v>35</v>
      </c>
      <c r="L4" s="6" t="s">
        <v>26</v>
      </c>
      <c r="M4" s="6" t="s">
        <v>1171</v>
      </c>
      <c r="N4" s="6"/>
      <c r="O4" s="6"/>
      <c r="P4" s="6"/>
      <c r="Q4" s="6"/>
      <c r="R4">
        <v>1</v>
      </c>
    </row>
    <row r="5" spans="1:20" ht="14.25" customHeight="1">
      <c r="A5" s="6"/>
      <c r="B5" s="6" t="s">
        <v>19</v>
      </c>
      <c r="C5" s="6" t="s">
        <v>1176</v>
      </c>
      <c r="D5" s="6" t="s">
        <v>1177</v>
      </c>
      <c r="E5" s="6" t="s">
        <v>841</v>
      </c>
      <c r="F5" s="6" t="s">
        <v>842</v>
      </c>
      <c r="G5" s="6">
        <v>1</v>
      </c>
      <c r="H5" s="6">
        <v>950</v>
      </c>
      <c r="I5" s="6">
        <v>20</v>
      </c>
      <c r="J5" s="6">
        <f t="shared" si="0"/>
        <v>930</v>
      </c>
      <c r="K5" s="6" t="s">
        <v>35</v>
      </c>
      <c r="L5" s="6" t="s">
        <v>26</v>
      </c>
      <c r="M5" s="6" t="s">
        <v>1171</v>
      </c>
      <c r="N5" s="6"/>
      <c r="O5" s="6"/>
      <c r="P5" s="6"/>
      <c r="Q5" s="6"/>
      <c r="R5">
        <v>1</v>
      </c>
    </row>
    <row r="6" spans="1:20" ht="14.25" customHeight="1">
      <c r="A6" s="6"/>
      <c r="B6" s="6" t="s">
        <v>19</v>
      </c>
      <c r="C6" s="6" t="s">
        <v>1178</v>
      </c>
      <c r="D6" s="6" t="s">
        <v>1179</v>
      </c>
      <c r="E6" s="6" t="s">
        <v>1039</v>
      </c>
      <c r="F6" s="6" t="s">
        <v>1040</v>
      </c>
      <c r="G6" s="6">
        <v>1</v>
      </c>
      <c r="H6" s="6">
        <v>300</v>
      </c>
      <c r="I6" s="6">
        <v>20</v>
      </c>
      <c r="J6" s="6">
        <f t="shared" si="0"/>
        <v>280</v>
      </c>
      <c r="K6" s="6" t="s">
        <v>35</v>
      </c>
      <c r="L6" s="6" t="s">
        <v>26</v>
      </c>
      <c r="M6" s="6" t="s">
        <v>1171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1180</v>
      </c>
      <c r="D7" s="6" t="s">
        <v>1181</v>
      </c>
      <c r="E7" s="6">
        <v>11</v>
      </c>
      <c r="F7" s="6" t="s">
        <v>1182</v>
      </c>
      <c r="G7" s="6">
        <v>1</v>
      </c>
      <c r="H7" s="6">
        <v>370</v>
      </c>
      <c r="I7" s="6">
        <v>20</v>
      </c>
      <c r="J7" s="6">
        <f t="shared" si="0"/>
        <v>350</v>
      </c>
      <c r="K7" s="6" t="s">
        <v>35</v>
      </c>
      <c r="L7" s="6" t="s">
        <v>26</v>
      </c>
      <c r="M7" s="6" t="s">
        <v>1171</v>
      </c>
      <c r="N7" s="6"/>
      <c r="O7" s="6"/>
      <c r="P7" s="6"/>
      <c r="Q7" s="6"/>
      <c r="R7">
        <v>1</v>
      </c>
    </row>
    <row r="8" spans="1:20" ht="14.25" customHeight="1">
      <c r="A8" s="6"/>
      <c r="B8" s="6" t="s">
        <v>19</v>
      </c>
      <c r="C8" s="6" t="s">
        <v>1183</v>
      </c>
      <c r="D8" s="6" t="s">
        <v>1184</v>
      </c>
      <c r="E8" s="6" t="s">
        <v>1185</v>
      </c>
      <c r="F8" s="6" t="s">
        <v>1186</v>
      </c>
      <c r="G8" s="6">
        <v>1</v>
      </c>
      <c r="H8" s="6">
        <v>580</v>
      </c>
      <c r="I8" s="6">
        <v>20</v>
      </c>
      <c r="J8" s="6">
        <f t="shared" si="0"/>
        <v>560</v>
      </c>
      <c r="K8" s="6" t="s">
        <v>35</v>
      </c>
      <c r="L8" s="6" t="s">
        <v>26</v>
      </c>
      <c r="M8" s="6" t="s">
        <v>1171</v>
      </c>
      <c r="N8" s="6"/>
      <c r="O8" s="6"/>
      <c r="P8" s="6"/>
      <c r="Q8" s="6"/>
      <c r="R8">
        <v>1</v>
      </c>
    </row>
    <row r="9" spans="1:20" ht="14.25" customHeight="1">
      <c r="A9" s="6"/>
      <c r="B9" s="6" t="s">
        <v>19</v>
      </c>
      <c r="C9" s="6" t="s">
        <v>1187</v>
      </c>
      <c r="D9" s="6" t="s">
        <v>1188</v>
      </c>
      <c r="E9" s="6" t="s">
        <v>1189</v>
      </c>
      <c r="F9" s="6" t="s">
        <v>1190</v>
      </c>
      <c r="G9" s="6">
        <v>1</v>
      </c>
      <c r="H9" s="6">
        <v>1690</v>
      </c>
      <c r="I9" s="6">
        <v>20</v>
      </c>
      <c r="J9" s="6">
        <f t="shared" si="0"/>
        <v>1670</v>
      </c>
      <c r="K9" s="6" t="s">
        <v>35</v>
      </c>
      <c r="L9" s="6" t="s">
        <v>26</v>
      </c>
      <c r="M9" s="6" t="s">
        <v>1171</v>
      </c>
      <c r="N9" s="6"/>
      <c r="O9" s="6"/>
      <c r="P9" s="6"/>
      <c r="Q9" s="6"/>
      <c r="R9">
        <v>1</v>
      </c>
    </row>
    <row r="10" spans="1:20" ht="14.25" customHeight="1">
      <c r="A10" s="6"/>
      <c r="B10" s="6" t="s">
        <v>19</v>
      </c>
      <c r="C10" s="6" t="s">
        <v>1191</v>
      </c>
      <c r="D10" s="6" t="s">
        <v>1192</v>
      </c>
      <c r="E10" s="6">
        <v>326</v>
      </c>
      <c r="F10" s="6" t="s">
        <v>1193</v>
      </c>
      <c r="G10" s="6">
        <v>1</v>
      </c>
      <c r="H10" s="6">
        <v>810</v>
      </c>
      <c r="I10" s="6">
        <v>20</v>
      </c>
      <c r="J10" s="6">
        <f t="shared" si="0"/>
        <v>790</v>
      </c>
      <c r="K10" s="6" t="s">
        <v>35</v>
      </c>
      <c r="L10" s="6" t="s">
        <v>26</v>
      </c>
      <c r="M10" s="6" t="s">
        <v>1171</v>
      </c>
      <c r="N10" s="6"/>
      <c r="O10" s="6"/>
      <c r="P10" s="6"/>
      <c r="Q10" s="6"/>
      <c r="R10">
        <v>1</v>
      </c>
    </row>
    <row r="11" spans="1:20" ht="14.25" customHeight="1">
      <c r="A11" s="6"/>
      <c r="B11" s="6" t="s">
        <v>19</v>
      </c>
      <c r="C11" s="6" t="s">
        <v>1194</v>
      </c>
      <c r="D11" s="6" t="s">
        <v>1195</v>
      </c>
      <c r="E11" s="6">
        <v>27</v>
      </c>
      <c r="F11" s="6" t="s">
        <v>1196</v>
      </c>
      <c r="G11" s="6">
        <v>3</v>
      </c>
      <c r="H11" s="6">
        <v>910</v>
      </c>
      <c r="I11" s="6">
        <v>20</v>
      </c>
      <c r="J11" s="6">
        <f t="shared" si="0"/>
        <v>890</v>
      </c>
      <c r="K11" s="6" t="s">
        <v>35</v>
      </c>
      <c r="L11" s="6" t="s">
        <v>26</v>
      </c>
      <c r="M11" s="6" t="s">
        <v>1171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1197</v>
      </c>
      <c r="D12" s="6" t="s">
        <v>1198</v>
      </c>
      <c r="E12" s="6" t="s">
        <v>1199</v>
      </c>
      <c r="F12" s="6" t="s">
        <v>849</v>
      </c>
      <c r="G12" s="6">
        <v>3</v>
      </c>
      <c r="H12" s="6">
        <v>0</v>
      </c>
      <c r="I12" s="6">
        <v>20</v>
      </c>
      <c r="J12" s="6">
        <f t="shared" si="0"/>
        <v>-20</v>
      </c>
      <c r="K12" s="6" t="s">
        <v>35</v>
      </c>
      <c r="L12" s="6" t="s">
        <v>26</v>
      </c>
      <c r="M12" s="6" t="s">
        <v>1171</v>
      </c>
      <c r="N12" s="7" t="s">
        <v>1200</v>
      </c>
      <c r="O12" s="6"/>
      <c r="P12" s="6"/>
      <c r="Q12" s="6"/>
      <c r="R12">
        <v>1</v>
      </c>
      <c r="S12">
        <v>20</v>
      </c>
    </row>
    <row r="13" spans="1:20" ht="14.25" customHeight="1">
      <c r="A13" s="6"/>
      <c r="B13" s="6" t="s">
        <v>19</v>
      </c>
      <c r="C13" s="6" t="s">
        <v>1201</v>
      </c>
      <c r="D13" s="6" t="s">
        <v>1202</v>
      </c>
      <c r="E13" s="6" t="s">
        <v>1203</v>
      </c>
      <c r="F13" s="6" t="s">
        <v>1204</v>
      </c>
      <c r="G13" s="6">
        <v>3</v>
      </c>
      <c r="H13" s="6">
        <v>1680</v>
      </c>
      <c r="I13" s="6">
        <v>20</v>
      </c>
      <c r="J13" s="6">
        <f t="shared" si="0"/>
        <v>1660</v>
      </c>
      <c r="K13" s="6" t="s">
        <v>35</v>
      </c>
      <c r="L13" s="6" t="s">
        <v>26</v>
      </c>
      <c r="M13" s="6" t="s">
        <v>1171</v>
      </c>
      <c r="N13" s="6"/>
      <c r="O13" s="6"/>
      <c r="P13" s="6"/>
      <c r="Q13" s="6"/>
      <c r="R13">
        <v>1</v>
      </c>
    </row>
    <row r="14" spans="1:20" ht="14.25" customHeight="1">
      <c r="A14" s="6"/>
      <c r="B14" s="6" t="s">
        <v>19</v>
      </c>
      <c r="C14" s="6" t="s">
        <v>1205</v>
      </c>
      <c r="D14" s="6" t="s">
        <v>1206</v>
      </c>
      <c r="E14" s="6" t="s">
        <v>1207</v>
      </c>
      <c r="F14" s="6" t="s">
        <v>1208</v>
      </c>
      <c r="G14" s="6">
        <v>5</v>
      </c>
      <c r="H14" s="6">
        <v>1505</v>
      </c>
      <c r="I14" s="6">
        <v>25</v>
      </c>
      <c r="J14" s="6">
        <f t="shared" si="0"/>
        <v>1480</v>
      </c>
      <c r="K14" s="6" t="s">
        <v>35</v>
      </c>
      <c r="L14" s="6" t="s">
        <v>26</v>
      </c>
      <c r="M14" s="6" t="s">
        <v>1171</v>
      </c>
      <c r="N14" s="6"/>
      <c r="O14" s="6"/>
      <c r="P14" s="6"/>
      <c r="Q14" s="6"/>
      <c r="R14">
        <v>1</v>
      </c>
    </row>
    <row r="15" spans="1:20" ht="14.25" customHeight="1">
      <c r="A15" s="6" t="s">
        <v>37</v>
      </c>
      <c r="B15" s="6" t="s">
        <v>19</v>
      </c>
      <c r="C15" s="6" t="s">
        <v>670</v>
      </c>
      <c r="D15" s="6"/>
      <c r="E15" s="6">
        <v>141</v>
      </c>
      <c r="F15" s="6" t="s">
        <v>86</v>
      </c>
      <c r="G15" s="6">
        <v>5</v>
      </c>
      <c r="H15" s="6">
        <v>720</v>
      </c>
      <c r="I15" s="6">
        <v>30</v>
      </c>
      <c r="J15" s="6">
        <f t="shared" si="0"/>
        <v>690</v>
      </c>
      <c r="K15" s="6" t="s">
        <v>35</v>
      </c>
      <c r="L15" s="6" t="s">
        <v>26</v>
      </c>
      <c r="M15" s="6" t="s">
        <v>1171</v>
      </c>
      <c r="N15" s="6"/>
      <c r="O15" s="6"/>
      <c r="P15" s="6"/>
      <c r="Q15" s="6"/>
      <c r="R15">
        <v>1</v>
      </c>
    </row>
    <row r="16" spans="1:20" ht="14.25" customHeight="1">
      <c r="A16" s="6"/>
      <c r="B16" s="6" t="s">
        <v>19</v>
      </c>
      <c r="C16" s="6" t="s">
        <v>1209</v>
      </c>
      <c r="D16" s="6" t="s">
        <v>1210</v>
      </c>
      <c r="E16" s="6">
        <v>291</v>
      </c>
      <c r="F16" s="6" t="s">
        <v>86</v>
      </c>
      <c r="G16" s="6">
        <v>5</v>
      </c>
      <c r="H16" s="6">
        <v>815</v>
      </c>
      <c r="I16" s="6">
        <v>25</v>
      </c>
      <c r="J16" s="6">
        <f t="shared" si="0"/>
        <v>790</v>
      </c>
      <c r="K16" s="6" t="s">
        <v>35</v>
      </c>
      <c r="L16" s="6" t="s">
        <v>26</v>
      </c>
      <c r="M16" s="6" t="s">
        <v>1171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1211</v>
      </c>
      <c r="D17" s="6" t="s">
        <v>1212</v>
      </c>
      <c r="E17" s="6" t="s">
        <v>1213</v>
      </c>
      <c r="F17" s="6" t="s">
        <v>1214</v>
      </c>
      <c r="G17" s="6">
        <v>5</v>
      </c>
      <c r="H17" s="6">
        <v>815</v>
      </c>
      <c r="I17" s="6">
        <v>25</v>
      </c>
      <c r="J17" s="6">
        <f t="shared" si="0"/>
        <v>790</v>
      </c>
      <c r="K17" s="6" t="s">
        <v>35</v>
      </c>
      <c r="L17" s="6" t="s">
        <v>26</v>
      </c>
      <c r="M17" s="6" t="s">
        <v>1171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1215</v>
      </c>
      <c r="D18" s="6" t="s">
        <v>1216</v>
      </c>
      <c r="E18" s="6" t="s">
        <v>1217</v>
      </c>
      <c r="F18" s="6" t="s">
        <v>1218</v>
      </c>
      <c r="G18" s="6">
        <v>5</v>
      </c>
      <c r="H18" s="6">
        <v>765</v>
      </c>
      <c r="I18" s="6">
        <v>25</v>
      </c>
      <c r="J18" s="6">
        <f t="shared" si="0"/>
        <v>740</v>
      </c>
      <c r="K18" s="6" t="s">
        <v>35</v>
      </c>
      <c r="L18" s="6" t="s">
        <v>26</v>
      </c>
      <c r="M18" s="6" t="s">
        <v>1171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1219</v>
      </c>
      <c r="D19" s="6" t="s">
        <v>1220</v>
      </c>
      <c r="E19" s="6" t="s">
        <v>1221</v>
      </c>
      <c r="F19" s="6" t="s">
        <v>99</v>
      </c>
      <c r="G19" s="6">
        <v>10</v>
      </c>
      <c r="H19" s="6">
        <v>765</v>
      </c>
      <c r="I19" s="6">
        <v>25</v>
      </c>
      <c r="J19" s="6">
        <f t="shared" si="0"/>
        <v>740</v>
      </c>
      <c r="K19" s="6" t="s">
        <v>35</v>
      </c>
      <c r="L19" s="6" t="s">
        <v>26</v>
      </c>
      <c r="M19" s="6" t="s">
        <v>1171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1222</v>
      </c>
      <c r="D20" s="6" t="s">
        <v>1223</v>
      </c>
      <c r="E20" s="6" t="s">
        <v>1224</v>
      </c>
      <c r="F20" s="6" t="s">
        <v>1225</v>
      </c>
      <c r="G20" s="6">
        <v>10</v>
      </c>
      <c r="H20" s="6">
        <v>445</v>
      </c>
      <c r="I20" s="6">
        <v>25</v>
      </c>
      <c r="J20" s="6">
        <f t="shared" si="0"/>
        <v>420</v>
      </c>
      <c r="K20" s="6" t="s">
        <v>35</v>
      </c>
      <c r="L20" s="6" t="s">
        <v>26</v>
      </c>
      <c r="M20" s="6" t="s">
        <v>1171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1226</v>
      </c>
      <c r="D21" s="6" t="s">
        <v>1227</v>
      </c>
      <c r="E21" s="6" t="s">
        <v>1228</v>
      </c>
      <c r="F21" s="6" t="s">
        <v>1229</v>
      </c>
      <c r="G21" s="6">
        <v>10</v>
      </c>
      <c r="H21" s="6">
        <v>915</v>
      </c>
      <c r="I21" s="6">
        <v>25</v>
      </c>
      <c r="J21" s="6">
        <f t="shared" si="0"/>
        <v>890</v>
      </c>
      <c r="K21" s="6" t="s">
        <v>35</v>
      </c>
      <c r="L21" s="6" t="s">
        <v>26</v>
      </c>
      <c r="M21" s="6" t="s">
        <v>1171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1230</v>
      </c>
      <c r="D22" s="6" t="s">
        <v>1231</v>
      </c>
      <c r="E22" s="6" t="s">
        <v>1232</v>
      </c>
      <c r="F22" s="6" t="s">
        <v>105</v>
      </c>
      <c r="G22" s="6">
        <v>10</v>
      </c>
      <c r="H22" s="6">
        <v>0</v>
      </c>
      <c r="I22" s="6">
        <v>25</v>
      </c>
      <c r="J22" s="6">
        <f t="shared" si="0"/>
        <v>-25</v>
      </c>
      <c r="K22" s="6" t="s">
        <v>35</v>
      </c>
      <c r="L22" s="6" t="s">
        <v>26</v>
      </c>
      <c r="M22" s="6" t="s">
        <v>1171</v>
      </c>
      <c r="N22" s="6"/>
      <c r="O22" s="6"/>
      <c r="P22" s="6"/>
      <c r="Q22" s="6"/>
      <c r="R22">
        <v>1</v>
      </c>
      <c r="S22">
        <v>25</v>
      </c>
    </row>
    <row r="23" spans="1:19" ht="14.25" customHeight="1">
      <c r="A23" s="6"/>
      <c r="B23" s="6" t="s">
        <v>19</v>
      </c>
      <c r="C23" s="6" t="s">
        <v>1233</v>
      </c>
      <c r="D23" s="6" t="s">
        <v>1234</v>
      </c>
      <c r="E23" s="6" t="s">
        <v>1235</v>
      </c>
      <c r="F23" s="6" t="s">
        <v>1236</v>
      </c>
      <c r="G23" s="6" t="s">
        <v>117</v>
      </c>
      <c r="H23" s="6">
        <v>0</v>
      </c>
      <c r="I23" s="6">
        <v>20</v>
      </c>
      <c r="J23" s="6">
        <f t="shared" si="0"/>
        <v>-20</v>
      </c>
      <c r="K23" s="6" t="s">
        <v>35</v>
      </c>
      <c r="L23" s="6" t="s">
        <v>26</v>
      </c>
      <c r="M23" s="6" t="s">
        <v>1171</v>
      </c>
      <c r="N23" s="6"/>
      <c r="O23" s="6"/>
      <c r="P23" s="6"/>
      <c r="Q23" s="6"/>
      <c r="R23">
        <v>1</v>
      </c>
      <c r="S23">
        <v>20</v>
      </c>
    </row>
    <row r="24" spans="1:19" ht="14.25" customHeight="1">
      <c r="A24" s="6"/>
      <c r="B24" s="6" t="s">
        <v>19</v>
      </c>
      <c r="C24" s="6" t="s">
        <v>1237</v>
      </c>
      <c r="D24" s="6" t="s">
        <v>1238</v>
      </c>
      <c r="E24" s="6" t="s">
        <v>1239</v>
      </c>
      <c r="F24" s="6" t="s">
        <v>1225</v>
      </c>
      <c r="G24" s="6" t="s">
        <v>128</v>
      </c>
      <c r="H24" s="6">
        <v>815</v>
      </c>
      <c r="I24" s="6">
        <v>25</v>
      </c>
      <c r="J24" s="6">
        <f t="shared" si="0"/>
        <v>790</v>
      </c>
      <c r="K24" s="6" t="s">
        <v>35</v>
      </c>
      <c r="L24" s="6" t="s">
        <v>26</v>
      </c>
      <c r="M24" s="6" t="s">
        <v>1171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1240</v>
      </c>
      <c r="D25" s="6" t="s">
        <v>1241</v>
      </c>
      <c r="E25" s="6">
        <v>30</v>
      </c>
      <c r="F25" s="6" t="s">
        <v>1242</v>
      </c>
      <c r="G25" s="6" t="s">
        <v>128</v>
      </c>
      <c r="H25" s="6">
        <v>815</v>
      </c>
      <c r="I25" s="6">
        <v>25</v>
      </c>
      <c r="J25" s="6">
        <f t="shared" si="0"/>
        <v>790</v>
      </c>
      <c r="K25" s="6" t="s">
        <v>35</v>
      </c>
      <c r="L25" s="6" t="s">
        <v>26</v>
      </c>
      <c r="M25" s="6" t="s">
        <v>1171</v>
      </c>
      <c r="N25" s="6"/>
      <c r="O25" s="6"/>
      <c r="P25" s="6"/>
      <c r="Q25" s="6"/>
      <c r="R25">
        <v>1</v>
      </c>
    </row>
    <row r="26" spans="1:19" ht="14.25" customHeight="1">
      <c r="A26" s="5"/>
      <c r="B26" s="5" t="s">
        <v>19</v>
      </c>
      <c r="C26" s="5" t="s">
        <v>209</v>
      </c>
      <c r="D26" s="5" t="s">
        <v>1243</v>
      </c>
      <c r="E26" s="5">
        <v>42</v>
      </c>
      <c r="F26" s="5" t="s">
        <v>888</v>
      </c>
      <c r="G26" s="5" t="s">
        <v>128</v>
      </c>
      <c r="H26" s="5">
        <v>25</v>
      </c>
      <c r="I26" s="5">
        <v>25</v>
      </c>
      <c r="J26" s="5">
        <f t="shared" si="0"/>
        <v>0</v>
      </c>
      <c r="K26" s="5" t="s">
        <v>35</v>
      </c>
      <c r="L26" s="5" t="s">
        <v>26</v>
      </c>
      <c r="M26" s="5" t="s">
        <v>1171</v>
      </c>
      <c r="N26" s="5" t="s">
        <v>177</v>
      </c>
      <c r="O26" s="5"/>
      <c r="P26" s="5"/>
      <c r="Q26" s="5"/>
      <c r="R26">
        <v>1</v>
      </c>
    </row>
    <row r="27" spans="1:19" ht="14.25" customHeight="1">
      <c r="A27" s="6"/>
      <c r="B27" s="6" t="s">
        <v>19</v>
      </c>
      <c r="C27" s="6" t="s">
        <v>1244</v>
      </c>
      <c r="D27" s="6" t="s">
        <v>1245</v>
      </c>
      <c r="E27" s="6">
        <v>134</v>
      </c>
      <c r="F27" s="6" t="s">
        <v>682</v>
      </c>
      <c r="G27" s="6" t="s">
        <v>128</v>
      </c>
      <c r="H27" s="6">
        <v>695</v>
      </c>
      <c r="I27" s="6">
        <v>25</v>
      </c>
      <c r="J27" s="6">
        <f t="shared" si="0"/>
        <v>670</v>
      </c>
      <c r="K27" s="6" t="s">
        <v>35</v>
      </c>
      <c r="L27" s="6" t="s">
        <v>26</v>
      </c>
      <c r="M27" s="6" t="s">
        <v>1171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1246</v>
      </c>
      <c r="D28" s="6" t="s">
        <v>1247</v>
      </c>
      <c r="E28" s="6">
        <v>91</v>
      </c>
      <c r="F28" s="6" t="s">
        <v>508</v>
      </c>
      <c r="G28" s="6" t="s">
        <v>128</v>
      </c>
      <c r="H28" s="6">
        <v>515</v>
      </c>
      <c r="I28" s="6">
        <v>25</v>
      </c>
      <c r="J28" s="6">
        <f t="shared" si="0"/>
        <v>490</v>
      </c>
      <c r="K28" s="6" t="s">
        <v>35</v>
      </c>
      <c r="L28" s="6" t="s">
        <v>26</v>
      </c>
      <c r="M28" s="6" t="s">
        <v>1171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1248</v>
      </c>
      <c r="D29" s="6" t="s">
        <v>1249</v>
      </c>
      <c r="E29" s="6" t="s">
        <v>1250</v>
      </c>
      <c r="F29" s="6" t="s">
        <v>1251</v>
      </c>
      <c r="G29" s="6" t="s">
        <v>128</v>
      </c>
      <c r="H29" s="6">
        <v>765</v>
      </c>
      <c r="I29" s="6">
        <v>25</v>
      </c>
      <c r="J29" s="6">
        <f t="shared" si="0"/>
        <v>740</v>
      </c>
      <c r="K29" s="6" t="s">
        <v>35</v>
      </c>
      <c r="L29" s="6" t="s">
        <v>26</v>
      </c>
      <c r="M29" s="6" t="s">
        <v>1171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1252</v>
      </c>
      <c r="D30" s="6" t="s">
        <v>1253</v>
      </c>
      <c r="E30" s="6">
        <v>855</v>
      </c>
      <c r="F30" s="6" t="s">
        <v>461</v>
      </c>
      <c r="G30" s="6">
        <v>5</v>
      </c>
      <c r="H30" s="6">
        <v>815</v>
      </c>
      <c r="I30" s="6">
        <v>25</v>
      </c>
      <c r="J30" s="6">
        <f t="shared" si="0"/>
        <v>790</v>
      </c>
      <c r="K30" s="6" t="s">
        <v>1254</v>
      </c>
      <c r="L30" s="6" t="s">
        <v>26</v>
      </c>
      <c r="M30" s="6" t="s">
        <v>1171</v>
      </c>
      <c r="N30" s="6"/>
      <c r="O30" s="6"/>
      <c r="P30" s="6"/>
      <c r="Q30" s="6"/>
      <c r="R30">
        <v>1</v>
      </c>
    </row>
    <row r="31" spans="1:19" ht="14.25" customHeight="1">
      <c r="A31" s="5"/>
      <c r="B31" s="5" t="s">
        <v>19</v>
      </c>
      <c r="C31" s="5" t="s">
        <v>1072</v>
      </c>
      <c r="D31" s="5" t="s">
        <v>1255</v>
      </c>
      <c r="E31" s="5">
        <v>491</v>
      </c>
      <c r="F31" s="5" t="s">
        <v>701</v>
      </c>
      <c r="G31" s="5">
        <v>6</v>
      </c>
      <c r="H31" s="5">
        <v>395</v>
      </c>
      <c r="I31" s="5">
        <v>25</v>
      </c>
      <c r="J31" s="5">
        <f t="shared" si="0"/>
        <v>370</v>
      </c>
      <c r="K31" s="5" t="s">
        <v>1254</v>
      </c>
      <c r="L31" s="5" t="s">
        <v>26</v>
      </c>
      <c r="M31" s="5" t="s">
        <v>1171</v>
      </c>
      <c r="N31" s="5" t="s">
        <v>177</v>
      </c>
      <c r="O31" s="5"/>
      <c r="P31" s="5"/>
      <c r="Q31" s="5"/>
      <c r="R31">
        <v>1</v>
      </c>
    </row>
    <row r="32" spans="1:19" ht="14.25" customHeight="1">
      <c r="A32" s="6"/>
      <c r="B32" s="6" t="s">
        <v>19</v>
      </c>
      <c r="C32" s="6" t="s">
        <v>578</v>
      </c>
      <c r="D32" s="6" t="s">
        <v>1256</v>
      </c>
      <c r="E32" s="6" t="s">
        <v>1257</v>
      </c>
      <c r="F32" s="6" t="s">
        <v>230</v>
      </c>
      <c r="G32" s="6">
        <v>6</v>
      </c>
      <c r="H32" s="6">
        <v>915</v>
      </c>
      <c r="I32" s="6">
        <v>25</v>
      </c>
      <c r="J32" s="6">
        <f t="shared" si="0"/>
        <v>890</v>
      </c>
      <c r="K32" s="6" t="s">
        <v>1254</v>
      </c>
      <c r="L32" s="6" t="s">
        <v>26</v>
      </c>
      <c r="M32" s="6" t="s">
        <v>1171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1258</v>
      </c>
      <c r="D33" s="6" t="s">
        <v>1259</v>
      </c>
      <c r="E33" s="6" t="s">
        <v>1260</v>
      </c>
      <c r="F33" s="6" t="s">
        <v>1261</v>
      </c>
      <c r="G33" s="6">
        <v>7</v>
      </c>
      <c r="H33" s="6">
        <v>0</v>
      </c>
      <c r="I33" s="6">
        <v>25</v>
      </c>
      <c r="J33" s="6">
        <f t="shared" si="0"/>
        <v>-25</v>
      </c>
      <c r="K33" s="6" t="s">
        <v>1254</v>
      </c>
      <c r="L33" s="6" t="s">
        <v>26</v>
      </c>
      <c r="M33" s="6" t="s">
        <v>1171</v>
      </c>
      <c r="N33" s="6"/>
      <c r="O33" s="6"/>
      <c r="P33" s="6"/>
      <c r="Q33" s="6"/>
      <c r="R33">
        <v>1</v>
      </c>
      <c r="S33">
        <v>25</v>
      </c>
    </row>
    <row r="34" spans="1:19" ht="14.25" customHeight="1">
      <c r="A34" s="6"/>
      <c r="B34" s="6" t="s">
        <v>19</v>
      </c>
      <c r="C34" s="6" t="s">
        <v>1262</v>
      </c>
      <c r="D34" s="6" t="s">
        <v>1263</v>
      </c>
      <c r="E34" s="6" t="s">
        <v>1264</v>
      </c>
      <c r="F34" s="6" t="s">
        <v>1265</v>
      </c>
      <c r="G34" s="6">
        <v>7</v>
      </c>
      <c r="H34" s="6">
        <v>745</v>
      </c>
      <c r="I34" s="6">
        <v>25</v>
      </c>
      <c r="J34" s="6">
        <f t="shared" si="0"/>
        <v>720</v>
      </c>
      <c r="K34" s="6" t="s">
        <v>1254</v>
      </c>
      <c r="L34" s="6" t="s">
        <v>26</v>
      </c>
      <c r="M34" s="6" t="s">
        <v>1171</v>
      </c>
      <c r="N34" s="6"/>
      <c r="O34" s="6"/>
      <c r="P34" s="6"/>
      <c r="Q34" s="6"/>
      <c r="R34">
        <v>1</v>
      </c>
    </row>
    <row r="35" spans="1:19" ht="14.25" customHeight="1">
      <c r="A35" s="6"/>
      <c r="B35" s="6" t="s">
        <v>19</v>
      </c>
      <c r="C35" s="6" t="s">
        <v>1266</v>
      </c>
      <c r="D35" s="6" t="s">
        <v>1267</v>
      </c>
      <c r="E35" s="6" t="s">
        <v>1268</v>
      </c>
      <c r="F35" s="6" t="s">
        <v>1269</v>
      </c>
      <c r="G35" s="6">
        <v>7</v>
      </c>
      <c r="H35" s="6">
        <v>745</v>
      </c>
      <c r="I35" s="6">
        <v>25</v>
      </c>
      <c r="J35" s="6">
        <f t="shared" si="0"/>
        <v>720</v>
      </c>
      <c r="K35" s="6" t="s">
        <v>1254</v>
      </c>
      <c r="L35" s="6" t="s">
        <v>26</v>
      </c>
      <c r="M35" s="6" t="s">
        <v>1171</v>
      </c>
      <c r="N35" s="6"/>
      <c r="O35" s="6"/>
      <c r="P35" s="6"/>
      <c r="Q35" s="6"/>
      <c r="R35">
        <v>1</v>
      </c>
    </row>
    <row r="36" spans="1:19" ht="14.25" customHeight="1">
      <c r="A36" s="6"/>
      <c r="B36" s="6" t="s">
        <v>19</v>
      </c>
      <c r="C36" s="6" t="s">
        <v>1270</v>
      </c>
      <c r="D36" s="6" t="s">
        <v>1271</v>
      </c>
      <c r="E36" s="6" t="s">
        <v>1268</v>
      </c>
      <c r="F36" s="6" t="s">
        <v>1269</v>
      </c>
      <c r="G36" s="6">
        <v>7</v>
      </c>
      <c r="H36" s="6">
        <v>990</v>
      </c>
      <c r="I36" s="6">
        <v>0</v>
      </c>
      <c r="J36" s="6">
        <f t="shared" si="0"/>
        <v>990</v>
      </c>
      <c r="K36" s="6" t="s">
        <v>1254</v>
      </c>
      <c r="L36" s="6" t="s">
        <v>26</v>
      </c>
      <c r="M36" s="6" t="s">
        <v>1171</v>
      </c>
      <c r="N36" s="7" t="s">
        <v>298</v>
      </c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1272</v>
      </c>
      <c r="D37" s="6" t="s">
        <v>1273</v>
      </c>
      <c r="E37" s="6" t="s">
        <v>1274</v>
      </c>
      <c r="F37" s="6" t="s">
        <v>253</v>
      </c>
      <c r="G37" s="6">
        <v>7</v>
      </c>
      <c r="H37" s="6">
        <v>785</v>
      </c>
      <c r="I37" s="6">
        <v>25</v>
      </c>
      <c r="J37" s="6">
        <f t="shared" si="0"/>
        <v>760</v>
      </c>
      <c r="K37" s="6" t="s">
        <v>1254</v>
      </c>
      <c r="L37" s="6" t="s">
        <v>26</v>
      </c>
      <c r="M37" s="6" t="s">
        <v>1171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1275</v>
      </c>
      <c r="D38" s="6" t="s">
        <v>1276</v>
      </c>
      <c r="E38" s="6">
        <v>48</v>
      </c>
      <c r="F38" s="6" t="s">
        <v>156</v>
      </c>
      <c r="G38" s="6">
        <v>7</v>
      </c>
      <c r="H38" s="6">
        <v>1595</v>
      </c>
      <c r="I38" s="6">
        <v>25</v>
      </c>
      <c r="J38" s="6">
        <f t="shared" si="0"/>
        <v>1570</v>
      </c>
      <c r="K38" s="6" t="s">
        <v>1254</v>
      </c>
      <c r="L38" s="6" t="s">
        <v>26</v>
      </c>
      <c r="M38" s="6" t="s">
        <v>1171</v>
      </c>
      <c r="N38" s="6"/>
      <c r="O38" s="6"/>
      <c r="P38" s="6"/>
      <c r="Q38" s="6"/>
      <c r="R38">
        <v>1</v>
      </c>
    </row>
    <row r="39" spans="1:19" ht="14.25" customHeight="1">
      <c r="A39" s="6"/>
      <c r="B39" s="6" t="s">
        <v>19</v>
      </c>
      <c r="C39" s="6" t="s">
        <v>1277</v>
      </c>
      <c r="D39" s="6" t="s">
        <v>1278</v>
      </c>
      <c r="E39" s="6">
        <v>23</v>
      </c>
      <c r="F39" s="6" t="s">
        <v>311</v>
      </c>
      <c r="G39" s="6">
        <v>7</v>
      </c>
      <c r="H39" s="6">
        <v>765</v>
      </c>
      <c r="I39" s="6">
        <v>25</v>
      </c>
      <c r="J39" s="6">
        <f t="shared" si="0"/>
        <v>740</v>
      </c>
      <c r="K39" s="6" t="s">
        <v>1254</v>
      </c>
      <c r="L39" s="6" t="s">
        <v>26</v>
      </c>
      <c r="M39" s="6" t="s">
        <v>1171</v>
      </c>
      <c r="N39" s="6"/>
      <c r="O39" s="6"/>
      <c r="P39" s="6"/>
      <c r="Q39" s="6"/>
      <c r="R39">
        <v>1</v>
      </c>
    </row>
    <row r="40" spans="1:19" ht="14.25" customHeight="1">
      <c r="A40" s="6"/>
      <c r="B40" s="6" t="s">
        <v>19</v>
      </c>
      <c r="C40" s="6" t="s">
        <v>1279</v>
      </c>
      <c r="D40" s="6" t="s">
        <v>1280</v>
      </c>
      <c r="E40" s="6">
        <v>60</v>
      </c>
      <c r="F40" s="6" t="s">
        <v>1281</v>
      </c>
      <c r="G40" s="6">
        <v>7</v>
      </c>
      <c r="H40" s="6">
        <v>1005</v>
      </c>
      <c r="I40" s="6">
        <v>25</v>
      </c>
      <c r="J40" s="6">
        <f t="shared" si="0"/>
        <v>980</v>
      </c>
      <c r="K40" s="6" t="s">
        <v>1254</v>
      </c>
      <c r="L40" s="6" t="s">
        <v>26</v>
      </c>
      <c r="M40" s="6" t="s">
        <v>1171</v>
      </c>
      <c r="N40" s="6"/>
      <c r="O40" s="6"/>
      <c r="P40" s="6"/>
      <c r="Q40" s="6"/>
      <c r="R40">
        <v>1</v>
      </c>
    </row>
    <row r="41" spans="1:19" ht="14.25" customHeight="1">
      <c r="A41" s="6"/>
      <c r="B41" s="6" t="s">
        <v>19</v>
      </c>
      <c r="C41" s="6" t="s">
        <v>1282</v>
      </c>
      <c r="D41" s="6" t="s">
        <v>1283</v>
      </c>
      <c r="E41" s="6" t="s">
        <v>1284</v>
      </c>
      <c r="F41" s="6" t="s">
        <v>1285</v>
      </c>
      <c r="G41" s="6">
        <v>8</v>
      </c>
      <c r="H41" s="6">
        <v>1650</v>
      </c>
      <c r="I41" s="6">
        <v>30</v>
      </c>
      <c r="J41" s="6">
        <f t="shared" si="0"/>
        <v>1620</v>
      </c>
      <c r="K41" s="6" t="s">
        <v>1254</v>
      </c>
      <c r="L41" s="6" t="s">
        <v>26</v>
      </c>
      <c r="M41" s="6" t="s">
        <v>1171</v>
      </c>
      <c r="N41" s="6"/>
      <c r="O41" s="6"/>
      <c r="P41" s="6"/>
      <c r="Q41" s="6"/>
      <c r="R41">
        <v>1</v>
      </c>
    </row>
    <row r="42" spans="1:19" ht="14.25" customHeight="1">
      <c r="A42" s="6"/>
      <c r="B42" s="6" t="s">
        <v>19</v>
      </c>
      <c r="C42" s="6" t="s">
        <v>1090</v>
      </c>
      <c r="D42" s="6" t="s">
        <v>1286</v>
      </c>
      <c r="E42" s="6">
        <v>340</v>
      </c>
      <c r="F42" s="6" t="s">
        <v>1092</v>
      </c>
      <c r="G42" s="6">
        <v>8</v>
      </c>
      <c r="H42" s="6">
        <v>955</v>
      </c>
      <c r="I42" s="6">
        <v>25</v>
      </c>
      <c r="J42" s="6">
        <f t="shared" si="0"/>
        <v>930</v>
      </c>
      <c r="K42" s="6" t="s">
        <v>1254</v>
      </c>
      <c r="L42" s="6" t="s">
        <v>26</v>
      </c>
      <c r="M42" s="6" t="s">
        <v>1171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1287</v>
      </c>
      <c r="D43" s="6" t="s">
        <v>1288</v>
      </c>
      <c r="E43" s="6">
        <v>49</v>
      </c>
      <c r="F43" s="6" t="s">
        <v>1289</v>
      </c>
      <c r="G43" s="6">
        <v>8</v>
      </c>
      <c r="H43" s="6">
        <v>1690</v>
      </c>
      <c r="I43" s="6">
        <v>30</v>
      </c>
      <c r="J43" s="6">
        <f t="shared" si="0"/>
        <v>1660</v>
      </c>
      <c r="K43" s="6" t="s">
        <v>1254</v>
      </c>
      <c r="L43" s="6" t="s">
        <v>26</v>
      </c>
      <c r="M43" s="6" t="s">
        <v>1171</v>
      </c>
      <c r="N43" s="6"/>
      <c r="O43" s="6"/>
      <c r="P43" s="6"/>
      <c r="Q43" s="6"/>
      <c r="R43">
        <v>1</v>
      </c>
    </row>
    <row r="44" spans="1:19" ht="14.25" customHeight="1">
      <c r="A44" s="6"/>
      <c r="B44" s="6" t="s">
        <v>19</v>
      </c>
      <c r="C44" s="6" t="s">
        <v>1290</v>
      </c>
      <c r="D44" s="6" t="s">
        <v>1291</v>
      </c>
      <c r="E44" s="6" t="s">
        <v>1292</v>
      </c>
      <c r="F44" s="6" t="s">
        <v>1293</v>
      </c>
      <c r="G44" s="6">
        <v>8</v>
      </c>
      <c r="H44" s="6">
        <v>765</v>
      </c>
      <c r="I44" s="6">
        <v>25</v>
      </c>
      <c r="J44" s="6">
        <f t="shared" si="0"/>
        <v>740</v>
      </c>
      <c r="K44" s="6" t="s">
        <v>1254</v>
      </c>
      <c r="L44" s="6" t="s">
        <v>26</v>
      </c>
      <c r="M44" s="6" t="s">
        <v>1171</v>
      </c>
      <c r="N44" s="6"/>
      <c r="O44" s="6"/>
      <c r="P44" s="6"/>
      <c r="Q44" s="6"/>
      <c r="R44">
        <v>1</v>
      </c>
    </row>
    <row r="45" spans="1:19" ht="14.25" customHeight="1">
      <c r="A45" s="6"/>
      <c r="B45" s="6" t="s">
        <v>19</v>
      </c>
      <c r="C45" s="6" t="s">
        <v>1294</v>
      </c>
      <c r="D45" s="6" t="s">
        <v>1295</v>
      </c>
      <c r="E45" s="6" t="s">
        <v>1296</v>
      </c>
      <c r="F45" s="6" t="s">
        <v>331</v>
      </c>
      <c r="G45" s="6">
        <v>8</v>
      </c>
      <c r="H45" s="6">
        <v>1005</v>
      </c>
      <c r="I45" s="6">
        <v>25</v>
      </c>
      <c r="J45" s="6">
        <f t="shared" si="0"/>
        <v>980</v>
      </c>
      <c r="K45" s="6" t="s">
        <v>1254</v>
      </c>
      <c r="L45" s="6" t="s">
        <v>26</v>
      </c>
      <c r="M45" s="6" t="s">
        <v>1171</v>
      </c>
      <c r="N45" s="6"/>
      <c r="O45" s="6"/>
      <c r="P45" s="6"/>
      <c r="Q45" s="6"/>
      <c r="R45">
        <v>1</v>
      </c>
    </row>
    <row r="46" spans="1:19" ht="14.25" customHeight="1">
      <c r="A46" s="6"/>
      <c r="B46" s="6" t="s">
        <v>19</v>
      </c>
      <c r="C46" s="6" t="s">
        <v>1297</v>
      </c>
      <c r="D46" s="6" t="s">
        <v>1298</v>
      </c>
      <c r="E46" s="6">
        <v>285</v>
      </c>
      <c r="F46" s="6" t="s">
        <v>1299</v>
      </c>
      <c r="G46" s="6">
        <v>11</v>
      </c>
      <c r="H46" s="6">
        <v>1535</v>
      </c>
      <c r="I46" s="6">
        <v>25</v>
      </c>
      <c r="J46" s="6">
        <f t="shared" si="0"/>
        <v>1510</v>
      </c>
      <c r="K46" s="6" t="s">
        <v>1254</v>
      </c>
      <c r="L46" s="6" t="s">
        <v>26</v>
      </c>
      <c r="M46" s="6" t="s">
        <v>1171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1300</v>
      </c>
      <c r="D47" s="6" t="s">
        <v>1301</v>
      </c>
      <c r="E47" s="6" t="s">
        <v>1302</v>
      </c>
      <c r="F47" s="6" t="s">
        <v>1303</v>
      </c>
      <c r="G47" s="6">
        <v>11</v>
      </c>
      <c r="H47" s="6">
        <v>0</v>
      </c>
      <c r="I47" s="6">
        <v>25</v>
      </c>
      <c r="J47" s="6">
        <f t="shared" si="0"/>
        <v>-25</v>
      </c>
      <c r="K47" s="6" t="s">
        <v>1254</v>
      </c>
      <c r="L47" s="6" t="s">
        <v>26</v>
      </c>
      <c r="M47" s="6" t="s">
        <v>1171</v>
      </c>
      <c r="N47" s="6"/>
      <c r="O47" s="6"/>
      <c r="P47" s="6"/>
      <c r="Q47" s="6"/>
      <c r="R47">
        <v>1</v>
      </c>
      <c r="S47">
        <v>25</v>
      </c>
    </row>
    <row r="48" spans="1:19" ht="14.25" customHeight="1">
      <c r="A48" s="6"/>
      <c r="B48" s="6" t="s">
        <v>19</v>
      </c>
      <c r="C48" s="6" t="s">
        <v>1304</v>
      </c>
      <c r="D48" s="6" t="s">
        <v>1305</v>
      </c>
      <c r="E48" s="6" t="s">
        <v>1306</v>
      </c>
      <c r="F48" s="6" t="s">
        <v>353</v>
      </c>
      <c r="G48" s="6">
        <v>12</v>
      </c>
      <c r="H48" s="6">
        <v>800</v>
      </c>
      <c r="I48" s="6">
        <v>30</v>
      </c>
      <c r="J48" s="6">
        <f t="shared" si="0"/>
        <v>770</v>
      </c>
      <c r="K48" s="6" t="s">
        <v>1254</v>
      </c>
      <c r="L48" s="6" t="s">
        <v>26</v>
      </c>
      <c r="M48" s="6" t="s">
        <v>1171</v>
      </c>
      <c r="N48" s="6"/>
      <c r="O48" s="6"/>
      <c r="P48" s="6"/>
      <c r="Q48" s="6"/>
      <c r="R48">
        <v>1</v>
      </c>
    </row>
    <row r="49" spans="1:19" ht="14.25" customHeight="1">
      <c r="A49" s="6"/>
      <c r="B49" s="6" t="s">
        <v>19</v>
      </c>
      <c r="C49" s="6" t="s">
        <v>361</v>
      </c>
      <c r="D49" s="6" t="s">
        <v>1307</v>
      </c>
      <c r="E49" s="6">
        <v>375</v>
      </c>
      <c r="F49" s="6" t="s">
        <v>363</v>
      </c>
      <c r="G49" s="6">
        <v>12</v>
      </c>
      <c r="H49" s="6">
        <v>0</v>
      </c>
      <c r="I49" s="6">
        <v>30</v>
      </c>
      <c r="J49" s="6">
        <f t="shared" si="0"/>
        <v>-30</v>
      </c>
      <c r="K49" s="6" t="s">
        <v>1254</v>
      </c>
      <c r="L49" s="6" t="s">
        <v>26</v>
      </c>
      <c r="M49" s="6" t="s">
        <v>1171</v>
      </c>
      <c r="N49" s="6"/>
      <c r="O49" s="6"/>
      <c r="P49" s="6"/>
      <c r="Q49" s="6"/>
      <c r="R49">
        <v>1</v>
      </c>
      <c r="S49">
        <v>30</v>
      </c>
    </row>
    <row r="50" spans="1:19" ht="14.25" customHeight="1">
      <c r="A50" s="5"/>
      <c r="B50" s="5" t="s">
        <v>19</v>
      </c>
      <c r="C50" s="5" t="s">
        <v>1308</v>
      </c>
      <c r="D50" s="5" t="s">
        <v>1309</v>
      </c>
      <c r="E50" s="5" t="s">
        <v>1310</v>
      </c>
      <c r="F50" s="5" t="s">
        <v>1311</v>
      </c>
      <c r="G50" s="5" t="s">
        <v>374</v>
      </c>
      <c r="H50" s="5">
        <v>35</v>
      </c>
      <c r="I50" s="5">
        <v>35</v>
      </c>
      <c r="J50" s="5">
        <f t="shared" si="0"/>
        <v>0</v>
      </c>
      <c r="K50" s="5" t="s">
        <v>1254</v>
      </c>
      <c r="L50" s="5" t="s">
        <v>26</v>
      </c>
      <c r="M50" s="5" t="s">
        <v>1171</v>
      </c>
      <c r="N50" s="5" t="s">
        <v>177</v>
      </c>
      <c r="O50" s="5"/>
      <c r="P50" s="5"/>
      <c r="Q50" s="5"/>
      <c r="R50">
        <v>1</v>
      </c>
    </row>
    <row r="51" spans="1:19" ht="14.25" customHeight="1">
      <c r="A51" s="6"/>
      <c r="B51" s="6" t="s">
        <v>19</v>
      </c>
      <c r="C51" s="6" t="s">
        <v>958</v>
      </c>
      <c r="D51" s="6" t="s">
        <v>1312</v>
      </c>
      <c r="E51" s="6" t="s">
        <v>1313</v>
      </c>
      <c r="F51" s="6" t="s">
        <v>1314</v>
      </c>
      <c r="G51" s="6" t="s">
        <v>374</v>
      </c>
      <c r="H51" s="6">
        <v>415</v>
      </c>
      <c r="I51" s="6">
        <v>35</v>
      </c>
      <c r="J51" s="6">
        <f t="shared" si="0"/>
        <v>380</v>
      </c>
      <c r="K51" s="6" t="s">
        <v>1254</v>
      </c>
      <c r="L51" s="6" t="s">
        <v>26</v>
      </c>
      <c r="M51" s="6" t="s">
        <v>1171</v>
      </c>
      <c r="N51" s="6"/>
      <c r="O51" s="6"/>
      <c r="P51" s="6"/>
      <c r="Q51" s="6"/>
      <c r="R51">
        <v>1</v>
      </c>
    </row>
    <row r="52" spans="1:19" ht="14.25" customHeight="1">
      <c r="A52" s="6"/>
      <c r="B52" s="6" t="s">
        <v>19</v>
      </c>
      <c r="C52" s="6" t="s">
        <v>1315</v>
      </c>
      <c r="D52" s="6" t="s">
        <v>1316</v>
      </c>
      <c r="E52" s="6" t="s">
        <v>1317</v>
      </c>
      <c r="F52" s="6" t="s">
        <v>738</v>
      </c>
      <c r="G52" s="6" t="s">
        <v>385</v>
      </c>
      <c r="H52" s="6">
        <v>0</v>
      </c>
      <c r="I52" s="6">
        <v>30</v>
      </c>
      <c r="J52" s="6">
        <f t="shared" si="0"/>
        <v>-30</v>
      </c>
      <c r="K52" s="6" t="s">
        <v>1254</v>
      </c>
      <c r="L52" s="6" t="s">
        <v>26</v>
      </c>
      <c r="M52" s="6" t="s">
        <v>1171</v>
      </c>
      <c r="N52" s="6"/>
      <c r="O52" s="6"/>
      <c r="P52" s="6"/>
      <c r="Q52" s="6"/>
      <c r="R52">
        <v>1</v>
      </c>
      <c r="S52">
        <v>30</v>
      </c>
    </row>
    <row r="53" spans="1:19" ht="14.25" customHeight="1">
      <c r="A53" s="6"/>
      <c r="B53" s="6" t="s">
        <v>19</v>
      </c>
      <c r="C53" s="6" t="s">
        <v>1318</v>
      </c>
      <c r="D53" s="6" t="s">
        <v>1319</v>
      </c>
      <c r="E53" s="6">
        <v>17</v>
      </c>
      <c r="F53" s="6" t="s">
        <v>571</v>
      </c>
      <c r="G53" s="6" t="s">
        <v>385</v>
      </c>
      <c r="H53" s="6">
        <v>820</v>
      </c>
      <c r="I53" s="6">
        <v>30</v>
      </c>
      <c r="J53" s="6">
        <f t="shared" si="0"/>
        <v>790</v>
      </c>
      <c r="K53" s="6" t="s">
        <v>1254</v>
      </c>
      <c r="L53" s="6" t="s">
        <v>26</v>
      </c>
      <c r="M53" s="6" t="s">
        <v>1171</v>
      </c>
      <c r="N53" s="6"/>
      <c r="O53" s="6"/>
      <c r="P53" s="6"/>
      <c r="Q53" s="6"/>
      <c r="R53">
        <v>1</v>
      </c>
    </row>
    <row r="54" spans="1:19" ht="14.25" customHeight="1">
      <c r="A54" s="6"/>
      <c r="B54" s="6" t="s">
        <v>19</v>
      </c>
      <c r="C54" s="6" t="s">
        <v>1320</v>
      </c>
      <c r="D54" s="6" t="s">
        <v>1321</v>
      </c>
      <c r="E54" s="6">
        <v>6</v>
      </c>
      <c r="F54" s="6" t="s">
        <v>1322</v>
      </c>
      <c r="G54" s="6" t="s">
        <v>385</v>
      </c>
      <c r="H54" s="6">
        <v>410</v>
      </c>
      <c r="I54" s="6">
        <v>30</v>
      </c>
      <c r="J54" s="6">
        <f t="shared" si="0"/>
        <v>380</v>
      </c>
      <c r="K54" s="6" t="s">
        <v>1254</v>
      </c>
      <c r="L54" s="6" t="s">
        <v>26</v>
      </c>
      <c r="M54" s="6" t="s">
        <v>1171</v>
      </c>
      <c r="N54" s="6"/>
      <c r="O54" s="6"/>
      <c r="P54" s="6"/>
      <c r="Q54" s="6"/>
      <c r="R54">
        <v>1</v>
      </c>
    </row>
    <row r="55" spans="1:19" ht="14.25" customHeight="1">
      <c r="A55" s="6"/>
      <c r="B55" s="6" t="s">
        <v>19</v>
      </c>
      <c r="C55" s="6" t="s">
        <v>1323</v>
      </c>
      <c r="D55" s="6" t="s">
        <v>1324</v>
      </c>
      <c r="E55" s="6">
        <v>78</v>
      </c>
      <c r="F55" s="6" t="s">
        <v>1157</v>
      </c>
      <c r="G55" s="6" t="s">
        <v>385</v>
      </c>
      <c r="H55" s="6">
        <v>1780</v>
      </c>
      <c r="I55" s="6">
        <v>30</v>
      </c>
      <c r="J55" s="6">
        <f t="shared" si="0"/>
        <v>1750</v>
      </c>
      <c r="K55" s="6" t="s">
        <v>1254</v>
      </c>
      <c r="L55" s="6" t="s">
        <v>26</v>
      </c>
      <c r="M55" s="6" t="s">
        <v>1171</v>
      </c>
      <c r="N55" s="6"/>
      <c r="O55" s="6"/>
      <c r="P55" s="6"/>
      <c r="Q55" s="6"/>
      <c r="R55">
        <v>1</v>
      </c>
    </row>
    <row r="56" spans="1:19" ht="14.25" customHeight="1">
      <c r="A56" s="6"/>
      <c r="B56" s="6" t="s">
        <v>19</v>
      </c>
      <c r="C56" s="6" t="s">
        <v>1325</v>
      </c>
      <c r="D56" s="6" t="s">
        <v>1326</v>
      </c>
      <c r="E56" s="6" t="s">
        <v>1327</v>
      </c>
      <c r="F56" s="6" t="s">
        <v>1328</v>
      </c>
      <c r="G56" s="6" t="s">
        <v>385</v>
      </c>
      <c r="H56" s="6">
        <v>770</v>
      </c>
      <c r="I56" s="6">
        <v>30</v>
      </c>
      <c r="J56" s="6">
        <f t="shared" si="0"/>
        <v>740</v>
      </c>
      <c r="K56" s="6" t="s">
        <v>1254</v>
      </c>
      <c r="L56" s="6" t="s">
        <v>26</v>
      </c>
      <c r="M56" s="6" t="s">
        <v>1171</v>
      </c>
      <c r="N56" s="6"/>
      <c r="O56" s="6"/>
      <c r="P56" s="6"/>
      <c r="Q56" s="6"/>
      <c r="R56">
        <v>1</v>
      </c>
    </row>
    <row r="57" spans="1:19" ht="14.25" customHeight="1">
      <c r="A57" s="6"/>
      <c r="B57" s="6" t="s">
        <v>19</v>
      </c>
      <c r="C57" s="6" t="s">
        <v>1329</v>
      </c>
      <c r="D57" s="6" t="s">
        <v>1330</v>
      </c>
      <c r="E57" s="6" t="s">
        <v>1331</v>
      </c>
      <c r="F57" s="6" t="s">
        <v>945</v>
      </c>
      <c r="G57" s="6" t="s">
        <v>385</v>
      </c>
      <c r="H57" s="6">
        <v>760</v>
      </c>
      <c r="I57" s="6">
        <v>30</v>
      </c>
      <c r="J57" s="6">
        <f t="shared" si="0"/>
        <v>730</v>
      </c>
      <c r="K57" s="6" t="s">
        <v>1254</v>
      </c>
      <c r="L57" s="6" t="s">
        <v>26</v>
      </c>
      <c r="M57" s="6" t="s">
        <v>1171</v>
      </c>
      <c r="N57" s="6"/>
      <c r="O57" s="6"/>
      <c r="P57" s="6"/>
      <c r="Q57" s="6"/>
      <c r="R57">
        <v>1</v>
      </c>
    </row>
    <row r="58" spans="1:19" ht="14.25" customHeight="1">
      <c r="A58" s="5"/>
      <c r="B58" s="5" t="s">
        <v>19</v>
      </c>
      <c r="C58" s="5" t="s">
        <v>406</v>
      </c>
      <c r="D58" s="5" t="s">
        <v>1332</v>
      </c>
      <c r="E58" s="5">
        <v>51</v>
      </c>
      <c r="F58" s="5" t="s">
        <v>408</v>
      </c>
      <c r="G58" s="5" t="s">
        <v>385</v>
      </c>
      <c r="H58" s="5">
        <v>30</v>
      </c>
      <c r="I58" s="5">
        <v>30</v>
      </c>
      <c r="J58" s="5">
        <f t="shared" si="0"/>
        <v>0</v>
      </c>
      <c r="K58" s="5" t="s">
        <v>1254</v>
      </c>
      <c r="L58" s="5" t="s">
        <v>26</v>
      </c>
      <c r="M58" s="5" t="s">
        <v>1171</v>
      </c>
      <c r="N58" s="5" t="s">
        <v>177</v>
      </c>
      <c r="O58" s="5"/>
      <c r="P58" s="5"/>
      <c r="Q58" s="5"/>
      <c r="R58">
        <v>1</v>
      </c>
    </row>
    <row r="59" spans="1:19" ht="14.25" customHeight="1">
      <c r="A59" s="6"/>
      <c r="B59" s="6" t="s">
        <v>19</v>
      </c>
      <c r="C59" s="6" t="s">
        <v>1333</v>
      </c>
      <c r="D59" s="6" t="s">
        <v>1334</v>
      </c>
      <c r="E59" s="6" t="s">
        <v>1335</v>
      </c>
      <c r="F59" s="6" t="s">
        <v>603</v>
      </c>
      <c r="G59" s="6" t="s">
        <v>417</v>
      </c>
      <c r="H59" s="6">
        <v>35</v>
      </c>
      <c r="I59" s="6">
        <v>35</v>
      </c>
      <c r="J59" s="6">
        <f t="shared" si="0"/>
        <v>0</v>
      </c>
      <c r="K59" s="6" t="s">
        <v>1254</v>
      </c>
      <c r="L59" s="6" t="s">
        <v>26</v>
      </c>
      <c r="M59" s="6" t="s">
        <v>1171</v>
      </c>
      <c r="N59" s="6"/>
      <c r="O59" s="6"/>
      <c r="P59" s="6"/>
      <c r="Q59" s="6"/>
      <c r="R59">
        <v>1</v>
      </c>
    </row>
    <row r="60" spans="1:19" ht="14.25" customHeight="1">
      <c r="A60" s="6"/>
      <c r="B60" s="6" t="s">
        <v>19</v>
      </c>
      <c r="C60" s="6" t="s">
        <v>1336</v>
      </c>
      <c r="D60" s="6" t="s">
        <v>1337</v>
      </c>
      <c r="E60" s="6" t="s">
        <v>1338</v>
      </c>
      <c r="F60" s="6" t="s">
        <v>1339</v>
      </c>
      <c r="G60" s="6" t="s">
        <v>422</v>
      </c>
      <c r="H60" s="6">
        <v>395</v>
      </c>
      <c r="I60" s="6">
        <v>35</v>
      </c>
      <c r="J60" s="6">
        <f t="shared" si="0"/>
        <v>360</v>
      </c>
      <c r="K60" s="6" t="s">
        <v>1254</v>
      </c>
      <c r="L60" s="6" t="s">
        <v>26</v>
      </c>
      <c r="M60" s="6" t="s">
        <v>1171</v>
      </c>
      <c r="N60" s="6"/>
      <c r="O60" s="6"/>
      <c r="P60" s="6"/>
      <c r="Q60" s="6"/>
      <c r="R60">
        <v>1</v>
      </c>
    </row>
    <row r="61" spans="1:19" ht="14.25" customHeight="1">
      <c r="A61" s="6" t="s">
        <v>37</v>
      </c>
      <c r="B61" s="6" t="s">
        <v>19</v>
      </c>
      <c r="C61" s="6" t="s">
        <v>583</v>
      </c>
      <c r="D61" s="6"/>
      <c r="E61" s="6" t="s">
        <v>584</v>
      </c>
      <c r="F61" s="6" t="s">
        <v>82</v>
      </c>
      <c r="G61" s="6" t="s">
        <v>128</v>
      </c>
      <c r="H61" s="6">
        <v>3290</v>
      </c>
      <c r="I61" s="6">
        <v>35</v>
      </c>
      <c r="J61" s="6">
        <f t="shared" si="0"/>
        <v>3255</v>
      </c>
      <c r="K61" s="6" t="s">
        <v>1254</v>
      </c>
      <c r="L61" s="6" t="s">
        <v>26</v>
      </c>
      <c r="M61" s="6" t="s">
        <v>1171</v>
      </c>
      <c r="N61" s="7" t="s">
        <v>1340</v>
      </c>
      <c r="O61" s="6"/>
      <c r="P61" s="6"/>
      <c r="Q61" s="6"/>
      <c r="R61">
        <v>1</v>
      </c>
    </row>
    <row r="62" spans="1:19" ht="14.25" customHeight="1">
      <c r="A62" s="6"/>
      <c r="B62" s="6" t="s">
        <v>19</v>
      </c>
      <c r="C62" s="6" t="s">
        <v>1341</v>
      </c>
      <c r="D62" s="6" t="s">
        <v>1342</v>
      </c>
      <c r="E62" s="6">
        <v>36</v>
      </c>
      <c r="F62" s="6" t="s">
        <v>1120</v>
      </c>
      <c r="G62" s="6" t="s">
        <v>430</v>
      </c>
      <c r="H62" s="6">
        <v>1705</v>
      </c>
      <c r="I62" s="6">
        <v>25</v>
      </c>
      <c r="J62" s="6">
        <f t="shared" si="0"/>
        <v>1680</v>
      </c>
      <c r="K62" s="6" t="s">
        <v>1254</v>
      </c>
      <c r="L62" s="6" t="s">
        <v>26</v>
      </c>
      <c r="M62" s="6" t="s">
        <v>1171</v>
      </c>
      <c r="N62" s="6"/>
      <c r="O62" s="6"/>
      <c r="P62" s="6"/>
      <c r="Q62" s="6"/>
      <c r="R62">
        <v>1</v>
      </c>
    </row>
    <row r="63" spans="1:19" ht="14.25" customHeight="1">
      <c r="A63" s="6"/>
      <c r="B63" s="6" t="s">
        <v>19</v>
      </c>
      <c r="C63" s="6" t="s">
        <v>543</v>
      </c>
      <c r="D63" s="6" t="s">
        <v>1343</v>
      </c>
      <c r="E63" s="6" t="s">
        <v>1344</v>
      </c>
      <c r="F63" s="6" t="s">
        <v>1345</v>
      </c>
      <c r="G63" s="6" t="s">
        <v>430</v>
      </c>
      <c r="H63" s="6">
        <v>25</v>
      </c>
      <c r="I63" s="6">
        <v>25</v>
      </c>
      <c r="J63" s="6">
        <f t="shared" si="0"/>
        <v>0</v>
      </c>
      <c r="K63" s="6" t="s">
        <v>1254</v>
      </c>
      <c r="L63" s="6" t="s">
        <v>26</v>
      </c>
      <c r="M63" s="6" t="s">
        <v>1171</v>
      </c>
      <c r="N63" s="6"/>
      <c r="O63" s="6"/>
      <c r="P63" s="6"/>
      <c r="Q63" s="6"/>
      <c r="R63">
        <v>1</v>
      </c>
    </row>
    <row r="64" spans="1:19" ht="14.25" customHeight="1">
      <c r="A64" s="6"/>
      <c r="B64" s="6" t="s">
        <v>19</v>
      </c>
      <c r="C64" s="6" t="s">
        <v>1346</v>
      </c>
      <c r="D64" s="6" t="s">
        <v>1347</v>
      </c>
      <c r="E64" s="6" t="s">
        <v>1348</v>
      </c>
      <c r="F64" s="6" t="s">
        <v>1349</v>
      </c>
      <c r="G64" s="6" t="s">
        <v>430</v>
      </c>
      <c r="H64" s="6">
        <v>965</v>
      </c>
      <c r="I64" s="6">
        <v>25</v>
      </c>
      <c r="J64" s="6">
        <f t="shared" si="0"/>
        <v>940</v>
      </c>
      <c r="K64" s="6" t="s">
        <v>1254</v>
      </c>
      <c r="L64" s="6" t="s">
        <v>26</v>
      </c>
      <c r="M64" s="6" t="s">
        <v>1171</v>
      </c>
      <c r="N64" s="6"/>
      <c r="O64" s="6"/>
      <c r="P64" s="6"/>
      <c r="Q64" s="6"/>
      <c r="R64">
        <v>1</v>
      </c>
    </row>
    <row r="65" spans="1:19" ht="14.25" customHeight="1">
      <c r="A65" s="6"/>
      <c r="B65" s="6" t="s">
        <v>19</v>
      </c>
      <c r="C65" s="6" t="s">
        <v>1350</v>
      </c>
      <c r="D65" s="6" t="s">
        <v>1351</v>
      </c>
      <c r="E65" s="6">
        <v>80</v>
      </c>
      <c r="F65" s="6" t="s">
        <v>1352</v>
      </c>
      <c r="G65" s="6" t="s">
        <v>430</v>
      </c>
      <c r="H65" s="6">
        <v>995</v>
      </c>
      <c r="I65" s="6">
        <v>25</v>
      </c>
      <c r="J65" s="6">
        <f t="shared" si="0"/>
        <v>970</v>
      </c>
      <c r="K65" s="6" t="s">
        <v>1254</v>
      </c>
      <c r="L65" s="6" t="s">
        <v>26</v>
      </c>
      <c r="M65" s="6" t="s">
        <v>1171</v>
      </c>
      <c r="N65" s="6"/>
      <c r="O65" s="6"/>
      <c r="P65" s="6"/>
      <c r="Q65" s="6"/>
      <c r="R65">
        <v>1</v>
      </c>
    </row>
    <row r="66" spans="1:19" ht="14.25" customHeight="1">
      <c r="A66" s="6"/>
      <c r="B66" s="6" t="s">
        <v>19</v>
      </c>
      <c r="C66" s="6" t="s">
        <v>1353</v>
      </c>
      <c r="D66" s="6" t="s">
        <v>1354</v>
      </c>
      <c r="E66" s="6" t="s">
        <v>1355</v>
      </c>
      <c r="F66" s="6" t="s">
        <v>1356</v>
      </c>
      <c r="G66" s="6" t="s">
        <v>430</v>
      </c>
      <c r="H66" s="6">
        <v>585</v>
      </c>
      <c r="I66" s="6">
        <v>25</v>
      </c>
      <c r="J66" s="6">
        <f t="shared" si="0"/>
        <v>560</v>
      </c>
      <c r="K66" s="6" t="s">
        <v>1254</v>
      </c>
      <c r="L66" s="6" t="s">
        <v>26</v>
      </c>
      <c r="M66" s="6" t="s">
        <v>1171</v>
      </c>
      <c r="N66" s="6"/>
      <c r="O66" s="6"/>
      <c r="P66" s="6"/>
      <c r="Q66" s="6"/>
      <c r="R66">
        <v>1</v>
      </c>
    </row>
    <row r="67" spans="1:19" ht="14.25" customHeight="1">
      <c r="A67" s="6"/>
      <c r="B67" s="6" t="s">
        <v>19</v>
      </c>
      <c r="C67" s="6" t="s">
        <v>1357</v>
      </c>
      <c r="D67" s="6" t="s">
        <v>1358</v>
      </c>
      <c r="E67" s="6">
        <v>305</v>
      </c>
      <c r="F67" s="6" t="s">
        <v>1359</v>
      </c>
      <c r="G67" s="6" t="s">
        <v>430</v>
      </c>
      <c r="H67" s="6">
        <v>1145</v>
      </c>
      <c r="I67" s="6">
        <v>25</v>
      </c>
      <c r="J67" s="6">
        <f t="shared" si="0"/>
        <v>1120</v>
      </c>
      <c r="K67" s="6" t="s">
        <v>1254</v>
      </c>
      <c r="L67" s="6" t="s">
        <v>26</v>
      </c>
      <c r="M67" s="6" t="s">
        <v>1171</v>
      </c>
      <c r="N67" s="6"/>
      <c r="O67" s="6"/>
      <c r="P67" s="6"/>
      <c r="Q67" s="6"/>
      <c r="R67">
        <v>1</v>
      </c>
    </row>
    <row r="68" spans="1:19" ht="14.25" customHeight="1">
      <c r="A68" s="6"/>
      <c r="B68" s="6" t="s">
        <v>19</v>
      </c>
      <c r="C68" s="6" t="s">
        <v>1360</v>
      </c>
      <c r="D68" s="6" t="s">
        <v>1361</v>
      </c>
      <c r="E68" s="6">
        <v>2</v>
      </c>
      <c r="F68" s="6" t="s">
        <v>1362</v>
      </c>
      <c r="G68" s="6">
        <v>2</v>
      </c>
      <c r="H68" s="6">
        <v>1560</v>
      </c>
      <c r="I68" s="6">
        <v>30</v>
      </c>
      <c r="J68" s="6">
        <f t="shared" si="0"/>
        <v>1530</v>
      </c>
      <c r="K68" s="6" t="s">
        <v>26</v>
      </c>
      <c r="L68" s="6" t="s">
        <v>26</v>
      </c>
      <c r="M68" s="6" t="s">
        <v>1171</v>
      </c>
      <c r="N68" s="6"/>
      <c r="O68" s="6"/>
      <c r="P68" s="6"/>
      <c r="Q68" s="6"/>
      <c r="R68">
        <v>1</v>
      </c>
    </row>
    <row r="69" spans="1:19" ht="14.25" customHeight="1">
      <c r="A69" s="6"/>
      <c r="B69" s="6" t="s">
        <v>19</v>
      </c>
      <c r="C69" s="6" t="s">
        <v>160</v>
      </c>
      <c r="D69" s="6" t="s">
        <v>1363</v>
      </c>
      <c r="E69" s="6">
        <v>8</v>
      </c>
      <c r="F69" s="6" t="s">
        <v>162</v>
      </c>
      <c r="G69" s="6">
        <v>2</v>
      </c>
      <c r="H69" s="6">
        <v>1480</v>
      </c>
      <c r="I69" s="6">
        <v>30</v>
      </c>
      <c r="J69" s="6">
        <f t="shared" si="0"/>
        <v>1450</v>
      </c>
      <c r="K69" s="6" t="s">
        <v>26</v>
      </c>
      <c r="L69" s="6" t="s">
        <v>26</v>
      </c>
      <c r="M69" s="6" t="s">
        <v>1171</v>
      </c>
      <c r="N69" s="6"/>
      <c r="O69" s="6"/>
      <c r="P69" s="6"/>
      <c r="Q69" s="6"/>
      <c r="R69">
        <v>1</v>
      </c>
    </row>
    <row r="70" spans="1:19" ht="14.25" customHeight="1">
      <c r="A70" s="6"/>
      <c r="B70" s="6" t="s">
        <v>19</v>
      </c>
      <c r="C70" s="6" t="s">
        <v>1364</v>
      </c>
      <c r="D70" s="6" t="s">
        <v>1365</v>
      </c>
      <c r="E70" s="6">
        <v>24</v>
      </c>
      <c r="F70" s="6" t="s">
        <v>1366</v>
      </c>
      <c r="G70" s="6">
        <v>2</v>
      </c>
      <c r="H70" s="6">
        <v>820</v>
      </c>
      <c r="I70" s="6">
        <v>30</v>
      </c>
      <c r="J70" s="6">
        <f t="shared" si="0"/>
        <v>790</v>
      </c>
      <c r="K70" s="6" t="s">
        <v>26</v>
      </c>
      <c r="L70" s="6" t="s">
        <v>26</v>
      </c>
      <c r="M70" s="6" t="s">
        <v>1171</v>
      </c>
      <c r="N70" s="6"/>
      <c r="O70" s="6"/>
      <c r="P70" s="6"/>
      <c r="Q70" s="6"/>
      <c r="R70">
        <v>1</v>
      </c>
    </row>
    <row r="71" spans="1:19" ht="14.25" customHeight="1">
      <c r="A71" s="6"/>
      <c r="B71" s="6" t="s">
        <v>19</v>
      </c>
      <c r="C71" s="6" t="s">
        <v>1367</v>
      </c>
      <c r="D71" s="6" t="s">
        <v>1368</v>
      </c>
      <c r="E71" s="6" t="s">
        <v>1369</v>
      </c>
      <c r="F71" s="6" t="s">
        <v>166</v>
      </c>
      <c r="G71" s="6">
        <v>2</v>
      </c>
      <c r="H71" s="6">
        <v>910</v>
      </c>
      <c r="I71" s="6">
        <v>30</v>
      </c>
      <c r="J71" s="6">
        <f t="shared" si="0"/>
        <v>880</v>
      </c>
      <c r="K71" s="6" t="s">
        <v>26</v>
      </c>
      <c r="L71" s="6" t="s">
        <v>26</v>
      </c>
      <c r="M71" s="6" t="s">
        <v>1171</v>
      </c>
      <c r="N71" s="6"/>
      <c r="O71" s="6"/>
      <c r="P71" s="6"/>
      <c r="Q71" s="6"/>
      <c r="R71">
        <v>1</v>
      </c>
    </row>
    <row r="72" spans="1:19" ht="14.25" customHeight="1">
      <c r="A72" s="6"/>
      <c r="B72" s="6" t="s">
        <v>19</v>
      </c>
      <c r="C72" s="6" t="s">
        <v>163</v>
      </c>
      <c r="D72" s="6" t="s">
        <v>1370</v>
      </c>
      <c r="E72" s="6" t="s">
        <v>165</v>
      </c>
      <c r="F72" s="6" t="s">
        <v>166</v>
      </c>
      <c r="G72" s="6">
        <v>2</v>
      </c>
      <c r="H72" s="6">
        <v>0</v>
      </c>
      <c r="I72" s="6">
        <v>30</v>
      </c>
      <c r="J72" s="6">
        <f t="shared" si="0"/>
        <v>-30</v>
      </c>
      <c r="K72" s="6" t="s">
        <v>26</v>
      </c>
      <c r="L72" s="6" t="s">
        <v>26</v>
      </c>
      <c r="M72" s="6" t="s">
        <v>1171</v>
      </c>
      <c r="N72" s="6"/>
      <c r="O72" s="6"/>
      <c r="P72" s="6"/>
      <c r="Q72" s="6"/>
      <c r="R72">
        <v>1</v>
      </c>
      <c r="S72">
        <v>30</v>
      </c>
    </row>
    <row r="73" spans="1:19" ht="14.25" customHeight="1">
      <c r="A73" s="6" t="s">
        <v>37</v>
      </c>
      <c r="B73" s="6" t="s">
        <v>19</v>
      </c>
      <c r="C73" s="6" t="s">
        <v>182</v>
      </c>
      <c r="D73" s="6"/>
      <c r="E73" s="6" t="s">
        <v>183</v>
      </c>
      <c r="F73" s="6" t="s">
        <v>184</v>
      </c>
      <c r="G73" s="6" t="s">
        <v>181</v>
      </c>
      <c r="H73" s="6">
        <v>580</v>
      </c>
      <c r="I73" s="6">
        <v>20</v>
      </c>
      <c r="J73" s="6">
        <f t="shared" si="0"/>
        <v>560</v>
      </c>
      <c r="K73" s="6" t="s">
        <v>26</v>
      </c>
      <c r="L73" s="6" t="s">
        <v>26</v>
      </c>
      <c r="M73" s="6" t="s">
        <v>1171</v>
      </c>
      <c r="N73" s="6"/>
      <c r="O73" s="6"/>
      <c r="P73" s="6"/>
      <c r="Q73" s="6"/>
      <c r="R73">
        <v>1</v>
      </c>
    </row>
    <row r="74" spans="1:19" ht="14.25" customHeight="1">
      <c r="A74" s="5"/>
      <c r="B74" s="5" t="s">
        <v>19</v>
      </c>
      <c r="C74" s="5" t="s">
        <v>1371</v>
      </c>
      <c r="D74" s="5" t="s">
        <v>1372</v>
      </c>
      <c r="E74" s="5" t="s">
        <v>1373</v>
      </c>
      <c r="F74" s="5" t="s">
        <v>1374</v>
      </c>
      <c r="G74" s="5" t="s">
        <v>220</v>
      </c>
      <c r="H74" s="5">
        <v>3790</v>
      </c>
      <c r="I74" s="5">
        <v>30</v>
      </c>
      <c r="J74" s="5">
        <f t="shared" si="0"/>
        <v>3760</v>
      </c>
      <c r="K74" s="5" t="s">
        <v>26</v>
      </c>
      <c r="L74" s="5" t="s">
        <v>26</v>
      </c>
      <c r="M74" s="5" t="s">
        <v>1171</v>
      </c>
      <c r="N74" s="5" t="s">
        <v>36</v>
      </c>
      <c r="O74" s="5"/>
      <c r="P74" s="5"/>
      <c r="Q74" s="5"/>
      <c r="R74">
        <v>1</v>
      </c>
    </row>
    <row r="75" spans="1:19" ht="14.25" customHeight="1">
      <c r="A75" s="6"/>
      <c r="B75" s="6" t="s">
        <v>19</v>
      </c>
      <c r="C75" s="6" t="s">
        <v>1375</v>
      </c>
      <c r="D75" s="6" t="s">
        <v>1376</v>
      </c>
      <c r="E75" s="6">
        <v>193</v>
      </c>
      <c r="F75" s="6" t="s">
        <v>1377</v>
      </c>
      <c r="G75" s="6" t="s">
        <v>220</v>
      </c>
      <c r="H75" s="6">
        <v>715</v>
      </c>
      <c r="I75" s="6">
        <v>25</v>
      </c>
      <c r="J75" s="6">
        <f t="shared" si="0"/>
        <v>690</v>
      </c>
      <c r="K75" s="6" t="s">
        <v>26</v>
      </c>
      <c r="L75" s="6" t="s">
        <v>26</v>
      </c>
      <c r="M75" s="6" t="s">
        <v>1171</v>
      </c>
      <c r="N75" s="6"/>
      <c r="O75" s="6"/>
      <c r="P75" s="6"/>
      <c r="Q75" s="6"/>
      <c r="R75">
        <v>1</v>
      </c>
    </row>
    <row r="76" spans="1:19" ht="14.25" customHeight="1">
      <c r="A76" s="6"/>
      <c r="B76" s="6" t="s">
        <v>19</v>
      </c>
      <c r="C76" s="6" t="s">
        <v>1378</v>
      </c>
      <c r="D76" s="6" t="s">
        <v>1379</v>
      </c>
      <c r="E76" s="6" t="s">
        <v>1380</v>
      </c>
      <c r="F76" s="6" t="s">
        <v>234</v>
      </c>
      <c r="G76" s="6" t="s">
        <v>220</v>
      </c>
      <c r="H76" s="6">
        <v>795</v>
      </c>
      <c r="I76" s="6">
        <v>25</v>
      </c>
      <c r="J76" s="6">
        <f t="shared" si="0"/>
        <v>770</v>
      </c>
      <c r="K76" s="6" t="s">
        <v>26</v>
      </c>
      <c r="L76" s="6" t="s">
        <v>26</v>
      </c>
      <c r="M76" s="6" t="s">
        <v>1171</v>
      </c>
      <c r="N76" s="6"/>
      <c r="O76" s="6"/>
      <c r="P76" s="6"/>
      <c r="Q76" s="6"/>
      <c r="R76">
        <v>1</v>
      </c>
    </row>
    <row r="77" spans="1:19" ht="14.25" customHeight="1">
      <c r="A77" s="6"/>
      <c r="B77" s="6" t="s">
        <v>19</v>
      </c>
      <c r="C77" s="6" t="s">
        <v>1381</v>
      </c>
      <c r="D77" s="6" t="s">
        <v>1382</v>
      </c>
      <c r="E77" s="6" t="s">
        <v>1383</v>
      </c>
      <c r="F77" s="6" t="s">
        <v>1384</v>
      </c>
      <c r="G77" s="6" t="s">
        <v>220</v>
      </c>
      <c r="H77" s="6">
        <v>815</v>
      </c>
      <c r="I77" s="6">
        <v>25</v>
      </c>
      <c r="J77" s="6">
        <f t="shared" si="0"/>
        <v>790</v>
      </c>
      <c r="K77" s="6" t="s">
        <v>26</v>
      </c>
      <c r="L77" s="6" t="s">
        <v>26</v>
      </c>
      <c r="M77" s="6" t="s">
        <v>1171</v>
      </c>
      <c r="N77" s="6"/>
      <c r="O77" s="6"/>
      <c r="P77" s="6"/>
      <c r="Q77" s="6"/>
      <c r="R77">
        <v>1</v>
      </c>
    </row>
    <row r="78" spans="1:19" ht="14.25" customHeight="1">
      <c r="A78" s="6" t="s">
        <v>37</v>
      </c>
      <c r="B78" s="6" t="s">
        <v>19</v>
      </c>
      <c r="C78" s="6" t="s">
        <v>1385</v>
      </c>
      <c r="D78" s="6"/>
      <c r="E78" s="6">
        <v>401</v>
      </c>
      <c r="F78" s="6" t="s">
        <v>236</v>
      </c>
      <c r="G78" s="6" t="s">
        <v>220</v>
      </c>
      <c r="H78" s="6">
        <v>280</v>
      </c>
      <c r="I78" s="6">
        <v>30</v>
      </c>
      <c r="J78" s="6">
        <f t="shared" si="0"/>
        <v>250</v>
      </c>
      <c r="K78" s="6" t="s">
        <v>26</v>
      </c>
      <c r="L78" s="6" t="s">
        <v>26</v>
      </c>
      <c r="M78" s="6" t="s">
        <v>1171</v>
      </c>
      <c r="N78" s="6"/>
      <c r="O78" s="6"/>
      <c r="P78" s="6"/>
      <c r="Q78" s="6"/>
      <c r="R78">
        <v>1</v>
      </c>
    </row>
    <row r="79" spans="1:19" ht="14.25" customHeight="1">
      <c r="A79" s="6"/>
      <c r="B79" s="6" t="s">
        <v>19</v>
      </c>
      <c r="C79" s="6" t="s">
        <v>1386</v>
      </c>
      <c r="D79" s="6" t="s">
        <v>1387</v>
      </c>
      <c r="E79" s="6" t="s">
        <v>1388</v>
      </c>
      <c r="F79" s="6" t="s">
        <v>236</v>
      </c>
      <c r="G79" s="6" t="s">
        <v>220</v>
      </c>
      <c r="H79" s="6">
        <v>415</v>
      </c>
      <c r="I79" s="6">
        <v>25</v>
      </c>
      <c r="J79" s="6">
        <f t="shared" si="0"/>
        <v>390</v>
      </c>
      <c r="K79" s="6" t="s">
        <v>26</v>
      </c>
      <c r="L79" s="6" t="s">
        <v>26</v>
      </c>
      <c r="M79" s="6" t="s">
        <v>1171</v>
      </c>
      <c r="N79" s="6"/>
      <c r="O79" s="6"/>
      <c r="P79" s="6"/>
      <c r="Q79" s="6"/>
      <c r="R79">
        <v>1</v>
      </c>
    </row>
    <row r="80" spans="1:19" ht="14.25" customHeight="1">
      <c r="A80" s="6"/>
      <c r="B80" s="6" t="s">
        <v>19</v>
      </c>
      <c r="C80" s="6" t="s">
        <v>1389</v>
      </c>
      <c r="D80" s="6" t="s">
        <v>1390</v>
      </c>
      <c r="E80" s="6" t="s">
        <v>1391</v>
      </c>
      <c r="F80" s="6" t="s">
        <v>1392</v>
      </c>
      <c r="G80" s="6" t="s">
        <v>128</v>
      </c>
      <c r="H80" s="6">
        <v>875</v>
      </c>
      <c r="I80" s="6">
        <v>25</v>
      </c>
      <c r="J80" s="6">
        <f t="shared" si="0"/>
        <v>850</v>
      </c>
      <c r="K80" s="6" t="s">
        <v>26</v>
      </c>
      <c r="L80" s="6" t="s">
        <v>26</v>
      </c>
      <c r="M80" s="6" t="s">
        <v>1171</v>
      </c>
      <c r="N80" s="6"/>
      <c r="O80" s="6"/>
      <c r="P80" s="6"/>
      <c r="Q80" s="6"/>
      <c r="R80">
        <v>1</v>
      </c>
    </row>
    <row r="81" spans="1:20" ht="14.25" customHeight="1">
      <c r="A81" s="6"/>
      <c r="B81" s="6" t="s">
        <v>19</v>
      </c>
      <c r="C81" s="6" t="s">
        <v>1389</v>
      </c>
      <c r="D81" s="6" t="s">
        <v>1393</v>
      </c>
      <c r="E81" s="6" t="s">
        <v>1391</v>
      </c>
      <c r="F81" s="6" t="s">
        <v>1392</v>
      </c>
      <c r="G81" s="6" t="s">
        <v>128</v>
      </c>
      <c r="H81" s="6">
        <v>990</v>
      </c>
      <c r="I81" s="6">
        <v>0</v>
      </c>
      <c r="J81" s="6">
        <f t="shared" si="0"/>
        <v>990</v>
      </c>
      <c r="K81" s="6" t="s">
        <v>26</v>
      </c>
      <c r="L81" s="6" t="s">
        <v>26</v>
      </c>
      <c r="M81" s="6" t="s">
        <v>1171</v>
      </c>
      <c r="N81" s="7" t="s">
        <v>298</v>
      </c>
      <c r="O81" s="6"/>
      <c r="P81" s="6"/>
      <c r="Q81" s="6"/>
      <c r="R81">
        <v>1</v>
      </c>
    </row>
    <row r="82" spans="1:20" ht="14.25" customHeight="1">
      <c r="A82" s="6"/>
      <c r="B82" s="6" t="s">
        <v>19</v>
      </c>
      <c r="C82" s="6" t="s">
        <v>1394</v>
      </c>
      <c r="D82" s="6" t="s">
        <v>1395</v>
      </c>
      <c r="E82" s="6">
        <v>94</v>
      </c>
      <c r="F82" s="6" t="s">
        <v>1396</v>
      </c>
      <c r="G82" s="6" t="s">
        <v>128</v>
      </c>
      <c r="H82" s="6">
        <v>375</v>
      </c>
      <c r="I82" s="6">
        <v>25</v>
      </c>
      <c r="J82" s="6">
        <f t="shared" si="0"/>
        <v>350</v>
      </c>
      <c r="K82" s="6" t="s">
        <v>26</v>
      </c>
      <c r="L82" s="6" t="s">
        <v>26</v>
      </c>
      <c r="M82" s="6" t="s">
        <v>1171</v>
      </c>
      <c r="N82" s="6"/>
      <c r="O82" s="6"/>
      <c r="P82" s="6"/>
      <c r="Q82" s="6"/>
      <c r="R82">
        <v>1</v>
      </c>
    </row>
    <row r="83" spans="1:20" ht="14.25" customHeight="1">
      <c r="A83" s="6" t="s">
        <v>37</v>
      </c>
      <c r="B83" s="6" t="s">
        <v>19</v>
      </c>
      <c r="C83" s="6" t="s">
        <v>1397</v>
      </c>
      <c r="D83" s="6"/>
      <c r="E83" s="6">
        <v>5</v>
      </c>
      <c r="F83" s="6" t="s">
        <v>1398</v>
      </c>
      <c r="G83" s="6" t="s">
        <v>128</v>
      </c>
      <c r="H83" s="6">
        <v>30</v>
      </c>
      <c r="I83" s="6">
        <v>30</v>
      </c>
      <c r="J83" s="6">
        <f t="shared" si="0"/>
        <v>0</v>
      </c>
      <c r="K83" s="6" t="s">
        <v>26</v>
      </c>
      <c r="L83" s="6" t="s">
        <v>26</v>
      </c>
      <c r="M83" s="6" t="s">
        <v>1171</v>
      </c>
      <c r="N83" s="6"/>
      <c r="O83" s="6"/>
      <c r="P83" s="6"/>
      <c r="Q83" s="6"/>
      <c r="R83">
        <v>1</v>
      </c>
    </row>
    <row r="84" spans="1:20" ht="14.25" customHeight="1">
      <c r="A84" s="6"/>
      <c r="B84" s="6" t="s">
        <v>19</v>
      </c>
      <c r="C84" s="6" t="s">
        <v>1399</v>
      </c>
      <c r="D84" s="6" t="s">
        <v>1400</v>
      </c>
      <c r="E84" s="6">
        <v>50</v>
      </c>
      <c r="F84" s="6" t="s">
        <v>1401</v>
      </c>
      <c r="G84" s="6" t="s">
        <v>250</v>
      </c>
      <c r="H84" s="6">
        <v>800</v>
      </c>
      <c r="I84" s="6">
        <v>30</v>
      </c>
      <c r="J84" s="6">
        <f t="shared" si="0"/>
        <v>770</v>
      </c>
      <c r="K84" s="6" t="s">
        <v>26</v>
      </c>
      <c r="L84" s="6" t="s">
        <v>26</v>
      </c>
      <c r="M84" s="6" t="s">
        <v>1171</v>
      </c>
      <c r="N84" s="6"/>
      <c r="O84" s="6"/>
      <c r="P84" s="6"/>
      <c r="Q84" s="6"/>
      <c r="R84">
        <v>1</v>
      </c>
    </row>
    <row r="85" spans="1:20" ht="14.25" customHeight="1">
      <c r="A85" s="6"/>
      <c r="B85" s="6" t="s">
        <v>19</v>
      </c>
      <c r="C85" s="6" t="s">
        <v>1402</v>
      </c>
      <c r="D85" s="6" t="s">
        <v>1403</v>
      </c>
      <c r="E85" s="6">
        <v>86</v>
      </c>
      <c r="F85" s="6" t="s">
        <v>1404</v>
      </c>
      <c r="G85" s="6" t="s">
        <v>250</v>
      </c>
      <c r="H85" s="6">
        <v>790</v>
      </c>
      <c r="I85" s="6">
        <v>30</v>
      </c>
      <c r="J85" s="6">
        <f t="shared" si="0"/>
        <v>760</v>
      </c>
      <c r="K85" s="6" t="s">
        <v>26</v>
      </c>
      <c r="L85" s="6" t="s">
        <v>26</v>
      </c>
      <c r="M85" s="6" t="s">
        <v>1171</v>
      </c>
      <c r="N85" s="6"/>
      <c r="O85" s="6"/>
      <c r="P85" s="6"/>
      <c r="Q85" s="6"/>
      <c r="R85">
        <v>1</v>
      </c>
    </row>
    <row r="86" spans="1:20" ht="14.25" customHeight="1">
      <c r="A86" s="6"/>
      <c r="B86" s="6" t="s">
        <v>19</v>
      </c>
      <c r="C86" s="6" t="s">
        <v>194</v>
      </c>
      <c r="D86" s="6" t="s">
        <v>1405</v>
      </c>
      <c r="E86" s="6">
        <v>213</v>
      </c>
      <c r="F86" s="6" t="s">
        <v>196</v>
      </c>
      <c r="G86" s="6">
        <v>9</v>
      </c>
      <c r="H86" s="6">
        <v>410</v>
      </c>
      <c r="I86" s="6">
        <v>30</v>
      </c>
      <c r="J86" s="6">
        <f t="shared" si="0"/>
        <v>380</v>
      </c>
      <c r="K86" s="6" t="s">
        <v>197</v>
      </c>
      <c r="L86" s="6" t="s">
        <v>26</v>
      </c>
      <c r="M86" s="6" t="s">
        <v>1171</v>
      </c>
      <c r="N86" s="6"/>
      <c r="O86" s="6"/>
      <c r="P86" s="6"/>
      <c r="Q86" s="6"/>
      <c r="R86">
        <v>1</v>
      </c>
    </row>
    <row r="87" spans="1:20" ht="14.25" customHeight="1">
      <c r="A87" s="6"/>
      <c r="B87" s="6" t="s">
        <v>19</v>
      </c>
      <c r="C87" s="6" t="s">
        <v>1406</v>
      </c>
      <c r="D87" s="6" t="s">
        <v>1407</v>
      </c>
      <c r="E87" s="6">
        <v>136</v>
      </c>
      <c r="F87" s="6" t="s">
        <v>816</v>
      </c>
      <c r="G87" s="6">
        <v>9</v>
      </c>
      <c r="H87" s="6">
        <v>30</v>
      </c>
      <c r="I87" s="6">
        <v>30</v>
      </c>
      <c r="J87" s="6">
        <f t="shared" si="0"/>
        <v>0</v>
      </c>
      <c r="K87" s="6" t="s">
        <v>197</v>
      </c>
      <c r="L87" s="6" t="s">
        <v>26</v>
      </c>
      <c r="M87" s="6" t="s">
        <v>1171</v>
      </c>
      <c r="N87" s="6"/>
      <c r="O87" s="6"/>
      <c r="P87" s="6"/>
      <c r="Q87" s="6"/>
      <c r="R87">
        <v>1</v>
      </c>
    </row>
    <row r="88" spans="1:20" ht="14.25" customHeight="1">
      <c r="A88" s="6"/>
      <c r="B88" s="6" t="s">
        <v>19</v>
      </c>
      <c r="C88" s="6" t="s">
        <v>1408</v>
      </c>
      <c r="D88" s="6" t="s">
        <v>1409</v>
      </c>
      <c r="E88" s="6" t="s">
        <v>1410</v>
      </c>
      <c r="F88" s="6" t="s">
        <v>816</v>
      </c>
      <c r="G88" s="6">
        <v>9</v>
      </c>
      <c r="H88" s="6">
        <v>920</v>
      </c>
      <c r="I88" s="6">
        <v>30</v>
      </c>
      <c r="J88" s="6">
        <f t="shared" si="0"/>
        <v>890</v>
      </c>
      <c r="K88" s="6" t="s">
        <v>197</v>
      </c>
      <c r="L88" s="6" t="s">
        <v>26</v>
      </c>
      <c r="M88" s="6" t="s">
        <v>1171</v>
      </c>
      <c r="N88" s="6"/>
      <c r="O88" s="6"/>
      <c r="P88" s="6"/>
      <c r="Q88" s="6"/>
      <c r="R88">
        <v>1</v>
      </c>
    </row>
    <row r="89" spans="1:20" ht="14.25" customHeight="1">
      <c r="A89" s="6" t="s">
        <v>37</v>
      </c>
      <c r="B89" s="6" t="s">
        <v>19</v>
      </c>
      <c r="C89" s="6" t="s">
        <v>814</v>
      </c>
      <c r="D89" s="6"/>
      <c r="E89" s="6" t="s">
        <v>815</v>
      </c>
      <c r="F89" s="6" t="s">
        <v>816</v>
      </c>
      <c r="G89" s="6">
        <v>9</v>
      </c>
      <c r="H89" s="6">
        <v>35</v>
      </c>
      <c r="I89" s="6">
        <v>35</v>
      </c>
      <c r="J89" s="6">
        <f t="shared" si="0"/>
        <v>0</v>
      </c>
      <c r="K89" s="6" t="s">
        <v>197</v>
      </c>
      <c r="L89" s="6" t="s">
        <v>26</v>
      </c>
      <c r="M89" s="6" t="s">
        <v>1171</v>
      </c>
      <c r="N89" s="6"/>
      <c r="O89" s="6"/>
      <c r="P89" s="6"/>
      <c r="Q89" s="6"/>
      <c r="R89">
        <v>1</v>
      </c>
    </row>
    <row r="90" spans="1:20" ht="14.25" customHeight="1">
      <c r="A90" s="6"/>
      <c r="B90" s="6" t="s">
        <v>19</v>
      </c>
      <c r="C90" s="6" t="s">
        <v>1411</v>
      </c>
      <c r="D90" s="6" t="s">
        <v>1412</v>
      </c>
      <c r="E90" s="6" t="s">
        <v>1413</v>
      </c>
      <c r="F90" s="6" t="s">
        <v>1414</v>
      </c>
      <c r="G90" s="6">
        <v>9</v>
      </c>
      <c r="H90" s="6">
        <v>1810</v>
      </c>
      <c r="I90" s="6">
        <v>30</v>
      </c>
      <c r="J90" s="6">
        <f t="shared" si="0"/>
        <v>1780</v>
      </c>
      <c r="K90" s="6" t="s">
        <v>197</v>
      </c>
      <c r="L90" s="6" t="s">
        <v>26</v>
      </c>
      <c r="M90" s="6" t="s">
        <v>1171</v>
      </c>
      <c r="N90" s="6"/>
      <c r="O90" s="6"/>
      <c r="P90" s="6"/>
      <c r="Q90" s="6"/>
      <c r="R90">
        <v>1</v>
      </c>
    </row>
    <row r="91" spans="1:20" ht="14.25" customHeight="1">
      <c r="A91" s="6"/>
      <c r="B91" s="6" t="s">
        <v>19</v>
      </c>
      <c r="C91" s="6" t="s">
        <v>1275</v>
      </c>
      <c r="D91" s="6" t="s">
        <v>1415</v>
      </c>
      <c r="E91" s="6" t="s">
        <v>1416</v>
      </c>
      <c r="F91" s="6" t="s">
        <v>1417</v>
      </c>
      <c r="G91" s="6">
        <v>9</v>
      </c>
      <c r="H91" s="6">
        <v>450</v>
      </c>
      <c r="I91" s="6">
        <v>30</v>
      </c>
      <c r="J91" s="6">
        <f t="shared" si="0"/>
        <v>420</v>
      </c>
      <c r="K91" s="6" t="s">
        <v>197</v>
      </c>
      <c r="L91" s="6" t="s">
        <v>26</v>
      </c>
      <c r="M91" s="6" t="s">
        <v>1171</v>
      </c>
      <c r="N91" s="6"/>
      <c r="O91" s="6"/>
      <c r="P91" s="6"/>
      <c r="Q91" s="6"/>
      <c r="R91">
        <v>1</v>
      </c>
    </row>
    <row r="92" spans="1:20" ht="14.25" customHeight="1"/>
    <row r="93" spans="1:20" ht="14.25" customHeight="1">
      <c r="H93">
        <f t="shared" ref="H93:T93" si="1">SUBTOTAL(9,H3:H92)</f>
        <v>69095</v>
      </c>
      <c r="I93">
        <f t="shared" si="1"/>
        <v>2285</v>
      </c>
      <c r="J93">
        <f t="shared" si="1"/>
        <v>66810</v>
      </c>
      <c r="K93">
        <f t="shared" si="1"/>
        <v>0</v>
      </c>
      <c r="L93">
        <f t="shared" si="1"/>
        <v>0</v>
      </c>
      <c r="M93">
        <f t="shared" si="1"/>
        <v>0</v>
      </c>
      <c r="N93">
        <f t="shared" si="1"/>
        <v>0</v>
      </c>
      <c r="O93">
        <f t="shared" si="1"/>
        <v>0</v>
      </c>
      <c r="P93">
        <f t="shared" si="1"/>
        <v>0</v>
      </c>
      <c r="Q93">
        <f t="shared" si="1"/>
        <v>0</v>
      </c>
      <c r="R93">
        <f t="shared" si="1"/>
        <v>89</v>
      </c>
      <c r="S93">
        <f t="shared" si="1"/>
        <v>205</v>
      </c>
      <c r="T93">
        <f t="shared" si="1"/>
        <v>0</v>
      </c>
    </row>
    <row r="94" spans="1:20" ht="14.25" customHeight="1">
      <c r="J94">
        <v>-800</v>
      </c>
      <c r="K94" t="s">
        <v>1418</v>
      </c>
    </row>
    <row r="95" spans="1:20" ht="14.25" customHeight="1"/>
    <row r="96" spans="1:20" ht="14.25" customHeight="1"/>
    <row r="97" spans="1:20" ht="20.25" customHeight="1">
      <c r="I97" s="8" t="s">
        <v>1419</v>
      </c>
      <c r="J97" s="9" t="s">
        <v>434</v>
      </c>
      <c r="K97" s="10" t="s">
        <v>435</v>
      </c>
    </row>
    <row r="98" spans="1:20" ht="14.25" customHeight="1">
      <c r="I98" s="11" t="s">
        <v>436</v>
      </c>
      <c r="J98" s="12">
        <f>SUM(J92:J96)</f>
        <v>66010</v>
      </c>
      <c r="K98" s="12">
        <f>R93</f>
        <v>89</v>
      </c>
    </row>
    <row r="99" spans="1:20" ht="14.25" customHeight="1">
      <c r="I99" s="13" t="s">
        <v>437</v>
      </c>
      <c r="J99" s="14">
        <f>S92</f>
        <v>0</v>
      </c>
      <c r="K99" s="15"/>
    </row>
    <row r="100" spans="1:20" ht="14.25" customHeight="1">
      <c r="I100" s="13" t="s">
        <v>438</v>
      </c>
      <c r="J100" s="14">
        <f>T92</f>
        <v>0</v>
      </c>
      <c r="K100" s="15"/>
    </row>
    <row r="101" spans="1:20" ht="14.25" customHeight="1">
      <c r="I101" s="13" t="s">
        <v>439</v>
      </c>
      <c r="J101" s="14">
        <f>U92</f>
        <v>0</v>
      </c>
      <c r="K101" s="15"/>
    </row>
    <row r="102" spans="1:20" ht="14.25" customHeight="1">
      <c r="I102" s="13" t="s">
        <v>440</v>
      </c>
      <c r="J102" s="14">
        <f>V92</f>
        <v>0</v>
      </c>
      <c r="K102" s="15"/>
    </row>
    <row r="103" spans="1:20" ht="14.25" customHeight="1">
      <c r="I103" s="16" t="s">
        <v>441</v>
      </c>
      <c r="J103" s="17"/>
      <c r="K103" s="17"/>
    </row>
    <row r="104" spans="1:20" ht="14.25" customHeight="1">
      <c r="I104" s="18" t="s">
        <v>442</v>
      </c>
      <c r="J104" s="17"/>
      <c r="K104" s="17"/>
    </row>
    <row r="105" spans="1:20" ht="14.25" customHeight="1">
      <c r="I105" s="19" t="s">
        <v>443</v>
      </c>
      <c r="J105" s="20">
        <f>SUM(J98:J104)</f>
        <v>66010</v>
      </c>
      <c r="K105" s="20">
        <f>SUM(K98:K102)</f>
        <v>89</v>
      </c>
    </row>
    <row r="106" spans="1:20" ht="14.25" customHeight="1"/>
    <row r="107" spans="1:20" ht="14.25" customHeight="1">
      <c r="A107" t="s">
        <v>640</v>
      </c>
    </row>
    <row r="108" spans="1:20" ht="14.25" customHeight="1">
      <c r="A108" s="2" t="s">
        <v>19</v>
      </c>
      <c r="B108" s="2" t="s">
        <v>1197</v>
      </c>
      <c r="C108" s="2" t="s">
        <v>1198</v>
      </c>
      <c r="D108" s="2" t="s">
        <v>1199</v>
      </c>
      <c r="E108" s="2" t="s">
        <v>849</v>
      </c>
      <c r="F108" s="2">
        <v>3</v>
      </c>
      <c r="G108" s="2">
        <v>370</v>
      </c>
      <c r="H108" s="2">
        <v>0</v>
      </c>
      <c r="I108" s="2">
        <f>G108-H108</f>
        <v>370</v>
      </c>
      <c r="J108" s="2" t="s">
        <v>35</v>
      </c>
      <c r="K108" s="2" t="s">
        <v>26</v>
      </c>
      <c r="L108" s="2" t="s">
        <v>1171</v>
      </c>
      <c r="M108" s="3" t="s">
        <v>1200</v>
      </c>
      <c r="N108" s="4"/>
      <c r="O108" s="4"/>
      <c r="P108" s="4"/>
      <c r="Q108" s="4"/>
      <c r="R108" s="4"/>
      <c r="S108" s="4"/>
      <c r="T108" s="4"/>
    </row>
  </sheetData>
  <autoFilter ref="A2:Q91" xr:uid="{00000000-0009-0000-0000-000005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opLeftCell="A25" workbookViewId="0"/>
  </sheetViews>
  <sheetFormatPr defaultColWidth="14.42578125" defaultRowHeight="15" customHeight="1"/>
  <cols>
    <col min="1" max="20" width="8.7109375" customWidth="1"/>
  </cols>
  <sheetData>
    <row r="1" spans="1:19" ht="14.25" customHeight="1">
      <c r="B1" t="s">
        <v>1420</v>
      </c>
      <c r="C1" t="s">
        <v>1421</v>
      </c>
    </row>
    <row r="2" spans="1:19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ht="14.25" customHeight="1">
      <c r="A3" s="6"/>
      <c r="B3" s="6" t="s">
        <v>19</v>
      </c>
      <c r="C3" s="6" t="s">
        <v>839</v>
      </c>
      <c r="D3" s="6" t="s">
        <v>1422</v>
      </c>
      <c r="E3" s="6" t="s">
        <v>1423</v>
      </c>
      <c r="F3" s="6" t="s">
        <v>842</v>
      </c>
      <c r="G3" s="6">
        <v>1</v>
      </c>
      <c r="H3" s="6">
        <v>1440</v>
      </c>
      <c r="I3" s="6">
        <v>20</v>
      </c>
      <c r="J3" s="6">
        <f t="shared" ref="J3:J55" si="0">H3-I3</f>
        <v>1420</v>
      </c>
      <c r="K3" s="6" t="s">
        <v>35</v>
      </c>
      <c r="L3" s="6" t="s">
        <v>26</v>
      </c>
      <c r="M3" s="6" t="s">
        <v>1424</v>
      </c>
      <c r="N3" s="6"/>
      <c r="O3" s="6"/>
      <c r="P3" s="6"/>
      <c r="Q3" s="6"/>
      <c r="R3">
        <v>1</v>
      </c>
    </row>
    <row r="4" spans="1:19" ht="14.25" customHeight="1">
      <c r="A4" s="6"/>
      <c r="B4" s="6" t="s">
        <v>19</v>
      </c>
      <c r="C4" s="6" t="s">
        <v>1425</v>
      </c>
      <c r="D4" s="6" t="s">
        <v>1426</v>
      </c>
      <c r="E4" s="6" t="s">
        <v>1427</v>
      </c>
      <c r="F4" s="6" t="s">
        <v>1428</v>
      </c>
      <c r="G4" s="6">
        <v>1</v>
      </c>
      <c r="H4" s="6">
        <v>1280</v>
      </c>
      <c r="I4" s="6">
        <v>20</v>
      </c>
      <c r="J4" s="6">
        <f t="shared" si="0"/>
        <v>1260</v>
      </c>
      <c r="K4" s="6" t="s">
        <v>35</v>
      </c>
      <c r="L4" s="6" t="s">
        <v>26</v>
      </c>
      <c r="M4" s="6" t="s">
        <v>1424</v>
      </c>
      <c r="N4" s="6"/>
      <c r="O4" s="6"/>
      <c r="P4" s="6"/>
      <c r="Q4" s="6"/>
      <c r="R4">
        <v>1</v>
      </c>
    </row>
    <row r="5" spans="1:19" ht="14.25" customHeight="1">
      <c r="A5" s="6"/>
      <c r="B5" s="6" t="s">
        <v>19</v>
      </c>
      <c r="C5" s="6" t="s">
        <v>1187</v>
      </c>
      <c r="D5" s="6" t="s">
        <v>1429</v>
      </c>
      <c r="E5" s="6" t="s">
        <v>1430</v>
      </c>
      <c r="F5" s="6" t="s">
        <v>1190</v>
      </c>
      <c r="G5" s="6">
        <v>1</v>
      </c>
      <c r="H5" s="6">
        <v>1000</v>
      </c>
      <c r="I5" s="6">
        <v>20</v>
      </c>
      <c r="J5" s="6">
        <f t="shared" si="0"/>
        <v>980</v>
      </c>
      <c r="K5" s="6" t="s">
        <v>35</v>
      </c>
      <c r="L5" s="6" t="s">
        <v>26</v>
      </c>
      <c r="M5" s="6" t="s">
        <v>1424</v>
      </c>
      <c r="N5" s="6"/>
      <c r="O5" s="6"/>
      <c r="P5" s="6"/>
      <c r="Q5" s="6"/>
      <c r="R5">
        <v>1</v>
      </c>
    </row>
    <row r="6" spans="1:19" ht="14.25" customHeight="1">
      <c r="A6" s="6"/>
      <c r="B6" s="6" t="s">
        <v>19</v>
      </c>
      <c r="C6" s="6" t="s">
        <v>1431</v>
      </c>
      <c r="D6" s="6" t="s">
        <v>1432</v>
      </c>
      <c r="E6" s="6" t="s">
        <v>1433</v>
      </c>
      <c r="F6" s="6" t="s">
        <v>831</v>
      </c>
      <c r="G6" s="6">
        <v>1</v>
      </c>
      <c r="H6" s="6">
        <v>510</v>
      </c>
      <c r="I6" s="6">
        <v>20</v>
      </c>
      <c r="J6" s="6">
        <f t="shared" si="0"/>
        <v>490</v>
      </c>
      <c r="K6" s="6" t="s">
        <v>35</v>
      </c>
      <c r="L6" s="6" t="s">
        <v>26</v>
      </c>
      <c r="M6" s="6" t="s">
        <v>1424</v>
      </c>
      <c r="N6" s="6"/>
      <c r="O6" s="6"/>
      <c r="P6" s="6"/>
      <c r="Q6" s="6"/>
      <c r="R6">
        <v>1</v>
      </c>
    </row>
    <row r="7" spans="1:19" ht="14.25" customHeight="1">
      <c r="A7" s="6"/>
      <c r="B7" s="6" t="s">
        <v>19</v>
      </c>
      <c r="C7" s="6" t="s">
        <v>1434</v>
      </c>
      <c r="D7" s="6" t="s">
        <v>1435</v>
      </c>
      <c r="E7" s="6" t="s">
        <v>1436</v>
      </c>
      <c r="F7" s="6" t="s">
        <v>135</v>
      </c>
      <c r="G7" s="6">
        <v>3</v>
      </c>
      <c r="H7" s="6">
        <v>0</v>
      </c>
      <c r="I7" s="6">
        <v>20</v>
      </c>
      <c r="J7" s="6">
        <f t="shared" si="0"/>
        <v>-20</v>
      </c>
      <c r="K7" s="6" t="s">
        <v>35</v>
      </c>
      <c r="L7" s="6" t="s">
        <v>26</v>
      </c>
      <c r="M7" s="6" t="s">
        <v>1424</v>
      </c>
      <c r="N7" s="6"/>
      <c r="O7" s="6"/>
      <c r="P7" s="6"/>
      <c r="Q7" s="6"/>
      <c r="R7">
        <v>1</v>
      </c>
      <c r="S7">
        <v>20</v>
      </c>
    </row>
    <row r="8" spans="1:19" ht="14.25" customHeight="1">
      <c r="A8" s="6"/>
      <c r="B8" s="6" t="s">
        <v>19</v>
      </c>
      <c r="C8" s="6" t="s">
        <v>1437</v>
      </c>
      <c r="D8" s="6" t="s">
        <v>1438</v>
      </c>
      <c r="E8" s="6" t="s">
        <v>1439</v>
      </c>
      <c r="F8" s="6" t="s">
        <v>1440</v>
      </c>
      <c r="G8" s="6">
        <v>3</v>
      </c>
      <c r="H8" s="6">
        <v>1500</v>
      </c>
      <c r="I8" s="6">
        <v>20</v>
      </c>
      <c r="J8" s="6">
        <f t="shared" si="0"/>
        <v>1480</v>
      </c>
      <c r="K8" s="6" t="s">
        <v>35</v>
      </c>
      <c r="L8" s="6" t="s">
        <v>26</v>
      </c>
      <c r="M8" s="6" t="s">
        <v>1424</v>
      </c>
      <c r="N8" s="6"/>
      <c r="O8" s="6"/>
      <c r="P8" s="6"/>
      <c r="Q8" s="6"/>
      <c r="R8">
        <v>1</v>
      </c>
    </row>
    <row r="9" spans="1:19" ht="14.25" customHeight="1">
      <c r="A9" s="6"/>
      <c r="B9" s="6" t="s">
        <v>19</v>
      </c>
      <c r="C9" s="6" t="s">
        <v>1441</v>
      </c>
      <c r="D9" s="6" t="s">
        <v>1442</v>
      </c>
      <c r="E9" s="6">
        <v>180</v>
      </c>
      <c r="F9" s="6" t="s">
        <v>1443</v>
      </c>
      <c r="G9" s="6">
        <v>4</v>
      </c>
      <c r="H9" s="6">
        <v>375</v>
      </c>
      <c r="I9" s="6">
        <v>25</v>
      </c>
      <c r="J9" s="6">
        <f t="shared" si="0"/>
        <v>350</v>
      </c>
      <c r="K9" s="6" t="s">
        <v>35</v>
      </c>
      <c r="L9" s="6" t="s">
        <v>26</v>
      </c>
      <c r="M9" s="6" t="s">
        <v>1424</v>
      </c>
      <c r="N9" s="6"/>
      <c r="O9" s="6"/>
      <c r="P9" s="6"/>
      <c r="Q9" s="6"/>
      <c r="R9">
        <v>1</v>
      </c>
    </row>
    <row r="10" spans="1:19" ht="14.25" customHeight="1">
      <c r="A10" s="6"/>
      <c r="B10" s="6" t="s">
        <v>19</v>
      </c>
      <c r="C10" s="6" t="s">
        <v>619</v>
      </c>
      <c r="D10" s="6" t="s">
        <v>1444</v>
      </c>
      <c r="E10" s="6">
        <v>86</v>
      </c>
      <c r="F10" s="6" t="s">
        <v>1045</v>
      </c>
      <c r="G10" s="6">
        <v>5</v>
      </c>
      <c r="H10" s="6">
        <v>515</v>
      </c>
      <c r="I10" s="6">
        <v>25</v>
      </c>
      <c r="J10" s="6">
        <f t="shared" si="0"/>
        <v>490</v>
      </c>
      <c r="K10" s="6" t="s">
        <v>35</v>
      </c>
      <c r="L10" s="6" t="s">
        <v>26</v>
      </c>
      <c r="M10" s="6" t="s">
        <v>1424</v>
      </c>
      <c r="N10" s="6"/>
      <c r="O10" s="6"/>
      <c r="P10" s="6"/>
      <c r="Q10" s="6"/>
      <c r="R10">
        <v>1</v>
      </c>
    </row>
    <row r="11" spans="1:19" ht="14.25" customHeight="1">
      <c r="A11" s="6"/>
      <c r="B11" s="6" t="s">
        <v>19</v>
      </c>
      <c r="C11" s="6" t="s">
        <v>1445</v>
      </c>
      <c r="D11" s="6" t="s">
        <v>1446</v>
      </c>
      <c r="E11" s="6" t="s">
        <v>1447</v>
      </c>
      <c r="F11" s="6" t="s">
        <v>1055</v>
      </c>
      <c r="G11" s="6">
        <v>10</v>
      </c>
      <c r="H11" s="6">
        <v>515</v>
      </c>
      <c r="I11" s="6">
        <v>25</v>
      </c>
      <c r="J11" s="6">
        <f t="shared" si="0"/>
        <v>490</v>
      </c>
      <c r="K11" s="6" t="s">
        <v>35</v>
      </c>
      <c r="L11" s="6" t="s">
        <v>26</v>
      </c>
      <c r="M11" s="6" t="s">
        <v>1424</v>
      </c>
      <c r="N11" s="6"/>
      <c r="O11" s="6"/>
      <c r="P11" s="6"/>
      <c r="Q11" s="6"/>
      <c r="R11">
        <v>1</v>
      </c>
    </row>
    <row r="12" spans="1:19" ht="14.25" customHeight="1">
      <c r="A12" s="6"/>
      <c r="B12" s="6" t="s">
        <v>19</v>
      </c>
      <c r="C12" s="6" t="s">
        <v>1448</v>
      </c>
      <c r="D12" s="6" t="s">
        <v>1449</v>
      </c>
      <c r="E12" s="6">
        <v>408</v>
      </c>
      <c r="F12" s="6" t="s">
        <v>1450</v>
      </c>
      <c r="G12" s="6">
        <v>10</v>
      </c>
      <c r="H12" s="6">
        <v>695</v>
      </c>
      <c r="I12" s="6">
        <v>25</v>
      </c>
      <c r="J12" s="6">
        <f t="shared" si="0"/>
        <v>670</v>
      </c>
      <c r="K12" s="6" t="s">
        <v>35</v>
      </c>
      <c r="L12" s="6" t="s">
        <v>26</v>
      </c>
      <c r="M12" s="6" t="s">
        <v>1424</v>
      </c>
      <c r="N12" s="6"/>
      <c r="O12" s="6"/>
      <c r="P12" s="6"/>
      <c r="Q12" s="6"/>
      <c r="R12">
        <v>1</v>
      </c>
    </row>
    <row r="13" spans="1:19" ht="14.25" customHeight="1">
      <c r="A13" s="6"/>
      <c r="B13" s="6" t="s">
        <v>19</v>
      </c>
      <c r="C13" s="6" t="s">
        <v>1451</v>
      </c>
      <c r="D13" s="6" t="s">
        <v>1452</v>
      </c>
      <c r="E13" s="6" t="s">
        <v>1453</v>
      </c>
      <c r="F13" s="6" t="s">
        <v>1454</v>
      </c>
      <c r="G13" s="6">
        <v>10</v>
      </c>
      <c r="H13" s="6">
        <v>1835</v>
      </c>
      <c r="I13" s="6">
        <v>25</v>
      </c>
      <c r="J13" s="6">
        <f t="shared" si="0"/>
        <v>1810</v>
      </c>
      <c r="K13" s="6" t="s">
        <v>35</v>
      </c>
      <c r="L13" s="6" t="s">
        <v>26</v>
      </c>
      <c r="M13" s="6" t="s">
        <v>1424</v>
      </c>
      <c r="N13" s="6"/>
      <c r="O13" s="6"/>
      <c r="P13" s="6"/>
      <c r="Q13" s="6"/>
      <c r="R13">
        <v>1</v>
      </c>
    </row>
    <row r="14" spans="1:19" ht="14.25" customHeight="1">
      <c r="A14" s="6"/>
      <c r="B14" s="6" t="s">
        <v>19</v>
      </c>
      <c r="C14" s="6" t="s">
        <v>1252</v>
      </c>
      <c r="D14" s="6" t="s">
        <v>1455</v>
      </c>
      <c r="E14" s="6" t="s">
        <v>1456</v>
      </c>
      <c r="F14" s="6" t="s">
        <v>105</v>
      </c>
      <c r="G14" s="6">
        <v>10</v>
      </c>
      <c r="H14" s="6">
        <v>765</v>
      </c>
      <c r="I14" s="6">
        <v>25</v>
      </c>
      <c r="J14" s="6">
        <f t="shared" si="0"/>
        <v>740</v>
      </c>
      <c r="K14" s="6" t="s">
        <v>35</v>
      </c>
      <c r="L14" s="6" t="s">
        <v>26</v>
      </c>
      <c r="M14" s="6" t="s">
        <v>1424</v>
      </c>
      <c r="N14" s="6"/>
      <c r="O14" s="6"/>
      <c r="P14" s="6"/>
      <c r="Q14" s="6"/>
      <c r="R14">
        <v>1</v>
      </c>
    </row>
    <row r="15" spans="1:19" ht="14.25" customHeight="1">
      <c r="A15" s="6"/>
      <c r="B15" s="6" t="s">
        <v>19</v>
      </c>
      <c r="C15" s="6" t="s">
        <v>1457</v>
      </c>
      <c r="D15" s="6" t="s">
        <v>1458</v>
      </c>
      <c r="E15" s="6" t="s">
        <v>1459</v>
      </c>
      <c r="F15" s="6" t="s">
        <v>116</v>
      </c>
      <c r="G15" s="6" t="s">
        <v>117</v>
      </c>
      <c r="H15" s="6">
        <v>0</v>
      </c>
      <c r="I15" s="6">
        <v>20</v>
      </c>
      <c r="J15" s="6">
        <f t="shared" si="0"/>
        <v>-20</v>
      </c>
      <c r="K15" s="6" t="s">
        <v>35</v>
      </c>
      <c r="L15" s="6" t="s">
        <v>26</v>
      </c>
      <c r="M15" s="6" t="s">
        <v>1424</v>
      </c>
      <c r="N15" s="6"/>
      <c r="O15" s="6"/>
      <c r="P15" s="6"/>
      <c r="Q15" s="6"/>
      <c r="R15">
        <v>1</v>
      </c>
      <c r="S15">
        <v>20</v>
      </c>
    </row>
    <row r="16" spans="1:19" ht="14.25" customHeight="1">
      <c r="A16" s="6"/>
      <c r="B16" s="6" t="s">
        <v>19</v>
      </c>
      <c r="C16" s="6" t="s">
        <v>1460</v>
      </c>
      <c r="D16" s="6" t="s">
        <v>1461</v>
      </c>
      <c r="E16" s="6" t="s">
        <v>1462</v>
      </c>
      <c r="F16" s="6" t="s">
        <v>849</v>
      </c>
      <c r="G16" s="6" t="s">
        <v>117</v>
      </c>
      <c r="H16" s="6">
        <v>810</v>
      </c>
      <c r="I16" s="6">
        <v>20</v>
      </c>
      <c r="J16" s="6">
        <f t="shared" si="0"/>
        <v>790</v>
      </c>
      <c r="K16" s="6" t="s">
        <v>35</v>
      </c>
      <c r="L16" s="6" t="s">
        <v>26</v>
      </c>
      <c r="M16" s="6" t="s">
        <v>1424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1463</v>
      </c>
      <c r="D17" s="6" t="s">
        <v>1464</v>
      </c>
      <c r="E17" s="6" t="s">
        <v>1465</v>
      </c>
      <c r="F17" s="6" t="s">
        <v>1063</v>
      </c>
      <c r="G17" s="6" t="s">
        <v>128</v>
      </c>
      <c r="H17" s="6">
        <v>405</v>
      </c>
      <c r="I17" s="6">
        <v>25</v>
      </c>
      <c r="J17" s="6">
        <f t="shared" si="0"/>
        <v>380</v>
      </c>
      <c r="K17" s="6" t="s">
        <v>35</v>
      </c>
      <c r="L17" s="6" t="s">
        <v>26</v>
      </c>
      <c r="M17" s="6" t="s">
        <v>1424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1466</v>
      </c>
      <c r="D18" s="6" t="s">
        <v>1467</v>
      </c>
      <c r="E18" s="6" t="s">
        <v>1468</v>
      </c>
      <c r="F18" s="6" t="s">
        <v>1469</v>
      </c>
      <c r="G18" s="6" t="s">
        <v>128</v>
      </c>
      <c r="H18" s="6">
        <v>765</v>
      </c>
      <c r="I18" s="6">
        <v>25</v>
      </c>
      <c r="J18" s="6">
        <f t="shared" si="0"/>
        <v>740</v>
      </c>
      <c r="K18" s="6" t="s">
        <v>35</v>
      </c>
      <c r="L18" s="6" t="s">
        <v>26</v>
      </c>
      <c r="M18" s="6" t="s">
        <v>1424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1470</v>
      </c>
      <c r="D19" s="6" t="s">
        <v>1471</v>
      </c>
      <c r="E19" s="6">
        <v>212</v>
      </c>
      <c r="F19" s="6" t="s">
        <v>147</v>
      </c>
      <c r="G19" s="6" t="s">
        <v>128</v>
      </c>
      <c r="H19" s="6">
        <v>765</v>
      </c>
      <c r="I19" s="6">
        <v>25</v>
      </c>
      <c r="J19" s="6">
        <f t="shared" si="0"/>
        <v>740</v>
      </c>
      <c r="K19" s="6" t="s">
        <v>35</v>
      </c>
      <c r="L19" s="6" t="s">
        <v>26</v>
      </c>
      <c r="M19" s="6" t="s">
        <v>1424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1472</v>
      </c>
      <c r="D20" s="6" t="s">
        <v>1473</v>
      </c>
      <c r="E20" s="6">
        <v>19</v>
      </c>
      <c r="F20" s="6" t="s">
        <v>150</v>
      </c>
      <c r="G20" s="6" t="s">
        <v>128</v>
      </c>
      <c r="H20" s="6">
        <v>445</v>
      </c>
      <c r="I20" s="6">
        <v>25</v>
      </c>
      <c r="J20" s="6">
        <f t="shared" si="0"/>
        <v>420</v>
      </c>
      <c r="K20" s="6" t="s">
        <v>35</v>
      </c>
      <c r="L20" s="6" t="s">
        <v>26</v>
      </c>
      <c r="M20" s="6" t="s">
        <v>1424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1474</v>
      </c>
      <c r="D21" s="6" t="s">
        <v>1475</v>
      </c>
      <c r="E21" s="6" t="s">
        <v>1476</v>
      </c>
      <c r="F21" s="6" t="s">
        <v>701</v>
      </c>
      <c r="G21" s="6">
        <v>6</v>
      </c>
      <c r="H21" s="23">
        <v>1095</v>
      </c>
      <c r="I21" s="6">
        <v>25</v>
      </c>
      <c r="J21" s="6">
        <f t="shared" si="0"/>
        <v>1070</v>
      </c>
      <c r="K21" s="6" t="s">
        <v>1477</v>
      </c>
      <c r="L21" s="6" t="s">
        <v>26</v>
      </c>
      <c r="M21" s="6" t="s">
        <v>1424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1478</v>
      </c>
      <c r="D22" s="6" t="s">
        <v>1479</v>
      </c>
      <c r="E22" s="6">
        <v>35</v>
      </c>
      <c r="F22" s="6" t="s">
        <v>1480</v>
      </c>
      <c r="G22" s="6">
        <v>7</v>
      </c>
      <c r="H22" s="23">
        <v>1015</v>
      </c>
      <c r="I22" s="6">
        <v>25</v>
      </c>
      <c r="J22" s="6">
        <f t="shared" si="0"/>
        <v>990</v>
      </c>
      <c r="K22" s="6" t="s">
        <v>1477</v>
      </c>
      <c r="L22" s="6" t="s">
        <v>26</v>
      </c>
      <c r="M22" s="6" t="s">
        <v>1424</v>
      </c>
      <c r="N22" s="6"/>
      <c r="O22" s="6"/>
      <c r="P22" s="6"/>
      <c r="Q22" s="6"/>
      <c r="R22">
        <v>1</v>
      </c>
    </row>
    <row r="23" spans="1:19" ht="14.25" customHeight="1">
      <c r="A23" s="5"/>
      <c r="B23" s="5" t="s">
        <v>19</v>
      </c>
      <c r="C23" s="5" t="s">
        <v>1481</v>
      </c>
      <c r="D23" s="5" t="s">
        <v>1482</v>
      </c>
      <c r="E23" s="5">
        <v>4</v>
      </c>
      <c r="F23" s="5" t="s">
        <v>523</v>
      </c>
      <c r="G23" s="5">
        <v>7</v>
      </c>
      <c r="H23" s="5">
        <v>2310</v>
      </c>
      <c r="I23" s="5">
        <v>30</v>
      </c>
      <c r="J23" s="5">
        <f t="shared" si="0"/>
        <v>2280</v>
      </c>
      <c r="K23" s="5" t="s">
        <v>1477</v>
      </c>
      <c r="L23" s="5" t="s">
        <v>26</v>
      </c>
      <c r="M23" s="5" t="s">
        <v>1424</v>
      </c>
      <c r="N23" s="5" t="s">
        <v>36</v>
      </c>
      <c r="O23" s="5"/>
      <c r="P23" s="5"/>
      <c r="Q23" s="5"/>
      <c r="R23">
        <v>1</v>
      </c>
      <c r="S23">
        <v>30</v>
      </c>
    </row>
    <row r="24" spans="1:19" ht="14.25" customHeight="1">
      <c r="A24" s="6"/>
      <c r="B24" s="6" t="s">
        <v>19</v>
      </c>
      <c r="C24" s="6" t="s">
        <v>1483</v>
      </c>
      <c r="D24" s="6" t="s">
        <v>1484</v>
      </c>
      <c r="E24" s="6" t="s">
        <v>1485</v>
      </c>
      <c r="F24" s="6" t="s">
        <v>277</v>
      </c>
      <c r="G24" s="6">
        <v>7</v>
      </c>
      <c r="H24" s="23">
        <v>995</v>
      </c>
      <c r="I24" s="6">
        <v>25</v>
      </c>
      <c r="J24" s="6">
        <f t="shared" si="0"/>
        <v>970</v>
      </c>
      <c r="K24" s="6" t="s">
        <v>1477</v>
      </c>
      <c r="L24" s="6" t="s">
        <v>26</v>
      </c>
      <c r="M24" s="6" t="s">
        <v>1424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1486</v>
      </c>
      <c r="D25" s="6" t="s">
        <v>1487</v>
      </c>
      <c r="E25" s="6">
        <v>160</v>
      </c>
      <c r="F25" s="6" t="s">
        <v>1488</v>
      </c>
      <c r="G25" s="6">
        <v>7</v>
      </c>
      <c r="H25" s="23">
        <v>1475</v>
      </c>
      <c r="I25" s="6">
        <v>25</v>
      </c>
      <c r="J25" s="6">
        <f t="shared" si="0"/>
        <v>1450</v>
      </c>
      <c r="K25" s="6" t="s">
        <v>1477</v>
      </c>
      <c r="L25" s="6" t="s">
        <v>26</v>
      </c>
      <c r="M25" s="6" t="s">
        <v>1424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1275</v>
      </c>
      <c r="D26" s="6" t="s">
        <v>1489</v>
      </c>
      <c r="E26" s="6">
        <v>48</v>
      </c>
      <c r="F26" s="6" t="s">
        <v>156</v>
      </c>
      <c r="G26" s="6">
        <v>7</v>
      </c>
      <c r="H26" s="23">
        <v>1755</v>
      </c>
      <c r="I26" s="6">
        <v>25</v>
      </c>
      <c r="J26" s="6">
        <f t="shared" si="0"/>
        <v>1730</v>
      </c>
      <c r="K26" s="6" t="s">
        <v>1477</v>
      </c>
      <c r="L26" s="6" t="s">
        <v>26</v>
      </c>
      <c r="M26" s="6" t="s">
        <v>1424</v>
      </c>
      <c r="N26" s="6"/>
      <c r="O26" s="6"/>
      <c r="P26" s="6"/>
      <c r="Q26" s="6"/>
      <c r="R26">
        <v>1</v>
      </c>
    </row>
    <row r="27" spans="1:19" ht="14.25" customHeight="1">
      <c r="A27" s="5"/>
      <c r="B27" s="5" t="s">
        <v>19</v>
      </c>
      <c r="C27" s="5" t="s">
        <v>1490</v>
      </c>
      <c r="D27" s="5" t="s">
        <v>1491</v>
      </c>
      <c r="E27" s="5">
        <v>118</v>
      </c>
      <c r="F27" s="5" t="s">
        <v>1339</v>
      </c>
      <c r="G27" s="5">
        <v>7</v>
      </c>
      <c r="H27" s="5">
        <v>3840</v>
      </c>
      <c r="I27" s="5">
        <v>30</v>
      </c>
      <c r="J27" s="5">
        <f t="shared" si="0"/>
        <v>3810</v>
      </c>
      <c r="K27" s="5" t="s">
        <v>1477</v>
      </c>
      <c r="L27" s="5" t="s">
        <v>26</v>
      </c>
      <c r="M27" s="5" t="s">
        <v>1424</v>
      </c>
      <c r="N27" s="5" t="s">
        <v>36</v>
      </c>
      <c r="O27" s="5"/>
      <c r="P27" s="5"/>
      <c r="Q27" s="5"/>
      <c r="R27">
        <v>1</v>
      </c>
    </row>
    <row r="28" spans="1:19" ht="14.25" customHeight="1">
      <c r="A28" s="6"/>
      <c r="B28" s="6" t="s">
        <v>19</v>
      </c>
      <c r="C28" s="6" t="s">
        <v>1492</v>
      </c>
      <c r="D28" s="6" t="s">
        <v>1493</v>
      </c>
      <c r="E28" s="6" t="s">
        <v>1494</v>
      </c>
      <c r="F28" s="6" t="s">
        <v>1495</v>
      </c>
      <c r="G28" s="6">
        <v>7</v>
      </c>
      <c r="H28" s="23">
        <v>815</v>
      </c>
      <c r="I28" s="6">
        <v>25</v>
      </c>
      <c r="J28" s="6">
        <f t="shared" si="0"/>
        <v>790</v>
      </c>
      <c r="K28" s="6" t="s">
        <v>1477</v>
      </c>
      <c r="L28" s="6" t="s">
        <v>26</v>
      </c>
      <c r="M28" s="6" t="s">
        <v>1424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1496</v>
      </c>
      <c r="D29" s="6" t="s">
        <v>1497</v>
      </c>
      <c r="E29" s="6" t="s">
        <v>1498</v>
      </c>
      <c r="F29" s="6" t="s">
        <v>546</v>
      </c>
      <c r="G29" s="6">
        <v>8</v>
      </c>
      <c r="H29" s="23">
        <v>765</v>
      </c>
      <c r="I29" s="6">
        <v>25</v>
      </c>
      <c r="J29" s="6">
        <f t="shared" si="0"/>
        <v>740</v>
      </c>
      <c r="K29" s="6" t="s">
        <v>1477</v>
      </c>
      <c r="L29" s="6" t="s">
        <v>26</v>
      </c>
      <c r="M29" s="6" t="s">
        <v>1424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1499</v>
      </c>
      <c r="D30" s="6" t="s">
        <v>1500</v>
      </c>
      <c r="E30" s="6" t="s">
        <v>1501</v>
      </c>
      <c r="F30" s="6" t="s">
        <v>331</v>
      </c>
      <c r="G30" s="6">
        <v>8</v>
      </c>
      <c r="H30" s="23">
        <v>920</v>
      </c>
      <c r="I30" s="6">
        <v>30</v>
      </c>
      <c r="J30" s="6">
        <f t="shared" si="0"/>
        <v>890</v>
      </c>
      <c r="K30" s="6" t="s">
        <v>1477</v>
      </c>
      <c r="L30" s="6" t="s">
        <v>26</v>
      </c>
      <c r="M30" s="6" t="s">
        <v>1424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1502</v>
      </c>
      <c r="D31" s="6" t="s">
        <v>1503</v>
      </c>
      <c r="E31" s="6" t="s">
        <v>1504</v>
      </c>
      <c r="F31" s="6" t="s">
        <v>552</v>
      </c>
      <c r="G31" s="6">
        <v>8</v>
      </c>
      <c r="H31" s="23">
        <v>1740</v>
      </c>
      <c r="I31" s="6">
        <v>30</v>
      </c>
      <c r="J31" s="6">
        <f t="shared" si="0"/>
        <v>1710</v>
      </c>
      <c r="K31" s="6" t="s">
        <v>1477</v>
      </c>
      <c r="L31" s="6" t="s">
        <v>26</v>
      </c>
      <c r="M31" s="6" t="s">
        <v>1424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846</v>
      </c>
      <c r="D32" s="6" t="s">
        <v>1505</v>
      </c>
      <c r="E32" s="6">
        <v>45</v>
      </c>
      <c r="F32" s="6" t="s">
        <v>1506</v>
      </c>
      <c r="G32" s="6">
        <v>11</v>
      </c>
      <c r="H32" s="23">
        <v>1005</v>
      </c>
      <c r="I32" s="6">
        <v>25</v>
      </c>
      <c r="J32" s="6">
        <f t="shared" si="0"/>
        <v>980</v>
      </c>
      <c r="K32" s="6" t="s">
        <v>1477</v>
      </c>
      <c r="L32" s="6" t="s">
        <v>26</v>
      </c>
      <c r="M32" s="6" t="s">
        <v>1424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1507</v>
      </c>
      <c r="D33" s="6" t="s">
        <v>1508</v>
      </c>
      <c r="E33" s="6" t="s">
        <v>412</v>
      </c>
      <c r="F33" s="6" t="s">
        <v>1509</v>
      </c>
      <c r="G33" s="6" t="s">
        <v>385</v>
      </c>
      <c r="H33" s="23">
        <v>770</v>
      </c>
      <c r="I33" s="6">
        <v>30</v>
      </c>
      <c r="J33" s="6">
        <f t="shared" si="0"/>
        <v>740</v>
      </c>
      <c r="K33" s="6" t="s">
        <v>1477</v>
      </c>
      <c r="L33" s="6" t="s">
        <v>26</v>
      </c>
      <c r="M33" s="6" t="s">
        <v>1424</v>
      </c>
      <c r="N33" s="6"/>
      <c r="O33" s="6"/>
      <c r="P33" s="6"/>
      <c r="Q33" s="6"/>
      <c r="R33">
        <v>1</v>
      </c>
    </row>
    <row r="34" spans="1:19" ht="14.25" customHeight="1">
      <c r="A34" s="6"/>
      <c r="B34" s="6" t="s">
        <v>19</v>
      </c>
      <c r="C34" s="6" t="s">
        <v>1510</v>
      </c>
      <c r="D34" s="6" t="s">
        <v>1511</v>
      </c>
      <c r="E34" s="6">
        <v>84</v>
      </c>
      <c r="F34" s="6" t="s">
        <v>1512</v>
      </c>
      <c r="G34" s="6" t="s">
        <v>385</v>
      </c>
      <c r="H34" s="23">
        <v>0</v>
      </c>
      <c r="I34" s="6">
        <v>30</v>
      </c>
      <c r="J34" s="6">
        <f t="shared" si="0"/>
        <v>-30</v>
      </c>
      <c r="K34" s="6" t="s">
        <v>1477</v>
      </c>
      <c r="L34" s="6" t="s">
        <v>26</v>
      </c>
      <c r="M34" s="6" t="s">
        <v>1424</v>
      </c>
      <c r="N34" s="6"/>
      <c r="O34" s="6"/>
      <c r="P34" s="6"/>
      <c r="Q34" s="6"/>
      <c r="R34">
        <v>1</v>
      </c>
      <c r="S34">
        <v>30</v>
      </c>
    </row>
    <row r="35" spans="1:19" ht="14.25" customHeight="1">
      <c r="A35" s="6"/>
      <c r="B35" s="6" t="s">
        <v>19</v>
      </c>
      <c r="C35" s="6" t="s">
        <v>1513</v>
      </c>
      <c r="D35" s="6" t="s">
        <v>1514</v>
      </c>
      <c r="E35" s="6">
        <v>32</v>
      </c>
      <c r="F35" s="6" t="s">
        <v>297</v>
      </c>
      <c r="G35" s="6" t="s">
        <v>385</v>
      </c>
      <c r="H35" s="23">
        <v>820</v>
      </c>
      <c r="I35" s="6">
        <v>30</v>
      </c>
      <c r="J35" s="6">
        <f t="shared" si="0"/>
        <v>790</v>
      </c>
      <c r="K35" s="6" t="s">
        <v>1477</v>
      </c>
      <c r="L35" s="6" t="s">
        <v>26</v>
      </c>
      <c r="M35" s="6" t="s">
        <v>1424</v>
      </c>
      <c r="N35" s="6"/>
      <c r="O35" s="6"/>
      <c r="P35" s="6"/>
      <c r="Q35" s="6"/>
      <c r="R35">
        <v>1</v>
      </c>
    </row>
    <row r="36" spans="1:19" ht="14.25" customHeight="1">
      <c r="A36" s="6"/>
      <c r="B36" s="6" t="s">
        <v>19</v>
      </c>
      <c r="C36" s="6" t="s">
        <v>1515</v>
      </c>
      <c r="D36" s="6" t="s">
        <v>1516</v>
      </c>
      <c r="E36" s="6">
        <v>10</v>
      </c>
      <c r="F36" s="6" t="s">
        <v>1517</v>
      </c>
      <c r="G36" s="6" t="s">
        <v>385</v>
      </c>
      <c r="H36" s="23">
        <v>820</v>
      </c>
      <c r="I36" s="6">
        <v>30</v>
      </c>
      <c r="J36" s="6">
        <f t="shared" si="0"/>
        <v>790</v>
      </c>
      <c r="K36" s="6" t="s">
        <v>1477</v>
      </c>
      <c r="L36" s="6" t="s">
        <v>26</v>
      </c>
      <c r="M36" s="6" t="s">
        <v>1424</v>
      </c>
      <c r="N36" s="6"/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1518</v>
      </c>
      <c r="D37" s="6" t="s">
        <v>1519</v>
      </c>
      <c r="E37" s="6">
        <v>1191</v>
      </c>
      <c r="F37" s="6" t="s">
        <v>1520</v>
      </c>
      <c r="G37" s="6" t="s">
        <v>422</v>
      </c>
      <c r="H37" s="23">
        <v>975</v>
      </c>
      <c r="I37" s="6">
        <v>35</v>
      </c>
      <c r="J37" s="6">
        <f t="shared" si="0"/>
        <v>940</v>
      </c>
      <c r="K37" s="6" t="s">
        <v>1477</v>
      </c>
      <c r="L37" s="6" t="s">
        <v>26</v>
      </c>
      <c r="M37" s="6" t="s">
        <v>1424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1521</v>
      </c>
      <c r="D38" s="6" t="s">
        <v>1522</v>
      </c>
      <c r="E38" s="6" t="s">
        <v>1523</v>
      </c>
      <c r="F38" s="6" t="s">
        <v>957</v>
      </c>
      <c r="G38" s="6" t="s">
        <v>128</v>
      </c>
      <c r="H38" s="23">
        <v>0</v>
      </c>
      <c r="I38" s="6">
        <v>25</v>
      </c>
      <c r="J38" s="6">
        <f t="shared" si="0"/>
        <v>-25</v>
      </c>
      <c r="K38" s="6" t="s">
        <v>1477</v>
      </c>
      <c r="L38" s="6" t="s">
        <v>26</v>
      </c>
      <c r="M38" s="6" t="s">
        <v>1424</v>
      </c>
      <c r="N38" s="6"/>
      <c r="O38" s="6"/>
      <c r="P38" s="6"/>
      <c r="Q38" s="6"/>
      <c r="R38">
        <v>1</v>
      </c>
      <c r="S38">
        <v>25</v>
      </c>
    </row>
    <row r="39" spans="1:19" ht="14.25" customHeight="1">
      <c r="A39" s="6"/>
      <c r="B39" s="6" t="s">
        <v>19</v>
      </c>
      <c r="C39" s="6" t="s">
        <v>1524</v>
      </c>
      <c r="D39" s="6" t="s">
        <v>1525</v>
      </c>
      <c r="E39" s="6">
        <v>24</v>
      </c>
      <c r="F39" s="6" t="s">
        <v>1526</v>
      </c>
      <c r="G39" s="6" t="s">
        <v>430</v>
      </c>
      <c r="H39" s="23">
        <v>865</v>
      </c>
      <c r="I39" s="6">
        <v>25</v>
      </c>
      <c r="J39" s="6">
        <f t="shared" si="0"/>
        <v>840</v>
      </c>
      <c r="K39" s="6" t="s">
        <v>1477</v>
      </c>
      <c r="L39" s="6" t="s">
        <v>26</v>
      </c>
      <c r="M39" s="6" t="s">
        <v>1424</v>
      </c>
      <c r="N39" s="6"/>
      <c r="O39" s="6"/>
      <c r="P39" s="6"/>
      <c r="Q39" s="6"/>
      <c r="R39">
        <v>1</v>
      </c>
    </row>
    <row r="40" spans="1:19" ht="14.25" customHeight="1">
      <c r="A40" s="6"/>
      <c r="B40" s="6" t="s">
        <v>19</v>
      </c>
      <c r="C40" s="6" t="s">
        <v>1527</v>
      </c>
      <c r="D40" s="6" t="s">
        <v>1528</v>
      </c>
      <c r="E40" s="6">
        <v>206</v>
      </c>
      <c r="F40" s="6" t="s">
        <v>1529</v>
      </c>
      <c r="G40" s="6" t="s">
        <v>430</v>
      </c>
      <c r="H40" s="23">
        <v>1485</v>
      </c>
      <c r="I40" s="6">
        <v>25</v>
      </c>
      <c r="J40" s="6">
        <f t="shared" si="0"/>
        <v>1460</v>
      </c>
      <c r="K40" s="6" t="s">
        <v>1477</v>
      </c>
      <c r="L40" s="6" t="s">
        <v>26</v>
      </c>
      <c r="M40" s="6" t="s">
        <v>1424</v>
      </c>
      <c r="N40" s="6"/>
      <c r="O40" s="6"/>
      <c r="P40" s="6"/>
      <c r="Q40" s="6"/>
      <c r="R40">
        <v>1</v>
      </c>
    </row>
    <row r="41" spans="1:19" ht="14.25" customHeight="1">
      <c r="A41" s="6"/>
      <c r="B41" s="6" t="s">
        <v>19</v>
      </c>
      <c r="C41" s="6" t="s">
        <v>1530</v>
      </c>
      <c r="D41" s="6" t="s">
        <v>1531</v>
      </c>
      <c r="E41" s="6" t="s">
        <v>1532</v>
      </c>
      <c r="F41" s="6" t="s">
        <v>1533</v>
      </c>
      <c r="G41" s="6" t="s">
        <v>430</v>
      </c>
      <c r="H41" s="23">
        <v>765</v>
      </c>
      <c r="I41" s="6">
        <v>25</v>
      </c>
      <c r="J41" s="6">
        <f t="shared" si="0"/>
        <v>740</v>
      </c>
      <c r="K41" s="6" t="s">
        <v>1477</v>
      </c>
      <c r="L41" s="6" t="s">
        <v>26</v>
      </c>
      <c r="M41" s="6" t="s">
        <v>1424</v>
      </c>
      <c r="N41" s="6"/>
      <c r="O41" s="6"/>
      <c r="P41" s="6"/>
      <c r="Q41" s="6"/>
      <c r="R41">
        <v>1</v>
      </c>
    </row>
    <row r="42" spans="1:19" ht="14.25" customHeight="1">
      <c r="A42" s="6"/>
      <c r="B42" s="6" t="s">
        <v>19</v>
      </c>
      <c r="C42" s="6" t="s">
        <v>1534</v>
      </c>
      <c r="D42" s="6" t="s">
        <v>1535</v>
      </c>
      <c r="E42" s="6" t="s">
        <v>1536</v>
      </c>
      <c r="F42" s="6" t="s">
        <v>166</v>
      </c>
      <c r="G42" s="6">
        <v>2</v>
      </c>
      <c r="H42" s="6">
        <v>770</v>
      </c>
      <c r="I42" s="6">
        <v>30</v>
      </c>
      <c r="J42" s="6">
        <f t="shared" si="0"/>
        <v>740</v>
      </c>
      <c r="K42" s="6" t="s">
        <v>26</v>
      </c>
      <c r="L42" s="6" t="s">
        <v>26</v>
      </c>
      <c r="M42" s="6" t="s">
        <v>1424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1537</v>
      </c>
      <c r="D43" s="6" t="s">
        <v>1538</v>
      </c>
      <c r="E43" s="6" t="s">
        <v>812</v>
      </c>
      <c r="F43" s="6" t="s">
        <v>824</v>
      </c>
      <c r="G43" s="6">
        <v>9</v>
      </c>
      <c r="H43" s="6">
        <v>900</v>
      </c>
      <c r="I43" s="6">
        <v>30</v>
      </c>
      <c r="J43" s="6">
        <f t="shared" si="0"/>
        <v>870</v>
      </c>
      <c r="K43" s="6" t="s">
        <v>26</v>
      </c>
      <c r="L43" s="6" t="s">
        <v>26</v>
      </c>
      <c r="M43" s="6" t="s">
        <v>1424</v>
      </c>
      <c r="N43" s="6"/>
      <c r="O43" s="6"/>
      <c r="P43" s="6"/>
      <c r="Q43" s="6"/>
      <c r="R43">
        <v>1</v>
      </c>
    </row>
    <row r="44" spans="1:19" ht="14.25" customHeight="1">
      <c r="A44" s="6"/>
      <c r="B44" s="6" t="s">
        <v>19</v>
      </c>
      <c r="C44" s="6" t="s">
        <v>1539</v>
      </c>
      <c r="D44" s="6" t="s">
        <v>1540</v>
      </c>
      <c r="E44" s="6" t="s">
        <v>1541</v>
      </c>
      <c r="F44" s="6" t="s">
        <v>1542</v>
      </c>
      <c r="G44" s="6" t="s">
        <v>181</v>
      </c>
      <c r="H44" s="6">
        <v>0</v>
      </c>
      <c r="I44" s="6">
        <v>20</v>
      </c>
      <c r="J44" s="6">
        <f t="shared" si="0"/>
        <v>-20</v>
      </c>
      <c r="K44" s="6" t="s">
        <v>26</v>
      </c>
      <c r="L44" s="6" t="s">
        <v>26</v>
      </c>
      <c r="M44" s="6" t="s">
        <v>1424</v>
      </c>
      <c r="N44" s="6"/>
      <c r="O44" s="6"/>
      <c r="P44" s="6"/>
      <c r="Q44" s="6"/>
      <c r="R44">
        <v>1</v>
      </c>
      <c r="S44">
        <v>20</v>
      </c>
    </row>
    <row r="45" spans="1:19" ht="14.25" customHeight="1">
      <c r="A45" s="5"/>
      <c r="B45" s="5" t="s">
        <v>19</v>
      </c>
      <c r="C45" s="5" t="s">
        <v>1543</v>
      </c>
      <c r="D45" s="5" t="s">
        <v>1544</v>
      </c>
      <c r="E45" s="5" t="s">
        <v>1265</v>
      </c>
      <c r="F45" s="5" t="s">
        <v>1545</v>
      </c>
      <c r="G45" s="5" t="s">
        <v>181</v>
      </c>
      <c r="H45" s="5">
        <v>2250</v>
      </c>
      <c r="I45" s="5">
        <v>25</v>
      </c>
      <c r="J45" s="5">
        <f t="shared" si="0"/>
        <v>2225</v>
      </c>
      <c r="K45" s="5" t="s">
        <v>26</v>
      </c>
      <c r="L45" s="5" t="s">
        <v>26</v>
      </c>
      <c r="M45" s="5" t="s">
        <v>1424</v>
      </c>
      <c r="N45" s="5" t="s">
        <v>36</v>
      </c>
      <c r="O45" s="5"/>
      <c r="P45" s="5"/>
      <c r="Q45" s="5"/>
      <c r="R45">
        <v>1</v>
      </c>
      <c r="S45">
        <v>25</v>
      </c>
    </row>
    <row r="46" spans="1:19" ht="14.25" customHeight="1">
      <c r="A46" s="6"/>
      <c r="B46" s="6" t="s">
        <v>19</v>
      </c>
      <c r="C46" s="6" t="s">
        <v>1546</v>
      </c>
      <c r="D46" s="6" t="s">
        <v>1547</v>
      </c>
      <c r="E46" s="6" t="s">
        <v>1548</v>
      </c>
      <c r="F46" s="6" t="s">
        <v>1549</v>
      </c>
      <c r="G46" s="6" t="s">
        <v>181</v>
      </c>
      <c r="H46" s="6">
        <v>810</v>
      </c>
      <c r="I46" s="6">
        <v>20</v>
      </c>
      <c r="J46" s="6">
        <f t="shared" si="0"/>
        <v>790</v>
      </c>
      <c r="K46" s="6" t="s">
        <v>26</v>
      </c>
      <c r="L46" s="6" t="s">
        <v>26</v>
      </c>
      <c r="M46" s="6" t="s">
        <v>1424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1550</v>
      </c>
      <c r="D47" s="6" t="s">
        <v>1551</v>
      </c>
      <c r="E47" s="6" t="s">
        <v>1552</v>
      </c>
      <c r="F47" s="6" t="s">
        <v>1553</v>
      </c>
      <c r="G47" s="6" t="s">
        <v>181</v>
      </c>
      <c r="H47" s="6">
        <v>510</v>
      </c>
      <c r="I47" s="6">
        <v>20</v>
      </c>
      <c r="J47" s="6">
        <f t="shared" si="0"/>
        <v>490</v>
      </c>
      <c r="K47" s="6" t="s">
        <v>26</v>
      </c>
      <c r="L47" s="6" t="s">
        <v>26</v>
      </c>
      <c r="M47" s="6" t="s">
        <v>1424</v>
      </c>
      <c r="N47" s="6"/>
      <c r="O47" s="6"/>
      <c r="P47" s="6"/>
      <c r="Q47" s="6"/>
      <c r="R47">
        <v>1</v>
      </c>
    </row>
    <row r="48" spans="1:19" ht="14.25" customHeight="1">
      <c r="A48" s="6"/>
      <c r="B48" s="6" t="s">
        <v>19</v>
      </c>
      <c r="C48" s="6" t="s">
        <v>1554</v>
      </c>
      <c r="D48" s="6" t="s">
        <v>1555</v>
      </c>
      <c r="E48" s="6" t="s">
        <v>1556</v>
      </c>
      <c r="F48" s="6" t="s">
        <v>63</v>
      </c>
      <c r="G48" s="6" t="s">
        <v>181</v>
      </c>
      <c r="H48" s="6">
        <v>860</v>
      </c>
      <c r="I48" s="6">
        <v>20</v>
      </c>
      <c r="J48" s="6">
        <f t="shared" si="0"/>
        <v>840</v>
      </c>
      <c r="K48" s="6" t="s">
        <v>26</v>
      </c>
      <c r="L48" s="6" t="s">
        <v>26</v>
      </c>
      <c r="M48" s="6" t="s">
        <v>1424</v>
      </c>
      <c r="N48" s="6"/>
      <c r="O48" s="6"/>
      <c r="P48" s="6"/>
      <c r="Q48" s="6"/>
      <c r="R48">
        <v>1</v>
      </c>
    </row>
    <row r="49" spans="1:20" ht="14.25" customHeight="1">
      <c r="A49" s="6"/>
      <c r="B49" s="6" t="s">
        <v>19</v>
      </c>
      <c r="C49" s="6" t="s">
        <v>1557</v>
      </c>
      <c r="D49" s="6" t="s">
        <v>1558</v>
      </c>
      <c r="E49" s="6" t="s">
        <v>1559</v>
      </c>
      <c r="F49" s="6" t="s">
        <v>1560</v>
      </c>
      <c r="G49" s="6" t="s">
        <v>220</v>
      </c>
      <c r="H49" s="6">
        <v>1485</v>
      </c>
      <c r="I49" s="6">
        <v>25</v>
      </c>
      <c r="J49" s="6">
        <f t="shared" si="0"/>
        <v>1460</v>
      </c>
      <c r="K49" s="6" t="s">
        <v>26</v>
      </c>
      <c r="L49" s="6" t="s">
        <v>26</v>
      </c>
      <c r="M49" s="6" t="s">
        <v>1424</v>
      </c>
      <c r="N49" s="6"/>
      <c r="O49" s="6"/>
      <c r="P49" s="6"/>
      <c r="Q49" s="6"/>
      <c r="R49">
        <v>1</v>
      </c>
    </row>
    <row r="50" spans="1:20" ht="14.25" customHeight="1">
      <c r="A50" s="6"/>
      <c r="B50" s="6" t="s">
        <v>19</v>
      </c>
      <c r="C50" s="6" t="s">
        <v>1561</v>
      </c>
      <c r="D50" s="6" t="s">
        <v>1562</v>
      </c>
      <c r="E50" s="6">
        <v>13</v>
      </c>
      <c r="F50" s="6" t="s">
        <v>204</v>
      </c>
      <c r="G50" s="6" t="s">
        <v>220</v>
      </c>
      <c r="H50" s="6">
        <v>915</v>
      </c>
      <c r="I50" s="6">
        <v>25</v>
      </c>
      <c r="J50" s="6">
        <f t="shared" si="0"/>
        <v>890</v>
      </c>
      <c r="K50" s="6" t="s">
        <v>26</v>
      </c>
      <c r="L50" s="6" t="s">
        <v>26</v>
      </c>
      <c r="M50" s="6" t="s">
        <v>1424</v>
      </c>
      <c r="N50" s="6"/>
      <c r="O50" s="6"/>
      <c r="P50" s="6"/>
      <c r="Q50" s="6"/>
      <c r="R50">
        <v>1</v>
      </c>
    </row>
    <row r="51" spans="1:20" ht="14.25" customHeight="1">
      <c r="A51" s="5"/>
      <c r="B51" s="5" t="s">
        <v>19</v>
      </c>
      <c r="C51" s="5" t="s">
        <v>1563</v>
      </c>
      <c r="D51" s="5" t="s">
        <v>1564</v>
      </c>
      <c r="E51" s="5" t="s">
        <v>1565</v>
      </c>
      <c r="F51" s="5" t="s">
        <v>236</v>
      </c>
      <c r="G51" s="5" t="s">
        <v>220</v>
      </c>
      <c r="H51" s="5">
        <v>1850</v>
      </c>
      <c r="I51" s="5">
        <v>25</v>
      </c>
      <c r="J51" s="5">
        <f t="shared" si="0"/>
        <v>1825</v>
      </c>
      <c r="K51" s="5" t="s">
        <v>26</v>
      </c>
      <c r="L51" s="5" t="s">
        <v>26</v>
      </c>
      <c r="M51" s="5" t="s">
        <v>1424</v>
      </c>
      <c r="N51" s="5" t="s">
        <v>36</v>
      </c>
      <c r="O51" s="5"/>
      <c r="P51" s="5"/>
      <c r="Q51" s="5"/>
      <c r="R51">
        <v>1</v>
      </c>
    </row>
    <row r="52" spans="1:20" ht="14.25" customHeight="1">
      <c r="A52" s="6"/>
      <c r="B52" s="6" t="s">
        <v>19</v>
      </c>
      <c r="C52" s="6" t="s">
        <v>1566</v>
      </c>
      <c r="D52" s="6" t="s">
        <v>1567</v>
      </c>
      <c r="E52" s="6" t="s">
        <v>1568</v>
      </c>
      <c r="F52" s="6" t="s">
        <v>1569</v>
      </c>
      <c r="G52" s="6" t="s">
        <v>128</v>
      </c>
      <c r="H52" s="6">
        <v>515</v>
      </c>
      <c r="I52" s="6">
        <v>25</v>
      </c>
      <c r="J52" s="6">
        <f t="shared" si="0"/>
        <v>490</v>
      </c>
      <c r="K52" s="6" t="s">
        <v>26</v>
      </c>
      <c r="L52" s="6" t="s">
        <v>26</v>
      </c>
      <c r="M52" s="6" t="s">
        <v>1424</v>
      </c>
      <c r="N52" s="6"/>
      <c r="O52" s="6"/>
      <c r="P52" s="6"/>
      <c r="Q52" s="6"/>
      <c r="R52">
        <v>1</v>
      </c>
    </row>
    <row r="53" spans="1:20" ht="14.25" customHeight="1">
      <c r="A53" s="6"/>
      <c r="B53" s="6" t="s">
        <v>19</v>
      </c>
      <c r="C53" s="6" t="s">
        <v>1570</v>
      </c>
      <c r="D53" s="6" t="s">
        <v>1571</v>
      </c>
      <c r="E53" s="6" t="s">
        <v>1572</v>
      </c>
      <c r="F53" s="6" t="s">
        <v>1573</v>
      </c>
      <c r="G53" s="6" t="s">
        <v>250</v>
      </c>
      <c r="H53" s="6">
        <v>950</v>
      </c>
      <c r="I53" s="6">
        <v>30</v>
      </c>
      <c r="J53" s="6">
        <f t="shared" si="0"/>
        <v>920</v>
      </c>
      <c r="K53" s="6" t="s">
        <v>26</v>
      </c>
      <c r="L53" s="6" t="s">
        <v>26</v>
      </c>
      <c r="M53" s="6" t="s">
        <v>1424</v>
      </c>
      <c r="N53" s="6"/>
      <c r="O53" s="6"/>
      <c r="P53" s="6"/>
      <c r="Q53" s="6"/>
      <c r="R53">
        <v>1</v>
      </c>
    </row>
    <row r="54" spans="1:20" ht="14.25" customHeight="1">
      <c r="A54" s="6"/>
      <c r="B54" s="6" t="s">
        <v>19</v>
      </c>
      <c r="C54" s="6" t="s">
        <v>1574</v>
      </c>
      <c r="D54" s="6" t="s">
        <v>1575</v>
      </c>
      <c r="E54" s="6">
        <v>141</v>
      </c>
      <c r="F54" s="6" t="s">
        <v>1576</v>
      </c>
      <c r="G54" s="6" t="s">
        <v>250</v>
      </c>
      <c r="H54" s="6">
        <v>820</v>
      </c>
      <c r="I54" s="6">
        <v>30</v>
      </c>
      <c r="J54" s="6">
        <f t="shared" si="0"/>
        <v>790</v>
      </c>
      <c r="K54" s="6" t="s">
        <v>26</v>
      </c>
      <c r="L54" s="6" t="s">
        <v>26</v>
      </c>
      <c r="M54" s="6" t="s">
        <v>1424</v>
      </c>
      <c r="N54" s="6"/>
      <c r="O54" s="6"/>
      <c r="P54" s="6"/>
      <c r="Q54" s="6"/>
      <c r="R54">
        <v>1</v>
      </c>
    </row>
    <row r="55" spans="1:20" ht="14.25" customHeight="1">
      <c r="A55" s="6"/>
      <c r="B55" s="6" t="s">
        <v>19</v>
      </c>
      <c r="C55" s="6" t="s">
        <v>1577</v>
      </c>
      <c r="D55" s="6" t="s">
        <v>1578</v>
      </c>
      <c r="E55" s="6" t="s">
        <v>1579</v>
      </c>
      <c r="F55" s="6" t="s">
        <v>1580</v>
      </c>
      <c r="G55" s="6">
        <v>1</v>
      </c>
      <c r="H55" s="6">
        <v>0</v>
      </c>
      <c r="I55" s="6">
        <v>40</v>
      </c>
      <c r="J55" s="6">
        <f t="shared" si="0"/>
        <v>-40</v>
      </c>
      <c r="K55" s="6" t="s">
        <v>1581</v>
      </c>
      <c r="L55" s="6" t="s">
        <v>26</v>
      </c>
      <c r="M55" s="6" t="s">
        <v>1424</v>
      </c>
      <c r="N55" s="7" t="s">
        <v>1582</v>
      </c>
      <c r="O55" s="6"/>
      <c r="P55" s="6"/>
      <c r="Q55" s="6"/>
      <c r="R55">
        <v>1</v>
      </c>
      <c r="S55">
        <v>40</v>
      </c>
    </row>
    <row r="56" spans="1:20" ht="14.25" customHeight="1"/>
    <row r="57" spans="1:20" ht="14.25" customHeight="1">
      <c r="H57">
        <f t="shared" ref="H57:T57" si="1">SUBTOTAL(9,H3:H56)</f>
        <v>50485</v>
      </c>
      <c r="I57">
        <f t="shared" si="1"/>
        <v>1350</v>
      </c>
      <c r="J57">
        <f t="shared" si="1"/>
        <v>49135</v>
      </c>
      <c r="K57">
        <f t="shared" si="1"/>
        <v>0</v>
      </c>
      <c r="L57">
        <f t="shared" si="1"/>
        <v>0</v>
      </c>
      <c r="M57">
        <f t="shared" si="1"/>
        <v>0</v>
      </c>
      <c r="N57">
        <f t="shared" si="1"/>
        <v>0</v>
      </c>
      <c r="O57">
        <f t="shared" si="1"/>
        <v>0</v>
      </c>
      <c r="P57">
        <f t="shared" si="1"/>
        <v>0</v>
      </c>
      <c r="Q57">
        <f t="shared" si="1"/>
        <v>0</v>
      </c>
      <c r="R57">
        <f t="shared" si="1"/>
        <v>53</v>
      </c>
      <c r="S57">
        <f t="shared" si="1"/>
        <v>210</v>
      </c>
      <c r="T57">
        <f t="shared" si="1"/>
        <v>0</v>
      </c>
    </row>
    <row r="58" spans="1:20" ht="14.25" customHeight="1"/>
    <row r="59" spans="1:20" ht="14.25" customHeight="1"/>
    <row r="60" spans="1:20" ht="14.25" customHeight="1"/>
    <row r="61" spans="1:20" ht="20.25" customHeight="1">
      <c r="I61" s="8" t="s">
        <v>1583</v>
      </c>
      <c r="J61" s="9" t="s">
        <v>434</v>
      </c>
      <c r="K61" s="10" t="s">
        <v>435</v>
      </c>
    </row>
    <row r="62" spans="1:20" ht="14.25" customHeight="1">
      <c r="I62" s="11" t="s">
        <v>436</v>
      </c>
      <c r="J62" s="12">
        <f>SUM(J56:J60)</f>
        <v>49135</v>
      </c>
      <c r="K62" s="12">
        <f>R57</f>
        <v>53</v>
      </c>
    </row>
    <row r="63" spans="1:20" ht="14.25" customHeight="1">
      <c r="I63" s="13" t="s">
        <v>437</v>
      </c>
      <c r="J63" s="14">
        <f>S56</f>
        <v>0</v>
      </c>
      <c r="K63" s="15"/>
    </row>
    <row r="64" spans="1:20" ht="14.25" customHeight="1">
      <c r="I64" s="13" t="s">
        <v>438</v>
      </c>
      <c r="J64" s="14">
        <f>T56</f>
        <v>0</v>
      </c>
      <c r="K64" s="15"/>
    </row>
    <row r="65" spans="9:11" ht="14.25" customHeight="1">
      <c r="I65" s="13" t="s">
        <v>439</v>
      </c>
      <c r="J65" s="14">
        <f>U56</f>
        <v>0</v>
      </c>
      <c r="K65" s="15"/>
    </row>
    <row r="66" spans="9:11" ht="14.25" customHeight="1">
      <c r="I66" s="13" t="s">
        <v>440</v>
      </c>
      <c r="J66" s="14">
        <f>V56</f>
        <v>0</v>
      </c>
      <c r="K66" s="15"/>
    </row>
    <row r="67" spans="9:11" ht="14.25" customHeight="1">
      <c r="I67" s="16" t="s">
        <v>441</v>
      </c>
      <c r="J67" s="17"/>
      <c r="K67" s="17"/>
    </row>
    <row r="68" spans="9:11" ht="14.25" customHeight="1">
      <c r="I68" s="18" t="s">
        <v>442</v>
      </c>
      <c r="J68" s="17"/>
      <c r="K68" s="17"/>
    </row>
    <row r="69" spans="9:11" ht="14.25" customHeight="1">
      <c r="I69" s="19" t="s">
        <v>443</v>
      </c>
      <c r="J69" s="20">
        <f>SUM(J62:J68)</f>
        <v>49135</v>
      </c>
      <c r="K69" s="20">
        <f>SUM(K62:K66)</f>
        <v>53</v>
      </c>
    </row>
    <row r="70" spans="9:11" ht="14.25" customHeight="1"/>
    <row r="71" spans="9:11" ht="14.25" customHeight="1"/>
    <row r="72" spans="9:11" ht="14.25" customHeight="1"/>
    <row r="73" spans="9:11" ht="14.25" customHeight="1"/>
    <row r="74" spans="9:11" ht="14.25" customHeight="1"/>
    <row r="75" spans="9:11" ht="14.25" customHeight="1"/>
    <row r="76" spans="9:11" ht="14.25" customHeight="1"/>
    <row r="77" spans="9:11" ht="14.25" customHeight="1"/>
    <row r="78" spans="9:11" ht="14.25" customHeight="1"/>
    <row r="79" spans="9:11" ht="14.25" customHeight="1"/>
    <row r="80" spans="9:1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2:Q55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0"/>
  <sheetViews>
    <sheetView topLeftCell="A106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0</v>
      </c>
      <c r="C1" t="s">
        <v>1584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2"/>
      <c r="B3" s="2" t="s">
        <v>19</v>
      </c>
      <c r="C3" s="2" t="s">
        <v>1585</v>
      </c>
      <c r="D3" s="2" t="s">
        <v>1586</v>
      </c>
      <c r="E3" s="2" t="s">
        <v>1587</v>
      </c>
      <c r="F3" s="2" t="s">
        <v>1588</v>
      </c>
      <c r="G3" s="2" t="s">
        <v>24</v>
      </c>
      <c r="H3" s="2">
        <v>768</v>
      </c>
      <c r="I3" s="2">
        <v>0</v>
      </c>
      <c r="J3" s="2">
        <f t="shared" ref="J3:J139" si="0">H3-I3</f>
        <v>768</v>
      </c>
      <c r="K3" s="2" t="s">
        <v>25</v>
      </c>
      <c r="L3" s="2" t="s">
        <v>26</v>
      </c>
      <c r="M3" s="2" t="s">
        <v>1589</v>
      </c>
      <c r="N3" s="3" t="s">
        <v>28</v>
      </c>
      <c r="O3" s="2" t="s">
        <v>29</v>
      </c>
      <c r="P3" s="2"/>
      <c r="Q3" s="2" t="s">
        <v>30</v>
      </c>
      <c r="R3" s="4">
        <v>1</v>
      </c>
      <c r="S3" s="4"/>
      <c r="T3" s="4"/>
    </row>
    <row r="4" spans="1:20" ht="14.25" customHeight="1">
      <c r="A4" s="6"/>
      <c r="B4" s="6" t="s">
        <v>19</v>
      </c>
      <c r="C4" s="6" t="s">
        <v>1590</v>
      </c>
      <c r="D4" s="6" t="s">
        <v>1591</v>
      </c>
      <c r="E4" s="6" t="s">
        <v>1592</v>
      </c>
      <c r="F4" s="6" t="s">
        <v>831</v>
      </c>
      <c r="G4" s="6">
        <v>1</v>
      </c>
      <c r="H4" s="6">
        <v>716</v>
      </c>
      <c r="I4" s="6">
        <v>20</v>
      </c>
      <c r="J4" s="6">
        <f t="shared" si="0"/>
        <v>696</v>
      </c>
      <c r="K4" s="6" t="s">
        <v>35</v>
      </c>
      <c r="L4" s="6" t="s">
        <v>26</v>
      </c>
      <c r="M4" s="6" t="s">
        <v>1589</v>
      </c>
      <c r="N4" s="6"/>
      <c r="O4" s="6"/>
      <c r="P4" s="6"/>
      <c r="Q4" s="6"/>
      <c r="R4" s="4">
        <v>1</v>
      </c>
      <c r="S4" s="4"/>
      <c r="T4" s="4"/>
    </row>
    <row r="5" spans="1:20" ht="14.25" customHeight="1">
      <c r="A5" s="6"/>
      <c r="B5" s="6" t="s">
        <v>19</v>
      </c>
      <c r="C5" s="6" t="s">
        <v>1593</v>
      </c>
      <c r="D5" s="6" t="s">
        <v>1594</v>
      </c>
      <c r="E5" s="6">
        <v>124</v>
      </c>
      <c r="F5" s="6" t="s">
        <v>1595</v>
      </c>
      <c r="G5" s="6">
        <v>1</v>
      </c>
      <c r="H5" s="6">
        <v>356</v>
      </c>
      <c r="I5" s="6">
        <v>20</v>
      </c>
      <c r="J5" s="6">
        <f t="shared" si="0"/>
        <v>336</v>
      </c>
      <c r="K5" s="6" t="s">
        <v>35</v>
      </c>
      <c r="L5" s="6" t="s">
        <v>26</v>
      </c>
      <c r="M5" s="6" t="s">
        <v>1589</v>
      </c>
      <c r="N5" s="6"/>
      <c r="O5" s="6"/>
      <c r="P5" s="6"/>
      <c r="Q5" s="6"/>
      <c r="R5">
        <v>1</v>
      </c>
    </row>
    <row r="6" spans="1:20" ht="14.25" customHeight="1">
      <c r="A6" s="6"/>
      <c r="B6" s="6" t="s">
        <v>19</v>
      </c>
      <c r="C6" s="6" t="s">
        <v>31</v>
      </c>
      <c r="D6" s="6" t="s">
        <v>1596</v>
      </c>
      <c r="E6" s="6" t="s">
        <v>33</v>
      </c>
      <c r="F6" s="6" t="s">
        <v>34</v>
      </c>
      <c r="G6" s="6">
        <v>1</v>
      </c>
      <c r="H6" s="6">
        <v>1420</v>
      </c>
      <c r="I6" s="6">
        <v>20</v>
      </c>
      <c r="J6" s="6">
        <f t="shared" si="0"/>
        <v>1400</v>
      </c>
      <c r="K6" s="6" t="s">
        <v>35</v>
      </c>
      <c r="L6" s="6" t="s">
        <v>26</v>
      </c>
      <c r="M6" s="6" t="s">
        <v>1589</v>
      </c>
      <c r="N6" s="6"/>
      <c r="O6" s="6"/>
      <c r="P6" s="6"/>
      <c r="Q6" s="6"/>
      <c r="R6">
        <v>1</v>
      </c>
    </row>
    <row r="7" spans="1:20" ht="14.25" customHeight="1">
      <c r="A7" s="5"/>
      <c r="B7" s="5" t="s">
        <v>19</v>
      </c>
      <c r="C7" s="5" t="s">
        <v>1597</v>
      </c>
      <c r="D7" s="5" t="s">
        <v>1598</v>
      </c>
      <c r="E7" s="5" t="s">
        <v>1599</v>
      </c>
      <c r="F7" s="5" t="s">
        <v>40</v>
      </c>
      <c r="G7" s="5">
        <v>1</v>
      </c>
      <c r="H7" s="5">
        <v>910</v>
      </c>
      <c r="I7" s="5">
        <v>20</v>
      </c>
      <c r="J7" s="5">
        <f t="shared" si="0"/>
        <v>890</v>
      </c>
      <c r="K7" s="5" t="s">
        <v>35</v>
      </c>
      <c r="L7" s="5" t="s">
        <v>26</v>
      </c>
      <c r="M7" s="5" t="s">
        <v>1589</v>
      </c>
      <c r="N7" s="5" t="s">
        <v>36</v>
      </c>
      <c r="O7" s="5"/>
      <c r="P7" s="5"/>
      <c r="Q7" s="5"/>
      <c r="R7">
        <v>1</v>
      </c>
      <c r="S7">
        <v>20</v>
      </c>
    </row>
    <row r="8" spans="1:20" ht="14.25" customHeight="1">
      <c r="A8" s="5"/>
      <c r="B8" s="5" t="s">
        <v>19</v>
      </c>
      <c r="C8" s="5" t="s">
        <v>1176</v>
      </c>
      <c r="D8" s="5" t="s">
        <v>1600</v>
      </c>
      <c r="E8" s="5" t="s">
        <v>1423</v>
      </c>
      <c r="F8" s="5" t="s">
        <v>842</v>
      </c>
      <c r="G8" s="5">
        <v>1</v>
      </c>
      <c r="H8" s="5">
        <v>370</v>
      </c>
      <c r="I8" s="5">
        <v>20</v>
      </c>
      <c r="J8" s="5">
        <f t="shared" si="0"/>
        <v>350</v>
      </c>
      <c r="K8" s="5" t="s">
        <v>35</v>
      </c>
      <c r="L8" s="5" t="s">
        <v>26</v>
      </c>
      <c r="M8" s="5" t="s">
        <v>1589</v>
      </c>
      <c r="N8" s="5" t="s">
        <v>177</v>
      </c>
      <c r="O8" s="5"/>
      <c r="P8" s="5"/>
      <c r="Q8" s="5"/>
      <c r="R8">
        <v>1</v>
      </c>
    </row>
    <row r="9" spans="1:20" ht="14.25" customHeight="1">
      <c r="A9" s="6"/>
      <c r="B9" s="6" t="s">
        <v>19</v>
      </c>
      <c r="C9" s="6" t="s">
        <v>1601</v>
      </c>
      <c r="D9" s="6" t="s">
        <v>1602</v>
      </c>
      <c r="E9" s="6">
        <v>6</v>
      </c>
      <c r="F9" s="6" t="s">
        <v>1603</v>
      </c>
      <c r="G9" s="6">
        <v>1</v>
      </c>
      <c r="H9" s="6">
        <v>412</v>
      </c>
      <c r="I9" s="6">
        <v>20</v>
      </c>
      <c r="J9" s="6">
        <f t="shared" si="0"/>
        <v>392</v>
      </c>
      <c r="K9" s="6" t="s">
        <v>35</v>
      </c>
      <c r="L9" s="6" t="s">
        <v>26</v>
      </c>
      <c r="M9" s="6" t="s">
        <v>1589</v>
      </c>
      <c r="N9" s="6"/>
      <c r="O9" s="6"/>
      <c r="P9" s="6"/>
      <c r="Q9" s="6"/>
      <c r="R9">
        <v>1</v>
      </c>
    </row>
    <row r="10" spans="1:20" ht="14.25" customHeight="1">
      <c r="A10" s="6"/>
      <c r="B10" s="6" t="s">
        <v>19</v>
      </c>
      <c r="C10" s="6" t="s">
        <v>1604</v>
      </c>
      <c r="D10" s="6" t="s">
        <v>1605</v>
      </c>
      <c r="E10" s="6">
        <v>101</v>
      </c>
      <c r="F10" s="6" t="s">
        <v>1606</v>
      </c>
      <c r="G10" s="6">
        <v>1</v>
      </c>
      <c r="H10" s="6">
        <v>612</v>
      </c>
      <c r="I10" s="6">
        <v>20</v>
      </c>
      <c r="J10" s="6">
        <f t="shared" si="0"/>
        <v>592</v>
      </c>
      <c r="K10" s="6" t="s">
        <v>35</v>
      </c>
      <c r="L10" s="6" t="s">
        <v>26</v>
      </c>
      <c r="M10" s="6" t="s">
        <v>1589</v>
      </c>
      <c r="N10" s="6"/>
      <c r="O10" s="6"/>
      <c r="P10" s="6"/>
      <c r="Q10" s="6"/>
      <c r="R10">
        <v>1</v>
      </c>
    </row>
    <row r="11" spans="1:20" ht="14.25" customHeight="1">
      <c r="A11" s="6"/>
      <c r="B11" s="6" t="s">
        <v>19</v>
      </c>
      <c r="C11" s="6" t="s">
        <v>1607</v>
      </c>
      <c r="D11" s="6" t="s">
        <v>1608</v>
      </c>
      <c r="E11" s="6">
        <v>2</v>
      </c>
      <c r="F11" s="6" t="s">
        <v>1609</v>
      </c>
      <c r="G11" s="6">
        <v>1</v>
      </c>
      <c r="H11" s="6">
        <v>812</v>
      </c>
      <c r="I11" s="6">
        <v>20</v>
      </c>
      <c r="J11" s="6">
        <f t="shared" si="0"/>
        <v>792</v>
      </c>
      <c r="K11" s="6" t="s">
        <v>35</v>
      </c>
      <c r="L11" s="6" t="s">
        <v>26</v>
      </c>
      <c r="M11" s="6" t="s">
        <v>1589</v>
      </c>
      <c r="N11" s="6"/>
      <c r="O11" s="6"/>
      <c r="P11" s="6"/>
      <c r="Q11" s="6"/>
      <c r="R11">
        <v>1</v>
      </c>
    </row>
    <row r="12" spans="1:20" ht="14.25" customHeight="1">
      <c r="A12" s="6"/>
      <c r="B12" s="6" t="s">
        <v>19</v>
      </c>
      <c r="C12" s="6" t="s">
        <v>1610</v>
      </c>
      <c r="D12" s="6" t="s">
        <v>1611</v>
      </c>
      <c r="E12" s="6">
        <v>9</v>
      </c>
      <c r="F12" s="6" t="s">
        <v>50</v>
      </c>
      <c r="G12" s="6">
        <v>1</v>
      </c>
      <c r="H12" s="6">
        <v>0</v>
      </c>
      <c r="I12" s="6">
        <v>20</v>
      </c>
      <c r="J12" s="6">
        <f t="shared" si="0"/>
        <v>-20</v>
      </c>
      <c r="K12" s="6" t="s">
        <v>35</v>
      </c>
      <c r="L12" s="6" t="s">
        <v>26</v>
      </c>
      <c r="M12" s="6" t="s">
        <v>1589</v>
      </c>
      <c r="N12" s="6"/>
      <c r="O12" s="6"/>
      <c r="P12" s="6"/>
      <c r="Q12" s="6"/>
      <c r="R12">
        <v>1</v>
      </c>
      <c r="S12">
        <v>20</v>
      </c>
    </row>
    <row r="13" spans="1:20" ht="14.25" customHeight="1">
      <c r="A13" s="6"/>
      <c r="B13" s="6" t="s">
        <v>19</v>
      </c>
      <c r="C13" s="6" t="s">
        <v>1612</v>
      </c>
      <c r="D13" s="6" t="s">
        <v>1613</v>
      </c>
      <c r="E13" s="6">
        <v>135</v>
      </c>
      <c r="F13" s="6" t="s">
        <v>50</v>
      </c>
      <c r="G13" s="6">
        <v>1</v>
      </c>
      <c r="H13" s="6">
        <v>0</v>
      </c>
      <c r="I13" s="6">
        <v>20</v>
      </c>
      <c r="J13" s="6">
        <f t="shared" si="0"/>
        <v>-20</v>
      </c>
      <c r="K13" s="6" t="s">
        <v>35</v>
      </c>
      <c r="L13" s="6" t="s">
        <v>26</v>
      </c>
      <c r="M13" s="6" t="s">
        <v>1589</v>
      </c>
      <c r="N13" s="6"/>
      <c r="O13" s="6"/>
      <c r="P13" s="6"/>
      <c r="Q13" s="6"/>
      <c r="R13">
        <v>1</v>
      </c>
      <c r="S13">
        <v>20</v>
      </c>
    </row>
    <row r="14" spans="1:20" ht="14.25" customHeight="1">
      <c r="A14" s="6"/>
      <c r="B14" s="6" t="s">
        <v>19</v>
      </c>
      <c r="C14" s="6" t="s">
        <v>1614</v>
      </c>
      <c r="D14" s="6" t="s">
        <v>1615</v>
      </c>
      <c r="E14" s="6" t="s">
        <v>1616</v>
      </c>
      <c r="F14" s="6" t="s">
        <v>50</v>
      </c>
      <c r="G14" s="6">
        <v>1</v>
      </c>
      <c r="H14" s="6">
        <v>1204</v>
      </c>
      <c r="I14" s="6">
        <v>20</v>
      </c>
      <c r="J14" s="6">
        <f t="shared" si="0"/>
        <v>1184</v>
      </c>
      <c r="K14" s="6" t="s">
        <v>35</v>
      </c>
      <c r="L14" s="6" t="s">
        <v>26</v>
      </c>
      <c r="M14" s="6" t="s">
        <v>1589</v>
      </c>
      <c r="N14" s="6"/>
      <c r="O14" s="6"/>
      <c r="P14" s="6"/>
      <c r="Q14" s="6"/>
      <c r="R14">
        <v>1</v>
      </c>
    </row>
    <row r="15" spans="1:20" ht="14.25" customHeight="1">
      <c r="A15" s="6"/>
      <c r="B15" s="6" t="s">
        <v>19</v>
      </c>
      <c r="C15" s="6" t="s">
        <v>1617</v>
      </c>
      <c r="D15" s="6" t="s">
        <v>1618</v>
      </c>
      <c r="E15" s="6" t="s">
        <v>1619</v>
      </c>
      <c r="F15" s="6" t="s">
        <v>50</v>
      </c>
      <c r="G15" s="6">
        <v>1</v>
      </c>
      <c r="H15" s="6">
        <v>692</v>
      </c>
      <c r="I15" s="6">
        <v>20</v>
      </c>
      <c r="J15" s="6">
        <f t="shared" si="0"/>
        <v>672</v>
      </c>
      <c r="K15" s="6" t="s">
        <v>35</v>
      </c>
      <c r="L15" s="6" t="s">
        <v>26</v>
      </c>
      <c r="M15" s="6" t="s">
        <v>1589</v>
      </c>
      <c r="N15" s="6"/>
      <c r="O15" s="6"/>
      <c r="P15" s="6"/>
      <c r="Q15" s="6"/>
      <c r="R15">
        <v>1</v>
      </c>
    </row>
    <row r="16" spans="1:20" ht="14.25" customHeight="1">
      <c r="A16" s="6"/>
      <c r="B16" s="6" t="s">
        <v>19</v>
      </c>
      <c r="C16" s="6" t="s">
        <v>1060</v>
      </c>
      <c r="D16" s="6" t="s">
        <v>1620</v>
      </c>
      <c r="E16" s="6">
        <v>18</v>
      </c>
      <c r="F16" s="6" t="s">
        <v>1621</v>
      </c>
      <c r="G16" s="6">
        <v>1</v>
      </c>
      <c r="H16" s="6">
        <v>612</v>
      </c>
      <c r="I16" s="6">
        <v>20</v>
      </c>
      <c r="J16" s="6">
        <f t="shared" si="0"/>
        <v>592</v>
      </c>
      <c r="K16" s="6" t="s">
        <v>35</v>
      </c>
      <c r="L16" s="6" t="s">
        <v>26</v>
      </c>
      <c r="M16" s="6" t="s">
        <v>1589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1457</v>
      </c>
      <c r="D17" s="6" t="s">
        <v>1622</v>
      </c>
      <c r="E17" s="6" t="s">
        <v>1623</v>
      </c>
      <c r="F17" s="6" t="s">
        <v>1624</v>
      </c>
      <c r="G17" s="6">
        <v>1</v>
      </c>
      <c r="H17" s="6">
        <v>412</v>
      </c>
      <c r="I17" s="6">
        <v>20</v>
      </c>
      <c r="J17" s="6">
        <f t="shared" si="0"/>
        <v>392</v>
      </c>
      <c r="K17" s="6" t="s">
        <v>35</v>
      </c>
      <c r="L17" s="6" t="s">
        <v>26</v>
      </c>
      <c r="M17" s="6" t="s">
        <v>1589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1625</v>
      </c>
      <c r="D18" s="6" t="s">
        <v>1626</v>
      </c>
      <c r="E18" s="6" t="s">
        <v>1627</v>
      </c>
      <c r="F18" s="6" t="s">
        <v>1193</v>
      </c>
      <c r="G18" s="6">
        <v>1</v>
      </c>
      <c r="H18" s="6">
        <v>396</v>
      </c>
      <c r="I18" s="6">
        <v>20</v>
      </c>
      <c r="J18" s="6">
        <f t="shared" si="0"/>
        <v>376</v>
      </c>
      <c r="K18" s="6" t="s">
        <v>35</v>
      </c>
      <c r="L18" s="6" t="s">
        <v>26</v>
      </c>
      <c r="M18" s="6" t="s">
        <v>1589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1628</v>
      </c>
      <c r="D19" s="6" t="s">
        <v>1629</v>
      </c>
      <c r="E19" s="6">
        <v>92</v>
      </c>
      <c r="F19" s="6" t="s">
        <v>1225</v>
      </c>
      <c r="G19" s="6">
        <v>3</v>
      </c>
      <c r="H19" s="6">
        <v>0</v>
      </c>
      <c r="I19" s="6">
        <v>20</v>
      </c>
      <c r="J19" s="6">
        <f t="shared" si="0"/>
        <v>-20</v>
      </c>
      <c r="K19" s="6" t="s">
        <v>35</v>
      </c>
      <c r="L19" s="6" t="s">
        <v>26</v>
      </c>
      <c r="M19" s="6" t="s">
        <v>1589</v>
      </c>
      <c r="N19" s="6"/>
      <c r="O19" s="6"/>
      <c r="P19" s="6"/>
      <c r="Q19" s="6"/>
      <c r="R19">
        <v>1</v>
      </c>
      <c r="S19">
        <v>20</v>
      </c>
    </row>
    <row r="20" spans="1:19" ht="14.25" customHeight="1">
      <c r="A20" s="6"/>
      <c r="B20" s="6" t="s">
        <v>19</v>
      </c>
      <c r="C20" s="6" t="s">
        <v>1630</v>
      </c>
      <c r="D20" s="6" t="s">
        <v>1631</v>
      </c>
      <c r="E20" s="6">
        <v>294</v>
      </c>
      <c r="F20" s="6" t="s">
        <v>90</v>
      </c>
      <c r="G20" s="6">
        <v>3</v>
      </c>
      <c r="H20" s="6">
        <v>0</v>
      </c>
      <c r="I20" s="6">
        <v>20</v>
      </c>
      <c r="J20" s="6">
        <f t="shared" si="0"/>
        <v>-20</v>
      </c>
      <c r="K20" s="6" t="s">
        <v>35</v>
      </c>
      <c r="L20" s="6" t="s">
        <v>26</v>
      </c>
      <c r="M20" s="6" t="s">
        <v>1589</v>
      </c>
      <c r="N20" s="6"/>
      <c r="O20" s="6"/>
      <c r="P20" s="6"/>
      <c r="Q20" s="6"/>
      <c r="R20">
        <v>1</v>
      </c>
      <c r="S20">
        <v>20</v>
      </c>
    </row>
    <row r="21" spans="1:19" ht="14.25" customHeight="1">
      <c r="A21" s="6"/>
      <c r="B21" s="6" t="s">
        <v>19</v>
      </c>
      <c r="C21" s="6" t="s">
        <v>1632</v>
      </c>
      <c r="D21" s="6" t="s">
        <v>1633</v>
      </c>
      <c r="E21" s="6">
        <v>531</v>
      </c>
      <c r="F21" s="6" t="s">
        <v>90</v>
      </c>
      <c r="G21" s="6">
        <v>3</v>
      </c>
      <c r="H21" s="6">
        <v>0</v>
      </c>
      <c r="I21" s="6">
        <v>20</v>
      </c>
      <c r="J21" s="6">
        <f t="shared" si="0"/>
        <v>-20</v>
      </c>
      <c r="K21" s="6" t="s">
        <v>35</v>
      </c>
      <c r="L21" s="6" t="s">
        <v>26</v>
      </c>
      <c r="M21" s="6" t="s">
        <v>1589</v>
      </c>
      <c r="N21" s="6"/>
      <c r="O21" s="6"/>
      <c r="P21" s="6"/>
      <c r="Q21" s="6"/>
      <c r="R21">
        <v>1</v>
      </c>
      <c r="S21">
        <v>20</v>
      </c>
    </row>
    <row r="22" spans="1:19" ht="14.25" customHeight="1">
      <c r="A22" s="6"/>
      <c r="B22" s="6" t="s">
        <v>19</v>
      </c>
      <c r="C22" s="6" t="s">
        <v>1634</v>
      </c>
      <c r="D22" s="6" t="s">
        <v>1635</v>
      </c>
      <c r="E22" s="6" t="s">
        <v>1636</v>
      </c>
      <c r="F22" s="6" t="s">
        <v>1157</v>
      </c>
      <c r="G22" s="6">
        <v>3</v>
      </c>
      <c r="H22" s="6">
        <v>772</v>
      </c>
      <c r="I22" s="6">
        <v>20</v>
      </c>
      <c r="J22" s="6">
        <f t="shared" si="0"/>
        <v>752</v>
      </c>
      <c r="K22" s="6" t="s">
        <v>35</v>
      </c>
      <c r="L22" s="6" t="s">
        <v>26</v>
      </c>
      <c r="M22" s="6" t="s">
        <v>1589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1637</v>
      </c>
      <c r="D23" s="6" t="s">
        <v>1638</v>
      </c>
      <c r="E23" s="6">
        <v>140</v>
      </c>
      <c r="F23" s="6" t="s">
        <v>50</v>
      </c>
      <c r="G23" s="6">
        <v>3</v>
      </c>
      <c r="H23" s="6">
        <v>0</v>
      </c>
      <c r="I23" s="6">
        <v>20</v>
      </c>
      <c r="J23" s="6">
        <f t="shared" si="0"/>
        <v>-20</v>
      </c>
      <c r="K23" s="6" t="s">
        <v>35</v>
      </c>
      <c r="L23" s="6" t="s">
        <v>26</v>
      </c>
      <c r="M23" s="6" t="s">
        <v>1589</v>
      </c>
      <c r="N23" s="6"/>
      <c r="O23" s="6"/>
      <c r="P23" s="6"/>
      <c r="Q23" s="6"/>
      <c r="R23">
        <v>1</v>
      </c>
      <c r="S23">
        <v>20</v>
      </c>
    </row>
    <row r="24" spans="1:19" ht="14.25" customHeight="1">
      <c r="A24" s="6"/>
      <c r="B24" s="6" t="s">
        <v>19</v>
      </c>
      <c r="C24" s="6" t="s">
        <v>851</v>
      </c>
      <c r="D24" s="6" t="s">
        <v>1639</v>
      </c>
      <c r="E24" s="6" t="s">
        <v>1640</v>
      </c>
      <c r="F24" s="6" t="s">
        <v>854</v>
      </c>
      <c r="G24" s="6">
        <v>3</v>
      </c>
      <c r="H24" s="6">
        <v>716</v>
      </c>
      <c r="I24" s="6">
        <v>20</v>
      </c>
      <c r="J24" s="6">
        <f t="shared" si="0"/>
        <v>696</v>
      </c>
      <c r="K24" s="6" t="s">
        <v>35</v>
      </c>
      <c r="L24" s="6" t="s">
        <v>26</v>
      </c>
      <c r="M24" s="6" t="s">
        <v>1589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1641</v>
      </c>
      <c r="D25" s="6" t="s">
        <v>1642</v>
      </c>
      <c r="E25" s="6" t="s">
        <v>1643</v>
      </c>
      <c r="F25" s="6" t="s">
        <v>1644</v>
      </c>
      <c r="G25" s="6">
        <v>3</v>
      </c>
      <c r="H25" s="6">
        <v>572</v>
      </c>
      <c r="I25" s="6">
        <v>20</v>
      </c>
      <c r="J25" s="6">
        <f t="shared" si="0"/>
        <v>552</v>
      </c>
      <c r="K25" s="6" t="s">
        <v>35</v>
      </c>
      <c r="L25" s="6" t="s">
        <v>26</v>
      </c>
      <c r="M25" s="6" t="s">
        <v>1589</v>
      </c>
      <c r="N25" s="6"/>
      <c r="O25" s="6"/>
      <c r="P25" s="6"/>
      <c r="Q25" s="6"/>
      <c r="R25">
        <v>1</v>
      </c>
    </row>
    <row r="26" spans="1:19" ht="14.25" customHeight="1">
      <c r="A26" s="6"/>
      <c r="B26" s="6" t="s">
        <v>19</v>
      </c>
      <c r="C26" s="6" t="s">
        <v>1645</v>
      </c>
      <c r="D26" s="6" t="s">
        <v>1646</v>
      </c>
      <c r="E26" s="6">
        <v>59</v>
      </c>
      <c r="F26" s="6" t="s">
        <v>1647</v>
      </c>
      <c r="G26" s="6">
        <v>3</v>
      </c>
      <c r="H26" s="6">
        <v>1124</v>
      </c>
      <c r="I26" s="6">
        <v>20</v>
      </c>
      <c r="J26" s="6">
        <f t="shared" si="0"/>
        <v>1104</v>
      </c>
      <c r="K26" s="6" t="s">
        <v>35</v>
      </c>
      <c r="L26" s="6" t="s">
        <v>26</v>
      </c>
      <c r="M26" s="6" t="s">
        <v>1589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1648</v>
      </c>
      <c r="D27" s="6" t="s">
        <v>1649</v>
      </c>
      <c r="E27" s="6" t="s">
        <v>1650</v>
      </c>
      <c r="F27" s="6" t="s">
        <v>665</v>
      </c>
      <c r="G27" s="6">
        <v>4</v>
      </c>
      <c r="H27" s="6">
        <v>689</v>
      </c>
      <c r="I27" s="6">
        <v>25</v>
      </c>
      <c r="J27" s="6">
        <f t="shared" si="0"/>
        <v>664</v>
      </c>
      <c r="K27" s="6" t="s">
        <v>35</v>
      </c>
      <c r="L27" s="6" t="s">
        <v>26</v>
      </c>
      <c r="M27" s="6" t="s">
        <v>1589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1651</v>
      </c>
      <c r="D28" s="6" t="s">
        <v>1652</v>
      </c>
      <c r="E28" s="6">
        <v>107</v>
      </c>
      <c r="F28" s="6" t="s">
        <v>78</v>
      </c>
      <c r="G28" s="6">
        <v>4</v>
      </c>
      <c r="H28" s="6">
        <v>1009</v>
      </c>
      <c r="I28" s="6">
        <v>25</v>
      </c>
      <c r="J28" s="6">
        <f t="shared" si="0"/>
        <v>984</v>
      </c>
      <c r="K28" s="6" t="s">
        <v>35</v>
      </c>
      <c r="L28" s="6" t="s">
        <v>26</v>
      </c>
      <c r="M28" s="6" t="s">
        <v>1589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1653</v>
      </c>
      <c r="D29" s="6" t="s">
        <v>1654</v>
      </c>
      <c r="E29" s="6">
        <v>230</v>
      </c>
      <c r="F29" s="6" t="s">
        <v>658</v>
      </c>
      <c r="G29" s="6">
        <v>10</v>
      </c>
      <c r="H29" s="6">
        <v>1857</v>
      </c>
      <c r="I29" s="6">
        <v>25</v>
      </c>
      <c r="J29" s="6">
        <f t="shared" si="0"/>
        <v>1832</v>
      </c>
      <c r="K29" s="6" t="s">
        <v>35</v>
      </c>
      <c r="L29" s="6" t="s">
        <v>26</v>
      </c>
      <c r="M29" s="6" t="s">
        <v>1589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1655</v>
      </c>
      <c r="D30" s="6" t="s">
        <v>1656</v>
      </c>
      <c r="E30" s="6" t="s">
        <v>1657</v>
      </c>
      <c r="F30" s="6" t="s">
        <v>658</v>
      </c>
      <c r="G30" s="6">
        <v>10</v>
      </c>
      <c r="H30" s="6">
        <v>1513</v>
      </c>
      <c r="I30" s="6">
        <v>25</v>
      </c>
      <c r="J30" s="6">
        <f t="shared" si="0"/>
        <v>1488</v>
      </c>
      <c r="K30" s="6" t="s">
        <v>35</v>
      </c>
      <c r="L30" s="6" t="s">
        <v>26</v>
      </c>
      <c r="M30" s="6" t="s">
        <v>1589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1658</v>
      </c>
      <c r="D31" s="6" t="s">
        <v>1659</v>
      </c>
      <c r="E31" s="6" t="s">
        <v>99</v>
      </c>
      <c r="F31" s="6" t="s">
        <v>1055</v>
      </c>
      <c r="G31" s="6">
        <v>10</v>
      </c>
      <c r="H31" s="6">
        <v>473</v>
      </c>
      <c r="I31" s="6">
        <v>25</v>
      </c>
      <c r="J31" s="6">
        <f t="shared" si="0"/>
        <v>448</v>
      </c>
      <c r="K31" s="6" t="s">
        <v>35</v>
      </c>
      <c r="L31" s="6" t="s">
        <v>26</v>
      </c>
      <c r="M31" s="6" t="s">
        <v>1589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1660</v>
      </c>
      <c r="D32" s="6" t="s">
        <v>1661</v>
      </c>
      <c r="E32" s="6">
        <v>66</v>
      </c>
      <c r="F32" s="6" t="s">
        <v>86</v>
      </c>
      <c r="G32" s="6">
        <v>10</v>
      </c>
      <c r="H32" s="6">
        <v>665</v>
      </c>
      <c r="I32" s="6">
        <v>25</v>
      </c>
      <c r="J32" s="6">
        <f t="shared" si="0"/>
        <v>640</v>
      </c>
      <c r="K32" s="6" t="s">
        <v>35</v>
      </c>
      <c r="L32" s="6" t="s">
        <v>26</v>
      </c>
      <c r="M32" s="6" t="s">
        <v>1589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1662</v>
      </c>
      <c r="D33" s="6" t="s">
        <v>1663</v>
      </c>
      <c r="E33" s="6">
        <v>2</v>
      </c>
      <c r="F33" s="6" t="s">
        <v>1664</v>
      </c>
      <c r="G33" s="6">
        <v>10</v>
      </c>
      <c r="H33" s="6">
        <v>0</v>
      </c>
      <c r="I33" s="6">
        <v>25</v>
      </c>
      <c r="J33" s="6">
        <f t="shared" si="0"/>
        <v>-25</v>
      </c>
      <c r="K33" s="6" t="s">
        <v>35</v>
      </c>
      <c r="L33" s="6" t="s">
        <v>26</v>
      </c>
      <c r="M33" s="6" t="s">
        <v>1589</v>
      </c>
      <c r="N33" s="6"/>
      <c r="O33" s="6"/>
      <c r="P33" s="6"/>
      <c r="Q33" s="6"/>
      <c r="R33">
        <v>1</v>
      </c>
      <c r="S33">
        <v>25</v>
      </c>
    </row>
    <row r="34" spans="1:19" ht="14.25" customHeight="1">
      <c r="A34" s="6"/>
      <c r="B34" s="6" t="s">
        <v>19</v>
      </c>
      <c r="C34" s="6" t="s">
        <v>1665</v>
      </c>
      <c r="D34" s="6" t="s">
        <v>1666</v>
      </c>
      <c r="E34" s="6" t="s">
        <v>1667</v>
      </c>
      <c r="F34" s="6" t="s">
        <v>111</v>
      </c>
      <c r="G34" s="6">
        <v>10</v>
      </c>
      <c r="H34" s="6">
        <v>593</v>
      </c>
      <c r="I34" s="6">
        <v>25</v>
      </c>
      <c r="J34" s="6">
        <f t="shared" si="0"/>
        <v>568</v>
      </c>
      <c r="K34" s="6" t="s">
        <v>35</v>
      </c>
      <c r="L34" s="6" t="s">
        <v>26</v>
      </c>
      <c r="M34" s="6" t="s">
        <v>1589</v>
      </c>
      <c r="N34" s="6"/>
      <c r="O34" s="6"/>
      <c r="P34" s="6"/>
      <c r="Q34" s="6"/>
      <c r="R34">
        <v>1</v>
      </c>
    </row>
    <row r="35" spans="1:19" ht="14.25" customHeight="1">
      <c r="A35" s="6"/>
      <c r="B35" s="6" t="s">
        <v>19</v>
      </c>
      <c r="C35" s="6" t="s">
        <v>527</v>
      </c>
      <c r="D35" s="6" t="s">
        <v>1668</v>
      </c>
      <c r="E35" s="6" t="s">
        <v>1669</v>
      </c>
      <c r="F35" s="6" t="s">
        <v>111</v>
      </c>
      <c r="G35" s="6">
        <v>10</v>
      </c>
      <c r="H35" s="6">
        <v>0</v>
      </c>
      <c r="I35" s="6">
        <v>25</v>
      </c>
      <c r="J35" s="6">
        <f t="shared" si="0"/>
        <v>-25</v>
      </c>
      <c r="K35" s="6" t="s">
        <v>35</v>
      </c>
      <c r="L35" s="6" t="s">
        <v>26</v>
      </c>
      <c r="M35" s="6" t="s">
        <v>1589</v>
      </c>
      <c r="N35" s="6"/>
      <c r="O35" s="6"/>
      <c r="P35" s="6"/>
      <c r="Q35" s="6"/>
      <c r="R35">
        <v>1</v>
      </c>
      <c r="S35">
        <v>25</v>
      </c>
    </row>
    <row r="36" spans="1:19" ht="14.25" customHeight="1">
      <c r="A36" s="6"/>
      <c r="B36" s="6" t="s">
        <v>19</v>
      </c>
      <c r="C36" s="6" t="s">
        <v>1670</v>
      </c>
      <c r="D36" s="6" t="s">
        <v>1671</v>
      </c>
      <c r="E36" s="6" t="s">
        <v>1672</v>
      </c>
      <c r="F36" s="6" t="s">
        <v>105</v>
      </c>
      <c r="G36" s="6">
        <v>10</v>
      </c>
      <c r="H36" s="6">
        <v>481</v>
      </c>
      <c r="I36" s="6">
        <v>25</v>
      </c>
      <c r="J36" s="6">
        <f t="shared" si="0"/>
        <v>456</v>
      </c>
      <c r="K36" s="6" t="s">
        <v>35</v>
      </c>
      <c r="L36" s="6" t="s">
        <v>26</v>
      </c>
      <c r="M36" s="6" t="s">
        <v>1589</v>
      </c>
      <c r="N36" s="6"/>
      <c r="O36" s="6"/>
      <c r="P36" s="6"/>
      <c r="Q36" s="6"/>
      <c r="R36">
        <v>1</v>
      </c>
    </row>
    <row r="37" spans="1:19" ht="14.25" customHeight="1">
      <c r="A37" s="6"/>
      <c r="B37" s="6" t="s">
        <v>19</v>
      </c>
      <c r="C37" s="6" t="s">
        <v>1673</v>
      </c>
      <c r="D37" s="6" t="s">
        <v>1674</v>
      </c>
      <c r="E37" s="6">
        <v>167</v>
      </c>
      <c r="F37" s="6" t="s">
        <v>1059</v>
      </c>
      <c r="G37" s="6" t="s">
        <v>117</v>
      </c>
      <c r="H37" s="6">
        <v>790</v>
      </c>
      <c r="I37" s="6">
        <v>20</v>
      </c>
      <c r="J37" s="6">
        <f t="shared" si="0"/>
        <v>770</v>
      </c>
      <c r="K37" s="6" t="s">
        <v>35</v>
      </c>
      <c r="L37" s="6" t="s">
        <v>26</v>
      </c>
      <c r="M37" s="6" t="s">
        <v>1589</v>
      </c>
      <c r="N37" s="6"/>
      <c r="O37" s="6"/>
      <c r="P37" s="6"/>
      <c r="Q37" s="6"/>
      <c r="R37">
        <v>1</v>
      </c>
    </row>
    <row r="38" spans="1:19" ht="14.25" customHeight="1">
      <c r="A38" s="6" t="s">
        <v>37</v>
      </c>
      <c r="B38" s="6" t="s">
        <v>19</v>
      </c>
      <c r="C38" s="6" t="s">
        <v>1675</v>
      </c>
      <c r="D38" s="6"/>
      <c r="E38" s="6">
        <v>12</v>
      </c>
      <c r="F38" s="6" t="s">
        <v>1676</v>
      </c>
      <c r="G38" s="6" t="s">
        <v>117</v>
      </c>
      <c r="H38" s="6">
        <v>20</v>
      </c>
      <c r="I38" s="6">
        <v>20</v>
      </c>
      <c r="J38" s="6">
        <f t="shared" si="0"/>
        <v>0</v>
      </c>
      <c r="K38" s="6" t="s">
        <v>35</v>
      </c>
      <c r="L38" s="6" t="s">
        <v>26</v>
      </c>
      <c r="M38" s="6" t="s">
        <v>1589</v>
      </c>
      <c r="N38" s="6"/>
      <c r="O38" s="6"/>
      <c r="P38" s="6"/>
      <c r="Q38" s="6"/>
      <c r="R38">
        <v>1</v>
      </c>
    </row>
    <row r="39" spans="1:19" ht="14.25" customHeight="1">
      <c r="A39" s="6"/>
      <c r="B39" s="6" t="s">
        <v>19</v>
      </c>
      <c r="C39" s="6" t="s">
        <v>1677</v>
      </c>
      <c r="D39" s="6" t="s">
        <v>1678</v>
      </c>
      <c r="E39" s="6">
        <v>352</v>
      </c>
      <c r="F39" s="6" t="s">
        <v>120</v>
      </c>
      <c r="G39" s="6" t="s">
        <v>117</v>
      </c>
      <c r="H39" s="6">
        <v>612</v>
      </c>
      <c r="I39" s="6">
        <v>20</v>
      </c>
      <c r="J39" s="6">
        <f t="shared" si="0"/>
        <v>592</v>
      </c>
      <c r="K39" s="6" t="s">
        <v>35</v>
      </c>
      <c r="L39" s="6" t="s">
        <v>26</v>
      </c>
      <c r="M39" s="6" t="s">
        <v>1589</v>
      </c>
      <c r="N39" s="6"/>
      <c r="O39" s="6"/>
      <c r="P39" s="6"/>
      <c r="Q39" s="6"/>
      <c r="R39">
        <v>1</v>
      </c>
    </row>
    <row r="40" spans="1:19" ht="14.25" customHeight="1">
      <c r="A40" s="6"/>
      <c r="B40" s="6" t="s">
        <v>19</v>
      </c>
      <c r="C40" s="6" t="s">
        <v>619</v>
      </c>
      <c r="D40" s="6" t="s">
        <v>1679</v>
      </c>
      <c r="E40" s="6" t="s">
        <v>366</v>
      </c>
      <c r="F40" s="6" t="s">
        <v>622</v>
      </c>
      <c r="G40" s="6" t="s">
        <v>128</v>
      </c>
      <c r="H40" s="6">
        <v>577</v>
      </c>
      <c r="I40" s="6">
        <v>25</v>
      </c>
      <c r="J40" s="6">
        <f t="shared" si="0"/>
        <v>552</v>
      </c>
      <c r="K40" s="6" t="s">
        <v>35</v>
      </c>
      <c r="L40" s="6" t="s">
        <v>26</v>
      </c>
      <c r="M40" s="6" t="s">
        <v>1589</v>
      </c>
      <c r="N40" s="6"/>
      <c r="O40" s="6"/>
      <c r="P40" s="6"/>
      <c r="Q40" s="6"/>
      <c r="R40">
        <v>1</v>
      </c>
    </row>
    <row r="41" spans="1:19" ht="14.25" customHeight="1">
      <c r="A41" s="6"/>
      <c r="B41" s="6" t="s">
        <v>19</v>
      </c>
      <c r="C41" s="6" t="s">
        <v>1680</v>
      </c>
      <c r="D41" s="6" t="s">
        <v>1681</v>
      </c>
      <c r="E41" s="6" t="s">
        <v>1682</v>
      </c>
      <c r="F41" s="6" t="s">
        <v>622</v>
      </c>
      <c r="G41" s="6" t="s">
        <v>128</v>
      </c>
      <c r="H41" s="6">
        <v>0</v>
      </c>
      <c r="I41" s="6">
        <v>25</v>
      </c>
      <c r="J41" s="6">
        <f t="shared" si="0"/>
        <v>-25</v>
      </c>
      <c r="K41" s="6" t="s">
        <v>35</v>
      </c>
      <c r="L41" s="6" t="s">
        <v>26</v>
      </c>
      <c r="M41" s="6" t="s">
        <v>1589</v>
      </c>
      <c r="N41" s="6"/>
      <c r="O41" s="6"/>
      <c r="P41" s="6"/>
      <c r="Q41" s="6"/>
      <c r="R41">
        <v>1</v>
      </c>
      <c r="S41">
        <v>25</v>
      </c>
    </row>
    <row r="42" spans="1:19" ht="14.25" customHeight="1">
      <c r="A42" s="6" t="s">
        <v>37</v>
      </c>
      <c r="B42" s="6" t="s">
        <v>19</v>
      </c>
      <c r="C42" s="6" t="s">
        <v>1683</v>
      </c>
      <c r="D42" s="6"/>
      <c r="E42" s="6" t="s">
        <v>1684</v>
      </c>
      <c r="F42" s="6" t="s">
        <v>1685</v>
      </c>
      <c r="G42" s="6" t="s">
        <v>128</v>
      </c>
      <c r="H42" s="6">
        <v>30</v>
      </c>
      <c r="I42" s="6">
        <v>30</v>
      </c>
      <c r="J42" s="6">
        <f t="shared" si="0"/>
        <v>0</v>
      </c>
      <c r="K42" s="6" t="s">
        <v>35</v>
      </c>
      <c r="L42" s="6" t="s">
        <v>26</v>
      </c>
      <c r="M42" s="6" t="s">
        <v>1589</v>
      </c>
      <c r="N42" s="6"/>
      <c r="O42" s="6"/>
      <c r="P42" s="6"/>
      <c r="Q42" s="6"/>
      <c r="R42">
        <v>1</v>
      </c>
    </row>
    <row r="43" spans="1:19" ht="14.25" customHeight="1">
      <c r="A43" s="6"/>
      <c r="B43" s="6" t="s">
        <v>19</v>
      </c>
      <c r="C43" s="6" t="s">
        <v>1686</v>
      </c>
      <c r="D43" s="6" t="s">
        <v>1687</v>
      </c>
      <c r="E43" s="6" t="s">
        <v>1688</v>
      </c>
      <c r="F43" s="6" t="s">
        <v>1689</v>
      </c>
      <c r="G43" s="6" t="s">
        <v>128</v>
      </c>
      <c r="H43" s="6">
        <v>617</v>
      </c>
      <c r="I43" s="6">
        <v>25</v>
      </c>
      <c r="J43" s="6">
        <f t="shared" si="0"/>
        <v>592</v>
      </c>
      <c r="K43" s="6" t="s">
        <v>35</v>
      </c>
      <c r="L43" s="6" t="s">
        <v>26</v>
      </c>
      <c r="M43" s="6" t="s">
        <v>1589</v>
      </c>
      <c r="N43" s="6"/>
      <c r="O43" s="6"/>
      <c r="P43" s="6"/>
      <c r="Q43" s="6"/>
      <c r="R43">
        <v>1</v>
      </c>
    </row>
    <row r="44" spans="1:19" ht="14.25" customHeight="1">
      <c r="A44" s="6"/>
      <c r="B44" s="6" t="s">
        <v>19</v>
      </c>
      <c r="C44" s="6" t="s">
        <v>1690</v>
      </c>
      <c r="D44" s="6" t="s">
        <v>1691</v>
      </c>
      <c r="E44" s="6" t="s">
        <v>1692</v>
      </c>
      <c r="F44" s="6" t="s">
        <v>679</v>
      </c>
      <c r="G44" s="6" t="s">
        <v>128</v>
      </c>
      <c r="H44" s="6">
        <v>0</v>
      </c>
      <c r="I44" s="6">
        <v>25</v>
      </c>
      <c r="J44" s="6">
        <f t="shared" si="0"/>
        <v>-25</v>
      </c>
      <c r="K44" s="6" t="s">
        <v>35</v>
      </c>
      <c r="L44" s="6" t="s">
        <v>26</v>
      </c>
      <c r="M44" s="6" t="s">
        <v>1589</v>
      </c>
      <c r="N44" s="6"/>
      <c r="O44" s="6"/>
      <c r="P44" s="6"/>
      <c r="Q44" s="6"/>
      <c r="R44">
        <v>1</v>
      </c>
      <c r="S44">
        <v>25</v>
      </c>
    </row>
    <row r="45" spans="1:19" ht="14.25" customHeight="1">
      <c r="A45" s="6"/>
      <c r="B45" s="6" t="s">
        <v>19</v>
      </c>
      <c r="C45" s="6" t="s">
        <v>1693</v>
      </c>
      <c r="D45" s="6" t="s">
        <v>1694</v>
      </c>
      <c r="E45" s="6" t="s">
        <v>1695</v>
      </c>
      <c r="F45" s="6" t="s">
        <v>679</v>
      </c>
      <c r="G45" s="6" t="s">
        <v>128</v>
      </c>
      <c r="H45" s="6">
        <v>0</v>
      </c>
      <c r="I45" s="6">
        <v>25</v>
      </c>
      <c r="J45" s="6">
        <f t="shared" si="0"/>
        <v>-25</v>
      </c>
      <c r="K45" s="6" t="s">
        <v>35</v>
      </c>
      <c r="L45" s="6" t="s">
        <v>26</v>
      </c>
      <c r="M45" s="6" t="s">
        <v>1589</v>
      </c>
      <c r="N45" s="6"/>
      <c r="O45" s="6"/>
      <c r="P45" s="6"/>
      <c r="Q45" s="6"/>
      <c r="R45">
        <v>1</v>
      </c>
      <c r="S45">
        <v>25</v>
      </c>
    </row>
    <row r="46" spans="1:19" ht="14.25" customHeight="1">
      <c r="A46" s="6"/>
      <c r="B46" s="6" t="s">
        <v>19</v>
      </c>
      <c r="C46" s="6" t="s">
        <v>1696</v>
      </c>
      <c r="D46" s="6" t="s">
        <v>1697</v>
      </c>
      <c r="E46" s="6" t="s">
        <v>1698</v>
      </c>
      <c r="F46" s="6" t="s">
        <v>147</v>
      </c>
      <c r="G46" s="6" t="s">
        <v>128</v>
      </c>
      <c r="H46" s="6">
        <v>689</v>
      </c>
      <c r="I46" s="6">
        <v>25</v>
      </c>
      <c r="J46" s="6">
        <f t="shared" si="0"/>
        <v>664</v>
      </c>
      <c r="K46" s="6" t="s">
        <v>35</v>
      </c>
      <c r="L46" s="6" t="s">
        <v>26</v>
      </c>
      <c r="M46" s="6" t="s">
        <v>1589</v>
      </c>
      <c r="N46" s="6"/>
      <c r="O46" s="6"/>
      <c r="P46" s="6"/>
      <c r="Q46" s="6"/>
      <c r="R46">
        <v>1</v>
      </c>
    </row>
    <row r="47" spans="1:19" ht="14.25" customHeight="1">
      <c r="A47" s="6"/>
      <c r="B47" s="6" t="s">
        <v>19</v>
      </c>
      <c r="C47" s="6" t="s">
        <v>1472</v>
      </c>
      <c r="D47" s="6" t="s">
        <v>1699</v>
      </c>
      <c r="E47" s="6">
        <v>19</v>
      </c>
      <c r="F47" s="6" t="s">
        <v>150</v>
      </c>
      <c r="G47" s="6" t="s">
        <v>128</v>
      </c>
      <c r="H47" s="6">
        <v>1273</v>
      </c>
      <c r="I47" s="6">
        <v>25</v>
      </c>
      <c r="J47" s="6">
        <f t="shared" si="0"/>
        <v>1248</v>
      </c>
      <c r="K47" s="6" t="s">
        <v>35</v>
      </c>
      <c r="L47" s="6" t="s">
        <v>26</v>
      </c>
      <c r="M47" s="6" t="s">
        <v>1589</v>
      </c>
      <c r="N47" s="6"/>
      <c r="O47" s="6"/>
      <c r="P47" s="6"/>
      <c r="Q47" s="6"/>
      <c r="R47">
        <v>1</v>
      </c>
    </row>
    <row r="48" spans="1:19" ht="14.25" customHeight="1">
      <c r="A48" s="5"/>
      <c r="B48" s="5" t="s">
        <v>19</v>
      </c>
      <c r="C48" s="5" t="s">
        <v>1700</v>
      </c>
      <c r="D48" s="5" t="s">
        <v>1701</v>
      </c>
      <c r="E48" s="5" t="s">
        <v>1702</v>
      </c>
      <c r="F48" s="5" t="s">
        <v>150</v>
      </c>
      <c r="G48" s="5" t="s">
        <v>128</v>
      </c>
      <c r="H48" s="5">
        <v>1330</v>
      </c>
      <c r="I48" s="5">
        <v>25</v>
      </c>
      <c r="J48" s="5">
        <f t="shared" si="0"/>
        <v>1305</v>
      </c>
      <c r="K48" s="5" t="s">
        <v>35</v>
      </c>
      <c r="L48" s="5" t="s">
        <v>26</v>
      </c>
      <c r="M48" s="5" t="s">
        <v>1589</v>
      </c>
      <c r="N48" s="5" t="s">
        <v>36</v>
      </c>
      <c r="O48" s="5"/>
      <c r="P48" s="5"/>
      <c r="Q48" s="5"/>
      <c r="R48">
        <v>1</v>
      </c>
      <c r="S48">
        <v>25</v>
      </c>
    </row>
    <row r="49" spans="1:19" ht="14.25" customHeight="1">
      <c r="A49" s="6" t="s">
        <v>37</v>
      </c>
      <c r="B49" s="6" t="s">
        <v>19</v>
      </c>
      <c r="C49" s="6" t="s">
        <v>896</v>
      </c>
      <c r="D49" s="6"/>
      <c r="E49" s="6" t="s">
        <v>897</v>
      </c>
      <c r="F49" s="6" t="s">
        <v>150</v>
      </c>
      <c r="G49" s="6" t="s">
        <v>128</v>
      </c>
      <c r="H49" s="6">
        <v>0</v>
      </c>
      <c r="I49" s="6">
        <v>25</v>
      </c>
      <c r="J49" s="6">
        <f t="shared" si="0"/>
        <v>-25</v>
      </c>
      <c r="K49" s="6" t="s">
        <v>35</v>
      </c>
      <c r="L49" s="6" t="s">
        <v>26</v>
      </c>
      <c r="M49" s="6" t="s">
        <v>1589</v>
      </c>
      <c r="N49" s="6"/>
      <c r="O49" s="6"/>
      <c r="P49" s="6"/>
      <c r="Q49" s="6"/>
      <c r="R49">
        <v>1</v>
      </c>
      <c r="S49">
        <v>25</v>
      </c>
    </row>
    <row r="50" spans="1:19" ht="14.25" customHeight="1">
      <c r="A50" s="6"/>
      <c r="B50" s="6" t="s">
        <v>19</v>
      </c>
      <c r="C50" s="6" t="s">
        <v>1703</v>
      </c>
      <c r="D50" s="6" t="s">
        <v>1704</v>
      </c>
      <c r="E50" s="6" t="s">
        <v>1705</v>
      </c>
      <c r="F50" s="6" t="s">
        <v>904</v>
      </c>
      <c r="G50" s="6">
        <v>6</v>
      </c>
      <c r="H50" s="23">
        <v>697</v>
      </c>
      <c r="I50" s="6">
        <v>25</v>
      </c>
      <c r="J50" s="6">
        <f t="shared" si="0"/>
        <v>672</v>
      </c>
      <c r="K50" s="6" t="s">
        <v>1706</v>
      </c>
      <c r="L50" s="6" t="s">
        <v>26</v>
      </c>
      <c r="M50" s="6" t="s">
        <v>1589</v>
      </c>
      <c r="N50" s="6"/>
      <c r="O50" s="6"/>
      <c r="P50" s="6"/>
      <c r="Q50" s="6"/>
      <c r="R50">
        <v>1</v>
      </c>
    </row>
    <row r="51" spans="1:19" ht="14.25" customHeight="1">
      <c r="A51" s="6"/>
      <c r="B51" s="6" t="s">
        <v>19</v>
      </c>
      <c r="C51" s="6" t="s">
        <v>1707</v>
      </c>
      <c r="D51" s="6" t="s">
        <v>1708</v>
      </c>
      <c r="E51" s="6" t="s">
        <v>1709</v>
      </c>
      <c r="F51" s="6" t="s">
        <v>1710</v>
      </c>
      <c r="G51" s="6">
        <v>6</v>
      </c>
      <c r="H51" s="23">
        <v>0</v>
      </c>
      <c r="I51" s="6">
        <v>25</v>
      </c>
      <c r="J51" s="6">
        <f t="shared" si="0"/>
        <v>-25</v>
      </c>
      <c r="K51" s="6" t="s">
        <v>1706</v>
      </c>
      <c r="L51" s="6" t="s">
        <v>26</v>
      </c>
      <c r="M51" s="6" t="s">
        <v>1589</v>
      </c>
      <c r="N51" s="6"/>
      <c r="O51" s="6"/>
      <c r="P51" s="6"/>
      <c r="Q51" s="6"/>
      <c r="R51">
        <v>1</v>
      </c>
      <c r="S51">
        <v>25</v>
      </c>
    </row>
    <row r="52" spans="1:19" ht="14.25" customHeight="1">
      <c r="A52" s="6" t="s">
        <v>37</v>
      </c>
      <c r="B52" s="6" t="s">
        <v>19</v>
      </c>
      <c r="C52" s="6" t="s">
        <v>280</v>
      </c>
      <c r="D52" s="6"/>
      <c r="E52" s="6">
        <v>40</v>
      </c>
      <c r="F52" s="6" t="s">
        <v>281</v>
      </c>
      <c r="G52" s="6">
        <v>6</v>
      </c>
      <c r="H52" s="23">
        <v>2250</v>
      </c>
      <c r="I52" s="6">
        <v>30</v>
      </c>
      <c r="J52" s="6">
        <f t="shared" si="0"/>
        <v>2220</v>
      </c>
      <c r="K52" s="6" t="s">
        <v>1706</v>
      </c>
      <c r="L52" s="6" t="s">
        <v>26</v>
      </c>
      <c r="M52" s="6" t="s">
        <v>1589</v>
      </c>
      <c r="N52" s="6"/>
      <c r="O52" s="6"/>
      <c r="P52" s="6"/>
      <c r="Q52" s="6"/>
      <c r="R52">
        <v>1</v>
      </c>
    </row>
    <row r="53" spans="1:19" ht="14.25" customHeight="1">
      <c r="A53" s="6"/>
      <c r="B53" s="6" t="s">
        <v>19</v>
      </c>
      <c r="C53" s="6" t="s">
        <v>1711</v>
      </c>
      <c r="D53" s="6" t="s">
        <v>1712</v>
      </c>
      <c r="E53" s="6">
        <v>269</v>
      </c>
      <c r="F53" s="6" t="s">
        <v>1713</v>
      </c>
      <c r="G53" s="6">
        <v>6</v>
      </c>
      <c r="H53" s="23">
        <v>3382</v>
      </c>
      <c r="I53" s="6">
        <v>30</v>
      </c>
      <c r="J53" s="6">
        <f t="shared" si="0"/>
        <v>3352</v>
      </c>
      <c r="K53" s="6" t="s">
        <v>1706</v>
      </c>
      <c r="L53" s="6" t="s">
        <v>26</v>
      </c>
      <c r="M53" s="6" t="s">
        <v>1589</v>
      </c>
      <c r="N53" s="6"/>
      <c r="O53" s="6"/>
      <c r="P53" s="6"/>
      <c r="Q53" s="6"/>
      <c r="R53">
        <v>1</v>
      </c>
    </row>
    <row r="54" spans="1:19" ht="14.25" customHeight="1">
      <c r="A54" s="6"/>
      <c r="B54" s="6" t="s">
        <v>19</v>
      </c>
      <c r="C54" s="6" t="s">
        <v>1714</v>
      </c>
      <c r="D54" s="6" t="s">
        <v>1715</v>
      </c>
      <c r="E54" s="6" t="s">
        <v>1716</v>
      </c>
      <c r="F54" s="6" t="s">
        <v>701</v>
      </c>
      <c r="G54" s="6">
        <v>6</v>
      </c>
      <c r="H54" s="23">
        <v>801</v>
      </c>
      <c r="I54" s="6">
        <v>25</v>
      </c>
      <c r="J54" s="6">
        <f t="shared" si="0"/>
        <v>776</v>
      </c>
      <c r="K54" s="6" t="s">
        <v>1706</v>
      </c>
      <c r="L54" s="6" t="s">
        <v>26</v>
      </c>
      <c r="M54" s="6" t="s">
        <v>1589</v>
      </c>
      <c r="N54" s="6"/>
      <c r="O54" s="6"/>
      <c r="P54" s="6"/>
      <c r="Q54" s="6"/>
      <c r="R54">
        <v>1</v>
      </c>
    </row>
    <row r="55" spans="1:19" ht="14.25" customHeight="1">
      <c r="A55" s="5"/>
      <c r="B55" s="5" t="s">
        <v>19</v>
      </c>
      <c r="C55" s="5" t="s">
        <v>578</v>
      </c>
      <c r="D55" s="5" t="s">
        <v>1717</v>
      </c>
      <c r="E55" s="5" t="s">
        <v>1257</v>
      </c>
      <c r="F55" s="5" t="s">
        <v>230</v>
      </c>
      <c r="G55" s="5">
        <v>6</v>
      </c>
      <c r="H55" s="5">
        <v>25</v>
      </c>
      <c r="I55" s="5">
        <v>25</v>
      </c>
      <c r="J55" s="5">
        <f t="shared" si="0"/>
        <v>0</v>
      </c>
      <c r="K55" s="5" t="s">
        <v>1706</v>
      </c>
      <c r="L55" s="5" t="s">
        <v>26</v>
      </c>
      <c r="M55" s="5" t="s">
        <v>1589</v>
      </c>
      <c r="N55" s="5" t="s">
        <v>177</v>
      </c>
      <c r="O55" s="5"/>
      <c r="P55" s="5"/>
      <c r="Q55" s="5"/>
      <c r="R55">
        <v>1</v>
      </c>
    </row>
    <row r="56" spans="1:19" ht="14.25" customHeight="1">
      <c r="A56" s="6"/>
      <c r="B56" s="6" t="s">
        <v>19</v>
      </c>
      <c r="C56" s="6" t="s">
        <v>1718</v>
      </c>
      <c r="D56" s="6" t="s">
        <v>1719</v>
      </c>
      <c r="E56" s="6">
        <v>125</v>
      </c>
      <c r="F56" s="6" t="s">
        <v>709</v>
      </c>
      <c r="G56" s="6">
        <v>6</v>
      </c>
      <c r="H56" s="23">
        <v>657</v>
      </c>
      <c r="I56" s="6">
        <v>25</v>
      </c>
      <c r="J56" s="6">
        <f t="shared" si="0"/>
        <v>632</v>
      </c>
      <c r="K56" s="6" t="s">
        <v>1706</v>
      </c>
      <c r="L56" s="6" t="s">
        <v>26</v>
      </c>
      <c r="M56" s="6" t="s">
        <v>1589</v>
      </c>
      <c r="N56" s="6"/>
      <c r="O56" s="6"/>
      <c r="P56" s="6"/>
      <c r="Q56" s="6"/>
      <c r="R56">
        <v>1</v>
      </c>
    </row>
    <row r="57" spans="1:19" ht="14.25" customHeight="1">
      <c r="A57" s="6"/>
      <c r="B57" s="6" t="s">
        <v>19</v>
      </c>
      <c r="C57" s="6" t="s">
        <v>1720</v>
      </c>
      <c r="D57" s="6" t="s">
        <v>1721</v>
      </c>
      <c r="E57" s="6" t="s">
        <v>1722</v>
      </c>
      <c r="F57" s="6" t="s">
        <v>1723</v>
      </c>
      <c r="G57" s="6">
        <v>6</v>
      </c>
      <c r="H57" s="23">
        <v>622</v>
      </c>
      <c r="I57" s="6">
        <v>30</v>
      </c>
      <c r="J57" s="6">
        <f t="shared" si="0"/>
        <v>592</v>
      </c>
      <c r="K57" s="6" t="s">
        <v>1706</v>
      </c>
      <c r="L57" s="6" t="s">
        <v>26</v>
      </c>
      <c r="M57" s="6" t="s">
        <v>1589</v>
      </c>
      <c r="N57" s="6"/>
      <c r="O57" s="6"/>
      <c r="P57" s="6"/>
      <c r="Q57" s="6"/>
      <c r="R57">
        <v>1</v>
      </c>
    </row>
    <row r="58" spans="1:19" ht="14.25" customHeight="1">
      <c r="A58" s="6"/>
      <c r="B58" s="6" t="s">
        <v>19</v>
      </c>
      <c r="C58" s="6" t="s">
        <v>1724</v>
      </c>
      <c r="D58" s="6" t="s">
        <v>1725</v>
      </c>
      <c r="E58" s="6" t="s">
        <v>1077</v>
      </c>
      <c r="F58" s="6" t="s">
        <v>1726</v>
      </c>
      <c r="G58" s="6">
        <v>7</v>
      </c>
      <c r="H58" s="23">
        <v>617</v>
      </c>
      <c r="I58" s="6">
        <v>25</v>
      </c>
      <c r="J58" s="6">
        <f t="shared" si="0"/>
        <v>592</v>
      </c>
      <c r="K58" s="6" t="s">
        <v>1706</v>
      </c>
      <c r="L58" s="6" t="s">
        <v>26</v>
      </c>
      <c r="M58" s="6" t="s">
        <v>1589</v>
      </c>
      <c r="N58" s="6"/>
      <c r="O58" s="6"/>
      <c r="P58" s="6"/>
      <c r="Q58" s="6"/>
      <c r="R58">
        <v>1</v>
      </c>
    </row>
    <row r="59" spans="1:19" ht="14.25" customHeight="1">
      <c r="A59" s="6"/>
      <c r="B59" s="6" t="s">
        <v>19</v>
      </c>
      <c r="C59" s="6" t="s">
        <v>1727</v>
      </c>
      <c r="D59" s="6" t="s">
        <v>1728</v>
      </c>
      <c r="E59" s="6">
        <v>73</v>
      </c>
      <c r="F59" s="6" t="s">
        <v>571</v>
      </c>
      <c r="G59" s="6">
        <v>7</v>
      </c>
      <c r="H59" s="23">
        <v>657</v>
      </c>
      <c r="I59" s="6">
        <v>25</v>
      </c>
      <c r="J59" s="6">
        <f t="shared" si="0"/>
        <v>632</v>
      </c>
      <c r="K59" s="6" t="s">
        <v>1706</v>
      </c>
      <c r="L59" s="6" t="s">
        <v>26</v>
      </c>
      <c r="M59" s="6" t="s">
        <v>1589</v>
      </c>
      <c r="N59" s="6"/>
      <c r="O59" s="6"/>
      <c r="P59" s="6"/>
      <c r="Q59" s="6"/>
      <c r="R59">
        <v>1</v>
      </c>
    </row>
    <row r="60" spans="1:19" ht="14.25" customHeight="1">
      <c r="A60" s="6"/>
      <c r="B60" s="6" t="s">
        <v>19</v>
      </c>
      <c r="C60" s="6" t="s">
        <v>1729</v>
      </c>
      <c r="D60" s="6" t="s">
        <v>1730</v>
      </c>
      <c r="E60" s="6">
        <v>108</v>
      </c>
      <c r="F60" s="6" t="s">
        <v>1731</v>
      </c>
      <c r="G60" s="6">
        <v>7</v>
      </c>
      <c r="H60" s="23">
        <v>417</v>
      </c>
      <c r="I60" s="6">
        <v>25</v>
      </c>
      <c r="J60" s="6">
        <f t="shared" si="0"/>
        <v>392</v>
      </c>
      <c r="K60" s="6" t="s">
        <v>1706</v>
      </c>
      <c r="L60" s="6" t="s">
        <v>26</v>
      </c>
      <c r="M60" s="6" t="s">
        <v>1589</v>
      </c>
      <c r="N60" s="6"/>
      <c r="O60" s="6"/>
      <c r="P60" s="6"/>
      <c r="Q60" s="6"/>
      <c r="R60">
        <v>1</v>
      </c>
    </row>
    <row r="61" spans="1:19" ht="14.25" customHeight="1">
      <c r="A61" s="6"/>
      <c r="B61" s="6" t="s">
        <v>19</v>
      </c>
      <c r="C61" s="6" t="s">
        <v>1732</v>
      </c>
      <c r="D61" s="6" t="s">
        <v>1733</v>
      </c>
      <c r="E61" s="6" t="s">
        <v>1734</v>
      </c>
      <c r="F61" s="6" t="s">
        <v>1735</v>
      </c>
      <c r="G61" s="6">
        <v>7</v>
      </c>
      <c r="H61" s="23">
        <v>737</v>
      </c>
      <c r="I61" s="6">
        <v>25</v>
      </c>
      <c r="J61" s="6">
        <f t="shared" si="0"/>
        <v>712</v>
      </c>
      <c r="K61" s="6" t="s">
        <v>1706</v>
      </c>
      <c r="L61" s="6" t="s">
        <v>26</v>
      </c>
      <c r="M61" s="6" t="s">
        <v>1589</v>
      </c>
      <c r="N61" s="6"/>
      <c r="O61" s="6"/>
      <c r="P61" s="6"/>
      <c r="Q61" s="6"/>
      <c r="R61">
        <v>1</v>
      </c>
    </row>
    <row r="62" spans="1:19" ht="14.25" customHeight="1">
      <c r="A62" s="6"/>
      <c r="B62" s="6" t="s">
        <v>19</v>
      </c>
      <c r="C62" s="6" t="s">
        <v>1736</v>
      </c>
      <c r="D62" s="6" t="s">
        <v>1737</v>
      </c>
      <c r="E62" s="6" t="s">
        <v>1738</v>
      </c>
      <c r="F62" s="6" t="s">
        <v>1739</v>
      </c>
      <c r="G62" s="6">
        <v>7</v>
      </c>
      <c r="H62" s="23">
        <v>0</v>
      </c>
      <c r="I62" s="6">
        <v>25</v>
      </c>
      <c r="J62" s="6">
        <f t="shared" si="0"/>
        <v>-25</v>
      </c>
      <c r="K62" s="6" t="s">
        <v>1706</v>
      </c>
      <c r="L62" s="6" t="s">
        <v>26</v>
      </c>
      <c r="M62" s="6" t="s">
        <v>1589</v>
      </c>
      <c r="N62" s="6"/>
      <c r="O62" s="6"/>
      <c r="P62" s="6"/>
      <c r="Q62" s="6"/>
      <c r="R62">
        <v>1</v>
      </c>
      <c r="S62">
        <v>25</v>
      </c>
    </row>
    <row r="63" spans="1:19" ht="14.25" customHeight="1">
      <c r="A63" s="6"/>
      <c r="B63" s="6" t="s">
        <v>19</v>
      </c>
      <c r="C63" s="6" t="s">
        <v>1740</v>
      </c>
      <c r="D63" s="6" t="s">
        <v>1741</v>
      </c>
      <c r="E63" s="6">
        <v>67</v>
      </c>
      <c r="F63" s="6" t="s">
        <v>1742</v>
      </c>
      <c r="G63" s="6">
        <v>7</v>
      </c>
      <c r="H63" s="23">
        <v>0</v>
      </c>
      <c r="I63" s="6">
        <v>25</v>
      </c>
      <c r="J63" s="6">
        <f t="shared" si="0"/>
        <v>-25</v>
      </c>
      <c r="K63" s="6" t="s">
        <v>1706</v>
      </c>
      <c r="L63" s="6" t="s">
        <v>26</v>
      </c>
      <c r="M63" s="6" t="s">
        <v>1589</v>
      </c>
      <c r="N63" s="6"/>
      <c r="O63" s="6"/>
      <c r="P63" s="6"/>
      <c r="Q63" s="6"/>
      <c r="R63">
        <v>1</v>
      </c>
      <c r="S63">
        <v>25</v>
      </c>
    </row>
    <row r="64" spans="1:19" ht="14.25" customHeight="1">
      <c r="A64" s="6"/>
      <c r="B64" s="6" t="s">
        <v>19</v>
      </c>
      <c r="C64" s="6" t="s">
        <v>1743</v>
      </c>
      <c r="D64" s="6" t="s">
        <v>1744</v>
      </c>
      <c r="E64" s="6">
        <v>1349</v>
      </c>
      <c r="F64" s="6" t="s">
        <v>1339</v>
      </c>
      <c r="G64" s="6">
        <v>7</v>
      </c>
      <c r="H64" s="23">
        <v>361</v>
      </c>
      <c r="I64" s="6">
        <v>25</v>
      </c>
      <c r="J64" s="6">
        <f t="shared" si="0"/>
        <v>336</v>
      </c>
      <c r="K64" s="6" t="s">
        <v>1706</v>
      </c>
      <c r="L64" s="6" t="s">
        <v>26</v>
      </c>
      <c r="M64" s="6" t="s">
        <v>1589</v>
      </c>
      <c r="N64" s="6"/>
      <c r="O64" s="6"/>
      <c r="P64" s="6"/>
      <c r="Q64" s="6"/>
      <c r="R64">
        <v>1</v>
      </c>
    </row>
    <row r="65" spans="1:19" ht="14.25" customHeight="1">
      <c r="A65" s="6"/>
      <c r="B65" s="6" t="s">
        <v>19</v>
      </c>
      <c r="C65" s="6" t="s">
        <v>1745</v>
      </c>
      <c r="D65" s="6" t="s">
        <v>1746</v>
      </c>
      <c r="E65" s="6" t="s">
        <v>1747</v>
      </c>
      <c r="F65" s="6" t="s">
        <v>1748</v>
      </c>
      <c r="G65" s="6">
        <v>7</v>
      </c>
      <c r="H65" s="23">
        <v>625</v>
      </c>
      <c r="I65" s="6">
        <v>25</v>
      </c>
      <c r="J65" s="6">
        <f t="shared" si="0"/>
        <v>600</v>
      </c>
      <c r="K65" s="6" t="s">
        <v>1706</v>
      </c>
      <c r="L65" s="6" t="s">
        <v>26</v>
      </c>
      <c r="M65" s="6" t="s">
        <v>1589</v>
      </c>
      <c r="N65" s="6"/>
      <c r="O65" s="6"/>
      <c r="P65" s="6"/>
      <c r="Q65" s="6"/>
      <c r="R65">
        <v>1</v>
      </c>
    </row>
    <row r="66" spans="1:19" ht="14.25" customHeight="1">
      <c r="A66" s="6"/>
      <c r="B66" s="6" t="s">
        <v>19</v>
      </c>
      <c r="C66" s="6" t="s">
        <v>1749</v>
      </c>
      <c r="D66" s="6" t="s">
        <v>1750</v>
      </c>
      <c r="E66" s="6" t="s">
        <v>1751</v>
      </c>
      <c r="F66" s="6" t="s">
        <v>1495</v>
      </c>
      <c r="G66" s="6">
        <v>7</v>
      </c>
      <c r="H66" s="23">
        <v>617</v>
      </c>
      <c r="I66" s="6">
        <v>25</v>
      </c>
      <c r="J66" s="6">
        <f t="shared" si="0"/>
        <v>592</v>
      </c>
      <c r="K66" s="6" t="s">
        <v>1706</v>
      </c>
      <c r="L66" s="6" t="s">
        <v>26</v>
      </c>
      <c r="M66" s="6" t="s">
        <v>1589</v>
      </c>
      <c r="N66" s="6"/>
      <c r="O66" s="6"/>
      <c r="P66" s="6"/>
      <c r="Q66" s="6"/>
      <c r="R66">
        <v>1</v>
      </c>
    </row>
    <row r="67" spans="1:19" ht="14.25" customHeight="1">
      <c r="A67" s="6"/>
      <c r="B67" s="6" t="s">
        <v>19</v>
      </c>
      <c r="C67" s="6" t="s">
        <v>883</v>
      </c>
      <c r="D67" s="6" t="s">
        <v>1752</v>
      </c>
      <c r="E67" s="6" t="s">
        <v>1753</v>
      </c>
      <c r="F67" s="6" t="s">
        <v>1495</v>
      </c>
      <c r="G67" s="6">
        <v>7</v>
      </c>
      <c r="H67" s="23">
        <v>377</v>
      </c>
      <c r="I67" s="6">
        <v>25</v>
      </c>
      <c r="J67" s="6">
        <f t="shared" si="0"/>
        <v>352</v>
      </c>
      <c r="K67" s="6" t="s">
        <v>1706</v>
      </c>
      <c r="L67" s="6" t="s">
        <v>26</v>
      </c>
      <c r="M67" s="6" t="s">
        <v>1589</v>
      </c>
      <c r="N67" s="6"/>
      <c r="O67" s="6"/>
      <c r="P67" s="6"/>
      <c r="Q67" s="6"/>
      <c r="R67">
        <v>1</v>
      </c>
    </row>
    <row r="68" spans="1:19" ht="14.25" customHeight="1">
      <c r="A68" s="6"/>
      <c r="B68" s="6" t="s">
        <v>19</v>
      </c>
      <c r="C68" s="6" t="s">
        <v>1754</v>
      </c>
      <c r="D68" s="6" t="s">
        <v>1755</v>
      </c>
      <c r="E68" s="6">
        <v>35</v>
      </c>
      <c r="F68" s="6" t="s">
        <v>1756</v>
      </c>
      <c r="G68" s="6">
        <v>7</v>
      </c>
      <c r="H68" s="23">
        <v>801</v>
      </c>
      <c r="I68" s="6">
        <v>25</v>
      </c>
      <c r="J68" s="6">
        <f t="shared" si="0"/>
        <v>776</v>
      </c>
      <c r="K68" s="6" t="s">
        <v>1706</v>
      </c>
      <c r="L68" s="6" t="s">
        <v>26</v>
      </c>
      <c r="M68" s="6" t="s">
        <v>1589</v>
      </c>
      <c r="N68" s="6"/>
      <c r="O68" s="6"/>
      <c r="P68" s="6"/>
      <c r="Q68" s="6"/>
      <c r="R68">
        <v>1</v>
      </c>
    </row>
    <row r="69" spans="1:19" ht="14.25" customHeight="1">
      <c r="A69" s="6"/>
      <c r="B69" s="6" t="s">
        <v>19</v>
      </c>
      <c r="C69" s="6" t="s">
        <v>1757</v>
      </c>
      <c r="D69" s="6" t="s">
        <v>1758</v>
      </c>
      <c r="E69" s="6">
        <v>973</v>
      </c>
      <c r="F69" s="6" t="s">
        <v>537</v>
      </c>
      <c r="G69" s="6">
        <v>7</v>
      </c>
      <c r="H69" s="23">
        <v>0</v>
      </c>
      <c r="I69" s="6">
        <v>25</v>
      </c>
      <c r="J69" s="6">
        <f t="shared" si="0"/>
        <v>-25</v>
      </c>
      <c r="K69" s="6" t="s">
        <v>1706</v>
      </c>
      <c r="L69" s="6" t="s">
        <v>26</v>
      </c>
      <c r="M69" s="6" t="s">
        <v>1589</v>
      </c>
      <c r="N69" s="6"/>
      <c r="O69" s="6"/>
      <c r="P69" s="6"/>
      <c r="Q69" s="6"/>
      <c r="R69">
        <v>1</v>
      </c>
      <c r="S69">
        <v>25</v>
      </c>
    </row>
    <row r="70" spans="1:19" ht="14.25" customHeight="1">
      <c r="A70" s="6"/>
      <c r="B70" s="6" t="s">
        <v>19</v>
      </c>
      <c r="C70" s="6" t="s">
        <v>1759</v>
      </c>
      <c r="D70" s="6" t="s">
        <v>1760</v>
      </c>
      <c r="E70" s="6" t="s">
        <v>1761</v>
      </c>
      <c r="F70" s="6" t="s">
        <v>537</v>
      </c>
      <c r="G70" s="6">
        <v>7</v>
      </c>
      <c r="H70" s="23">
        <v>305</v>
      </c>
      <c r="I70" s="6">
        <v>25</v>
      </c>
      <c r="J70" s="6">
        <f t="shared" si="0"/>
        <v>280</v>
      </c>
      <c r="K70" s="6" t="s">
        <v>1706</v>
      </c>
      <c r="L70" s="6" t="s">
        <v>26</v>
      </c>
      <c r="M70" s="6" t="s">
        <v>1589</v>
      </c>
      <c r="N70" s="6"/>
      <c r="O70" s="6"/>
      <c r="P70" s="6"/>
      <c r="Q70" s="6"/>
      <c r="R70">
        <v>1</v>
      </c>
    </row>
    <row r="71" spans="1:19" ht="14.25" customHeight="1">
      <c r="A71" s="6"/>
      <c r="B71" s="6" t="s">
        <v>19</v>
      </c>
      <c r="C71" s="6" t="s">
        <v>534</v>
      </c>
      <c r="D71" s="6" t="s">
        <v>1762</v>
      </c>
      <c r="E71" s="6" t="s">
        <v>1763</v>
      </c>
      <c r="F71" s="6" t="s">
        <v>537</v>
      </c>
      <c r="G71" s="6">
        <v>7</v>
      </c>
      <c r="H71" s="23">
        <v>1705</v>
      </c>
      <c r="I71" s="6">
        <v>25</v>
      </c>
      <c r="J71" s="6">
        <f t="shared" si="0"/>
        <v>1680</v>
      </c>
      <c r="K71" s="6" t="s">
        <v>1706</v>
      </c>
      <c r="L71" s="6" t="s">
        <v>26</v>
      </c>
      <c r="M71" s="6" t="s">
        <v>1589</v>
      </c>
      <c r="N71" s="6"/>
      <c r="O71" s="6"/>
      <c r="P71" s="6"/>
      <c r="Q71" s="6"/>
      <c r="R71">
        <v>1</v>
      </c>
    </row>
    <row r="72" spans="1:19" ht="14.25" customHeight="1">
      <c r="A72" s="6"/>
      <c r="B72" s="6" t="s">
        <v>19</v>
      </c>
      <c r="C72" s="6" t="s">
        <v>989</v>
      </c>
      <c r="D72" s="6" t="s">
        <v>1764</v>
      </c>
      <c r="E72" s="6" t="s">
        <v>1765</v>
      </c>
      <c r="F72" s="6" t="s">
        <v>325</v>
      </c>
      <c r="G72" s="6">
        <v>8</v>
      </c>
      <c r="H72" s="23">
        <v>625</v>
      </c>
      <c r="I72" s="6">
        <v>25</v>
      </c>
      <c r="J72" s="6">
        <f t="shared" si="0"/>
        <v>600</v>
      </c>
      <c r="K72" s="6" t="s">
        <v>1706</v>
      </c>
      <c r="L72" s="6" t="s">
        <v>26</v>
      </c>
      <c r="M72" s="6" t="s">
        <v>1589</v>
      </c>
      <c r="N72" s="6"/>
      <c r="O72" s="6"/>
      <c r="P72" s="6"/>
      <c r="Q72" s="6"/>
      <c r="R72">
        <v>1</v>
      </c>
    </row>
    <row r="73" spans="1:19" ht="14.25" customHeight="1">
      <c r="A73" s="6"/>
      <c r="B73" s="6" t="s">
        <v>19</v>
      </c>
      <c r="C73" s="6" t="s">
        <v>1766</v>
      </c>
      <c r="D73" s="6" t="s">
        <v>1767</v>
      </c>
      <c r="E73" s="6" t="s">
        <v>1768</v>
      </c>
      <c r="F73" s="6" t="s">
        <v>1769</v>
      </c>
      <c r="G73" s="6">
        <v>8</v>
      </c>
      <c r="H73" s="23">
        <v>1353</v>
      </c>
      <c r="I73" s="6">
        <v>25</v>
      </c>
      <c r="J73" s="6">
        <f t="shared" si="0"/>
        <v>1328</v>
      </c>
      <c r="K73" s="6" t="s">
        <v>1706</v>
      </c>
      <c r="L73" s="6" t="s">
        <v>26</v>
      </c>
      <c r="M73" s="6" t="s">
        <v>1589</v>
      </c>
      <c r="N73" s="6"/>
      <c r="O73" s="6"/>
      <c r="P73" s="6"/>
      <c r="Q73" s="6"/>
      <c r="R73">
        <v>1</v>
      </c>
    </row>
    <row r="74" spans="1:19" ht="14.25" customHeight="1">
      <c r="A74" s="6"/>
      <c r="B74" s="6" t="s">
        <v>19</v>
      </c>
      <c r="C74" s="6" t="s">
        <v>1094</v>
      </c>
      <c r="D74" s="6" t="s">
        <v>1770</v>
      </c>
      <c r="E74" s="6" t="s">
        <v>1771</v>
      </c>
      <c r="F74" s="6" t="s">
        <v>1097</v>
      </c>
      <c r="G74" s="6">
        <v>8</v>
      </c>
      <c r="H74" s="23">
        <v>417</v>
      </c>
      <c r="I74" s="6">
        <v>25</v>
      </c>
      <c r="J74" s="6">
        <f t="shared" si="0"/>
        <v>392</v>
      </c>
      <c r="K74" s="6" t="s">
        <v>1706</v>
      </c>
      <c r="L74" s="6" t="s">
        <v>26</v>
      </c>
      <c r="M74" s="6" t="s">
        <v>1589</v>
      </c>
      <c r="N74" s="6"/>
      <c r="O74" s="6"/>
      <c r="P74" s="6"/>
      <c r="Q74" s="6"/>
      <c r="R74">
        <v>1</v>
      </c>
    </row>
    <row r="75" spans="1:19" ht="14.25" customHeight="1">
      <c r="A75" s="6"/>
      <c r="B75" s="6" t="s">
        <v>19</v>
      </c>
      <c r="C75" s="6" t="s">
        <v>648</v>
      </c>
      <c r="D75" s="6" t="s">
        <v>1772</v>
      </c>
      <c r="E75" s="6" t="s">
        <v>1773</v>
      </c>
      <c r="F75" s="6" t="s">
        <v>1314</v>
      </c>
      <c r="G75" s="6">
        <v>8</v>
      </c>
      <c r="H75" s="23">
        <v>3142</v>
      </c>
      <c r="I75" s="6">
        <v>30</v>
      </c>
      <c r="J75" s="6">
        <f t="shared" si="0"/>
        <v>3112</v>
      </c>
      <c r="K75" s="6" t="s">
        <v>1706</v>
      </c>
      <c r="L75" s="6" t="s">
        <v>26</v>
      </c>
      <c r="M75" s="6" t="s">
        <v>1589</v>
      </c>
      <c r="N75" s="6"/>
      <c r="O75" s="6"/>
      <c r="P75" s="6"/>
      <c r="Q75" s="6"/>
      <c r="R75">
        <v>1</v>
      </c>
    </row>
    <row r="76" spans="1:19" ht="14.25" customHeight="1">
      <c r="A76" s="6"/>
      <c r="B76" s="6" t="s">
        <v>19</v>
      </c>
      <c r="C76" s="6" t="s">
        <v>1774</v>
      </c>
      <c r="D76" s="6" t="s">
        <v>1775</v>
      </c>
      <c r="E76" s="6" t="s">
        <v>1776</v>
      </c>
      <c r="F76" s="6" t="s">
        <v>1777</v>
      </c>
      <c r="G76" s="6">
        <v>8</v>
      </c>
      <c r="H76" s="23">
        <v>470</v>
      </c>
      <c r="I76" s="6">
        <v>30</v>
      </c>
      <c r="J76" s="6">
        <f t="shared" si="0"/>
        <v>440</v>
      </c>
      <c r="K76" s="6" t="s">
        <v>1706</v>
      </c>
      <c r="L76" s="6" t="s">
        <v>26</v>
      </c>
      <c r="M76" s="6" t="s">
        <v>1589</v>
      </c>
      <c r="N76" s="6"/>
      <c r="O76" s="6"/>
      <c r="P76" s="6"/>
      <c r="Q76" s="6"/>
      <c r="R76">
        <v>1</v>
      </c>
    </row>
    <row r="77" spans="1:19" ht="14.25" customHeight="1">
      <c r="A77" s="6"/>
      <c r="B77" s="6" t="s">
        <v>19</v>
      </c>
      <c r="C77" s="6" t="s">
        <v>1778</v>
      </c>
      <c r="D77" s="6" t="s">
        <v>1779</v>
      </c>
      <c r="E77" s="6">
        <v>355</v>
      </c>
      <c r="F77" s="6" t="s">
        <v>1780</v>
      </c>
      <c r="G77" s="6">
        <v>8</v>
      </c>
      <c r="H77" s="23">
        <v>1105</v>
      </c>
      <c r="I77" s="6">
        <v>25</v>
      </c>
      <c r="J77" s="6">
        <f t="shared" si="0"/>
        <v>1080</v>
      </c>
      <c r="K77" s="6" t="s">
        <v>1706</v>
      </c>
      <c r="L77" s="6" t="s">
        <v>26</v>
      </c>
      <c r="M77" s="6" t="s">
        <v>1589</v>
      </c>
      <c r="N77" s="6"/>
      <c r="O77" s="6"/>
      <c r="P77" s="6"/>
      <c r="Q77" s="6"/>
      <c r="R77">
        <v>1</v>
      </c>
    </row>
    <row r="78" spans="1:19" ht="14.25" customHeight="1">
      <c r="A78" s="6"/>
      <c r="B78" s="6" t="s">
        <v>19</v>
      </c>
      <c r="C78" s="6" t="s">
        <v>1781</v>
      </c>
      <c r="D78" s="6" t="s">
        <v>1782</v>
      </c>
      <c r="E78" s="6" t="s">
        <v>1783</v>
      </c>
      <c r="F78" s="6" t="s">
        <v>1784</v>
      </c>
      <c r="G78" s="6">
        <v>9</v>
      </c>
      <c r="H78" s="23">
        <v>382</v>
      </c>
      <c r="I78" s="6">
        <v>30</v>
      </c>
      <c r="J78" s="6">
        <f t="shared" si="0"/>
        <v>352</v>
      </c>
      <c r="K78" s="6" t="s">
        <v>1706</v>
      </c>
      <c r="L78" s="6" t="s">
        <v>26</v>
      </c>
      <c r="M78" s="6" t="s">
        <v>1589</v>
      </c>
      <c r="N78" s="6"/>
      <c r="O78" s="6"/>
      <c r="P78" s="6"/>
      <c r="Q78" s="6"/>
      <c r="R78">
        <v>1</v>
      </c>
    </row>
    <row r="79" spans="1:19" ht="14.25" customHeight="1">
      <c r="A79" s="6" t="s">
        <v>37</v>
      </c>
      <c r="B79" s="6" t="s">
        <v>19</v>
      </c>
      <c r="C79" s="6" t="s">
        <v>1785</v>
      </c>
      <c r="D79" s="6"/>
      <c r="E79" s="6" t="s">
        <v>1786</v>
      </c>
      <c r="F79" s="6" t="s">
        <v>1787</v>
      </c>
      <c r="G79" s="6">
        <v>9</v>
      </c>
      <c r="H79" s="23">
        <v>35</v>
      </c>
      <c r="I79" s="6">
        <v>35</v>
      </c>
      <c r="J79" s="6">
        <f t="shared" si="0"/>
        <v>0</v>
      </c>
      <c r="K79" s="6" t="s">
        <v>1706</v>
      </c>
      <c r="L79" s="6" t="s">
        <v>26</v>
      </c>
      <c r="M79" s="6" t="s">
        <v>1589</v>
      </c>
      <c r="N79" s="6"/>
      <c r="O79" s="6"/>
      <c r="P79" s="6"/>
      <c r="Q79" s="6"/>
      <c r="R79">
        <v>1</v>
      </c>
    </row>
    <row r="80" spans="1:19" ht="14.25" customHeight="1">
      <c r="A80" s="6"/>
      <c r="B80" s="6" t="s">
        <v>19</v>
      </c>
      <c r="C80" s="6" t="s">
        <v>1788</v>
      </c>
      <c r="D80" s="6" t="s">
        <v>1789</v>
      </c>
      <c r="E80" s="6" t="s">
        <v>1790</v>
      </c>
      <c r="F80" s="6" t="s">
        <v>709</v>
      </c>
      <c r="G80" s="6">
        <v>11</v>
      </c>
      <c r="H80" s="23">
        <v>737</v>
      </c>
      <c r="I80" s="6">
        <v>25</v>
      </c>
      <c r="J80" s="6">
        <f t="shared" si="0"/>
        <v>712</v>
      </c>
      <c r="K80" s="6" t="s">
        <v>1706</v>
      </c>
      <c r="L80" s="6" t="s">
        <v>26</v>
      </c>
      <c r="M80" s="6" t="s">
        <v>1589</v>
      </c>
      <c r="N80" s="6"/>
      <c r="O80" s="6"/>
      <c r="P80" s="6"/>
      <c r="Q80" s="6"/>
      <c r="R80">
        <v>1</v>
      </c>
    </row>
    <row r="81" spans="1:19" ht="14.25" customHeight="1">
      <c r="A81" s="6"/>
      <c r="B81" s="6" t="s">
        <v>19</v>
      </c>
      <c r="C81" s="6" t="s">
        <v>1791</v>
      </c>
      <c r="D81" s="6" t="s">
        <v>1792</v>
      </c>
      <c r="E81" s="6" t="s">
        <v>1793</v>
      </c>
      <c r="F81" s="6" t="s">
        <v>147</v>
      </c>
      <c r="G81" s="6">
        <v>12</v>
      </c>
      <c r="H81" s="23">
        <v>0</v>
      </c>
      <c r="I81" s="6">
        <v>30</v>
      </c>
      <c r="J81" s="6">
        <f t="shared" si="0"/>
        <v>-30</v>
      </c>
      <c r="K81" s="6" t="s">
        <v>1706</v>
      </c>
      <c r="L81" s="6" t="s">
        <v>26</v>
      </c>
      <c r="M81" s="6" t="s">
        <v>1589</v>
      </c>
      <c r="N81" s="6"/>
      <c r="O81" s="6"/>
      <c r="P81" s="6"/>
      <c r="Q81" s="6"/>
      <c r="R81">
        <v>1</v>
      </c>
      <c r="S81">
        <v>30</v>
      </c>
    </row>
    <row r="82" spans="1:19" ht="14.25" customHeight="1">
      <c r="A82" s="6"/>
      <c r="B82" s="6" t="s">
        <v>19</v>
      </c>
      <c r="C82" s="6" t="s">
        <v>1794</v>
      </c>
      <c r="D82" s="6" t="s">
        <v>1795</v>
      </c>
      <c r="E82" s="6" t="s">
        <v>1796</v>
      </c>
      <c r="F82" s="6" t="s">
        <v>1797</v>
      </c>
      <c r="G82" s="6">
        <v>12</v>
      </c>
      <c r="H82" s="23">
        <v>422</v>
      </c>
      <c r="I82" s="6">
        <v>30</v>
      </c>
      <c r="J82" s="6">
        <f t="shared" si="0"/>
        <v>392</v>
      </c>
      <c r="K82" s="6" t="s">
        <v>1706</v>
      </c>
      <c r="L82" s="6" t="s">
        <v>26</v>
      </c>
      <c r="M82" s="6" t="s">
        <v>1589</v>
      </c>
      <c r="N82" s="6"/>
      <c r="O82" s="6"/>
      <c r="P82" s="6"/>
      <c r="Q82" s="6"/>
      <c r="R82">
        <v>1</v>
      </c>
    </row>
    <row r="83" spans="1:19" ht="14.25" customHeight="1">
      <c r="A83" s="6"/>
      <c r="B83" s="6" t="s">
        <v>19</v>
      </c>
      <c r="C83" s="6" t="s">
        <v>1798</v>
      </c>
      <c r="D83" s="6" t="s">
        <v>1799</v>
      </c>
      <c r="E83" s="6" t="s">
        <v>1800</v>
      </c>
      <c r="F83" s="6" t="s">
        <v>1801</v>
      </c>
      <c r="G83" s="6" t="s">
        <v>374</v>
      </c>
      <c r="H83" s="23">
        <v>702</v>
      </c>
      <c r="I83" s="6">
        <v>30</v>
      </c>
      <c r="J83" s="6">
        <f t="shared" si="0"/>
        <v>672</v>
      </c>
      <c r="K83" s="6" t="s">
        <v>1706</v>
      </c>
      <c r="L83" s="6" t="s">
        <v>26</v>
      </c>
      <c r="M83" s="6" t="s">
        <v>1589</v>
      </c>
      <c r="N83" s="6"/>
      <c r="O83" s="6"/>
      <c r="P83" s="6"/>
      <c r="Q83" s="6"/>
      <c r="R83">
        <v>1</v>
      </c>
    </row>
    <row r="84" spans="1:19" ht="14.25" customHeight="1">
      <c r="A84" s="6"/>
      <c r="B84" s="6" t="s">
        <v>19</v>
      </c>
      <c r="C84" s="6" t="s">
        <v>1802</v>
      </c>
      <c r="D84" s="6" t="s">
        <v>1803</v>
      </c>
      <c r="E84" s="6" t="s">
        <v>1804</v>
      </c>
      <c r="F84" s="6" t="s">
        <v>1495</v>
      </c>
      <c r="G84" s="6" t="s">
        <v>374</v>
      </c>
      <c r="H84" s="23">
        <v>204</v>
      </c>
      <c r="I84" s="6">
        <v>0</v>
      </c>
      <c r="J84" s="6">
        <f t="shared" si="0"/>
        <v>204</v>
      </c>
      <c r="K84" s="6" t="s">
        <v>1706</v>
      </c>
      <c r="L84" s="6" t="s">
        <v>26</v>
      </c>
      <c r="M84" s="6" t="s">
        <v>1589</v>
      </c>
      <c r="N84" s="7" t="s">
        <v>298</v>
      </c>
      <c r="O84" s="6"/>
      <c r="P84" s="6"/>
      <c r="Q84" s="6"/>
      <c r="R84">
        <v>1</v>
      </c>
    </row>
    <row r="85" spans="1:19" ht="14.25" customHeight="1">
      <c r="A85" s="6"/>
      <c r="B85" s="6" t="s">
        <v>19</v>
      </c>
      <c r="C85" s="6" t="s">
        <v>1802</v>
      </c>
      <c r="D85" s="6" t="s">
        <v>1805</v>
      </c>
      <c r="E85" s="6" t="s">
        <v>1804</v>
      </c>
      <c r="F85" s="6" t="s">
        <v>1495</v>
      </c>
      <c r="G85" s="6" t="s">
        <v>374</v>
      </c>
      <c r="H85" s="23">
        <v>667</v>
      </c>
      <c r="I85" s="6">
        <v>35</v>
      </c>
      <c r="J85" s="6">
        <f t="shared" si="0"/>
        <v>632</v>
      </c>
      <c r="K85" s="6" t="s">
        <v>1706</v>
      </c>
      <c r="L85" s="6" t="s">
        <v>26</v>
      </c>
      <c r="M85" s="6" t="s">
        <v>1589</v>
      </c>
      <c r="N85" s="6"/>
      <c r="O85" s="6"/>
      <c r="P85" s="6"/>
      <c r="Q85" s="6"/>
      <c r="R85">
        <v>1</v>
      </c>
    </row>
    <row r="86" spans="1:19" ht="14.25" customHeight="1">
      <c r="A86" s="6"/>
      <c r="B86" s="6" t="s">
        <v>19</v>
      </c>
      <c r="C86" s="6" t="s">
        <v>1806</v>
      </c>
      <c r="D86" s="6" t="s">
        <v>1807</v>
      </c>
      <c r="E86" s="6" t="s">
        <v>1808</v>
      </c>
      <c r="F86" s="6" t="s">
        <v>1809</v>
      </c>
      <c r="G86" s="6" t="s">
        <v>374</v>
      </c>
      <c r="H86" s="23">
        <v>1475</v>
      </c>
      <c r="I86" s="6">
        <v>35</v>
      </c>
      <c r="J86" s="6">
        <f t="shared" si="0"/>
        <v>1440</v>
      </c>
      <c r="K86" s="6" t="s">
        <v>1706</v>
      </c>
      <c r="L86" s="6" t="s">
        <v>26</v>
      </c>
      <c r="M86" s="6" t="s">
        <v>1589</v>
      </c>
      <c r="N86" s="6"/>
      <c r="O86" s="6"/>
      <c r="P86" s="6"/>
      <c r="Q86" s="6"/>
      <c r="R86">
        <v>1</v>
      </c>
    </row>
    <row r="87" spans="1:19" ht="14.25" customHeight="1">
      <c r="A87" s="6"/>
      <c r="B87" s="6" t="s">
        <v>19</v>
      </c>
      <c r="C87" s="6" t="s">
        <v>1810</v>
      </c>
      <c r="D87" s="6" t="s">
        <v>1811</v>
      </c>
      <c r="E87" s="6" t="s">
        <v>1812</v>
      </c>
      <c r="F87" s="6" t="s">
        <v>1813</v>
      </c>
      <c r="G87" s="6" t="s">
        <v>374</v>
      </c>
      <c r="H87" s="23">
        <v>1891</v>
      </c>
      <c r="I87" s="6">
        <v>35</v>
      </c>
      <c r="J87" s="6">
        <f t="shared" si="0"/>
        <v>1856</v>
      </c>
      <c r="K87" s="6" t="s">
        <v>1706</v>
      </c>
      <c r="L87" s="6" t="s">
        <v>26</v>
      </c>
      <c r="M87" s="6" t="s">
        <v>1589</v>
      </c>
      <c r="N87" s="6"/>
      <c r="O87" s="6"/>
      <c r="P87" s="6"/>
      <c r="Q87" s="6"/>
      <c r="R87">
        <v>1</v>
      </c>
    </row>
    <row r="88" spans="1:19" ht="14.25" customHeight="1">
      <c r="A88" s="6"/>
      <c r="B88" s="6" t="s">
        <v>19</v>
      </c>
      <c r="C88" s="6" t="s">
        <v>1814</v>
      </c>
      <c r="D88" s="6" t="s">
        <v>1815</v>
      </c>
      <c r="E88" s="6" t="s">
        <v>1816</v>
      </c>
      <c r="F88" s="6" t="s">
        <v>277</v>
      </c>
      <c r="G88" s="6" t="s">
        <v>385</v>
      </c>
      <c r="H88" s="23">
        <v>630</v>
      </c>
      <c r="I88" s="6">
        <v>30</v>
      </c>
      <c r="J88" s="6">
        <f t="shared" si="0"/>
        <v>600</v>
      </c>
      <c r="K88" s="6" t="s">
        <v>1706</v>
      </c>
      <c r="L88" s="6" t="s">
        <v>26</v>
      </c>
      <c r="M88" s="6" t="s">
        <v>1589</v>
      </c>
      <c r="N88" s="6"/>
      <c r="O88" s="6"/>
      <c r="P88" s="6"/>
      <c r="Q88" s="6"/>
      <c r="R88">
        <v>1</v>
      </c>
    </row>
    <row r="89" spans="1:19" ht="14.25" customHeight="1">
      <c r="A89" s="6"/>
      <c r="B89" s="6" t="s">
        <v>19</v>
      </c>
      <c r="C89" s="6" t="s">
        <v>1817</v>
      </c>
      <c r="D89" s="6" t="s">
        <v>1818</v>
      </c>
      <c r="E89" s="6">
        <v>1</v>
      </c>
      <c r="F89" s="6" t="s">
        <v>1819</v>
      </c>
      <c r="G89" s="6" t="s">
        <v>385</v>
      </c>
      <c r="H89" s="23">
        <v>734</v>
      </c>
      <c r="I89" s="6">
        <v>30</v>
      </c>
      <c r="J89" s="6">
        <f t="shared" si="0"/>
        <v>704</v>
      </c>
      <c r="K89" s="6" t="s">
        <v>1706</v>
      </c>
      <c r="L89" s="6" t="s">
        <v>26</v>
      </c>
      <c r="M89" s="6" t="s">
        <v>1589</v>
      </c>
      <c r="N89" s="6"/>
      <c r="O89" s="6"/>
      <c r="P89" s="6"/>
      <c r="Q89" s="6"/>
      <c r="R89">
        <v>1</v>
      </c>
    </row>
    <row r="90" spans="1:19" ht="14.25" customHeight="1">
      <c r="A90" s="6"/>
      <c r="B90" s="6" t="s">
        <v>19</v>
      </c>
      <c r="C90" s="6" t="s">
        <v>1820</v>
      </c>
      <c r="D90" s="6" t="s">
        <v>1821</v>
      </c>
      <c r="E90" s="6" t="s">
        <v>1822</v>
      </c>
      <c r="F90" s="6" t="s">
        <v>1823</v>
      </c>
      <c r="G90" s="6" t="s">
        <v>385</v>
      </c>
      <c r="H90" s="23">
        <v>734</v>
      </c>
      <c r="I90" s="6">
        <v>30</v>
      </c>
      <c r="J90" s="6">
        <f t="shared" si="0"/>
        <v>704</v>
      </c>
      <c r="K90" s="6" t="s">
        <v>1706</v>
      </c>
      <c r="L90" s="6" t="s">
        <v>26</v>
      </c>
      <c r="M90" s="6" t="s">
        <v>1589</v>
      </c>
      <c r="N90" s="6"/>
      <c r="O90" s="6"/>
      <c r="P90" s="6"/>
      <c r="Q90" s="6"/>
      <c r="R90">
        <v>1</v>
      </c>
    </row>
    <row r="91" spans="1:19" ht="14.25" customHeight="1">
      <c r="A91" s="6"/>
      <c r="B91" s="6" t="s">
        <v>19</v>
      </c>
      <c r="C91" s="6" t="s">
        <v>578</v>
      </c>
      <c r="D91" s="6" t="s">
        <v>1824</v>
      </c>
      <c r="E91" s="6" t="s">
        <v>580</v>
      </c>
      <c r="F91" s="6" t="s">
        <v>360</v>
      </c>
      <c r="G91" s="6" t="s">
        <v>385</v>
      </c>
      <c r="H91" s="23">
        <v>678</v>
      </c>
      <c r="I91" s="6">
        <v>30</v>
      </c>
      <c r="J91" s="6">
        <f t="shared" si="0"/>
        <v>648</v>
      </c>
      <c r="K91" s="6" t="s">
        <v>1706</v>
      </c>
      <c r="L91" s="6" t="s">
        <v>26</v>
      </c>
      <c r="M91" s="6" t="s">
        <v>1589</v>
      </c>
      <c r="N91" s="6"/>
      <c r="O91" s="6"/>
      <c r="P91" s="6"/>
      <c r="Q91" s="6"/>
      <c r="R91">
        <v>1</v>
      </c>
    </row>
    <row r="92" spans="1:19" ht="14.25" customHeight="1">
      <c r="A92" s="6"/>
      <c r="B92" s="6" t="s">
        <v>19</v>
      </c>
      <c r="C92" s="6" t="s">
        <v>1825</v>
      </c>
      <c r="D92" s="6" t="s">
        <v>1826</v>
      </c>
      <c r="E92" s="6">
        <v>62</v>
      </c>
      <c r="F92" s="6" t="s">
        <v>1827</v>
      </c>
      <c r="G92" s="6" t="s">
        <v>385</v>
      </c>
      <c r="H92" s="23">
        <v>478</v>
      </c>
      <c r="I92" s="6">
        <v>30</v>
      </c>
      <c r="J92" s="6">
        <f t="shared" si="0"/>
        <v>448</v>
      </c>
      <c r="K92" s="6" t="s">
        <v>1706</v>
      </c>
      <c r="L92" s="6" t="s">
        <v>26</v>
      </c>
      <c r="M92" s="6" t="s">
        <v>1589</v>
      </c>
      <c r="N92" s="6"/>
      <c r="O92" s="6"/>
      <c r="P92" s="6"/>
      <c r="Q92" s="6"/>
      <c r="R92">
        <v>1</v>
      </c>
    </row>
    <row r="93" spans="1:19" ht="14.25" customHeight="1">
      <c r="A93" s="6"/>
      <c r="B93" s="6" t="s">
        <v>19</v>
      </c>
      <c r="C93" s="6" t="s">
        <v>1828</v>
      </c>
      <c r="D93" s="6" t="s">
        <v>1829</v>
      </c>
      <c r="E93" s="6" t="s">
        <v>1830</v>
      </c>
      <c r="F93" s="6" t="s">
        <v>1831</v>
      </c>
      <c r="G93" s="6" t="s">
        <v>417</v>
      </c>
      <c r="H93" s="23">
        <v>371</v>
      </c>
      <c r="I93" s="6">
        <v>35</v>
      </c>
      <c r="J93" s="6">
        <f t="shared" si="0"/>
        <v>336</v>
      </c>
      <c r="K93" s="6" t="s">
        <v>1706</v>
      </c>
      <c r="L93" s="6" t="s">
        <v>26</v>
      </c>
      <c r="M93" s="6" t="s">
        <v>1589</v>
      </c>
      <c r="N93" s="6"/>
      <c r="O93" s="6"/>
      <c r="P93" s="6"/>
      <c r="Q93" s="6"/>
      <c r="R93">
        <v>1</v>
      </c>
    </row>
    <row r="94" spans="1:19" ht="14.25" customHeight="1">
      <c r="A94" s="6" t="s">
        <v>37</v>
      </c>
      <c r="B94" s="6" t="s">
        <v>19</v>
      </c>
      <c r="C94" s="6" t="s">
        <v>952</v>
      </c>
      <c r="D94" s="6"/>
      <c r="E94" s="6" t="s">
        <v>953</v>
      </c>
      <c r="F94" s="6" t="s">
        <v>954</v>
      </c>
      <c r="G94" s="6" t="s">
        <v>417</v>
      </c>
      <c r="H94" s="23">
        <v>1300</v>
      </c>
      <c r="I94" s="6">
        <v>40</v>
      </c>
      <c r="J94" s="6">
        <f t="shared" si="0"/>
        <v>1260</v>
      </c>
      <c r="K94" s="6" t="s">
        <v>1706</v>
      </c>
      <c r="L94" s="6" t="s">
        <v>26</v>
      </c>
      <c r="M94" s="6" t="s">
        <v>1589</v>
      </c>
      <c r="N94" s="6"/>
      <c r="O94" s="6"/>
      <c r="P94" s="6"/>
      <c r="Q94" s="6"/>
      <c r="R94">
        <v>1</v>
      </c>
    </row>
    <row r="95" spans="1:19" ht="14.25" customHeight="1">
      <c r="A95" s="6"/>
      <c r="B95" s="6" t="s">
        <v>19</v>
      </c>
      <c r="C95" s="6" t="s">
        <v>1832</v>
      </c>
      <c r="D95" s="6" t="s">
        <v>1833</v>
      </c>
      <c r="E95" s="6">
        <v>706</v>
      </c>
      <c r="F95" s="6" t="s">
        <v>957</v>
      </c>
      <c r="G95" s="6" t="s">
        <v>128</v>
      </c>
      <c r="H95" s="23">
        <v>305</v>
      </c>
      <c r="I95" s="6">
        <v>25</v>
      </c>
      <c r="J95" s="6">
        <f t="shared" si="0"/>
        <v>280</v>
      </c>
      <c r="K95" s="6" t="s">
        <v>1706</v>
      </c>
      <c r="L95" s="6" t="s">
        <v>26</v>
      </c>
      <c r="M95" s="6" t="s">
        <v>1589</v>
      </c>
      <c r="N95" s="6"/>
      <c r="O95" s="6"/>
      <c r="P95" s="6"/>
      <c r="Q95" s="6"/>
      <c r="R95">
        <v>1</v>
      </c>
    </row>
    <row r="96" spans="1:19" ht="14.25" customHeight="1">
      <c r="A96" s="6"/>
      <c r="B96" s="6" t="s">
        <v>19</v>
      </c>
      <c r="C96" s="6" t="s">
        <v>1834</v>
      </c>
      <c r="D96" s="6" t="s">
        <v>1835</v>
      </c>
      <c r="E96" s="6" t="s">
        <v>1836</v>
      </c>
      <c r="F96" s="6" t="s">
        <v>957</v>
      </c>
      <c r="G96" s="6" t="s">
        <v>128</v>
      </c>
      <c r="H96" s="23">
        <v>473</v>
      </c>
      <c r="I96" s="6">
        <v>25</v>
      </c>
      <c r="J96" s="6">
        <f t="shared" si="0"/>
        <v>448</v>
      </c>
      <c r="K96" s="6" t="s">
        <v>1706</v>
      </c>
      <c r="L96" s="6" t="s">
        <v>26</v>
      </c>
      <c r="M96" s="6" t="s">
        <v>1589</v>
      </c>
      <c r="N96" s="6"/>
      <c r="O96" s="6"/>
      <c r="P96" s="6"/>
      <c r="Q96" s="6"/>
      <c r="R96">
        <v>1</v>
      </c>
    </row>
    <row r="97" spans="1:19" ht="14.25" customHeight="1">
      <c r="A97" s="6" t="s">
        <v>37</v>
      </c>
      <c r="B97" s="6" t="s">
        <v>19</v>
      </c>
      <c r="C97" s="6" t="s">
        <v>583</v>
      </c>
      <c r="D97" s="6"/>
      <c r="E97" s="6" t="s">
        <v>584</v>
      </c>
      <c r="F97" s="6" t="s">
        <v>82</v>
      </c>
      <c r="G97" s="6" t="s">
        <v>128</v>
      </c>
      <c r="H97" s="23">
        <v>0</v>
      </c>
      <c r="I97" s="6">
        <v>60</v>
      </c>
      <c r="J97" s="6">
        <f t="shared" si="0"/>
        <v>-60</v>
      </c>
      <c r="K97" s="6" t="s">
        <v>1706</v>
      </c>
      <c r="L97" s="6" t="s">
        <v>26</v>
      </c>
      <c r="M97" s="6" t="s">
        <v>1589</v>
      </c>
      <c r="N97" s="6"/>
      <c r="O97" s="6"/>
      <c r="P97" s="6"/>
      <c r="Q97" s="6"/>
      <c r="R97">
        <v>1</v>
      </c>
      <c r="S97">
        <v>60</v>
      </c>
    </row>
    <row r="98" spans="1:19" ht="14.25" customHeight="1">
      <c r="A98" s="6"/>
      <c r="B98" s="6" t="s">
        <v>19</v>
      </c>
      <c r="C98" s="6" t="s">
        <v>1837</v>
      </c>
      <c r="D98" s="6" t="s">
        <v>1838</v>
      </c>
      <c r="E98" s="6" t="s">
        <v>1839</v>
      </c>
      <c r="F98" s="6" t="s">
        <v>961</v>
      </c>
      <c r="G98" s="6" t="s">
        <v>128</v>
      </c>
      <c r="H98" s="23">
        <v>0</v>
      </c>
      <c r="I98" s="6">
        <v>25</v>
      </c>
      <c r="J98" s="6">
        <f t="shared" si="0"/>
        <v>-25</v>
      </c>
      <c r="K98" s="6" t="s">
        <v>1706</v>
      </c>
      <c r="L98" s="6" t="s">
        <v>26</v>
      </c>
      <c r="M98" s="6" t="s">
        <v>1589</v>
      </c>
      <c r="N98" s="6"/>
      <c r="O98" s="6"/>
      <c r="P98" s="6"/>
      <c r="Q98" s="6"/>
      <c r="R98">
        <v>1</v>
      </c>
      <c r="S98">
        <v>25</v>
      </c>
    </row>
    <row r="99" spans="1:19" ht="14.25" customHeight="1">
      <c r="A99" s="6"/>
      <c r="B99" s="6" t="s">
        <v>19</v>
      </c>
      <c r="C99" s="6" t="s">
        <v>87</v>
      </c>
      <c r="D99" s="6" t="s">
        <v>1840</v>
      </c>
      <c r="E99" s="6" t="s">
        <v>1841</v>
      </c>
      <c r="F99" s="6" t="s">
        <v>957</v>
      </c>
      <c r="G99" s="6" t="s">
        <v>430</v>
      </c>
      <c r="H99" s="23">
        <v>417</v>
      </c>
      <c r="I99" s="6">
        <v>25</v>
      </c>
      <c r="J99" s="6">
        <f t="shared" si="0"/>
        <v>392</v>
      </c>
      <c r="K99" s="6" t="s">
        <v>1706</v>
      </c>
      <c r="L99" s="6" t="s">
        <v>26</v>
      </c>
      <c r="M99" s="6" t="s">
        <v>1589</v>
      </c>
      <c r="N99" s="6"/>
      <c r="O99" s="6"/>
      <c r="P99" s="6"/>
      <c r="Q99" s="6"/>
      <c r="R99">
        <v>1</v>
      </c>
    </row>
    <row r="100" spans="1:19" ht="14.25" customHeight="1">
      <c r="A100" s="6"/>
      <c r="B100" s="6" t="s">
        <v>19</v>
      </c>
      <c r="C100" s="6" t="s">
        <v>1842</v>
      </c>
      <c r="D100" s="6" t="s">
        <v>1843</v>
      </c>
      <c r="E100" s="6" t="s">
        <v>1844</v>
      </c>
      <c r="F100" s="6" t="s">
        <v>1845</v>
      </c>
      <c r="G100" s="6" t="s">
        <v>430</v>
      </c>
      <c r="H100" s="23">
        <v>417</v>
      </c>
      <c r="I100" s="6">
        <v>25</v>
      </c>
      <c r="J100" s="6">
        <f t="shared" si="0"/>
        <v>392</v>
      </c>
      <c r="K100" s="6" t="s">
        <v>1706</v>
      </c>
      <c r="L100" s="6" t="s">
        <v>26</v>
      </c>
      <c r="M100" s="6" t="s">
        <v>1589</v>
      </c>
      <c r="N100" s="6"/>
      <c r="O100" s="6"/>
      <c r="P100" s="6"/>
      <c r="Q100" s="6"/>
      <c r="R100">
        <v>1</v>
      </c>
    </row>
    <row r="101" spans="1:19" ht="14.25" customHeight="1">
      <c r="A101" s="6"/>
      <c r="B101" s="6" t="s">
        <v>19</v>
      </c>
      <c r="C101" s="6" t="s">
        <v>1846</v>
      </c>
      <c r="D101" s="6" t="s">
        <v>1847</v>
      </c>
      <c r="E101" s="6">
        <v>243</v>
      </c>
      <c r="F101" s="6" t="s">
        <v>453</v>
      </c>
      <c r="G101" s="6" t="s">
        <v>430</v>
      </c>
      <c r="H101" s="23">
        <v>1281</v>
      </c>
      <c r="I101" s="6">
        <v>25</v>
      </c>
      <c r="J101" s="6">
        <f t="shared" si="0"/>
        <v>1256</v>
      </c>
      <c r="K101" s="6" t="s">
        <v>1706</v>
      </c>
      <c r="L101" s="6" t="s">
        <v>26</v>
      </c>
      <c r="M101" s="6" t="s">
        <v>1589</v>
      </c>
      <c r="N101" s="6"/>
      <c r="O101" s="6"/>
      <c r="P101" s="6"/>
      <c r="Q101" s="6"/>
      <c r="R101">
        <v>1</v>
      </c>
    </row>
    <row r="102" spans="1:19" ht="14.25" customHeight="1">
      <c r="A102" s="6"/>
      <c r="B102" s="6" t="s">
        <v>19</v>
      </c>
      <c r="C102" s="6" t="s">
        <v>1848</v>
      </c>
      <c r="D102" s="6" t="s">
        <v>1849</v>
      </c>
      <c r="E102" s="6" t="s">
        <v>1850</v>
      </c>
      <c r="F102" s="6" t="s">
        <v>756</v>
      </c>
      <c r="G102" s="6">
        <v>2</v>
      </c>
      <c r="H102" s="6">
        <v>622</v>
      </c>
      <c r="I102" s="6">
        <v>30</v>
      </c>
      <c r="J102" s="6">
        <f t="shared" si="0"/>
        <v>592</v>
      </c>
      <c r="K102" s="6" t="s">
        <v>26</v>
      </c>
      <c r="L102" s="6" t="s">
        <v>26</v>
      </c>
      <c r="M102" s="6" t="s">
        <v>1589</v>
      </c>
      <c r="N102" s="6"/>
      <c r="O102" s="6"/>
      <c r="P102" s="6"/>
      <c r="Q102" s="6"/>
      <c r="R102">
        <v>1</v>
      </c>
    </row>
    <row r="103" spans="1:19" ht="14.25" customHeight="1">
      <c r="A103" s="6"/>
      <c r="B103" s="6" t="s">
        <v>19</v>
      </c>
      <c r="C103" s="6" t="s">
        <v>1851</v>
      </c>
      <c r="D103" s="6" t="s">
        <v>1852</v>
      </c>
      <c r="E103" s="6">
        <v>12</v>
      </c>
      <c r="F103" s="6" t="s">
        <v>1362</v>
      </c>
      <c r="G103" s="6">
        <v>2</v>
      </c>
      <c r="H103" s="6">
        <v>678</v>
      </c>
      <c r="I103" s="6">
        <v>30</v>
      </c>
      <c r="J103" s="6">
        <f t="shared" si="0"/>
        <v>648</v>
      </c>
      <c r="K103" s="6" t="s">
        <v>26</v>
      </c>
      <c r="L103" s="6" t="s">
        <v>26</v>
      </c>
      <c r="M103" s="6" t="s">
        <v>1589</v>
      </c>
      <c r="N103" s="6"/>
      <c r="O103" s="6"/>
      <c r="P103" s="6"/>
      <c r="Q103" s="6"/>
      <c r="R103">
        <v>1</v>
      </c>
    </row>
    <row r="104" spans="1:19" ht="14.25" customHeight="1">
      <c r="A104" s="6"/>
      <c r="B104" s="6" t="s">
        <v>19</v>
      </c>
      <c r="C104" s="6" t="s">
        <v>1853</v>
      </c>
      <c r="D104" s="6" t="s">
        <v>1854</v>
      </c>
      <c r="E104" s="6" t="s">
        <v>1855</v>
      </c>
      <c r="F104" s="6" t="s">
        <v>166</v>
      </c>
      <c r="G104" s="6">
        <v>2</v>
      </c>
      <c r="H104" s="6">
        <v>806</v>
      </c>
      <c r="I104" s="6">
        <v>30</v>
      </c>
      <c r="J104" s="6">
        <f t="shared" si="0"/>
        <v>776</v>
      </c>
      <c r="K104" s="6" t="s">
        <v>26</v>
      </c>
      <c r="L104" s="6" t="s">
        <v>26</v>
      </c>
      <c r="M104" s="6" t="s">
        <v>1589</v>
      </c>
      <c r="N104" s="6"/>
      <c r="O104" s="6"/>
      <c r="P104" s="6"/>
      <c r="Q104" s="6"/>
      <c r="R104">
        <v>1</v>
      </c>
    </row>
    <row r="105" spans="1:19" ht="14.25" customHeight="1">
      <c r="A105" s="6"/>
      <c r="B105" s="6" t="s">
        <v>19</v>
      </c>
      <c r="C105" s="6" t="s">
        <v>1856</v>
      </c>
      <c r="D105" s="6" t="s">
        <v>1857</v>
      </c>
      <c r="E105" s="6" t="s">
        <v>1858</v>
      </c>
      <c r="F105" s="6" t="s">
        <v>166</v>
      </c>
      <c r="G105" s="6">
        <v>2</v>
      </c>
      <c r="H105" s="6">
        <v>694</v>
      </c>
      <c r="I105" s="6">
        <v>30</v>
      </c>
      <c r="J105" s="6">
        <f t="shared" si="0"/>
        <v>664</v>
      </c>
      <c r="K105" s="6" t="s">
        <v>26</v>
      </c>
      <c r="L105" s="6" t="s">
        <v>26</v>
      </c>
      <c r="M105" s="6" t="s">
        <v>1589</v>
      </c>
      <c r="N105" s="6"/>
      <c r="O105" s="6"/>
      <c r="P105" s="6"/>
      <c r="Q105" s="6"/>
      <c r="R105">
        <v>1</v>
      </c>
    </row>
    <row r="106" spans="1:19" ht="14.25" customHeight="1">
      <c r="A106" s="6"/>
      <c r="B106" s="6" t="s">
        <v>19</v>
      </c>
      <c r="C106" s="6" t="s">
        <v>1859</v>
      </c>
      <c r="D106" s="6" t="s">
        <v>1860</v>
      </c>
      <c r="E106" s="6" t="s">
        <v>1861</v>
      </c>
      <c r="F106" s="6" t="s">
        <v>1862</v>
      </c>
      <c r="G106" s="6">
        <v>2</v>
      </c>
      <c r="H106" s="6">
        <v>0</v>
      </c>
      <c r="I106" s="6">
        <v>30</v>
      </c>
      <c r="J106" s="6">
        <f t="shared" si="0"/>
        <v>-30</v>
      </c>
      <c r="K106" s="6" t="s">
        <v>26</v>
      </c>
      <c r="L106" s="6" t="s">
        <v>26</v>
      </c>
      <c r="M106" s="6" t="s">
        <v>1589</v>
      </c>
      <c r="N106" s="7" t="s">
        <v>1863</v>
      </c>
      <c r="O106" s="6"/>
      <c r="P106" s="6"/>
      <c r="Q106" s="6"/>
      <c r="R106">
        <v>1</v>
      </c>
      <c r="S106">
        <v>30</v>
      </c>
    </row>
    <row r="107" spans="1:19" ht="14.25" customHeight="1">
      <c r="A107" s="6"/>
      <c r="B107" s="6" t="s">
        <v>19</v>
      </c>
      <c r="C107" s="6" t="s">
        <v>1864</v>
      </c>
      <c r="D107" s="6" t="s">
        <v>1865</v>
      </c>
      <c r="E107" s="6" t="s">
        <v>1866</v>
      </c>
      <c r="F107" s="6" t="s">
        <v>1862</v>
      </c>
      <c r="G107" s="6">
        <v>2</v>
      </c>
      <c r="H107" s="6">
        <v>820</v>
      </c>
      <c r="I107" s="6">
        <v>30</v>
      </c>
      <c r="J107" s="6">
        <f t="shared" si="0"/>
        <v>790</v>
      </c>
      <c r="K107" s="6" t="s">
        <v>26</v>
      </c>
      <c r="L107" s="6" t="s">
        <v>26</v>
      </c>
      <c r="M107" s="6" t="s">
        <v>1589</v>
      </c>
      <c r="N107" s="6"/>
      <c r="O107" s="6"/>
      <c r="P107" s="6"/>
      <c r="Q107" s="6"/>
      <c r="R107">
        <v>1</v>
      </c>
    </row>
    <row r="108" spans="1:19" ht="14.25" customHeight="1">
      <c r="A108" s="6"/>
      <c r="B108" s="6" t="s">
        <v>19</v>
      </c>
      <c r="C108" s="6" t="s">
        <v>1867</v>
      </c>
      <c r="D108" s="6" t="s">
        <v>1868</v>
      </c>
      <c r="E108" s="6" t="s">
        <v>1869</v>
      </c>
      <c r="F108" s="6" t="s">
        <v>1870</v>
      </c>
      <c r="G108" s="6">
        <v>2</v>
      </c>
      <c r="H108" s="6">
        <v>2134</v>
      </c>
      <c r="I108" s="6">
        <v>30</v>
      </c>
      <c r="J108" s="6">
        <f t="shared" si="0"/>
        <v>2104</v>
      </c>
      <c r="K108" s="6" t="s">
        <v>26</v>
      </c>
      <c r="L108" s="6" t="s">
        <v>26</v>
      </c>
      <c r="M108" s="6" t="s">
        <v>1589</v>
      </c>
      <c r="N108" s="6"/>
      <c r="O108" s="6"/>
      <c r="P108" s="6"/>
      <c r="Q108" s="6"/>
      <c r="R108">
        <v>1</v>
      </c>
    </row>
    <row r="109" spans="1:19" ht="14.25" customHeight="1">
      <c r="A109" s="6" t="s">
        <v>37</v>
      </c>
      <c r="B109" s="6" t="s">
        <v>19</v>
      </c>
      <c r="C109" s="6" t="s">
        <v>1871</v>
      </c>
      <c r="D109" s="6"/>
      <c r="E109" s="6" t="s">
        <v>63</v>
      </c>
      <c r="F109" s="6" t="s">
        <v>1872</v>
      </c>
      <c r="G109" s="6" t="s">
        <v>181</v>
      </c>
      <c r="H109" s="6">
        <v>0</v>
      </c>
      <c r="I109" s="6">
        <v>25</v>
      </c>
      <c r="J109" s="6">
        <f t="shared" si="0"/>
        <v>-25</v>
      </c>
      <c r="K109" s="6" t="s">
        <v>26</v>
      </c>
      <c r="L109" s="6" t="s">
        <v>26</v>
      </c>
      <c r="M109" s="6" t="s">
        <v>1589</v>
      </c>
      <c r="N109" s="6"/>
      <c r="O109" s="6"/>
      <c r="P109" s="6"/>
      <c r="Q109" s="6"/>
      <c r="R109">
        <v>1</v>
      </c>
      <c r="S109">
        <v>25</v>
      </c>
    </row>
    <row r="110" spans="1:19" ht="14.25" customHeight="1">
      <c r="A110" s="6"/>
      <c r="B110" s="6" t="s">
        <v>19</v>
      </c>
      <c r="C110" s="6" t="s">
        <v>1873</v>
      </c>
      <c r="D110" s="6" t="s">
        <v>1874</v>
      </c>
      <c r="E110" s="6">
        <v>39</v>
      </c>
      <c r="F110" s="6" t="s">
        <v>208</v>
      </c>
      <c r="G110" s="6" t="s">
        <v>181</v>
      </c>
      <c r="H110" s="6">
        <v>412</v>
      </c>
      <c r="I110" s="6">
        <v>20</v>
      </c>
      <c r="J110" s="6">
        <f t="shared" si="0"/>
        <v>392</v>
      </c>
      <c r="K110" s="6" t="s">
        <v>26</v>
      </c>
      <c r="L110" s="6" t="s">
        <v>26</v>
      </c>
      <c r="M110" s="6" t="s">
        <v>1589</v>
      </c>
      <c r="N110" s="6"/>
      <c r="O110" s="6"/>
      <c r="P110" s="6"/>
      <c r="Q110" s="6"/>
      <c r="R110">
        <v>1</v>
      </c>
    </row>
    <row r="111" spans="1:19" ht="14.25" customHeight="1">
      <c r="A111" s="6"/>
      <c r="B111" s="6" t="s">
        <v>19</v>
      </c>
      <c r="C111" s="6" t="s">
        <v>1875</v>
      </c>
      <c r="D111" s="6" t="s">
        <v>1876</v>
      </c>
      <c r="E111" s="6">
        <v>265</v>
      </c>
      <c r="F111" s="6" t="s">
        <v>979</v>
      </c>
      <c r="G111" s="6" t="s">
        <v>181</v>
      </c>
      <c r="H111" s="6">
        <v>1028</v>
      </c>
      <c r="I111" s="6">
        <v>20</v>
      </c>
      <c r="J111" s="6">
        <f t="shared" si="0"/>
        <v>1008</v>
      </c>
      <c r="K111" s="6" t="s">
        <v>26</v>
      </c>
      <c r="L111" s="6" t="s">
        <v>26</v>
      </c>
      <c r="M111" s="6" t="s">
        <v>1589</v>
      </c>
      <c r="N111" s="6"/>
      <c r="O111" s="6"/>
      <c r="P111" s="6"/>
      <c r="Q111" s="6"/>
      <c r="R111">
        <v>1</v>
      </c>
    </row>
    <row r="112" spans="1:19" ht="14.25" customHeight="1">
      <c r="A112" s="6"/>
      <c r="B112" s="6" t="s">
        <v>19</v>
      </c>
      <c r="C112" s="6" t="s">
        <v>1877</v>
      </c>
      <c r="D112" s="6" t="s">
        <v>1878</v>
      </c>
      <c r="E112" s="6">
        <v>91</v>
      </c>
      <c r="F112" s="6" t="s">
        <v>775</v>
      </c>
      <c r="G112" s="6" t="s">
        <v>181</v>
      </c>
      <c r="H112" s="6">
        <v>332</v>
      </c>
      <c r="I112" s="6">
        <v>20</v>
      </c>
      <c r="J112" s="6">
        <f t="shared" si="0"/>
        <v>312</v>
      </c>
      <c r="K112" s="6" t="s">
        <v>26</v>
      </c>
      <c r="L112" s="6" t="s">
        <v>26</v>
      </c>
      <c r="M112" s="6" t="s">
        <v>1589</v>
      </c>
      <c r="N112" s="6"/>
      <c r="O112" s="6"/>
      <c r="P112" s="6"/>
      <c r="Q112" s="6"/>
      <c r="R112">
        <v>1</v>
      </c>
    </row>
    <row r="113" spans="1:19" ht="14.25" customHeight="1">
      <c r="A113" s="6"/>
      <c r="B113" s="6" t="s">
        <v>19</v>
      </c>
      <c r="C113" s="6" t="s">
        <v>1879</v>
      </c>
      <c r="D113" s="6" t="s">
        <v>1880</v>
      </c>
      <c r="E113" s="6" t="s">
        <v>1881</v>
      </c>
      <c r="F113" s="6" t="s">
        <v>1882</v>
      </c>
      <c r="G113" s="6" t="s">
        <v>181</v>
      </c>
      <c r="H113" s="6">
        <v>760</v>
      </c>
      <c r="I113" s="6">
        <v>20</v>
      </c>
      <c r="J113" s="6">
        <f t="shared" si="0"/>
        <v>740</v>
      </c>
      <c r="K113" s="6" t="s">
        <v>26</v>
      </c>
      <c r="L113" s="6" t="s">
        <v>26</v>
      </c>
      <c r="M113" s="6" t="s">
        <v>1589</v>
      </c>
      <c r="N113" s="6"/>
      <c r="O113" s="6"/>
      <c r="P113" s="6"/>
      <c r="Q113" s="6"/>
      <c r="R113">
        <v>1</v>
      </c>
    </row>
    <row r="114" spans="1:19" ht="14.25" customHeight="1">
      <c r="A114" s="6"/>
      <c r="B114" s="6" t="s">
        <v>19</v>
      </c>
      <c r="C114" s="6" t="s">
        <v>1883</v>
      </c>
      <c r="D114" s="6" t="s">
        <v>1884</v>
      </c>
      <c r="E114" s="6" t="s">
        <v>1885</v>
      </c>
      <c r="F114" s="6" t="s">
        <v>1549</v>
      </c>
      <c r="G114" s="6" t="s">
        <v>181</v>
      </c>
      <c r="H114" s="6">
        <v>612</v>
      </c>
      <c r="I114" s="6">
        <v>20</v>
      </c>
      <c r="J114" s="6">
        <f t="shared" si="0"/>
        <v>592</v>
      </c>
      <c r="K114" s="6" t="s">
        <v>26</v>
      </c>
      <c r="L114" s="6" t="s">
        <v>26</v>
      </c>
      <c r="M114" s="6" t="s">
        <v>1589</v>
      </c>
      <c r="N114" s="6"/>
      <c r="O114" s="6"/>
      <c r="P114" s="6"/>
      <c r="Q114" s="6"/>
      <c r="R114">
        <v>1</v>
      </c>
    </row>
    <row r="115" spans="1:19" ht="14.25" customHeight="1">
      <c r="A115" s="6"/>
      <c r="B115" s="6" t="s">
        <v>19</v>
      </c>
      <c r="C115" s="6" t="s">
        <v>1886</v>
      </c>
      <c r="D115" s="6" t="s">
        <v>1887</v>
      </c>
      <c r="E115" s="6">
        <v>48</v>
      </c>
      <c r="F115" s="6" t="s">
        <v>1888</v>
      </c>
      <c r="G115" s="6" t="s">
        <v>181</v>
      </c>
      <c r="H115" s="6">
        <v>612</v>
      </c>
      <c r="I115" s="6">
        <v>20</v>
      </c>
      <c r="J115" s="6">
        <f t="shared" si="0"/>
        <v>592</v>
      </c>
      <c r="K115" s="6" t="s">
        <v>26</v>
      </c>
      <c r="L115" s="6" t="s">
        <v>26</v>
      </c>
      <c r="M115" s="6" t="s">
        <v>1589</v>
      </c>
      <c r="N115" s="6"/>
      <c r="O115" s="6"/>
      <c r="P115" s="6"/>
      <c r="Q115" s="6"/>
      <c r="R115">
        <v>1</v>
      </c>
    </row>
    <row r="116" spans="1:19" ht="14.25" customHeight="1">
      <c r="A116" s="6"/>
      <c r="B116" s="6" t="s">
        <v>19</v>
      </c>
      <c r="C116" s="6" t="s">
        <v>1889</v>
      </c>
      <c r="D116" s="6" t="s">
        <v>1890</v>
      </c>
      <c r="E116" s="6" t="s">
        <v>1891</v>
      </c>
      <c r="F116" s="6" t="s">
        <v>1214</v>
      </c>
      <c r="G116" s="6" t="s">
        <v>181</v>
      </c>
      <c r="H116" s="6">
        <v>788</v>
      </c>
      <c r="I116" s="6">
        <v>20</v>
      </c>
      <c r="J116" s="6">
        <f t="shared" si="0"/>
        <v>768</v>
      </c>
      <c r="K116" s="6" t="s">
        <v>26</v>
      </c>
      <c r="L116" s="6" t="s">
        <v>26</v>
      </c>
      <c r="M116" s="6" t="s">
        <v>1589</v>
      </c>
      <c r="N116" s="6"/>
      <c r="O116" s="6"/>
      <c r="P116" s="6"/>
      <c r="Q116" s="6"/>
      <c r="R116">
        <v>1</v>
      </c>
    </row>
    <row r="117" spans="1:19" ht="14.25" customHeight="1">
      <c r="A117" s="6"/>
      <c r="B117" s="6" t="s">
        <v>19</v>
      </c>
      <c r="C117" s="6" t="s">
        <v>1892</v>
      </c>
      <c r="D117" s="6" t="s">
        <v>1893</v>
      </c>
      <c r="E117" s="6" t="s">
        <v>1894</v>
      </c>
      <c r="F117" s="6" t="s">
        <v>1000</v>
      </c>
      <c r="G117" s="6" t="s">
        <v>220</v>
      </c>
      <c r="H117" s="6">
        <v>721</v>
      </c>
      <c r="I117" s="6">
        <v>25</v>
      </c>
      <c r="J117" s="6">
        <f t="shared" si="0"/>
        <v>696</v>
      </c>
      <c r="K117" s="6" t="s">
        <v>26</v>
      </c>
      <c r="L117" s="6" t="s">
        <v>26</v>
      </c>
      <c r="M117" s="6" t="s">
        <v>1589</v>
      </c>
      <c r="N117" s="6"/>
      <c r="O117" s="6"/>
      <c r="P117" s="6"/>
      <c r="Q117" s="6"/>
      <c r="R117">
        <v>1</v>
      </c>
    </row>
    <row r="118" spans="1:19" ht="14.25" customHeight="1">
      <c r="A118" s="6"/>
      <c r="B118" s="6" t="s">
        <v>19</v>
      </c>
      <c r="C118" s="6" t="s">
        <v>1895</v>
      </c>
      <c r="D118" s="6" t="s">
        <v>1896</v>
      </c>
      <c r="E118" s="6" t="s">
        <v>1897</v>
      </c>
      <c r="F118" s="6" t="s">
        <v>1004</v>
      </c>
      <c r="G118" s="6" t="s">
        <v>220</v>
      </c>
      <c r="H118" s="6">
        <v>617</v>
      </c>
      <c r="I118" s="6">
        <v>25</v>
      </c>
      <c r="J118" s="6">
        <f t="shared" si="0"/>
        <v>592</v>
      </c>
      <c r="K118" s="6" t="s">
        <v>26</v>
      </c>
      <c r="L118" s="6" t="s">
        <v>26</v>
      </c>
      <c r="M118" s="6" t="s">
        <v>1589</v>
      </c>
      <c r="N118" s="6"/>
      <c r="O118" s="6"/>
      <c r="P118" s="6"/>
      <c r="Q118" s="6"/>
      <c r="R118">
        <v>1</v>
      </c>
    </row>
    <row r="119" spans="1:19" ht="14.25" customHeight="1">
      <c r="A119" s="6"/>
      <c r="B119" s="6" t="s">
        <v>19</v>
      </c>
      <c r="C119" s="6" t="s">
        <v>1282</v>
      </c>
      <c r="D119" s="6" t="s">
        <v>1898</v>
      </c>
      <c r="E119" s="6" t="s">
        <v>1899</v>
      </c>
      <c r="F119" s="6" t="s">
        <v>796</v>
      </c>
      <c r="G119" s="6" t="s">
        <v>220</v>
      </c>
      <c r="H119" s="6">
        <v>1321</v>
      </c>
      <c r="I119" s="6">
        <v>25</v>
      </c>
      <c r="J119" s="6">
        <f t="shared" si="0"/>
        <v>1296</v>
      </c>
      <c r="K119" s="6" t="s">
        <v>26</v>
      </c>
      <c r="L119" s="6" t="s">
        <v>26</v>
      </c>
      <c r="M119" s="6" t="s">
        <v>1589</v>
      </c>
      <c r="N119" s="6"/>
      <c r="O119" s="6"/>
      <c r="P119" s="6"/>
      <c r="Q119" s="6"/>
      <c r="R119">
        <v>1</v>
      </c>
    </row>
    <row r="120" spans="1:19" ht="14.25" customHeight="1">
      <c r="A120" s="6"/>
      <c r="B120" s="6" t="s">
        <v>19</v>
      </c>
      <c r="C120" s="6" t="s">
        <v>1466</v>
      </c>
      <c r="D120" s="6" t="s">
        <v>1900</v>
      </c>
      <c r="E120" s="6" t="s">
        <v>1901</v>
      </c>
      <c r="F120" s="6" t="s">
        <v>1902</v>
      </c>
      <c r="G120" s="6" t="s">
        <v>220</v>
      </c>
      <c r="H120" s="6">
        <v>0</v>
      </c>
      <c r="I120" s="6">
        <v>25</v>
      </c>
      <c r="J120" s="6">
        <f t="shared" si="0"/>
        <v>-25</v>
      </c>
      <c r="K120" s="6" t="s">
        <v>26</v>
      </c>
      <c r="L120" s="6" t="s">
        <v>26</v>
      </c>
      <c r="M120" s="6" t="s">
        <v>1589</v>
      </c>
      <c r="N120" s="6"/>
      <c r="O120" s="6"/>
      <c r="P120" s="6"/>
      <c r="Q120" s="6"/>
      <c r="R120">
        <v>1</v>
      </c>
      <c r="S120">
        <v>25</v>
      </c>
    </row>
    <row r="121" spans="1:19" ht="14.25" customHeight="1">
      <c r="A121" s="5"/>
      <c r="B121" s="5" t="s">
        <v>19</v>
      </c>
      <c r="C121" s="5" t="s">
        <v>1386</v>
      </c>
      <c r="D121" s="5" t="s">
        <v>1903</v>
      </c>
      <c r="E121" s="5" t="s">
        <v>1904</v>
      </c>
      <c r="F121" s="5" t="s">
        <v>236</v>
      </c>
      <c r="G121" s="5" t="s">
        <v>220</v>
      </c>
      <c r="H121" s="5">
        <v>30</v>
      </c>
      <c r="I121" s="5">
        <v>25</v>
      </c>
      <c r="J121" s="5">
        <f t="shared" si="0"/>
        <v>5</v>
      </c>
      <c r="K121" s="5" t="s">
        <v>26</v>
      </c>
      <c r="L121" s="5" t="s">
        <v>26</v>
      </c>
      <c r="M121" s="5" t="s">
        <v>1589</v>
      </c>
      <c r="N121" s="5" t="s">
        <v>177</v>
      </c>
      <c r="O121" s="5"/>
      <c r="P121" s="5"/>
      <c r="Q121" s="5"/>
      <c r="R121">
        <v>1</v>
      </c>
    </row>
    <row r="122" spans="1:19" ht="14.25" customHeight="1">
      <c r="A122" s="6"/>
      <c r="B122" s="6" t="s">
        <v>19</v>
      </c>
      <c r="C122" s="6" t="s">
        <v>1905</v>
      </c>
      <c r="D122" s="6" t="s">
        <v>1906</v>
      </c>
      <c r="E122" s="6" t="s">
        <v>1907</v>
      </c>
      <c r="F122" s="6" t="s">
        <v>236</v>
      </c>
      <c r="G122" s="6" t="s">
        <v>220</v>
      </c>
      <c r="H122" s="6">
        <v>561</v>
      </c>
      <c r="I122" s="6">
        <v>25</v>
      </c>
      <c r="J122" s="6">
        <f t="shared" si="0"/>
        <v>536</v>
      </c>
      <c r="K122" s="6" t="s">
        <v>26</v>
      </c>
      <c r="L122" s="6" t="s">
        <v>26</v>
      </c>
      <c r="M122" s="6" t="s">
        <v>1589</v>
      </c>
      <c r="N122" s="6"/>
      <c r="O122" s="6"/>
      <c r="P122" s="6"/>
      <c r="Q122" s="6"/>
      <c r="R122">
        <v>1</v>
      </c>
    </row>
    <row r="123" spans="1:19" ht="14.25" customHeight="1">
      <c r="A123" s="6"/>
      <c r="B123" s="6" t="s">
        <v>19</v>
      </c>
      <c r="C123" s="6" t="s">
        <v>1908</v>
      </c>
      <c r="D123" s="6" t="s">
        <v>1909</v>
      </c>
      <c r="E123" s="6" t="s">
        <v>1910</v>
      </c>
      <c r="F123" s="6" t="s">
        <v>1911</v>
      </c>
      <c r="G123" s="6" t="s">
        <v>220</v>
      </c>
      <c r="H123" s="6">
        <v>0</v>
      </c>
      <c r="I123" s="6">
        <v>25</v>
      </c>
      <c r="J123" s="6">
        <f t="shared" si="0"/>
        <v>-25</v>
      </c>
      <c r="K123" s="6" t="s">
        <v>26</v>
      </c>
      <c r="L123" s="6" t="s">
        <v>26</v>
      </c>
      <c r="M123" s="6" t="s">
        <v>1589</v>
      </c>
      <c r="N123" s="6"/>
      <c r="O123" s="6"/>
      <c r="P123" s="6"/>
      <c r="Q123" s="6"/>
      <c r="R123">
        <v>1</v>
      </c>
      <c r="S123">
        <v>25</v>
      </c>
    </row>
    <row r="124" spans="1:19" ht="14.25" customHeight="1">
      <c r="A124" s="6"/>
      <c r="B124" s="6" t="s">
        <v>19</v>
      </c>
      <c r="C124" s="6" t="s">
        <v>1912</v>
      </c>
      <c r="D124" s="6" t="s">
        <v>1913</v>
      </c>
      <c r="E124" s="6" t="s">
        <v>1914</v>
      </c>
      <c r="F124" s="6" t="s">
        <v>153</v>
      </c>
      <c r="G124" s="6" t="s">
        <v>250</v>
      </c>
      <c r="H124" s="6">
        <v>366</v>
      </c>
      <c r="I124" s="6">
        <v>30</v>
      </c>
      <c r="J124" s="6">
        <f t="shared" si="0"/>
        <v>336</v>
      </c>
      <c r="K124" s="6" t="s">
        <v>26</v>
      </c>
      <c r="L124" s="6" t="s">
        <v>26</v>
      </c>
      <c r="M124" s="6" t="s">
        <v>1589</v>
      </c>
      <c r="N124" s="6"/>
      <c r="O124" s="6"/>
      <c r="P124" s="6"/>
      <c r="Q124" s="6"/>
      <c r="R124">
        <v>1</v>
      </c>
    </row>
    <row r="125" spans="1:19" ht="14.25" customHeight="1">
      <c r="A125" s="6"/>
      <c r="B125" s="6" t="s">
        <v>19</v>
      </c>
      <c r="C125" s="6" t="s">
        <v>1915</v>
      </c>
      <c r="D125" s="6" t="s">
        <v>1916</v>
      </c>
      <c r="E125" s="6" t="s">
        <v>1917</v>
      </c>
      <c r="F125" s="6" t="s">
        <v>564</v>
      </c>
      <c r="G125" s="6" t="s">
        <v>250</v>
      </c>
      <c r="H125" s="6">
        <v>1446</v>
      </c>
      <c r="I125" s="6">
        <v>30</v>
      </c>
      <c r="J125" s="6">
        <f t="shared" si="0"/>
        <v>1416</v>
      </c>
      <c r="K125" s="6" t="s">
        <v>26</v>
      </c>
      <c r="L125" s="6" t="s">
        <v>26</v>
      </c>
      <c r="M125" s="6" t="s">
        <v>1589</v>
      </c>
      <c r="N125" s="6"/>
      <c r="O125" s="6"/>
      <c r="P125" s="6"/>
      <c r="Q125" s="6"/>
      <c r="R125">
        <v>1</v>
      </c>
    </row>
    <row r="126" spans="1:19" ht="14.25" customHeight="1">
      <c r="A126" s="6"/>
      <c r="B126" s="6" t="s">
        <v>19</v>
      </c>
      <c r="C126" s="6" t="s">
        <v>1918</v>
      </c>
      <c r="D126" s="6" t="s">
        <v>1919</v>
      </c>
      <c r="E126" s="6" t="s">
        <v>1920</v>
      </c>
      <c r="F126" s="6" t="s">
        <v>1921</v>
      </c>
      <c r="G126" s="6" t="s">
        <v>250</v>
      </c>
      <c r="H126" s="6">
        <v>630</v>
      </c>
      <c r="I126" s="6">
        <v>30</v>
      </c>
      <c r="J126" s="6">
        <f t="shared" si="0"/>
        <v>600</v>
      </c>
      <c r="K126" s="6" t="s">
        <v>26</v>
      </c>
      <c r="L126" s="6" t="s">
        <v>26</v>
      </c>
      <c r="M126" s="6" t="s">
        <v>1589</v>
      </c>
      <c r="N126" s="6"/>
      <c r="O126" s="6"/>
      <c r="P126" s="6"/>
      <c r="Q126" s="6"/>
      <c r="R126">
        <v>1</v>
      </c>
    </row>
    <row r="127" spans="1:19" ht="14.25" customHeight="1">
      <c r="A127" s="6"/>
      <c r="B127" s="6" t="s">
        <v>19</v>
      </c>
      <c r="C127" s="6" t="s">
        <v>1922</v>
      </c>
      <c r="D127" s="6" t="s">
        <v>1923</v>
      </c>
      <c r="E127" s="6" t="s">
        <v>1924</v>
      </c>
      <c r="F127" s="6" t="s">
        <v>1925</v>
      </c>
      <c r="G127" s="6" t="s">
        <v>250</v>
      </c>
      <c r="H127" s="6">
        <v>0</v>
      </c>
      <c r="I127" s="6">
        <v>30</v>
      </c>
      <c r="J127" s="6">
        <f t="shared" si="0"/>
        <v>-30</v>
      </c>
      <c r="K127" s="6" t="s">
        <v>26</v>
      </c>
      <c r="L127" s="6" t="s">
        <v>26</v>
      </c>
      <c r="M127" s="6" t="s">
        <v>1589</v>
      </c>
      <c r="N127" s="6"/>
      <c r="O127" s="6"/>
      <c r="P127" s="6"/>
      <c r="Q127" s="6"/>
      <c r="R127">
        <v>1</v>
      </c>
      <c r="S127">
        <v>30</v>
      </c>
    </row>
    <row r="128" spans="1:19" ht="14.25" customHeight="1">
      <c r="A128" s="6"/>
      <c r="B128" s="6" t="s">
        <v>19</v>
      </c>
      <c r="C128" s="6" t="s">
        <v>1926</v>
      </c>
      <c r="D128" s="6" t="s">
        <v>1927</v>
      </c>
      <c r="E128" s="6">
        <v>241</v>
      </c>
      <c r="F128" s="6" t="s">
        <v>635</v>
      </c>
      <c r="G128" s="6" t="s">
        <v>250</v>
      </c>
      <c r="H128" s="6">
        <v>662</v>
      </c>
      <c r="I128" s="6">
        <v>30</v>
      </c>
      <c r="J128" s="6">
        <f t="shared" si="0"/>
        <v>632</v>
      </c>
      <c r="K128" s="6" t="s">
        <v>26</v>
      </c>
      <c r="L128" s="6" t="s">
        <v>26</v>
      </c>
      <c r="M128" s="6" t="s">
        <v>1589</v>
      </c>
      <c r="N128" s="6"/>
      <c r="O128" s="6"/>
      <c r="P128" s="6"/>
      <c r="Q128" s="6"/>
      <c r="R128">
        <v>1</v>
      </c>
    </row>
    <row r="129" spans="1:20" ht="14.25" customHeight="1">
      <c r="A129" s="5"/>
      <c r="B129" s="5" t="s">
        <v>19</v>
      </c>
      <c r="C129" s="5" t="s">
        <v>1570</v>
      </c>
      <c r="D129" s="5" t="s">
        <v>1928</v>
      </c>
      <c r="E129" s="5" t="s">
        <v>1572</v>
      </c>
      <c r="F129" s="5" t="s">
        <v>1573</v>
      </c>
      <c r="G129" s="5" t="s">
        <v>250</v>
      </c>
      <c r="H129" s="5">
        <v>30</v>
      </c>
      <c r="I129" s="5">
        <v>30</v>
      </c>
      <c r="J129" s="5">
        <f t="shared" si="0"/>
        <v>0</v>
      </c>
      <c r="K129" s="5" t="s">
        <v>26</v>
      </c>
      <c r="L129" s="5" t="s">
        <v>26</v>
      </c>
      <c r="M129" s="5" t="s">
        <v>1589</v>
      </c>
      <c r="N129" s="5" t="s">
        <v>177</v>
      </c>
      <c r="O129" s="5"/>
      <c r="P129" s="5"/>
      <c r="Q129" s="5"/>
      <c r="R129">
        <v>1</v>
      </c>
    </row>
    <row r="130" spans="1:20" ht="14.25" customHeight="1">
      <c r="A130" s="6"/>
      <c r="B130" s="6" t="s">
        <v>19</v>
      </c>
      <c r="C130" s="6" t="s">
        <v>1929</v>
      </c>
      <c r="D130" s="6" t="s">
        <v>1930</v>
      </c>
      <c r="E130" s="6">
        <v>23</v>
      </c>
      <c r="F130" s="6" t="s">
        <v>1931</v>
      </c>
      <c r="G130" s="6" t="s">
        <v>250</v>
      </c>
      <c r="H130" s="6">
        <v>0</v>
      </c>
      <c r="I130" s="6">
        <v>30</v>
      </c>
      <c r="J130" s="6">
        <f t="shared" si="0"/>
        <v>-30</v>
      </c>
      <c r="K130" s="6" t="s">
        <v>26</v>
      </c>
      <c r="L130" s="6" t="s">
        <v>26</v>
      </c>
      <c r="M130" s="6" t="s">
        <v>1589</v>
      </c>
      <c r="N130" s="6"/>
      <c r="O130" s="6"/>
      <c r="P130" s="6"/>
      <c r="Q130" s="6"/>
      <c r="R130">
        <v>1</v>
      </c>
      <c r="S130">
        <v>30</v>
      </c>
    </row>
    <row r="131" spans="1:20" ht="14.25" customHeight="1">
      <c r="A131" s="6" t="s">
        <v>37</v>
      </c>
      <c r="B131" s="6" t="s">
        <v>19</v>
      </c>
      <c r="C131" s="6" t="s">
        <v>814</v>
      </c>
      <c r="D131" s="6"/>
      <c r="E131" s="6" t="s">
        <v>815</v>
      </c>
      <c r="F131" s="6" t="s">
        <v>816</v>
      </c>
      <c r="G131" s="6">
        <v>9</v>
      </c>
      <c r="H131" s="6">
        <v>35</v>
      </c>
      <c r="I131" s="6">
        <v>35</v>
      </c>
      <c r="J131" s="6">
        <f t="shared" si="0"/>
        <v>0</v>
      </c>
      <c r="K131" s="6" t="s">
        <v>197</v>
      </c>
      <c r="L131" s="6" t="s">
        <v>26</v>
      </c>
      <c r="M131" s="6" t="s">
        <v>1589</v>
      </c>
      <c r="N131" s="6"/>
      <c r="O131" s="6"/>
      <c r="P131" s="6"/>
      <c r="Q131" s="6"/>
      <c r="R131">
        <v>1</v>
      </c>
    </row>
    <row r="132" spans="1:20" ht="14.25" customHeight="1">
      <c r="A132" s="6"/>
      <c r="B132" s="6" t="s">
        <v>19</v>
      </c>
      <c r="C132" s="6" t="s">
        <v>1932</v>
      </c>
      <c r="D132" s="6" t="s">
        <v>1933</v>
      </c>
      <c r="E132" s="6" t="s">
        <v>1934</v>
      </c>
      <c r="F132" s="6" t="s">
        <v>816</v>
      </c>
      <c r="G132" s="6">
        <v>9</v>
      </c>
      <c r="H132" s="6">
        <v>382</v>
      </c>
      <c r="I132" s="6">
        <v>30</v>
      </c>
      <c r="J132" s="6">
        <f t="shared" si="0"/>
        <v>352</v>
      </c>
      <c r="K132" s="6" t="s">
        <v>197</v>
      </c>
      <c r="L132" s="6" t="s">
        <v>26</v>
      </c>
      <c r="M132" s="6" t="s">
        <v>1589</v>
      </c>
      <c r="N132" s="6"/>
      <c r="O132" s="6"/>
      <c r="P132" s="6"/>
      <c r="Q132" s="6"/>
      <c r="R132">
        <v>1</v>
      </c>
    </row>
    <row r="133" spans="1:20" ht="14.25" customHeight="1">
      <c r="A133" s="6"/>
      <c r="B133" s="6" t="s">
        <v>19</v>
      </c>
      <c r="C133" s="6" t="s">
        <v>1935</v>
      </c>
      <c r="D133" s="6" t="s">
        <v>1936</v>
      </c>
      <c r="E133" s="6">
        <v>93</v>
      </c>
      <c r="F133" s="6" t="s">
        <v>1018</v>
      </c>
      <c r="G133" s="6">
        <v>9</v>
      </c>
      <c r="H133" s="6">
        <v>910</v>
      </c>
      <c r="I133" s="6">
        <v>30</v>
      </c>
      <c r="J133" s="6">
        <f t="shared" si="0"/>
        <v>880</v>
      </c>
      <c r="K133" s="6" t="s">
        <v>197</v>
      </c>
      <c r="L133" s="6" t="s">
        <v>26</v>
      </c>
      <c r="M133" s="6" t="s">
        <v>1589</v>
      </c>
      <c r="N133" s="6"/>
      <c r="O133" s="6"/>
      <c r="P133" s="6"/>
      <c r="Q133" s="6"/>
      <c r="R133">
        <v>1</v>
      </c>
    </row>
    <row r="134" spans="1:20" ht="14.25" customHeight="1">
      <c r="A134" s="6"/>
      <c r="B134" s="6" t="s">
        <v>19</v>
      </c>
      <c r="C134" s="6" t="s">
        <v>1937</v>
      </c>
      <c r="D134" s="6" t="s">
        <v>1938</v>
      </c>
      <c r="E134" s="6">
        <v>46</v>
      </c>
      <c r="F134" s="6" t="s">
        <v>529</v>
      </c>
      <c r="G134" s="6">
        <v>9</v>
      </c>
      <c r="H134" s="6">
        <v>742</v>
      </c>
      <c r="I134" s="6">
        <v>30</v>
      </c>
      <c r="J134" s="6">
        <f t="shared" si="0"/>
        <v>712</v>
      </c>
      <c r="K134" s="6" t="s">
        <v>197</v>
      </c>
      <c r="L134" s="6" t="s">
        <v>26</v>
      </c>
      <c r="M134" s="6" t="s">
        <v>1589</v>
      </c>
      <c r="N134" s="6"/>
      <c r="O134" s="6"/>
      <c r="P134" s="6"/>
      <c r="Q134" s="6"/>
      <c r="R134">
        <v>1</v>
      </c>
    </row>
    <row r="135" spans="1:20" ht="14.25" customHeight="1">
      <c r="A135" s="6"/>
      <c r="B135" s="6" t="s">
        <v>19</v>
      </c>
      <c r="C135" s="6" t="s">
        <v>1939</v>
      </c>
      <c r="D135" s="6" t="s">
        <v>1940</v>
      </c>
      <c r="E135" s="6" t="s">
        <v>1941</v>
      </c>
      <c r="F135" s="6" t="s">
        <v>1942</v>
      </c>
      <c r="G135" s="6">
        <v>9</v>
      </c>
      <c r="H135" s="6">
        <v>710</v>
      </c>
      <c r="I135" s="6">
        <v>30</v>
      </c>
      <c r="J135" s="6">
        <f t="shared" si="0"/>
        <v>680</v>
      </c>
      <c r="K135" s="6" t="s">
        <v>197</v>
      </c>
      <c r="L135" s="6" t="s">
        <v>26</v>
      </c>
      <c r="M135" s="6" t="s">
        <v>1589</v>
      </c>
      <c r="N135" s="6"/>
      <c r="O135" s="6"/>
      <c r="P135" s="6"/>
      <c r="Q135" s="6"/>
      <c r="R135">
        <v>1</v>
      </c>
    </row>
    <row r="136" spans="1:20" ht="14.25" customHeight="1">
      <c r="A136" s="6"/>
      <c r="B136" s="6" t="s">
        <v>19</v>
      </c>
      <c r="C136" s="6" t="s">
        <v>1943</v>
      </c>
      <c r="D136" s="6" t="s">
        <v>1944</v>
      </c>
      <c r="E136" s="6" t="s">
        <v>1945</v>
      </c>
      <c r="F136" s="6" t="s">
        <v>1946</v>
      </c>
      <c r="G136" s="6">
        <v>9</v>
      </c>
      <c r="H136" s="6">
        <v>0</v>
      </c>
      <c r="I136" s="6">
        <v>30</v>
      </c>
      <c r="J136" s="6">
        <f t="shared" si="0"/>
        <v>-30</v>
      </c>
      <c r="K136" s="6" t="s">
        <v>197</v>
      </c>
      <c r="L136" s="6" t="s">
        <v>26</v>
      </c>
      <c r="M136" s="6" t="s">
        <v>1589</v>
      </c>
      <c r="N136" s="7" t="s">
        <v>1947</v>
      </c>
      <c r="O136" s="6"/>
      <c r="P136" s="6"/>
      <c r="Q136" s="6"/>
      <c r="R136">
        <v>1</v>
      </c>
      <c r="S136">
        <v>30</v>
      </c>
    </row>
    <row r="137" spans="1:20" ht="14.25" customHeight="1">
      <c r="A137" s="6"/>
      <c r="B137" s="6" t="s">
        <v>19</v>
      </c>
      <c r="C137" s="6" t="s">
        <v>1948</v>
      </c>
      <c r="D137" s="6" t="s">
        <v>1949</v>
      </c>
      <c r="E137" s="6" t="s">
        <v>68</v>
      </c>
      <c r="F137" s="6" t="s">
        <v>1950</v>
      </c>
      <c r="G137" s="6">
        <v>9</v>
      </c>
      <c r="H137" s="6">
        <v>814</v>
      </c>
      <c r="I137" s="6">
        <v>30</v>
      </c>
      <c r="J137" s="6">
        <f t="shared" si="0"/>
        <v>784</v>
      </c>
      <c r="K137" s="6" t="s">
        <v>197</v>
      </c>
      <c r="L137" s="6" t="s">
        <v>26</v>
      </c>
      <c r="M137" s="6" t="s">
        <v>1589</v>
      </c>
      <c r="N137" s="6"/>
      <c r="O137" s="6"/>
      <c r="P137" s="6"/>
      <c r="Q137" s="6"/>
      <c r="R137">
        <v>1</v>
      </c>
    </row>
    <row r="138" spans="1:20" ht="14.25" customHeight="1">
      <c r="A138" s="6"/>
      <c r="B138" s="6" t="s">
        <v>19</v>
      </c>
      <c r="C138" s="6" t="s">
        <v>1951</v>
      </c>
      <c r="D138" s="6" t="s">
        <v>1952</v>
      </c>
      <c r="E138" s="6">
        <v>454</v>
      </c>
      <c r="F138" s="6" t="s">
        <v>1953</v>
      </c>
      <c r="G138" s="6">
        <v>9</v>
      </c>
      <c r="H138" s="6">
        <v>822</v>
      </c>
      <c r="I138" s="6">
        <v>30</v>
      </c>
      <c r="J138" s="6">
        <f t="shared" si="0"/>
        <v>792</v>
      </c>
      <c r="K138" s="6" t="s">
        <v>197</v>
      </c>
      <c r="L138" s="6" t="s">
        <v>26</v>
      </c>
      <c r="M138" s="6" t="s">
        <v>1589</v>
      </c>
      <c r="N138" s="6"/>
      <c r="O138" s="6"/>
      <c r="P138" s="6"/>
      <c r="Q138" s="6"/>
      <c r="R138">
        <v>1</v>
      </c>
    </row>
    <row r="139" spans="1:20" ht="14.25" customHeight="1">
      <c r="A139" s="6"/>
      <c r="B139" s="6" t="s">
        <v>19</v>
      </c>
      <c r="C139" s="6" t="s">
        <v>1954</v>
      </c>
      <c r="D139" s="6" t="s">
        <v>1955</v>
      </c>
      <c r="E139" s="6">
        <v>264</v>
      </c>
      <c r="F139" s="6" t="s">
        <v>1956</v>
      </c>
      <c r="G139" s="6">
        <v>9</v>
      </c>
      <c r="H139" s="6">
        <v>782</v>
      </c>
      <c r="I139" s="6">
        <v>30</v>
      </c>
      <c r="J139" s="6">
        <f t="shared" si="0"/>
        <v>752</v>
      </c>
      <c r="K139" s="6" t="s">
        <v>197</v>
      </c>
      <c r="L139" s="6" t="s">
        <v>26</v>
      </c>
      <c r="M139" s="6" t="s">
        <v>1589</v>
      </c>
      <c r="N139" s="6"/>
      <c r="O139" s="6"/>
      <c r="P139" s="6"/>
      <c r="Q139" s="6"/>
      <c r="R139">
        <v>1</v>
      </c>
    </row>
    <row r="140" spans="1:20" ht="14.25" customHeight="1"/>
    <row r="141" spans="1:20" ht="14.25" customHeight="1">
      <c r="H141">
        <f t="shared" ref="H141:T141" si="1">SUBTOTAL(9,H3:H140)</f>
        <v>85071</v>
      </c>
      <c r="I141">
        <f t="shared" si="1"/>
        <v>3505</v>
      </c>
      <c r="J141">
        <f t="shared" si="1"/>
        <v>81566</v>
      </c>
      <c r="K141">
        <f t="shared" si="1"/>
        <v>0</v>
      </c>
      <c r="L141">
        <f t="shared" si="1"/>
        <v>0</v>
      </c>
      <c r="M141">
        <f t="shared" si="1"/>
        <v>0</v>
      </c>
      <c r="N141">
        <f t="shared" si="1"/>
        <v>0</v>
      </c>
      <c r="O141">
        <f t="shared" si="1"/>
        <v>0</v>
      </c>
      <c r="P141">
        <f t="shared" si="1"/>
        <v>0</v>
      </c>
      <c r="Q141">
        <f t="shared" si="1"/>
        <v>0</v>
      </c>
      <c r="R141">
        <f t="shared" si="1"/>
        <v>137</v>
      </c>
      <c r="S141">
        <f t="shared" si="1"/>
        <v>725</v>
      </c>
      <c r="T141">
        <f t="shared" si="1"/>
        <v>0</v>
      </c>
    </row>
    <row r="142" spans="1:20" ht="14.25" customHeight="1">
      <c r="J142">
        <v>-1658</v>
      </c>
      <c r="K142" t="s">
        <v>1957</v>
      </c>
    </row>
    <row r="143" spans="1:20" ht="14.25" customHeight="1">
      <c r="J143">
        <v>-515</v>
      </c>
      <c r="K143" t="s">
        <v>432</v>
      </c>
    </row>
    <row r="144" spans="1:20" ht="14.25" customHeight="1"/>
    <row r="145" spans="1:20" ht="20.25" customHeight="1">
      <c r="I145" s="8" t="s">
        <v>1958</v>
      </c>
      <c r="J145" s="9" t="s">
        <v>434</v>
      </c>
      <c r="K145" s="10" t="s">
        <v>435</v>
      </c>
    </row>
    <row r="146" spans="1:20" ht="14.25" customHeight="1">
      <c r="I146" s="11" t="s">
        <v>436</v>
      </c>
      <c r="J146" s="12">
        <f>SUM(J140:J144)</f>
        <v>79393</v>
      </c>
      <c r="K146" s="12">
        <f>R141</f>
        <v>137</v>
      </c>
    </row>
    <row r="147" spans="1:20" ht="14.25" customHeight="1">
      <c r="I147" s="13" t="s">
        <v>437</v>
      </c>
      <c r="J147" s="14">
        <f>S140</f>
        <v>0</v>
      </c>
      <c r="K147" s="15"/>
    </row>
    <row r="148" spans="1:20" ht="14.25" customHeight="1">
      <c r="I148" s="13" t="s">
        <v>438</v>
      </c>
      <c r="J148" s="14">
        <f>T140</f>
        <v>0</v>
      </c>
      <c r="K148" s="15"/>
    </row>
    <row r="149" spans="1:20" ht="14.25" customHeight="1">
      <c r="I149" s="13" t="s">
        <v>439</v>
      </c>
      <c r="J149" s="14">
        <f>U140</f>
        <v>0</v>
      </c>
      <c r="K149" s="15"/>
    </row>
    <row r="150" spans="1:20" ht="14.25" customHeight="1">
      <c r="I150" s="13" t="s">
        <v>440</v>
      </c>
      <c r="J150" s="14">
        <f>V140</f>
        <v>0</v>
      </c>
      <c r="K150" s="15"/>
    </row>
    <row r="151" spans="1:20" ht="14.25" customHeight="1">
      <c r="I151" s="16" t="s">
        <v>441</v>
      </c>
      <c r="J151" s="17"/>
      <c r="K151" s="17"/>
    </row>
    <row r="152" spans="1:20" ht="14.25" customHeight="1">
      <c r="I152" s="18" t="s">
        <v>442</v>
      </c>
      <c r="J152" s="17"/>
      <c r="K152" s="17"/>
    </row>
    <row r="153" spans="1:20" ht="14.25" customHeight="1">
      <c r="I153" s="19" t="s">
        <v>443</v>
      </c>
      <c r="J153" s="20">
        <f>SUM(J146:J152)</f>
        <v>79393</v>
      </c>
      <c r="K153" s="20">
        <f>SUM(K146:K150)</f>
        <v>137</v>
      </c>
    </row>
    <row r="154" spans="1:20" ht="14.25" customHeight="1"/>
    <row r="155" spans="1:20" ht="14.25" customHeight="1">
      <c r="A155" t="s">
        <v>432</v>
      </c>
    </row>
    <row r="156" spans="1:20" ht="14.25" customHeight="1">
      <c r="A156" s="2" t="s">
        <v>19</v>
      </c>
      <c r="B156" s="2" t="s">
        <v>619</v>
      </c>
      <c r="C156" s="2" t="s">
        <v>1444</v>
      </c>
      <c r="D156" s="2">
        <v>86</v>
      </c>
      <c r="E156" s="2" t="s">
        <v>1045</v>
      </c>
      <c r="F156" s="2">
        <v>5</v>
      </c>
      <c r="G156" s="2">
        <v>515</v>
      </c>
      <c r="H156" s="2">
        <v>0</v>
      </c>
      <c r="I156" s="2">
        <f>G156-H156</f>
        <v>515</v>
      </c>
      <c r="J156" s="2" t="s">
        <v>25</v>
      </c>
      <c r="K156" s="2" t="s">
        <v>26</v>
      </c>
      <c r="L156" s="2" t="s">
        <v>1424</v>
      </c>
      <c r="M156" s="3" t="s">
        <v>1959</v>
      </c>
    </row>
    <row r="157" spans="1:20" ht="14.25" customHeight="1"/>
    <row r="158" spans="1:20" ht="14.25" customHeight="1">
      <c r="A158" t="s">
        <v>640</v>
      </c>
    </row>
    <row r="159" spans="1:20" ht="14.25" customHeight="1">
      <c r="A159" s="2" t="s">
        <v>19</v>
      </c>
      <c r="B159" s="2" t="s">
        <v>1859</v>
      </c>
      <c r="C159" s="2" t="s">
        <v>1860</v>
      </c>
      <c r="D159" s="2" t="s">
        <v>1861</v>
      </c>
      <c r="E159" s="2" t="s">
        <v>1862</v>
      </c>
      <c r="F159" s="2">
        <v>2</v>
      </c>
      <c r="G159" s="2">
        <v>1214</v>
      </c>
      <c r="H159" s="2">
        <v>0</v>
      </c>
      <c r="I159" s="2">
        <f t="shared" ref="I159:I160" si="2">G159-H159</f>
        <v>1214</v>
      </c>
      <c r="J159" s="2" t="s">
        <v>26</v>
      </c>
      <c r="K159" s="2" t="s">
        <v>26</v>
      </c>
      <c r="L159" s="2" t="s">
        <v>1589</v>
      </c>
      <c r="M159" s="3" t="s">
        <v>1863</v>
      </c>
      <c r="N159" s="4"/>
      <c r="O159" s="4"/>
      <c r="P159" s="4"/>
      <c r="Q159" s="4"/>
      <c r="R159" s="4"/>
      <c r="S159" s="4"/>
      <c r="T159" s="4"/>
    </row>
    <row r="160" spans="1:20" ht="14.25" customHeight="1">
      <c r="A160" s="2" t="s">
        <v>19</v>
      </c>
      <c r="B160" s="2" t="s">
        <v>1943</v>
      </c>
      <c r="C160" s="2" t="s">
        <v>1944</v>
      </c>
      <c r="D160" s="2" t="s">
        <v>1945</v>
      </c>
      <c r="E160" s="2" t="s">
        <v>1946</v>
      </c>
      <c r="F160" s="2">
        <v>9</v>
      </c>
      <c r="G160" s="2">
        <v>414</v>
      </c>
      <c r="H160" s="2">
        <v>0</v>
      </c>
      <c r="I160" s="2">
        <f t="shared" si="2"/>
        <v>414</v>
      </c>
      <c r="J160" s="2" t="s">
        <v>197</v>
      </c>
      <c r="K160" s="2" t="s">
        <v>26</v>
      </c>
      <c r="L160" s="2" t="s">
        <v>1589</v>
      </c>
      <c r="M160" s="3" t="s">
        <v>1947</v>
      </c>
    </row>
  </sheetData>
  <autoFilter ref="A2:Q139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38"/>
  <sheetViews>
    <sheetView workbookViewId="0">
      <selection activeCell="D4" sqref="D4"/>
    </sheetView>
  </sheetViews>
  <sheetFormatPr defaultColWidth="14.42578125" defaultRowHeight="15" customHeight="1"/>
  <cols>
    <col min="1" max="20" width="8.7109375" customWidth="1"/>
  </cols>
  <sheetData>
    <row r="1" spans="1:20" ht="14.25" customHeight="1">
      <c r="B1" t="s">
        <v>457</v>
      </c>
      <c r="C1" t="s">
        <v>1960</v>
      </c>
    </row>
    <row r="2" spans="1:20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20" ht="14.25" customHeight="1">
      <c r="A3" s="2"/>
      <c r="B3" s="2" t="s">
        <v>19</v>
      </c>
      <c r="C3" s="2" t="s">
        <v>1961</v>
      </c>
      <c r="D3" s="2" t="s">
        <v>1962</v>
      </c>
      <c r="E3" s="2" t="s">
        <v>1963</v>
      </c>
      <c r="F3" s="2" t="s">
        <v>1964</v>
      </c>
      <c r="G3" s="2" t="s">
        <v>24</v>
      </c>
      <c r="H3" s="2">
        <v>0</v>
      </c>
      <c r="I3" s="2">
        <v>0</v>
      </c>
      <c r="J3" s="2">
        <f t="shared" ref="J3:J117" si="0">H3-I3</f>
        <v>0</v>
      </c>
      <c r="K3" s="2" t="s">
        <v>25</v>
      </c>
      <c r="L3" s="2" t="s">
        <v>26</v>
      </c>
      <c r="M3" s="2" t="s">
        <v>1965</v>
      </c>
      <c r="N3" s="3" t="s">
        <v>28</v>
      </c>
      <c r="O3" s="2" t="s">
        <v>29</v>
      </c>
      <c r="P3" s="2"/>
      <c r="Q3" s="2" t="s">
        <v>30</v>
      </c>
      <c r="R3" s="4">
        <v>1</v>
      </c>
      <c r="S3" s="4">
        <v>0</v>
      </c>
      <c r="T3" s="4"/>
    </row>
    <row r="4" spans="1:20" ht="14.25" customHeight="1">
      <c r="A4" s="2"/>
      <c r="B4" s="2" t="s">
        <v>19</v>
      </c>
      <c r="C4" s="2" t="s">
        <v>1966</v>
      </c>
      <c r="D4" s="28" t="s">
        <v>1967</v>
      </c>
      <c r="E4" s="2" t="s">
        <v>1968</v>
      </c>
      <c r="F4" s="2" t="s">
        <v>1969</v>
      </c>
      <c r="G4" s="2">
        <v>7</v>
      </c>
      <c r="H4" s="2">
        <v>712</v>
      </c>
      <c r="I4" s="2">
        <v>0</v>
      </c>
      <c r="J4" s="2">
        <f t="shared" si="0"/>
        <v>712</v>
      </c>
      <c r="K4" s="2" t="s">
        <v>25</v>
      </c>
      <c r="L4" s="2" t="s">
        <v>26</v>
      </c>
      <c r="M4" s="2" t="s">
        <v>1965</v>
      </c>
      <c r="N4" s="3" t="s">
        <v>1970</v>
      </c>
      <c r="O4" s="2" t="s">
        <v>29</v>
      </c>
      <c r="P4" s="2"/>
      <c r="Q4" s="2" t="s">
        <v>30</v>
      </c>
      <c r="R4">
        <v>1</v>
      </c>
    </row>
    <row r="5" spans="1:20" ht="14.25" customHeight="1">
      <c r="A5" s="6"/>
      <c r="B5" s="6" t="s">
        <v>19</v>
      </c>
      <c r="C5" s="6" t="s">
        <v>1971</v>
      </c>
      <c r="D5" s="6" t="s">
        <v>1972</v>
      </c>
      <c r="E5" s="6" t="s">
        <v>1973</v>
      </c>
      <c r="F5" s="6" t="s">
        <v>1384</v>
      </c>
      <c r="G5" s="6">
        <v>5</v>
      </c>
      <c r="H5" s="6">
        <v>473</v>
      </c>
      <c r="I5" s="6">
        <v>25</v>
      </c>
      <c r="J5" s="6">
        <f t="shared" si="0"/>
        <v>448</v>
      </c>
      <c r="K5" s="6" t="s">
        <v>35</v>
      </c>
      <c r="L5" s="6" t="s">
        <v>26</v>
      </c>
      <c r="M5" s="6" t="s">
        <v>1965</v>
      </c>
      <c r="N5" s="6"/>
      <c r="O5" s="6"/>
      <c r="P5" s="6"/>
      <c r="Q5" s="6"/>
      <c r="R5">
        <v>1</v>
      </c>
    </row>
    <row r="6" spans="1:20" ht="14.25" customHeight="1">
      <c r="A6" s="6"/>
      <c r="B6" s="6" t="s">
        <v>19</v>
      </c>
      <c r="C6" s="6" t="s">
        <v>1974</v>
      </c>
      <c r="D6" s="6" t="s">
        <v>1975</v>
      </c>
      <c r="E6" s="6">
        <v>85</v>
      </c>
      <c r="F6" s="6" t="s">
        <v>831</v>
      </c>
      <c r="G6" s="6">
        <v>1</v>
      </c>
      <c r="H6" s="6">
        <v>668</v>
      </c>
      <c r="I6" s="6">
        <v>20</v>
      </c>
      <c r="J6" s="6">
        <f t="shared" si="0"/>
        <v>648</v>
      </c>
      <c r="K6" s="6" t="s">
        <v>35</v>
      </c>
      <c r="L6" s="6" t="s">
        <v>26</v>
      </c>
      <c r="M6" s="6" t="s">
        <v>1965</v>
      </c>
      <c r="N6" s="6"/>
      <c r="O6" s="6"/>
      <c r="P6" s="6"/>
      <c r="Q6" s="6"/>
      <c r="R6">
        <v>1</v>
      </c>
    </row>
    <row r="7" spans="1:20" ht="14.25" customHeight="1">
      <c r="A7" s="6"/>
      <c r="B7" s="6" t="s">
        <v>19</v>
      </c>
      <c r="C7" s="6" t="s">
        <v>1976</v>
      </c>
      <c r="D7" s="6" t="s">
        <v>1977</v>
      </c>
      <c r="E7" s="6" t="s">
        <v>1978</v>
      </c>
      <c r="F7" s="6" t="s">
        <v>1979</v>
      </c>
      <c r="G7" s="6">
        <v>1</v>
      </c>
      <c r="H7" s="6">
        <v>316</v>
      </c>
      <c r="I7" s="6">
        <v>20</v>
      </c>
      <c r="J7" s="6">
        <f t="shared" si="0"/>
        <v>296</v>
      </c>
      <c r="K7" s="6" t="s">
        <v>35</v>
      </c>
      <c r="L7" s="6" t="s">
        <v>26</v>
      </c>
      <c r="M7" s="6" t="s">
        <v>1965</v>
      </c>
      <c r="N7" s="6"/>
      <c r="O7" s="6"/>
      <c r="P7" s="6"/>
      <c r="Q7" s="6"/>
      <c r="R7">
        <v>1</v>
      </c>
    </row>
    <row r="8" spans="1:20" ht="14.25" customHeight="1">
      <c r="A8" s="6"/>
      <c r="B8" s="6" t="s">
        <v>19</v>
      </c>
      <c r="C8" s="6" t="s">
        <v>1980</v>
      </c>
      <c r="D8" s="6" t="s">
        <v>1981</v>
      </c>
      <c r="E8" s="6" t="s">
        <v>1982</v>
      </c>
      <c r="F8" s="6" t="s">
        <v>34</v>
      </c>
      <c r="G8" s="6">
        <v>1</v>
      </c>
      <c r="H8" s="6">
        <v>628</v>
      </c>
      <c r="I8" s="6">
        <v>20</v>
      </c>
      <c r="J8" s="6">
        <f t="shared" si="0"/>
        <v>608</v>
      </c>
      <c r="K8" s="6" t="s">
        <v>35</v>
      </c>
      <c r="L8" s="6" t="s">
        <v>26</v>
      </c>
      <c r="M8" s="6" t="s">
        <v>1965</v>
      </c>
      <c r="N8" s="6"/>
      <c r="O8" s="6"/>
      <c r="P8" s="6"/>
      <c r="Q8" s="6"/>
      <c r="R8">
        <v>1</v>
      </c>
    </row>
    <row r="9" spans="1:20" ht="14.25" customHeight="1">
      <c r="A9" s="6"/>
      <c r="B9" s="6" t="s">
        <v>19</v>
      </c>
      <c r="C9" s="6" t="s">
        <v>1983</v>
      </c>
      <c r="D9" s="6" t="s">
        <v>1984</v>
      </c>
      <c r="E9" s="6">
        <v>2</v>
      </c>
      <c r="F9" s="6" t="s">
        <v>1985</v>
      </c>
      <c r="G9" s="6">
        <v>1</v>
      </c>
      <c r="H9" s="6">
        <v>412</v>
      </c>
      <c r="I9" s="6">
        <v>20</v>
      </c>
      <c r="J9" s="6">
        <f t="shared" si="0"/>
        <v>392</v>
      </c>
      <c r="K9" s="6" t="s">
        <v>35</v>
      </c>
      <c r="L9" s="6" t="s">
        <v>26</v>
      </c>
      <c r="M9" s="6" t="s">
        <v>1965</v>
      </c>
      <c r="N9" s="6"/>
      <c r="O9" s="6"/>
      <c r="P9" s="6"/>
      <c r="Q9" s="6"/>
      <c r="R9">
        <v>1</v>
      </c>
    </row>
    <row r="10" spans="1:20" ht="14.25" customHeight="1">
      <c r="A10" s="6"/>
      <c r="B10" s="6" t="s">
        <v>19</v>
      </c>
      <c r="C10" s="6" t="s">
        <v>1986</v>
      </c>
      <c r="D10" s="6" t="s">
        <v>1987</v>
      </c>
      <c r="E10" s="6">
        <v>5</v>
      </c>
      <c r="F10" s="6" t="s">
        <v>1175</v>
      </c>
      <c r="G10" s="6">
        <v>1</v>
      </c>
      <c r="H10" s="6">
        <v>732</v>
      </c>
      <c r="I10" s="6">
        <v>20</v>
      </c>
      <c r="J10" s="6">
        <f t="shared" si="0"/>
        <v>712</v>
      </c>
      <c r="K10" s="6" t="s">
        <v>35</v>
      </c>
      <c r="L10" s="6" t="s">
        <v>26</v>
      </c>
      <c r="M10" s="6" t="s">
        <v>1965</v>
      </c>
      <c r="N10" s="6"/>
      <c r="O10" s="6"/>
      <c r="P10" s="6"/>
      <c r="Q10" s="6"/>
      <c r="R10">
        <v>1</v>
      </c>
    </row>
    <row r="11" spans="1:20" ht="14.25" customHeight="1">
      <c r="A11" s="6"/>
      <c r="B11" s="6" t="s">
        <v>19</v>
      </c>
      <c r="C11" s="6" t="s">
        <v>1988</v>
      </c>
      <c r="D11" s="6" t="s">
        <v>1989</v>
      </c>
      <c r="E11" s="6">
        <v>32</v>
      </c>
      <c r="F11" s="6" t="s">
        <v>1990</v>
      </c>
      <c r="G11" s="6">
        <v>1</v>
      </c>
      <c r="H11" s="6">
        <v>300</v>
      </c>
      <c r="I11" s="6">
        <v>20</v>
      </c>
      <c r="J11" s="6">
        <f t="shared" si="0"/>
        <v>280</v>
      </c>
      <c r="K11" s="6" t="s">
        <v>35</v>
      </c>
      <c r="L11" s="6" t="s">
        <v>26</v>
      </c>
      <c r="M11" s="6" t="s">
        <v>1965</v>
      </c>
      <c r="N11" s="6"/>
      <c r="O11" s="6"/>
      <c r="P11" s="6"/>
      <c r="Q11" s="6"/>
      <c r="R11">
        <v>1</v>
      </c>
    </row>
    <row r="12" spans="1:20" ht="14.25" customHeight="1">
      <c r="A12" s="5"/>
      <c r="B12" s="5" t="s">
        <v>19</v>
      </c>
      <c r="C12" s="5" t="s">
        <v>839</v>
      </c>
      <c r="D12" s="5" t="s">
        <v>1991</v>
      </c>
      <c r="E12" s="5" t="s">
        <v>841</v>
      </c>
      <c r="F12" s="5" t="s">
        <v>842</v>
      </c>
      <c r="G12" s="5">
        <v>1</v>
      </c>
      <c r="H12" s="5">
        <v>0</v>
      </c>
      <c r="I12" s="5">
        <v>20</v>
      </c>
      <c r="J12" s="5">
        <f t="shared" si="0"/>
        <v>-20</v>
      </c>
      <c r="K12" s="5" t="s">
        <v>35</v>
      </c>
      <c r="L12" s="5" t="s">
        <v>26</v>
      </c>
      <c r="M12" s="5" t="s">
        <v>1965</v>
      </c>
      <c r="N12" s="5" t="s">
        <v>177</v>
      </c>
      <c r="O12" s="5"/>
      <c r="P12" s="5"/>
      <c r="Q12" s="5"/>
      <c r="R12">
        <v>1</v>
      </c>
      <c r="S12">
        <v>20</v>
      </c>
    </row>
    <row r="13" spans="1:20" ht="14.25" customHeight="1">
      <c r="A13" s="6"/>
      <c r="B13" s="6" t="s">
        <v>19</v>
      </c>
      <c r="C13" s="6" t="s">
        <v>1992</v>
      </c>
      <c r="D13" s="6" t="s">
        <v>1993</v>
      </c>
      <c r="E13" s="6">
        <v>265</v>
      </c>
      <c r="F13" s="6" t="s">
        <v>1994</v>
      </c>
      <c r="G13" s="6">
        <v>1</v>
      </c>
      <c r="H13" s="6">
        <v>2100</v>
      </c>
      <c r="I13" s="6">
        <v>20</v>
      </c>
      <c r="J13" s="6">
        <f t="shared" si="0"/>
        <v>2080</v>
      </c>
      <c r="K13" s="6" t="s">
        <v>35</v>
      </c>
      <c r="L13" s="6" t="s">
        <v>26</v>
      </c>
      <c r="M13" s="6" t="s">
        <v>1965</v>
      </c>
      <c r="N13" s="6"/>
      <c r="O13" s="6"/>
      <c r="P13" s="6"/>
      <c r="Q13" s="6"/>
      <c r="R13">
        <v>1</v>
      </c>
    </row>
    <row r="14" spans="1:20" ht="14.25" customHeight="1">
      <c r="A14" s="6"/>
      <c r="B14" s="6" t="s">
        <v>19</v>
      </c>
      <c r="C14" s="6" t="s">
        <v>1995</v>
      </c>
      <c r="D14" s="6" t="s">
        <v>1996</v>
      </c>
      <c r="E14" s="6">
        <v>85</v>
      </c>
      <c r="F14" s="6" t="s">
        <v>655</v>
      </c>
      <c r="G14" s="6">
        <v>1</v>
      </c>
      <c r="H14" s="6">
        <v>1356</v>
      </c>
      <c r="I14" s="6">
        <v>20</v>
      </c>
      <c r="J14" s="6">
        <f t="shared" si="0"/>
        <v>1336</v>
      </c>
      <c r="K14" s="6" t="s">
        <v>35</v>
      </c>
      <c r="L14" s="6" t="s">
        <v>26</v>
      </c>
      <c r="M14" s="6" t="s">
        <v>1965</v>
      </c>
      <c r="N14" s="6"/>
      <c r="O14" s="6"/>
      <c r="P14" s="6"/>
      <c r="Q14" s="6"/>
      <c r="R14">
        <v>1</v>
      </c>
    </row>
    <row r="15" spans="1:20" ht="14.25" customHeight="1">
      <c r="A15" s="6"/>
      <c r="B15" s="6" t="s">
        <v>19</v>
      </c>
      <c r="C15" s="6" t="s">
        <v>1997</v>
      </c>
      <c r="D15" s="6" t="s">
        <v>1998</v>
      </c>
      <c r="E15" s="6" t="s">
        <v>1999</v>
      </c>
      <c r="F15" s="6" t="s">
        <v>2000</v>
      </c>
      <c r="G15" s="6">
        <v>1</v>
      </c>
      <c r="H15" s="6">
        <v>1348</v>
      </c>
      <c r="I15" s="6">
        <v>20</v>
      </c>
      <c r="J15" s="6">
        <f t="shared" si="0"/>
        <v>1328</v>
      </c>
      <c r="K15" s="6" t="s">
        <v>35</v>
      </c>
      <c r="L15" s="6" t="s">
        <v>26</v>
      </c>
      <c r="M15" s="6" t="s">
        <v>1965</v>
      </c>
      <c r="N15" s="6"/>
      <c r="O15" s="6"/>
      <c r="P15" s="6"/>
      <c r="Q15" s="6"/>
      <c r="R15">
        <v>1</v>
      </c>
    </row>
    <row r="16" spans="1:20" ht="14.25" customHeight="1">
      <c r="A16" s="6"/>
      <c r="B16" s="6" t="s">
        <v>19</v>
      </c>
      <c r="C16" s="6" t="s">
        <v>1651</v>
      </c>
      <c r="D16" s="6" t="s">
        <v>2001</v>
      </c>
      <c r="E16" s="6">
        <v>50</v>
      </c>
      <c r="F16" s="6" t="s">
        <v>2002</v>
      </c>
      <c r="G16" s="6">
        <v>1</v>
      </c>
      <c r="H16" s="6">
        <v>364</v>
      </c>
      <c r="I16" s="6">
        <v>20</v>
      </c>
      <c r="J16" s="6">
        <f t="shared" si="0"/>
        <v>344</v>
      </c>
      <c r="K16" s="6" t="s">
        <v>35</v>
      </c>
      <c r="L16" s="6" t="s">
        <v>26</v>
      </c>
      <c r="M16" s="6" t="s">
        <v>1965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2003</v>
      </c>
      <c r="D17" s="6" t="s">
        <v>2004</v>
      </c>
      <c r="E17" s="6" t="s">
        <v>2005</v>
      </c>
      <c r="F17" s="6" t="s">
        <v>1190</v>
      </c>
      <c r="G17" s="6">
        <v>1</v>
      </c>
      <c r="H17" s="6">
        <v>796</v>
      </c>
      <c r="I17" s="6">
        <v>20</v>
      </c>
      <c r="J17" s="6">
        <f t="shared" si="0"/>
        <v>776</v>
      </c>
      <c r="K17" s="6" t="s">
        <v>35</v>
      </c>
      <c r="L17" s="6" t="s">
        <v>26</v>
      </c>
      <c r="M17" s="6" t="s">
        <v>1965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2006</v>
      </c>
      <c r="D18" s="6" t="s">
        <v>2007</v>
      </c>
      <c r="E18" s="6" t="s">
        <v>2008</v>
      </c>
      <c r="F18" s="6" t="s">
        <v>63</v>
      </c>
      <c r="G18" s="6">
        <v>1</v>
      </c>
      <c r="H18" s="6">
        <v>356</v>
      </c>
      <c r="I18" s="6">
        <v>20</v>
      </c>
      <c r="J18" s="6">
        <f t="shared" si="0"/>
        <v>336</v>
      </c>
      <c r="K18" s="6" t="s">
        <v>35</v>
      </c>
      <c r="L18" s="6" t="s">
        <v>26</v>
      </c>
      <c r="M18" s="6" t="s">
        <v>1965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1625</v>
      </c>
      <c r="D19" s="6" t="s">
        <v>2009</v>
      </c>
      <c r="E19" s="6" t="s">
        <v>2010</v>
      </c>
      <c r="F19" s="6" t="s">
        <v>1193</v>
      </c>
      <c r="G19" s="6">
        <v>1</v>
      </c>
      <c r="H19" s="6">
        <v>700</v>
      </c>
      <c r="I19" s="6">
        <v>20</v>
      </c>
      <c r="J19" s="6">
        <f t="shared" si="0"/>
        <v>680</v>
      </c>
      <c r="K19" s="6" t="s">
        <v>35</v>
      </c>
      <c r="L19" s="6" t="s">
        <v>26</v>
      </c>
      <c r="M19" s="6" t="s">
        <v>1965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2011</v>
      </c>
      <c r="D20" s="6" t="s">
        <v>2012</v>
      </c>
      <c r="E20" s="6">
        <v>18</v>
      </c>
      <c r="F20" s="6" t="s">
        <v>2013</v>
      </c>
      <c r="G20" s="6">
        <v>3</v>
      </c>
      <c r="H20" s="6">
        <v>0</v>
      </c>
      <c r="I20" s="6">
        <v>20</v>
      </c>
      <c r="J20" s="6">
        <f t="shared" si="0"/>
        <v>-20</v>
      </c>
      <c r="K20" s="6" t="s">
        <v>35</v>
      </c>
      <c r="L20" s="6" t="s">
        <v>26</v>
      </c>
      <c r="M20" s="6" t="s">
        <v>1965</v>
      </c>
      <c r="N20" s="6"/>
      <c r="O20" s="6"/>
      <c r="P20" s="6"/>
      <c r="Q20" s="6"/>
      <c r="R20">
        <v>1</v>
      </c>
      <c r="S20">
        <v>20</v>
      </c>
    </row>
    <row r="21" spans="1:19" ht="14.25" customHeight="1">
      <c r="A21" s="6"/>
      <c r="B21" s="6" t="s">
        <v>19</v>
      </c>
      <c r="C21" s="6" t="s">
        <v>2014</v>
      </c>
      <c r="D21" s="6" t="s">
        <v>2015</v>
      </c>
      <c r="E21" s="6" t="s">
        <v>2016</v>
      </c>
      <c r="F21" s="6" t="s">
        <v>658</v>
      </c>
      <c r="G21" s="6">
        <v>3</v>
      </c>
      <c r="H21" s="6">
        <v>324</v>
      </c>
      <c r="I21" s="6">
        <v>20</v>
      </c>
      <c r="J21" s="6">
        <f t="shared" si="0"/>
        <v>304</v>
      </c>
      <c r="K21" s="6" t="s">
        <v>35</v>
      </c>
      <c r="L21" s="6" t="s">
        <v>26</v>
      </c>
      <c r="M21" s="6" t="s">
        <v>1965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2017</v>
      </c>
      <c r="D22" s="6" t="s">
        <v>2018</v>
      </c>
      <c r="E22" s="6">
        <v>585</v>
      </c>
      <c r="F22" s="6" t="s">
        <v>90</v>
      </c>
      <c r="G22" s="6">
        <v>3</v>
      </c>
      <c r="H22" s="6">
        <v>636</v>
      </c>
      <c r="I22" s="6">
        <v>20</v>
      </c>
      <c r="J22" s="6">
        <f t="shared" si="0"/>
        <v>616</v>
      </c>
      <c r="K22" s="6" t="s">
        <v>35</v>
      </c>
      <c r="L22" s="6" t="s">
        <v>26</v>
      </c>
      <c r="M22" s="6" t="s">
        <v>1965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2019</v>
      </c>
      <c r="D23" s="6" t="s">
        <v>2020</v>
      </c>
      <c r="E23" s="6">
        <v>228</v>
      </c>
      <c r="F23" s="6" t="s">
        <v>2021</v>
      </c>
      <c r="G23" s="6">
        <v>3</v>
      </c>
      <c r="H23" s="6">
        <v>404</v>
      </c>
      <c r="I23" s="6">
        <v>20</v>
      </c>
      <c r="J23" s="6">
        <f t="shared" si="0"/>
        <v>384</v>
      </c>
      <c r="K23" s="6" t="s">
        <v>35</v>
      </c>
      <c r="L23" s="6" t="s">
        <v>26</v>
      </c>
      <c r="M23" s="6" t="s">
        <v>1965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2022</v>
      </c>
      <c r="D24" s="6" t="s">
        <v>2023</v>
      </c>
      <c r="E24" s="6" t="s">
        <v>2024</v>
      </c>
      <c r="F24" s="6" t="s">
        <v>2025</v>
      </c>
      <c r="G24" s="6">
        <v>3</v>
      </c>
      <c r="H24" s="6">
        <v>652</v>
      </c>
      <c r="I24" s="6">
        <v>20</v>
      </c>
      <c r="J24" s="6">
        <f t="shared" si="0"/>
        <v>632</v>
      </c>
      <c r="K24" s="6" t="s">
        <v>35</v>
      </c>
      <c r="L24" s="6" t="s">
        <v>26</v>
      </c>
      <c r="M24" s="6" t="s">
        <v>1965</v>
      </c>
      <c r="N24" s="6"/>
      <c r="O24" s="6"/>
      <c r="P24" s="6"/>
      <c r="Q24" s="6"/>
      <c r="R24">
        <v>1</v>
      </c>
    </row>
    <row r="25" spans="1:19" ht="14.25" customHeight="1">
      <c r="A25" s="6"/>
      <c r="B25" s="6" t="s">
        <v>19</v>
      </c>
      <c r="C25" s="6" t="s">
        <v>2026</v>
      </c>
      <c r="D25" s="6" t="s">
        <v>2027</v>
      </c>
      <c r="E25" s="6">
        <v>1</v>
      </c>
      <c r="F25" s="6" t="s">
        <v>2028</v>
      </c>
      <c r="G25" s="6">
        <v>4</v>
      </c>
      <c r="H25" s="6">
        <v>617</v>
      </c>
      <c r="I25" s="6">
        <v>25</v>
      </c>
      <c r="J25" s="6">
        <f t="shared" si="0"/>
        <v>592</v>
      </c>
      <c r="K25" s="6" t="s">
        <v>35</v>
      </c>
      <c r="L25" s="6" t="s">
        <v>26</v>
      </c>
      <c r="M25" s="6" t="s">
        <v>1965</v>
      </c>
      <c r="N25" s="6"/>
      <c r="O25" s="6"/>
      <c r="P25" s="6"/>
      <c r="Q25" s="6"/>
      <c r="R25">
        <v>1</v>
      </c>
    </row>
    <row r="26" spans="1:19" ht="14.25" customHeight="1">
      <c r="A26" s="6" t="s">
        <v>37</v>
      </c>
      <c r="B26" s="6" t="s">
        <v>19</v>
      </c>
      <c r="C26" s="6" t="s">
        <v>670</v>
      </c>
      <c r="D26" s="6"/>
      <c r="E26" s="6">
        <v>141</v>
      </c>
      <c r="F26" s="6" t="s">
        <v>86</v>
      </c>
      <c r="G26" s="6">
        <v>5</v>
      </c>
      <c r="H26" s="6">
        <v>670</v>
      </c>
      <c r="I26" s="6">
        <v>30</v>
      </c>
      <c r="J26" s="6">
        <f t="shared" si="0"/>
        <v>640</v>
      </c>
      <c r="K26" s="6" t="s">
        <v>35</v>
      </c>
      <c r="L26" s="6" t="s">
        <v>26</v>
      </c>
      <c r="M26" s="6" t="s">
        <v>1965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2029</v>
      </c>
      <c r="D27" s="6" t="s">
        <v>2030</v>
      </c>
      <c r="E27" s="6">
        <v>445</v>
      </c>
      <c r="F27" s="6" t="s">
        <v>2031</v>
      </c>
      <c r="G27" s="6">
        <v>10</v>
      </c>
      <c r="H27" s="6">
        <v>825</v>
      </c>
      <c r="I27" s="6">
        <v>25</v>
      </c>
      <c r="J27" s="6">
        <f t="shared" si="0"/>
        <v>800</v>
      </c>
      <c r="K27" s="6" t="s">
        <v>35</v>
      </c>
      <c r="L27" s="6" t="s">
        <v>26</v>
      </c>
      <c r="M27" s="6" t="s">
        <v>1965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2032</v>
      </c>
      <c r="D28" s="6" t="s">
        <v>2033</v>
      </c>
      <c r="E28" s="6">
        <v>28</v>
      </c>
      <c r="F28" s="6" t="s">
        <v>937</v>
      </c>
      <c r="G28" s="6">
        <v>10</v>
      </c>
      <c r="H28" s="6">
        <v>280</v>
      </c>
      <c r="I28" s="6">
        <v>0</v>
      </c>
      <c r="J28" s="6">
        <f t="shared" si="0"/>
        <v>280</v>
      </c>
      <c r="K28" s="6" t="s">
        <v>35</v>
      </c>
      <c r="L28" s="6" t="s">
        <v>26</v>
      </c>
      <c r="M28" s="6" t="s">
        <v>1965</v>
      </c>
      <c r="N28" s="7" t="s">
        <v>298</v>
      </c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2032</v>
      </c>
      <c r="D29" s="6" t="s">
        <v>2034</v>
      </c>
      <c r="E29" s="6">
        <v>28</v>
      </c>
      <c r="F29" s="6" t="s">
        <v>937</v>
      </c>
      <c r="G29" s="6">
        <v>10</v>
      </c>
      <c r="H29" s="6">
        <v>737</v>
      </c>
      <c r="I29" s="6">
        <v>25</v>
      </c>
      <c r="J29" s="6">
        <f t="shared" si="0"/>
        <v>712</v>
      </c>
      <c r="K29" s="6" t="s">
        <v>35</v>
      </c>
      <c r="L29" s="6" t="s">
        <v>26</v>
      </c>
      <c r="M29" s="6" t="s">
        <v>1965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2035</v>
      </c>
      <c r="D30" s="6" t="s">
        <v>2036</v>
      </c>
      <c r="E30" s="6" t="s">
        <v>2037</v>
      </c>
      <c r="F30" s="6" t="s">
        <v>2038</v>
      </c>
      <c r="G30" s="6">
        <v>10</v>
      </c>
      <c r="H30" s="6">
        <v>737</v>
      </c>
      <c r="I30" s="6">
        <v>25</v>
      </c>
      <c r="J30" s="6">
        <f t="shared" si="0"/>
        <v>712</v>
      </c>
      <c r="K30" s="6" t="s">
        <v>35</v>
      </c>
      <c r="L30" s="6" t="s">
        <v>26</v>
      </c>
      <c r="M30" s="6" t="s">
        <v>1965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2039</v>
      </c>
      <c r="D31" s="6" t="s">
        <v>2040</v>
      </c>
      <c r="E31" s="6" t="s">
        <v>2041</v>
      </c>
      <c r="F31" s="6" t="s">
        <v>2038</v>
      </c>
      <c r="G31" s="6">
        <v>10</v>
      </c>
      <c r="H31" s="6">
        <v>617</v>
      </c>
      <c r="I31" s="6">
        <v>25</v>
      </c>
      <c r="J31" s="6">
        <f t="shared" si="0"/>
        <v>592</v>
      </c>
      <c r="K31" s="6" t="s">
        <v>35</v>
      </c>
      <c r="L31" s="6" t="s">
        <v>26</v>
      </c>
      <c r="M31" s="6" t="s">
        <v>1965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2042</v>
      </c>
      <c r="D32" s="6" t="s">
        <v>2043</v>
      </c>
      <c r="E32" s="6" t="s">
        <v>2044</v>
      </c>
      <c r="F32" s="6" t="s">
        <v>2045</v>
      </c>
      <c r="G32" s="6">
        <v>10</v>
      </c>
      <c r="H32" s="6">
        <v>617</v>
      </c>
      <c r="I32" s="6">
        <v>25</v>
      </c>
      <c r="J32" s="6">
        <f t="shared" si="0"/>
        <v>592</v>
      </c>
      <c r="K32" s="6" t="s">
        <v>35</v>
      </c>
      <c r="L32" s="6" t="s">
        <v>26</v>
      </c>
      <c r="M32" s="6" t="s">
        <v>1965</v>
      </c>
      <c r="N32" s="6"/>
      <c r="O32" s="6"/>
      <c r="P32" s="6"/>
      <c r="Q32" s="6"/>
      <c r="R32">
        <v>1</v>
      </c>
    </row>
    <row r="33" spans="1:20" ht="14.25" customHeight="1">
      <c r="A33" s="6"/>
      <c r="B33" s="6" t="s">
        <v>19</v>
      </c>
      <c r="C33" s="6" t="s">
        <v>2046</v>
      </c>
      <c r="D33" s="6" t="s">
        <v>2047</v>
      </c>
      <c r="E33" s="6">
        <v>5</v>
      </c>
      <c r="F33" s="6" t="s">
        <v>111</v>
      </c>
      <c r="G33" s="6">
        <v>10</v>
      </c>
      <c r="H33" s="6">
        <v>401</v>
      </c>
      <c r="I33" s="6">
        <v>25</v>
      </c>
      <c r="J33" s="6">
        <f t="shared" si="0"/>
        <v>376</v>
      </c>
      <c r="K33" s="6" t="s">
        <v>35</v>
      </c>
      <c r="L33" s="6" t="s">
        <v>26</v>
      </c>
      <c r="M33" s="6" t="s">
        <v>1965</v>
      </c>
      <c r="N33" s="6"/>
      <c r="O33" s="6"/>
      <c r="P33" s="6"/>
      <c r="Q33" s="6"/>
      <c r="R33">
        <v>1</v>
      </c>
    </row>
    <row r="34" spans="1:20" ht="14.25" customHeight="1">
      <c r="A34" s="6"/>
      <c r="B34" s="6" t="s">
        <v>19</v>
      </c>
      <c r="C34" s="6" t="s">
        <v>2048</v>
      </c>
      <c r="D34" s="6" t="s">
        <v>2049</v>
      </c>
      <c r="E34" s="6" t="s">
        <v>2050</v>
      </c>
      <c r="F34" s="6" t="s">
        <v>1549</v>
      </c>
      <c r="G34" s="6" t="s">
        <v>181</v>
      </c>
      <c r="H34" s="6">
        <v>652</v>
      </c>
      <c r="I34" s="6">
        <v>20</v>
      </c>
      <c r="J34" s="6">
        <f t="shared" si="0"/>
        <v>632</v>
      </c>
      <c r="K34" s="6" t="s">
        <v>35</v>
      </c>
      <c r="L34" s="6" t="s">
        <v>26</v>
      </c>
      <c r="M34" s="6" t="s">
        <v>1965</v>
      </c>
      <c r="N34" s="6"/>
      <c r="O34" s="6"/>
      <c r="P34" s="6"/>
      <c r="Q34" s="6"/>
      <c r="R34">
        <v>1</v>
      </c>
    </row>
    <row r="35" spans="1:20" ht="14.25" customHeight="1">
      <c r="A35" s="6"/>
      <c r="B35" s="6" t="s">
        <v>19</v>
      </c>
      <c r="C35" s="6" t="s">
        <v>2051</v>
      </c>
      <c r="D35" s="6" t="s">
        <v>2052</v>
      </c>
      <c r="E35" s="6" t="s">
        <v>2053</v>
      </c>
      <c r="F35" s="6" t="s">
        <v>116</v>
      </c>
      <c r="G35" s="6" t="s">
        <v>117</v>
      </c>
      <c r="H35" s="6">
        <v>676</v>
      </c>
      <c r="I35" s="6">
        <v>20</v>
      </c>
      <c r="J35" s="6">
        <f t="shared" si="0"/>
        <v>656</v>
      </c>
      <c r="K35" s="6" t="s">
        <v>35</v>
      </c>
      <c r="L35" s="6" t="s">
        <v>26</v>
      </c>
      <c r="M35" s="6" t="s">
        <v>1965</v>
      </c>
      <c r="N35" s="6"/>
      <c r="O35" s="6"/>
      <c r="P35" s="6"/>
      <c r="Q35" s="6"/>
      <c r="R35">
        <v>1</v>
      </c>
    </row>
    <row r="36" spans="1:20" ht="14.25" customHeight="1">
      <c r="A36" s="6"/>
      <c r="B36" s="6" t="s">
        <v>19</v>
      </c>
      <c r="C36" s="6" t="s">
        <v>2054</v>
      </c>
      <c r="D36" s="6" t="s">
        <v>2055</v>
      </c>
      <c r="E36" s="6" t="s">
        <v>2056</v>
      </c>
      <c r="F36" s="6" t="s">
        <v>116</v>
      </c>
      <c r="G36" s="6" t="s">
        <v>117</v>
      </c>
      <c r="H36" s="6">
        <v>1548</v>
      </c>
      <c r="I36" s="6">
        <v>20</v>
      </c>
      <c r="J36" s="6">
        <f t="shared" si="0"/>
        <v>1528</v>
      </c>
      <c r="K36" s="6" t="s">
        <v>35</v>
      </c>
      <c r="L36" s="6" t="s">
        <v>26</v>
      </c>
      <c r="M36" s="6" t="s">
        <v>1965</v>
      </c>
      <c r="N36" s="6"/>
      <c r="O36" s="6"/>
      <c r="P36" s="6"/>
      <c r="Q36" s="6"/>
      <c r="R36">
        <v>1</v>
      </c>
    </row>
    <row r="37" spans="1:20" ht="14.25" customHeight="1">
      <c r="A37" s="6"/>
      <c r="B37" s="6" t="s">
        <v>19</v>
      </c>
      <c r="C37" s="6" t="s">
        <v>2057</v>
      </c>
      <c r="D37" s="6" t="s">
        <v>2058</v>
      </c>
      <c r="E37" s="6" t="s">
        <v>2059</v>
      </c>
      <c r="F37" s="6" t="s">
        <v>2060</v>
      </c>
      <c r="G37" s="6" t="s">
        <v>117</v>
      </c>
      <c r="H37" s="6">
        <v>1308</v>
      </c>
      <c r="I37" s="6">
        <v>20</v>
      </c>
      <c r="J37" s="6">
        <f t="shared" si="0"/>
        <v>1288</v>
      </c>
      <c r="K37" s="6" t="s">
        <v>35</v>
      </c>
      <c r="L37" s="6" t="s">
        <v>26</v>
      </c>
      <c r="M37" s="6" t="s">
        <v>1965</v>
      </c>
      <c r="N37" s="6"/>
      <c r="O37" s="6"/>
      <c r="P37" s="6"/>
      <c r="Q37" s="6"/>
      <c r="R37">
        <v>1</v>
      </c>
    </row>
    <row r="38" spans="1:20" ht="14.25" customHeight="1">
      <c r="A38" s="6"/>
      <c r="B38" s="6" t="s">
        <v>19</v>
      </c>
      <c r="C38" s="6" t="s">
        <v>2061</v>
      </c>
      <c r="D38" s="6" t="s">
        <v>2062</v>
      </c>
      <c r="E38" s="6" t="s">
        <v>2063</v>
      </c>
      <c r="F38" s="6" t="s">
        <v>1225</v>
      </c>
      <c r="G38" s="6" t="s">
        <v>128</v>
      </c>
      <c r="H38" s="6">
        <v>817</v>
      </c>
      <c r="I38" s="6">
        <v>25</v>
      </c>
      <c r="J38" s="6">
        <f t="shared" si="0"/>
        <v>792</v>
      </c>
      <c r="K38" s="6" t="s">
        <v>35</v>
      </c>
      <c r="L38" s="6" t="s">
        <v>26</v>
      </c>
      <c r="M38" s="6" t="s">
        <v>1965</v>
      </c>
      <c r="N38" s="6"/>
      <c r="O38" s="6"/>
      <c r="P38" s="6"/>
      <c r="Q38" s="6"/>
      <c r="R38">
        <v>1</v>
      </c>
    </row>
    <row r="39" spans="1:20" ht="14.25" customHeight="1">
      <c r="A39" s="6"/>
      <c r="B39" s="6" t="s">
        <v>19</v>
      </c>
      <c r="C39" s="6" t="s">
        <v>2064</v>
      </c>
      <c r="D39" s="6" t="s">
        <v>2065</v>
      </c>
      <c r="E39" s="6">
        <v>253</v>
      </c>
      <c r="F39" s="6" t="s">
        <v>116</v>
      </c>
      <c r="G39" s="6" t="s">
        <v>128</v>
      </c>
      <c r="H39" s="6">
        <v>0</v>
      </c>
      <c r="I39" s="6">
        <v>25</v>
      </c>
      <c r="J39" s="6">
        <f t="shared" si="0"/>
        <v>-25</v>
      </c>
      <c r="K39" s="6" t="s">
        <v>35</v>
      </c>
      <c r="L39" s="6" t="s">
        <v>26</v>
      </c>
      <c r="M39" s="6" t="s">
        <v>1965</v>
      </c>
      <c r="N39" s="6"/>
      <c r="O39" s="6"/>
      <c r="P39" s="6"/>
      <c r="Q39" s="6"/>
      <c r="R39">
        <v>1</v>
      </c>
      <c r="S39">
        <v>25</v>
      </c>
    </row>
    <row r="40" spans="1:20" ht="14.25" customHeight="1">
      <c r="A40" s="6" t="s">
        <v>37</v>
      </c>
      <c r="B40" s="6" t="s">
        <v>19</v>
      </c>
      <c r="C40" s="6" t="s">
        <v>896</v>
      </c>
      <c r="D40" s="6"/>
      <c r="E40" s="6" t="s">
        <v>897</v>
      </c>
      <c r="F40" s="6" t="s">
        <v>150</v>
      </c>
      <c r="G40" s="6" t="s">
        <v>128</v>
      </c>
      <c r="H40" s="6">
        <v>0</v>
      </c>
      <c r="I40" s="6">
        <v>25</v>
      </c>
      <c r="J40" s="6">
        <f t="shared" si="0"/>
        <v>-25</v>
      </c>
      <c r="K40" s="6" t="s">
        <v>35</v>
      </c>
      <c r="L40" s="6" t="s">
        <v>26</v>
      </c>
      <c r="M40" s="6" t="s">
        <v>1965</v>
      </c>
      <c r="N40" s="6"/>
      <c r="O40" s="6"/>
      <c r="P40" s="6"/>
      <c r="Q40" s="6"/>
      <c r="R40">
        <v>1</v>
      </c>
      <c r="S40">
        <v>25</v>
      </c>
    </row>
    <row r="41" spans="1:20" ht="14.25" customHeight="1">
      <c r="A41" s="6"/>
      <c r="B41" s="6" t="s">
        <v>19</v>
      </c>
      <c r="C41" s="6" t="s">
        <v>2066</v>
      </c>
      <c r="D41" s="6" t="s">
        <v>2067</v>
      </c>
      <c r="E41" s="6">
        <v>8</v>
      </c>
      <c r="F41" s="6" t="s">
        <v>2068</v>
      </c>
      <c r="G41" s="6" t="s">
        <v>117</v>
      </c>
      <c r="H41" s="6">
        <v>1380</v>
      </c>
      <c r="I41" s="6">
        <v>20</v>
      </c>
      <c r="J41" s="6">
        <f t="shared" si="0"/>
        <v>1360</v>
      </c>
      <c r="K41" s="6" t="s">
        <v>35</v>
      </c>
      <c r="L41" s="6" t="s">
        <v>26</v>
      </c>
      <c r="M41" s="6" t="s">
        <v>1965</v>
      </c>
      <c r="N41" s="6"/>
      <c r="O41" s="6"/>
      <c r="P41" s="6"/>
      <c r="Q41" s="6"/>
      <c r="R41">
        <v>1</v>
      </c>
    </row>
    <row r="42" spans="1:20" ht="14.25" customHeight="1">
      <c r="A42" s="6"/>
      <c r="B42" s="6" t="s">
        <v>19</v>
      </c>
      <c r="C42" s="6" t="s">
        <v>2069</v>
      </c>
      <c r="D42" s="6" t="s">
        <v>2070</v>
      </c>
      <c r="E42" s="6">
        <v>162</v>
      </c>
      <c r="F42" s="6" t="s">
        <v>287</v>
      </c>
      <c r="G42" s="6">
        <v>5</v>
      </c>
      <c r="H42" s="6">
        <v>0</v>
      </c>
      <c r="I42" s="6">
        <v>25</v>
      </c>
      <c r="J42" s="6">
        <f t="shared" si="0"/>
        <v>-25</v>
      </c>
      <c r="K42" s="6" t="s">
        <v>2071</v>
      </c>
      <c r="L42" s="6" t="s">
        <v>26</v>
      </c>
      <c r="M42" s="6" t="s">
        <v>1965</v>
      </c>
      <c r="N42" s="6"/>
      <c r="O42" s="6"/>
      <c r="P42" s="6"/>
      <c r="Q42" s="6"/>
      <c r="R42">
        <v>1</v>
      </c>
      <c r="S42">
        <v>25</v>
      </c>
    </row>
    <row r="43" spans="1:20" ht="14.25" customHeight="1">
      <c r="A43" s="6"/>
      <c r="B43" s="6" t="s">
        <v>19</v>
      </c>
      <c r="C43" s="6" t="s">
        <v>934</v>
      </c>
      <c r="D43" s="6" t="s">
        <v>2072</v>
      </c>
      <c r="E43" s="6" t="s">
        <v>2073</v>
      </c>
      <c r="F43" s="6" t="s">
        <v>2074</v>
      </c>
      <c r="G43" s="6">
        <v>5</v>
      </c>
      <c r="H43" s="6">
        <v>577</v>
      </c>
      <c r="I43" s="6">
        <v>25</v>
      </c>
      <c r="J43" s="6">
        <f t="shared" si="0"/>
        <v>552</v>
      </c>
      <c r="K43" s="6" t="s">
        <v>2071</v>
      </c>
      <c r="L43" s="6" t="s">
        <v>26</v>
      </c>
      <c r="M43" s="6" t="s">
        <v>1965</v>
      </c>
      <c r="N43" s="6"/>
      <c r="O43" s="6"/>
      <c r="P43" s="6"/>
      <c r="Q43" s="6"/>
      <c r="R43">
        <v>1</v>
      </c>
    </row>
    <row r="44" spans="1:20" ht="14.25" customHeight="1">
      <c r="A44" s="6"/>
      <c r="B44" s="6" t="s">
        <v>19</v>
      </c>
      <c r="C44" s="6" t="s">
        <v>31</v>
      </c>
      <c r="D44" s="6" t="s">
        <v>2075</v>
      </c>
      <c r="E44" s="6" t="s">
        <v>274</v>
      </c>
      <c r="F44" s="6" t="s">
        <v>2076</v>
      </c>
      <c r="G44" s="6">
        <v>6</v>
      </c>
      <c r="H44" s="6">
        <v>1209</v>
      </c>
      <c r="I44" s="6">
        <v>25</v>
      </c>
      <c r="J44" s="6">
        <f t="shared" si="0"/>
        <v>1184</v>
      </c>
      <c r="K44" s="6" t="s">
        <v>2071</v>
      </c>
      <c r="L44" s="6" t="s">
        <v>26</v>
      </c>
      <c r="M44" s="6" t="s">
        <v>1965</v>
      </c>
      <c r="N44" s="6"/>
      <c r="O44" s="6"/>
      <c r="P44" s="6"/>
      <c r="Q44" s="6"/>
      <c r="R44">
        <v>1</v>
      </c>
    </row>
    <row r="45" spans="1:20" ht="14.25" customHeight="1">
      <c r="A45" s="6"/>
      <c r="B45" s="6" t="s">
        <v>19</v>
      </c>
      <c r="C45" s="6" t="s">
        <v>2077</v>
      </c>
      <c r="D45" s="6" t="s">
        <v>2078</v>
      </c>
      <c r="E45" s="6">
        <v>9</v>
      </c>
      <c r="F45" s="6" t="s">
        <v>996</v>
      </c>
      <c r="G45" s="6">
        <v>6</v>
      </c>
      <c r="H45" s="6">
        <v>633</v>
      </c>
      <c r="I45" s="6">
        <v>25</v>
      </c>
      <c r="J45" s="6">
        <f t="shared" si="0"/>
        <v>608</v>
      </c>
      <c r="K45" s="6" t="s">
        <v>2071</v>
      </c>
      <c r="L45" s="6" t="s">
        <v>26</v>
      </c>
      <c r="M45" s="6" t="s">
        <v>1965</v>
      </c>
      <c r="N45" s="6"/>
      <c r="O45" s="6"/>
      <c r="P45" s="6"/>
      <c r="Q45" s="6"/>
      <c r="R45">
        <v>1</v>
      </c>
    </row>
    <row r="46" spans="1:20" ht="14.25" customHeight="1">
      <c r="A46" s="6"/>
      <c r="B46" s="6" t="s">
        <v>19</v>
      </c>
      <c r="C46" s="6" t="s">
        <v>2079</v>
      </c>
      <c r="D46" s="6" t="s">
        <v>2080</v>
      </c>
      <c r="E46" s="6">
        <v>59</v>
      </c>
      <c r="F46" s="6" t="s">
        <v>701</v>
      </c>
      <c r="G46" s="6">
        <v>6</v>
      </c>
      <c r="H46" s="6">
        <v>321</v>
      </c>
      <c r="I46" s="6">
        <v>25</v>
      </c>
      <c r="J46" s="6">
        <f t="shared" si="0"/>
        <v>296</v>
      </c>
      <c r="K46" s="6" t="s">
        <v>2071</v>
      </c>
      <c r="L46" s="6" t="s">
        <v>26</v>
      </c>
      <c r="M46" s="6" t="s">
        <v>1965</v>
      </c>
      <c r="N46" s="6"/>
      <c r="O46" s="6"/>
      <c r="P46" s="6"/>
      <c r="Q46" s="6"/>
      <c r="R46" s="4">
        <v>1</v>
      </c>
      <c r="S46" s="4"/>
      <c r="T46" s="4"/>
    </row>
    <row r="47" spans="1:20" ht="14.25" customHeight="1">
      <c r="A47" s="6"/>
      <c r="B47" s="6" t="s">
        <v>19</v>
      </c>
      <c r="C47" s="6" t="s">
        <v>205</v>
      </c>
      <c r="D47" s="6" t="s">
        <v>2081</v>
      </c>
      <c r="E47" s="6" t="s">
        <v>2082</v>
      </c>
      <c r="F47" s="6" t="s">
        <v>1709</v>
      </c>
      <c r="G47" s="6">
        <v>7</v>
      </c>
      <c r="H47" s="6">
        <v>617</v>
      </c>
      <c r="I47" s="6">
        <v>25</v>
      </c>
      <c r="J47" s="6">
        <f t="shared" si="0"/>
        <v>592</v>
      </c>
      <c r="K47" s="6" t="s">
        <v>2071</v>
      </c>
      <c r="L47" s="6" t="s">
        <v>26</v>
      </c>
      <c r="M47" s="6" t="s">
        <v>1965</v>
      </c>
      <c r="N47" s="6"/>
      <c r="O47" s="6"/>
      <c r="P47" s="6"/>
      <c r="Q47" s="6"/>
      <c r="R47">
        <v>1</v>
      </c>
    </row>
    <row r="48" spans="1:20" ht="14.25" customHeight="1">
      <c r="A48" s="6"/>
      <c r="B48" s="6" t="s">
        <v>19</v>
      </c>
      <c r="C48" s="6" t="s">
        <v>2083</v>
      </c>
      <c r="D48" s="6" t="s">
        <v>2084</v>
      </c>
      <c r="E48" s="6" t="s">
        <v>2085</v>
      </c>
      <c r="F48" s="6" t="s">
        <v>1366</v>
      </c>
      <c r="G48" s="6">
        <v>7</v>
      </c>
      <c r="H48" s="6">
        <v>897</v>
      </c>
      <c r="I48" s="6">
        <v>25</v>
      </c>
      <c r="J48" s="6">
        <f t="shared" si="0"/>
        <v>872</v>
      </c>
      <c r="K48" s="6" t="s">
        <v>2071</v>
      </c>
      <c r="L48" s="6" t="s">
        <v>26</v>
      </c>
      <c r="M48" s="6" t="s">
        <v>1965</v>
      </c>
      <c r="N48" s="6"/>
      <c r="O48" s="6"/>
      <c r="P48" s="6"/>
      <c r="Q48" s="6"/>
      <c r="R48">
        <v>1</v>
      </c>
    </row>
    <row r="49" spans="1:19" ht="14.25" customHeight="1">
      <c r="A49" s="6"/>
      <c r="B49" s="6" t="s">
        <v>19</v>
      </c>
      <c r="C49" s="6" t="s">
        <v>1651</v>
      </c>
      <c r="D49" s="6" t="s">
        <v>2086</v>
      </c>
      <c r="E49" s="6">
        <v>259</v>
      </c>
      <c r="F49" s="6" t="s">
        <v>2087</v>
      </c>
      <c r="G49" s="6">
        <v>7</v>
      </c>
      <c r="H49" s="6">
        <v>1529</v>
      </c>
      <c r="I49" s="6">
        <v>25</v>
      </c>
      <c r="J49" s="6">
        <f t="shared" si="0"/>
        <v>1504</v>
      </c>
      <c r="K49" s="6" t="s">
        <v>2071</v>
      </c>
      <c r="L49" s="6" t="s">
        <v>26</v>
      </c>
      <c r="M49" s="6" t="s">
        <v>1965</v>
      </c>
      <c r="N49" s="6"/>
      <c r="O49" s="6"/>
      <c r="P49" s="6"/>
      <c r="Q49" s="6"/>
      <c r="R49">
        <v>1</v>
      </c>
    </row>
    <row r="50" spans="1:19" ht="14.25" customHeight="1">
      <c r="A50" s="6"/>
      <c r="B50" s="6" t="s">
        <v>19</v>
      </c>
      <c r="C50" s="6" t="s">
        <v>2088</v>
      </c>
      <c r="D50" s="6" t="s">
        <v>2089</v>
      </c>
      <c r="E50" s="6">
        <v>23</v>
      </c>
      <c r="F50" s="6" t="s">
        <v>311</v>
      </c>
      <c r="G50" s="6">
        <v>7</v>
      </c>
      <c r="H50" s="6">
        <v>25</v>
      </c>
      <c r="I50" s="6">
        <v>25</v>
      </c>
      <c r="J50" s="6">
        <f t="shared" si="0"/>
        <v>0</v>
      </c>
      <c r="K50" s="6" t="s">
        <v>2071</v>
      </c>
      <c r="L50" s="6" t="s">
        <v>26</v>
      </c>
      <c r="M50" s="6" t="s">
        <v>1965</v>
      </c>
      <c r="N50" s="6"/>
      <c r="O50" s="6"/>
      <c r="P50" s="6"/>
      <c r="Q50" s="6"/>
      <c r="R50">
        <v>1</v>
      </c>
    </row>
    <row r="51" spans="1:19" ht="14.25" customHeight="1">
      <c r="A51" s="6"/>
      <c r="B51" s="6" t="s">
        <v>19</v>
      </c>
      <c r="C51" s="6" t="s">
        <v>2090</v>
      </c>
      <c r="D51" s="6" t="s">
        <v>2091</v>
      </c>
      <c r="E51" s="6" t="s">
        <v>2092</v>
      </c>
      <c r="F51" s="6" t="s">
        <v>2093</v>
      </c>
      <c r="G51" s="6">
        <v>7</v>
      </c>
      <c r="H51" s="6">
        <v>737</v>
      </c>
      <c r="I51" s="6">
        <v>25</v>
      </c>
      <c r="J51" s="6">
        <f t="shared" si="0"/>
        <v>712</v>
      </c>
      <c r="K51" s="6" t="s">
        <v>2071</v>
      </c>
      <c r="L51" s="6" t="s">
        <v>26</v>
      </c>
      <c r="M51" s="6" t="s">
        <v>1965</v>
      </c>
      <c r="N51" s="6"/>
      <c r="O51" s="6"/>
      <c r="P51" s="6"/>
      <c r="Q51" s="6"/>
      <c r="R51">
        <v>1</v>
      </c>
    </row>
    <row r="52" spans="1:19" ht="14.25" customHeight="1">
      <c r="A52" s="6"/>
      <c r="B52" s="6" t="s">
        <v>19</v>
      </c>
      <c r="C52" s="6" t="s">
        <v>883</v>
      </c>
      <c r="D52" s="6" t="s">
        <v>2094</v>
      </c>
      <c r="E52" s="6" t="s">
        <v>2095</v>
      </c>
      <c r="F52" s="6" t="s">
        <v>1495</v>
      </c>
      <c r="G52" s="6">
        <v>7</v>
      </c>
      <c r="H52" s="6">
        <v>681</v>
      </c>
      <c r="I52" s="6">
        <v>25</v>
      </c>
      <c r="J52" s="6">
        <f t="shared" si="0"/>
        <v>656</v>
      </c>
      <c r="K52" s="6" t="s">
        <v>2071</v>
      </c>
      <c r="L52" s="6" t="s">
        <v>26</v>
      </c>
      <c r="M52" s="6" t="s">
        <v>1965</v>
      </c>
      <c r="N52" s="6"/>
      <c r="O52" s="6"/>
      <c r="P52" s="6"/>
      <c r="Q52" s="6"/>
      <c r="R52">
        <v>1</v>
      </c>
    </row>
    <row r="53" spans="1:19" ht="14.25" customHeight="1">
      <c r="A53" s="6"/>
      <c r="B53" s="6" t="s">
        <v>19</v>
      </c>
      <c r="C53" s="6" t="s">
        <v>2096</v>
      </c>
      <c r="D53" s="6" t="s">
        <v>2097</v>
      </c>
      <c r="E53" s="6" t="s">
        <v>2098</v>
      </c>
      <c r="F53" s="6" t="s">
        <v>1756</v>
      </c>
      <c r="G53" s="6">
        <v>7</v>
      </c>
      <c r="H53" s="6">
        <v>657</v>
      </c>
      <c r="I53" s="6">
        <v>25</v>
      </c>
      <c r="J53" s="6">
        <f t="shared" si="0"/>
        <v>632</v>
      </c>
      <c r="K53" s="6" t="s">
        <v>2071</v>
      </c>
      <c r="L53" s="6" t="s">
        <v>26</v>
      </c>
      <c r="M53" s="6" t="s">
        <v>1965</v>
      </c>
      <c r="N53" s="6"/>
      <c r="O53" s="6"/>
      <c r="P53" s="6"/>
      <c r="Q53" s="6"/>
      <c r="R53">
        <v>1</v>
      </c>
    </row>
    <row r="54" spans="1:19" ht="14.25" customHeight="1">
      <c r="A54" s="6"/>
      <c r="B54" s="6" t="s">
        <v>19</v>
      </c>
      <c r="C54" s="6" t="s">
        <v>1966</v>
      </c>
      <c r="D54" s="6" t="s">
        <v>2099</v>
      </c>
      <c r="E54" s="6" t="s">
        <v>1968</v>
      </c>
      <c r="F54" s="6" t="s">
        <v>1969</v>
      </c>
      <c r="G54" s="6">
        <v>7</v>
      </c>
      <c r="H54" s="6">
        <v>0</v>
      </c>
      <c r="I54" s="6">
        <v>25</v>
      </c>
      <c r="J54" s="6">
        <f t="shared" si="0"/>
        <v>-25</v>
      </c>
      <c r="K54" s="6" t="s">
        <v>2071</v>
      </c>
      <c r="L54" s="6" t="s">
        <v>26</v>
      </c>
      <c r="M54" s="6" t="s">
        <v>1965</v>
      </c>
      <c r="N54" s="6"/>
      <c r="O54" s="6"/>
      <c r="P54" s="6"/>
      <c r="Q54" s="6"/>
      <c r="R54">
        <v>1</v>
      </c>
      <c r="S54">
        <v>25</v>
      </c>
    </row>
    <row r="55" spans="1:19" ht="14.25" customHeight="1">
      <c r="A55" s="6"/>
      <c r="B55" s="6" t="s">
        <v>19</v>
      </c>
      <c r="C55" s="6" t="s">
        <v>2100</v>
      </c>
      <c r="D55" s="6" t="s">
        <v>2101</v>
      </c>
      <c r="E55" s="6" t="s">
        <v>2102</v>
      </c>
      <c r="F55" s="6" t="s">
        <v>537</v>
      </c>
      <c r="G55" s="6">
        <v>7</v>
      </c>
      <c r="H55" s="6">
        <v>657</v>
      </c>
      <c r="I55" s="6">
        <v>25</v>
      </c>
      <c r="J55" s="6">
        <f t="shared" si="0"/>
        <v>632</v>
      </c>
      <c r="K55" s="6" t="s">
        <v>2071</v>
      </c>
      <c r="L55" s="6" t="s">
        <v>26</v>
      </c>
      <c r="M55" s="6" t="s">
        <v>1965</v>
      </c>
      <c r="N55" s="6"/>
      <c r="O55" s="6"/>
      <c r="P55" s="6"/>
      <c r="Q55" s="6"/>
      <c r="R55">
        <v>1</v>
      </c>
    </row>
    <row r="56" spans="1:19" ht="14.25" customHeight="1">
      <c r="A56" s="6"/>
      <c r="B56" s="6" t="s">
        <v>19</v>
      </c>
      <c r="C56" s="6" t="s">
        <v>1090</v>
      </c>
      <c r="D56" s="6" t="s">
        <v>2103</v>
      </c>
      <c r="E56" s="6">
        <v>340</v>
      </c>
      <c r="F56" s="6" t="s">
        <v>1092</v>
      </c>
      <c r="G56" s="6">
        <v>8</v>
      </c>
      <c r="H56" s="6">
        <v>473</v>
      </c>
      <c r="I56" s="6">
        <v>25</v>
      </c>
      <c r="J56" s="6">
        <f t="shared" si="0"/>
        <v>448</v>
      </c>
      <c r="K56" s="6" t="s">
        <v>2071</v>
      </c>
      <c r="L56" s="6" t="s">
        <v>26</v>
      </c>
      <c r="M56" s="6" t="s">
        <v>1965</v>
      </c>
      <c r="N56" s="6"/>
      <c r="O56" s="6"/>
      <c r="P56" s="6"/>
      <c r="Q56" s="6"/>
      <c r="R56">
        <v>1</v>
      </c>
    </row>
    <row r="57" spans="1:19" ht="14.25" customHeight="1">
      <c r="A57" s="6"/>
      <c r="B57" s="6" t="s">
        <v>19</v>
      </c>
      <c r="C57" s="6" t="s">
        <v>2104</v>
      </c>
      <c r="D57" s="6" t="s">
        <v>2105</v>
      </c>
      <c r="E57" s="6">
        <v>44</v>
      </c>
      <c r="F57" s="6" t="s">
        <v>156</v>
      </c>
      <c r="G57" s="6">
        <v>8</v>
      </c>
      <c r="H57" s="6">
        <v>662</v>
      </c>
      <c r="I57" s="6">
        <v>30</v>
      </c>
      <c r="J57" s="6">
        <f t="shared" si="0"/>
        <v>632</v>
      </c>
      <c r="K57" s="6" t="s">
        <v>2071</v>
      </c>
      <c r="L57" s="6" t="s">
        <v>26</v>
      </c>
      <c r="M57" s="6" t="s">
        <v>1965</v>
      </c>
      <c r="N57" s="6"/>
      <c r="O57" s="6"/>
      <c r="P57" s="6"/>
      <c r="Q57" s="6"/>
      <c r="R57">
        <v>1</v>
      </c>
    </row>
    <row r="58" spans="1:19" ht="14.25" customHeight="1">
      <c r="A58" s="6"/>
      <c r="B58" s="6" t="s">
        <v>19</v>
      </c>
      <c r="C58" s="6" t="s">
        <v>2106</v>
      </c>
      <c r="D58" s="6" t="s">
        <v>2107</v>
      </c>
      <c r="E58" s="6">
        <v>3122</v>
      </c>
      <c r="F58" s="6" t="s">
        <v>331</v>
      </c>
      <c r="G58" s="6">
        <v>8</v>
      </c>
      <c r="H58" s="6">
        <v>0</v>
      </c>
      <c r="I58" s="6">
        <v>30</v>
      </c>
      <c r="J58" s="6">
        <f t="shared" si="0"/>
        <v>-30</v>
      </c>
      <c r="K58" s="6" t="s">
        <v>2071</v>
      </c>
      <c r="L58" s="6" t="s">
        <v>26</v>
      </c>
      <c r="M58" s="6" t="s">
        <v>1965</v>
      </c>
      <c r="N58" s="6"/>
      <c r="O58" s="6"/>
      <c r="P58" s="6"/>
      <c r="Q58" s="6"/>
      <c r="R58">
        <v>1</v>
      </c>
      <c r="S58">
        <v>30</v>
      </c>
    </row>
    <row r="59" spans="1:19" ht="14.25" customHeight="1">
      <c r="A59" s="6"/>
      <c r="B59" s="6" t="s">
        <v>19</v>
      </c>
      <c r="C59" s="6" t="s">
        <v>2108</v>
      </c>
      <c r="D59" s="6" t="s">
        <v>2109</v>
      </c>
      <c r="E59" s="6">
        <v>1002</v>
      </c>
      <c r="F59" s="6" t="s">
        <v>552</v>
      </c>
      <c r="G59" s="6">
        <v>8</v>
      </c>
      <c r="H59" s="6">
        <v>662</v>
      </c>
      <c r="I59" s="6">
        <v>30</v>
      </c>
      <c r="J59" s="6">
        <f t="shared" si="0"/>
        <v>632</v>
      </c>
      <c r="K59" s="6" t="s">
        <v>2071</v>
      </c>
      <c r="L59" s="6" t="s">
        <v>26</v>
      </c>
      <c r="M59" s="6" t="s">
        <v>1965</v>
      </c>
      <c r="N59" s="6"/>
      <c r="O59" s="6"/>
      <c r="P59" s="6"/>
      <c r="Q59" s="6"/>
      <c r="R59">
        <v>1</v>
      </c>
    </row>
    <row r="60" spans="1:19" ht="14.25" customHeight="1">
      <c r="A60" s="6"/>
      <c r="B60" s="6" t="s">
        <v>19</v>
      </c>
      <c r="C60" s="6" t="s">
        <v>2110</v>
      </c>
      <c r="D60" s="6" t="s">
        <v>2111</v>
      </c>
      <c r="E60" s="6" t="s">
        <v>2112</v>
      </c>
      <c r="F60" s="6" t="s">
        <v>2113</v>
      </c>
      <c r="G60" s="6">
        <v>8</v>
      </c>
      <c r="H60" s="6">
        <v>713</v>
      </c>
      <c r="I60" s="6">
        <v>25</v>
      </c>
      <c r="J60" s="6">
        <f t="shared" si="0"/>
        <v>688</v>
      </c>
      <c r="K60" s="6" t="s">
        <v>2071</v>
      </c>
      <c r="L60" s="6" t="s">
        <v>26</v>
      </c>
      <c r="M60" s="6" t="s">
        <v>1965</v>
      </c>
      <c r="N60" s="6"/>
      <c r="O60" s="6"/>
      <c r="P60" s="6"/>
      <c r="Q60" s="6"/>
      <c r="R60">
        <v>1</v>
      </c>
    </row>
    <row r="61" spans="1:19" ht="14.25" customHeight="1">
      <c r="A61" s="6"/>
      <c r="B61" s="6" t="s">
        <v>19</v>
      </c>
      <c r="C61" s="6" t="s">
        <v>2114</v>
      </c>
      <c r="D61" s="6" t="s">
        <v>2115</v>
      </c>
      <c r="E61" s="6"/>
      <c r="F61" s="6" t="s">
        <v>2116</v>
      </c>
      <c r="G61" s="6">
        <v>12</v>
      </c>
      <c r="H61" s="6">
        <v>734</v>
      </c>
      <c r="I61" s="6">
        <v>30</v>
      </c>
      <c r="J61" s="6">
        <f t="shared" si="0"/>
        <v>704</v>
      </c>
      <c r="K61" s="6" t="s">
        <v>2071</v>
      </c>
      <c r="L61" s="6" t="s">
        <v>26</v>
      </c>
      <c r="M61" s="6" t="s">
        <v>1965</v>
      </c>
      <c r="N61" s="6"/>
      <c r="O61" s="6"/>
      <c r="P61" s="6"/>
      <c r="Q61" s="6"/>
      <c r="R61">
        <v>1</v>
      </c>
    </row>
    <row r="62" spans="1:19" ht="14.25" customHeight="1">
      <c r="A62" s="6"/>
      <c r="B62" s="6" t="s">
        <v>19</v>
      </c>
      <c r="C62" s="6" t="s">
        <v>2117</v>
      </c>
      <c r="D62" s="6" t="s">
        <v>2118</v>
      </c>
      <c r="E62" s="6" t="s">
        <v>2119</v>
      </c>
      <c r="F62" s="6" t="s">
        <v>2120</v>
      </c>
      <c r="G62" s="6">
        <v>12</v>
      </c>
      <c r="H62" s="6">
        <v>1054</v>
      </c>
      <c r="I62" s="6">
        <v>30</v>
      </c>
      <c r="J62" s="6">
        <f t="shared" si="0"/>
        <v>1024</v>
      </c>
      <c r="K62" s="6" t="s">
        <v>2071</v>
      </c>
      <c r="L62" s="6" t="s">
        <v>26</v>
      </c>
      <c r="M62" s="6" t="s">
        <v>1965</v>
      </c>
      <c r="N62" s="6"/>
      <c r="O62" s="6"/>
      <c r="P62" s="6"/>
      <c r="Q62" s="6"/>
      <c r="R62">
        <v>1</v>
      </c>
    </row>
    <row r="63" spans="1:19" ht="14.25" customHeight="1">
      <c r="A63" s="6"/>
      <c r="B63" s="6" t="s">
        <v>19</v>
      </c>
      <c r="C63" s="6" t="s">
        <v>2121</v>
      </c>
      <c r="D63" s="6" t="s">
        <v>2122</v>
      </c>
      <c r="E63" s="6">
        <v>10</v>
      </c>
      <c r="F63" s="6" t="s">
        <v>2123</v>
      </c>
      <c r="G63" s="6">
        <v>12</v>
      </c>
      <c r="H63" s="6">
        <v>820</v>
      </c>
      <c r="I63" s="6">
        <v>30</v>
      </c>
      <c r="J63" s="6">
        <f t="shared" si="0"/>
        <v>790</v>
      </c>
      <c r="K63" s="6" t="s">
        <v>2071</v>
      </c>
      <c r="L63" s="6" t="s">
        <v>26</v>
      </c>
      <c r="M63" s="6" t="s">
        <v>1965</v>
      </c>
      <c r="N63" s="6"/>
      <c r="O63" s="6"/>
      <c r="P63" s="6"/>
      <c r="Q63" s="6"/>
      <c r="R63">
        <v>1</v>
      </c>
    </row>
    <row r="64" spans="1:19" ht="14.25" customHeight="1">
      <c r="A64" s="6"/>
      <c r="B64" s="6" t="s">
        <v>19</v>
      </c>
      <c r="C64" s="6" t="s">
        <v>2124</v>
      </c>
      <c r="D64" s="6" t="s">
        <v>2125</v>
      </c>
      <c r="E64" s="6">
        <v>70</v>
      </c>
      <c r="F64" s="6" t="s">
        <v>2126</v>
      </c>
      <c r="G64" s="6" t="s">
        <v>385</v>
      </c>
      <c r="H64" s="6">
        <v>414</v>
      </c>
      <c r="I64" s="6">
        <v>30</v>
      </c>
      <c r="J64" s="6">
        <f t="shared" si="0"/>
        <v>384</v>
      </c>
      <c r="K64" s="6" t="s">
        <v>2071</v>
      </c>
      <c r="L64" s="6" t="s">
        <v>26</v>
      </c>
      <c r="M64" s="6" t="s">
        <v>1965</v>
      </c>
      <c r="N64" s="6"/>
      <c r="O64" s="6"/>
      <c r="P64" s="6"/>
      <c r="Q64" s="6"/>
      <c r="R64">
        <v>1</v>
      </c>
    </row>
    <row r="65" spans="1:19" ht="14.25" customHeight="1">
      <c r="A65" s="6"/>
      <c r="B65" s="6" t="s">
        <v>19</v>
      </c>
      <c r="C65" s="6" t="s">
        <v>2127</v>
      </c>
      <c r="D65" s="6" t="s">
        <v>2128</v>
      </c>
      <c r="E65" s="6">
        <v>450</v>
      </c>
      <c r="F65" s="6" t="s">
        <v>738</v>
      </c>
      <c r="G65" s="6" t="s">
        <v>385</v>
      </c>
      <c r="H65" s="6">
        <v>742</v>
      </c>
      <c r="I65" s="6">
        <v>30</v>
      </c>
      <c r="J65" s="6">
        <f t="shared" si="0"/>
        <v>712</v>
      </c>
      <c r="K65" s="6" t="s">
        <v>2071</v>
      </c>
      <c r="L65" s="6" t="s">
        <v>26</v>
      </c>
      <c r="M65" s="6" t="s">
        <v>1965</v>
      </c>
      <c r="N65" s="6"/>
      <c r="O65" s="6"/>
      <c r="P65" s="6"/>
      <c r="Q65" s="6"/>
      <c r="R65">
        <v>1</v>
      </c>
    </row>
    <row r="66" spans="1:19" ht="14.25" customHeight="1">
      <c r="A66" s="6"/>
      <c r="B66" s="6" t="s">
        <v>19</v>
      </c>
      <c r="C66" s="6" t="s">
        <v>239</v>
      </c>
      <c r="D66" s="6" t="s">
        <v>2129</v>
      </c>
      <c r="E66" s="6" t="s">
        <v>2130</v>
      </c>
      <c r="F66" s="6" t="s">
        <v>738</v>
      </c>
      <c r="G66" s="6" t="s">
        <v>385</v>
      </c>
      <c r="H66" s="6">
        <v>1222</v>
      </c>
      <c r="I66" s="6">
        <v>30</v>
      </c>
      <c r="J66" s="6">
        <f t="shared" si="0"/>
        <v>1192</v>
      </c>
      <c r="K66" s="6" t="s">
        <v>2071</v>
      </c>
      <c r="L66" s="6" t="s">
        <v>26</v>
      </c>
      <c r="M66" s="6" t="s">
        <v>1965</v>
      </c>
      <c r="N66" s="6"/>
      <c r="O66" s="6"/>
      <c r="P66" s="6"/>
      <c r="Q66" s="6"/>
      <c r="R66">
        <v>1</v>
      </c>
    </row>
    <row r="67" spans="1:19" ht="14.25" customHeight="1">
      <c r="A67" s="6"/>
      <c r="B67" s="6" t="s">
        <v>19</v>
      </c>
      <c r="C67" s="6" t="s">
        <v>739</v>
      </c>
      <c r="D67" s="6" t="s">
        <v>2131</v>
      </c>
      <c r="E67" s="6">
        <v>17</v>
      </c>
      <c r="F67" s="6" t="s">
        <v>571</v>
      </c>
      <c r="G67" s="6" t="s">
        <v>385</v>
      </c>
      <c r="H67" s="6">
        <v>478</v>
      </c>
      <c r="I67" s="6">
        <v>30</v>
      </c>
      <c r="J67" s="6">
        <f t="shared" si="0"/>
        <v>448</v>
      </c>
      <c r="K67" s="6" t="s">
        <v>2071</v>
      </c>
      <c r="L67" s="6" t="s">
        <v>26</v>
      </c>
      <c r="M67" s="6" t="s">
        <v>1965</v>
      </c>
      <c r="N67" s="6"/>
      <c r="O67" s="6"/>
      <c r="P67" s="6"/>
      <c r="Q67" s="6"/>
      <c r="R67">
        <v>1</v>
      </c>
    </row>
    <row r="68" spans="1:19" ht="14.25" customHeight="1">
      <c r="A68" s="6"/>
      <c r="B68" s="6" t="s">
        <v>19</v>
      </c>
      <c r="C68" s="6" t="s">
        <v>2132</v>
      </c>
      <c r="D68" s="6" t="s">
        <v>2133</v>
      </c>
      <c r="E68" s="6">
        <v>153</v>
      </c>
      <c r="F68" s="6" t="s">
        <v>156</v>
      </c>
      <c r="G68" s="6" t="s">
        <v>385</v>
      </c>
      <c r="H68" s="6">
        <v>662</v>
      </c>
      <c r="I68" s="6">
        <v>30</v>
      </c>
      <c r="J68" s="6">
        <f t="shared" si="0"/>
        <v>632</v>
      </c>
      <c r="K68" s="6" t="s">
        <v>2071</v>
      </c>
      <c r="L68" s="6" t="s">
        <v>26</v>
      </c>
      <c r="M68" s="6" t="s">
        <v>1965</v>
      </c>
      <c r="N68" s="6"/>
      <c r="O68" s="6"/>
      <c r="P68" s="6"/>
      <c r="Q68" s="6"/>
      <c r="R68">
        <v>1</v>
      </c>
    </row>
    <row r="69" spans="1:19" ht="14.25" customHeight="1">
      <c r="A69" s="6"/>
      <c r="B69" s="6" t="s">
        <v>19</v>
      </c>
      <c r="C69" s="6" t="s">
        <v>2134</v>
      </c>
      <c r="D69" s="6" t="s">
        <v>2135</v>
      </c>
      <c r="E69" s="6">
        <v>78</v>
      </c>
      <c r="F69" s="6" t="s">
        <v>1157</v>
      </c>
      <c r="G69" s="6" t="s">
        <v>385</v>
      </c>
      <c r="H69" s="6">
        <v>1094</v>
      </c>
      <c r="I69" s="6">
        <v>30</v>
      </c>
      <c r="J69" s="6">
        <f t="shared" si="0"/>
        <v>1064</v>
      </c>
      <c r="K69" s="6" t="s">
        <v>2071</v>
      </c>
      <c r="L69" s="6" t="s">
        <v>26</v>
      </c>
      <c r="M69" s="6" t="s">
        <v>1965</v>
      </c>
      <c r="N69" s="6"/>
      <c r="O69" s="6"/>
      <c r="P69" s="6"/>
      <c r="Q69" s="6"/>
      <c r="R69">
        <v>1</v>
      </c>
    </row>
    <row r="70" spans="1:19" ht="14.25" customHeight="1">
      <c r="A70" s="6"/>
      <c r="B70" s="6" t="s">
        <v>19</v>
      </c>
      <c r="C70" s="6" t="s">
        <v>1060</v>
      </c>
      <c r="D70" s="6" t="s">
        <v>2136</v>
      </c>
      <c r="E70" s="6" t="s">
        <v>2137</v>
      </c>
      <c r="F70" s="6" t="s">
        <v>394</v>
      </c>
      <c r="G70" s="6" t="s">
        <v>385</v>
      </c>
      <c r="H70" s="6">
        <v>422</v>
      </c>
      <c r="I70" s="6">
        <v>30</v>
      </c>
      <c r="J70" s="6">
        <f t="shared" si="0"/>
        <v>392</v>
      </c>
      <c r="K70" s="6" t="s">
        <v>2071</v>
      </c>
      <c r="L70" s="6" t="s">
        <v>26</v>
      </c>
      <c r="M70" s="6" t="s">
        <v>1965</v>
      </c>
      <c r="N70" s="6"/>
      <c r="O70" s="6"/>
      <c r="P70" s="6"/>
      <c r="Q70" s="6"/>
      <c r="R70">
        <v>1</v>
      </c>
    </row>
    <row r="71" spans="1:19" ht="14.25" customHeight="1">
      <c r="A71" s="6"/>
      <c r="B71" s="6" t="s">
        <v>19</v>
      </c>
      <c r="C71" s="6" t="s">
        <v>2138</v>
      </c>
      <c r="D71" s="6" t="s">
        <v>2139</v>
      </c>
      <c r="E71" s="6" t="s">
        <v>404</v>
      </c>
      <c r="F71" s="6" t="s">
        <v>405</v>
      </c>
      <c r="G71" s="6" t="s">
        <v>385</v>
      </c>
      <c r="H71" s="6">
        <v>1894</v>
      </c>
      <c r="I71" s="6">
        <v>30</v>
      </c>
      <c r="J71" s="6">
        <f t="shared" si="0"/>
        <v>1864</v>
      </c>
      <c r="K71" s="6" t="s">
        <v>2071</v>
      </c>
      <c r="L71" s="6" t="s">
        <v>26</v>
      </c>
      <c r="M71" s="6" t="s">
        <v>1965</v>
      </c>
      <c r="N71" s="6"/>
      <c r="O71" s="6"/>
      <c r="P71" s="6"/>
      <c r="Q71" s="6"/>
      <c r="R71">
        <v>1</v>
      </c>
    </row>
    <row r="72" spans="1:19" ht="14.25" customHeight="1">
      <c r="A72" s="6"/>
      <c r="B72" s="6" t="s">
        <v>19</v>
      </c>
      <c r="C72" s="6" t="s">
        <v>2140</v>
      </c>
      <c r="D72" s="6" t="s">
        <v>2141</v>
      </c>
      <c r="E72" s="6">
        <v>370</v>
      </c>
      <c r="F72" s="6" t="s">
        <v>360</v>
      </c>
      <c r="G72" s="6" t="s">
        <v>385</v>
      </c>
      <c r="H72" s="6">
        <v>1374</v>
      </c>
      <c r="I72" s="6">
        <v>30</v>
      </c>
      <c r="J72" s="6">
        <f t="shared" si="0"/>
        <v>1344</v>
      </c>
      <c r="K72" s="6" t="s">
        <v>2071</v>
      </c>
      <c r="L72" s="6" t="s">
        <v>26</v>
      </c>
      <c r="M72" s="6" t="s">
        <v>1965</v>
      </c>
      <c r="N72" s="6"/>
      <c r="O72" s="6"/>
      <c r="P72" s="6"/>
      <c r="Q72" s="6"/>
      <c r="R72">
        <v>1</v>
      </c>
    </row>
    <row r="73" spans="1:19" ht="14.25" customHeight="1">
      <c r="A73" s="6"/>
      <c r="B73" s="6" t="s">
        <v>19</v>
      </c>
      <c r="C73" s="6" t="s">
        <v>719</v>
      </c>
      <c r="D73" s="6" t="s">
        <v>2142</v>
      </c>
      <c r="E73" s="6">
        <v>1227</v>
      </c>
      <c r="F73" s="6" t="s">
        <v>360</v>
      </c>
      <c r="G73" s="6" t="s">
        <v>385</v>
      </c>
      <c r="H73" s="6">
        <v>662</v>
      </c>
      <c r="I73" s="6">
        <v>30</v>
      </c>
      <c r="J73" s="6">
        <f t="shared" si="0"/>
        <v>632</v>
      </c>
      <c r="K73" s="6" t="s">
        <v>2071</v>
      </c>
      <c r="L73" s="6" t="s">
        <v>26</v>
      </c>
      <c r="M73" s="6" t="s">
        <v>1965</v>
      </c>
      <c r="N73" s="6"/>
      <c r="O73" s="6"/>
      <c r="P73" s="6"/>
      <c r="Q73" s="6"/>
      <c r="R73">
        <v>1</v>
      </c>
    </row>
    <row r="74" spans="1:19" ht="14.25" customHeight="1">
      <c r="A74" s="6"/>
      <c r="B74" s="6" t="s">
        <v>19</v>
      </c>
      <c r="C74" s="6" t="s">
        <v>2143</v>
      </c>
      <c r="D74" s="6" t="s">
        <v>2144</v>
      </c>
      <c r="E74" s="6" t="s">
        <v>2145</v>
      </c>
      <c r="F74" s="6" t="s">
        <v>950</v>
      </c>
      <c r="G74" s="6" t="s">
        <v>385</v>
      </c>
      <c r="H74" s="6">
        <v>926</v>
      </c>
      <c r="I74" s="6">
        <v>30</v>
      </c>
      <c r="J74" s="6">
        <f t="shared" si="0"/>
        <v>896</v>
      </c>
      <c r="K74" s="6" t="s">
        <v>2071</v>
      </c>
      <c r="L74" s="6" t="s">
        <v>26</v>
      </c>
      <c r="M74" s="6" t="s">
        <v>1965</v>
      </c>
      <c r="N74" s="6"/>
      <c r="O74" s="6"/>
      <c r="P74" s="6"/>
      <c r="Q74" s="6"/>
      <c r="R74">
        <v>1</v>
      </c>
    </row>
    <row r="75" spans="1:19" ht="14.25" customHeight="1">
      <c r="A75" s="6"/>
      <c r="B75" s="6" t="s">
        <v>19</v>
      </c>
      <c r="C75" s="6" t="s">
        <v>2146</v>
      </c>
      <c r="D75" s="6" t="s">
        <v>2147</v>
      </c>
      <c r="E75" s="6" t="s">
        <v>2148</v>
      </c>
      <c r="F75" s="6" t="s">
        <v>2149</v>
      </c>
      <c r="G75" s="6" t="s">
        <v>422</v>
      </c>
      <c r="H75" s="6">
        <v>35</v>
      </c>
      <c r="I75" s="6">
        <v>35</v>
      </c>
      <c r="J75" s="6">
        <f t="shared" si="0"/>
        <v>0</v>
      </c>
      <c r="K75" s="6" t="s">
        <v>2071</v>
      </c>
      <c r="L75" s="6" t="s">
        <v>26</v>
      </c>
      <c r="M75" s="6" t="s">
        <v>1965</v>
      </c>
      <c r="N75" s="6"/>
      <c r="O75" s="6"/>
      <c r="P75" s="6"/>
      <c r="Q75" s="6"/>
      <c r="R75">
        <v>1</v>
      </c>
    </row>
    <row r="76" spans="1:19" ht="14.25" customHeight="1">
      <c r="A76" s="6"/>
      <c r="B76" s="6" t="s">
        <v>19</v>
      </c>
      <c r="C76" s="6" t="s">
        <v>2150</v>
      </c>
      <c r="D76" s="6" t="s">
        <v>2151</v>
      </c>
      <c r="E76" s="6" t="s">
        <v>2152</v>
      </c>
      <c r="F76" s="6" t="s">
        <v>622</v>
      </c>
      <c r="G76" s="6" t="s">
        <v>128</v>
      </c>
      <c r="H76" s="6">
        <v>897</v>
      </c>
      <c r="I76" s="6">
        <v>25</v>
      </c>
      <c r="J76" s="6">
        <f t="shared" si="0"/>
        <v>872</v>
      </c>
      <c r="K76" s="6" t="s">
        <v>2071</v>
      </c>
      <c r="L76" s="6" t="s">
        <v>26</v>
      </c>
      <c r="M76" s="6" t="s">
        <v>1965</v>
      </c>
      <c r="N76" s="6"/>
      <c r="O76" s="6"/>
      <c r="P76" s="6"/>
      <c r="Q76" s="6"/>
      <c r="R76">
        <v>1</v>
      </c>
    </row>
    <row r="77" spans="1:19" ht="14.25" customHeight="1">
      <c r="A77" s="6"/>
      <c r="B77" s="6" t="s">
        <v>19</v>
      </c>
      <c r="C77" s="6" t="s">
        <v>2153</v>
      </c>
      <c r="D77" s="6" t="s">
        <v>2154</v>
      </c>
      <c r="E77" s="6" t="s">
        <v>2155</v>
      </c>
      <c r="F77" s="6" t="s">
        <v>344</v>
      </c>
      <c r="G77" s="6" t="s">
        <v>128</v>
      </c>
      <c r="H77" s="6">
        <v>1049</v>
      </c>
      <c r="I77" s="6">
        <v>25</v>
      </c>
      <c r="J77" s="6">
        <f t="shared" si="0"/>
        <v>1024</v>
      </c>
      <c r="K77" s="6" t="s">
        <v>2071</v>
      </c>
      <c r="L77" s="6" t="s">
        <v>26</v>
      </c>
      <c r="M77" s="6" t="s">
        <v>1965</v>
      </c>
      <c r="N77" s="6"/>
      <c r="O77" s="6"/>
      <c r="P77" s="6"/>
      <c r="Q77" s="6"/>
      <c r="R77">
        <v>1</v>
      </c>
    </row>
    <row r="78" spans="1:19" ht="14.25" customHeight="1">
      <c r="A78" s="6"/>
      <c r="B78" s="6" t="s">
        <v>19</v>
      </c>
      <c r="C78" s="6" t="s">
        <v>2156</v>
      </c>
      <c r="D78" s="6" t="s">
        <v>2157</v>
      </c>
      <c r="E78" s="6" t="s">
        <v>2158</v>
      </c>
      <c r="F78" s="6" t="s">
        <v>961</v>
      </c>
      <c r="G78" s="6" t="s">
        <v>128</v>
      </c>
      <c r="H78" s="6">
        <v>641</v>
      </c>
      <c r="I78" s="6">
        <v>25</v>
      </c>
      <c r="J78" s="6">
        <f t="shared" si="0"/>
        <v>616</v>
      </c>
      <c r="K78" s="6" t="s">
        <v>2071</v>
      </c>
      <c r="L78" s="6" t="s">
        <v>26</v>
      </c>
      <c r="M78" s="6" t="s">
        <v>1965</v>
      </c>
      <c r="N78" s="6"/>
      <c r="O78" s="6"/>
      <c r="P78" s="6"/>
      <c r="Q78" s="6"/>
      <c r="R78">
        <v>1</v>
      </c>
    </row>
    <row r="79" spans="1:19" ht="14.25" customHeight="1">
      <c r="A79" s="6"/>
      <c r="B79" s="6" t="s">
        <v>19</v>
      </c>
      <c r="C79" s="6" t="s">
        <v>41</v>
      </c>
      <c r="D79" s="6" t="s">
        <v>2159</v>
      </c>
      <c r="E79" s="6" t="s">
        <v>2160</v>
      </c>
      <c r="F79" s="6" t="s">
        <v>957</v>
      </c>
      <c r="G79" s="6" t="s">
        <v>430</v>
      </c>
      <c r="H79" s="6">
        <v>0</v>
      </c>
      <c r="I79" s="6">
        <v>25</v>
      </c>
      <c r="J79" s="6">
        <f t="shared" si="0"/>
        <v>-25</v>
      </c>
      <c r="K79" s="6" t="s">
        <v>2071</v>
      </c>
      <c r="L79" s="6" t="s">
        <v>26</v>
      </c>
      <c r="M79" s="6" t="s">
        <v>1965</v>
      </c>
      <c r="N79" s="6"/>
      <c r="O79" s="6"/>
      <c r="P79" s="6"/>
      <c r="Q79" s="6"/>
      <c r="R79">
        <v>1</v>
      </c>
      <c r="S79">
        <v>25</v>
      </c>
    </row>
    <row r="80" spans="1:19" ht="14.25" customHeight="1">
      <c r="A80" s="6"/>
      <c r="B80" s="6" t="s">
        <v>19</v>
      </c>
      <c r="C80" s="6" t="s">
        <v>2161</v>
      </c>
      <c r="D80" s="6" t="s">
        <v>2162</v>
      </c>
      <c r="E80" s="6">
        <v>2</v>
      </c>
      <c r="F80" s="6" t="s">
        <v>2163</v>
      </c>
      <c r="G80" s="6" t="s">
        <v>430</v>
      </c>
      <c r="H80" s="6">
        <v>737</v>
      </c>
      <c r="I80" s="6">
        <v>25</v>
      </c>
      <c r="J80" s="6">
        <f t="shared" si="0"/>
        <v>712</v>
      </c>
      <c r="K80" s="6" t="s">
        <v>2071</v>
      </c>
      <c r="L80" s="6" t="s">
        <v>26</v>
      </c>
      <c r="M80" s="6" t="s">
        <v>1965</v>
      </c>
      <c r="N80" s="6"/>
      <c r="O80" s="6"/>
      <c r="P80" s="6"/>
      <c r="Q80" s="6"/>
      <c r="R80">
        <v>1</v>
      </c>
    </row>
    <row r="81" spans="1:19" ht="14.25" customHeight="1">
      <c r="A81" s="6"/>
      <c r="B81" s="6" t="s">
        <v>19</v>
      </c>
      <c r="C81" s="6" t="s">
        <v>2164</v>
      </c>
      <c r="D81" s="6" t="s">
        <v>2165</v>
      </c>
      <c r="E81" s="6">
        <v>106</v>
      </c>
      <c r="F81" s="6" t="s">
        <v>2166</v>
      </c>
      <c r="G81" s="6" t="s">
        <v>430</v>
      </c>
      <c r="H81" s="6">
        <v>657</v>
      </c>
      <c r="I81" s="6">
        <v>25</v>
      </c>
      <c r="J81" s="6">
        <f t="shared" si="0"/>
        <v>632</v>
      </c>
      <c r="K81" s="6" t="s">
        <v>2071</v>
      </c>
      <c r="L81" s="6" t="s">
        <v>26</v>
      </c>
      <c r="M81" s="6" t="s">
        <v>1965</v>
      </c>
      <c r="N81" s="6"/>
      <c r="O81" s="6"/>
      <c r="P81" s="6"/>
      <c r="Q81" s="6"/>
      <c r="R81">
        <v>1</v>
      </c>
    </row>
    <row r="82" spans="1:19" ht="14.25" customHeight="1">
      <c r="A82" s="6"/>
      <c r="B82" s="6" t="s">
        <v>19</v>
      </c>
      <c r="C82" s="6" t="s">
        <v>839</v>
      </c>
      <c r="D82" s="6" t="s">
        <v>2167</v>
      </c>
      <c r="E82" s="6">
        <v>186</v>
      </c>
      <c r="F82" s="6" t="s">
        <v>2168</v>
      </c>
      <c r="G82" s="6" t="s">
        <v>430</v>
      </c>
      <c r="H82" s="6">
        <v>473</v>
      </c>
      <c r="I82" s="6">
        <v>25</v>
      </c>
      <c r="J82" s="6">
        <f t="shared" si="0"/>
        <v>448</v>
      </c>
      <c r="K82" s="6" t="s">
        <v>2071</v>
      </c>
      <c r="L82" s="6" t="s">
        <v>26</v>
      </c>
      <c r="M82" s="6" t="s">
        <v>1965</v>
      </c>
      <c r="N82" s="6"/>
      <c r="O82" s="6"/>
      <c r="P82" s="6"/>
      <c r="Q82" s="6"/>
      <c r="R82">
        <v>1</v>
      </c>
    </row>
    <row r="83" spans="1:19" ht="14.25" customHeight="1">
      <c r="A83" s="6"/>
      <c r="B83" s="6" t="s">
        <v>19</v>
      </c>
      <c r="C83" s="6" t="s">
        <v>2169</v>
      </c>
      <c r="D83" s="6" t="s">
        <v>2170</v>
      </c>
      <c r="E83" s="6" t="s">
        <v>2171</v>
      </c>
      <c r="F83" s="6" t="s">
        <v>967</v>
      </c>
      <c r="G83" s="6">
        <v>2</v>
      </c>
      <c r="H83" s="6">
        <v>734</v>
      </c>
      <c r="I83" s="6">
        <v>30</v>
      </c>
      <c r="J83" s="6">
        <f t="shared" si="0"/>
        <v>704</v>
      </c>
      <c r="K83" s="6" t="s">
        <v>26</v>
      </c>
      <c r="L83" s="6" t="s">
        <v>26</v>
      </c>
      <c r="M83" s="6" t="s">
        <v>1965</v>
      </c>
      <c r="N83" s="6"/>
      <c r="O83" s="6"/>
      <c r="P83" s="6"/>
      <c r="Q83" s="6"/>
      <c r="R83">
        <v>1</v>
      </c>
    </row>
    <row r="84" spans="1:19" ht="14.25" customHeight="1">
      <c r="A84" s="6"/>
      <c r="B84" s="6" t="s">
        <v>19</v>
      </c>
      <c r="C84" s="6" t="s">
        <v>2172</v>
      </c>
      <c r="D84" s="6" t="s">
        <v>2173</v>
      </c>
      <c r="E84" s="6">
        <v>3</v>
      </c>
      <c r="F84" s="6" t="s">
        <v>2174</v>
      </c>
      <c r="G84" s="6">
        <v>2</v>
      </c>
      <c r="H84" s="6">
        <v>670</v>
      </c>
      <c r="I84" s="6">
        <v>30</v>
      </c>
      <c r="J84" s="6">
        <f t="shared" si="0"/>
        <v>640</v>
      </c>
      <c r="K84" s="6" t="s">
        <v>26</v>
      </c>
      <c r="L84" s="6" t="s">
        <v>26</v>
      </c>
      <c r="M84" s="6" t="s">
        <v>1965</v>
      </c>
      <c r="N84" s="6"/>
      <c r="O84" s="6"/>
      <c r="P84" s="6"/>
      <c r="Q84" s="6"/>
      <c r="R84">
        <v>1</v>
      </c>
    </row>
    <row r="85" spans="1:19" ht="14.25" customHeight="1">
      <c r="A85" s="6"/>
      <c r="B85" s="6" t="s">
        <v>19</v>
      </c>
      <c r="C85" s="6" t="s">
        <v>301</v>
      </c>
      <c r="D85" s="6" t="s">
        <v>2175</v>
      </c>
      <c r="E85" s="6">
        <v>1</v>
      </c>
      <c r="F85" s="6" t="s">
        <v>996</v>
      </c>
      <c r="G85" s="6">
        <v>2</v>
      </c>
      <c r="H85" s="6">
        <v>646</v>
      </c>
      <c r="I85" s="6">
        <v>30</v>
      </c>
      <c r="J85" s="6">
        <f t="shared" si="0"/>
        <v>616</v>
      </c>
      <c r="K85" s="6" t="s">
        <v>26</v>
      </c>
      <c r="L85" s="6" t="s">
        <v>26</v>
      </c>
      <c r="M85" s="6" t="s">
        <v>1965</v>
      </c>
      <c r="N85" s="6"/>
      <c r="O85" s="6"/>
      <c r="P85" s="6"/>
      <c r="Q85" s="6"/>
      <c r="R85">
        <v>1</v>
      </c>
    </row>
    <row r="86" spans="1:19" ht="14.25" customHeight="1">
      <c r="A86" s="6"/>
      <c r="B86" s="6" t="s">
        <v>19</v>
      </c>
      <c r="C86" s="6" t="s">
        <v>2176</v>
      </c>
      <c r="D86" s="6" t="s">
        <v>2177</v>
      </c>
      <c r="E86" s="6" t="s">
        <v>2178</v>
      </c>
      <c r="F86" s="6" t="s">
        <v>2179</v>
      </c>
      <c r="G86" s="6">
        <v>2</v>
      </c>
      <c r="H86" s="6">
        <v>686</v>
      </c>
      <c r="I86" s="6">
        <v>30</v>
      </c>
      <c r="J86" s="6">
        <f t="shared" si="0"/>
        <v>656</v>
      </c>
      <c r="K86" s="6" t="s">
        <v>26</v>
      </c>
      <c r="L86" s="6" t="s">
        <v>26</v>
      </c>
      <c r="M86" s="6" t="s">
        <v>1965</v>
      </c>
      <c r="N86" s="6"/>
      <c r="O86" s="6"/>
      <c r="P86" s="6"/>
      <c r="Q86" s="6"/>
      <c r="R86">
        <v>1</v>
      </c>
    </row>
    <row r="87" spans="1:19" ht="14.25" customHeight="1">
      <c r="A87" s="6"/>
      <c r="B87" s="6" t="s">
        <v>19</v>
      </c>
      <c r="C87" s="6" t="s">
        <v>1135</v>
      </c>
      <c r="D87" s="6" t="s">
        <v>2180</v>
      </c>
      <c r="E87" s="6" t="s">
        <v>2181</v>
      </c>
      <c r="F87" s="6" t="s">
        <v>1862</v>
      </c>
      <c r="G87" s="6">
        <v>2</v>
      </c>
      <c r="H87" s="6">
        <v>734</v>
      </c>
      <c r="I87" s="6">
        <v>30</v>
      </c>
      <c r="J87" s="6">
        <f t="shared" si="0"/>
        <v>704</v>
      </c>
      <c r="K87" s="6" t="s">
        <v>26</v>
      </c>
      <c r="L87" s="6" t="s">
        <v>26</v>
      </c>
      <c r="M87" s="6" t="s">
        <v>1965</v>
      </c>
      <c r="N87" s="6"/>
      <c r="O87" s="6"/>
      <c r="P87" s="6"/>
      <c r="Q87" s="6"/>
      <c r="R87">
        <v>1</v>
      </c>
    </row>
    <row r="88" spans="1:19" ht="14.25" customHeight="1">
      <c r="A88" s="6"/>
      <c r="B88" s="6" t="s">
        <v>19</v>
      </c>
      <c r="C88" s="6" t="s">
        <v>2182</v>
      </c>
      <c r="D88" s="6" t="s">
        <v>2183</v>
      </c>
      <c r="E88" s="6" t="s">
        <v>2184</v>
      </c>
      <c r="F88" s="6" t="s">
        <v>2185</v>
      </c>
      <c r="G88" s="6">
        <v>2</v>
      </c>
      <c r="H88" s="6">
        <v>1198</v>
      </c>
      <c r="I88" s="6">
        <v>30</v>
      </c>
      <c r="J88" s="6">
        <f t="shared" si="0"/>
        <v>1168</v>
      </c>
      <c r="K88" s="6" t="s">
        <v>26</v>
      </c>
      <c r="L88" s="6" t="s">
        <v>26</v>
      </c>
      <c r="M88" s="6" t="s">
        <v>1965</v>
      </c>
      <c r="N88" s="6"/>
      <c r="O88" s="6"/>
      <c r="P88" s="6"/>
      <c r="Q88" s="6"/>
      <c r="R88">
        <v>1</v>
      </c>
    </row>
    <row r="89" spans="1:19" ht="14.25" customHeight="1">
      <c r="A89" s="6"/>
      <c r="B89" s="6" t="s">
        <v>19</v>
      </c>
      <c r="C89" s="6" t="s">
        <v>2186</v>
      </c>
      <c r="D89" s="6" t="s">
        <v>2187</v>
      </c>
      <c r="E89" s="6">
        <v>43</v>
      </c>
      <c r="F89" s="6" t="s">
        <v>2188</v>
      </c>
      <c r="G89" s="6">
        <v>2</v>
      </c>
      <c r="H89" s="6">
        <v>854</v>
      </c>
      <c r="I89" s="6">
        <v>30</v>
      </c>
      <c r="J89" s="6">
        <f t="shared" si="0"/>
        <v>824</v>
      </c>
      <c r="K89" s="6" t="s">
        <v>26</v>
      </c>
      <c r="L89" s="6" t="s">
        <v>26</v>
      </c>
      <c r="M89" s="6" t="s">
        <v>1965</v>
      </c>
      <c r="N89" s="6"/>
      <c r="O89" s="6"/>
      <c r="P89" s="6"/>
      <c r="Q89" s="6"/>
      <c r="R89">
        <v>1</v>
      </c>
    </row>
    <row r="90" spans="1:19" ht="14.25" customHeight="1">
      <c r="A90" s="6"/>
      <c r="B90" s="6" t="s">
        <v>19</v>
      </c>
      <c r="C90" s="6" t="s">
        <v>2189</v>
      </c>
      <c r="D90" s="6" t="s">
        <v>2190</v>
      </c>
      <c r="E90" s="6" t="s">
        <v>2191</v>
      </c>
      <c r="F90" s="6" t="s">
        <v>1621</v>
      </c>
      <c r="G90" s="6" t="s">
        <v>181</v>
      </c>
      <c r="H90" s="6">
        <v>0</v>
      </c>
      <c r="I90" s="6">
        <v>20</v>
      </c>
      <c r="J90" s="6">
        <f t="shared" si="0"/>
        <v>-20</v>
      </c>
      <c r="K90" s="6" t="s">
        <v>26</v>
      </c>
      <c r="L90" s="6" t="s">
        <v>26</v>
      </c>
      <c r="M90" s="6" t="s">
        <v>1965</v>
      </c>
      <c r="N90" s="7" t="s">
        <v>2192</v>
      </c>
      <c r="O90" s="6"/>
      <c r="P90" s="6"/>
      <c r="Q90" s="6"/>
      <c r="R90">
        <v>1</v>
      </c>
      <c r="S90">
        <v>20</v>
      </c>
    </row>
    <row r="91" spans="1:19" ht="14.25" customHeight="1">
      <c r="A91" s="6"/>
      <c r="B91" s="6" t="s">
        <v>19</v>
      </c>
      <c r="C91" s="6" t="s">
        <v>976</v>
      </c>
      <c r="D91" s="6" t="s">
        <v>2193</v>
      </c>
      <c r="E91" s="6" t="s">
        <v>978</v>
      </c>
      <c r="F91" s="6" t="s">
        <v>979</v>
      </c>
      <c r="G91" s="6" t="s">
        <v>181</v>
      </c>
      <c r="H91" s="6">
        <v>708</v>
      </c>
      <c r="I91" s="6">
        <v>20</v>
      </c>
      <c r="J91" s="6">
        <f t="shared" si="0"/>
        <v>688</v>
      </c>
      <c r="K91" s="6" t="s">
        <v>26</v>
      </c>
      <c r="L91" s="6" t="s">
        <v>26</v>
      </c>
      <c r="M91" s="6" t="s">
        <v>1965</v>
      </c>
      <c r="N91" s="6"/>
      <c r="O91" s="6"/>
      <c r="P91" s="6"/>
      <c r="Q91" s="6"/>
      <c r="R91">
        <v>1</v>
      </c>
    </row>
    <row r="92" spans="1:19" ht="14.25" customHeight="1">
      <c r="A92" s="6"/>
      <c r="B92" s="6" t="s">
        <v>19</v>
      </c>
      <c r="C92" s="6" t="s">
        <v>2194</v>
      </c>
      <c r="D92" s="6" t="s">
        <v>2195</v>
      </c>
      <c r="E92" s="6" t="s">
        <v>2196</v>
      </c>
      <c r="F92" s="6" t="s">
        <v>2197</v>
      </c>
      <c r="G92" s="6" t="s">
        <v>181</v>
      </c>
      <c r="H92" s="6">
        <v>0</v>
      </c>
      <c r="I92" s="6">
        <v>20</v>
      </c>
      <c r="J92" s="6">
        <f t="shared" si="0"/>
        <v>-20</v>
      </c>
      <c r="K92" s="6" t="s">
        <v>26</v>
      </c>
      <c r="L92" s="6" t="s">
        <v>26</v>
      </c>
      <c r="M92" s="6" t="s">
        <v>1965</v>
      </c>
      <c r="N92" s="6"/>
      <c r="O92" s="6"/>
      <c r="P92" s="6"/>
      <c r="Q92" s="6"/>
      <c r="R92">
        <v>1</v>
      </c>
      <c r="S92">
        <v>20</v>
      </c>
    </row>
    <row r="93" spans="1:19" ht="14.25" customHeight="1">
      <c r="A93" s="6"/>
      <c r="B93" s="6" t="s">
        <v>19</v>
      </c>
      <c r="C93" s="6" t="s">
        <v>2198</v>
      </c>
      <c r="D93" s="6" t="s">
        <v>2199</v>
      </c>
      <c r="E93" s="6">
        <v>352</v>
      </c>
      <c r="F93" s="6" t="s">
        <v>607</v>
      </c>
      <c r="G93" s="6" t="s">
        <v>181</v>
      </c>
      <c r="H93" s="6">
        <v>620</v>
      </c>
      <c r="I93" s="6">
        <v>20</v>
      </c>
      <c r="J93" s="6">
        <f t="shared" si="0"/>
        <v>600</v>
      </c>
      <c r="K93" s="6" t="s">
        <v>26</v>
      </c>
      <c r="L93" s="6" t="s">
        <v>26</v>
      </c>
      <c r="M93" s="6" t="s">
        <v>1965</v>
      </c>
      <c r="N93" s="6"/>
      <c r="O93" s="6"/>
      <c r="P93" s="6"/>
      <c r="Q93" s="6"/>
      <c r="R93">
        <v>1</v>
      </c>
    </row>
    <row r="94" spans="1:19" ht="14.25" customHeight="1">
      <c r="A94" s="6"/>
      <c r="B94" s="6" t="s">
        <v>19</v>
      </c>
      <c r="C94" s="6" t="s">
        <v>2200</v>
      </c>
      <c r="D94" s="6" t="s">
        <v>2201</v>
      </c>
      <c r="E94" s="6" t="s">
        <v>63</v>
      </c>
      <c r="F94" s="6" t="s">
        <v>2202</v>
      </c>
      <c r="G94" s="6" t="s">
        <v>181</v>
      </c>
      <c r="H94" s="6">
        <v>652</v>
      </c>
      <c r="I94" s="6">
        <v>20</v>
      </c>
      <c r="J94" s="6">
        <f t="shared" si="0"/>
        <v>632</v>
      </c>
      <c r="K94" s="6" t="s">
        <v>26</v>
      </c>
      <c r="L94" s="6" t="s">
        <v>26</v>
      </c>
      <c r="M94" s="6" t="s">
        <v>1965</v>
      </c>
      <c r="N94" s="6"/>
      <c r="O94" s="6"/>
      <c r="P94" s="6"/>
      <c r="Q94" s="6"/>
      <c r="R94">
        <v>1</v>
      </c>
    </row>
    <row r="95" spans="1:19" ht="14.25" customHeight="1">
      <c r="A95" s="6"/>
      <c r="B95" s="6" t="s">
        <v>19</v>
      </c>
      <c r="C95" s="6" t="s">
        <v>1138</v>
      </c>
      <c r="D95" s="6" t="s">
        <v>2203</v>
      </c>
      <c r="E95" s="6" t="s">
        <v>2204</v>
      </c>
      <c r="F95" s="6" t="s">
        <v>63</v>
      </c>
      <c r="G95" s="6" t="s">
        <v>181</v>
      </c>
      <c r="H95" s="6">
        <v>732</v>
      </c>
      <c r="I95" s="6">
        <v>20</v>
      </c>
      <c r="J95" s="6">
        <f t="shared" si="0"/>
        <v>712</v>
      </c>
      <c r="K95" s="6" t="s">
        <v>26</v>
      </c>
      <c r="L95" s="6" t="s">
        <v>26</v>
      </c>
      <c r="M95" s="6" t="s">
        <v>1965</v>
      </c>
      <c r="N95" s="6"/>
      <c r="O95" s="6"/>
      <c r="P95" s="6"/>
      <c r="Q95" s="6"/>
      <c r="R95">
        <v>1</v>
      </c>
    </row>
    <row r="96" spans="1:19" ht="14.25" customHeight="1">
      <c r="A96" s="6" t="s">
        <v>37</v>
      </c>
      <c r="B96" s="6" t="s">
        <v>19</v>
      </c>
      <c r="C96" s="6" t="s">
        <v>2205</v>
      </c>
      <c r="D96" s="6"/>
      <c r="E96" s="6" t="s">
        <v>2206</v>
      </c>
      <c r="F96" s="6" t="s">
        <v>127</v>
      </c>
      <c r="G96" s="6" t="s">
        <v>220</v>
      </c>
      <c r="H96" s="6">
        <v>4280</v>
      </c>
      <c r="I96" s="6">
        <v>30</v>
      </c>
      <c r="J96" s="6">
        <f t="shared" si="0"/>
        <v>4250</v>
      </c>
      <c r="K96" s="6" t="s">
        <v>26</v>
      </c>
      <c r="L96" s="6" t="s">
        <v>26</v>
      </c>
      <c r="M96" s="6" t="s">
        <v>1965</v>
      </c>
      <c r="N96" s="6"/>
      <c r="O96" s="6"/>
      <c r="P96" s="6"/>
      <c r="Q96" s="6"/>
      <c r="R96">
        <v>1</v>
      </c>
    </row>
    <row r="97" spans="1:19" ht="14.25" customHeight="1">
      <c r="A97" s="6"/>
      <c r="B97" s="6" t="s">
        <v>19</v>
      </c>
      <c r="C97" s="6" t="s">
        <v>2207</v>
      </c>
      <c r="D97" s="6" t="s">
        <v>2208</v>
      </c>
      <c r="E97" s="6" t="s">
        <v>2209</v>
      </c>
      <c r="F97" s="6" t="s">
        <v>2210</v>
      </c>
      <c r="G97" s="6" t="s">
        <v>220</v>
      </c>
      <c r="H97" s="6">
        <v>465</v>
      </c>
      <c r="I97" s="6">
        <v>25</v>
      </c>
      <c r="J97" s="6">
        <f t="shared" si="0"/>
        <v>440</v>
      </c>
      <c r="K97" s="6" t="s">
        <v>26</v>
      </c>
      <c r="L97" s="6" t="s">
        <v>26</v>
      </c>
      <c r="M97" s="6" t="s">
        <v>1965</v>
      </c>
      <c r="N97" s="6"/>
      <c r="O97" s="6"/>
      <c r="P97" s="6"/>
      <c r="Q97" s="6"/>
      <c r="R97">
        <v>1</v>
      </c>
    </row>
    <row r="98" spans="1:19" ht="14.25" customHeight="1">
      <c r="A98" s="6"/>
      <c r="B98" s="6" t="s">
        <v>19</v>
      </c>
      <c r="C98" s="6" t="s">
        <v>2211</v>
      </c>
      <c r="D98" s="6" t="s">
        <v>2212</v>
      </c>
      <c r="E98" s="6" t="s">
        <v>2213</v>
      </c>
      <c r="F98" s="6" t="s">
        <v>2214</v>
      </c>
      <c r="G98" s="6" t="s">
        <v>220</v>
      </c>
      <c r="H98" s="6">
        <v>329</v>
      </c>
      <c r="I98" s="6">
        <v>25</v>
      </c>
      <c r="J98" s="6">
        <f t="shared" si="0"/>
        <v>304</v>
      </c>
      <c r="K98" s="6" t="s">
        <v>26</v>
      </c>
      <c r="L98" s="6" t="s">
        <v>26</v>
      </c>
      <c r="M98" s="6" t="s">
        <v>1965</v>
      </c>
      <c r="N98" s="6"/>
      <c r="O98" s="6"/>
      <c r="P98" s="6"/>
      <c r="Q98" s="6"/>
      <c r="R98">
        <v>1</v>
      </c>
    </row>
    <row r="99" spans="1:19" ht="14.25" customHeight="1">
      <c r="A99" s="6"/>
      <c r="B99" s="6" t="s">
        <v>19</v>
      </c>
      <c r="C99" s="6" t="s">
        <v>2215</v>
      </c>
      <c r="D99" s="6" t="s">
        <v>2216</v>
      </c>
      <c r="E99" s="6" t="s">
        <v>2217</v>
      </c>
      <c r="F99" s="6" t="s">
        <v>1377</v>
      </c>
      <c r="G99" s="6" t="s">
        <v>220</v>
      </c>
      <c r="H99" s="6">
        <v>0</v>
      </c>
      <c r="I99" s="6">
        <v>25</v>
      </c>
      <c r="J99" s="6">
        <f t="shared" si="0"/>
        <v>-25</v>
      </c>
      <c r="K99" s="6" t="s">
        <v>26</v>
      </c>
      <c r="L99" s="6" t="s">
        <v>26</v>
      </c>
      <c r="M99" s="6" t="s">
        <v>1965</v>
      </c>
      <c r="N99" s="6"/>
      <c r="O99" s="6"/>
      <c r="P99" s="6"/>
      <c r="Q99" s="6"/>
      <c r="R99">
        <v>1</v>
      </c>
      <c r="S99">
        <v>25</v>
      </c>
    </row>
    <row r="100" spans="1:19" ht="14.25" customHeight="1">
      <c r="A100" s="6"/>
      <c r="B100" s="6" t="s">
        <v>19</v>
      </c>
      <c r="C100" s="6" t="s">
        <v>2218</v>
      </c>
      <c r="D100" s="6" t="s">
        <v>2219</v>
      </c>
      <c r="E100" s="6">
        <v>194</v>
      </c>
      <c r="F100" s="6" t="s">
        <v>796</v>
      </c>
      <c r="G100" s="6" t="s">
        <v>220</v>
      </c>
      <c r="H100" s="6">
        <v>681</v>
      </c>
      <c r="I100" s="6">
        <v>25</v>
      </c>
      <c r="J100" s="6">
        <f t="shared" si="0"/>
        <v>656</v>
      </c>
      <c r="K100" s="6" t="s">
        <v>26</v>
      </c>
      <c r="L100" s="6" t="s">
        <v>26</v>
      </c>
      <c r="M100" s="6" t="s">
        <v>1965</v>
      </c>
      <c r="N100" s="6"/>
      <c r="O100" s="6"/>
      <c r="P100" s="6"/>
      <c r="Q100" s="6"/>
      <c r="R100">
        <v>1</v>
      </c>
    </row>
    <row r="101" spans="1:19" ht="14.25" customHeight="1">
      <c r="A101" s="6"/>
      <c r="B101" s="6" t="s">
        <v>19</v>
      </c>
      <c r="C101" s="6" t="s">
        <v>100</v>
      </c>
      <c r="D101" s="6" t="s">
        <v>2220</v>
      </c>
      <c r="E101" s="6" t="s">
        <v>2221</v>
      </c>
      <c r="F101" s="6" t="s">
        <v>2222</v>
      </c>
      <c r="G101" s="6" t="s">
        <v>220</v>
      </c>
      <c r="H101" s="6">
        <v>601</v>
      </c>
      <c r="I101" s="6">
        <v>25</v>
      </c>
      <c r="J101" s="6">
        <f t="shared" si="0"/>
        <v>576</v>
      </c>
      <c r="K101" s="6" t="s">
        <v>26</v>
      </c>
      <c r="L101" s="6" t="s">
        <v>26</v>
      </c>
      <c r="M101" s="6" t="s">
        <v>1965</v>
      </c>
      <c r="N101" s="6"/>
      <c r="O101" s="6"/>
      <c r="P101" s="6"/>
      <c r="Q101" s="6"/>
      <c r="R101">
        <v>1</v>
      </c>
    </row>
    <row r="102" spans="1:19" ht="14.25" customHeight="1">
      <c r="A102" s="6"/>
      <c r="B102" s="6" t="s">
        <v>19</v>
      </c>
      <c r="C102" s="6" t="s">
        <v>2223</v>
      </c>
      <c r="D102" s="6" t="s">
        <v>2224</v>
      </c>
      <c r="E102" s="6" t="s">
        <v>2225</v>
      </c>
      <c r="F102" s="6" t="s">
        <v>234</v>
      </c>
      <c r="G102" s="6" t="s">
        <v>220</v>
      </c>
      <c r="H102" s="6">
        <v>2041</v>
      </c>
      <c r="I102" s="6">
        <v>25</v>
      </c>
      <c r="J102" s="6">
        <f t="shared" si="0"/>
        <v>2016</v>
      </c>
      <c r="K102" s="6" t="s">
        <v>26</v>
      </c>
      <c r="L102" s="6" t="s">
        <v>26</v>
      </c>
      <c r="M102" s="6" t="s">
        <v>1965</v>
      </c>
      <c r="N102" s="6"/>
      <c r="O102" s="6"/>
      <c r="P102" s="6"/>
      <c r="Q102" s="6"/>
      <c r="R102">
        <v>1</v>
      </c>
    </row>
    <row r="103" spans="1:19" ht="14.25" customHeight="1">
      <c r="A103" s="6"/>
      <c r="B103" s="6" t="s">
        <v>19</v>
      </c>
      <c r="C103" s="6" t="s">
        <v>2226</v>
      </c>
      <c r="D103" s="6" t="s">
        <v>2227</v>
      </c>
      <c r="E103" s="6" t="s">
        <v>2228</v>
      </c>
      <c r="F103" s="6" t="s">
        <v>234</v>
      </c>
      <c r="G103" s="6" t="s">
        <v>220</v>
      </c>
      <c r="H103" s="6">
        <v>697</v>
      </c>
      <c r="I103" s="6">
        <v>25</v>
      </c>
      <c r="J103" s="6">
        <f t="shared" si="0"/>
        <v>672</v>
      </c>
      <c r="K103" s="6" t="s">
        <v>26</v>
      </c>
      <c r="L103" s="6" t="s">
        <v>26</v>
      </c>
      <c r="M103" s="6" t="s">
        <v>1965</v>
      </c>
      <c r="N103" s="6"/>
      <c r="O103" s="6"/>
      <c r="P103" s="6"/>
      <c r="Q103" s="6"/>
      <c r="R103">
        <v>1</v>
      </c>
    </row>
    <row r="104" spans="1:19" ht="14.25" customHeight="1">
      <c r="A104" s="6"/>
      <c r="B104" s="6" t="s">
        <v>19</v>
      </c>
      <c r="C104" s="6" t="s">
        <v>2229</v>
      </c>
      <c r="D104" s="6" t="s">
        <v>2230</v>
      </c>
      <c r="E104" s="6" t="s">
        <v>2231</v>
      </c>
      <c r="F104" s="6" t="s">
        <v>1384</v>
      </c>
      <c r="G104" s="6" t="s">
        <v>220</v>
      </c>
      <c r="H104" s="6">
        <v>0</v>
      </c>
      <c r="I104" s="6">
        <v>25</v>
      </c>
      <c r="J104" s="6">
        <f t="shared" si="0"/>
        <v>-25</v>
      </c>
      <c r="K104" s="6" t="s">
        <v>26</v>
      </c>
      <c r="L104" s="6" t="s">
        <v>26</v>
      </c>
      <c r="M104" s="6" t="s">
        <v>1965</v>
      </c>
      <c r="N104" s="6"/>
      <c r="O104" s="6"/>
      <c r="P104" s="6"/>
      <c r="Q104" s="6"/>
      <c r="R104">
        <v>1</v>
      </c>
      <c r="S104">
        <v>25</v>
      </c>
    </row>
    <row r="105" spans="1:19" ht="14.25" customHeight="1">
      <c r="A105" s="6"/>
      <c r="B105" s="6" t="s">
        <v>19</v>
      </c>
      <c r="C105" s="6" t="s">
        <v>2232</v>
      </c>
      <c r="D105" s="6" t="s">
        <v>2233</v>
      </c>
      <c r="E105" s="6" t="s">
        <v>2234</v>
      </c>
      <c r="F105" s="6" t="s">
        <v>236</v>
      </c>
      <c r="G105" s="6" t="s">
        <v>220</v>
      </c>
      <c r="H105" s="6">
        <v>329</v>
      </c>
      <c r="I105" s="6">
        <v>25</v>
      </c>
      <c r="J105" s="6">
        <f t="shared" si="0"/>
        <v>304</v>
      </c>
      <c r="K105" s="6" t="s">
        <v>26</v>
      </c>
      <c r="L105" s="6" t="s">
        <v>26</v>
      </c>
      <c r="M105" s="6" t="s">
        <v>1965</v>
      </c>
      <c r="N105" s="6"/>
      <c r="O105" s="6"/>
      <c r="P105" s="6"/>
      <c r="Q105" s="6"/>
      <c r="R105">
        <v>1</v>
      </c>
    </row>
    <row r="106" spans="1:19" ht="14.25" customHeight="1">
      <c r="A106" s="6"/>
      <c r="B106" s="6" t="s">
        <v>19</v>
      </c>
      <c r="C106" s="6" t="s">
        <v>2235</v>
      </c>
      <c r="D106" s="6" t="s">
        <v>2236</v>
      </c>
      <c r="E106" s="6">
        <v>102</v>
      </c>
      <c r="F106" s="6" t="s">
        <v>1401</v>
      </c>
      <c r="G106" s="6" t="s">
        <v>250</v>
      </c>
      <c r="H106" s="6">
        <v>382</v>
      </c>
      <c r="I106" s="6">
        <v>30</v>
      </c>
      <c r="J106" s="6">
        <f t="shared" si="0"/>
        <v>352</v>
      </c>
      <c r="K106" s="6" t="s">
        <v>26</v>
      </c>
      <c r="L106" s="6" t="s">
        <v>26</v>
      </c>
      <c r="M106" s="6" t="s">
        <v>1965</v>
      </c>
      <c r="N106" s="6"/>
      <c r="O106" s="6"/>
      <c r="P106" s="6"/>
      <c r="Q106" s="6"/>
      <c r="R106">
        <v>1</v>
      </c>
    </row>
    <row r="107" spans="1:19" ht="14.25" customHeight="1">
      <c r="A107" s="6"/>
      <c r="B107" s="6" t="s">
        <v>19</v>
      </c>
      <c r="C107" s="6" t="s">
        <v>2237</v>
      </c>
      <c r="D107" s="6" t="s">
        <v>2238</v>
      </c>
      <c r="E107" s="6" t="s">
        <v>2239</v>
      </c>
      <c r="F107" s="6" t="s">
        <v>2240</v>
      </c>
      <c r="G107" s="6" t="s">
        <v>250</v>
      </c>
      <c r="H107" s="6">
        <v>694</v>
      </c>
      <c r="I107" s="6">
        <v>30</v>
      </c>
      <c r="J107" s="6">
        <f t="shared" si="0"/>
        <v>664</v>
      </c>
      <c r="K107" s="6" t="s">
        <v>26</v>
      </c>
      <c r="L107" s="6" t="s">
        <v>26</v>
      </c>
      <c r="M107" s="6" t="s">
        <v>1965</v>
      </c>
      <c r="N107" s="6"/>
      <c r="O107" s="6"/>
      <c r="P107" s="6"/>
      <c r="Q107" s="6"/>
      <c r="R107">
        <v>1</v>
      </c>
    </row>
    <row r="108" spans="1:19" ht="14.25" customHeight="1">
      <c r="A108" s="6"/>
      <c r="B108" s="6" t="s">
        <v>19</v>
      </c>
      <c r="C108" s="6" t="s">
        <v>2241</v>
      </c>
      <c r="D108" s="6" t="s">
        <v>2242</v>
      </c>
      <c r="E108" s="6" t="s">
        <v>2243</v>
      </c>
      <c r="F108" s="6" t="s">
        <v>1512</v>
      </c>
      <c r="G108" s="6" t="s">
        <v>250</v>
      </c>
      <c r="H108" s="6">
        <v>1718</v>
      </c>
      <c r="I108" s="6">
        <v>30</v>
      </c>
      <c r="J108" s="6">
        <f t="shared" si="0"/>
        <v>1688</v>
      </c>
      <c r="K108" s="6" t="s">
        <v>26</v>
      </c>
      <c r="L108" s="6" t="s">
        <v>26</v>
      </c>
      <c r="M108" s="6" t="s">
        <v>1965</v>
      </c>
      <c r="N108" s="6"/>
      <c r="O108" s="6"/>
      <c r="P108" s="6"/>
      <c r="Q108" s="6"/>
      <c r="R108">
        <v>1</v>
      </c>
    </row>
    <row r="109" spans="1:19" ht="14.25" customHeight="1">
      <c r="A109" s="6"/>
      <c r="B109" s="6" t="s">
        <v>19</v>
      </c>
      <c r="C109" s="6" t="s">
        <v>2244</v>
      </c>
      <c r="D109" s="6" t="s">
        <v>2245</v>
      </c>
      <c r="E109" s="6" t="s">
        <v>2246</v>
      </c>
      <c r="F109" s="6" t="s">
        <v>277</v>
      </c>
      <c r="G109" s="6" t="s">
        <v>250</v>
      </c>
      <c r="H109" s="6">
        <v>1898</v>
      </c>
      <c r="I109" s="6">
        <v>30</v>
      </c>
      <c r="J109" s="6">
        <f t="shared" si="0"/>
        <v>1868</v>
      </c>
      <c r="K109" s="6" t="s">
        <v>26</v>
      </c>
      <c r="L109" s="6" t="s">
        <v>26</v>
      </c>
      <c r="M109" s="6" t="s">
        <v>1965</v>
      </c>
      <c r="N109" s="6"/>
      <c r="O109" s="6"/>
      <c r="P109" s="6"/>
      <c r="Q109" s="6"/>
      <c r="R109">
        <v>1</v>
      </c>
    </row>
    <row r="110" spans="1:19" ht="14.25" customHeight="1">
      <c r="A110" s="6"/>
      <c r="B110" s="6" t="s">
        <v>19</v>
      </c>
      <c r="C110" s="6" t="s">
        <v>2247</v>
      </c>
      <c r="D110" s="6" t="s">
        <v>2248</v>
      </c>
      <c r="E110" s="6" t="s">
        <v>2249</v>
      </c>
      <c r="F110" s="6" t="s">
        <v>1366</v>
      </c>
      <c r="G110" s="6" t="s">
        <v>250</v>
      </c>
      <c r="H110" s="6">
        <v>0</v>
      </c>
      <c r="I110" s="6">
        <v>30</v>
      </c>
      <c r="J110" s="6">
        <f t="shared" si="0"/>
        <v>-30</v>
      </c>
      <c r="K110" s="6" t="s">
        <v>26</v>
      </c>
      <c r="L110" s="6" t="s">
        <v>26</v>
      </c>
      <c r="M110" s="6" t="s">
        <v>1965</v>
      </c>
      <c r="N110" s="6"/>
      <c r="O110" s="6"/>
      <c r="P110" s="6"/>
      <c r="Q110" s="6"/>
      <c r="R110">
        <v>1</v>
      </c>
      <c r="S110">
        <v>30</v>
      </c>
    </row>
    <row r="111" spans="1:19" ht="14.25" customHeight="1">
      <c r="A111" s="6"/>
      <c r="B111" s="6" t="s">
        <v>19</v>
      </c>
      <c r="C111" s="6" t="s">
        <v>2250</v>
      </c>
      <c r="D111" s="6" t="s">
        <v>2251</v>
      </c>
      <c r="E111" s="6">
        <v>686</v>
      </c>
      <c r="F111" s="6" t="s">
        <v>1404</v>
      </c>
      <c r="G111" s="6" t="s">
        <v>250</v>
      </c>
      <c r="H111" s="6">
        <v>1070</v>
      </c>
      <c r="I111" s="6">
        <v>30</v>
      </c>
      <c r="J111" s="6">
        <f t="shared" si="0"/>
        <v>1040</v>
      </c>
      <c r="K111" s="6" t="s">
        <v>26</v>
      </c>
      <c r="L111" s="6" t="s">
        <v>26</v>
      </c>
      <c r="M111" s="6" t="s">
        <v>1965</v>
      </c>
      <c r="N111" s="6"/>
      <c r="O111" s="6"/>
      <c r="P111" s="6"/>
      <c r="Q111" s="6"/>
      <c r="R111">
        <v>1</v>
      </c>
    </row>
    <row r="112" spans="1:19" ht="14.25" customHeight="1">
      <c r="A112" s="6"/>
      <c r="B112" s="6" t="s">
        <v>19</v>
      </c>
      <c r="C112" s="6" t="s">
        <v>2252</v>
      </c>
      <c r="D112" s="6" t="s">
        <v>2253</v>
      </c>
      <c r="E112" s="6" t="s">
        <v>2254</v>
      </c>
      <c r="F112" s="6" t="s">
        <v>2255</v>
      </c>
      <c r="G112" s="6">
        <v>9</v>
      </c>
      <c r="H112" s="6">
        <v>662</v>
      </c>
      <c r="I112" s="6">
        <v>30</v>
      </c>
      <c r="J112" s="6">
        <f t="shared" si="0"/>
        <v>632</v>
      </c>
      <c r="K112" s="6" t="s">
        <v>197</v>
      </c>
      <c r="L112" s="6" t="s">
        <v>26</v>
      </c>
      <c r="M112" s="6" t="s">
        <v>1965</v>
      </c>
      <c r="N112" s="6"/>
      <c r="O112" s="6"/>
      <c r="P112" s="6"/>
      <c r="Q112" s="6"/>
      <c r="R112">
        <v>1</v>
      </c>
    </row>
    <row r="113" spans="1:20" ht="14.25" customHeight="1">
      <c r="A113" s="6"/>
      <c r="B113" s="6" t="s">
        <v>19</v>
      </c>
      <c r="C113" s="6" t="s">
        <v>2256</v>
      </c>
      <c r="D113" s="6" t="s">
        <v>2257</v>
      </c>
      <c r="E113" s="6" t="s">
        <v>2258</v>
      </c>
      <c r="F113" s="6" t="s">
        <v>2259</v>
      </c>
      <c r="G113" s="6">
        <v>9</v>
      </c>
      <c r="H113" s="6">
        <v>0</v>
      </c>
      <c r="I113" s="6">
        <v>30</v>
      </c>
      <c r="J113" s="6">
        <f t="shared" si="0"/>
        <v>-30</v>
      </c>
      <c r="K113" s="6" t="s">
        <v>197</v>
      </c>
      <c r="L113" s="6" t="s">
        <v>26</v>
      </c>
      <c r="M113" s="6" t="s">
        <v>1965</v>
      </c>
      <c r="N113" s="6"/>
      <c r="O113" s="6"/>
      <c r="P113" s="6"/>
      <c r="Q113" s="6"/>
      <c r="R113">
        <v>1</v>
      </c>
      <c r="S113">
        <v>30</v>
      </c>
    </row>
    <row r="114" spans="1:20" ht="14.25" customHeight="1">
      <c r="A114" s="6"/>
      <c r="B114" s="6" t="s">
        <v>19</v>
      </c>
      <c r="C114" s="6" t="s">
        <v>2260</v>
      </c>
      <c r="D114" s="6" t="s">
        <v>2261</v>
      </c>
      <c r="E114" s="6" t="s">
        <v>2262</v>
      </c>
      <c r="F114" s="6" t="s">
        <v>2263</v>
      </c>
      <c r="G114" s="6">
        <v>9</v>
      </c>
      <c r="H114" s="6">
        <v>622</v>
      </c>
      <c r="I114" s="6">
        <v>30</v>
      </c>
      <c r="J114" s="6">
        <f t="shared" si="0"/>
        <v>592</v>
      </c>
      <c r="K114" s="6" t="s">
        <v>197</v>
      </c>
      <c r="L114" s="6" t="s">
        <v>26</v>
      </c>
      <c r="M114" s="6" t="s">
        <v>1965</v>
      </c>
      <c r="N114" s="6"/>
      <c r="O114" s="6"/>
      <c r="P114" s="6"/>
      <c r="Q114" s="6"/>
      <c r="R114">
        <v>1</v>
      </c>
    </row>
    <row r="115" spans="1:20" ht="14.25" customHeight="1">
      <c r="A115" s="6"/>
      <c r="B115" s="6" t="s">
        <v>19</v>
      </c>
      <c r="C115" s="6" t="s">
        <v>2264</v>
      </c>
      <c r="D115" s="6" t="s">
        <v>2265</v>
      </c>
      <c r="E115" s="6" t="s">
        <v>2266</v>
      </c>
      <c r="F115" s="6" t="s">
        <v>63</v>
      </c>
      <c r="G115" s="6">
        <v>9</v>
      </c>
      <c r="H115" s="6">
        <v>0</v>
      </c>
      <c r="I115" s="6">
        <v>30</v>
      </c>
      <c r="J115" s="6">
        <f t="shared" si="0"/>
        <v>-30</v>
      </c>
      <c r="K115" s="6" t="s">
        <v>197</v>
      </c>
      <c r="L115" s="6" t="s">
        <v>26</v>
      </c>
      <c r="M115" s="6" t="s">
        <v>1965</v>
      </c>
      <c r="N115" s="6"/>
      <c r="O115" s="6"/>
      <c r="P115" s="6"/>
      <c r="Q115" s="6"/>
      <c r="R115">
        <v>1</v>
      </c>
      <c r="S115">
        <v>30</v>
      </c>
    </row>
    <row r="116" spans="1:20" ht="14.25" customHeight="1">
      <c r="A116" s="6"/>
      <c r="B116" s="6" t="s">
        <v>19</v>
      </c>
      <c r="C116" s="6" t="s">
        <v>2267</v>
      </c>
      <c r="D116" s="6" t="s">
        <v>2268</v>
      </c>
      <c r="E116" s="6" t="s">
        <v>2269</v>
      </c>
      <c r="F116" s="6" t="s">
        <v>63</v>
      </c>
      <c r="G116" s="6">
        <v>9</v>
      </c>
      <c r="H116" s="6">
        <v>1110</v>
      </c>
      <c r="I116" s="6">
        <v>30</v>
      </c>
      <c r="J116" s="6">
        <f t="shared" si="0"/>
        <v>1080</v>
      </c>
      <c r="K116" s="6" t="s">
        <v>197</v>
      </c>
      <c r="L116" s="6" t="s">
        <v>26</v>
      </c>
      <c r="M116" s="6" t="s">
        <v>1965</v>
      </c>
      <c r="N116" s="6"/>
      <c r="O116" s="6"/>
      <c r="P116" s="6"/>
      <c r="Q116" s="6"/>
      <c r="R116">
        <v>1</v>
      </c>
    </row>
    <row r="117" spans="1:20" ht="14.25" customHeight="1">
      <c r="A117" s="6"/>
      <c r="B117" s="6" t="s">
        <v>19</v>
      </c>
      <c r="C117" s="6" t="s">
        <v>2270</v>
      </c>
      <c r="D117" s="6" t="s">
        <v>2271</v>
      </c>
      <c r="E117" s="6">
        <v>59</v>
      </c>
      <c r="F117" s="6" t="s">
        <v>1956</v>
      </c>
      <c r="G117" s="6">
        <v>9</v>
      </c>
      <c r="H117" s="6">
        <v>0</v>
      </c>
      <c r="I117" s="6">
        <v>30</v>
      </c>
      <c r="J117" s="6">
        <f t="shared" si="0"/>
        <v>-30</v>
      </c>
      <c r="K117" s="6" t="s">
        <v>197</v>
      </c>
      <c r="L117" s="6" t="s">
        <v>26</v>
      </c>
      <c r="M117" s="6" t="s">
        <v>1965</v>
      </c>
      <c r="N117" s="6"/>
      <c r="O117" s="6"/>
      <c r="P117" s="6"/>
      <c r="Q117" s="6"/>
      <c r="R117">
        <v>1</v>
      </c>
      <c r="S117">
        <v>30</v>
      </c>
    </row>
    <row r="118" spans="1:20" ht="14.25" customHeight="1"/>
    <row r="119" spans="1:20" ht="14.25" customHeight="1">
      <c r="H119">
        <f t="shared" ref="H119:T119" si="1">SUBTOTAL(9,H3:H118)</f>
        <v>79009</v>
      </c>
      <c r="I119">
        <f t="shared" si="1"/>
        <v>2850</v>
      </c>
      <c r="J119">
        <f t="shared" si="1"/>
        <v>76159</v>
      </c>
      <c r="K119">
        <f t="shared" si="1"/>
        <v>0</v>
      </c>
      <c r="L119">
        <f t="shared" si="1"/>
        <v>0</v>
      </c>
      <c r="M119">
        <f t="shared" si="1"/>
        <v>0</v>
      </c>
      <c r="N119">
        <f t="shared" si="1"/>
        <v>0</v>
      </c>
      <c r="O119">
        <f t="shared" si="1"/>
        <v>0</v>
      </c>
      <c r="P119">
        <f t="shared" si="1"/>
        <v>0</v>
      </c>
      <c r="Q119">
        <f t="shared" si="1"/>
        <v>0</v>
      </c>
      <c r="R119">
        <f t="shared" si="1"/>
        <v>115</v>
      </c>
      <c r="S119">
        <f t="shared" si="1"/>
        <v>405</v>
      </c>
      <c r="T119">
        <f t="shared" si="1"/>
        <v>0</v>
      </c>
    </row>
    <row r="120" spans="1:20" ht="14.25" customHeight="1">
      <c r="J120">
        <v>-2198</v>
      </c>
      <c r="K120" t="s">
        <v>2272</v>
      </c>
    </row>
    <row r="121" spans="1:20" ht="14.25" customHeight="1">
      <c r="J121">
        <v>-1666</v>
      </c>
      <c r="K121" t="s">
        <v>432</v>
      </c>
    </row>
    <row r="122" spans="1:20" ht="14.25" customHeight="1"/>
    <row r="123" spans="1:20" ht="20.25" customHeight="1">
      <c r="I123" s="8" t="s">
        <v>2273</v>
      </c>
      <c r="J123" s="9" t="s">
        <v>434</v>
      </c>
      <c r="K123" s="10" t="s">
        <v>435</v>
      </c>
    </row>
    <row r="124" spans="1:20" ht="14.25" customHeight="1">
      <c r="I124" s="11" t="s">
        <v>436</v>
      </c>
      <c r="J124" s="12">
        <f>SUM(J118:J122)</f>
        <v>72295</v>
      </c>
      <c r="K124" s="12">
        <f>R119</f>
        <v>115</v>
      </c>
    </row>
    <row r="125" spans="1:20" ht="14.25" customHeight="1">
      <c r="I125" s="13" t="s">
        <v>437</v>
      </c>
      <c r="J125" s="14">
        <f>S118</f>
        <v>0</v>
      </c>
      <c r="K125" s="15"/>
    </row>
    <row r="126" spans="1:20" ht="14.25" customHeight="1">
      <c r="I126" s="13" t="s">
        <v>438</v>
      </c>
      <c r="J126" s="14">
        <f>T118</f>
        <v>0</v>
      </c>
      <c r="K126" s="15"/>
    </row>
    <row r="127" spans="1:20" ht="14.25" customHeight="1">
      <c r="I127" s="13" t="s">
        <v>439</v>
      </c>
      <c r="J127" s="14">
        <f>U118</f>
        <v>0</v>
      </c>
      <c r="K127" s="15"/>
    </row>
    <row r="128" spans="1:20" ht="14.25" customHeight="1">
      <c r="I128" s="13" t="s">
        <v>440</v>
      </c>
      <c r="J128" s="14">
        <f>V118</f>
        <v>0</v>
      </c>
      <c r="K128" s="15"/>
    </row>
    <row r="129" spans="1:13" ht="14.25" customHeight="1">
      <c r="I129" s="16" t="s">
        <v>441</v>
      </c>
      <c r="J129" s="17"/>
      <c r="K129" s="17"/>
    </row>
    <row r="130" spans="1:13" ht="14.25" customHeight="1">
      <c r="I130" s="18" t="s">
        <v>442</v>
      </c>
      <c r="J130" s="17"/>
      <c r="K130" s="17"/>
    </row>
    <row r="131" spans="1:13" ht="14.25" customHeight="1">
      <c r="I131" s="19" t="s">
        <v>443</v>
      </c>
      <c r="J131" s="20">
        <f>SUM(J124:J130)</f>
        <v>72295</v>
      </c>
      <c r="K131" s="20">
        <f>SUM(K124:K128)</f>
        <v>115</v>
      </c>
    </row>
    <row r="132" spans="1:13" ht="14.25" customHeight="1"/>
    <row r="133" spans="1:13" ht="14.25" customHeight="1">
      <c r="A133" t="s">
        <v>432</v>
      </c>
    </row>
    <row r="134" spans="1:13" ht="14.25" customHeight="1">
      <c r="A134" s="21" t="s">
        <v>19</v>
      </c>
      <c r="B134" s="21" t="s">
        <v>1700</v>
      </c>
      <c r="C134" s="21" t="s">
        <v>1701</v>
      </c>
      <c r="D134" s="21" t="s">
        <v>1702</v>
      </c>
      <c r="E134" s="21" t="s">
        <v>150</v>
      </c>
      <c r="F134" s="21" t="s">
        <v>128</v>
      </c>
      <c r="G134" s="24">
        <v>1330</v>
      </c>
      <c r="H134" s="21">
        <v>0</v>
      </c>
      <c r="I134" s="21">
        <f t="shared" ref="I134:I135" si="2">G134-H134</f>
        <v>1330</v>
      </c>
      <c r="J134" s="21" t="s">
        <v>25</v>
      </c>
      <c r="K134" s="21" t="s">
        <v>26</v>
      </c>
      <c r="L134" s="21" t="s">
        <v>1589</v>
      </c>
      <c r="M134" s="3" t="s">
        <v>2274</v>
      </c>
    </row>
    <row r="135" spans="1:13" ht="14.25" customHeight="1">
      <c r="A135" s="2" t="s">
        <v>19</v>
      </c>
      <c r="B135" s="2" t="s">
        <v>1912</v>
      </c>
      <c r="C135" s="2" t="s">
        <v>1913</v>
      </c>
      <c r="D135" s="2" t="s">
        <v>1914</v>
      </c>
      <c r="E135" s="2" t="s">
        <v>153</v>
      </c>
      <c r="F135" s="2" t="s">
        <v>250</v>
      </c>
      <c r="G135" s="2">
        <v>336</v>
      </c>
      <c r="H135" s="2">
        <v>0</v>
      </c>
      <c r="I135" s="2">
        <f t="shared" si="2"/>
        <v>336</v>
      </c>
      <c r="J135" s="2" t="s">
        <v>25</v>
      </c>
      <c r="K135" s="2" t="s">
        <v>26</v>
      </c>
      <c r="L135" s="2" t="s">
        <v>1589</v>
      </c>
      <c r="M135" s="3" t="s">
        <v>2275</v>
      </c>
    </row>
    <row r="136" spans="1:13" ht="14.25" customHeight="1"/>
    <row r="137" spans="1:13" ht="14.25" customHeight="1">
      <c r="A137" t="s">
        <v>640</v>
      </c>
    </row>
    <row r="138" spans="1:13" ht="14.25" customHeight="1">
      <c r="A138" s="2" t="s">
        <v>19</v>
      </c>
      <c r="B138" s="2" t="s">
        <v>2189</v>
      </c>
      <c r="C138" s="2" t="s">
        <v>2190</v>
      </c>
      <c r="D138" s="2" t="s">
        <v>2191</v>
      </c>
      <c r="E138" s="2" t="s">
        <v>1621</v>
      </c>
      <c r="F138" s="2" t="s">
        <v>181</v>
      </c>
      <c r="G138" s="2">
        <v>788</v>
      </c>
      <c r="H138" s="2">
        <v>0</v>
      </c>
      <c r="I138" s="2">
        <f>G138-H138</f>
        <v>788</v>
      </c>
      <c r="J138" s="2" t="s">
        <v>26</v>
      </c>
      <c r="K138" s="2" t="s">
        <v>26</v>
      </c>
      <c r="L138" s="2" t="s">
        <v>1965</v>
      </c>
      <c r="M138" s="3" t="s">
        <v>2192</v>
      </c>
    </row>
  </sheetData>
  <autoFilter ref="A2:Q117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"/>
  <sheetViews>
    <sheetView tabSelected="1" workbookViewId="0"/>
  </sheetViews>
  <sheetFormatPr defaultColWidth="14.42578125" defaultRowHeight="15" customHeight="1"/>
  <cols>
    <col min="1" max="20" width="8.7109375" customWidth="1"/>
  </cols>
  <sheetData>
    <row r="1" spans="1:19" ht="14.25" customHeight="1">
      <c r="B1" t="s">
        <v>641</v>
      </c>
      <c r="C1" t="s">
        <v>2276</v>
      </c>
    </row>
    <row r="2" spans="1:19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ht="14.25" customHeight="1">
      <c r="A3" s="6"/>
      <c r="B3" s="6" t="s">
        <v>19</v>
      </c>
      <c r="C3" s="6" t="s">
        <v>2277</v>
      </c>
      <c r="D3" s="6" t="s">
        <v>2278</v>
      </c>
      <c r="E3" s="6">
        <v>218</v>
      </c>
      <c r="F3" s="6" t="s">
        <v>2279</v>
      </c>
      <c r="G3" s="6">
        <v>1</v>
      </c>
      <c r="H3" s="6">
        <v>612</v>
      </c>
      <c r="I3" s="6">
        <v>20</v>
      </c>
      <c r="J3" s="6">
        <f t="shared" ref="J3:J65" si="0">H3-I3</f>
        <v>592</v>
      </c>
      <c r="K3" s="6" t="s">
        <v>35</v>
      </c>
      <c r="L3" s="6" t="s">
        <v>26</v>
      </c>
      <c r="M3" s="6" t="s">
        <v>2280</v>
      </c>
      <c r="N3" s="6"/>
      <c r="O3" s="6"/>
      <c r="P3" s="6"/>
      <c r="Q3" s="6"/>
      <c r="R3">
        <v>1</v>
      </c>
    </row>
    <row r="4" spans="1:19" ht="14.25" customHeight="1">
      <c r="A4" s="6"/>
      <c r="B4" s="6" t="s">
        <v>19</v>
      </c>
      <c r="C4" s="6" t="s">
        <v>2281</v>
      </c>
      <c r="D4" s="6" t="s">
        <v>2282</v>
      </c>
      <c r="E4" s="6" t="s">
        <v>2283</v>
      </c>
      <c r="F4" s="6" t="s">
        <v>2284</v>
      </c>
      <c r="G4" s="6">
        <v>1</v>
      </c>
      <c r="H4" s="6">
        <v>0</v>
      </c>
      <c r="I4" s="6">
        <v>20</v>
      </c>
      <c r="J4" s="6">
        <f t="shared" si="0"/>
        <v>-20</v>
      </c>
      <c r="K4" s="6" t="s">
        <v>35</v>
      </c>
      <c r="L4" s="6" t="s">
        <v>26</v>
      </c>
      <c r="M4" s="6" t="s">
        <v>2280</v>
      </c>
      <c r="N4" s="6"/>
      <c r="O4" s="6"/>
      <c r="P4" s="6"/>
      <c r="Q4" s="6"/>
      <c r="R4">
        <v>1</v>
      </c>
      <c r="S4">
        <v>20</v>
      </c>
    </row>
    <row r="5" spans="1:19" ht="14.25" customHeight="1">
      <c r="A5" s="6"/>
      <c r="B5" s="6" t="s">
        <v>19</v>
      </c>
      <c r="C5" s="6" t="s">
        <v>2285</v>
      </c>
      <c r="D5" s="6" t="s">
        <v>2286</v>
      </c>
      <c r="E5" s="6">
        <v>235</v>
      </c>
      <c r="F5" s="6" t="s">
        <v>2287</v>
      </c>
      <c r="G5" s="6">
        <v>1</v>
      </c>
      <c r="H5" s="6">
        <v>636</v>
      </c>
      <c r="I5" s="6">
        <v>20</v>
      </c>
      <c r="J5" s="6">
        <f t="shared" si="0"/>
        <v>616</v>
      </c>
      <c r="K5" s="6" t="s">
        <v>35</v>
      </c>
      <c r="L5" s="6" t="s">
        <v>26</v>
      </c>
      <c r="M5" s="6" t="s">
        <v>2280</v>
      </c>
      <c r="N5" s="6"/>
      <c r="O5" s="6"/>
      <c r="P5" s="6"/>
      <c r="Q5" s="6"/>
      <c r="R5">
        <v>1</v>
      </c>
    </row>
    <row r="6" spans="1:19" ht="14.25" customHeight="1">
      <c r="A6" s="6"/>
      <c r="B6" s="6" t="s">
        <v>19</v>
      </c>
      <c r="C6" s="6" t="s">
        <v>2288</v>
      </c>
      <c r="D6" s="6" t="s">
        <v>2289</v>
      </c>
      <c r="E6" s="6">
        <v>524</v>
      </c>
      <c r="F6" s="6" t="s">
        <v>50</v>
      </c>
      <c r="G6" s="6">
        <v>3</v>
      </c>
      <c r="H6" s="6">
        <v>572</v>
      </c>
      <c r="I6" s="6">
        <v>20</v>
      </c>
      <c r="J6" s="6">
        <f t="shared" si="0"/>
        <v>552</v>
      </c>
      <c r="K6" s="6" t="s">
        <v>35</v>
      </c>
      <c r="L6" s="6" t="s">
        <v>26</v>
      </c>
      <c r="M6" s="6" t="s">
        <v>2280</v>
      </c>
      <c r="N6" s="6"/>
      <c r="O6" s="6"/>
      <c r="P6" s="6"/>
      <c r="Q6" s="6"/>
      <c r="R6">
        <v>1</v>
      </c>
    </row>
    <row r="7" spans="1:19" ht="14.25" customHeight="1">
      <c r="A7" s="6"/>
      <c r="B7" s="6" t="s">
        <v>19</v>
      </c>
      <c r="C7" s="6" t="s">
        <v>1686</v>
      </c>
      <c r="D7" s="6" t="s">
        <v>2290</v>
      </c>
      <c r="E7" s="6">
        <v>132</v>
      </c>
      <c r="F7" s="6" t="s">
        <v>447</v>
      </c>
      <c r="G7" s="6">
        <v>4</v>
      </c>
      <c r="H7" s="6">
        <v>1225</v>
      </c>
      <c r="I7" s="6">
        <v>25</v>
      </c>
      <c r="J7" s="6">
        <f t="shared" si="0"/>
        <v>1200</v>
      </c>
      <c r="K7" s="6" t="s">
        <v>35</v>
      </c>
      <c r="L7" s="6" t="s">
        <v>26</v>
      </c>
      <c r="M7" s="6" t="s">
        <v>2280</v>
      </c>
      <c r="N7" s="6"/>
      <c r="O7" s="6"/>
      <c r="P7" s="6"/>
      <c r="Q7" s="6"/>
      <c r="R7">
        <v>1</v>
      </c>
    </row>
    <row r="8" spans="1:19" ht="14.25" customHeight="1">
      <c r="A8" s="6"/>
      <c r="B8" s="6" t="s">
        <v>19</v>
      </c>
      <c r="C8" s="6" t="s">
        <v>2291</v>
      </c>
      <c r="D8" s="6" t="s">
        <v>2292</v>
      </c>
      <c r="E8" s="6">
        <v>1</v>
      </c>
      <c r="F8" s="6" t="s">
        <v>2028</v>
      </c>
      <c r="G8" s="6">
        <v>4</v>
      </c>
      <c r="H8" s="6">
        <v>25</v>
      </c>
      <c r="I8" s="6">
        <v>25</v>
      </c>
      <c r="J8" s="6">
        <f t="shared" si="0"/>
        <v>0</v>
      </c>
      <c r="K8" s="6" t="s">
        <v>35</v>
      </c>
      <c r="L8" s="6" t="s">
        <v>26</v>
      </c>
      <c r="M8" s="6" t="s">
        <v>2280</v>
      </c>
      <c r="N8" s="6"/>
      <c r="O8" s="6"/>
      <c r="P8" s="6"/>
      <c r="Q8" s="6"/>
      <c r="R8">
        <v>1</v>
      </c>
    </row>
    <row r="9" spans="1:19" ht="14.25" customHeight="1">
      <c r="A9" s="6"/>
      <c r="B9" s="6" t="s">
        <v>19</v>
      </c>
      <c r="C9" s="6" t="s">
        <v>2293</v>
      </c>
      <c r="D9" s="6" t="s">
        <v>2294</v>
      </c>
      <c r="E9" s="6">
        <v>11</v>
      </c>
      <c r="F9" s="6" t="s">
        <v>1285</v>
      </c>
      <c r="G9" s="6">
        <v>5</v>
      </c>
      <c r="H9" s="6">
        <v>657</v>
      </c>
      <c r="I9" s="6">
        <v>25</v>
      </c>
      <c r="J9" s="6">
        <f t="shared" si="0"/>
        <v>632</v>
      </c>
      <c r="K9" s="6" t="s">
        <v>35</v>
      </c>
      <c r="L9" s="6" t="s">
        <v>26</v>
      </c>
      <c r="M9" s="6" t="s">
        <v>2280</v>
      </c>
      <c r="N9" s="6"/>
      <c r="O9" s="6"/>
      <c r="P9" s="6"/>
      <c r="Q9" s="6"/>
      <c r="R9">
        <v>1</v>
      </c>
    </row>
    <row r="10" spans="1:19" ht="14.25" customHeight="1">
      <c r="A10" s="6"/>
      <c r="B10" s="6" t="s">
        <v>19</v>
      </c>
      <c r="C10" s="6" t="s">
        <v>2295</v>
      </c>
      <c r="D10" s="6" t="s">
        <v>2296</v>
      </c>
      <c r="E10" s="6" t="s">
        <v>81</v>
      </c>
      <c r="F10" s="6" t="s">
        <v>82</v>
      </c>
      <c r="G10" s="6">
        <v>5</v>
      </c>
      <c r="H10" s="6">
        <v>0</v>
      </c>
      <c r="I10" s="6">
        <v>25</v>
      </c>
      <c r="J10" s="6">
        <f t="shared" si="0"/>
        <v>-25</v>
      </c>
      <c r="K10" s="6" t="s">
        <v>35</v>
      </c>
      <c r="L10" s="6" t="s">
        <v>26</v>
      </c>
      <c r="M10" s="6" t="s">
        <v>2280</v>
      </c>
      <c r="N10" s="6"/>
      <c r="O10" s="6"/>
      <c r="P10" s="6"/>
      <c r="Q10" s="6"/>
      <c r="R10">
        <v>1</v>
      </c>
      <c r="S10">
        <v>25</v>
      </c>
    </row>
    <row r="11" spans="1:19" ht="14.25" customHeight="1">
      <c r="A11" s="6"/>
      <c r="B11" s="6" t="s">
        <v>19</v>
      </c>
      <c r="C11" s="6" t="s">
        <v>2297</v>
      </c>
      <c r="D11" s="6" t="s">
        <v>2298</v>
      </c>
      <c r="E11" s="6">
        <v>884</v>
      </c>
      <c r="F11" s="6" t="s">
        <v>1190</v>
      </c>
      <c r="G11" s="6">
        <v>5</v>
      </c>
      <c r="H11" s="6">
        <v>0</v>
      </c>
      <c r="I11" s="6">
        <v>25</v>
      </c>
      <c r="J11" s="6">
        <f t="shared" si="0"/>
        <v>-25</v>
      </c>
      <c r="K11" s="6" t="s">
        <v>35</v>
      </c>
      <c r="L11" s="6" t="s">
        <v>26</v>
      </c>
      <c r="M11" s="6" t="s">
        <v>2280</v>
      </c>
      <c r="N11" s="6"/>
      <c r="O11" s="6"/>
      <c r="P11" s="6"/>
      <c r="Q11" s="6"/>
      <c r="R11">
        <v>1</v>
      </c>
      <c r="S11">
        <v>25</v>
      </c>
    </row>
    <row r="12" spans="1:19" ht="14.25" customHeight="1">
      <c r="A12" s="5"/>
      <c r="B12" s="5" t="s">
        <v>19</v>
      </c>
      <c r="C12" s="5" t="s">
        <v>2029</v>
      </c>
      <c r="D12" s="5" t="s">
        <v>2299</v>
      </c>
      <c r="E12" s="5">
        <v>445</v>
      </c>
      <c r="F12" s="5" t="s">
        <v>2031</v>
      </c>
      <c r="G12" s="5">
        <v>10</v>
      </c>
      <c r="H12" s="5">
        <v>0</v>
      </c>
      <c r="I12" s="5">
        <v>25</v>
      </c>
      <c r="J12" s="5">
        <f t="shared" si="0"/>
        <v>-25</v>
      </c>
      <c r="K12" s="5" t="s">
        <v>35</v>
      </c>
      <c r="L12" s="5" t="s">
        <v>26</v>
      </c>
      <c r="M12" s="5" t="s">
        <v>2280</v>
      </c>
      <c r="N12" s="5" t="s">
        <v>177</v>
      </c>
      <c r="O12" s="5"/>
      <c r="P12" s="5"/>
      <c r="Q12" s="5"/>
      <c r="R12">
        <v>1</v>
      </c>
      <c r="S12">
        <v>25</v>
      </c>
    </row>
    <row r="13" spans="1:19" ht="14.25" customHeight="1">
      <c r="A13" s="6"/>
      <c r="B13" s="6" t="s">
        <v>19</v>
      </c>
      <c r="C13" s="6" t="s">
        <v>2032</v>
      </c>
      <c r="D13" s="6" t="s">
        <v>2300</v>
      </c>
      <c r="E13" s="6">
        <v>28</v>
      </c>
      <c r="F13" s="6" t="s">
        <v>937</v>
      </c>
      <c r="G13" s="6">
        <v>10</v>
      </c>
      <c r="H13" s="6">
        <v>737</v>
      </c>
      <c r="I13" s="6">
        <v>25</v>
      </c>
      <c r="J13" s="6">
        <f t="shared" si="0"/>
        <v>712</v>
      </c>
      <c r="K13" s="6" t="s">
        <v>35</v>
      </c>
      <c r="L13" s="6" t="s">
        <v>26</v>
      </c>
      <c r="M13" s="6" t="s">
        <v>2280</v>
      </c>
      <c r="N13" s="6"/>
      <c r="O13" s="6"/>
      <c r="P13" s="6"/>
      <c r="Q13" s="6"/>
      <c r="R13">
        <v>1</v>
      </c>
    </row>
    <row r="14" spans="1:19" ht="14.25" customHeight="1">
      <c r="A14" s="6"/>
      <c r="B14" s="6" t="s">
        <v>19</v>
      </c>
      <c r="C14" s="6" t="s">
        <v>2301</v>
      </c>
      <c r="D14" s="6" t="s">
        <v>2302</v>
      </c>
      <c r="E14" s="6">
        <v>6</v>
      </c>
      <c r="F14" s="6" t="s">
        <v>2303</v>
      </c>
      <c r="G14" s="6">
        <v>10</v>
      </c>
      <c r="H14" s="6">
        <v>0</v>
      </c>
      <c r="I14" s="6">
        <v>25</v>
      </c>
      <c r="J14" s="6">
        <f t="shared" si="0"/>
        <v>-25</v>
      </c>
      <c r="K14" s="6" t="s">
        <v>35</v>
      </c>
      <c r="L14" s="6" t="s">
        <v>26</v>
      </c>
      <c r="M14" s="6" t="s">
        <v>2280</v>
      </c>
      <c r="N14" s="6"/>
      <c r="O14" s="6"/>
      <c r="P14" s="6"/>
      <c r="Q14" s="6"/>
      <c r="R14">
        <v>1</v>
      </c>
      <c r="S14">
        <v>25</v>
      </c>
    </row>
    <row r="15" spans="1:19" ht="14.25" customHeight="1">
      <c r="A15" s="6"/>
      <c r="B15" s="6" t="s">
        <v>19</v>
      </c>
      <c r="C15" s="6" t="s">
        <v>1660</v>
      </c>
      <c r="D15" s="6" t="s">
        <v>2304</v>
      </c>
      <c r="E15" s="6">
        <v>66</v>
      </c>
      <c r="F15" s="6" t="s">
        <v>86</v>
      </c>
      <c r="G15" s="6">
        <v>10</v>
      </c>
      <c r="H15" s="6">
        <v>737</v>
      </c>
      <c r="I15" s="6">
        <v>25</v>
      </c>
      <c r="J15" s="6">
        <f t="shared" si="0"/>
        <v>712</v>
      </c>
      <c r="K15" s="6" t="s">
        <v>35</v>
      </c>
      <c r="L15" s="6" t="s">
        <v>26</v>
      </c>
      <c r="M15" s="6" t="s">
        <v>2280</v>
      </c>
      <c r="N15" s="6"/>
      <c r="O15" s="6"/>
      <c r="P15" s="6"/>
      <c r="Q15" s="6"/>
      <c r="R15">
        <v>1</v>
      </c>
    </row>
    <row r="16" spans="1:19" ht="14.25" customHeight="1">
      <c r="A16" s="6"/>
      <c r="B16" s="6" t="s">
        <v>19</v>
      </c>
      <c r="C16" s="6" t="s">
        <v>2305</v>
      </c>
      <c r="D16" s="6" t="s">
        <v>2306</v>
      </c>
      <c r="E16" s="6" t="s">
        <v>2307</v>
      </c>
      <c r="F16" s="6" t="s">
        <v>2308</v>
      </c>
      <c r="G16" s="6">
        <v>10</v>
      </c>
      <c r="H16" s="6">
        <v>497</v>
      </c>
      <c r="I16" s="6">
        <v>25</v>
      </c>
      <c r="J16" s="6">
        <f t="shared" si="0"/>
        <v>472</v>
      </c>
      <c r="K16" s="6" t="s">
        <v>35</v>
      </c>
      <c r="L16" s="6" t="s">
        <v>26</v>
      </c>
      <c r="M16" s="6" t="s">
        <v>2280</v>
      </c>
      <c r="N16" s="6"/>
      <c r="O16" s="6"/>
      <c r="P16" s="6"/>
      <c r="Q16" s="6"/>
      <c r="R16">
        <v>1</v>
      </c>
    </row>
    <row r="17" spans="1:19" ht="14.25" customHeight="1">
      <c r="A17" s="6"/>
      <c r="B17" s="6" t="s">
        <v>19</v>
      </c>
      <c r="C17" s="6" t="s">
        <v>2309</v>
      </c>
      <c r="D17" s="6" t="s">
        <v>2310</v>
      </c>
      <c r="E17" s="6" t="s">
        <v>2311</v>
      </c>
      <c r="F17" s="6" t="s">
        <v>2308</v>
      </c>
      <c r="G17" s="6">
        <v>10</v>
      </c>
      <c r="H17" s="6">
        <v>0</v>
      </c>
      <c r="I17" s="6">
        <v>25</v>
      </c>
      <c r="J17" s="6">
        <f t="shared" si="0"/>
        <v>-25</v>
      </c>
      <c r="K17" s="6" t="s">
        <v>35</v>
      </c>
      <c r="L17" s="6" t="s">
        <v>26</v>
      </c>
      <c r="M17" s="6" t="s">
        <v>2280</v>
      </c>
      <c r="N17" s="6"/>
      <c r="O17" s="6"/>
      <c r="P17" s="6"/>
      <c r="Q17" s="6"/>
      <c r="R17">
        <v>1</v>
      </c>
      <c r="S17">
        <v>25</v>
      </c>
    </row>
    <row r="18" spans="1:19" ht="14.25" customHeight="1">
      <c r="A18" s="6"/>
      <c r="B18" s="6" t="s">
        <v>19</v>
      </c>
      <c r="C18" s="6" t="s">
        <v>1226</v>
      </c>
      <c r="D18" s="6" t="s">
        <v>2312</v>
      </c>
      <c r="E18" s="6">
        <v>302</v>
      </c>
      <c r="F18" s="6" t="s">
        <v>2313</v>
      </c>
      <c r="G18" s="6">
        <v>10</v>
      </c>
      <c r="H18" s="6">
        <v>0</v>
      </c>
      <c r="I18" s="6">
        <v>25</v>
      </c>
      <c r="J18" s="6">
        <f t="shared" si="0"/>
        <v>-25</v>
      </c>
      <c r="K18" s="6" t="s">
        <v>35</v>
      </c>
      <c r="L18" s="6" t="s">
        <v>26</v>
      </c>
      <c r="M18" s="6" t="s">
        <v>2280</v>
      </c>
      <c r="N18" s="6"/>
      <c r="O18" s="6"/>
      <c r="P18" s="6"/>
      <c r="Q18" s="6"/>
      <c r="R18">
        <v>1</v>
      </c>
      <c r="S18">
        <v>25</v>
      </c>
    </row>
    <row r="19" spans="1:19" ht="14.25" customHeight="1">
      <c r="A19" s="6"/>
      <c r="B19" s="6" t="s">
        <v>19</v>
      </c>
      <c r="C19" s="6" t="s">
        <v>2314</v>
      </c>
      <c r="D19" s="6" t="s">
        <v>2315</v>
      </c>
      <c r="E19" s="6">
        <v>185</v>
      </c>
      <c r="F19" s="6" t="s">
        <v>2316</v>
      </c>
      <c r="G19" s="6">
        <v>10</v>
      </c>
      <c r="H19" s="6">
        <v>609</v>
      </c>
      <c r="I19" s="6">
        <v>25</v>
      </c>
      <c r="J19" s="6">
        <f t="shared" si="0"/>
        <v>584</v>
      </c>
      <c r="K19" s="6" t="s">
        <v>35</v>
      </c>
      <c r="L19" s="6" t="s">
        <v>26</v>
      </c>
      <c r="M19" s="6" t="s">
        <v>2280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2317</v>
      </c>
      <c r="D20" s="6" t="s">
        <v>2318</v>
      </c>
      <c r="E20" s="6" t="s">
        <v>2319</v>
      </c>
      <c r="F20" s="6" t="s">
        <v>2320</v>
      </c>
      <c r="G20" s="6" t="s">
        <v>117</v>
      </c>
      <c r="H20" s="6">
        <v>0</v>
      </c>
      <c r="I20" s="6">
        <v>20</v>
      </c>
      <c r="J20" s="6">
        <f t="shared" si="0"/>
        <v>-20</v>
      </c>
      <c r="K20" s="6" t="s">
        <v>35</v>
      </c>
      <c r="L20" s="6" t="s">
        <v>26</v>
      </c>
      <c r="M20" s="6" t="s">
        <v>2280</v>
      </c>
      <c r="N20" s="6"/>
      <c r="O20" s="6"/>
      <c r="P20" s="6"/>
      <c r="Q20" s="6"/>
      <c r="R20">
        <v>1</v>
      </c>
      <c r="S20">
        <v>20</v>
      </c>
    </row>
    <row r="21" spans="1:19" ht="14.25" customHeight="1">
      <c r="A21" s="6"/>
      <c r="B21" s="6" t="s">
        <v>19</v>
      </c>
      <c r="C21" s="6" t="s">
        <v>2321</v>
      </c>
      <c r="D21" s="6" t="s">
        <v>2322</v>
      </c>
      <c r="E21" s="6" t="s">
        <v>2323</v>
      </c>
      <c r="F21" s="6" t="s">
        <v>2324</v>
      </c>
      <c r="G21" s="6" t="s">
        <v>117</v>
      </c>
      <c r="H21" s="6">
        <v>612</v>
      </c>
      <c r="I21" s="6">
        <v>20</v>
      </c>
      <c r="J21" s="6">
        <f t="shared" si="0"/>
        <v>592</v>
      </c>
      <c r="K21" s="6" t="s">
        <v>35</v>
      </c>
      <c r="L21" s="6" t="s">
        <v>26</v>
      </c>
      <c r="M21" s="6" t="s">
        <v>2280</v>
      </c>
      <c r="N21" s="6"/>
      <c r="O21" s="6"/>
      <c r="P21" s="6"/>
      <c r="Q21" s="6"/>
      <c r="R21">
        <v>1</v>
      </c>
    </row>
    <row r="22" spans="1:19" ht="14.25" customHeight="1">
      <c r="A22" s="5"/>
      <c r="B22" s="5" t="s">
        <v>19</v>
      </c>
      <c r="C22" s="5" t="s">
        <v>2325</v>
      </c>
      <c r="D22" s="5" t="s">
        <v>2326</v>
      </c>
      <c r="E22" s="5">
        <v>310</v>
      </c>
      <c r="F22" s="5" t="s">
        <v>622</v>
      </c>
      <c r="G22" s="5" t="s">
        <v>128</v>
      </c>
      <c r="H22" s="5">
        <v>25</v>
      </c>
      <c r="I22" s="5">
        <v>25</v>
      </c>
      <c r="J22" s="5">
        <f t="shared" si="0"/>
        <v>0</v>
      </c>
      <c r="K22" s="5" t="s">
        <v>35</v>
      </c>
      <c r="L22" s="5" t="s">
        <v>26</v>
      </c>
      <c r="M22" s="5" t="s">
        <v>2280</v>
      </c>
      <c r="N22" s="5" t="s">
        <v>177</v>
      </c>
      <c r="O22" s="5"/>
      <c r="P22" s="5"/>
      <c r="Q22" s="5"/>
      <c r="R22">
        <v>1</v>
      </c>
    </row>
    <row r="23" spans="1:19" ht="14.25" customHeight="1">
      <c r="A23" s="6"/>
      <c r="B23" s="6" t="s">
        <v>19</v>
      </c>
      <c r="C23" s="6" t="s">
        <v>770</v>
      </c>
      <c r="D23" s="6" t="s">
        <v>2327</v>
      </c>
      <c r="E23" s="6" t="s">
        <v>1078</v>
      </c>
      <c r="F23" s="6" t="s">
        <v>1063</v>
      </c>
      <c r="G23" s="6" t="s">
        <v>128</v>
      </c>
      <c r="H23" s="6">
        <v>721</v>
      </c>
      <c r="I23" s="6">
        <v>25</v>
      </c>
      <c r="J23" s="6">
        <f t="shared" si="0"/>
        <v>696</v>
      </c>
      <c r="K23" s="6" t="s">
        <v>35</v>
      </c>
      <c r="L23" s="6" t="s">
        <v>26</v>
      </c>
      <c r="M23" s="6" t="s">
        <v>2280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2328</v>
      </c>
      <c r="D24" s="6" t="s">
        <v>2329</v>
      </c>
      <c r="E24" s="6" t="s">
        <v>2330</v>
      </c>
      <c r="F24" s="6" t="s">
        <v>1063</v>
      </c>
      <c r="G24" s="6" t="s">
        <v>128</v>
      </c>
      <c r="H24" s="6">
        <v>0</v>
      </c>
      <c r="I24" s="6">
        <v>25</v>
      </c>
      <c r="J24" s="6">
        <f t="shared" si="0"/>
        <v>-25</v>
      </c>
      <c r="K24" s="6" t="s">
        <v>35</v>
      </c>
      <c r="L24" s="6" t="s">
        <v>26</v>
      </c>
      <c r="M24" s="6" t="s">
        <v>2280</v>
      </c>
      <c r="N24" s="6"/>
      <c r="O24" s="6"/>
      <c r="P24" s="6"/>
      <c r="Q24" s="6"/>
      <c r="R24">
        <v>1</v>
      </c>
      <c r="S24">
        <v>25</v>
      </c>
    </row>
    <row r="25" spans="1:19" ht="14.25" customHeight="1">
      <c r="A25" s="6"/>
      <c r="B25" s="6" t="s">
        <v>19</v>
      </c>
      <c r="C25" s="6" t="s">
        <v>2331</v>
      </c>
      <c r="D25" s="6" t="s">
        <v>2332</v>
      </c>
      <c r="E25" s="6" t="s">
        <v>2333</v>
      </c>
      <c r="F25" s="6" t="s">
        <v>2334</v>
      </c>
      <c r="G25" s="6" t="s">
        <v>128</v>
      </c>
      <c r="H25" s="6">
        <v>0</v>
      </c>
      <c r="I25" s="6">
        <v>25</v>
      </c>
      <c r="J25" s="6">
        <f t="shared" si="0"/>
        <v>-25</v>
      </c>
      <c r="K25" s="6" t="s">
        <v>35</v>
      </c>
      <c r="L25" s="6" t="s">
        <v>26</v>
      </c>
      <c r="M25" s="6" t="s">
        <v>2280</v>
      </c>
      <c r="N25" s="6"/>
      <c r="O25" s="6"/>
      <c r="P25" s="6"/>
      <c r="Q25" s="6"/>
      <c r="R25">
        <v>1</v>
      </c>
      <c r="S25">
        <v>25</v>
      </c>
    </row>
    <row r="26" spans="1:19" ht="14.25" customHeight="1">
      <c r="A26" s="6"/>
      <c r="B26" s="6" t="s">
        <v>19</v>
      </c>
      <c r="C26" s="6" t="s">
        <v>964</v>
      </c>
      <c r="D26" s="6" t="s">
        <v>2335</v>
      </c>
      <c r="E26" s="6" t="s">
        <v>966</v>
      </c>
      <c r="F26" s="6" t="s">
        <v>967</v>
      </c>
      <c r="G26" s="6">
        <v>2</v>
      </c>
      <c r="H26" s="6">
        <v>326</v>
      </c>
      <c r="I26" s="6">
        <v>30</v>
      </c>
      <c r="J26" s="6">
        <f t="shared" si="0"/>
        <v>296</v>
      </c>
      <c r="K26" s="6" t="s">
        <v>26</v>
      </c>
      <c r="L26" s="6" t="s">
        <v>26</v>
      </c>
      <c r="M26" s="6" t="s">
        <v>2280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600</v>
      </c>
      <c r="D27" s="6" t="s">
        <v>2336</v>
      </c>
      <c r="E27" s="6" t="s">
        <v>602</v>
      </c>
      <c r="F27" s="6" t="s">
        <v>603</v>
      </c>
      <c r="G27" s="6">
        <v>2</v>
      </c>
      <c r="H27" s="6">
        <v>798</v>
      </c>
      <c r="I27" s="6">
        <v>30</v>
      </c>
      <c r="J27" s="6">
        <f t="shared" si="0"/>
        <v>768</v>
      </c>
      <c r="K27" s="6" t="s">
        <v>26</v>
      </c>
      <c r="L27" s="6" t="s">
        <v>26</v>
      </c>
      <c r="M27" s="6" t="s">
        <v>2280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2337</v>
      </c>
      <c r="D28" s="6" t="s">
        <v>2338</v>
      </c>
      <c r="E28" s="6" t="s">
        <v>2339</v>
      </c>
      <c r="F28" s="6" t="s">
        <v>2340</v>
      </c>
      <c r="G28" s="6">
        <v>2</v>
      </c>
      <c r="H28" s="6">
        <v>662</v>
      </c>
      <c r="I28" s="6">
        <v>30</v>
      </c>
      <c r="J28" s="6">
        <f t="shared" si="0"/>
        <v>632</v>
      </c>
      <c r="K28" s="6" t="s">
        <v>26</v>
      </c>
      <c r="L28" s="6" t="s">
        <v>26</v>
      </c>
      <c r="M28" s="6" t="s">
        <v>2280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2341</v>
      </c>
      <c r="D29" s="6" t="s">
        <v>2342</v>
      </c>
      <c r="E29" s="6" t="s">
        <v>2343</v>
      </c>
      <c r="F29" s="6" t="s">
        <v>2344</v>
      </c>
      <c r="G29" s="6">
        <v>2</v>
      </c>
      <c r="H29" s="6">
        <v>30</v>
      </c>
      <c r="I29" s="6">
        <v>30</v>
      </c>
      <c r="J29" s="6">
        <f t="shared" si="0"/>
        <v>0</v>
      </c>
      <c r="K29" s="6" t="s">
        <v>26</v>
      </c>
      <c r="L29" s="6" t="s">
        <v>26</v>
      </c>
      <c r="M29" s="6" t="s">
        <v>2280</v>
      </c>
      <c r="N29" s="6"/>
      <c r="O29" s="6"/>
      <c r="P29" s="6"/>
      <c r="Q29" s="6"/>
      <c r="R29">
        <v>1</v>
      </c>
    </row>
    <row r="30" spans="1:19" ht="14.25" customHeight="1">
      <c r="A30" s="6"/>
      <c r="B30" s="6" t="s">
        <v>19</v>
      </c>
      <c r="C30" s="6" t="s">
        <v>2345</v>
      </c>
      <c r="D30" s="6" t="s">
        <v>2346</v>
      </c>
      <c r="E30" s="6" t="s">
        <v>2347</v>
      </c>
      <c r="F30" s="6" t="s">
        <v>2348</v>
      </c>
      <c r="G30" s="6" t="s">
        <v>181</v>
      </c>
      <c r="H30" s="6">
        <v>1004</v>
      </c>
      <c r="I30" s="6">
        <v>20</v>
      </c>
      <c r="J30" s="6">
        <f t="shared" si="0"/>
        <v>984</v>
      </c>
      <c r="K30" s="6" t="s">
        <v>26</v>
      </c>
      <c r="L30" s="6" t="s">
        <v>26</v>
      </c>
      <c r="M30" s="6" t="s">
        <v>2280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976</v>
      </c>
      <c r="D31" s="6" t="s">
        <v>2349</v>
      </c>
      <c r="E31" s="6" t="s">
        <v>2350</v>
      </c>
      <c r="F31" s="6" t="s">
        <v>979</v>
      </c>
      <c r="G31" s="6" t="s">
        <v>181</v>
      </c>
      <c r="H31" s="6">
        <v>620</v>
      </c>
      <c r="I31" s="6">
        <v>20</v>
      </c>
      <c r="J31" s="6">
        <f t="shared" si="0"/>
        <v>600</v>
      </c>
      <c r="K31" s="6" t="s">
        <v>26</v>
      </c>
      <c r="L31" s="6" t="s">
        <v>26</v>
      </c>
      <c r="M31" s="6" t="s">
        <v>2280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2351</v>
      </c>
      <c r="D32" s="6" t="s">
        <v>2352</v>
      </c>
      <c r="E32" s="6" t="s">
        <v>2353</v>
      </c>
      <c r="F32" s="6" t="s">
        <v>979</v>
      </c>
      <c r="G32" s="6" t="s">
        <v>181</v>
      </c>
      <c r="H32" s="6">
        <v>468</v>
      </c>
      <c r="I32" s="6">
        <v>20</v>
      </c>
      <c r="J32" s="6">
        <f t="shared" si="0"/>
        <v>448</v>
      </c>
      <c r="K32" s="6" t="s">
        <v>26</v>
      </c>
      <c r="L32" s="6" t="s">
        <v>26</v>
      </c>
      <c r="M32" s="6" t="s">
        <v>2280</v>
      </c>
      <c r="N32" s="6"/>
      <c r="O32" s="6"/>
      <c r="P32" s="6"/>
      <c r="Q32" s="6"/>
      <c r="R32">
        <v>1</v>
      </c>
    </row>
    <row r="33" spans="1:20" ht="14.25" customHeight="1">
      <c r="A33" s="6"/>
      <c r="B33" s="6" t="s">
        <v>19</v>
      </c>
      <c r="C33" s="6" t="s">
        <v>986</v>
      </c>
      <c r="D33" s="6" t="s">
        <v>2354</v>
      </c>
      <c r="E33" s="6" t="s">
        <v>988</v>
      </c>
      <c r="F33" s="6" t="s">
        <v>63</v>
      </c>
      <c r="G33" s="6" t="s">
        <v>181</v>
      </c>
      <c r="H33" s="6">
        <v>652</v>
      </c>
      <c r="I33" s="6">
        <v>20</v>
      </c>
      <c r="J33" s="6">
        <f t="shared" si="0"/>
        <v>632</v>
      </c>
      <c r="K33" s="6" t="s">
        <v>26</v>
      </c>
      <c r="L33" s="6" t="s">
        <v>26</v>
      </c>
      <c r="M33" s="6" t="s">
        <v>2280</v>
      </c>
      <c r="N33" s="6"/>
      <c r="O33" s="6"/>
      <c r="P33" s="6"/>
      <c r="Q33" s="6"/>
      <c r="R33">
        <v>1</v>
      </c>
    </row>
    <row r="34" spans="1:20" ht="14.25" customHeight="1">
      <c r="A34" s="6"/>
      <c r="B34" s="6" t="s">
        <v>19</v>
      </c>
      <c r="C34" s="6" t="s">
        <v>2355</v>
      </c>
      <c r="D34" s="6" t="s">
        <v>2356</v>
      </c>
      <c r="E34" s="6">
        <v>84</v>
      </c>
      <c r="F34" s="6" t="s">
        <v>2357</v>
      </c>
      <c r="G34" s="6" t="s">
        <v>220</v>
      </c>
      <c r="H34" s="6">
        <v>305</v>
      </c>
      <c r="I34" s="6">
        <v>25</v>
      </c>
      <c r="J34" s="6">
        <f t="shared" si="0"/>
        <v>280</v>
      </c>
      <c r="K34" s="6" t="s">
        <v>26</v>
      </c>
      <c r="L34" s="6" t="s">
        <v>26</v>
      </c>
      <c r="M34" s="6" t="s">
        <v>2280</v>
      </c>
      <c r="N34" s="6"/>
      <c r="O34" s="6"/>
      <c r="P34" s="6"/>
      <c r="Q34" s="6"/>
      <c r="R34">
        <v>1</v>
      </c>
    </row>
    <row r="35" spans="1:20" ht="14.25" customHeight="1">
      <c r="A35" s="6"/>
      <c r="B35" s="6" t="s">
        <v>19</v>
      </c>
      <c r="C35" s="6" t="s">
        <v>2358</v>
      </c>
      <c r="D35" s="6" t="s">
        <v>2359</v>
      </c>
      <c r="E35" s="6" t="s">
        <v>2360</v>
      </c>
      <c r="F35" s="6" t="s">
        <v>2361</v>
      </c>
      <c r="G35" s="6" t="s">
        <v>220</v>
      </c>
      <c r="H35" s="6">
        <v>0</v>
      </c>
      <c r="I35" s="6">
        <v>25</v>
      </c>
      <c r="J35" s="6">
        <f t="shared" si="0"/>
        <v>-25</v>
      </c>
      <c r="K35" s="6" t="s">
        <v>26</v>
      </c>
      <c r="L35" s="6" t="s">
        <v>26</v>
      </c>
      <c r="M35" s="6" t="s">
        <v>2280</v>
      </c>
      <c r="N35" s="6"/>
      <c r="O35" s="6"/>
      <c r="P35" s="6"/>
      <c r="Q35" s="6"/>
      <c r="R35">
        <v>1</v>
      </c>
      <c r="S35">
        <v>25</v>
      </c>
    </row>
    <row r="36" spans="1:20" ht="14.25" customHeight="1">
      <c r="A36" s="6"/>
      <c r="B36" s="6" t="s">
        <v>19</v>
      </c>
      <c r="C36" s="6" t="s">
        <v>2362</v>
      </c>
      <c r="D36" s="6" t="s">
        <v>2363</v>
      </c>
      <c r="E36" s="6" t="s">
        <v>2364</v>
      </c>
      <c r="F36" s="6" t="s">
        <v>384</v>
      </c>
      <c r="G36" s="6" t="s">
        <v>220</v>
      </c>
      <c r="H36" s="6">
        <v>777</v>
      </c>
      <c r="I36" s="6">
        <v>25</v>
      </c>
      <c r="J36" s="6">
        <f t="shared" si="0"/>
        <v>752</v>
      </c>
      <c r="K36" s="6" t="s">
        <v>26</v>
      </c>
      <c r="L36" s="6" t="s">
        <v>26</v>
      </c>
      <c r="M36" s="6" t="s">
        <v>2280</v>
      </c>
      <c r="N36" s="6"/>
      <c r="O36" s="6"/>
      <c r="P36" s="6"/>
      <c r="Q36" s="6"/>
      <c r="R36">
        <v>1</v>
      </c>
    </row>
    <row r="37" spans="1:20" ht="14.25" customHeight="1">
      <c r="A37" s="6"/>
      <c r="B37" s="6" t="s">
        <v>19</v>
      </c>
      <c r="C37" s="6" t="s">
        <v>2365</v>
      </c>
      <c r="D37" s="6" t="s">
        <v>2366</v>
      </c>
      <c r="E37" s="6" t="s">
        <v>2367</v>
      </c>
      <c r="F37" s="6" t="s">
        <v>384</v>
      </c>
      <c r="G37" s="6" t="s">
        <v>220</v>
      </c>
      <c r="H37" s="6">
        <v>321</v>
      </c>
      <c r="I37" s="6">
        <v>25</v>
      </c>
      <c r="J37" s="6">
        <f t="shared" si="0"/>
        <v>296</v>
      </c>
      <c r="K37" s="6" t="s">
        <v>26</v>
      </c>
      <c r="L37" s="6" t="s">
        <v>26</v>
      </c>
      <c r="M37" s="6" t="s">
        <v>2280</v>
      </c>
      <c r="N37" s="6"/>
      <c r="O37" s="6"/>
      <c r="P37" s="6"/>
      <c r="Q37" s="6"/>
      <c r="R37">
        <v>1</v>
      </c>
    </row>
    <row r="38" spans="1:20" ht="14.25" customHeight="1">
      <c r="A38" s="6"/>
      <c r="B38" s="6" t="s">
        <v>19</v>
      </c>
      <c r="C38" s="6" t="s">
        <v>2368</v>
      </c>
      <c r="D38" s="6" t="s">
        <v>2369</v>
      </c>
      <c r="E38" s="6" t="s">
        <v>2370</v>
      </c>
      <c r="F38" s="6" t="s">
        <v>1157</v>
      </c>
      <c r="G38" s="6" t="s">
        <v>220</v>
      </c>
      <c r="H38" s="6">
        <v>841</v>
      </c>
      <c r="I38" s="6">
        <v>25</v>
      </c>
      <c r="J38" s="6">
        <f t="shared" si="0"/>
        <v>816</v>
      </c>
      <c r="K38" s="6" t="s">
        <v>26</v>
      </c>
      <c r="L38" s="6" t="s">
        <v>26</v>
      </c>
      <c r="M38" s="6" t="s">
        <v>2280</v>
      </c>
      <c r="N38" s="6"/>
      <c r="O38" s="6"/>
      <c r="P38" s="6"/>
      <c r="Q38" s="6"/>
      <c r="R38">
        <v>1</v>
      </c>
    </row>
    <row r="39" spans="1:20" ht="14.25" customHeight="1">
      <c r="A39" s="6"/>
      <c r="B39" s="6" t="s">
        <v>19</v>
      </c>
      <c r="C39" s="6" t="s">
        <v>2371</v>
      </c>
      <c r="D39" s="6" t="s">
        <v>2372</v>
      </c>
      <c r="E39" s="6" t="s">
        <v>2373</v>
      </c>
      <c r="F39" s="6" t="s">
        <v>2374</v>
      </c>
      <c r="G39" s="6" t="s">
        <v>220</v>
      </c>
      <c r="H39" s="6">
        <v>649</v>
      </c>
      <c r="I39" s="6">
        <v>25</v>
      </c>
      <c r="J39" s="6">
        <f t="shared" si="0"/>
        <v>624</v>
      </c>
      <c r="K39" s="6" t="s">
        <v>26</v>
      </c>
      <c r="L39" s="6" t="s">
        <v>26</v>
      </c>
      <c r="M39" s="6" t="s">
        <v>2280</v>
      </c>
      <c r="N39" s="6"/>
      <c r="O39" s="6"/>
      <c r="P39" s="6"/>
      <c r="Q39" s="6"/>
      <c r="R39">
        <v>1</v>
      </c>
    </row>
    <row r="40" spans="1:20" ht="14.25" customHeight="1">
      <c r="A40" s="6"/>
      <c r="B40" s="6" t="s">
        <v>19</v>
      </c>
      <c r="C40" s="6" t="s">
        <v>1308</v>
      </c>
      <c r="D40" s="6" t="s">
        <v>2375</v>
      </c>
      <c r="E40" s="6">
        <v>192</v>
      </c>
      <c r="F40" s="6" t="s">
        <v>1882</v>
      </c>
      <c r="G40" s="6" t="s">
        <v>220</v>
      </c>
      <c r="H40" s="6">
        <v>777</v>
      </c>
      <c r="I40" s="6">
        <v>25</v>
      </c>
      <c r="J40" s="6">
        <f t="shared" si="0"/>
        <v>752</v>
      </c>
      <c r="K40" s="6" t="s">
        <v>26</v>
      </c>
      <c r="L40" s="6" t="s">
        <v>26</v>
      </c>
      <c r="M40" s="6" t="s">
        <v>2280</v>
      </c>
      <c r="N40" s="6"/>
      <c r="O40" s="6"/>
      <c r="P40" s="6"/>
      <c r="Q40" s="6"/>
      <c r="R40">
        <v>1</v>
      </c>
    </row>
    <row r="41" spans="1:20" ht="14.25" customHeight="1">
      <c r="A41" s="6"/>
      <c r="B41" s="6" t="s">
        <v>19</v>
      </c>
      <c r="C41" s="6" t="s">
        <v>2376</v>
      </c>
      <c r="D41" s="6" t="s">
        <v>2377</v>
      </c>
      <c r="E41" s="6" t="s">
        <v>2378</v>
      </c>
      <c r="F41" s="6" t="s">
        <v>1902</v>
      </c>
      <c r="G41" s="6" t="s">
        <v>220</v>
      </c>
      <c r="H41" s="6">
        <v>1049</v>
      </c>
      <c r="I41" s="6">
        <v>25</v>
      </c>
      <c r="J41" s="6">
        <f t="shared" si="0"/>
        <v>1024</v>
      </c>
      <c r="K41" s="6" t="s">
        <v>26</v>
      </c>
      <c r="L41" s="6" t="s">
        <v>26</v>
      </c>
      <c r="M41" s="6" t="s">
        <v>2280</v>
      </c>
      <c r="N41" s="6"/>
      <c r="O41" s="6"/>
      <c r="P41" s="6"/>
      <c r="Q41" s="6"/>
      <c r="R41">
        <v>1</v>
      </c>
    </row>
    <row r="42" spans="1:20" ht="14.25" customHeight="1">
      <c r="A42" s="6"/>
      <c r="B42" s="6" t="s">
        <v>19</v>
      </c>
      <c r="C42" s="6" t="s">
        <v>2379</v>
      </c>
      <c r="D42" s="6" t="s">
        <v>2380</v>
      </c>
      <c r="E42" s="6" t="s">
        <v>2381</v>
      </c>
      <c r="F42" s="6" t="s">
        <v>2382</v>
      </c>
      <c r="G42" s="6" t="s">
        <v>250</v>
      </c>
      <c r="H42" s="6">
        <v>0</v>
      </c>
      <c r="I42" s="6">
        <v>30</v>
      </c>
      <c r="J42" s="6">
        <f t="shared" si="0"/>
        <v>-30</v>
      </c>
      <c r="K42" s="6" t="s">
        <v>26</v>
      </c>
      <c r="L42" s="6" t="s">
        <v>26</v>
      </c>
      <c r="M42" s="6" t="s">
        <v>2280</v>
      </c>
      <c r="N42" s="6"/>
      <c r="O42" s="6"/>
      <c r="P42" s="6"/>
      <c r="Q42" s="6"/>
      <c r="R42">
        <v>1</v>
      </c>
      <c r="S42">
        <v>30</v>
      </c>
    </row>
    <row r="43" spans="1:20" ht="14.25" customHeight="1">
      <c r="A43" s="6"/>
      <c r="B43" s="6" t="s">
        <v>19</v>
      </c>
      <c r="C43" s="6" t="s">
        <v>2383</v>
      </c>
      <c r="D43" s="6" t="s">
        <v>2384</v>
      </c>
      <c r="E43" s="6">
        <v>235</v>
      </c>
      <c r="F43" s="6" t="s">
        <v>264</v>
      </c>
      <c r="G43" s="6" t="s">
        <v>250</v>
      </c>
      <c r="H43" s="6">
        <v>598</v>
      </c>
      <c r="I43" s="6">
        <v>30</v>
      </c>
      <c r="J43" s="6">
        <f t="shared" si="0"/>
        <v>568</v>
      </c>
      <c r="K43" s="6" t="s">
        <v>26</v>
      </c>
      <c r="L43" s="6" t="s">
        <v>26</v>
      </c>
      <c r="M43" s="6" t="s">
        <v>2280</v>
      </c>
      <c r="N43" s="6"/>
      <c r="O43" s="6"/>
      <c r="P43" s="6"/>
      <c r="Q43" s="6"/>
      <c r="R43">
        <v>1</v>
      </c>
    </row>
    <row r="44" spans="1:20" ht="14.25" customHeight="1">
      <c r="A44" s="6"/>
      <c r="B44" s="6" t="s">
        <v>19</v>
      </c>
      <c r="C44" s="6" t="s">
        <v>2235</v>
      </c>
      <c r="D44" s="6" t="s">
        <v>2385</v>
      </c>
      <c r="E44" s="6" t="s">
        <v>2386</v>
      </c>
      <c r="F44" s="6" t="s">
        <v>2387</v>
      </c>
      <c r="G44" s="6" t="s">
        <v>250</v>
      </c>
      <c r="H44" s="6">
        <v>622</v>
      </c>
      <c r="I44" s="6">
        <v>30</v>
      </c>
      <c r="J44" s="6">
        <f t="shared" si="0"/>
        <v>592</v>
      </c>
      <c r="K44" s="6" t="s">
        <v>26</v>
      </c>
      <c r="L44" s="6" t="s">
        <v>26</v>
      </c>
      <c r="M44" s="6" t="s">
        <v>2280</v>
      </c>
      <c r="N44" s="6"/>
      <c r="O44" s="6"/>
      <c r="P44" s="6"/>
      <c r="Q44" s="6"/>
      <c r="R44">
        <v>1</v>
      </c>
    </row>
    <row r="45" spans="1:20" ht="14.25" customHeight="1">
      <c r="A45" s="6"/>
      <c r="B45" s="6" t="s">
        <v>19</v>
      </c>
      <c r="C45" s="6" t="s">
        <v>2388</v>
      </c>
      <c r="D45" s="6" t="s">
        <v>2389</v>
      </c>
      <c r="E45" s="6" t="s">
        <v>2390</v>
      </c>
      <c r="F45" s="6" t="s">
        <v>63</v>
      </c>
      <c r="G45" s="6">
        <v>9</v>
      </c>
      <c r="H45" s="6">
        <v>702</v>
      </c>
      <c r="I45" s="6">
        <v>30</v>
      </c>
      <c r="J45" s="6">
        <f t="shared" si="0"/>
        <v>672</v>
      </c>
      <c r="K45" s="6" t="s">
        <v>197</v>
      </c>
      <c r="L45" s="6" t="s">
        <v>26</v>
      </c>
      <c r="M45" s="6" t="s">
        <v>2280</v>
      </c>
      <c r="N45" s="6"/>
      <c r="O45" s="6"/>
      <c r="P45" s="6"/>
      <c r="Q45" s="6"/>
      <c r="R45">
        <v>1</v>
      </c>
    </row>
    <row r="46" spans="1:20" ht="14.25" customHeight="1">
      <c r="A46" s="6"/>
      <c r="B46" s="6" t="s">
        <v>19</v>
      </c>
      <c r="C46" s="6" t="s">
        <v>2391</v>
      </c>
      <c r="D46" s="6" t="s">
        <v>2392</v>
      </c>
      <c r="E46" s="6" t="s">
        <v>2393</v>
      </c>
      <c r="F46" s="6" t="s">
        <v>63</v>
      </c>
      <c r="G46" s="6">
        <v>9</v>
      </c>
      <c r="H46" s="6">
        <v>622</v>
      </c>
      <c r="I46" s="6">
        <v>30</v>
      </c>
      <c r="J46" s="6">
        <f t="shared" si="0"/>
        <v>592</v>
      </c>
      <c r="K46" s="6" t="s">
        <v>197</v>
      </c>
      <c r="L46" s="6" t="s">
        <v>26</v>
      </c>
      <c r="M46" s="6" t="s">
        <v>2280</v>
      </c>
      <c r="N46" s="6"/>
      <c r="O46" s="6"/>
      <c r="P46" s="6"/>
      <c r="Q46" s="6"/>
      <c r="R46">
        <v>1</v>
      </c>
    </row>
    <row r="47" spans="1:20" ht="14.25" customHeight="1">
      <c r="A47" s="6"/>
      <c r="B47" s="6" t="s">
        <v>19</v>
      </c>
      <c r="C47" s="6" t="s">
        <v>839</v>
      </c>
      <c r="D47" s="6" t="s">
        <v>2394</v>
      </c>
      <c r="E47" s="6" t="s">
        <v>2395</v>
      </c>
      <c r="F47" s="6" t="s">
        <v>842</v>
      </c>
      <c r="G47" s="6">
        <v>1</v>
      </c>
      <c r="H47" s="6">
        <v>0</v>
      </c>
      <c r="I47" s="6">
        <v>20</v>
      </c>
      <c r="J47" s="6">
        <f t="shared" si="0"/>
        <v>-20</v>
      </c>
      <c r="K47" s="6" t="s">
        <v>35</v>
      </c>
      <c r="L47" s="6" t="s">
        <v>26</v>
      </c>
      <c r="M47" s="6" t="s">
        <v>2280</v>
      </c>
      <c r="N47" s="6"/>
      <c r="O47" s="6"/>
      <c r="P47" s="6"/>
      <c r="Q47" s="6"/>
      <c r="R47" s="25">
        <v>1</v>
      </c>
      <c r="S47" s="25">
        <v>20</v>
      </c>
      <c r="T47" s="25"/>
    </row>
    <row r="48" spans="1:20" ht="14.25" customHeight="1">
      <c r="A48" s="6"/>
      <c r="B48" s="6" t="s">
        <v>19</v>
      </c>
      <c r="C48" s="6" t="s">
        <v>2396</v>
      </c>
      <c r="D48" s="6" t="s">
        <v>2397</v>
      </c>
      <c r="E48" s="6">
        <v>230</v>
      </c>
      <c r="F48" s="6" t="s">
        <v>2398</v>
      </c>
      <c r="G48" s="6">
        <v>6</v>
      </c>
      <c r="H48" s="6">
        <v>0</v>
      </c>
      <c r="I48" s="6">
        <v>25</v>
      </c>
      <c r="J48" s="6">
        <f t="shared" si="0"/>
        <v>-25</v>
      </c>
      <c r="K48" s="6" t="s">
        <v>2399</v>
      </c>
      <c r="L48" s="6" t="s">
        <v>26</v>
      </c>
      <c r="M48" s="6" t="s">
        <v>2280</v>
      </c>
      <c r="N48" s="6"/>
      <c r="O48" s="6"/>
      <c r="P48" s="6"/>
      <c r="Q48" s="6"/>
      <c r="R48" s="25">
        <v>1</v>
      </c>
      <c r="S48" s="25">
        <v>25</v>
      </c>
      <c r="T48" s="25"/>
    </row>
    <row r="49" spans="1:20" ht="14.25" customHeight="1">
      <c r="A49" s="6"/>
      <c r="B49" s="6" t="s">
        <v>19</v>
      </c>
      <c r="C49" s="6" t="s">
        <v>2400</v>
      </c>
      <c r="D49" s="6" t="s">
        <v>2401</v>
      </c>
      <c r="E49" s="6" t="s">
        <v>2402</v>
      </c>
      <c r="F49" s="6" t="s">
        <v>401</v>
      </c>
      <c r="G49" s="6">
        <v>6</v>
      </c>
      <c r="H49" s="6">
        <v>489</v>
      </c>
      <c r="I49" s="6">
        <v>25</v>
      </c>
      <c r="J49" s="6">
        <f t="shared" si="0"/>
        <v>464</v>
      </c>
      <c r="K49" s="6" t="s">
        <v>2399</v>
      </c>
      <c r="L49" s="6" t="s">
        <v>26</v>
      </c>
      <c r="M49" s="6" t="s">
        <v>2280</v>
      </c>
      <c r="N49" s="6"/>
      <c r="O49" s="6"/>
      <c r="P49" s="6"/>
      <c r="Q49" s="6"/>
      <c r="R49" s="25">
        <v>1</v>
      </c>
      <c r="S49" s="25"/>
      <c r="T49" s="25"/>
    </row>
    <row r="50" spans="1:20" ht="14.25" customHeight="1">
      <c r="A50" s="6"/>
      <c r="B50" s="6" t="s">
        <v>19</v>
      </c>
      <c r="C50" s="6" t="s">
        <v>2403</v>
      </c>
      <c r="D50" s="6" t="s">
        <v>2404</v>
      </c>
      <c r="E50" s="6" t="s">
        <v>2405</v>
      </c>
      <c r="F50" s="6" t="s">
        <v>2406</v>
      </c>
      <c r="G50" s="6">
        <v>7</v>
      </c>
      <c r="H50" s="6">
        <v>641</v>
      </c>
      <c r="I50" s="6">
        <v>25</v>
      </c>
      <c r="J50" s="6">
        <f t="shared" si="0"/>
        <v>616</v>
      </c>
      <c r="K50" s="6" t="s">
        <v>2399</v>
      </c>
      <c r="L50" s="6" t="s">
        <v>26</v>
      </c>
      <c r="M50" s="6" t="s">
        <v>2280</v>
      </c>
      <c r="N50" s="6"/>
      <c r="O50" s="6"/>
      <c r="P50" s="6"/>
      <c r="Q50" s="6"/>
      <c r="R50" s="25">
        <v>1</v>
      </c>
      <c r="S50" s="25"/>
      <c r="T50" s="25"/>
    </row>
    <row r="51" spans="1:20" ht="14.25" customHeight="1">
      <c r="A51" s="6"/>
      <c r="B51" s="6" t="s">
        <v>19</v>
      </c>
      <c r="C51" s="6" t="s">
        <v>2407</v>
      </c>
      <c r="D51" s="6" t="s">
        <v>2408</v>
      </c>
      <c r="E51" s="6" t="s">
        <v>2409</v>
      </c>
      <c r="F51" s="6" t="s">
        <v>2410</v>
      </c>
      <c r="G51" s="6">
        <v>8</v>
      </c>
      <c r="H51" s="6">
        <v>657</v>
      </c>
      <c r="I51" s="6">
        <v>25</v>
      </c>
      <c r="J51" s="6">
        <f t="shared" si="0"/>
        <v>632</v>
      </c>
      <c r="K51" s="6" t="s">
        <v>2399</v>
      </c>
      <c r="L51" s="6" t="s">
        <v>26</v>
      </c>
      <c r="M51" s="6" t="s">
        <v>2280</v>
      </c>
      <c r="N51" s="6"/>
      <c r="O51" s="6"/>
      <c r="P51" s="6"/>
      <c r="Q51" s="6"/>
      <c r="R51">
        <v>1</v>
      </c>
    </row>
    <row r="52" spans="1:20" ht="14.25" customHeight="1">
      <c r="A52" s="6"/>
      <c r="B52" s="6" t="s">
        <v>19</v>
      </c>
      <c r="C52" s="6" t="s">
        <v>2411</v>
      </c>
      <c r="D52" s="6" t="s">
        <v>2412</v>
      </c>
      <c r="E52" s="6">
        <v>147</v>
      </c>
      <c r="F52" s="6" t="s">
        <v>2413</v>
      </c>
      <c r="G52" s="6">
        <v>8</v>
      </c>
      <c r="H52" s="6">
        <v>1014</v>
      </c>
      <c r="I52" s="6">
        <v>30</v>
      </c>
      <c r="J52" s="6">
        <f t="shared" si="0"/>
        <v>984</v>
      </c>
      <c r="K52" s="6" t="s">
        <v>2399</v>
      </c>
      <c r="L52" s="6" t="s">
        <v>26</v>
      </c>
      <c r="M52" s="6" t="s">
        <v>2280</v>
      </c>
      <c r="N52" s="6"/>
      <c r="O52" s="6"/>
      <c r="P52" s="6"/>
      <c r="Q52" s="6"/>
      <c r="R52">
        <v>1</v>
      </c>
    </row>
    <row r="53" spans="1:20" ht="14.25" customHeight="1">
      <c r="A53" s="6"/>
      <c r="B53" s="6" t="s">
        <v>19</v>
      </c>
      <c r="C53" s="6" t="s">
        <v>1976</v>
      </c>
      <c r="D53" s="6" t="s">
        <v>2414</v>
      </c>
      <c r="E53" s="6" t="s">
        <v>2415</v>
      </c>
      <c r="F53" s="6" t="s">
        <v>2416</v>
      </c>
      <c r="G53" s="6">
        <v>8</v>
      </c>
      <c r="H53" s="6">
        <v>617</v>
      </c>
      <c r="I53" s="6">
        <v>25</v>
      </c>
      <c r="J53" s="6">
        <f t="shared" si="0"/>
        <v>592</v>
      </c>
      <c r="K53" s="6" t="s">
        <v>2399</v>
      </c>
      <c r="L53" s="6" t="s">
        <v>26</v>
      </c>
      <c r="M53" s="6" t="s">
        <v>2280</v>
      </c>
      <c r="N53" s="6"/>
      <c r="O53" s="6"/>
      <c r="P53" s="6"/>
      <c r="Q53" s="6"/>
      <c r="R53">
        <v>1</v>
      </c>
    </row>
    <row r="54" spans="1:20" ht="14.25" customHeight="1">
      <c r="A54" s="6"/>
      <c r="B54" s="6" t="s">
        <v>19</v>
      </c>
      <c r="C54" s="6" t="s">
        <v>2417</v>
      </c>
      <c r="D54" s="6" t="s">
        <v>2418</v>
      </c>
      <c r="E54" s="6" t="s">
        <v>2419</v>
      </c>
      <c r="F54" s="6" t="s">
        <v>356</v>
      </c>
      <c r="G54" s="6">
        <v>12</v>
      </c>
      <c r="H54" s="6">
        <v>691</v>
      </c>
      <c r="I54" s="6">
        <v>35</v>
      </c>
      <c r="J54" s="6">
        <f t="shared" si="0"/>
        <v>656</v>
      </c>
      <c r="K54" s="6" t="s">
        <v>2399</v>
      </c>
      <c r="L54" s="6" t="s">
        <v>26</v>
      </c>
      <c r="M54" s="6" t="s">
        <v>2280</v>
      </c>
      <c r="N54" s="6"/>
      <c r="O54" s="6"/>
      <c r="P54" s="6"/>
      <c r="Q54" s="6"/>
      <c r="R54">
        <v>1</v>
      </c>
    </row>
    <row r="55" spans="1:20" ht="14.25" customHeight="1">
      <c r="A55" s="6"/>
      <c r="B55" s="6" t="s">
        <v>19</v>
      </c>
      <c r="C55" s="6" t="s">
        <v>2420</v>
      </c>
      <c r="D55" s="6" t="s">
        <v>2421</v>
      </c>
      <c r="E55" s="6">
        <v>68</v>
      </c>
      <c r="F55" s="6" t="s">
        <v>2422</v>
      </c>
      <c r="G55" s="6">
        <v>12</v>
      </c>
      <c r="H55" s="6">
        <v>0</v>
      </c>
      <c r="I55" s="6">
        <v>30</v>
      </c>
      <c r="J55" s="6">
        <f t="shared" si="0"/>
        <v>-30</v>
      </c>
      <c r="K55" s="6" t="s">
        <v>2399</v>
      </c>
      <c r="L55" s="6" t="s">
        <v>26</v>
      </c>
      <c r="M55" s="6" t="s">
        <v>2280</v>
      </c>
      <c r="N55" s="6"/>
      <c r="O55" s="6"/>
      <c r="P55" s="6"/>
      <c r="Q55" s="6"/>
      <c r="R55">
        <v>1</v>
      </c>
      <c r="S55">
        <v>30</v>
      </c>
    </row>
    <row r="56" spans="1:20" ht="14.25" customHeight="1">
      <c r="A56" s="6"/>
      <c r="B56" s="6" t="s">
        <v>19</v>
      </c>
      <c r="C56" s="6" t="s">
        <v>372</v>
      </c>
      <c r="D56" s="6" t="s">
        <v>2423</v>
      </c>
      <c r="E56" s="6">
        <v>67</v>
      </c>
      <c r="F56" s="6" t="s">
        <v>293</v>
      </c>
      <c r="G56" s="6" t="s">
        <v>374</v>
      </c>
      <c r="H56" s="6">
        <v>691</v>
      </c>
      <c r="I56" s="6">
        <v>35</v>
      </c>
      <c r="J56" s="6">
        <f t="shared" si="0"/>
        <v>656</v>
      </c>
      <c r="K56" s="6" t="s">
        <v>2399</v>
      </c>
      <c r="L56" s="6" t="s">
        <v>26</v>
      </c>
      <c r="M56" s="6" t="s">
        <v>2280</v>
      </c>
      <c r="N56" s="6"/>
      <c r="O56" s="6"/>
      <c r="P56" s="6"/>
      <c r="Q56" s="6"/>
      <c r="R56">
        <v>1</v>
      </c>
    </row>
    <row r="57" spans="1:20" ht="14.25" customHeight="1">
      <c r="A57" s="6"/>
      <c r="B57" s="6" t="s">
        <v>19</v>
      </c>
      <c r="C57" s="6" t="s">
        <v>2424</v>
      </c>
      <c r="D57" s="6" t="s">
        <v>2425</v>
      </c>
      <c r="E57" s="6" t="s">
        <v>2426</v>
      </c>
      <c r="F57" s="6" t="s">
        <v>2427</v>
      </c>
      <c r="G57" s="6" t="s">
        <v>374</v>
      </c>
      <c r="H57" s="6">
        <v>667</v>
      </c>
      <c r="I57" s="6">
        <v>35</v>
      </c>
      <c r="J57" s="6">
        <f t="shared" si="0"/>
        <v>632</v>
      </c>
      <c r="K57" s="6" t="s">
        <v>2399</v>
      </c>
      <c r="L57" s="6" t="s">
        <v>26</v>
      </c>
      <c r="M57" s="6" t="s">
        <v>2280</v>
      </c>
      <c r="N57" s="6"/>
      <c r="O57" s="6"/>
      <c r="P57" s="6"/>
      <c r="Q57" s="6"/>
      <c r="R57">
        <v>1</v>
      </c>
    </row>
    <row r="58" spans="1:20" ht="14.25" customHeight="1">
      <c r="A58" s="6"/>
      <c r="B58" s="6" t="s">
        <v>19</v>
      </c>
      <c r="C58" s="6" t="s">
        <v>2428</v>
      </c>
      <c r="D58" s="6" t="s">
        <v>2429</v>
      </c>
      <c r="E58" s="6" t="s">
        <v>2430</v>
      </c>
      <c r="F58" s="6" t="s">
        <v>257</v>
      </c>
      <c r="G58" s="6" t="s">
        <v>385</v>
      </c>
      <c r="H58" s="6">
        <v>478</v>
      </c>
      <c r="I58" s="6">
        <v>30</v>
      </c>
      <c r="J58" s="6">
        <f t="shared" si="0"/>
        <v>448</v>
      </c>
      <c r="K58" s="6" t="s">
        <v>2399</v>
      </c>
      <c r="L58" s="6" t="s">
        <v>26</v>
      </c>
      <c r="M58" s="6" t="s">
        <v>2280</v>
      </c>
      <c r="N58" s="6"/>
      <c r="O58" s="6"/>
      <c r="P58" s="6"/>
      <c r="Q58" s="6"/>
      <c r="R58">
        <v>1</v>
      </c>
    </row>
    <row r="59" spans="1:20" ht="14.25" customHeight="1">
      <c r="A59" s="6"/>
      <c r="B59" s="6" t="s">
        <v>19</v>
      </c>
      <c r="C59" s="6" t="s">
        <v>2431</v>
      </c>
      <c r="D59" s="6" t="s">
        <v>2432</v>
      </c>
      <c r="E59" s="6" t="s">
        <v>2433</v>
      </c>
      <c r="F59" s="6" t="s">
        <v>405</v>
      </c>
      <c r="G59" s="6" t="s">
        <v>385</v>
      </c>
      <c r="H59" s="6">
        <v>0</v>
      </c>
      <c r="I59" s="6">
        <v>30</v>
      </c>
      <c r="J59" s="6">
        <f t="shared" si="0"/>
        <v>-30</v>
      </c>
      <c r="K59" s="6" t="s">
        <v>2399</v>
      </c>
      <c r="L59" s="6" t="s">
        <v>26</v>
      </c>
      <c r="M59" s="6" t="s">
        <v>2280</v>
      </c>
      <c r="N59" s="6"/>
      <c r="O59" s="6"/>
      <c r="P59" s="6"/>
      <c r="Q59" s="6"/>
      <c r="R59">
        <v>1</v>
      </c>
      <c r="S59">
        <v>30</v>
      </c>
    </row>
    <row r="60" spans="1:20" ht="14.25" customHeight="1">
      <c r="A60" s="6"/>
      <c r="B60" s="6" t="s">
        <v>19</v>
      </c>
      <c r="C60" s="6" t="s">
        <v>2434</v>
      </c>
      <c r="D60" s="6" t="s">
        <v>2435</v>
      </c>
      <c r="E60" s="6" t="s">
        <v>2436</v>
      </c>
      <c r="F60" s="6" t="s">
        <v>2437</v>
      </c>
      <c r="G60" s="6" t="s">
        <v>417</v>
      </c>
      <c r="H60" s="6">
        <v>667</v>
      </c>
      <c r="I60" s="6">
        <v>35</v>
      </c>
      <c r="J60" s="6">
        <f t="shared" si="0"/>
        <v>632</v>
      </c>
      <c r="K60" s="6" t="s">
        <v>2399</v>
      </c>
      <c r="L60" s="6" t="s">
        <v>26</v>
      </c>
      <c r="M60" s="6" t="s">
        <v>2280</v>
      </c>
      <c r="N60" s="6"/>
      <c r="O60" s="6"/>
      <c r="P60" s="6"/>
      <c r="Q60" s="6"/>
      <c r="R60">
        <v>1</v>
      </c>
    </row>
    <row r="61" spans="1:20" ht="14.25" customHeight="1">
      <c r="A61" s="6"/>
      <c r="B61" s="6" t="s">
        <v>19</v>
      </c>
      <c r="C61" s="6" t="s">
        <v>2438</v>
      </c>
      <c r="D61" s="6" t="s">
        <v>2439</v>
      </c>
      <c r="E61" s="6">
        <v>88</v>
      </c>
      <c r="F61" s="6" t="s">
        <v>2440</v>
      </c>
      <c r="G61" s="6" t="s">
        <v>128</v>
      </c>
      <c r="H61" s="6">
        <v>0</v>
      </c>
      <c r="I61" s="6">
        <v>25</v>
      </c>
      <c r="J61" s="6">
        <f t="shared" si="0"/>
        <v>-25</v>
      </c>
      <c r="K61" s="6" t="s">
        <v>2399</v>
      </c>
      <c r="L61" s="6" t="s">
        <v>26</v>
      </c>
      <c r="M61" s="6" t="s">
        <v>2280</v>
      </c>
      <c r="N61" s="6"/>
      <c r="O61" s="6"/>
      <c r="P61" s="6"/>
      <c r="Q61" s="6"/>
      <c r="R61">
        <v>1</v>
      </c>
      <c r="S61">
        <v>25</v>
      </c>
    </row>
    <row r="62" spans="1:20" ht="14.25" customHeight="1">
      <c r="A62" s="6"/>
      <c r="B62" s="6" t="s">
        <v>19</v>
      </c>
      <c r="C62" s="6" t="s">
        <v>2156</v>
      </c>
      <c r="D62" s="6" t="s">
        <v>2441</v>
      </c>
      <c r="E62" s="6" t="s">
        <v>2442</v>
      </c>
      <c r="F62" s="6" t="s">
        <v>961</v>
      </c>
      <c r="G62" s="6" t="s">
        <v>128</v>
      </c>
      <c r="H62" s="6">
        <v>329</v>
      </c>
      <c r="I62" s="6">
        <v>25</v>
      </c>
      <c r="J62" s="6">
        <f t="shared" si="0"/>
        <v>304</v>
      </c>
      <c r="K62" s="6" t="s">
        <v>2399</v>
      </c>
      <c r="L62" s="6" t="s">
        <v>26</v>
      </c>
      <c r="M62" s="6" t="s">
        <v>2280</v>
      </c>
      <c r="N62" s="6"/>
      <c r="O62" s="6"/>
      <c r="P62" s="6"/>
      <c r="Q62" s="6"/>
      <c r="R62">
        <v>1</v>
      </c>
    </row>
    <row r="63" spans="1:20" ht="14.25" customHeight="1">
      <c r="A63" s="6"/>
      <c r="B63" s="6" t="s">
        <v>19</v>
      </c>
      <c r="C63" s="6" t="s">
        <v>1466</v>
      </c>
      <c r="D63" s="6" t="s">
        <v>2443</v>
      </c>
      <c r="E63" s="6">
        <v>278</v>
      </c>
      <c r="F63" s="6" t="s">
        <v>592</v>
      </c>
      <c r="G63" s="6" t="s">
        <v>430</v>
      </c>
      <c r="H63" s="6">
        <v>657</v>
      </c>
      <c r="I63" s="6">
        <v>25</v>
      </c>
      <c r="J63" s="6">
        <f t="shared" si="0"/>
        <v>632</v>
      </c>
      <c r="K63" s="6" t="s">
        <v>2399</v>
      </c>
      <c r="L63" s="6" t="s">
        <v>26</v>
      </c>
      <c r="M63" s="6" t="s">
        <v>2280</v>
      </c>
      <c r="N63" s="6"/>
      <c r="O63" s="6"/>
      <c r="P63" s="6"/>
      <c r="Q63" s="6"/>
      <c r="R63">
        <v>1</v>
      </c>
    </row>
    <row r="64" spans="1:20" ht="14.25" customHeight="1">
      <c r="A64" s="6"/>
      <c r="B64" s="6" t="s">
        <v>19</v>
      </c>
      <c r="C64" s="6" t="s">
        <v>2444</v>
      </c>
      <c r="D64" s="6" t="s">
        <v>2445</v>
      </c>
      <c r="E64" s="6">
        <v>6</v>
      </c>
      <c r="F64" s="6" t="s">
        <v>2446</v>
      </c>
      <c r="G64" s="6" t="s">
        <v>430</v>
      </c>
      <c r="H64" s="6">
        <v>0</v>
      </c>
      <c r="I64" s="6">
        <v>25</v>
      </c>
      <c r="J64" s="6">
        <f t="shared" si="0"/>
        <v>-25</v>
      </c>
      <c r="K64" s="6" t="s">
        <v>2399</v>
      </c>
      <c r="L64" s="6" t="s">
        <v>26</v>
      </c>
      <c r="M64" s="6" t="s">
        <v>2280</v>
      </c>
      <c r="N64" s="6"/>
      <c r="O64" s="6"/>
      <c r="P64" s="6"/>
      <c r="Q64" s="6"/>
      <c r="R64">
        <v>1</v>
      </c>
      <c r="S64">
        <v>25</v>
      </c>
    </row>
    <row r="65" spans="1:20" ht="14.25" customHeight="1">
      <c r="A65" s="6"/>
      <c r="B65" s="6" t="s">
        <v>19</v>
      </c>
      <c r="C65" s="6" t="s">
        <v>2447</v>
      </c>
      <c r="D65" s="6" t="s">
        <v>2448</v>
      </c>
      <c r="E65" s="6" t="s">
        <v>2449</v>
      </c>
      <c r="F65" s="6" t="s">
        <v>2450</v>
      </c>
      <c r="G65" s="6" t="s">
        <v>430</v>
      </c>
      <c r="H65" s="6">
        <v>809</v>
      </c>
      <c r="I65" s="6">
        <v>25</v>
      </c>
      <c r="J65" s="6">
        <f t="shared" si="0"/>
        <v>784</v>
      </c>
      <c r="K65" s="6" t="s">
        <v>2399</v>
      </c>
      <c r="L65" s="6" t="s">
        <v>26</v>
      </c>
      <c r="M65" s="6" t="s">
        <v>2280</v>
      </c>
      <c r="N65" s="6"/>
      <c r="O65" s="6"/>
      <c r="P65" s="6"/>
      <c r="Q65" s="6"/>
      <c r="R65">
        <v>1</v>
      </c>
    </row>
    <row r="66" spans="1:20" ht="14.25" customHeight="1"/>
    <row r="67" spans="1:20" ht="14.25" customHeight="1">
      <c r="H67">
        <f t="shared" ref="H67:T67" si="1">SUBTOTAL(9,H3:H66)</f>
        <v>27895</v>
      </c>
      <c r="I67">
        <f t="shared" si="1"/>
        <v>1625</v>
      </c>
      <c r="J67">
        <f t="shared" si="1"/>
        <v>26270</v>
      </c>
      <c r="K67">
        <f t="shared" si="1"/>
        <v>0</v>
      </c>
      <c r="L67">
        <f t="shared" si="1"/>
        <v>0</v>
      </c>
      <c r="M67">
        <f t="shared" si="1"/>
        <v>0</v>
      </c>
      <c r="N67">
        <f t="shared" si="1"/>
        <v>0</v>
      </c>
      <c r="O67">
        <f t="shared" si="1"/>
        <v>0</v>
      </c>
      <c r="P67">
        <f t="shared" si="1"/>
        <v>0</v>
      </c>
      <c r="Q67">
        <f t="shared" si="1"/>
        <v>0</v>
      </c>
      <c r="R67">
        <f t="shared" si="1"/>
        <v>63</v>
      </c>
      <c r="S67">
        <f t="shared" si="1"/>
        <v>450</v>
      </c>
      <c r="T67">
        <f t="shared" si="1"/>
        <v>0</v>
      </c>
    </row>
    <row r="68" spans="1:20" ht="14.25" customHeight="1">
      <c r="J68">
        <v>-2351</v>
      </c>
      <c r="K68" t="s">
        <v>432</v>
      </c>
    </row>
    <row r="69" spans="1:20" ht="14.25" customHeight="1">
      <c r="J69">
        <v>-8108</v>
      </c>
      <c r="K69" t="s">
        <v>2451</v>
      </c>
    </row>
    <row r="70" spans="1:20" ht="14.25" customHeight="1"/>
    <row r="71" spans="1:20" ht="20.25" customHeight="1">
      <c r="I71" s="8" t="s">
        <v>2452</v>
      </c>
      <c r="J71" s="9" t="s">
        <v>434</v>
      </c>
      <c r="K71" s="10" t="s">
        <v>435</v>
      </c>
    </row>
    <row r="72" spans="1:20" ht="14.25" customHeight="1">
      <c r="I72" s="11" t="s">
        <v>436</v>
      </c>
      <c r="J72" s="12">
        <f>SUM(J66:J70)</f>
        <v>15811</v>
      </c>
      <c r="K72" s="12">
        <f>R67</f>
        <v>63</v>
      </c>
    </row>
    <row r="73" spans="1:20" ht="14.25" customHeight="1">
      <c r="I73" s="13" t="s">
        <v>437</v>
      </c>
      <c r="J73" s="14">
        <f>S66</f>
        <v>0</v>
      </c>
      <c r="K73" s="15"/>
    </row>
    <row r="74" spans="1:20" ht="14.25" customHeight="1">
      <c r="I74" s="13" t="s">
        <v>438</v>
      </c>
      <c r="J74" s="14">
        <f>T66</f>
        <v>0</v>
      </c>
      <c r="K74" s="15"/>
    </row>
    <row r="75" spans="1:20" ht="14.25" customHeight="1">
      <c r="I75" s="13" t="s">
        <v>439</v>
      </c>
      <c r="J75" s="14">
        <f>U66</f>
        <v>0</v>
      </c>
      <c r="K75" s="15"/>
    </row>
    <row r="76" spans="1:20" ht="14.25" customHeight="1">
      <c r="I76" s="13" t="s">
        <v>440</v>
      </c>
      <c r="J76" s="14">
        <f>V66</f>
        <v>0</v>
      </c>
      <c r="K76" s="15"/>
    </row>
    <row r="77" spans="1:20" ht="14.25" customHeight="1">
      <c r="I77" s="16" t="s">
        <v>441</v>
      </c>
      <c r="J77" s="17"/>
      <c r="K77" s="17"/>
    </row>
    <row r="78" spans="1:20" ht="14.25" customHeight="1">
      <c r="I78" s="18" t="s">
        <v>442</v>
      </c>
      <c r="J78" s="17"/>
      <c r="K78" s="17"/>
    </row>
    <row r="79" spans="1:20" ht="14.25" customHeight="1">
      <c r="I79" s="19" t="s">
        <v>443</v>
      </c>
      <c r="J79" s="20">
        <f>SUM(J72:J78)</f>
        <v>15811</v>
      </c>
      <c r="K79" s="20">
        <f>SUM(K72:K76)</f>
        <v>63</v>
      </c>
    </row>
    <row r="80" spans="1:20" ht="14.25" customHeight="1"/>
    <row r="81" spans="1:13" ht="14.25" customHeight="1">
      <c r="A81" t="s">
        <v>432</v>
      </c>
    </row>
    <row r="82" spans="1:13" ht="14.25" customHeight="1">
      <c r="A82" s="26" t="s">
        <v>19</v>
      </c>
      <c r="B82" s="26" t="s">
        <v>2146</v>
      </c>
      <c r="C82" s="26" t="s">
        <v>2147</v>
      </c>
      <c r="D82" s="26" t="s">
        <v>2148</v>
      </c>
      <c r="E82" s="26" t="s">
        <v>2149</v>
      </c>
      <c r="F82" s="26" t="s">
        <v>422</v>
      </c>
      <c r="G82" s="26">
        <v>35</v>
      </c>
      <c r="H82" s="26">
        <v>0</v>
      </c>
      <c r="I82" s="26">
        <f t="shared" ref="I82:I84" si="2">G82-H82</f>
        <v>35</v>
      </c>
      <c r="J82" s="26" t="s">
        <v>2453</v>
      </c>
      <c r="K82" s="26" t="s">
        <v>26</v>
      </c>
      <c r="L82" s="26" t="s">
        <v>1965</v>
      </c>
      <c r="M82" s="27" t="s">
        <v>2454</v>
      </c>
    </row>
    <row r="83" spans="1:13" ht="14.25" customHeight="1">
      <c r="A83" s="26" t="s">
        <v>19</v>
      </c>
      <c r="B83" s="26" t="s">
        <v>2138</v>
      </c>
      <c r="C83" s="26" t="s">
        <v>2139</v>
      </c>
      <c r="D83" s="26" t="s">
        <v>404</v>
      </c>
      <c r="E83" s="26" t="s">
        <v>405</v>
      </c>
      <c r="F83" s="26" t="s">
        <v>385</v>
      </c>
      <c r="G83" s="26">
        <v>1894</v>
      </c>
      <c r="H83" s="26">
        <v>0</v>
      </c>
      <c r="I83" s="26">
        <f t="shared" si="2"/>
        <v>1894</v>
      </c>
      <c r="J83" s="26" t="s">
        <v>2453</v>
      </c>
      <c r="K83" s="26" t="s">
        <v>26</v>
      </c>
      <c r="L83" s="26" t="s">
        <v>1965</v>
      </c>
      <c r="M83" s="27" t="s">
        <v>2455</v>
      </c>
    </row>
    <row r="84" spans="1:13" ht="14.25" customHeight="1">
      <c r="A84" s="26" t="s">
        <v>19</v>
      </c>
      <c r="B84" s="26" t="s">
        <v>1060</v>
      </c>
      <c r="C84" s="26" t="s">
        <v>2136</v>
      </c>
      <c r="D84" s="26" t="s">
        <v>2137</v>
      </c>
      <c r="E84" s="26" t="s">
        <v>394</v>
      </c>
      <c r="F84" s="26" t="s">
        <v>385</v>
      </c>
      <c r="G84" s="26">
        <v>422</v>
      </c>
      <c r="H84" s="26">
        <v>0</v>
      </c>
      <c r="I84" s="26">
        <f t="shared" si="2"/>
        <v>422</v>
      </c>
      <c r="J84" s="26" t="s">
        <v>2453</v>
      </c>
      <c r="K84" s="26" t="s">
        <v>26</v>
      </c>
      <c r="L84" s="26" t="s">
        <v>1965</v>
      </c>
      <c r="M84" s="27" t="s">
        <v>2456</v>
      </c>
    </row>
    <row r="85" spans="1:13" ht="14.25" customHeight="1"/>
    <row r="86" spans="1:13" ht="14.25" customHeight="1"/>
    <row r="87" spans="1:13" ht="14.25" customHeight="1"/>
    <row r="88" spans="1:13" ht="14.25" customHeight="1"/>
    <row r="89" spans="1:13" ht="14.25" customHeight="1"/>
    <row r="90" spans="1:13" ht="14.25" customHeight="1"/>
    <row r="91" spans="1:13" ht="14.25" customHeight="1"/>
    <row r="92" spans="1:13" ht="14.25" customHeight="1"/>
    <row r="93" spans="1:13" ht="14.25" customHeight="1"/>
    <row r="94" spans="1:13" ht="14.25" customHeight="1"/>
    <row r="95" spans="1:13" ht="14.25" customHeight="1"/>
    <row r="96" spans="1:13" ht="14.25" customHeight="1"/>
    <row r="97" ht="14.25" customHeight="1"/>
    <row r="98" ht="14.25" customHeight="1"/>
    <row r="99" ht="14.25" customHeight="1"/>
    <row r="100" ht="14.25" customHeight="1"/>
  </sheetData>
  <autoFilter ref="A2:Q65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0"/>
  <sheetViews>
    <sheetView workbookViewId="0"/>
  </sheetViews>
  <sheetFormatPr defaultColWidth="14.42578125" defaultRowHeight="15" customHeight="1"/>
  <cols>
    <col min="1" max="8" width="8.7109375" customWidth="1"/>
    <col min="9" max="9" width="25.28515625" bestFit="1" customWidth="1"/>
    <col min="10" max="10" width="15" bestFit="1" customWidth="1"/>
    <col min="11" max="19" width="8.7109375" customWidth="1"/>
  </cols>
  <sheetData>
    <row r="1" spans="1:19" ht="14.25" customHeight="1">
      <c r="B1" t="s">
        <v>1028</v>
      </c>
      <c r="C1" t="s">
        <v>2457</v>
      </c>
    </row>
    <row r="2" spans="1:19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ht="14.25" customHeight="1">
      <c r="A3" s="6"/>
      <c r="B3" s="6" t="s">
        <v>19</v>
      </c>
      <c r="C3" s="6" t="s">
        <v>2458</v>
      </c>
      <c r="D3" s="6" t="s">
        <v>2459</v>
      </c>
      <c r="E3" s="6">
        <v>200</v>
      </c>
      <c r="F3" s="6" t="s">
        <v>2460</v>
      </c>
      <c r="G3" s="6">
        <v>1</v>
      </c>
      <c r="H3" s="6">
        <v>731</v>
      </c>
      <c r="I3" s="6">
        <v>20</v>
      </c>
      <c r="J3" s="6">
        <f t="shared" ref="J3:J38" si="0">H3-I3</f>
        <v>711</v>
      </c>
      <c r="K3" s="6" t="s">
        <v>35</v>
      </c>
      <c r="L3" s="6" t="s">
        <v>26</v>
      </c>
      <c r="M3" s="6" t="s">
        <v>2461</v>
      </c>
      <c r="N3" s="6"/>
      <c r="O3" s="6"/>
      <c r="P3" s="6"/>
      <c r="Q3" s="6"/>
      <c r="R3">
        <v>1</v>
      </c>
    </row>
    <row r="4" spans="1:19" ht="14.25" customHeight="1">
      <c r="A4" s="6"/>
      <c r="B4" s="6" t="s">
        <v>19</v>
      </c>
      <c r="C4" s="6" t="s">
        <v>2462</v>
      </c>
      <c r="D4" s="6" t="s">
        <v>2463</v>
      </c>
      <c r="E4" s="6" t="s">
        <v>2464</v>
      </c>
      <c r="F4" s="6" t="s">
        <v>466</v>
      </c>
      <c r="G4" s="6">
        <v>1</v>
      </c>
      <c r="H4" s="6">
        <v>0</v>
      </c>
      <c r="I4" s="6">
        <v>20</v>
      </c>
      <c r="J4" s="6">
        <f t="shared" si="0"/>
        <v>-20</v>
      </c>
      <c r="K4" s="6" t="s">
        <v>35</v>
      </c>
      <c r="L4" s="6" t="s">
        <v>26</v>
      </c>
      <c r="M4" s="6" t="s">
        <v>2461</v>
      </c>
      <c r="N4" s="6"/>
      <c r="O4" s="6"/>
      <c r="P4" s="6"/>
      <c r="Q4" s="6"/>
      <c r="R4">
        <v>1</v>
      </c>
      <c r="S4">
        <v>20</v>
      </c>
    </row>
    <row r="5" spans="1:19" ht="14.25" customHeight="1">
      <c r="A5" s="6"/>
      <c r="B5" s="6" t="s">
        <v>19</v>
      </c>
      <c r="C5" s="6" t="s">
        <v>2465</v>
      </c>
      <c r="D5" s="6" t="s">
        <v>2466</v>
      </c>
      <c r="E5" s="6" t="s">
        <v>2467</v>
      </c>
      <c r="F5" s="6" t="s">
        <v>2468</v>
      </c>
      <c r="G5" s="6">
        <v>3</v>
      </c>
      <c r="H5" s="6">
        <v>641</v>
      </c>
      <c r="I5" s="6">
        <v>20</v>
      </c>
      <c r="J5" s="6">
        <f t="shared" si="0"/>
        <v>621</v>
      </c>
      <c r="K5" s="6" t="s">
        <v>35</v>
      </c>
      <c r="L5" s="6" t="s">
        <v>26</v>
      </c>
      <c r="M5" s="6" t="s">
        <v>2461</v>
      </c>
      <c r="N5" s="6"/>
      <c r="O5" s="6"/>
      <c r="P5" s="6"/>
      <c r="Q5" s="6"/>
      <c r="R5">
        <v>1</v>
      </c>
    </row>
    <row r="6" spans="1:19" ht="14.25" customHeight="1">
      <c r="A6" s="6"/>
      <c r="B6" s="6" t="s">
        <v>19</v>
      </c>
      <c r="C6" s="6" t="s">
        <v>1262</v>
      </c>
      <c r="D6" s="6" t="s">
        <v>2469</v>
      </c>
      <c r="E6" s="6">
        <v>174</v>
      </c>
      <c r="F6" s="6" t="s">
        <v>75</v>
      </c>
      <c r="G6" s="6">
        <v>4</v>
      </c>
      <c r="H6" s="6">
        <v>736</v>
      </c>
      <c r="I6" s="6">
        <v>25</v>
      </c>
      <c r="J6" s="6">
        <f t="shared" si="0"/>
        <v>711</v>
      </c>
      <c r="K6" s="6" t="s">
        <v>35</v>
      </c>
      <c r="L6" s="6" t="s">
        <v>26</v>
      </c>
      <c r="M6" s="6" t="s">
        <v>2461</v>
      </c>
      <c r="N6" s="6"/>
      <c r="O6" s="6"/>
      <c r="P6" s="6"/>
      <c r="Q6" s="6"/>
      <c r="R6">
        <v>1</v>
      </c>
    </row>
    <row r="7" spans="1:19" ht="14.25" customHeight="1">
      <c r="A7" s="6"/>
      <c r="B7" s="6" t="s">
        <v>19</v>
      </c>
      <c r="C7" s="6" t="s">
        <v>1660</v>
      </c>
      <c r="D7" s="6" t="s">
        <v>2470</v>
      </c>
      <c r="E7" s="6">
        <v>66</v>
      </c>
      <c r="F7" s="6" t="s">
        <v>86</v>
      </c>
      <c r="G7" s="6">
        <v>10</v>
      </c>
      <c r="H7" s="6">
        <v>1555</v>
      </c>
      <c r="I7" s="6">
        <v>25</v>
      </c>
      <c r="J7" s="6">
        <f t="shared" si="0"/>
        <v>1530</v>
      </c>
      <c r="K7" s="6" t="s">
        <v>35</v>
      </c>
      <c r="L7" s="6" t="s">
        <v>26</v>
      </c>
      <c r="M7" s="6" t="s">
        <v>2461</v>
      </c>
      <c r="N7" s="6"/>
      <c r="O7" s="6"/>
      <c r="P7" s="6"/>
      <c r="Q7" s="6"/>
      <c r="R7">
        <v>1</v>
      </c>
    </row>
    <row r="8" spans="1:19" ht="14.25" customHeight="1">
      <c r="A8" s="6"/>
      <c r="B8" s="6" t="s">
        <v>19</v>
      </c>
      <c r="C8" s="6" t="s">
        <v>2471</v>
      </c>
      <c r="D8" s="6" t="s">
        <v>2472</v>
      </c>
      <c r="E8" s="6" t="s">
        <v>2473</v>
      </c>
      <c r="F8" s="6" t="s">
        <v>105</v>
      </c>
      <c r="G8" s="6">
        <v>10</v>
      </c>
      <c r="H8" s="6">
        <v>799</v>
      </c>
      <c r="I8" s="6">
        <v>25</v>
      </c>
      <c r="J8" s="6">
        <f t="shared" si="0"/>
        <v>774</v>
      </c>
      <c r="K8" s="6" t="s">
        <v>35</v>
      </c>
      <c r="L8" s="6" t="s">
        <v>26</v>
      </c>
      <c r="M8" s="6" t="s">
        <v>2461</v>
      </c>
      <c r="N8" s="6"/>
      <c r="O8" s="6"/>
      <c r="P8" s="6"/>
      <c r="Q8" s="6"/>
      <c r="R8">
        <v>1</v>
      </c>
    </row>
    <row r="9" spans="1:19" ht="14.25" customHeight="1">
      <c r="A9" s="6"/>
      <c r="B9" s="6" t="s">
        <v>19</v>
      </c>
      <c r="C9" s="6" t="s">
        <v>527</v>
      </c>
      <c r="D9" s="6" t="s">
        <v>2474</v>
      </c>
      <c r="E9" s="6" t="s">
        <v>2475</v>
      </c>
      <c r="F9" s="6" t="s">
        <v>111</v>
      </c>
      <c r="G9" s="6">
        <v>10</v>
      </c>
      <c r="H9" s="6">
        <v>736</v>
      </c>
      <c r="I9" s="6">
        <v>25</v>
      </c>
      <c r="J9" s="6">
        <f t="shared" si="0"/>
        <v>711</v>
      </c>
      <c r="K9" s="6" t="s">
        <v>35</v>
      </c>
      <c r="L9" s="6" t="s">
        <v>26</v>
      </c>
      <c r="M9" s="6" t="s">
        <v>2461</v>
      </c>
      <c r="N9" s="7" t="s">
        <v>2476</v>
      </c>
      <c r="O9" s="6"/>
      <c r="P9" s="6"/>
      <c r="Q9" s="6"/>
      <c r="R9">
        <v>1</v>
      </c>
    </row>
    <row r="10" spans="1:19" ht="14.25" customHeight="1">
      <c r="A10" s="6"/>
      <c r="B10" s="6" t="s">
        <v>19</v>
      </c>
      <c r="C10" s="6" t="s">
        <v>2477</v>
      </c>
      <c r="D10" s="6" t="s">
        <v>2478</v>
      </c>
      <c r="E10" s="6" t="s">
        <v>2479</v>
      </c>
      <c r="F10" s="6" t="s">
        <v>124</v>
      </c>
      <c r="G10" s="6" t="s">
        <v>117</v>
      </c>
      <c r="H10" s="6">
        <v>780</v>
      </c>
      <c r="I10" s="6">
        <v>20</v>
      </c>
      <c r="J10" s="6">
        <f t="shared" si="0"/>
        <v>760</v>
      </c>
      <c r="K10" s="6" t="s">
        <v>35</v>
      </c>
      <c r="L10" s="6" t="s">
        <v>26</v>
      </c>
      <c r="M10" s="6" t="s">
        <v>2461</v>
      </c>
      <c r="N10" s="6"/>
      <c r="O10" s="6"/>
      <c r="P10" s="6"/>
      <c r="Q10" s="6"/>
      <c r="R10">
        <v>1</v>
      </c>
    </row>
    <row r="11" spans="1:19" ht="14.25" customHeight="1">
      <c r="A11" s="6"/>
      <c r="B11" s="6" t="s">
        <v>19</v>
      </c>
      <c r="C11" s="6" t="s">
        <v>2480</v>
      </c>
      <c r="D11" s="6" t="s">
        <v>2481</v>
      </c>
      <c r="E11" s="6" t="s">
        <v>138</v>
      </c>
      <c r="F11" s="6" t="s">
        <v>139</v>
      </c>
      <c r="G11" s="6" t="s">
        <v>128</v>
      </c>
      <c r="H11" s="6">
        <v>547</v>
      </c>
      <c r="I11" s="6">
        <v>25</v>
      </c>
      <c r="J11" s="6">
        <f t="shared" si="0"/>
        <v>522</v>
      </c>
      <c r="K11" s="6" t="s">
        <v>35</v>
      </c>
      <c r="L11" s="6" t="s">
        <v>26</v>
      </c>
      <c r="M11" s="6" t="s">
        <v>2461</v>
      </c>
      <c r="N11" s="6"/>
      <c r="O11" s="6"/>
      <c r="P11" s="6"/>
      <c r="Q11" s="6"/>
      <c r="R11">
        <v>1</v>
      </c>
    </row>
    <row r="12" spans="1:19" ht="14.25" customHeight="1">
      <c r="A12" s="6"/>
      <c r="B12" s="6" t="s">
        <v>19</v>
      </c>
      <c r="C12" s="6" t="s">
        <v>2482</v>
      </c>
      <c r="D12" s="6" t="s">
        <v>2483</v>
      </c>
      <c r="E12" s="6" t="s">
        <v>2484</v>
      </c>
      <c r="F12" s="6" t="s">
        <v>2485</v>
      </c>
      <c r="G12" s="6" t="s">
        <v>128</v>
      </c>
      <c r="H12" s="6">
        <v>718</v>
      </c>
      <c r="I12" s="6">
        <v>25</v>
      </c>
      <c r="J12" s="6">
        <f t="shared" si="0"/>
        <v>693</v>
      </c>
      <c r="K12" s="6" t="s">
        <v>35</v>
      </c>
      <c r="L12" s="6" t="s">
        <v>26</v>
      </c>
      <c r="M12" s="6" t="s">
        <v>2461</v>
      </c>
      <c r="N12" s="6"/>
      <c r="O12" s="6"/>
      <c r="P12" s="6"/>
      <c r="Q12" s="6"/>
      <c r="R12">
        <v>1</v>
      </c>
    </row>
    <row r="13" spans="1:19" ht="14.25" customHeight="1">
      <c r="A13" s="6"/>
      <c r="B13" s="6" t="s">
        <v>19</v>
      </c>
      <c r="C13" s="6" t="s">
        <v>2486</v>
      </c>
      <c r="D13" s="6" t="s">
        <v>2487</v>
      </c>
      <c r="E13" s="6" t="s">
        <v>2488</v>
      </c>
      <c r="F13" s="6" t="s">
        <v>2485</v>
      </c>
      <c r="G13" s="6" t="s">
        <v>128</v>
      </c>
      <c r="H13" s="6">
        <v>907</v>
      </c>
      <c r="I13" s="6">
        <v>25</v>
      </c>
      <c r="J13" s="6">
        <f t="shared" si="0"/>
        <v>882</v>
      </c>
      <c r="K13" s="6" t="s">
        <v>35</v>
      </c>
      <c r="L13" s="6" t="s">
        <v>26</v>
      </c>
      <c r="M13" s="6" t="s">
        <v>2461</v>
      </c>
      <c r="N13" s="6"/>
      <c r="O13" s="6"/>
      <c r="P13" s="6"/>
      <c r="Q13" s="6"/>
      <c r="R13">
        <v>1</v>
      </c>
    </row>
    <row r="14" spans="1:19" ht="14.25" customHeight="1">
      <c r="A14" s="6" t="s">
        <v>37</v>
      </c>
      <c r="B14" s="6" t="s">
        <v>19</v>
      </c>
      <c r="C14" s="6" t="s">
        <v>896</v>
      </c>
      <c r="D14" s="6"/>
      <c r="E14" s="6" t="s">
        <v>897</v>
      </c>
      <c r="F14" s="6" t="s">
        <v>150</v>
      </c>
      <c r="G14" s="6" t="s">
        <v>128</v>
      </c>
      <c r="H14" s="6">
        <v>30</v>
      </c>
      <c r="I14" s="6">
        <v>30</v>
      </c>
      <c r="J14" s="6">
        <f t="shared" si="0"/>
        <v>0</v>
      </c>
      <c r="K14" s="6" t="s">
        <v>35</v>
      </c>
      <c r="L14" s="6" t="s">
        <v>26</v>
      </c>
      <c r="M14" s="6" t="s">
        <v>2461</v>
      </c>
      <c r="N14" s="6"/>
      <c r="O14" s="6"/>
      <c r="P14" s="6"/>
      <c r="Q14" s="6"/>
      <c r="R14">
        <v>1</v>
      </c>
    </row>
    <row r="15" spans="1:19" ht="14.25" customHeight="1">
      <c r="A15" s="6" t="s">
        <v>37</v>
      </c>
      <c r="B15" s="6" t="s">
        <v>19</v>
      </c>
      <c r="C15" s="6" t="s">
        <v>270</v>
      </c>
      <c r="D15" s="6"/>
      <c r="E15" s="6" t="s">
        <v>271</v>
      </c>
      <c r="F15" s="6" t="s">
        <v>272</v>
      </c>
      <c r="G15" s="6">
        <v>6</v>
      </c>
      <c r="H15" s="6">
        <v>0</v>
      </c>
      <c r="I15" s="6">
        <v>30</v>
      </c>
      <c r="J15" s="6">
        <f t="shared" si="0"/>
        <v>-30</v>
      </c>
      <c r="K15" s="6" t="s">
        <v>2489</v>
      </c>
      <c r="L15" s="6" t="s">
        <v>26</v>
      </c>
      <c r="M15" s="6" t="s">
        <v>2461</v>
      </c>
      <c r="N15" s="6"/>
      <c r="O15" s="6"/>
      <c r="P15" s="6"/>
      <c r="Q15" s="6"/>
      <c r="R15">
        <v>1</v>
      </c>
      <c r="S15">
        <v>30</v>
      </c>
    </row>
    <row r="16" spans="1:19" ht="14.25" customHeight="1">
      <c r="A16" s="6"/>
      <c r="B16" s="6" t="s">
        <v>19</v>
      </c>
      <c r="C16" s="6" t="s">
        <v>275</v>
      </c>
      <c r="D16" s="6" t="s">
        <v>2490</v>
      </c>
      <c r="E16" s="6">
        <v>66</v>
      </c>
      <c r="F16" s="6" t="s">
        <v>277</v>
      </c>
      <c r="G16" s="6">
        <v>6</v>
      </c>
      <c r="H16" s="6">
        <v>0</v>
      </c>
      <c r="I16" s="6">
        <v>25</v>
      </c>
      <c r="J16" s="6">
        <f t="shared" si="0"/>
        <v>-25</v>
      </c>
      <c r="K16" s="6" t="s">
        <v>2489</v>
      </c>
      <c r="L16" s="6" t="s">
        <v>26</v>
      </c>
      <c r="M16" s="6" t="s">
        <v>2461</v>
      </c>
      <c r="N16" s="6"/>
      <c r="O16" s="6"/>
      <c r="P16" s="6"/>
      <c r="Q16" s="6"/>
      <c r="R16">
        <v>1</v>
      </c>
      <c r="S16">
        <v>25</v>
      </c>
    </row>
    <row r="17" spans="1:19" ht="14.25" customHeight="1">
      <c r="A17" s="6"/>
      <c r="B17" s="6" t="s">
        <v>19</v>
      </c>
      <c r="C17" s="6" t="s">
        <v>2491</v>
      </c>
      <c r="D17" s="6" t="s">
        <v>2492</v>
      </c>
      <c r="E17" s="6" t="s">
        <v>2493</v>
      </c>
      <c r="F17" s="6" t="s">
        <v>2494</v>
      </c>
      <c r="G17" s="6">
        <v>7</v>
      </c>
      <c r="H17" s="6">
        <v>1515</v>
      </c>
      <c r="I17" s="6">
        <v>30</v>
      </c>
      <c r="J17" s="6">
        <f t="shared" si="0"/>
        <v>1485</v>
      </c>
      <c r="K17" s="6" t="s">
        <v>2489</v>
      </c>
      <c r="L17" s="6" t="s">
        <v>26</v>
      </c>
      <c r="M17" s="6" t="s">
        <v>2461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2495</v>
      </c>
      <c r="D18" s="6" t="s">
        <v>2496</v>
      </c>
      <c r="E18" s="6" t="s">
        <v>2497</v>
      </c>
      <c r="F18" s="6" t="s">
        <v>2498</v>
      </c>
      <c r="G18" s="6">
        <v>7</v>
      </c>
      <c r="H18" s="6">
        <v>741</v>
      </c>
      <c r="I18" s="6">
        <v>30</v>
      </c>
      <c r="J18" s="6">
        <f t="shared" si="0"/>
        <v>711</v>
      </c>
      <c r="K18" s="6" t="s">
        <v>2489</v>
      </c>
      <c r="L18" s="6" t="s">
        <v>26</v>
      </c>
      <c r="M18" s="6" t="s">
        <v>2461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1954</v>
      </c>
      <c r="D19" s="6" t="s">
        <v>2499</v>
      </c>
      <c r="E19" s="6" t="s">
        <v>2500</v>
      </c>
      <c r="F19" s="6" t="s">
        <v>2501</v>
      </c>
      <c r="G19" s="6">
        <v>8</v>
      </c>
      <c r="H19" s="6">
        <v>741</v>
      </c>
      <c r="I19" s="6">
        <v>30</v>
      </c>
      <c r="J19" s="6">
        <f t="shared" si="0"/>
        <v>711</v>
      </c>
      <c r="K19" s="6" t="s">
        <v>2489</v>
      </c>
      <c r="L19" s="6" t="s">
        <v>26</v>
      </c>
      <c r="M19" s="6" t="s">
        <v>2461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2502</v>
      </c>
      <c r="D20" s="6" t="s">
        <v>2503</v>
      </c>
      <c r="E20" s="6" t="s">
        <v>2504</v>
      </c>
      <c r="F20" s="6" t="s">
        <v>1097</v>
      </c>
      <c r="G20" s="6">
        <v>8</v>
      </c>
      <c r="H20" s="6">
        <v>1492</v>
      </c>
      <c r="I20" s="6">
        <v>25</v>
      </c>
      <c r="J20" s="6">
        <f t="shared" si="0"/>
        <v>1467</v>
      </c>
      <c r="K20" s="6" t="s">
        <v>2489</v>
      </c>
      <c r="L20" s="6" t="s">
        <v>26</v>
      </c>
      <c r="M20" s="6" t="s">
        <v>2461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2417</v>
      </c>
      <c r="D21" s="6" t="s">
        <v>2505</v>
      </c>
      <c r="E21" s="6" t="s">
        <v>2506</v>
      </c>
      <c r="F21" s="6" t="s">
        <v>356</v>
      </c>
      <c r="G21" s="6">
        <v>12</v>
      </c>
      <c r="H21" s="6">
        <v>820</v>
      </c>
      <c r="I21" s="6">
        <v>30</v>
      </c>
      <c r="J21" s="6">
        <f t="shared" si="0"/>
        <v>790</v>
      </c>
      <c r="K21" s="6" t="s">
        <v>2489</v>
      </c>
      <c r="L21" s="6" t="s">
        <v>26</v>
      </c>
      <c r="M21" s="6" t="s">
        <v>2461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2507</v>
      </c>
      <c r="D22" s="6" t="s">
        <v>2508</v>
      </c>
      <c r="E22" s="6" t="s">
        <v>2509</v>
      </c>
      <c r="F22" s="6" t="s">
        <v>2510</v>
      </c>
      <c r="G22" s="6">
        <v>12</v>
      </c>
      <c r="H22" s="6">
        <v>1020</v>
      </c>
      <c r="I22" s="6">
        <v>30</v>
      </c>
      <c r="J22" s="6">
        <f t="shared" si="0"/>
        <v>990</v>
      </c>
      <c r="K22" s="6" t="s">
        <v>2489</v>
      </c>
      <c r="L22" s="6" t="s">
        <v>26</v>
      </c>
      <c r="M22" s="6" t="s">
        <v>2461</v>
      </c>
      <c r="N22" s="6"/>
      <c r="O22" s="6"/>
      <c r="P22" s="6"/>
      <c r="Q22" s="6"/>
      <c r="R22">
        <v>1</v>
      </c>
    </row>
    <row r="23" spans="1:19" ht="14.25" customHeight="1">
      <c r="A23" s="6"/>
      <c r="B23" s="6" t="s">
        <v>19</v>
      </c>
      <c r="C23" s="6" t="s">
        <v>2511</v>
      </c>
      <c r="D23" s="6" t="s">
        <v>2512</v>
      </c>
      <c r="E23" s="6">
        <v>35</v>
      </c>
      <c r="F23" s="6" t="s">
        <v>2513</v>
      </c>
      <c r="G23" s="6" t="s">
        <v>128</v>
      </c>
      <c r="H23" s="6">
        <v>845</v>
      </c>
      <c r="I23" s="6">
        <v>25</v>
      </c>
      <c r="J23" s="6">
        <f t="shared" si="0"/>
        <v>820</v>
      </c>
      <c r="K23" s="6" t="s">
        <v>2489</v>
      </c>
      <c r="L23" s="6" t="s">
        <v>26</v>
      </c>
      <c r="M23" s="6" t="s">
        <v>2461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2514</v>
      </c>
      <c r="D24" s="6" t="s">
        <v>2515</v>
      </c>
      <c r="E24" s="6" t="s">
        <v>2516</v>
      </c>
      <c r="F24" s="6" t="s">
        <v>693</v>
      </c>
      <c r="G24" s="6" t="s">
        <v>128</v>
      </c>
      <c r="H24" s="6">
        <v>0</v>
      </c>
      <c r="I24" s="6">
        <v>25</v>
      </c>
      <c r="J24" s="6">
        <f t="shared" si="0"/>
        <v>-25</v>
      </c>
      <c r="K24" s="6" t="s">
        <v>2489</v>
      </c>
      <c r="L24" s="6" t="s">
        <v>26</v>
      </c>
      <c r="M24" s="6" t="s">
        <v>2461</v>
      </c>
      <c r="N24" s="6"/>
      <c r="O24" s="6"/>
      <c r="P24" s="6"/>
      <c r="Q24" s="6"/>
      <c r="R24">
        <v>1</v>
      </c>
      <c r="S24">
        <v>25</v>
      </c>
    </row>
    <row r="25" spans="1:19" ht="14.25" customHeight="1">
      <c r="A25" s="6"/>
      <c r="B25" s="6" t="s">
        <v>19</v>
      </c>
      <c r="C25" s="6" t="s">
        <v>2517</v>
      </c>
      <c r="D25" s="6" t="s">
        <v>2518</v>
      </c>
      <c r="E25" s="6" t="s">
        <v>2519</v>
      </c>
      <c r="F25" s="6" t="s">
        <v>360</v>
      </c>
      <c r="G25" s="6">
        <v>9</v>
      </c>
      <c r="H25" s="6">
        <v>696</v>
      </c>
      <c r="I25" s="6">
        <v>30</v>
      </c>
      <c r="J25" s="6">
        <f t="shared" si="0"/>
        <v>666</v>
      </c>
      <c r="K25" s="6" t="s">
        <v>26</v>
      </c>
      <c r="L25" s="6" t="s">
        <v>26</v>
      </c>
      <c r="M25" s="6" t="s">
        <v>2461</v>
      </c>
      <c r="N25" s="6"/>
      <c r="O25" s="6"/>
      <c r="P25" s="6"/>
      <c r="Q25" s="6"/>
      <c r="R25">
        <v>1</v>
      </c>
    </row>
    <row r="26" spans="1:19" ht="14.25" customHeight="1">
      <c r="A26" s="6" t="s">
        <v>37</v>
      </c>
      <c r="B26" s="6" t="s">
        <v>19</v>
      </c>
      <c r="C26" s="6" t="s">
        <v>2520</v>
      </c>
      <c r="D26" s="6"/>
      <c r="E26" s="6" t="s">
        <v>2521</v>
      </c>
      <c r="F26" s="6" t="s">
        <v>63</v>
      </c>
      <c r="G26" s="6">
        <v>9</v>
      </c>
      <c r="H26" s="6">
        <v>35</v>
      </c>
      <c r="I26" s="6">
        <v>35</v>
      </c>
      <c r="J26" s="6">
        <f t="shared" si="0"/>
        <v>0</v>
      </c>
      <c r="K26" s="6" t="s">
        <v>26</v>
      </c>
      <c r="L26" s="6" t="s">
        <v>26</v>
      </c>
      <c r="M26" s="6" t="s">
        <v>2461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643</v>
      </c>
      <c r="D27" s="6" t="s">
        <v>2522</v>
      </c>
      <c r="E27" s="6" t="s">
        <v>2523</v>
      </c>
      <c r="F27" s="6" t="s">
        <v>90</v>
      </c>
      <c r="G27" s="6" t="s">
        <v>181</v>
      </c>
      <c r="H27" s="6">
        <v>524</v>
      </c>
      <c r="I27" s="6">
        <v>20</v>
      </c>
      <c r="J27" s="6">
        <f t="shared" si="0"/>
        <v>504</v>
      </c>
      <c r="K27" s="6" t="s">
        <v>26</v>
      </c>
      <c r="L27" s="6" t="s">
        <v>26</v>
      </c>
      <c r="M27" s="6" t="s">
        <v>2461</v>
      </c>
      <c r="N27" s="6"/>
      <c r="O27" s="6"/>
      <c r="P27" s="6"/>
      <c r="Q27" s="6"/>
      <c r="R27">
        <v>1</v>
      </c>
    </row>
    <row r="28" spans="1:19" ht="14.25" customHeight="1">
      <c r="A28" s="6"/>
      <c r="B28" s="6" t="s">
        <v>19</v>
      </c>
      <c r="C28" s="6" t="s">
        <v>2434</v>
      </c>
      <c r="D28" s="6" t="s">
        <v>2524</v>
      </c>
      <c r="E28" s="6">
        <v>74</v>
      </c>
      <c r="F28" s="6" t="s">
        <v>2525</v>
      </c>
      <c r="G28" s="6" t="s">
        <v>181</v>
      </c>
      <c r="H28" s="6">
        <v>840</v>
      </c>
      <c r="I28" s="6">
        <v>20</v>
      </c>
      <c r="J28" s="6">
        <f t="shared" si="0"/>
        <v>820</v>
      </c>
      <c r="K28" s="6" t="s">
        <v>26</v>
      </c>
      <c r="L28" s="6" t="s">
        <v>26</v>
      </c>
      <c r="M28" s="6" t="s">
        <v>2461</v>
      </c>
      <c r="N28" s="6"/>
      <c r="O28" s="6"/>
      <c r="P28" s="6"/>
      <c r="Q28" s="6"/>
      <c r="R28">
        <v>1</v>
      </c>
    </row>
    <row r="29" spans="1:19" ht="14.25" customHeight="1">
      <c r="A29" s="6"/>
      <c r="B29" s="6" t="s">
        <v>19</v>
      </c>
      <c r="C29" s="6" t="s">
        <v>2526</v>
      </c>
      <c r="D29" s="6" t="s">
        <v>2527</v>
      </c>
      <c r="E29" s="6" t="s">
        <v>2528</v>
      </c>
      <c r="F29" s="6" t="s">
        <v>63</v>
      </c>
      <c r="G29" s="6" t="s">
        <v>181</v>
      </c>
      <c r="H29" s="6">
        <v>0</v>
      </c>
      <c r="I29" s="6">
        <v>20</v>
      </c>
      <c r="J29" s="6">
        <f t="shared" si="0"/>
        <v>-20</v>
      </c>
      <c r="K29" s="6" t="s">
        <v>26</v>
      </c>
      <c r="L29" s="6" t="s">
        <v>26</v>
      </c>
      <c r="M29" s="6" t="s">
        <v>2461</v>
      </c>
      <c r="N29" s="6"/>
      <c r="O29" s="6"/>
      <c r="P29" s="6"/>
      <c r="Q29" s="6"/>
      <c r="R29">
        <v>1</v>
      </c>
      <c r="S29">
        <v>20</v>
      </c>
    </row>
    <row r="30" spans="1:19" ht="14.25" customHeight="1">
      <c r="A30" s="6"/>
      <c r="B30" s="6" t="s">
        <v>19</v>
      </c>
      <c r="C30" s="6" t="s">
        <v>2529</v>
      </c>
      <c r="D30" s="6" t="s">
        <v>2530</v>
      </c>
      <c r="E30" s="6" t="s">
        <v>2531</v>
      </c>
      <c r="F30" s="6" t="s">
        <v>63</v>
      </c>
      <c r="G30" s="6" t="s">
        <v>181</v>
      </c>
      <c r="H30" s="6">
        <v>911</v>
      </c>
      <c r="I30" s="6">
        <v>20</v>
      </c>
      <c r="J30" s="6">
        <f t="shared" si="0"/>
        <v>891</v>
      </c>
      <c r="K30" s="6" t="s">
        <v>26</v>
      </c>
      <c r="L30" s="6" t="s">
        <v>26</v>
      </c>
      <c r="M30" s="6" t="s">
        <v>2461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2532</v>
      </c>
      <c r="D31" s="6" t="s">
        <v>2533</v>
      </c>
      <c r="E31" s="6" t="s">
        <v>2534</v>
      </c>
      <c r="F31" s="6" t="s">
        <v>63</v>
      </c>
      <c r="G31" s="6" t="s">
        <v>181</v>
      </c>
      <c r="H31" s="6">
        <v>731</v>
      </c>
      <c r="I31" s="6">
        <v>20</v>
      </c>
      <c r="J31" s="6">
        <f t="shared" si="0"/>
        <v>711</v>
      </c>
      <c r="K31" s="6" t="s">
        <v>26</v>
      </c>
      <c r="L31" s="6" t="s">
        <v>26</v>
      </c>
      <c r="M31" s="6" t="s">
        <v>2461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2535</v>
      </c>
      <c r="D32" s="6" t="s">
        <v>2536</v>
      </c>
      <c r="E32" s="6" t="s">
        <v>1559</v>
      </c>
      <c r="F32" s="6" t="s">
        <v>2537</v>
      </c>
      <c r="G32" s="6" t="s">
        <v>220</v>
      </c>
      <c r="H32" s="6">
        <v>691</v>
      </c>
      <c r="I32" s="6">
        <v>25</v>
      </c>
      <c r="J32" s="6">
        <f t="shared" si="0"/>
        <v>666</v>
      </c>
      <c r="K32" s="6" t="s">
        <v>26</v>
      </c>
      <c r="L32" s="6" t="s">
        <v>26</v>
      </c>
      <c r="M32" s="6" t="s">
        <v>2461</v>
      </c>
      <c r="N32" s="6"/>
      <c r="O32" s="6"/>
      <c r="P32" s="6"/>
      <c r="Q32" s="6"/>
      <c r="R32">
        <v>1</v>
      </c>
    </row>
    <row r="33" spans="1:19" ht="14.25" customHeight="1">
      <c r="A33" s="6"/>
      <c r="B33" s="6" t="s">
        <v>19</v>
      </c>
      <c r="C33" s="6" t="s">
        <v>2535</v>
      </c>
      <c r="D33" s="6" t="s">
        <v>2538</v>
      </c>
      <c r="E33" s="6" t="s">
        <v>1559</v>
      </c>
      <c r="F33" s="6" t="s">
        <v>2537</v>
      </c>
      <c r="G33" s="6" t="s">
        <v>220</v>
      </c>
      <c r="H33" s="6">
        <v>864</v>
      </c>
      <c r="I33" s="6">
        <v>0</v>
      </c>
      <c r="J33" s="6">
        <f t="shared" si="0"/>
        <v>864</v>
      </c>
      <c r="K33" s="6" t="s">
        <v>26</v>
      </c>
      <c r="L33" s="6" t="s">
        <v>26</v>
      </c>
      <c r="M33" s="6" t="s">
        <v>2461</v>
      </c>
      <c r="N33" s="7" t="s">
        <v>298</v>
      </c>
      <c r="O33" s="6"/>
      <c r="P33" s="6"/>
      <c r="Q33" s="6"/>
      <c r="R33">
        <v>1</v>
      </c>
    </row>
    <row r="34" spans="1:19" ht="14.25" customHeight="1">
      <c r="A34" s="6"/>
      <c r="B34" s="6" t="s">
        <v>19</v>
      </c>
      <c r="C34" s="6" t="s">
        <v>2539</v>
      </c>
      <c r="D34" s="6" t="s">
        <v>2540</v>
      </c>
      <c r="E34" s="6" t="s">
        <v>999</v>
      </c>
      <c r="F34" s="6" t="s">
        <v>1000</v>
      </c>
      <c r="G34" s="6" t="s">
        <v>220</v>
      </c>
      <c r="H34" s="6">
        <v>763</v>
      </c>
      <c r="I34" s="6">
        <v>25</v>
      </c>
      <c r="J34" s="6">
        <f t="shared" si="0"/>
        <v>738</v>
      </c>
      <c r="K34" s="6" t="s">
        <v>26</v>
      </c>
      <c r="L34" s="6" t="s">
        <v>26</v>
      </c>
      <c r="M34" s="6" t="s">
        <v>2461</v>
      </c>
      <c r="N34" s="6"/>
      <c r="O34" s="6"/>
      <c r="P34" s="6"/>
      <c r="Q34" s="6"/>
      <c r="R34">
        <v>1</v>
      </c>
    </row>
    <row r="35" spans="1:19" ht="14.25" customHeight="1">
      <c r="A35" s="6" t="s">
        <v>37</v>
      </c>
      <c r="B35" s="6" t="s">
        <v>19</v>
      </c>
      <c r="C35" s="6" t="s">
        <v>2541</v>
      </c>
      <c r="D35" s="6"/>
      <c r="E35" s="6">
        <v>401</v>
      </c>
      <c r="F35" s="6" t="s">
        <v>236</v>
      </c>
      <c r="G35" s="6" t="s">
        <v>220</v>
      </c>
      <c r="H35" s="6">
        <v>7310</v>
      </c>
      <c r="I35" s="6">
        <v>30</v>
      </c>
      <c r="J35" s="6">
        <f t="shared" si="0"/>
        <v>7280</v>
      </c>
      <c r="K35" s="6" t="s">
        <v>26</v>
      </c>
      <c r="L35" s="6" t="s">
        <v>26</v>
      </c>
      <c r="M35" s="6" t="s">
        <v>2461</v>
      </c>
      <c r="N35" s="6"/>
      <c r="O35" s="6"/>
      <c r="P35" s="6"/>
      <c r="Q35" s="6"/>
      <c r="R35">
        <v>1</v>
      </c>
    </row>
    <row r="36" spans="1:19" ht="14.25" customHeight="1">
      <c r="A36" s="6"/>
      <c r="B36" s="6" t="s">
        <v>19</v>
      </c>
      <c r="C36" s="6" t="s">
        <v>1877</v>
      </c>
      <c r="D36" s="6" t="s">
        <v>2542</v>
      </c>
      <c r="E36" s="6">
        <v>51</v>
      </c>
      <c r="F36" s="6" t="s">
        <v>2543</v>
      </c>
      <c r="G36" s="6" t="s">
        <v>128</v>
      </c>
      <c r="H36" s="6">
        <v>718</v>
      </c>
      <c r="I36" s="6">
        <v>25</v>
      </c>
      <c r="J36" s="6">
        <f t="shared" si="0"/>
        <v>693</v>
      </c>
      <c r="K36" s="6" t="s">
        <v>26</v>
      </c>
      <c r="L36" s="6" t="s">
        <v>26</v>
      </c>
      <c r="M36" s="6" t="s">
        <v>2461</v>
      </c>
      <c r="N36" s="6"/>
      <c r="O36" s="6"/>
      <c r="P36" s="6"/>
      <c r="Q36" s="6"/>
      <c r="R36">
        <v>1</v>
      </c>
    </row>
    <row r="37" spans="1:19" ht="14.25" customHeight="1">
      <c r="A37" s="6" t="s">
        <v>37</v>
      </c>
      <c r="B37" s="6" t="s">
        <v>19</v>
      </c>
      <c r="C37" s="6" t="s">
        <v>2544</v>
      </c>
      <c r="D37" s="6"/>
      <c r="E37" s="6" t="s">
        <v>587</v>
      </c>
      <c r="F37" s="6" t="s">
        <v>895</v>
      </c>
      <c r="G37" s="6" t="s">
        <v>128</v>
      </c>
      <c r="H37" s="6">
        <v>30</v>
      </c>
      <c r="I37" s="6">
        <v>30</v>
      </c>
      <c r="J37" s="6">
        <f t="shared" si="0"/>
        <v>0</v>
      </c>
      <c r="K37" s="6" t="s">
        <v>26</v>
      </c>
      <c r="L37" s="6" t="s">
        <v>26</v>
      </c>
      <c r="M37" s="6" t="s">
        <v>2461</v>
      </c>
      <c r="N37" s="6"/>
      <c r="O37" s="6"/>
      <c r="P37" s="6"/>
      <c r="Q37" s="6"/>
      <c r="R37">
        <v>1</v>
      </c>
    </row>
    <row r="38" spans="1:19" ht="14.25" customHeight="1">
      <c r="A38" s="6"/>
      <c r="B38" s="6" t="s">
        <v>19</v>
      </c>
      <c r="C38" s="6" t="s">
        <v>2545</v>
      </c>
      <c r="D38" s="6" t="s">
        <v>2546</v>
      </c>
      <c r="E38" s="6" t="s">
        <v>2547</v>
      </c>
      <c r="F38" s="6" t="s">
        <v>957</v>
      </c>
      <c r="G38" s="6" t="s">
        <v>430</v>
      </c>
      <c r="H38" s="6">
        <v>529</v>
      </c>
      <c r="I38" s="6">
        <v>25</v>
      </c>
      <c r="J38" s="6">
        <f t="shared" si="0"/>
        <v>504</v>
      </c>
      <c r="K38" s="6" t="s">
        <v>26</v>
      </c>
      <c r="L38" s="6" t="s">
        <v>26</v>
      </c>
      <c r="M38" s="6" t="s">
        <v>2461</v>
      </c>
      <c r="N38" s="6"/>
      <c r="O38" s="6"/>
      <c r="P38" s="6"/>
      <c r="Q38" s="6"/>
      <c r="R38">
        <v>1</v>
      </c>
    </row>
    <row r="39" spans="1:19" ht="14.25" customHeight="1"/>
    <row r="40" spans="1:19" ht="14.25" customHeight="1">
      <c r="H40">
        <f t="shared" ref="H40:S40" si="1">SUM(H3:H39)</f>
        <v>29996</v>
      </c>
      <c r="I40">
        <f t="shared" si="1"/>
        <v>890</v>
      </c>
      <c r="J40">
        <f t="shared" si="1"/>
        <v>29106</v>
      </c>
      <c r="K40">
        <f t="shared" si="1"/>
        <v>0</v>
      </c>
      <c r="L40">
        <f t="shared" si="1"/>
        <v>0</v>
      </c>
      <c r="M40">
        <f t="shared" si="1"/>
        <v>0</v>
      </c>
      <c r="N40">
        <f t="shared" si="1"/>
        <v>0</v>
      </c>
      <c r="O40">
        <f t="shared" si="1"/>
        <v>0</v>
      </c>
      <c r="P40">
        <f t="shared" si="1"/>
        <v>0</v>
      </c>
      <c r="Q40">
        <f t="shared" si="1"/>
        <v>0</v>
      </c>
      <c r="R40">
        <f t="shared" si="1"/>
        <v>36</v>
      </c>
      <c r="S40">
        <f t="shared" si="1"/>
        <v>120</v>
      </c>
    </row>
    <row r="41" spans="1:19" ht="14.25" customHeight="1"/>
    <row r="42" spans="1:19" ht="14.25" customHeight="1"/>
    <row r="43" spans="1:19" ht="14.25" customHeight="1"/>
    <row r="44" spans="1:19" ht="20.25" customHeight="1">
      <c r="I44" s="8" t="s">
        <v>2548</v>
      </c>
      <c r="J44" s="9" t="s">
        <v>434</v>
      </c>
      <c r="K44" s="10" t="s">
        <v>435</v>
      </c>
    </row>
    <row r="45" spans="1:19" ht="14.25" customHeight="1">
      <c r="I45" s="11" t="s">
        <v>436</v>
      </c>
      <c r="J45" s="12">
        <f>SUM(J39:J43)</f>
        <v>29106</v>
      </c>
      <c r="K45" s="12">
        <f>R40</f>
        <v>36</v>
      </c>
    </row>
    <row r="46" spans="1:19" ht="14.25" customHeight="1">
      <c r="I46" s="13" t="s">
        <v>437</v>
      </c>
      <c r="J46" s="14">
        <f>S39</f>
        <v>0</v>
      </c>
      <c r="K46" s="15"/>
    </row>
    <row r="47" spans="1:19" ht="14.25" customHeight="1">
      <c r="I47" s="13" t="s">
        <v>438</v>
      </c>
      <c r="J47" s="14">
        <f>T39</f>
        <v>0</v>
      </c>
      <c r="K47" s="15"/>
    </row>
    <row r="48" spans="1:19" ht="14.25" customHeight="1">
      <c r="I48" s="13" t="s">
        <v>439</v>
      </c>
      <c r="J48" s="14">
        <f>U39</f>
        <v>0</v>
      </c>
      <c r="K48" s="15"/>
    </row>
    <row r="49" spans="1:13" ht="14.25" customHeight="1">
      <c r="I49" s="13" t="s">
        <v>440</v>
      </c>
      <c r="J49" s="14">
        <f>V39</f>
        <v>0</v>
      </c>
      <c r="K49" s="15"/>
    </row>
    <row r="50" spans="1:13" ht="14.25" customHeight="1">
      <c r="I50" s="16" t="s">
        <v>441</v>
      </c>
      <c r="J50" s="17"/>
      <c r="K50" s="17"/>
    </row>
    <row r="51" spans="1:13" ht="14.25" customHeight="1">
      <c r="I51" s="18" t="s">
        <v>442</v>
      </c>
      <c r="J51" s="17"/>
      <c r="K51" s="17"/>
    </row>
    <row r="52" spans="1:13" ht="20.25">
      <c r="I52" s="19" t="s">
        <v>443</v>
      </c>
      <c r="J52" s="20">
        <f>SUM(J45:J51)</f>
        <v>29106</v>
      </c>
      <c r="K52" s="20">
        <f>SUM(K45:K49)</f>
        <v>36</v>
      </c>
    </row>
    <row r="53" spans="1:13" ht="14.25" customHeight="1"/>
    <row r="54" spans="1:13" ht="14.25" customHeight="1">
      <c r="A54" t="s">
        <v>2549</v>
      </c>
    </row>
    <row r="55" spans="1:13" ht="14.25" customHeight="1">
      <c r="A55" s="2" t="s">
        <v>19</v>
      </c>
      <c r="B55" s="2" t="s">
        <v>527</v>
      </c>
      <c r="C55" s="2" t="s">
        <v>2474</v>
      </c>
      <c r="D55" s="2" t="s">
        <v>2475</v>
      </c>
      <c r="E55" s="2" t="s">
        <v>111</v>
      </c>
      <c r="F55" s="2">
        <v>10</v>
      </c>
      <c r="G55" s="2">
        <v>79</v>
      </c>
      <c r="H55" s="2">
        <v>0</v>
      </c>
      <c r="I55" s="2">
        <f>G55-H55</f>
        <v>79</v>
      </c>
      <c r="J55" s="2" t="s">
        <v>35</v>
      </c>
      <c r="K55" s="2" t="s">
        <v>26</v>
      </c>
      <c r="L55" s="2" t="s">
        <v>2461</v>
      </c>
      <c r="M55" s="3" t="s">
        <v>2476</v>
      </c>
    </row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2:Q38" xr:uid="{00000000-0009-0000-0000-00000A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00"/>
  <sheetViews>
    <sheetView workbookViewId="0">
      <selection activeCell="N3" sqref="N3"/>
    </sheetView>
  </sheetViews>
  <sheetFormatPr defaultColWidth="14.42578125" defaultRowHeight="15" customHeight="1"/>
  <cols>
    <col min="1" max="8" width="8.7109375" customWidth="1"/>
    <col min="9" max="9" width="25.28515625" bestFit="1" customWidth="1"/>
    <col min="10" max="10" width="15" bestFit="1" customWidth="1"/>
    <col min="11" max="19" width="8.7109375" customWidth="1"/>
  </cols>
  <sheetData>
    <row r="1" spans="1:19" ht="14.25" customHeight="1">
      <c r="B1" t="s">
        <v>1165</v>
      </c>
      <c r="C1" t="s">
        <v>2550</v>
      </c>
    </row>
    <row r="2" spans="1:19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ht="14.25" customHeight="1">
      <c r="A3" s="2"/>
      <c r="B3" s="2" t="s">
        <v>19</v>
      </c>
      <c r="C3" s="2" t="s">
        <v>2551</v>
      </c>
      <c r="D3" s="2" t="s">
        <v>2552</v>
      </c>
      <c r="E3" s="2" t="s">
        <v>2553</v>
      </c>
      <c r="F3" s="2" t="s">
        <v>2554</v>
      </c>
      <c r="G3" s="2">
        <v>11</v>
      </c>
      <c r="H3" s="2">
        <v>670</v>
      </c>
      <c r="I3" s="2">
        <v>0</v>
      </c>
      <c r="J3" s="2">
        <f t="shared" ref="J3:J32" si="0">H3-I3</f>
        <v>670</v>
      </c>
      <c r="K3" s="2" t="s">
        <v>25</v>
      </c>
      <c r="L3" s="2" t="s">
        <v>26</v>
      </c>
      <c r="M3" s="2" t="s">
        <v>2555</v>
      </c>
      <c r="N3" s="3" t="s">
        <v>1172</v>
      </c>
      <c r="O3" s="2" t="s">
        <v>29</v>
      </c>
      <c r="P3" s="2"/>
      <c r="Q3" s="2" t="s">
        <v>30</v>
      </c>
      <c r="R3">
        <v>1</v>
      </c>
    </row>
    <row r="4" spans="1:19" ht="14.25" customHeight="1">
      <c r="A4" s="2"/>
      <c r="B4" s="2" t="s">
        <v>19</v>
      </c>
      <c r="C4" s="2" t="s">
        <v>2556</v>
      </c>
      <c r="D4" s="2" t="s">
        <v>2557</v>
      </c>
      <c r="E4" s="2" t="s">
        <v>2558</v>
      </c>
      <c r="F4" s="2" t="s">
        <v>1509</v>
      </c>
      <c r="G4" s="2" t="s">
        <v>385</v>
      </c>
      <c r="H4" s="2">
        <v>700</v>
      </c>
      <c r="I4" s="2">
        <v>30</v>
      </c>
      <c r="J4" s="2">
        <f t="shared" si="0"/>
        <v>670</v>
      </c>
      <c r="K4" s="2" t="s">
        <v>25</v>
      </c>
      <c r="L4" s="2" t="s">
        <v>26</v>
      </c>
      <c r="M4" s="2" t="s">
        <v>2555</v>
      </c>
      <c r="N4" s="3" t="s">
        <v>1172</v>
      </c>
      <c r="O4" s="2" t="s">
        <v>29</v>
      </c>
      <c r="P4" s="2"/>
      <c r="Q4" s="2" t="s">
        <v>30</v>
      </c>
      <c r="R4">
        <v>1</v>
      </c>
    </row>
    <row r="5" spans="1:19" ht="14.25" customHeight="1">
      <c r="A5" s="2"/>
      <c r="B5" s="2" t="s">
        <v>19</v>
      </c>
      <c r="C5" s="2" t="s">
        <v>2559</v>
      </c>
      <c r="D5" s="2" t="s">
        <v>2560</v>
      </c>
      <c r="E5" s="2" t="s">
        <v>2561</v>
      </c>
      <c r="F5" s="2" t="s">
        <v>2562</v>
      </c>
      <c r="G5" s="2">
        <v>2</v>
      </c>
      <c r="H5" s="2">
        <v>670</v>
      </c>
      <c r="I5" s="2">
        <v>0</v>
      </c>
      <c r="J5" s="2">
        <f t="shared" si="0"/>
        <v>670</v>
      </c>
      <c r="K5" s="2" t="s">
        <v>25</v>
      </c>
      <c r="L5" s="2" t="s">
        <v>26</v>
      </c>
      <c r="M5" s="2" t="s">
        <v>2555</v>
      </c>
      <c r="N5" s="3" t="s">
        <v>1172</v>
      </c>
      <c r="O5" s="2" t="s">
        <v>29</v>
      </c>
      <c r="P5" s="2"/>
      <c r="Q5" s="2" t="s">
        <v>30</v>
      </c>
      <c r="R5">
        <v>1</v>
      </c>
    </row>
    <row r="6" spans="1:19" ht="14.25" customHeight="1">
      <c r="A6" s="6"/>
      <c r="B6" s="6" t="s">
        <v>19</v>
      </c>
      <c r="C6" s="6" t="s">
        <v>2563</v>
      </c>
      <c r="D6" s="6" t="s">
        <v>2564</v>
      </c>
      <c r="E6" s="6" t="s">
        <v>2565</v>
      </c>
      <c r="F6" s="6" t="s">
        <v>90</v>
      </c>
      <c r="G6" s="6">
        <v>1</v>
      </c>
      <c r="H6" s="6">
        <v>0</v>
      </c>
      <c r="I6" s="6">
        <v>20</v>
      </c>
      <c r="J6" s="6">
        <f t="shared" si="0"/>
        <v>-20</v>
      </c>
      <c r="K6" s="6" t="s">
        <v>35</v>
      </c>
      <c r="L6" s="6" t="s">
        <v>26</v>
      </c>
      <c r="M6" s="6" t="s">
        <v>2555</v>
      </c>
      <c r="N6" s="6"/>
      <c r="O6" s="6"/>
      <c r="P6" s="6"/>
      <c r="Q6" s="6"/>
      <c r="R6">
        <v>1</v>
      </c>
      <c r="S6">
        <v>20</v>
      </c>
    </row>
    <row r="7" spans="1:19" ht="14.25" customHeight="1">
      <c r="A7" s="6"/>
      <c r="B7" s="6" t="s">
        <v>19</v>
      </c>
      <c r="C7" s="6" t="s">
        <v>1448</v>
      </c>
      <c r="D7" s="6" t="s">
        <v>2566</v>
      </c>
      <c r="E7" s="6">
        <v>485</v>
      </c>
      <c r="F7" s="6" t="s">
        <v>849</v>
      </c>
      <c r="G7" s="6">
        <v>3</v>
      </c>
      <c r="H7" s="6">
        <v>810</v>
      </c>
      <c r="I7" s="6">
        <v>20</v>
      </c>
      <c r="J7" s="6">
        <f t="shared" si="0"/>
        <v>790</v>
      </c>
      <c r="K7" s="6" t="s">
        <v>35</v>
      </c>
      <c r="L7" s="6" t="s">
        <v>26</v>
      </c>
      <c r="M7" s="6" t="s">
        <v>2555</v>
      </c>
      <c r="N7" s="6"/>
      <c r="O7" s="6"/>
      <c r="P7" s="6"/>
      <c r="Q7" s="6"/>
      <c r="R7">
        <v>1</v>
      </c>
    </row>
    <row r="8" spans="1:19" ht="14.25" customHeight="1">
      <c r="A8" s="6"/>
      <c r="B8" s="6" t="s">
        <v>19</v>
      </c>
      <c r="C8" s="6" t="s">
        <v>2567</v>
      </c>
      <c r="D8" s="6" t="s">
        <v>2568</v>
      </c>
      <c r="E8" s="6" t="s">
        <v>81</v>
      </c>
      <c r="F8" s="6" t="s">
        <v>82</v>
      </c>
      <c r="G8" s="6">
        <v>5</v>
      </c>
      <c r="H8" s="6">
        <v>0</v>
      </c>
      <c r="I8" s="6">
        <v>25</v>
      </c>
      <c r="J8" s="6">
        <f t="shared" si="0"/>
        <v>-25</v>
      </c>
      <c r="K8" s="6" t="s">
        <v>35</v>
      </c>
      <c r="L8" s="6" t="s">
        <v>26</v>
      </c>
      <c r="M8" s="6" t="s">
        <v>2555</v>
      </c>
      <c r="N8" s="6"/>
      <c r="O8" s="6"/>
      <c r="P8" s="6"/>
      <c r="Q8" s="6"/>
      <c r="R8">
        <v>1</v>
      </c>
      <c r="S8">
        <v>25</v>
      </c>
    </row>
    <row r="9" spans="1:19" ht="14.25" customHeight="1">
      <c r="A9" s="6"/>
      <c r="B9" s="6" t="s">
        <v>19</v>
      </c>
      <c r="C9" s="6" t="s">
        <v>2569</v>
      </c>
      <c r="D9" s="6" t="s">
        <v>2570</v>
      </c>
      <c r="E9" s="6" t="s">
        <v>2571</v>
      </c>
      <c r="F9" s="6" t="s">
        <v>1218</v>
      </c>
      <c r="G9" s="6">
        <v>5</v>
      </c>
      <c r="H9" s="6">
        <v>815</v>
      </c>
      <c r="I9" s="6">
        <v>25</v>
      </c>
      <c r="J9" s="6">
        <f t="shared" si="0"/>
        <v>790</v>
      </c>
      <c r="K9" s="6" t="s">
        <v>35</v>
      </c>
      <c r="L9" s="6" t="s">
        <v>26</v>
      </c>
      <c r="M9" s="6" t="s">
        <v>2555</v>
      </c>
      <c r="N9" s="6"/>
      <c r="O9" s="6"/>
      <c r="P9" s="6"/>
      <c r="Q9" s="6"/>
      <c r="R9">
        <v>1</v>
      </c>
    </row>
    <row r="10" spans="1:19" ht="14.25" customHeight="1">
      <c r="A10" s="6"/>
      <c r="B10" s="6" t="s">
        <v>19</v>
      </c>
      <c r="C10" s="6" t="s">
        <v>2572</v>
      </c>
      <c r="D10" s="6" t="s">
        <v>2573</v>
      </c>
      <c r="E10" s="6" t="s">
        <v>2574</v>
      </c>
      <c r="F10" s="6" t="s">
        <v>90</v>
      </c>
      <c r="G10" s="6">
        <v>10</v>
      </c>
      <c r="H10" s="6">
        <v>815</v>
      </c>
      <c r="I10" s="6">
        <v>25</v>
      </c>
      <c r="J10" s="6">
        <f t="shared" si="0"/>
        <v>790</v>
      </c>
      <c r="K10" s="6" t="s">
        <v>35</v>
      </c>
      <c r="L10" s="6" t="s">
        <v>26</v>
      </c>
      <c r="M10" s="6" t="s">
        <v>2555</v>
      </c>
      <c r="N10" s="6"/>
      <c r="O10" s="6"/>
      <c r="P10" s="6"/>
      <c r="Q10" s="6"/>
      <c r="R10">
        <v>1</v>
      </c>
    </row>
    <row r="11" spans="1:19" ht="14.25" customHeight="1">
      <c r="A11" s="6"/>
      <c r="B11" s="6" t="s">
        <v>19</v>
      </c>
      <c r="C11" s="6" t="s">
        <v>2575</v>
      </c>
      <c r="D11" s="6" t="s">
        <v>2576</v>
      </c>
      <c r="E11" s="6">
        <v>246</v>
      </c>
      <c r="F11" s="6" t="s">
        <v>2577</v>
      </c>
      <c r="G11" s="6">
        <v>10</v>
      </c>
      <c r="H11" s="6">
        <v>815</v>
      </c>
      <c r="I11" s="6">
        <v>25</v>
      </c>
      <c r="J11" s="6">
        <f t="shared" si="0"/>
        <v>790</v>
      </c>
      <c r="K11" s="6" t="s">
        <v>35</v>
      </c>
      <c r="L11" s="6" t="s">
        <v>26</v>
      </c>
      <c r="M11" s="6" t="s">
        <v>2555</v>
      </c>
      <c r="N11" s="6"/>
      <c r="O11" s="6"/>
      <c r="P11" s="6"/>
      <c r="Q11" s="6"/>
      <c r="R11">
        <v>1</v>
      </c>
    </row>
    <row r="12" spans="1:19" ht="14.25" customHeight="1">
      <c r="A12" s="6"/>
      <c r="B12" s="6" t="s">
        <v>19</v>
      </c>
      <c r="C12" s="6" t="s">
        <v>2575</v>
      </c>
      <c r="D12" s="6" t="s">
        <v>2578</v>
      </c>
      <c r="E12" s="6">
        <v>246</v>
      </c>
      <c r="F12" s="6" t="s">
        <v>2577</v>
      </c>
      <c r="G12" s="6">
        <v>10</v>
      </c>
      <c r="H12" s="6">
        <v>990</v>
      </c>
      <c r="I12" s="6">
        <v>0</v>
      </c>
      <c r="J12" s="6">
        <f t="shared" si="0"/>
        <v>990</v>
      </c>
      <c r="K12" s="6" t="s">
        <v>35</v>
      </c>
      <c r="L12" s="6" t="s">
        <v>26</v>
      </c>
      <c r="M12" s="6" t="s">
        <v>2555</v>
      </c>
      <c r="N12" s="7" t="s">
        <v>298</v>
      </c>
      <c r="O12" s="6"/>
      <c r="P12" s="6"/>
      <c r="Q12" s="6"/>
      <c r="R12">
        <v>1</v>
      </c>
    </row>
    <row r="13" spans="1:19" ht="14.25" customHeight="1">
      <c r="A13" s="6"/>
      <c r="B13" s="6" t="s">
        <v>19</v>
      </c>
      <c r="C13" s="6" t="s">
        <v>2471</v>
      </c>
      <c r="D13" s="6" t="s">
        <v>2579</v>
      </c>
      <c r="E13" s="6" t="s">
        <v>2473</v>
      </c>
      <c r="F13" s="6" t="s">
        <v>105</v>
      </c>
      <c r="G13" s="6">
        <v>10</v>
      </c>
      <c r="H13" s="6">
        <v>1485</v>
      </c>
      <c r="I13" s="6">
        <v>25</v>
      </c>
      <c r="J13" s="6">
        <f t="shared" si="0"/>
        <v>1460</v>
      </c>
      <c r="K13" s="6" t="s">
        <v>35</v>
      </c>
      <c r="L13" s="6" t="s">
        <v>26</v>
      </c>
      <c r="M13" s="6" t="s">
        <v>2555</v>
      </c>
      <c r="N13" s="6"/>
      <c r="O13" s="6"/>
      <c r="P13" s="6"/>
      <c r="Q13" s="6"/>
      <c r="R13">
        <v>1</v>
      </c>
    </row>
    <row r="14" spans="1:19" ht="14.25" customHeight="1">
      <c r="A14" s="6"/>
      <c r="B14" s="6" t="s">
        <v>19</v>
      </c>
      <c r="C14" s="6" t="s">
        <v>2580</v>
      </c>
      <c r="D14" s="6" t="s">
        <v>2581</v>
      </c>
      <c r="E14" s="6" t="s">
        <v>1232</v>
      </c>
      <c r="F14" s="6" t="s">
        <v>105</v>
      </c>
      <c r="G14" s="6">
        <v>10</v>
      </c>
      <c r="H14" s="6">
        <v>405</v>
      </c>
      <c r="I14" s="6">
        <v>25</v>
      </c>
      <c r="J14" s="6">
        <f t="shared" si="0"/>
        <v>380</v>
      </c>
      <c r="K14" s="6" t="s">
        <v>35</v>
      </c>
      <c r="L14" s="6" t="s">
        <v>26</v>
      </c>
      <c r="M14" s="6" t="s">
        <v>2555</v>
      </c>
      <c r="N14" s="6"/>
      <c r="O14" s="6"/>
      <c r="P14" s="6"/>
      <c r="Q14" s="6"/>
      <c r="R14">
        <v>1</v>
      </c>
    </row>
    <row r="15" spans="1:19" ht="14.25" customHeight="1">
      <c r="A15" s="6"/>
      <c r="B15" s="6" t="s">
        <v>19</v>
      </c>
      <c r="C15" s="6" t="s">
        <v>2582</v>
      </c>
      <c r="D15" s="6" t="s">
        <v>2583</v>
      </c>
      <c r="E15" s="6">
        <v>108</v>
      </c>
      <c r="F15" s="6" t="s">
        <v>1063</v>
      </c>
      <c r="G15" s="6" t="s">
        <v>128</v>
      </c>
      <c r="H15" s="6">
        <v>1015</v>
      </c>
      <c r="I15" s="6">
        <v>25</v>
      </c>
      <c r="J15" s="6">
        <f t="shared" si="0"/>
        <v>990</v>
      </c>
      <c r="K15" s="6" t="s">
        <v>35</v>
      </c>
      <c r="L15" s="6" t="s">
        <v>26</v>
      </c>
      <c r="M15" s="6" t="s">
        <v>2555</v>
      </c>
      <c r="N15" s="6"/>
      <c r="O15" s="6"/>
      <c r="P15" s="6"/>
      <c r="Q15" s="6"/>
      <c r="R15">
        <v>1</v>
      </c>
    </row>
    <row r="16" spans="1:19" ht="14.25" customHeight="1">
      <c r="A16" s="6"/>
      <c r="B16" s="6" t="s">
        <v>19</v>
      </c>
      <c r="C16" s="6" t="s">
        <v>2584</v>
      </c>
      <c r="D16" s="6" t="s">
        <v>2585</v>
      </c>
      <c r="E16" s="6">
        <v>24</v>
      </c>
      <c r="F16" s="6" t="s">
        <v>150</v>
      </c>
      <c r="G16" s="6" t="s">
        <v>128</v>
      </c>
      <c r="H16" s="6">
        <v>1505</v>
      </c>
      <c r="I16" s="6">
        <v>25</v>
      </c>
      <c r="J16" s="6">
        <f t="shared" si="0"/>
        <v>1480</v>
      </c>
      <c r="K16" s="6" t="s">
        <v>35</v>
      </c>
      <c r="L16" s="6" t="s">
        <v>26</v>
      </c>
      <c r="M16" s="6" t="s">
        <v>2555</v>
      </c>
      <c r="N16" s="6"/>
      <c r="O16" s="6"/>
      <c r="P16" s="6"/>
      <c r="Q16" s="6"/>
      <c r="R16">
        <v>1</v>
      </c>
    </row>
    <row r="17" spans="1:19" ht="14.25" customHeight="1">
      <c r="A17" s="6" t="s">
        <v>37</v>
      </c>
      <c r="B17" s="6" t="s">
        <v>19</v>
      </c>
      <c r="C17" s="6" t="s">
        <v>2586</v>
      </c>
      <c r="D17" s="6"/>
      <c r="E17" s="6">
        <v>66</v>
      </c>
      <c r="F17" s="6" t="s">
        <v>277</v>
      </c>
      <c r="G17" s="6">
        <v>6</v>
      </c>
      <c r="H17" s="6">
        <v>30</v>
      </c>
      <c r="I17" s="6">
        <v>30</v>
      </c>
      <c r="J17" s="6">
        <f t="shared" si="0"/>
        <v>0</v>
      </c>
      <c r="K17" s="6" t="s">
        <v>2587</v>
      </c>
      <c r="L17" s="6" t="s">
        <v>26</v>
      </c>
      <c r="M17" s="6" t="s">
        <v>2555</v>
      </c>
      <c r="N17" s="6"/>
      <c r="O17" s="6"/>
      <c r="P17" s="6"/>
      <c r="Q17" s="6"/>
      <c r="R17">
        <v>1</v>
      </c>
    </row>
    <row r="18" spans="1:19" ht="14.25" customHeight="1">
      <c r="A18" s="6"/>
      <c r="B18" s="6" t="s">
        <v>19</v>
      </c>
      <c r="C18" s="6" t="s">
        <v>2588</v>
      </c>
      <c r="D18" s="6" t="s">
        <v>2589</v>
      </c>
      <c r="E18" s="6" t="s">
        <v>2590</v>
      </c>
      <c r="F18" s="6" t="s">
        <v>230</v>
      </c>
      <c r="G18" s="6">
        <v>6</v>
      </c>
      <c r="H18" s="6">
        <v>885</v>
      </c>
      <c r="I18" s="6">
        <v>25</v>
      </c>
      <c r="J18" s="6">
        <f t="shared" si="0"/>
        <v>860</v>
      </c>
      <c r="K18" s="6" t="s">
        <v>2587</v>
      </c>
      <c r="L18" s="6" t="s">
        <v>26</v>
      </c>
      <c r="M18" s="6" t="s">
        <v>2555</v>
      </c>
      <c r="N18" s="6"/>
      <c r="O18" s="6"/>
      <c r="P18" s="6"/>
      <c r="Q18" s="6"/>
      <c r="R18">
        <v>1</v>
      </c>
    </row>
    <row r="19" spans="1:19" ht="14.25" customHeight="1">
      <c r="A19" s="6"/>
      <c r="B19" s="6" t="s">
        <v>19</v>
      </c>
      <c r="C19" s="6" t="s">
        <v>1481</v>
      </c>
      <c r="D19" s="6" t="s">
        <v>2591</v>
      </c>
      <c r="E19" s="6">
        <v>4</v>
      </c>
      <c r="F19" s="6" t="s">
        <v>523</v>
      </c>
      <c r="G19" s="6">
        <v>7</v>
      </c>
      <c r="H19" s="6">
        <v>1810</v>
      </c>
      <c r="I19" s="6">
        <v>30</v>
      </c>
      <c r="J19" s="6">
        <f t="shared" si="0"/>
        <v>1780</v>
      </c>
      <c r="K19" s="6" t="s">
        <v>2587</v>
      </c>
      <c r="L19" s="6" t="s">
        <v>26</v>
      </c>
      <c r="M19" s="6" t="s">
        <v>2555</v>
      </c>
      <c r="N19" s="6"/>
      <c r="O19" s="6"/>
      <c r="P19" s="6"/>
      <c r="Q19" s="6"/>
      <c r="R19">
        <v>1</v>
      </c>
    </row>
    <row r="20" spans="1:19" ht="14.25" customHeight="1">
      <c r="A20" s="6"/>
      <c r="B20" s="6" t="s">
        <v>19</v>
      </c>
      <c r="C20" s="6" t="s">
        <v>2592</v>
      </c>
      <c r="D20" s="6" t="s">
        <v>2593</v>
      </c>
      <c r="E20" s="6" t="s">
        <v>2594</v>
      </c>
      <c r="F20" s="6" t="s">
        <v>1756</v>
      </c>
      <c r="G20" s="6">
        <v>7</v>
      </c>
      <c r="H20" s="6">
        <v>600</v>
      </c>
      <c r="I20" s="6">
        <v>30</v>
      </c>
      <c r="J20" s="6">
        <f t="shared" si="0"/>
        <v>570</v>
      </c>
      <c r="K20" s="6" t="s">
        <v>2587</v>
      </c>
      <c r="L20" s="6" t="s">
        <v>26</v>
      </c>
      <c r="M20" s="6" t="s">
        <v>2555</v>
      </c>
      <c r="N20" s="6"/>
      <c r="O20" s="6"/>
      <c r="P20" s="6"/>
      <c r="Q20" s="6"/>
      <c r="R20">
        <v>1</v>
      </c>
    </row>
    <row r="21" spans="1:19" ht="14.25" customHeight="1">
      <c r="A21" s="6"/>
      <c r="B21" s="6" t="s">
        <v>19</v>
      </c>
      <c r="C21" s="6" t="s">
        <v>2595</v>
      </c>
      <c r="D21" s="6" t="s">
        <v>2596</v>
      </c>
      <c r="E21" s="6" t="s">
        <v>2597</v>
      </c>
      <c r="F21" s="6" t="s">
        <v>1097</v>
      </c>
      <c r="G21" s="6">
        <v>8</v>
      </c>
      <c r="H21" s="6">
        <v>601</v>
      </c>
      <c r="I21" s="6">
        <v>25</v>
      </c>
      <c r="J21" s="6">
        <f t="shared" si="0"/>
        <v>576</v>
      </c>
      <c r="K21" s="6" t="s">
        <v>2587</v>
      </c>
      <c r="L21" s="6" t="s">
        <v>26</v>
      </c>
      <c r="M21" s="6" t="s">
        <v>2555</v>
      </c>
      <c r="N21" s="6"/>
      <c r="O21" s="6"/>
      <c r="P21" s="6"/>
      <c r="Q21" s="6"/>
      <c r="R21">
        <v>1</v>
      </c>
    </row>
    <row r="22" spans="1:19" ht="14.25" customHeight="1">
      <c r="A22" s="6"/>
      <c r="B22" s="6" t="s">
        <v>19</v>
      </c>
      <c r="C22" s="6" t="s">
        <v>1502</v>
      </c>
      <c r="D22" s="6" t="s">
        <v>2598</v>
      </c>
      <c r="E22" s="6" t="s">
        <v>1504</v>
      </c>
      <c r="F22" s="6" t="s">
        <v>552</v>
      </c>
      <c r="G22" s="6">
        <v>8</v>
      </c>
      <c r="H22" s="6">
        <v>820</v>
      </c>
      <c r="I22" s="6">
        <v>30</v>
      </c>
      <c r="J22" s="6">
        <f t="shared" si="0"/>
        <v>790</v>
      </c>
      <c r="K22" s="6" t="s">
        <v>2587</v>
      </c>
      <c r="L22" s="6" t="s">
        <v>26</v>
      </c>
      <c r="M22" s="6" t="s">
        <v>2555</v>
      </c>
      <c r="N22" s="6"/>
      <c r="O22" s="6"/>
      <c r="P22" s="6"/>
      <c r="Q22" s="6"/>
      <c r="R22" s="4">
        <v>1</v>
      </c>
      <c r="S22" s="4"/>
    </row>
    <row r="23" spans="1:19" ht="14.25" customHeight="1">
      <c r="A23" s="6"/>
      <c r="B23" s="6" t="s">
        <v>19</v>
      </c>
      <c r="C23" s="6" t="s">
        <v>2599</v>
      </c>
      <c r="D23" s="6" t="s">
        <v>2600</v>
      </c>
      <c r="E23" s="6">
        <v>454</v>
      </c>
      <c r="F23" s="6" t="s">
        <v>1953</v>
      </c>
      <c r="G23" s="6">
        <v>9</v>
      </c>
      <c r="H23" s="6">
        <v>840</v>
      </c>
      <c r="I23" s="6">
        <v>30</v>
      </c>
      <c r="J23" s="6">
        <f t="shared" si="0"/>
        <v>810</v>
      </c>
      <c r="K23" s="6" t="s">
        <v>2587</v>
      </c>
      <c r="L23" s="6" t="s">
        <v>26</v>
      </c>
      <c r="M23" s="6" t="s">
        <v>2555</v>
      </c>
      <c r="N23" s="6"/>
      <c r="O23" s="6"/>
      <c r="P23" s="6"/>
      <c r="Q23" s="6"/>
      <c r="R23">
        <v>1</v>
      </c>
    </row>
    <row r="24" spans="1:19" ht="14.25" customHeight="1">
      <c r="A24" s="6"/>
      <c r="B24" s="6" t="s">
        <v>19</v>
      </c>
      <c r="C24" s="6" t="s">
        <v>2601</v>
      </c>
      <c r="D24" s="6" t="s">
        <v>2602</v>
      </c>
      <c r="E24" s="6">
        <v>601</v>
      </c>
      <c r="F24" s="6" t="s">
        <v>360</v>
      </c>
      <c r="G24" s="6" t="s">
        <v>385</v>
      </c>
      <c r="H24" s="6">
        <v>0</v>
      </c>
      <c r="I24" s="6">
        <v>30</v>
      </c>
      <c r="J24" s="6">
        <f t="shared" si="0"/>
        <v>-30</v>
      </c>
      <c r="K24" s="6" t="s">
        <v>2587</v>
      </c>
      <c r="L24" s="6" t="s">
        <v>26</v>
      </c>
      <c r="M24" s="6" t="s">
        <v>2555</v>
      </c>
      <c r="N24" s="6"/>
      <c r="O24" s="6"/>
      <c r="P24" s="6"/>
      <c r="Q24" s="6"/>
      <c r="R24">
        <v>1</v>
      </c>
      <c r="S24">
        <v>30</v>
      </c>
    </row>
    <row r="25" spans="1:19" ht="14.25" customHeight="1">
      <c r="A25" s="6"/>
      <c r="B25" s="6" t="s">
        <v>19</v>
      </c>
      <c r="C25" s="6" t="s">
        <v>2603</v>
      </c>
      <c r="D25" s="6" t="s">
        <v>2604</v>
      </c>
      <c r="E25" s="6" t="s">
        <v>2605</v>
      </c>
      <c r="F25" s="6" t="s">
        <v>2606</v>
      </c>
      <c r="G25" s="6">
        <v>2</v>
      </c>
      <c r="H25" s="6">
        <v>0</v>
      </c>
      <c r="I25" s="6">
        <v>30</v>
      </c>
      <c r="J25" s="6">
        <f t="shared" si="0"/>
        <v>-30</v>
      </c>
      <c r="K25" s="6" t="s">
        <v>26</v>
      </c>
      <c r="L25" s="6" t="s">
        <v>26</v>
      </c>
      <c r="M25" s="6" t="s">
        <v>2555</v>
      </c>
      <c r="N25" s="7" t="s">
        <v>2607</v>
      </c>
      <c r="O25" s="6"/>
      <c r="P25" s="6"/>
      <c r="Q25" s="6"/>
      <c r="R25" s="4">
        <v>1</v>
      </c>
      <c r="S25" s="4">
        <v>30</v>
      </c>
    </row>
    <row r="26" spans="1:19" ht="14.25" customHeight="1">
      <c r="A26" s="6"/>
      <c r="B26" s="6" t="s">
        <v>19</v>
      </c>
      <c r="C26" s="6" t="s">
        <v>2608</v>
      </c>
      <c r="D26" s="6" t="s">
        <v>2609</v>
      </c>
      <c r="E26" s="6" t="s">
        <v>2610</v>
      </c>
      <c r="F26" s="6" t="s">
        <v>166</v>
      </c>
      <c r="G26" s="6">
        <v>2</v>
      </c>
      <c r="H26" s="6">
        <v>700</v>
      </c>
      <c r="I26" s="6">
        <v>30</v>
      </c>
      <c r="J26" s="6">
        <f t="shared" si="0"/>
        <v>670</v>
      </c>
      <c r="K26" s="6" t="s">
        <v>26</v>
      </c>
      <c r="L26" s="6" t="s">
        <v>26</v>
      </c>
      <c r="M26" s="6" t="s">
        <v>2555</v>
      </c>
      <c r="N26" s="6"/>
      <c r="O26" s="6"/>
      <c r="P26" s="6"/>
      <c r="Q26" s="6"/>
      <c r="R26">
        <v>1</v>
      </c>
    </row>
    <row r="27" spans="1:19" ht="14.25" customHeight="1">
      <c r="A27" s="6"/>
      <c r="B27" s="6" t="s">
        <v>19</v>
      </c>
      <c r="C27" s="6" t="s">
        <v>2611</v>
      </c>
      <c r="D27" s="6" t="s">
        <v>2612</v>
      </c>
      <c r="E27" s="6" t="s">
        <v>2613</v>
      </c>
      <c r="F27" s="6" t="s">
        <v>2340</v>
      </c>
      <c r="G27" s="6">
        <v>2</v>
      </c>
      <c r="H27" s="6">
        <v>700</v>
      </c>
      <c r="I27" s="6">
        <v>30</v>
      </c>
      <c r="J27" s="6">
        <f t="shared" si="0"/>
        <v>670</v>
      </c>
      <c r="K27" s="6" t="s">
        <v>26</v>
      </c>
      <c r="L27" s="6" t="s">
        <v>26</v>
      </c>
      <c r="M27" s="6" t="s">
        <v>2555</v>
      </c>
      <c r="N27" s="6"/>
      <c r="O27" s="6"/>
      <c r="P27" s="6"/>
      <c r="Q27" s="6"/>
      <c r="R27" s="4">
        <v>1</v>
      </c>
      <c r="S27" s="4"/>
    </row>
    <row r="28" spans="1:19" ht="14.25" customHeight="1">
      <c r="A28" s="6"/>
      <c r="B28" s="6" t="s">
        <v>19</v>
      </c>
      <c r="C28" s="6" t="s">
        <v>2614</v>
      </c>
      <c r="D28" s="6" t="s">
        <v>2615</v>
      </c>
      <c r="E28" s="6" t="s">
        <v>2616</v>
      </c>
      <c r="F28" s="6" t="s">
        <v>1214</v>
      </c>
      <c r="G28" s="6" t="s">
        <v>181</v>
      </c>
      <c r="H28" s="6">
        <v>794</v>
      </c>
      <c r="I28" s="6">
        <v>20</v>
      </c>
      <c r="J28" s="6">
        <f t="shared" si="0"/>
        <v>774</v>
      </c>
      <c r="K28" s="6" t="s">
        <v>26</v>
      </c>
      <c r="L28" s="6" t="s">
        <v>26</v>
      </c>
      <c r="M28" s="6" t="s">
        <v>2555</v>
      </c>
      <c r="N28" s="6"/>
      <c r="O28" s="6"/>
      <c r="P28" s="6"/>
      <c r="Q28" s="6"/>
      <c r="R28">
        <v>1</v>
      </c>
    </row>
    <row r="29" spans="1:19" ht="14.25" customHeight="1">
      <c r="A29" s="5"/>
      <c r="B29" s="5" t="s">
        <v>19</v>
      </c>
      <c r="C29" s="5" t="s">
        <v>2526</v>
      </c>
      <c r="D29" s="5" t="s">
        <v>2617</v>
      </c>
      <c r="E29" s="5" t="s">
        <v>2528</v>
      </c>
      <c r="F29" s="5" t="s">
        <v>63</v>
      </c>
      <c r="G29" s="5" t="s">
        <v>181</v>
      </c>
      <c r="H29" s="5">
        <v>0</v>
      </c>
      <c r="I29" s="5">
        <v>20</v>
      </c>
      <c r="J29" s="5">
        <f t="shared" si="0"/>
        <v>-20</v>
      </c>
      <c r="K29" s="5" t="s">
        <v>26</v>
      </c>
      <c r="L29" s="5" t="s">
        <v>26</v>
      </c>
      <c r="M29" s="5" t="s">
        <v>2555</v>
      </c>
      <c r="N29" s="5" t="s">
        <v>177</v>
      </c>
      <c r="O29" s="5"/>
      <c r="P29" s="5"/>
      <c r="Q29" s="5"/>
      <c r="R29">
        <v>1</v>
      </c>
      <c r="S29">
        <v>20</v>
      </c>
    </row>
    <row r="30" spans="1:19" ht="14.25" customHeight="1">
      <c r="A30" s="6"/>
      <c r="B30" s="6" t="s">
        <v>19</v>
      </c>
      <c r="C30" s="6" t="s">
        <v>2618</v>
      </c>
      <c r="D30" s="6" t="s">
        <v>2619</v>
      </c>
      <c r="E30" s="6">
        <v>82</v>
      </c>
      <c r="F30" s="6" t="s">
        <v>2240</v>
      </c>
      <c r="G30" s="6" t="s">
        <v>220</v>
      </c>
      <c r="H30" s="6">
        <v>695</v>
      </c>
      <c r="I30" s="6">
        <v>25</v>
      </c>
      <c r="J30" s="6">
        <f t="shared" si="0"/>
        <v>670</v>
      </c>
      <c r="K30" s="6" t="s">
        <v>26</v>
      </c>
      <c r="L30" s="6" t="s">
        <v>26</v>
      </c>
      <c r="M30" s="6" t="s">
        <v>2555</v>
      </c>
      <c r="N30" s="6"/>
      <c r="O30" s="6"/>
      <c r="P30" s="6"/>
      <c r="Q30" s="6"/>
      <c r="R30">
        <v>1</v>
      </c>
    </row>
    <row r="31" spans="1:19" ht="14.25" customHeight="1">
      <c r="A31" s="6"/>
      <c r="B31" s="6" t="s">
        <v>19</v>
      </c>
      <c r="C31" s="6" t="s">
        <v>2620</v>
      </c>
      <c r="D31" s="6" t="s">
        <v>2621</v>
      </c>
      <c r="E31" s="6" t="s">
        <v>2622</v>
      </c>
      <c r="F31" s="6" t="s">
        <v>1377</v>
      </c>
      <c r="G31" s="6" t="s">
        <v>220</v>
      </c>
      <c r="H31" s="6">
        <v>1385</v>
      </c>
      <c r="I31" s="6">
        <v>25</v>
      </c>
      <c r="J31" s="6">
        <f t="shared" si="0"/>
        <v>1360</v>
      </c>
      <c r="K31" s="6" t="s">
        <v>26</v>
      </c>
      <c r="L31" s="6" t="s">
        <v>26</v>
      </c>
      <c r="M31" s="6" t="s">
        <v>2555</v>
      </c>
      <c r="N31" s="6"/>
      <c r="O31" s="6"/>
      <c r="P31" s="6"/>
      <c r="Q31" s="6"/>
      <c r="R31">
        <v>1</v>
      </c>
    </row>
    <row r="32" spans="1:19" ht="14.25" customHeight="1">
      <c r="A32" s="6"/>
      <c r="B32" s="6" t="s">
        <v>19</v>
      </c>
      <c r="C32" s="6" t="s">
        <v>2623</v>
      </c>
      <c r="D32" s="6" t="s">
        <v>2624</v>
      </c>
      <c r="E32" s="6" t="s">
        <v>2625</v>
      </c>
      <c r="F32" s="6" t="s">
        <v>153</v>
      </c>
      <c r="G32" s="6" t="s">
        <v>250</v>
      </c>
      <c r="H32" s="6">
        <v>1020</v>
      </c>
      <c r="I32" s="6">
        <v>30</v>
      </c>
      <c r="J32" s="6">
        <f t="shared" si="0"/>
        <v>990</v>
      </c>
      <c r="K32" s="6" t="s">
        <v>26</v>
      </c>
      <c r="L32" s="6" t="s">
        <v>26</v>
      </c>
      <c r="M32" s="6" t="s">
        <v>2555</v>
      </c>
      <c r="N32" s="6"/>
      <c r="O32" s="6"/>
      <c r="P32" s="6"/>
      <c r="Q32" s="6"/>
      <c r="R32">
        <v>1</v>
      </c>
    </row>
    <row r="33" spans="1:19" ht="14.25" customHeight="1"/>
    <row r="34" spans="1:19" ht="14.25" customHeight="1">
      <c r="H34">
        <f t="shared" ref="H34:S34" si="1">SUBTOTAL(9,H3:H33)</f>
        <v>21575</v>
      </c>
      <c r="I34">
        <f t="shared" si="1"/>
        <v>710</v>
      </c>
      <c r="J34">
        <f t="shared" si="1"/>
        <v>20865</v>
      </c>
      <c r="K34">
        <f t="shared" si="1"/>
        <v>0</v>
      </c>
      <c r="L34">
        <f t="shared" si="1"/>
        <v>0</v>
      </c>
      <c r="M34">
        <f t="shared" si="1"/>
        <v>0</v>
      </c>
      <c r="N34">
        <f t="shared" si="1"/>
        <v>0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30</v>
      </c>
      <c r="S34">
        <f t="shared" si="1"/>
        <v>125</v>
      </c>
    </row>
    <row r="35" spans="1:19" ht="14.25" customHeight="1">
      <c r="J35">
        <v>-2010</v>
      </c>
      <c r="K35" t="s">
        <v>2626</v>
      </c>
    </row>
    <row r="36" spans="1:19" ht="14.25" customHeight="1"/>
    <row r="37" spans="1:19" ht="14.25" customHeight="1"/>
    <row r="38" spans="1:19" ht="20.25" customHeight="1">
      <c r="I38" s="8" t="s">
        <v>2627</v>
      </c>
      <c r="J38" s="9" t="s">
        <v>434</v>
      </c>
      <c r="K38" s="10" t="s">
        <v>435</v>
      </c>
    </row>
    <row r="39" spans="1:19" ht="14.25" customHeight="1">
      <c r="I39" s="11" t="s">
        <v>436</v>
      </c>
      <c r="J39" s="12">
        <f>SUM(J33:J37)</f>
        <v>18855</v>
      </c>
      <c r="K39" s="12">
        <f>R34</f>
        <v>30</v>
      </c>
    </row>
    <row r="40" spans="1:19" ht="14.25" customHeight="1">
      <c r="I40" s="13" t="s">
        <v>437</v>
      </c>
      <c r="J40" s="14">
        <f>S33</f>
        <v>0</v>
      </c>
      <c r="K40" s="15"/>
    </row>
    <row r="41" spans="1:19" ht="14.25" customHeight="1">
      <c r="I41" s="13" t="s">
        <v>438</v>
      </c>
      <c r="J41" s="14">
        <f>T33</f>
        <v>0</v>
      </c>
      <c r="K41" s="15"/>
    </row>
    <row r="42" spans="1:19" ht="14.25" customHeight="1">
      <c r="I42" s="13" t="s">
        <v>439</v>
      </c>
      <c r="J42" s="14">
        <f>U33</f>
        <v>0</v>
      </c>
      <c r="K42" s="15"/>
    </row>
    <row r="43" spans="1:19" ht="14.25" customHeight="1">
      <c r="I43" s="13" t="s">
        <v>440</v>
      </c>
      <c r="J43" s="14">
        <f>V33</f>
        <v>0</v>
      </c>
      <c r="K43" s="15"/>
    </row>
    <row r="44" spans="1:19" ht="14.25" customHeight="1">
      <c r="I44" s="16" t="s">
        <v>441</v>
      </c>
      <c r="J44" s="17"/>
      <c r="K44" s="17"/>
    </row>
    <row r="45" spans="1:19" ht="15.75">
      <c r="I45" s="18" t="s">
        <v>442</v>
      </c>
      <c r="J45" s="17"/>
      <c r="K45" s="17"/>
    </row>
    <row r="46" spans="1:19" ht="20.25">
      <c r="I46" s="19" t="s">
        <v>443</v>
      </c>
      <c r="J46" s="20">
        <f>SUM(J39:J45)</f>
        <v>18855</v>
      </c>
      <c r="K46" s="20">
        <f>SUM(K39:K43)</f>
        <v>30</v>
      </c>
    </row>
    <row r="48" spans="1:19" ht="14.25" customHeight="1">
      <c r="A48" t="s">
        <v>640</v>
      </c>
    </row>
    <row r="49" spans="1:19" ht="14.25" customHeight="1">
      <c r="A49" s="2" t="s">
        <v>19</v>
      </c>
      <c r="B49" s="2" t="s">
        <v>2603</v>
      </c>
      <c r="C49" s="2" t="s">
        <v>2604</v>
      </c>
      <c r="D49" s="2" t="s">
        <v>2605</v>
      </c>
      <c r="E49" s="2" t="s">
        <v>2606</v>
      </c>
      <c r="F49" s="2">
        <v>2</v>
      </c>
      <c r="G49" s="2">
        <v>0</v>
      </c>
      <c r="H49" s="2">
        <v>30</v>
      </c>
      <c r="I49" s="2">
        <f>G49-H49</f>
        <v>-30</v>
      </c>
      <c r="J49" s="2" t="s">
        <v>26</v>
      </c>
      <c r="K49" s="2" t="s">
        <v>26</v>
      </c>
      <c r="L49" s="2" t="s">
        <v>2555</v>
      </c>
      <c r="M49" s="3" t="s">
        <v>2607</v>
      </c>
      <c r="N49" s="4"/>
      <c r="O49" s="4"/>
      <c r="P49" s="4"/>
      <c r="Q49" s="4"/>
      <c r="R49" s="4"/>
      <c r="S49" s="4"/>
    </row>
    <row r="50" spans="1:19" ht="14.25" customHeight="1"/>
    <row r="51" spans="1:19" ht="14.25" customHeight="1"/>
    <row r="52" spans="1:19" ht="14.25" customHeight="1"/>
    <row r="53" spans="1:19" ht="14.25" customHeight="1"/>
    <row r="54" spans="1:19" ht="14.25" customHeight="1"/>
    <row r="55" spans="1:19" ht="14.25" customHeight="1"/>
    <row r="56" spans="1:19" ht="14.25" customHeight="1"/>
    <row r="57" spans="1:19" ht="14.25" customHeight="1"/>
    <row r="58" spans="1:19" ht="14.25" customHeight="1"/>
    <row r="59" spans="1:19" ht="14.25" customHeight="1"/>
    <row r="60" spans="1:19" ht="14.25" customHeight="1"/>
    <row r="61" spans="1:19" ht="14.25" customHeight="1"/>
    <row r="62" spans="1:19" ht="14.25" customHeight="1"/>
    <row r="63" spans="1:19" ht="14.25" customHeight="1"/>
    <row r="64" spans="1:1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2:Q32" xr:uid="{00000000-0009-0000-0000-00000B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02-02</vt:lpstr>
      <vt:lpstr>03-02</vt:lpstr>
      <vt:lpstr>04-02</vt:lpstr>
      <vt:lpstr>05-02</vt:lpstr>
      <vt:lpstr>06-02</vt:lpstr>
      <vt:lpstr>07-02</vt:lpstr>
      <vt:lpstr>08-02</vt:lpstr>
      <vt:lpstr>09-02</vt:lpstr>
      <vt:lpstr>10-02</vt:lpstr>
      <vt:lpstr>11-02</vt:lpstr>
      <vt:lpstr>27-2</vt:lpstr>
      <vt:lpstr>28-2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2026-02-03T03:10:37Z</dcterms:created>
  <dcterms:modified xsi:type="dcterms:W3CDTF">2026-03-10T21:45:33Z</dcterms:modified>
</cp:coreProperties>
</file>