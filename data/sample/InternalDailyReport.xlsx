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ample\"/>
    </mc:Choice>
  </mc:AlternateContent>
  <xr:revisionPtr revIDLastSave="0" documentId="13_ncr:1_{190BDA93-D498-45FD-AD22-9C8E8517D6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</sheets>
  <definedNames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9" l="1" a="1"/>
  <c r="E30" i="19" a="1"/>
  <c r="C22" i="19"/>
  <c r="D16" i="19" a="1"/>
  <c r="B14" i="19"/>
  <c r="D27" i="19" a="1"/>
  <c r="B21" i="19"/>
  <c r="D22" i="19" a="1"/>
  <c r="D9" i="19" a="1"/>
  <c r="B18" i="19"/>
  <c r="C28" i="19"/>
  <c r="D19" i="19" a="1"/>
  <c r="B20" i="19"/>
  <c r="D5" i="19" a="1"/>
  <c r="B24" i="19"/>
  <c r="D6" i="19" a="1"/>
  <c r="B27" i="19"/>
  <c r="D12" i="19" a="1"/>
  <c r="B4" i="19"/>
  <c r="C4" i="19"/>
  <c r="D28" i="19" a="1"/>
  <c r="B26" i="19"/>
  <c r="D8" i="19" a="1"/>
  <c r="D13" i="19" a="1"/>
  <c r="B7" i="19"/>
  <c r="C7" i="19"/>
  <c r="B8" i="19"/>
  <c r="C14" i="19"/>
  <c r="D11" i="19" a="1"/>
  <c r="C18" i="19"/>
  <c r="D3" i="19"/>
  <c r="B10" i="19"/>
  <c r="C10" i="19"/>
  <c r="B11" i="19"/>
  <c r="C26" i="19"/>
  <c r="D14" i="19" a="1"/>
  <c r="C24" i="19"/>
  <c r="D25" i="19" a="1"/>
  <c r="B13" i="19"/>
  <c r="C13" i="19"/>
  <c r="B17" i="19"/>
  <c r="D26" i="19" a="1"/>
  <c r="D17" i="19" a="1"/>
  <c r="D18" i="19" a="1"/>
  <c r="C3" i="19"/>
  <c r="B16" i="19"/>
  <c r="C19" i="19"/>
  <c r="B23" i="19"/>
  <c r="D24" i="19" a="1"/>
  <c r="D15" i="19" a="1"/>
  <c r="C6" i="19"/>
  <c r="B5" i="19"/>
  <c r="C27" i="19"/>
  <c r="B19" i="19"/>
  <c r="C25" i="19"/>
  <c r="C11" i="19"/>
  <c r="C5" i="19"/>
  <c r="B6" i="19"/>
  <c r="C9" i="19"/>
  <c r="C15" i="19"/>
  <c r="B22" i="19"/>
  <c r="D4" i="19" a="1"/>
  <c r="C20" i="19"/>
  <c r="C8" i="19"/>
  <c r="B9" i="19"/>
  <c r="C12" i="19"/>
  <c r="D23" i="19" a="1"/>
  <c r="B25" i="19"/>
  <c r="D7" i="19" a="1"/>
  <c r="D20" i="19" a="1"/>
  <c r="C17" i="19"/>
  <c r="B12" i="19"/>
  <c r="C16" i="19"/>
  <c r="B28" i="19"/>
  <c r="D10" i="19" a="1"/>
  <c r="D21" i="19" a="1"/>
  <c r="C23" i="19"/>
  <c r="B15" i="19"/>
  <c r="C21" i="19"/>
  <c r="E30" i="19" l="1"/>
  <c r="D25" i="19"/>
  <c r="E25" i="19" s="1"/>
  <c r="D12" i="19"/>
  <c r="E12" i="19" s="1"/>
  <c r="D9" i="19"/>
  <c r="E9" i="19" s="1"/>
  <c r="D6" i="19"/>
  <c r="E6" i="19" s="1"/>
  <c r="D22" i="19"/>
  <c r="E22" i="19" s="1"/>
  <c r="D18" i="19"/>
  <c r="E18" i="19" s="1"/>
  <c r="D15" i="19"/>
  <c r="E15" i="19" s="1"/>
  <c r="D17" i="19"/>
  <c r="E17" i="19" s="1"/>
  <c r="D14" i="19"/>
  <c r="E14" i="19" s="1"/>
  <c r="D11" i="19"/>
  <c r="E11" i="19" s="1"/>
  <c r="D8" i="19"/>
  <c r="E8" i="19" s="1"/>
  <c r="D5" i="19"/>
  <c r="E5" i="19" s="1"/>
  <c r="D27" i="19"/>
  <c r="E27" i="19" s="1"/>
  <c r="D23" i="19"/>
  <c r="E23" i="19" s="1"/>
  <c r="D24" i="19"/>
  <c r="E24" i="19" s="1"/>
  <c r="D26" i="19"/>
  <c r="E26" i="19" s="1"/>
  <c r="D21" i="19"/>
  <c r="E21" i="19" s="1"/>
  <c r="D20" i="19"/>
  <c r="E20" i="19" s="1"/>
  <c r="D28" i="19"/>
  <c r="E28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B3" i="19"/>
  <c r="E3" i="19" l="1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<sst xmlns="http://schemas.openxmlformats.org/spreadsheetml/2006/main" count="10" uniqueCount="10">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</sst>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4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6">
    <xf numFmtId="0" fontId="0" fillId="0" borderId="0" xfId="0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E30" sqref="E30"/>
    </sheetView>
  </sheetViews>
  <sheetFormatPr defaultColWidth="9.140625" defaultRowHeight="15" x14ac:dyDescent="0.25"/>
  <cols>
    <col min="1" max="1" width="9.42578125" style="1" bestFit="1" customWidth="1"/>
    <col min="2" max="2" width="10.85546875" style="1" bestFit="1" customWidth="1"/>
    <col min="3" max="3" width="9.4257812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1" t="s">
        <v>0</v>
      </c>
      <c r="B1" s="1">
        <v>2026</v>
      </c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s="3">
        <v>46143</v>
      </c>
      <c r="B3" s="4">
        <f ca="1">IFERROR(COUNTIF(INDIRECT("'"&amp;TEXT(A3,"dd-mm")&amp;"'!L3:L200"),TEXT(A3,"dd-mm")&amp;"-"&amp;B$1),0)</f>
        <v>0</v>
      </c>
      <c r="C3" s="4">
        <f ca="1">IFERROR(COUNTIF(INDIRECT("'"&amp;TEXT(A3,"DD-MM")&amp;"'!M3:M200"),"*gộp*")/2,0)</f>
        <v>0</v>
      </c>
      <c r="D3" s="4" cm="1">
        <f t="array" ref="D3" ca="1">IFERROR(SUM(COUNTIF(INDIRECT("'"&amp;TEXT(A3,"DD-MM")&amp;"'!M3:M200"),{"*đơn trả*","*hàng tỉnh*"})),0)</f>
        <v>0</v>
      </c>
      <c r="E3" s="4">
        <f t="shared" ref="E3:E28" ca="1" si="0">B3-C3-D3</f>
        <v>0</v>
      </c>
    </row>
    <row r="4" spans="1:5" x14ac:dyDescent="0.25">
      <c r="A4" s="3">
        <v>46144</v>
      </c>
      <c r="B4" s="4">
        <f t="shared" ref="B4:B28" ca="1" si="1">IFERROR(COUNTIF(INDIRECT("'"&amp;TEXT(A4,"dd-mm")&amp;"'!L3:L200"),TEXT(A4,"dd-mm")&amp;"-"&amp;B$1),0)</f>
        <v>0</v>
      </c>
      <c r="C4" s="4">
        <f t="shared" ref="C4:C28" ca="1" si="2">IFERROR(COUNTIF(INDIRECT("'"&amp;TEXT(A4,"DD-MM")&amp;"'!M3:M200"),"*gộp*")/2,0)</f>
        <v>0</v>
      </c>
      <c r="D4" s="4" cm="1">
        <f t="array" aca="1" ref="D4" ca="1">IFERROR(SUM(COUNTIF(INDIRECT("'"&amp;TEXT(A4,"DD-MM")&amp;"'!M3:M200"),{"*đơn trả*","*hàng tỉnh*"})),0)</f>
        <v>0</v>
      </c>
      <c r="E4" s="4">
        <f t="shared" ca="1" si="0"/>
        <v>0</v>
      </c>
    </row>
    <row r="5" spans="1:5" x14ac:dyDescent="0.25">
      <c r="A5" s="3">
        <v>46146</v>
      </c>
      <c r="B5" s="4">
        <f t="shared" ca="1" si="1"/>
        <v>0</v>
      </c>
      <c r="C5" s="4">
        <f t="shared" ca="1" si="2"/>
        <v>0</v>
      </c>
      <c r="D5" s="4" cm="1">
        <f t="array" aca="1" ref="D5" ca="1">IFERROR(SUM(COUNTIF(INDIRECT("'"&amp;TEXT(A5,"DD-MM")&amp;"'!M3:M200"),{"*đơn trả*","*hàng tỉnh*"})),0)</f>
        <v>0</v>
      </c>
      <c r="E5" s="4">
        <f t="shared" ca="1" si="0"/>
        <v>0</v>
      </c>
    </row>
    <row r="6" spans="1:5" x14ac:dyDescent="0.25">
      <c r="A6" s="3">
        <v>46147</v>
      </c>
      <c r="B6" s="4">
        <f t="shared" ca="1" si="1"/>
        <v>0</v>
      </c>
      <c r="C6" s="4">
        <f t="shared" ca="1" si="2"/>
        <v>0</v>
      </c>
      <c r="D6" s="4" cm="1">
        <f t="array" aca="1" ref="D6" ca="1">IFERROR(SUM(COUNTIF(INDIRECT("'"&amp;TEXT(A6,"DD-MM")&amp;"'!M3:M200"),{"*đơn trả*","*hàng tỉnh*"})),0)</f>
        <v>0</v>
      </c>
      <c r="E6" s="4">
        <f t="shared" ca="1" si="0"/>
        <v>0</v>
      </c>
    </row>
    <row r="7" spans="1:5" x14ac:dyDescent="0.25">
      <c r="A7" s="3">
        <v>46148</v>
      </c>
      <c r="B7" s="4">
        <f t="shared" ca="1" si="1"/>
        <v>0</v>
      </c>
      <c r="C7" s="4">
        <f t="shared" ca="1" si="2"/>
        <v>0</v>
      </c>
      <c r="D7" s="4" cm="1">
        <f t="array" aca="1" ref="D7" ca="1">IFERROR(SUM(COUNTIF(INDIRECT("'"&amp;TEXT(A7,"DD-MM")&amp;"'!M3:M200"),{"*đơn trả*","*hàng tỉnh*"})),0)</f>
        <v>0</v>
      </c>
      <c r="E7" s="4">
        <f t="shared" ca="1" si="0"/>
        <v>0</v>
      </c>
    </row>
    <row r="8" spans="1:5" x14ac:dyDescent="0.25">
      <c r="A8" s="3">
        <v>46149</v>
      </c>
      <c r="B8" s="4">
        <f t="shared" ca="1" si="1"/>
        <v>0</v>
      </c>
      <c r="C8" s="4">
        <f t="shared" ca="1" si="2"/>
        <v>0</v>
      </c>
      <c r="D8" s="4" cm="1">
        <f t="array" aca="1" ref="D8" ca="1">IFERROR(SUM(COUNTIF(INDIRECT("'"&amp;TEXT(A8,"DD-MM")&amp;"'!M3:M200"),{"*đơn trả*","*hàng tỉnh*"})),0)</f>
        <v>0</v>
      </c>
      <c r="E8" s="4">
        <f t="shared" ca="1" si="0"/>
        <v>0</v>
      </c>
    </row>
    <row r="9" spans="1:5" x14ac:dyDescent="0.25">
      <c r="A9" s="3">
        <v>46150</v>
      </c>
      <c r="B9" s="4">
        <f t="shared" ca="1" si="1"/>
        <v>0</v>
      </c>
      <c r="C9" s="4">
        <f t="shared" ca="1" si="2"/>
        <v>0</v>
      </c>
      <c r="D9" s="4" cm="1">
        <f t="array" aca="1" ref="D9" ca="1">IFERROR(SUM(COUNTIF(INDIRECT("'"&amp;TEXT(A9,"DD-MM")&amp;"'!M3:M200"),{"*đơn trả*","*hàng tỉnh*"})),0)</f>
        <v>0</v>
      </c>
      <c r="E9" s="4">
        <f t="shared" ca="1" si="0"/>
        <v>0</v>
      </c>
    </row>
    <row r="10" spans="1:5" x14ac:dyDescent="0.25">
      <c r="A10" s="3">
        <v>46151</v>
      </c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IFERROR(SUM(COUNTIF(INDIRECT("'"&amp;TEXT(A10,"DD-MM")&amp;"'!M3:M200"),{"*đơn trả*","*hàng tỉnh*"})),0)</f>
        <v>0</v>
      </c>
      <c r="E10" s="4">
        <f t="shared" ca="1" si="0"/>
        <v>0</v>
      </c>
    </row>
    <row r="11" spans="1:5" x14ac:dyDescent="0.25">
      <c r="A11" s="3">
        <v>46153</v>
      </c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IFERROR(SUM(COUNTIF(INDIRECT("'"&amp;TEXT(A11,"DD-MM")&amp;"'!M3:M200"),{"*đơn trả*","*hàng tỉnh*"})),0)</f>
        <v>0</v>
      </c>
      <c r="E11" s="4">
        <f t="shared" ca="1" si="0"/>
        <v>0</v>
      </c>
    </row>
    <row r="12" spans="1:5" x14ac:dyDescent="0.25">
      <c r="A12" s="3">
        <v>46154</v>
      </c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IFERROR(SUM(COUNTIF(INDIRECT("'"&amp;TEXT(A12,"DD-MM")&amp;"'!M3:M200"),{"*đơn trả*","*hàng tỉnh*"})),0)</f>
        <v>0</v>
      </c>
      <c r="E12" s="4">
        <f t="shared" ca="1" si="0"/>
        <v>0</v>
      </c>
    </row>
    <row r="13" spans="1:5" x14ac:dyDescent="0.25">
      <c r="A13" s="3">
        <v>46155</v>
      </c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IFERROR(SUM(COUNTIF(INDIRECT("'"&amp;TEXT(A13,"DD-MM")&amp;"'!M3:M200"),{"*đơn trả*","*hàng tỉnh*"})),0)</f>
        <v>0</v>
      </c>
      <c r="E13" s="4">
        <f t="shared" ca="1" si="0"/>
        <v>0</v>
      </c>
    </row>
    <row r="14" spans="1:5" x14ac:dyDescent="0.25">
      <c r="A14" s="3">
        <v>46156</v>
      </c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IFERROR(SUM(COUNTIF(INDIRECT("'"&amp;TEXT(A14,"DD-MM")&amp;"'!M3:M200"),{"*đơn trả*","*hàng tỉnh*"})),0)</f>
        <v>0</v>
      </c>
      <c r="E14" s="4">
        <f t="shared" ca="1" si="0"/>
        <v>0</v>
      </c>
    </row>
    <row r="15" spans="1:5" x14ac:dyDescent="0.25">
      <c r="A15" s="3">
        <v>46157</v>
      </c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IFERROR(SUM(COUNTIF(INDIRECT("'"&amp;TEXT(A15,"DD-MM")&amp;"'!M3:M200"),{"*đơn trả*","*hàng tỉnh*"})),0)</f>
        <v>0</v>
      </c>
      <c r="E15" s="4">
        <f t="shared" ca="1" si="0"/>
        <v>0</v>
      </c>
    </row>
    <row r="16" spans="1:5" x14ac:dyDescent="0.25">
      <c r="A16" s="3">
        <v>46158</v>
      </c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IFERROR(SUM(COUNTIF(INDIRECT("'"&amp;TEXT(A16,"DD-MM")&amp;"'!M3:M200"),{"*đơn trả*","*hàng tỉnh*"})),0)</f>
        <v>0</v>
      </c>
      <c r="E16" s="4">
        <f t="shared" ca="1" si="0"/>
        <v>0</v>
      </c>
    </row>
    <row r="17" spans="1:5" x14ac:dyDescent="0.25">
      <c r="A17" s="3">
        <v>46160</v>
      </c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IFERROR(SUM(COUNTIF(INDIRECT("'"&amp;TEXT(A17,"DD-MM")&amp;"'!M3:M200"),{"*đơn trả*","*hàng tỉnh*"})),0)</f>
        <v>0</v>
      </c>
      <c r="E17" s="4">
        <f t="shared" ca="1" si="0"/>
        <v>0</v>
      </c>
    </row>
    <row r="18" spans="1:5" x14ac:dyDescent="0.25">
      <c r="A18" s="3">
        <v>46161</v>
      </c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IFERROR(SUM(COUNTIF(INDIRECT("'"&amp;TEXT(A18,"DD-MM")&amp;"'!M3:M200"),{"*đơn trả*","*hàng tỉnh*"})),0)</f>
        <v>0</v>
      </c>
      <c r="E18" s="4">
        <f t="shared" ca="1" si="0"/>
        <v>0</v>
      </c>
    </row>
    <row r="19" spans="1:5" x14ac:dyDescent="0.25">
      <c r="A19" s="3">
        <v>46162</v>
      </c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IFERROR(SUM(COUNTIF(INDIRECT("'"&amp;TEXT(A19,"DD-MM")&amp;"'!M3:M200"),{"*đơn trả*","*hàng tỉnh*"})),0)</f>
        <v>0</v>
      </c>
      <c r="E19" s="4">
        <f t="shared" ca="1" si="0"/>
        <v>0</v>
      </c>
    </row>
    <row r="20" spans="1:5" x14ac:dyDescent="0.25">
      <c r="A20" s="3">
        <v>46163</v>
      </c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IFERROR(SUM(COUNTIF(INDIRECT("'"&amp;TEXT(A20,"DD-MM")&amp;"'!M3:M200"),{"*đơn trả*","*hàng tỉnh*"})),0)</f>
        <v>0</v>
      </c>
      <c r="E20" s="4">
        <f t="shared" ca="1" si="0"/>
        <v>0</v>
      </c>
    </row>
    <row r="21" spans="1:5" x14ac:dyDescent="0.25">
      <c r="A21" s="3">
        <v>46164</v>
      </c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IFERROR(SUM(COUNTIF(INDIRECT("'"&amp;TEXT(A21,"DD-MM")&amp;"'!M3:M200"),{"*đơn trả*","*hàng tỉnh*"})),0)</f>
        <v>0</v>
      </c>
      <c r="E21" s="4">
        <f t="shared" ca="1" si="0"/>
        <v>0</v>
      </c>
    </row>
    <row r="22" spans="1:5" x14ac:dyDescent="0.25">
      <c r="A22" s="3">
        <v>46165</v>
      </c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IFERROR(SUM(COUNTIF(INDIRECT("'"&amp;TEXT(A22,"DD-MM")&amp;"'!M3:M200"),{"*đơn trả*","*hàng tỉnh*"})),0)</f>
        <v>0</v>
      </c>
      <c r="E22" s="4">
        <f t="shared" ca="1" si="0"/>
        <v>0</v>
      </c>
    </row>
    <row r="23" spans="1:5" x14ac:dyDescent="0.25">
      <c r="A23" s="3">
        <v>46167</v>
      </c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IFERROR(SUM(COUNTIF(INDIRECT("'"&amp;TEXT(A23,"DD-MM")&amp;"'!M3:M200"),{"*đơn trả*","*hàng tỉnh*"})),0)</f>
        <v>0</v>
      </c>
      <c r="E23" s="4">
        <f t="shared" ca="1" si="0"/>
        <v>0</v>
      </c>
    </row>
    <row r="24" spans="1:5" x14ac:dyDescent="0.25">
      <c r="A24" s="3">
        <v>46168</v>
      </c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IFERROR(SUM(COUNTIF(INDIRECT("'"&amp;TEXT(A24,"DD-MM")&amp;"'!M3:M200"),{"*đơn trả*","*hàng tỉnh*"})),0)</f>
        <v>0</v>
      </c>
      <c r="E24" s="4">
        <f t="shared" ca="1" si="0"/>
        <v>0</v>
      </c>
    </row>
    <row r="25" spans="1:5" x14ac:dyDescent="0.25">
      <c r="A25" s="3">
        <v>46169</v>
      </c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IFERROR(SUM(COUNTIF(INDIRECT("'"&amp;TEXT(A25,"DD-MM")&amp;"'!M3:M200"),{"*đơn trả*","*hàng tỉnh*"})),0)</f>
        <v>0</v>
      </c>
      <c r="E25" s="4">
        <f t="shared" ca="1" si="0"/>
        <v>0</v>
      </c>
    </row>
    <row r="26" spans="1:5" x14ac:dyDescent="0.25">
      <c r="A26" s="3">
        <v>46170</v>
      </c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IFERROR(SUM(COUNTIF(INDIRECT("'"&amp;TEXT(A26,"DD-MM")&amp;"'!M3:M200"),{"*đơn trả*","*hàng tỉnh*"})),0)</f>
        <v>0</v>
      </c>
      <c r="E26" s="4">
        <f t="shared" ca="1" si="0"/>
        <v>0</v>
      </c>
    </row>
    <row r="27" spans="1:5" x14ac:dyDescent="0.25">
      <c r="A27" s="3">
        <v>46171</v>
      </c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IFERROR(SUM(COUNTIF(INDIRECT("'"&amp;TEXT(A27,"DD-MM")&amp;"'!M3:M200"),{"*đơn trả*","*hàng tỉnh*"})),0)</f>
        <v>0</v>
      </c>
      <c r="E27" s="4">
        <f t="shared" ca="1" si="0"/>
        <v>0</v>
      </c>
    </row>
    <row r="28" spans="1:5" x14ac:dyDescent="0.25">
      <c r="A28" s="3">
        <v>46172</v>
      </c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IFERROR(SUM(COUNTIF(INDIRECT("'"&amp;TEXT(A28,"DD-MM")&amp;"'!M3:M200"),{"*đơn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6</v>
      </c>
      <c r="E29" s="5">
        <f ca="1">SUBTOTAL(9,E3:E28)</f>
        <v>0</v>
      </c>
    </row>
    <row r="30" spans="1:5" x14ac:dyDescent="0.25">
      <c r="D30" s="5" t="s">
        <v>7</v>
      </c>
      <c r="E30" s="5" cm="1">
        <f t="array" aca="1" ref="E30" ca="1">SUMPRODUCT(
    IFERROR(
        SUMIF(
            INDIRECT("'"&amp;TEXT(A3:A28,"dd-mm")&amp;"'!O:O"),
            "tổng",
            INDIRECT("'"&amp;TEXT(A3:A28,"dd-mm")&amp;"'!P:P")
        ),
    0)
)</f>
        <v>0</v>
      </c>
    </row>
    <row r="31" spans="1:5" x14ac:dyDescent="0.25">
      <c r="D31" s="5" t="s">
        <v>8</v>
      </c>
      <c r="E31" s="5">
        <f ca="1">-E29*2</f>
        <v>0</v>
      </c>
    </row>
    <row r="32" spans="1:5" x14ac:dyDescent="0.25">
      <c r="D32" s="5" t="s">
        <v>9</v>
      </c>
      <c r="E32" s="5">
        <f ca="1">SUBTOTAL(9,E30:E31)</f>
        <v>0</v>
      </c>
    </row>
  </sheetData>
  <autoFilter ref="A2:E28" xr:uid="{00000000-0009-0000-0000-000001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2026-08-01T12:39:26Z</dcterms:modified>
</cp:coreProperties>
</file>