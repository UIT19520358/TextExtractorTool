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929"/>
  <x: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ample\"/>
    </mc:Choice>
  </mc:AlternateContent>
  <xr:revisionPtr revIDLastSave="0" documentId="13_ncr:1_{CEF3AE69-4A7C-4DAB-BA91-3156BA384D87}" xr6:coauthVersionLast="47" xr6:coauthVersionMax="47" xr10:uidLastSave="{00000000-0000-0000-0000-000000000000}"/>
  <x:bookViews>
    <x:workbookView xWindow="-120" yWindow="-120" windowWidth="29040" windowHeight="15720" firstSheet="0" activeTab="0" xr2:uid="{00000000-000D-0000-FFFF-FFFF00000000}"/>
  </x:bookViews>
  <x:sheets>
    <x:sheet name="01-05" sheetId="7" r:id="rId1"/>
    <x:sheet name="Sheet1" sheetId="19" r:id="rId2"/>
    <x:sheet name="28-05" sheetId="9" r:id="rId9"/>
  </x:sheets>
  <x:definedNames>
    <x:definedName name="_xlnm._FilterDatabase" localSheetId="0" hidden="1">'01-05'!$A$2:$P$56</x:definedName>
    <x:definedName name="_xlnm._FilterDatabase" localSheetId="1" hidden="1">Sheet1!$A$2:$E$28</x:definedName>
    <x:definedName name="_xlnm._FilterDatabase" localSheetId="2" hidden="1">'28-05'!$A$2:$P$29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3" i="7"/>
  <x:c r="I4" i="7"/>
  <x:c r="I5" i="7"/>
  <x:c r="I6" i="7"/>
  <x:c r="I7" i="7"/>
  <x:c r="I8" i="7"/>
  <x:c r="I9" i="7"/>
  <x:c r="R9" i="7"/>
  <x:c r="I10" i="7"/>
  <x:c r="I11" i="7"/>
  <x:c r="I12" i="7"/>
  <x:c r="I13" i="7"/>
  <x:c r="I14" i="7"/>
  <x:c r="I15" i="7"/>
  <x:c r="I16" i="7"/>
  <x:c r="R16" i="7"/>
  <x:c r="I17" i="7"/>
  <x:c r="I18" i="7"/>
  <x:c r="I19" i="7"/>
  <x:c r="R19" i="7"/>
  <x:c r="I20" i="7"/>
  <x:c r="R20" i="7"/>
  <x:c r="I21" i="7"/>
  <x:c r="I22" i="7"/>
  <x:c r="I23" i="7"/>
  <x:c r="I24" i="7"/>
  <x:c r="R24" i="7"/>
  <x:c r="I25" i="7"/>
  <x:c r="I26" i="7"/>
  <x:c r="R26" i="7"/>
  <x:c r="I27" i="7"/>
  <x:c r="I28" i="7"/>
  <x:c r="R28" i="7"/>
  <x:c r="I29" i="7"/>
  <x:c r="I30" i="7"/>
  <x:c r="I31" i="7"/>
  <x:c r="I32" i="7"/>
  <x:c r="I33" i="7"/>
  <x:c r="R33" i="7"/>
  <x:c r="I34" i="7"/>
  <x:c r="I35" i="7"/>
  <x:c r="I36" i="7"/>
  <x:c r="I37" i="7"/>
  <x:c r="I38" i="7"/>
  <x:c r="I39" i="7"/>
  <x:c r="I40" i="7"/>
  <x:c r="I41" i="7"/>
  <x:c r="I42" i="7"/>
  <x:c r="R42" i="7"/>
  <x:c r="I43" i="7"/>
  <x:c r="I44" i="7"/>
  <x:c r="I45" i="7"/>
  <x:c r="I46" i="7"/>
  <x:c r="R46" i="7"/>
  <x:c r="I47" i="7"/>
  <x:c r="I48" i="7"/>
  <x:c r="R48" i="7"/>
  <x:c r="I49" i="7"/>
  <x:c r="I50" i="7"/>
  <x:c r="I51" i="7"/>
  <x:c r="I52" i="7"/>
  <x:c r="R52" i="7"/>
  <x:c r="I53" i="7"/>
  <x:c r="R53" i="7"/>
  <x:c r="I54" i="7"/>
  <x:c r="I55" i="7"/>
  <x:c r="I56" i="7"/>
  <x:c r="R56" i="7"/>
  <x:c r="D58" i="7"/>
  <x:c r="G58" i="7"/>
  <x:c r="H58" i="7"/>
  <x:c r="I58" i="7"/>
  <x:c r="J58" i="7"/>
  <x:c r="K58" i="7"/>
  <x:c r="L58" i="7"/>
  <x:c r="M58" i="7"/>
  <x:c r="N58" i="7"/>
  <x:c r="O58" i="7"/>
  <x:c r="P58" i="7"/>
  <x:c r="Q58" i="7"/>
  <x:c r="H59" i="7"/>
  <x:c r="H60" i="7"/>
  <x:c r="C61" i="7"/>
  <x:c r="E61" i="7"/>
  <x:c r="L61" i="7"/>
  <x:c r="M61" i="7"/>
  <x:c r="P61" i="7"/>
  <x:c r="L62" i="7"/>
  <x:c r="M62" i="7"/>
  <x:c r="P62" i="7"/>
  <x:c r="C63" i="7"/>
  <x:c r="E63" i="7"/>
  <x:c r="P63" i="7"/>
  <x:c r="C64" i="7"/>
  <x:c r="E64" i="7"/>
  <x:c r="P64" i="7"/>
  <x:c r="P65" i="7"/>
  <x:c r="L66" i="7"/>
  <x:c r="M66" i="7"/>
  <x:c r="P66" i="7"/>
  <x:c r="C68" i="7"/>
  <x:c r="L69" i="7"/>
  <x:c r="M69" i="7"/>
  <x:c r="L70" i="7"/>
  <x:c r="M70" i="7"/>
  <x:c r="L74" i="7"/>
  <x:c r="M74" i="7"/>
  <x:c r="L77" i="7"/>
  <x:c r="M77" i="7"/>
  <x:c r="L78" i="7"/>
  <x:c r="M78" i="7"/>
  <x:c r="L79" i="7"/>
  <x:c r="M79" i="7"/>
  <x:c r="L82" i="7"/>
  <x:c r="M82" i="7"/>
  <x:c r="L85" i="7"/>
  <x:c r="M85" i="7"/>
  <x:c r="L86" i="7"/>
  <x:c r="M86" i="7"/>
  <x:c r="L90" i="7"/>
  <x:c r="M90" i="7"/>
  <x:c r="B3" i="19"/>
  <x:c r="C3" i="19"/>
  <x:c r="D3" i="19" a="1"/>
  <x:c r="D3" i="19"/>
  <x:c r="E3" i="19"/>
  <x:c r="B4" i="19"/>
  <x:c r="C4" i="19"/>
  <x:c r="D4" i="19" a="1"/>
  <x:c r="D4" i="19"/>
  <x:c r="E4" i="19"/>
  <x:c r="B5" i="19"/>
  <x:c r="C5" i="19"/>
  <x:c r="D5" i="19" a="1"/>
  <x:c r="D5" i="19"/>
  <x:c r="E5" i="19"/>
  <x:c r="B6" i="19"/>
  <x:c r="C6" i="19"/>
  <x:c r="D6" i="19" a="1"/>
  <x:c r="D6" i="19"/>
  <x:c r="E6" i="19"/>
  <x:c r="B7" i="19"/>
  <x:c r="C7" i="19"/>
  <x:c r="D7" i="19" a="1"/>
  <x:c r="D7" i="19"/>
  <x:c r="E7" i="19"/>
  <x:c r="B8" i="19"/>
  <x:c r="C8" i="19"/>
  <x:c r="D8" i="19" a="1"/>
  <x:c r="D8" i="19"/>
  <x:c r="E8" i="19"/>
  <x:c r="B9" i="19"/>
  <x:c r="C9" i="19"/>
  <x:c r="D9" i="19" a="1"/>
  <x:c r="D9" i="19"/>
  <x:c r="E9" i="19"/>
  <x:c r="B10" i="19"/>
  <x:c r="C10" i="19"/>
  <x:c r="D10" i="19" a="1"/>
  <x:c r="D10" i="19"/>
  <x:c r="E10" i="19"/>
  <x:c r="B11" i="19"/>
  <x:c r="C11" i="19"/>
  <x:c r="D11" i="19" a="1"/>
  <x:c r="D11" i="19"/>
  <x:c r="E11" i="19"/>
  <x:c r="B12" i="19"/>
  <x:c r="C12" i="19"/>
  <x:c r="D12" i="19" a="1"/>
  <x:c r="D12" i="19"/>
  <x:c r="E12" i="19"/>
  <x:c r="B13" i="19"/>
  <x:c r="C13" i="19"/>
  <x:c r="D13" i="19" a="1"/>
  <x:c r="D13" i="19"/>
  <x:c r="E13" i="19"/>
  <x:c r="B14" i="19"/>
  <x:c r="C14" i="19"/>
  <x:c r="D14" i="19" a="1"/>
  <x:c r="D14" i="19"/>
  <x:c r="E14" i="19"/>
  <x:c r="B15" i="19"/>
  <x:c r="C15" i="19"/>
  <x:c r="D15" i="19" a="1"/>
  <x:c r="D15" i="19"/>
  <x:c r="E15" i="19"/>
  <x:c r="B16" i="19"/>
  <x:c r="C16" i="19"/>
  <x:c r="D16" i="19" a="1"/>
  <x:c r="D16" i="19"/>
  <x:c r="E16" i="19"/>
  <x:c r="B17" i="19"/>
  <x:c r="C17" i="19"/>
  <x:c r="D17" i="19" a="1"/>
  <x:c r="D17" i="19"/>
  <x:c r="E17" i="19"/>
  <x:c r="B18" i="19"/>
  <x:c r="C18" i="19"/>
  <x:c r="D18" i="19" a="1"/>
  <x:c r="D18" i="19"/>
  <x:c r="E18" i="19"/>
  <x:c r="B19" i="19"/>
  <x:c r="C19" i="19"/>
  <x:c r="D19" i="19" a="1"/>
  <x:c r="D19" i="19"/>
  <x:c r="E19" i="19"/>
  <x:c r="B20" i="19"/>
  <x:c r="C20" i="19"/>
  <x:c r="D20" i="19" a="1"/>
  <x:c r="D20" i="19"/>
  <x:c r="E20" i="19"/>
  <x:c r="B21" i="19"/>
  <x:c r="C21" i="19"/>
  <x:c r="D21" i="19" a="1"/>
  <x:c r="D21" i="19"/>
  <x:c r="E21" i="19"/>
  <x:c r="B22" i="19"/>
  <x:c r="C22" i="19"/>
  <x:c r="D22" i="19" a="1"/>
  <x:c r="D22" i="19"/>
  <x:c r="E22" i="19"/>
  <x:c r="B23" i="19"/>
  <x:c r="C23" i="19"/>
  <x:c r="D23" i="19" a="1"/>
  <x:c r="D23" i="19"/>
  <x:c r="E23" i="19"/>
  <x:c r="B24" i="19"/>
  <x:c r="C24" i="19"/>
  <x:c r="D24" i="19" a="1"/>
  <x:c r="D24" i="19"/>
  <x:c r="E24" i="19"/>
  <x:c r="B25" i="19"/>
  <x:c r="C25" i="19"/>
  <x:c r="D25" i="19" a="1"/>
  <x:c r="D25" i="19"/>
  <x:c r="E25" i="19"/>
  <x:c r="B26" i="19"/>
  <x:c r="C26" i="19"/>
  <x:c r="D26" i="19" a="1"/>
  <x:c r="D26" i="19"/>
  <x:c r="E26" i="19"/>
  <x:c r="B27" i="19"/>
  <x:c r="C27" i="19"/>
  <x:c r="D27" i="19" a="1"/>
  <x:c r="D27" i="19"/>
  <x:c r="E27" i="19"/>
  <x:c r="B28" i="19"/>
  <x:c r="C28" i="19"/>
  <x:c r="D28" i="19" a="1"/>
  <x:c r="D28" i="19"/>
  <x:c r="E28" i="19"/>
  <x:c r="E29" i="19"/>
  <x:c r="E30" i="19" a="1"/>
  <x:c r="E30" i="19"/>
  <x:c r="E31" i="19"/>
  <x:c r="E32" i="19"/>
  <x:c r="I3" i="9"/>
  <x:c r="I4" i="9"/>
  <x:c r="I5" i="9"/>
  <x:c r="I6" i="9"/>
  <x:c r="I7" i="9"/>
  <x:c r="I8" i="9"/>
  <x:c r="I9" i="9"/>
  <x:c r="I10" i="9"/>
  <x:c r="I11" i="9"/>
  <x:c r="I12" i="9"/>
  <x:c r="I13" i="9"/>
  <x:c r="I14" i="9"/>
  <x:c r="I15" i="9"/>
  <x:c r="I16" i="9"/>
  <x:c r="I17" i="9"/>
  <x:c r="I18" i="9"/>
  <x:c r="I19" i="9"/>
  <x:c r="I20" i="9"/>
  <x:c r="I21" i="9"/>
  <x:c r="I22" i="9"/>
  <x:c r="I23" i="9"/>
  <x:c r="I24" i="9"/>
  <x:c r="I25" i="9"/>
  <x:c r="I26" i="9"/>
  <x:c r="I27" i="9"/>
  <x:c r="I28" i="9"/>
  <x:c r="I29" i="9"/>
  <x:c r="D31" i="9"/>
  <x:c r="G31" i="9"/>
  <x:c r="H31" i="9"/>
  <x:c r="I31" i="9"/>
  <x:c r="J31" i="9"/>
  <x:c r="K31" i="9"/>
  <x:c r="L31" i="9"/>
  <x:c r="M31" i="9"/>
  <x:c r="N31" i="9"/>
  <x:c r="O31" i="9"/>
  <x:c r="P31" i="9"/>
  <x:c r="Q31" i="9"/>
  <x:c r="H32" i="9"/>
  <x:c r="C34" i="9"/>
  <x:c r="E34" i="9"/>
  <x:c r="L34" i="9"/>
  <x:c r="M34" i="9"/>
  <x:c r="P34" i="9"/>
  <x:c r="L35" i="9"/>
  <x:c r="M35" i="9"/>
  <x:c r="P35" i="9"/>
  <x:c r="C36" i="9"/>
  <x:c r="E36" i="9"/>
  <x:c r="P36" i="9"/>
  <x:c r="C37" i="9"/>
  <x:c r="E37" i="9"/>
  <x:c r="P37" i="9"/>
  <x:c r="P38" i="9"/>
  <x:c r="L39" i="9"/>
  <x:c r="M39" i="9"/>
  <x:c r="C41" i="9"/>
  <x:c r="L42" i="9"/>
  <x:c r="M42" i="9"/>
  <x:c r="L43" i="9"/>
  <x:c r="M43" i="9"/>
  <x:c r="L47" i="9"/>
  <x:c r="M47" i="9"/>
  <x:c r="L50" i="9"/>
  <x:c r="M50" i="9"/>
  <x:c r="L51" i="9"/>
  <x:c r="M51" i="9"/>
  <x:c r="L52" i="9"/>
  <x:c r="M52" i="9"/>
  <x:c r="L55" i="9"/>
  <x:c r="M55" i="9"/>
</x: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<x:sst xmlns:x="http://schemas.openxmlformats.org/spreadsheetml/2006/main">
  <x:si>
    <x:t>Tình trạng TT</x:t>
  </x:si>
  <x:si>
    <x:t>SHOP</x:t>
  </x:si>
  <x:si>
    <x:t>TÊN KH</x:t>
  </x:si>
  <x:si>
    <x:t>MÃ</x:t>
  </x:si>
  <x:si>
    <x:t>ĐỊA CHỈ</x:t>
  </x:si>
  <x:si>
    <x:t>QUẬN</x:t>
  </x:si>
  <x:si>
    <x:t>TIỀN THU</x:t>
  </x:si>
  <x:si>
    <x:t>TIỀN SHIP</x:t>
  </x:si>
  <x:si>
    <x:t>TIỀN HÀNG</x:t>
  </x:si>
  <x:si>
    <x:t>NGƯỜI ĐI</x:t>
  </x:si>
  <x:si>
    <x:t>NGƯỜI LẤY</x:t>
  </x:si>
  <x:si>
    <x:t>NGÀY LẤY</x:t>
  </x:si>
  <x:si>
    <x:t>GHI CHÚ</x:t>
  </x:si>
  <x:si>
    <x:t>ỨNG TIỀN</x:t>
  </x:si>
  <x:si>
    <x:t>HÀNG TỒN</x:t>
  </x:si>
  <x:si>
    <x:t>FAIL</x:t>
  </x:si>
  <x:si>
    <x:t>hàng sỉ</x:t>
  </x:si>
  <x:si>
    <x:t>ĐOÀN NGÂN CHÂU</x:t>
  </x:si>
  <x:si>
    <x:t>MAI CHI</x:t>
  </x:si>
  <x:si>
    <x:t>toa BS16 - The oasis - vinhome grand park</x:t>
  </x:si>
  <x:si>
    <x:t>a.quyen</x:t>
  </x:si>
  <x:si>
    <x:t>c.cuong</x:t>
  </x:si>
  <x:si>
    <x:t>01-05-2026</x:t>
  </x:si>
  <x:si>
    <x:t>Thu Lê</x:t>
  </x:si>
  <x:si>
    <x:t>HD017813</x:t>
  </x:si>
  <x:si>
    <x:t>293 vành đai trong, P.Bình trị đông B</x:t>
  </x:si>
  <x:si>
    <x:t>binh tan</x:t>
  </x:si>
  <x:si>
    <x:t>AT 01-05</x:t>
  </x:si>
  <x:si>
    <x:t>Như Quỳnh</x:t>
  </x:si>
  <x:si>
    <x:t>HD017879</x:t>
  </x:si>
  <x:si>
    <x:t>56/13/18 huỳnh thị hai phường tân chánh hiệp</x:t>
  </x:si>
  <x:si>
    <x:t>C Thảo Thao Nguyen</x:t>
  </x:si>
  <x:si>
    <x:t>HD017906</x:t>
  </x:si>
  <x:si>
    <x:t>111/8B Trường Chinh, phường Đông Hưng Thuận</x:t>
  </x:si>
  <x:si>
    <x:t>Kim Bình</x:t>
  </x:si>
  <x:si>
    <x:t>HD018057</x:t>
  </x:si>
  <x:si>
    <x:t>1253 phạm thế hiển p5</x:t>
  </x:si>
  <x:si>
    <x:t>Ánh Linh</x:t>
  </x:si>
  <x:si>
    <x:t>HD018056</x:t>
  </x:si>
  <x:si>
    <x:t>Toà A chung cư diamond 49C lê quang kim p8</x:t>
  </x:si>
  <x:si>
    <x:t>W3235</x:t>
  </x:si>
  <x:si>
    <x:t>HD017713</x:t>
  </x:si>
  <x:si>
    <x:t>375 tân thới hiệp 21, Tổ 3,Kp3</x:t>
  </x:si>
  <x:si>
    <x:t>Đỗ Nhi</x:t>
  </x:si>
  <x:si>
    <x:t>HD017976</x:t>
  </x:si>
  <x:si>
    <x:t>25/49/15/8 nguyễn minh châu</x:t>
  </x:si>
  <x:si>
    <x:t>tan phu</x:t>
  </x:si>
  <x:si>
    <x:t>Nguyễn Thị Khánh Ly</x:t>
  </x:si>
  <x:si>
    <x:t>HD017945</x:t>
  </x:si>
  <x:si>
    <x:t>Chung cư akari block 9</x:t>
  </x:si>
  <x:si>
    <x:t>Võ Thục Trinh</x:t>
  </x:si>
  <x:si>
    <x:t>HD017966</x:t>
  </x:si>
  <x:si>
    <x:t>Chung cư Topaz City block A1, 39 Cao Lỗ P4</x:t>
  </x:si>
  <x:si>
    <x:t>Hang Nguyen fb Bella Nguyen</x:t>
  </x:si>
  <x:si>
    <x:t>HD018060</x:t>
  </x:si>
  <x:si>
    <x:t>10/23 chiến lược p bình trị đông</x:t>
  </x:si>
  <x:si>
    <x:t>Ruby Nguyễn</x:t>
  </x:si>
  <x:si>
    <x:t>HD018067</x:t>
  </x:si>
  <x:si>
    <x:t>M37/15 Cư Xá Phú Lâm A Phường 12</x:t>
  </x:si>
  <x:si>
    <x:t>Diễn Phan</x:t>
  </x:si>
  <x:si>
    <x:t>HD017789</x:t>
  </x:si>
  <x:si>
    <x:t>11/26/14 đường nam cao, p tân phú</x:t>
  </x:si>
  <x:si>
    <x:t>fb Thuyên Quyên</x:t>
  </x:si>
  <x:si>
    <x:t>HD018007</x:t>
  </x:si>
  <x:si>
    <x:t>68B/23/1C hương lộ 2, phường bình trị đông A</x:t>
  </x:si>
  <x:si>
    <x:t>Hoa Tuyết</x:t>
  </x:si>
  <x:si>
    <x:t>HD017605</x:t>
  </x:si>
  <x:si>
    <x:t>126A/4 tổ 17 trung mỹ tây</x:t>
  </x:si>
  <x:si>
    <x:t>ng nhận Duyên Mai</x:t>
  </x:si>
  <x:si>
    <x:t>HD017665</x:t>
  </x:si>
  <x:si>
    <x:t>lexington residence block c67 Mai chí thọ An Phú</x:t>
  </x:si>
  <x:si>
    <x:t>MM QUYNH - GỬI HÀO</x:t>
  </x:si>
  <x:si>
    <x:t>HD017748</x:t>
  </x:si>
  <x:si>
    <x:t>22 đường tân thới nhất 1B, khu phố 5, phường Tân Thới Nhất</x:t>
  </x:si>
  <x:si>
    <x:t>Natalie Truong</x:t>
  </x:si>
  <x:si>
    <x:t>HD017560</x:t>
  </x:si>
  <x:si>
    <x:t>189/46A Bạch Đằng P3</x:t>
  </x:si>
  <x:si>
    <x:t>go vap</x:t>
  </x:si>
  <x:si>
    <x:t>Tran Thu</x:t>
  </x:si>
  <x:si>
    <x:t>HD017899</x:t>
  </x:si>
  <x:si>
    <x:t>76/14/6 duong so 7 linh trung</x:t>
  </x:si>
  <x:si>
    <x:t>thu duc</x:t>
  </x:si>
  <x:si>
    <x:t>Tran Thi Thuy Trang</x:t>
  </x:si>
  <x:si>
    <x:t>HD017894</x:t>
  </x:si>
  <x:si>
    <x:t>184 nguyễn xí- cc Bắc Đinh Bộ Lĩnh - lô A82 căn cầu thang cuối cùng, Phường 26</x:t>
  </x:si>
  <x:si>
    <x:t>binh thanh</x:t>
  </x:si>
  <x:si>
    <x:t>Trần Thảo Na</x:t>
  </x:si>
  <x:si>
    <x:t>HD018101</x:t>
  </x:si>
  <x:si>
    <x:t>74/5/47A đường số 9 phường an hội đông</x:t>
  </x:si>
  <x:si>
    <x:t>Triệu Vy _ Cindy</x:t>
  </x:si>
  <x:si>
    <x:t>HD017806</x:t>
  </x:si>
  <x:si>
    <x:t>403 Tân Sơn, p12</x:t>
  </x:si>
  <x:si>
    <x:t>Nguyễn Ánh Dương</x:t>
  </x:si>
  <x:si>
    <x:t>HD017964</x:t>
  </x:si>
  <x:si>
    <x:t>382/3/22 nguyễn thái sơn khu phố 1 phường An Nhơn</x:t>
  </x:si>
  <x:si>
    <x:t>tan binh</x:t>
  </x:si>
  <x:si>
    <x:t>Nguyễn bảo trân</x:t>
  </x:si>
  <x:si>
    <x:t>HD017961</x:t>
  </x:si>
  <x:si>
    <x:t>68/6 Thống Nhất, p10</x:t>
  </x:si>
  <x:si>
    <x:t>Thu Thảo</x:t>
  </x:si>
  <x:si>
    <x:t>HD018090</x:t>
  </x:si>
  <x:si>
    <x:t>401 /21 phường 8, Nguyễn văn khối</x:t>
  </x:si>
  <x:si>
    <x:t>Chi</x:t>
  </x:si>
  <x:si>
    <x:t>HD017710</x:t>
  </x:si>
  <x:si>
    <x:t>Block B, B607 Chung cư Dreamhome 2 đường số 59, Phường 14</x:t>
  </x:si>
  <x:si>
    <x:t>Hứa Tuyên</x:t>
  </x:si>
  <x:si>
    <x:t>HD018021</x:t>
  </x:si>
  <x:si>
    <x:t>939 Nguyễn kiệm phường Hạnh Thông</x:t>
  </x:si>
  <x:si>
    <x:t>Mộng Thuý Trảo</x:t>
  </x:si>
  <x:si>
    <x:t>HD017827</x:t>
  </x:si>
  <x:si>
    <x:t>53A kha vạn cân, kp1, hiệp bình chánh</x:t>
  </x:si>
  <x:si>
    <x:t>Ngọc Ánh</x:t>
  </x:si>
  <x:si>
    <x:t>HD018053</x:t>
  </x:si>
  <x:si>
    <x:t>236/43/9 điện biên phủ</x:t>
  </x:si>
  <x:si>
    <x:t>An An</x:t>
  </x:si>
  <x:si>
    <x:t>HD017441</x:t>
  </x:si>
  <x:si>
    <x:t>374 Xô viết nghệ tĩnh, P25</x:t>
  </x:si>
  <x:si>
    <x:t>Ngân Phan</x:t>
  </x:si>
  <x:si>
    <x:t>HD017688</x:t>
  </x:si>
  <x:si>
    <x:t>Chung cư Sarina tháp B (Sarina 1B), đường B2, mặt sau đường Hoàng Thế Thiện, Phường An Khánh</x:t>
  </x:si>
  <x:si>
    <x:t>Mén HM</x:t>
  </x:si>
  <x:si>
    <x:t>HD017895</x:t>
  </x:si>
  <x:si>
    <x:t>Toà landmark 2</x:t>
  </x:si>
  <x:si>
    <x:t>Trúc Phương</x:t>
  </x:si>
  <x:si>
    <x:t>HD017982</x:t>
  </x:si>
  <x:si>
    <x:t>Chung cư citiesto, cát lái</x:t>
  </x:si>
  <x:si>
    <x:t>đổi hàng</x:t>
  </x:si>
  <x:si>
    <x:t>BOS BMB</x:t>
  </x:si>
  <x:si>
    <x:t>119 hoàng diệu 2 linh trung</x:t>
  </x:si>
  <x:si>
    <x:t>jenny bouti</x:t>
  </x:si>
  <x:si>
    <x:t>401 Quang trung f10</x:t>
  </x:si>
  <x:si>
    <x:t>Nguyễn Havy</x:t>
  </x:si>
  <x:si>
    <x:t>HD017867</x:t>
  </x:si>
  <x:si>
    <x:t>CC The Park Residence, 12 Nguyễn Hữu Thọ, Phước Kiển</x:t>
  </x:si>
  <x:si>
    <x:t>nha be</x:t>
  </x:si>
  <x:si>
    <x:t>c.hieu</x:t>
  </x:si>
  <x:si>
    <x:t>Minơ fb Lê Tú</x:t>
  </x:si>
  <x:si>
    <x:t>HD017844</x:t>
  </x:si>
  <x:si>
    <x:t>chung cư Sài Gòn Mia - lock A ) 200 đường số 9A- xã bình hưng</x:t>
  </x:si>
  <x:si>
    <x:t>binh chanh</x:t>
  </x:si>
  <x:si>
    <x:t>Phuong Thaoo</x:t>
  </x:si>
  <x:si>
    <x:t>HD018004</x:t>
  </x:si>
  <x:si>
    <x:t>12c trần phú p4</x:t>
  </x:si>
  <x:si>
    <x:t>Trang Lưu</x:t>
  </x:si>
  <x:si>
    <x:t>HD017868</x:t>
  </x:si>
  <x:si>
    <x:t>223/2G phạm viết chánh phường nguyễn cư trinh</x:t>
  </x:si>
  <x:si>
    <x:t>Yun Sokhour D17386666</x:t>
  </x:si>
  <x:si>
    <x:t>HD017709</x:t>
  </x:si>
  <x:si>
    <x:t>nhà xe Khải nam</x:t>
  </x:si>
  <x:si>
    <x:t>Uyên Thư</x:t>
  </x:si>
  <x:si>
    <x:t>HD017958</x:t>
  </x:si>
  <x:si>
    <x:t>Nguyễn Đình Chiêu Phường Bàn Cờ</x:t>
  </x:si>
  <x:si>
    <x:t>Mỹ Kiều</x:t>
  </x:si>
  <x:si>
    <x:t>HD017795</x:t>
  </x:si>
  <x:si>
    <x:t>51 lê quý đôn phường xuân hòa</x:t>
  </x:si>
  <x:si>
    <x:t>Thu Thuỷ</x:t>
  </x:si>
  <x:si>
    <x:t>HD018074</x:t>
  </x:si>
  <x:si>
    <x:t>181 đường 79 tân quy</x:t>
  </x:si>
  <x:si>
    <x:t>Trần Ngọc trang - malaysia - Tuyên</x:t>
  </x:si>
  <x:si>
    <x:t>HD017715</x:t>
  </x:si>
  <x:si>
    <x:t>36/15 yên thế, phường 2</x:t>
  </x:si>
  <x:si>
    <x:t>Yin Nguyễn</x:t>
  </x:si>
  <x:si>
    <x:t>HD017561</x:t>
  </x:si>
  <x:si>
    <x:t>116a đường số 16 p tân quy</x:t>
  </x:si>
  <x:si>
    <x:t>anh phước (đồ của chị yến)</x:t>
  </x:si>
  <x:si>
    <x:t>HD017832</x:t>
  </x:si>
  <x:si>
    <x:t>241 lê thánh tôn, p. bến thành</x:t>
  </x:si>
  <x:si>
    <x:t>shop chịu ship</x:t>
  </x:si>
  <x:si>
    <x:t>Nhu Thanh</x:t>
  </x:si>
  <x:si>
    <x:t>HD017793</x:t>
  </x:si>
  <x:si>
    <x:t>99 D1 Hoàng Trọng Mậu, Him Lam, Tân Hưng</x:t>
  </x:si>
  <x:si>
    <x:t>Mone Ng</x:t>
  </x:si>
  <x:si>
    <x:t>HD017667</x:t>
  </x:si>
  <x:si>
    <x:t>Sky Garden 2 p tân phong PMH</x:t>
  </x:si>
  <x:si>
    <x:t>Kimmie Van</x:t>
  </x:si>
  <x:si>
    <x:t>HD017625</x:t>
  </x:si>
  <x:si>
    <x:t>645/48 đường Trần Xuân Soạn p. Tân Hưng</x:t>
  </x:si>
  <x:si>
    <x:t>Mai Anh</x:t>
  </x:si>
  <x:si>
    <x:t>HD017687</x:t>
  </x:si>
  <x:si>
    <x:t>109/22/14 Dương Bá Trạc p1</x:t>
  </x:si>
  <x:si>
    <x:t>Ngọc Phạm</x:t>
  </x:si>
  <x:si>
    <x:t>HD017869</x:t>
  </x:si>
  <x:si>
    <x:t>80 BÀ HUYỆN THANH QUAN, P.9</x:t>
  </x:si>
  <x:si>
    <x:t>bảo bảo fb Phương Phương</x:t>
  </x:si>
  <x:si>
    <x:t>HD017593</x:t>
  </x:si>
  <x:si>
    <x:t>132 bến vân đồn p5</x:t>
  </x:si>
  <x:si>
    <x:t>Thao My</x:t>
  </x:si>
  <x:si>
    <x:t>HD017676</x:t>
  </x:si>
  <x:si>
    <x:t>346 Bên Vân đồn f1 Chung cư Gold View</x:t>
  </x:si>
  <x:si>
    <x:t>MAI TRẦN</x:t>
  </x:si>
  <x:si>
    <x:t>135 hải thượng lãn ông P10</x:t>
  </x:si>
  <x:si>
    <x:t>Tiền</x:t>
  </x:si>
  <x:si>
    <x:t>Số đơn</x:t>
  </x:si>
  <x:si>
    <x:t>Tiền Thu</x:t>
  </x:si>
  <x:si>
    <x:t>lợi nhuận</x:t>
  </x:si>
  <x:si>
    <x:t>cod</x:t>
  </x:si>
  <x:si>
    <x:t>Sài Gòn</x:t>
  </x:si>
  <x:si>
    <x:t>TỔNG ĐƠN NHẬN</x:t>
  </x:si>
  <x:si>
    <x:t>at 01-05</x:t>
  </x:si>
  <x:si>
    <x:t>Trừ Ship</x:t>
  </x:si>
  <x:si>
    <x:t>tiền ship</x:t>
  </x:si>
  <x:si>
    <x:t>Đơn trả &amp; c.khoản</x:t>
  </x:si>
  <x:si>
    <x:t>tiền lấy</x:t>
  </x:si>
  <x:si>
    <x:t>Tiền Hàng Hcm</x:t>
  </x:si>
  <x:si>
    <x:t>đơn trả</x:t>
  </x:si>
  <x:si>
    <x:t>đền đơn</x:t>
  </x:si>
  <x:si>
    <x:t>đơn cũ ck</x:t>
  </x:si>
  <x:si>
    <x:t>shop</x:t>
  </x:si>
  <x:si>
    <x:t>nợ cũ</x:t>
  </x:si>
  <x:si>
    <x:t>tổng</x:t>
  </x:si>
  <x:si>
    <x:t>THANH TOÁN</x:t>
  </x:si>
  <x:si>
    <x:t>CK Đủ 100%</x:t>
  </x:si>
  <x:si>
    <x:t>THÁNG 5</x:t>
  </x:si>
  <x:si>
    <x:t>NGÀY</x:t>
  </x:si>
  <x:si>
    <x:t>ĐƠN NHẬN</x:t>
  </x:si>
  <x:si>
    <x:t>ĐƠN GỘP</x:t>
  </x:si>
  <x:si>
    <x:t>ĐƠN TRẢ</x:t>
  </x:si>
  <x:si>
    <x:t>ĐƠN GIAO ĐƯỢC</x:t>
  </x:si>
  <x:si>
    <x:t>Số đơn thành công</x:t>
  </x:si>
  <x:si>
    <x:t>Doanh thu</x:t>
  </x:si>
  <x:si>
    <x:t>Lương</x:t>
  </x:si>
  <x:si>
    <x:t>Lợi nhuận</x:t>
  </x:si>
  <x:si>
    <x:t>_col17</x:t>
  </x:si>
  <x:si>
    <x:t>Uyên Trần</x:t>
  </x:si>
  <x:si>
    <x:t>HD024168</x:t>
  </x:si>
  <x:si>
    <x:t>137/84D âu dương lân - p2</x:t>
  </x:si>
  <x:si>
    <x:t>AT 28-05</x:t>
  </x:si>
  <x:si>
    <x:t>28-05-2026</x:t>
  </x:si>
  <x:si>
    <x:t>Thanh Vy</x:t>
  </x:si>
  <x:si>
    <x:t>HD024163</x:t>
  </x:si>
  <x:si>
    <x:t>20B Trần Văn Quang, Phường Bảy Hiền</x:t>
  </x:si>
  <x:si>
    <x:t>Thảo My</x:t>
  </x:si>
  <x:si>
    <x:t>HD024170</x:t>
  </x:si>
  <x:si>
    <x:t>91/12 nguyễn thanh tuyền p1</x:t>
  </x:si>
  <x:si>
    <x:t>khả trinh</x:t>
  </x:si>
  <x:si>
    <x:t>HD024033</x:t>
  </x:si>
  <x:si>
    <x:t>82/17/20đinh tiên hoàng p1</x:t>
  </x:si>
  <x:si>
    <x:t>Kelly Phan</x:t>
  </x:si>
  <x:si>
    <x:t>HD024129</x:t>
  </x:si>
  <x:si>
    <x:t>240/6A lê thánh tôn phường bến thành</x:t>
  </x:si>
  <x:si>
    <x:t>Tuệ Nhi</x:t>
  </x:si>
  <x:si>
    <x:t>HD024045</x:t>
  </x:si>
  <x:si>
    <x:t>92-94 nam kỳ khởi nghĩa- bến nghé</x:t>
  </x:si>
  <x:si>
    <x:t>Thương</x:t>
  </x:si>
  <x:si>
    <x:t>HD024006</x:t>
  </x:si>
  <x:si>
    <x:t>24 Lê Thánh Tôn (BIDV), P.Bến Nghé</x:t>
  </x:si>
  <x:si>
    <x:t>Thủy Heri</x:t>
  </x:si>
  <x:si>
    <x:t>HD024145</x:t>
  </x:si>
  <x:si>
    <x:t>184/17/35 bãi sậy phường bình tiên</x:t>
  </x:si>
  <x:si>
    <x:t>Linh fb Phan Thị Tuyết Nhung</x:t>
  </x:si>
  <x:si>
    <x:t>HD023982</x:t>
  </x:si>
  <x:si>
    <x:t>201 Đường Hoàng Hoa Thám, Phường 13</x:t>
  </x:si>
  <x:si>
    <x:t>Nguyễn Châu Tuệ Lâm</x:t>
  </x:si>
  <x:si>
    <x:t>HD024027</x:t>
  </x:si>
  <x:si>
    <x:t>74/1h ds9 linh trung</x:t>
  </x:si>
  <x:si>
    <x:t>Ngân</x:t>
  </x:si>
  <x:si>
    <x:t>HD023968</x:t>
  </x:si>
  <x:si>
    <x:t>Toà A2 Alnata diamond đường N1 Tân Sơn Nhì</x:t>
  </x:si>
  <x:si>
    <x:t>W24130 Miki (Chou)</x:t>
  </x:si>
  <x:si>
    <x:t>HD024142</x:t>
  </x:si>
  <x:si>
    <x:t>624 Lê thị riêng, thới an</x:t>
  </x:si>
  <x:si>
    <x:t>Nguyễn Trinh</x:t>
  </x:si>
  <x:si>
    <x:t>HD024157</x:t>
  </x:si>
  <x:si>
    <x:t>29/10c trần thái tông</x:t>
  </x:si>
  <x:si>
    <x:t>Phương Anna</x:t>
  </x:si>
  <x:si>
    <x:t>HD023918</x:t>
  </x:si>
  <x:si>
    <x:t>258/77/2 dương bá trạc, P2</x:t>
  </x:si>
  <x:si>
    <x:t>Minh Thư nhận hộ ( water) fb Thuỷ Vũ</x:t>
  </x:si>
  <x:si>
    <x:t>HD024179</x:t>
  </x:si>
  <x:si>
    <x:t>22, TÂN THỚI NHẤT 1B, Phường Tân Thới Nhất</x:t>
  </x:si>
  <x:si>
    <x:t>Tất Phú</x:t>
  </x:si>
  <x:si>
    <x:t>HD023941</x:t>
  </x:si>
  <x:si>
    <x:t>Bệnh viện Nhi đồng 1: 532 Lý Thái Tổ, P10</x:t>
  </x:si>
  <x:si>
    <x:t>Nguyễn Hà</x:t>
  </x:si>
  <x:si>
    <x:t>HD023972</x:t>
  </x:si>
  <x:si>
    <x:t>433/11, Lê Đức Thọ, Phường 17</x:t>
  </x:si>
  <x:si>
    <x:t>chị hương fb Kim Tien Pham</x:t>
  </x:si>
  <x:si>
    <x:t>HD24001</x:t>
  </x:si>
  <x:si>
    <x:t>328 đường số 8 thông tây hội</x:t>
  </x:si>
  <x:si>
    <x:t>Trần Lan</x:t>
  </x:si>
  <x:si>
    <x:t>HD024017</x:t>
  </x:si>
  <x:si>
    <x:t>190 võ văn ngân</x:t>
  </x:si>
  <x:si>
    <x:t>Cô Kiều Hương fb Vân Trần</x:t>
  </x:si>
  <x:si>
    <x:t>HD023954</x:t>
  </x:si>
  <x:si>
    <x:t>168A Trần Huy Liệu Phường 15</x:t>
  </x:si>
  <x:si>
    <x:t>phu nhuan</x:t>
  </x:si>
  <x:si>
    <x:t>Linh Anh</x:t>
  </x:si>
  <x:si>
    <x:t>HD023966</x:t>
  </x:si>
  <x:si>
    <x:t>12 nguyễn công trứ, thái bình</x:t>
  </x:si>
  <x:si>
    <x:t>phạm minh phi_F3: Theer To Lao</x:t>
  </x:si>
  <x:si>
    <x:t>HD024093</x:t>
  </x:si>
  <x:si>
    <x:t>33 đường số 6 p26</x:t>
  </x:si>
  <x:si>
    <x:t>Diễm Phúc</x:t>
  </x:si>
  <x:si>
    <x:t>HD024175</x:t>
  </x:si>
  <x:si>
    <x:t>314/138 đường âu dương lân, p3</x:t>
  </x:si>
  <x:si>
    <x:t>Đậu Đậu</x:t>
  </x:si>
  <x:si>
    <x:t>HD024181</x:t>
  </x:si>
  <x:si>
    <x:t>106/4 phan van tri phường 12</x:t>
  </x:si>
  <x:si>
    <x:t>HD024164</x:t>
  </x:si>
  <x:si>
    <x:t>Toà Aster - Urbun Green (đối diện Vạn Phúc)</x:t>
  </x:si>
  <x:si>
    <x:t>Linh Nga Anna</x:t>
  </x:si>
  <x:si>
    <x:t>Zy Ka</x:t>
  </x:si>
  <x:si>
    <x:t>HD023410</x:t>
  </x:si>
  <x:si>
    <x:t>9 nguyễn trường tộ, p12</x:t>
  </x:si>
  <x:si>
    <x:t>luu tra</x:t>
  </x:si>
  <x:si>
    <x:t>25-05-2026</x:t>
  </x:si>
  <x:si>
    <x:t>x</x:t>
  </x:si>
  <x:si>
    <x:t>xx</x:t>
  </x:si>
  <x:si>
    <x:t>at 28-05</x:t>
  </x:si>
  <x:si>
    <x:t>1 đơn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</x:si>
</x:sst>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64" formatCode="dd\-mm"/>
    <x:numFmt numFmtId="165" formatCode="#,##0"/>
  </x:numFmts>
  <x:fonts count="6" x14ac:knownFonts="1">
    <x:font>
      <x:sz val="11"/>
      <x:color rgb="FF000000"/>
      <x:name val="Calibri"/>
      <x:family val="2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8"/>
      <x:name val="Calibri"/>
      <x:family val="2"/>
    </x:font>
    <x:font>
      <x:b/>
      <x:sz val="11"/>
      <x:color rgb="FF000000"/>
      <x:name val="Calibri"/>
      <x:family val="2"/>
    </x:font>
    <x:font>
      <x:sz val="11"/>
      <x:color rgb="FFFF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theme="6" tint="0.59999389629810485"/>
        <x:bgColor indexed="64"/>
      </x:patternFill>
    </x:fill>
    <x:fill>
      <x:patternFill patternType="solid">
        <x:fgColor rgb="FFD3D3D3"/>
      </x:patternFill>
    </x:fill>
    <x:fill>
      <x:patternFill patternType="solid">
        <x:fgColor rgb="FFFFFFE0"/>
      </x:patternFill>
    </x:fill>
    <x:fill>
      <x:patternFill patternType="solid">
        <x:fgColor rgb="FFB0C4DE"/>
      </x:patternFill>
    </x:fill>
    <x:fill>
      <x:patternFill patternType="solid">
        <x:fgColor rgb="FFFFC87C"/>
      </x:patternFill>
    </x:fill>
    <x:fill>
      <x:patternFill patternType="solid">
        <x:fgColor rgb="FFADD8E6"/>
      </x:patternFill>
    </x:fill>
    <x:fill>
      <x:patternFill patternType="solid">
        <x:fgColor theme="5" tint="0.39997558519241921"/>
        <x:bgColor indexed="64"/>
      </x:patternFill>
    </x:fill>
  </x:fills>
  <x:borders count="2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</x:borders>
  <x:cellStyleXfs count="24">
    <x:xf numFmtId="0" fontId="0" fillId="0" borderId="0" applyBorder="0"/>
    <x:xf numFmtId="0" fontId="2" fillId="0" borderId="0"/>
    <x:xf numFmtId="0" fontId="0" fillId="9" borderId="0" applyNumberFormat="1" applyFill="0" applyBorder="0" applyAlignment="1" applyProtection="1">
      <x:protection locked="1" hidden="0"/>
    </x:xf>
    <x:xf numFmtId="0" fontId="4" fillId="4" borderId="1" applyNumberFormat="1" applyFill="0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  <x:xf numFmtId="0" fontId="0" fillId="9" borderId="1" applyNumberFormat="1" applyFill="0" applyBorder="1" applyAlignment="1" applyProtection="1">
      <x:protection locked="1" hidden="0"/>
    </x:xf>
    <x:xf numFmtId="3" fontId="0" fillId="9" borderId="1" applyNumberFormat="1" applyFill="0" applyBorder="1" applyAlignment="1" applyProtection="1">
      <x:protection locked="1" hidden="0"/>
    </x:xf>
    <x:xf numFmtId="0" fontId="5" fillId="2" borderId="1" applyNumberFormat="1" applyFill="0" applyBorder="1" applyAlignment="1" applyProtection="1">
      <x:protection locked="1" hidden="0"/>
    </x:xf>
    <x:xf numFmtId="0" fontId="4" fillId="5" borderId="0" applyNumberFormat="1" applyFill="0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4" fillId="6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4" fillId="8" borderId="0" applyNumberFormat="1" applyFill="0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164" fontId="1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4" fillId="4" borderId="0" applyNumberFormat="1" applyFill="0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41">
    <x:xf numFmtId="0" fontId="0" fillId="0" borderId="0" xfId="0"/>
    <x:xf numFmtId="0" fontId="4" fillId="5" borderId="0" xfId="0" applyFont="1" applyFill="1"/>
    <x:xf numFmtId="0" fontId="0" fillId="0" borderId="0" xfId="0"/>
    <x:xf numFmtId="0" fontId="5" fillId="0" borderId="0" xfId="0" applyFont="1"/>
    <x:xf numFmtId="0" fontId="0" fillId="5" borderId="0" xfId="0" applyFill="1"/>
    <x:xf numFmtId="0" fontId="4" fillId="0" borderId="0" xfId="0" applyFont="1"/>
    <x:xf numFmtId="0" fontId="4" fillId="5" borderId="0" xfId="0" applyFont="1" applyFill="1"/>
    <x:xf numFmtId="0" fontId="5" fillId="0" borderId="0" xfId="0" applyFont="1"/>
    <x:xf numFmtId="0" fontId="0" fillId="5" borderId="0" xfId="0" applyFill="1"/>
    <x:xf numFmtId="0" fontId="4" fillId="0" borderId="0" xfId="0" applyFont="1"/>
    <x:xf numFmtId="0" fontId="1" fillId="0" borderId="0" xfId="1" applyFont="1"/>
    <x:xf numFmtId="0" fontId="1" fillId="2" borderId="1" xfId="0" applyFont="1" applyFill="1" applyBorder="1"/>
    <x:xf numFmtId="164" fontId="1" fillId="0" borderId="1" xfId="0" applyNumberFormat="1" applyFont="1" applyBorder="1"/>
    <x:xf numFmtId="0" fontId="1" fillId="0" borderId="1" xfId="0" applyFont="1" applyBorder="1"/>
    <x:xf numFmtId="0" fontId="1" fillId="3" borderId="0" xfId="0" applyFont="1" applyFill="1"/>
    <x:xf numFmtId="3" fontId="0" fillId="0" borderId="0" xfId="0" applyNumberFormat="1"/>
    <x:xf numFmtId="0" fontId="4" fillId="6" borderId="0" xfId="0" applyFont="1" applyFill="1"/>
    <x:xf numFmtId="0" fontId="0" fillId="7" borderId="0" xfId="0" applyFill="1"/>
    <x:xf numFmtId="0" fontId="4" fillId="8" borderId="0" xfId="0" applyFont="1" applyFill="1"/>
    <x:xf numFmtId="0" fontId="4" fillId="4" borderId="1" xfId="0" applyFont="1" applyFill="1" applyBorder="1"/>
    <x:xf numFmtId="0" fontId="0" fillId="0" borderId="1" xfId="0" applyBorder="1"/>
    <x:xf numFmtId="3" fontId="0" fillId="0" borderId="1" xfId="0" applyNumberFormat="1" applyBorder="1"/>
    <x:xf numFmtId="0" fontId="0" fillId="9" borderId="1" xfId="0" applyFill="1" applyBorder="1"/>
    <x:xf numFmtId="3" fontId="0" fillId="9" borderId="1" xfId="0" applyNumberFormat="1" applyFill="1" applyBorder="1"/>
    <x:xf numFmtId="0" fontId="0" fillId="9" borderId="0" xfId="0" applyFill="1"/>
    <x:xf numFmtId="0" fontId="5" fillId="2" borderId="1" xfId="0" applyFont="1" applyFill="1" applyBorder="1"/>
    <x:xf numFmtId="0" fontId="4" fillId="4" borderId="0" xfId="0" applyFont="1" applyFill="1"/>
    <x:xf numFmtId="0" fontId="0" fillId="9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4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9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0" fillId="9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5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2">
    <x:cellStyle name="Normal" xfId="0" builtinId="0"/>
    <x:cellStyle name="Normal 2" xfId="1" xr:uid="{DB72F213-3AF7-4618-B5B3-4068D3F972D7}"/>
  </x:cellStyles>
  <x:dxfs count="1">
    <x:dxf>
      <x:fill>
        <x:patternFill patternType="solid">
          <x:fgColor auto="1"/>
          <x:bgColor rgb="FF00B0F0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calcChain" Target="calcChain.xml" Id="rId8" /><Relationship Type="http://schemas.openxmlformats.org/officeDocument/2006/relationships/sheetMetadata" Target="metadata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4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2:R90"/>
  <x:sheetViews>
    <x:sheetView topLeftCell="A43" workbookViewId="0">
      <x:selection activeCell="E70" sqref="E70"/>
    </x:sheetView>
  </x:sheetViews>
  <x:sheetFormatPr defaultRowHeight="15" x14ac:dyDescent="0.25"/>
  <x:cols>
    <x:col min="1" max="1" width="12.710938" style="0" customWidth="1"/>
    <x:col min="2" max="2" width="17.710938" style="0" customWidth="1"/>
    <x:col min="3" max="3" width="31.570312" style="0" customWidth="1"/>
    <x:col min="4" max="4" width="9.855469" style="0" customWidth="1"/>
    <x:col min="5" max="5" width="89.710938" style="0" customWidth="1"/>
    <x:col min="6" max="6" width="10.855469" style="0" customWidth="1"/>
    <x:col min="7" max="7" width="9.140625" style="0" customWidth="1"/>
    <x:col min="8" max="8" width="9.570312" style="0" customWidth="1"/>
    <x:col min="9" max="9" width="10.570312" style="0" customWidth="1"/>
    <x:col min="10" max="10" width="9.710938" style="0" customWidth="1"/>
    <x:col min="11" max="11" width="10.855469" style="0" customWidth="1"/>
    <x:col min="12" max="12" width="10.425781" style="0" customWidth="1"/>
    <x:col min="13" max="13" width="13.855469" style="0" customWidth="1"/>
    <x:col min="14" max="14" width="9.710938" style="0" customWidth="1"/>
    <x:col min="15" max="15" width="10.425781" style="0" customWidth="1"/>
    <x:col min="16" max="16" width="7" style="0" bestFit="1" customWidth="1"/>
  </x:cols>
  <x:sheetData>
    <x:row r="2" spans="1:18" x14ac:dyDescent="0.25">
      <x:c r="A2" s="28" t="s">
        <x:v>0</x:v>
      </x:c>
      <x:c r="B2" s="28" t="s">
        <x:v>1</x:v>
      </x:c>
      <x:c r="C2" s="28" t="s">
        <x:v>2</x:v>
      </x:c>
      <x:c r="D2" s="28" t="s">
        <x:v>3</x:v>
      </x:c>
      <x:c r="E2" s="28" t="s">
        <x:v>4</x:v>
      </x:c>
      <x:c r="F2" s="28" t="s">
        <x:v>5</x:v>
      </x:c>
      <x:c r="G2" s="28" t="s">
        <x:v>6</x:v>
      </x:c>
      <x:c r="H2" s="28" t="s">
        <x:v>7</x:v>
      </x:c>
      <x:c r="I2" s="28" t="s">
        <x:v>8</x:v>
      </x:c>
      <x:c r="J2" s="28" t="s">
        <x:v>9</x:v>
      </x:c>
      <x:c r="K2" s="28" t="s">
        <x:v>10</x:v>
      </x:c>
      <x:c r="L2" s="28" t="s">
        <x:v>11</x:v>
      </x:c>
      <x:c r="M2" s="28" t="s">
        <x:v>12</x:v>
      </x:c>
      <x:c r="N2" s="28" t="s">
        <x:v>13</x:v>
      </x:c>
      <x:c r="O2" s="28" t="s">
        <x:v>14</x:v>
      </x:c>
      <x:c r="P2" s="28" t="s">
        <x:v>15</x:v>
      </x:c>
      <x:c r="Q2" s="20"/>
    </x:row>
    <x:row r="3" spans="1:18" x14ac:dyDescent="0.25">
      <x:c r="A3" s="20" t="s">
        <x:v>16</x:v>
      </x:c>
      <x:c r="B3" s="20" t="s">
        <x:v>17</x:v>
      </x:c>
      <x:c r="C3" s="20" t="s">
        <x:v>18</x:v>
      </x:c>
      <x:c r="D3" s="20"/>
      <x:c r="E3" s="20" t="s">
        <x:v>19</x:v>
      </x:c>
      <x:c r="F3" s="21">
        <x:v>9</x:v>
      </x:c>
      <x:c r="G3" s="21">
        <x:v>895</x:v>
      </x:c>
      <x:c r="H3" s="21">
        <x:v>35</x:v>
      </x:c>
      <x:c r="I3" s="21">
        <x:f>G3-H3</x:f>
      </x:c>
      <x:c r="J3" s="20" t="s">
        <x:v>20</x:v>
      </x:c>
      <x:c r="K3" s="20" t="s">
        <x:v>21</x:v>
      </x:c>
      <x:c r="L3" s="20" t="s">
        <x:v>22</x:v>
      </x:c>
      <x:c r="M3" s="20"/>
      <x:c r="N3" s="20"/>
      <x:c r="O3" s="20"/>
      <x:c r="P3" s="20"/>
      <x:c r="Q3" s="20">
        <x:v>1</x:v>
      </x:c>
    </x:row>
    <x:row r="4" spans="1:18" x14ac:dyDescent="0.25">
      <x:c r="A4" s="20"/>
      <x:c r="B4" s="20" t="s">
        <x:v>17</x:v>
      </x:c>
      <x:c r="C4" s="20" t="s">
        <x:v>23</x:v>
      </x:c>
      <x:c r="D4" s="20" t="s">
        <x:v>24</x:v>
      </x:c>
      <x:c r="E4" s="20" t="s">
        <x:v>25</x:v>
      </x:c>
      <x:c r="F4" s="20" t="s">
        <x:v>26</x:v>
      </x:c>
      <x:c r="G4" s="21">
        <x:v>920</x:v>
      </x:c>
      <x:c r="H4" s="21">
        <x:v>30</x:v>
      </x:c>
      <x:c r="I4" s="21">
        <x:f>G4-H4</x:f>
      </x:c>
      <x:c r="J4" s="20" t="s">
        <x:v>27</x:v>
      </x:c>
      <x:c r="K4" s="20" t="s">
        <x:v>21</x:v>
      </x:c>
      <x:c r="L4" s="20" t="s">
        <x:v>22</x:v>
      </x:c>
      <x:c r="M4" s="20"/>
      <x:c r="N4" s="20"/>
      <x:c r="O4" s="20"/>
      <x:c r="P4" s="20"/>
      <x:c r="Q4" s="20">
        <x:v>1</x:v>
      </x:c>
    </x:row>
    <x:row r="5" spans="1:18" x14ac:dyDescent="0.25">
      <x:c r="A5" s="20"/>
      <x:c r="B5" s="20" t="s">
        <x:v>17</x:v>
      </x:c>
      <x:c r="C5" s="20" t="s">
        <x:v>28</x:v>
      </x:c>
      <x:c r="D5" s="20" t="s">
        <x:v>29</x:v>
      </x:c>
      <x:c r="E5" s="20" t="s">
        <x:v>30</x:v>
      </x:c>
      <x:c r="F5" s="21">
        <x:v>12</x:v>
      </x:c>
      <x:c r="G5" s="21">
        <x:v>890</x:v>
      </x:c>
      <x:c r="H5" s="21">
        <x:v>30</x:v>
      </x:c>
      <x:c r="I5" s="21">
        <x:f>G5-H5</x:f>
      </x:c>
      <x:c r="J5" s="20" t="s">
        <x:v>27</x:v>
      </x:c>
      <x:c r="K5" s="20" t="s">
        <x:v>21</x:v>
      </x:c>
      <x:c r="L5" s="20" t="s">
        <x:v>22</x:v>
      </x:c>
      <x:c r="M5" s="20"/>
      <x:c r="N5" s="20"/>
      <x:c r="O5" s="20"/>
      <x:c r="P5" s="20"/>
      <x:c r="Q5" s="20">
        <x:v>1</x:v>
      </x:c>
    </x:row>
    <x:row r="6" spans="1:18" x14ac:dyDescent="0.25">
      <x:c r="A6" s="20"/>
      <x:c r="B6" s="20" t="s">
        <x:v>17</x:v>
      </x:c>
      <x:c r="C6" s="20" t="s">
        <x:v>31</x:v>
      </x:c>
      <x:c r="D6" s="20" t="s">
        <x:v>32</x:v>
      </x:c>
      <x:c r="E6" s="20" t="s">
        <x:v>33</x:v>
      </x:c>
      <x:c r="F6" s="21">
        <x:v>12</x:v>
      </x:c>
      <x:c r="G6" s="21">
        <x:v>380</x:v>
      </x:c>
      <x:c r="H6" s="21">
        <x:v>30</x:v>
      </x:c>
      <x:c r="I6" s="21">
        <x:f>G6-H6</x:f>
      </x:c>
      <x:c r="J6" s="20" t="s">
        <x:v>27</x:v>
      </x:c>
      <x:c r="K6" s="20" t="s">
        <x:v>21</x:v>
      </x:c>
      <x:c r="L6" s="20" t="s">
        <x:v>22</x:v>
      </x:c>
      <x:c r="M6" s="20"/>
      <x:c r="N6" s="20"/>
      <x:c r="O6" s="20"/>
      <x:c r="P6" s="20"/>
      <x:c r="Q6" s="20">
        <x:v>1</x:v>
      </x:c>
    </x:row>
    <x:row r="7" spans="1:18" x14ac:dyDescent="0.25">
      <x:c r="A7" s="20"/>
      <x:c r="B7" s="20" t="s">
        <x:v>17</x:v>
      </x:c>
      <x:c r="C7" s="20" t="s">
        <x:v>34</x:v>
      </x:c>
      <x:c r="D7" s="20" t="s">
        <x:v>35</x:v>
      </x:c>
      <x:c r="E7" s="20" t="s">
        <x:v>36</x:v>
      </x:c>
      <x:c r="F7" s="21">
        <x:v>8</x:v>
      </x:c>
      <x:c r="G7" s="21">
        <x:v>500</x:v>
      </x:c>
      <x:c r="H7" s="21">
        <x:v>30</x:v>
      </x:c>
      <x:c r="I7" s="21">
        <x:f>G7-H7</x:f>
      </x:c>
      <x:c r="J7" s="20" t="s">
        <x:v>27</x:v>
      </x:c>
      <x:c r="K7" s="20" t="s">
        <x:v>21</x:v>
      </x:c>
      <x:c r="L7" s="20" t="s">
        <x:v>22</x:v>
      </x:c>
      <x:c r="M7" s="20"/>
      <x:c r="N7" s="20"/>
      <x:c r="O7" s="20"/>
      <x:c r="P7" s="20"/>
      <x:c r="Q7" s="20">
        <x:v>1</x:v>
      </x:c>
    </x:row>
    <x:row r="8" spans="1:18" x14ac:dyDescent="0.25">
      <x:c r="A8" s="20"/>
      <x:c r="B8" s="20" t="s">
        <x:v>17</x:v>
      </x:c>
      <x:c r="C8" s="20" t="s">
        <x:v>37</x:v>
      </x:c>
      <x:c r="D8" s="20" t="s">
        <x:v>38</x:v>
      </x:c>
      <x:c r="E8" s="20" t="s">
        <x:v>39</x:v>
      </x:c>
      <x:c r="F8" s="21">
        <x:v>8</x:v>
      </x:c>
      <x:c r="G8" s="21">
        <x:v>890</x:v>
      </x:c>
      <x:c r="H8" s="21">
        <x:v>30</x:v>
      </x:c>
      <x:c r="I8" s="21">
        <x:f>G8-H8</x:f>
      </x:c>
      <x:c r="J8" s="20" t="s">
        <x:v>27</x:v>
      </x:c>
      <x:c r="K8" s="20" t="s">
        <x:v>21</x:v>
      </x:c>
      <x:c r="L8" s="20" t="s">
        <x:v>22</x:v>
      </x:c>
      <x:c r="M8" s="20"/>
      <x:c r="N8" s="20"/>
      <x:c r="O8" s="20"/>
      <x:c r="P8" s="20"/>
      <x:c r="Q8" s="20">
        <x:v>1</x:v>
      </x:c>
    </x:row>
    <x:row r="9" spans="1:18" x14ac:dyDescent="0.25">
      <x:c r="A9" s="20"/>
      <x:c r="B9" s="20" t="s">
        <x:v>17</x:v>
      </x:c>
      <x:c r="C9" s="20" t="s">
        <x:v>40</x:v>
      </x:c>
      <x:c r="D9" s="20" t="s">
        <x:v>41</x:v>
      </x:c>
      <x:c r="E9" s="20" t="s">
        <x:v>42</x:v>
      </x:c>
      <x:c r="F9" s="21">
        <x:v>12</x:v>
      </x:c>
      <x:c r="G9" s="21">
        <x:v>0</x:v>
      </x:c>
      <x:c r="H9" s="21">
        <x:v>30</x:v>
      </x:c>
      <x:c r="I9" s="21">
        <x:f>-H9</x:f>
      </x:c>
      <x:c r="J9" s="20" t="s">
        <x:v>27</x:v>
      </x:c>
      <x:c r="K9" s="20" t="s">
        <x:v>21</x:v>
      </x:c>
      <x:c r="L9" s="20" t="s">
        <x:v>22</x:v>
      </x:c>
      <x:c r="M9" s="20"/>
      <x:c r="N9" s="20"/>
      <x:c r="O9" s="20"/>
      <x:c r="P9" s="20"/>
      <x:c r="Q9" s="20">
        <x:v>1</x:v>
      </x:c>
      <x:c r="R9" s="15">
        <x:f>H9</x:f>
      </x:c>
    </x:row>
    <x:row r="10" spans="1:18" x14ac:dyDescent="0.25">
      <x:c r="A10" s="20"/>
      <x:c r="B10" s="20" t="s">
        <x:v>17</x:v>
      </x:c>
      <x:c r="C10" s="20" t="s">
        <x:v>43</x:v>
      </x:c>
      <x:c r="D10" s="20" t="s">
        <x:v>44</x:v>
      </x:c>
      <x:c r="E10" s="20" t="s">
        <x:v>45</x:v>
      </x:c>
      <x:c r="F10" s="20" t="s">
        <x:v>46</x:v>
      </x:c>
      <x:c r="G10" s="21">
        <x:v>785</x:v>
      </x:c>
      <x:c r="H10" s="21">
        <x:v>25</x:v>
      </x:c>
      <x:c r="I10" s="21">
        <x:f>G10-H10</x:f>
      </x:c>
      <x:c r="J10" s="20" t="s">
        <x:v>27</x:v>
      </x:c>
      <x:c r="K10" s="20" t="s">
        <x:v>21</x:v>
      </x:c>
      <x:c r="L10" s="20" t="s">
        <x:v>22</x:v>
      </x:c>
      <x:c r="M10" s="20"/>
      <x:c r="N10" s="20"/>
      <x:c r="O10" s="20"/>
      <x:c r="P10" s="20"/>
      <x:c r="Q10" s="20">
        <x:v>1</x:v>
      </x:c>
    </x:row>
    <x:row r="11" spans="1:18" x14ac:dyDescent="0.25">
      <x:c r="A11" s="20"/>
      <x:c r="B11" s="20" t="s">
        <x:v>17</x:v>
      </x:c>
      <x:c r="C11" s="20" t="s">
        <x:v>47</x:v>
      </x:c>
      <x:c r="D11" s="20" t="s">
        <x:v>48</x:v>
      </x:c>
      <x:c r="E11" s="20" t="s">
        <x:v>49</x:v>
      </x:c>
      <x:c r="F11" s="20" t="s">
        <x:v>26</x:v>
      </x:c>
      <x:c r="G11" s="21">
        <x:v>720</x:v>
      </x:c>
      <x:c r="H11" s="21">
        <x:v>30</x:v>
      </x:c>
      <x:c r="I11" s="21">
        <x:f>G11-H11</x:f>
      </x:c>
      <x:c r="J11" s="20" t="s">
        <x:v>27</x:v>
      </x:c>
      <x:c r="K11" s="20" t="s">
        <x:v>21</x:v>
      </x:c>
      <x:c r="L11" s="20" t="s">
        <x:v>22</x:v>
      </x:c>
      <x:c r="M11" s="20"/>
      <x:c r="N11" s="20"/>
      <x:c r="O11" s="20"/>
      <x:c r="P11" s="20"/>
      <x:c r="Q11" s="20">
        <x:v>1</x:v>
      </x:c>
    </x:row>
    <x:row r="12" spans="1:18" x14ac:dyDescent="0.25">
      <x:c r="A12" s="20"/>
      <x:c r="B12" s="20" t="s">
        <x:v>17</x:v>
      </x:c>
      <x:c r="C12" s="20" t="s">
        <x:v>50</x:v>
      </x:c>
      <x:c r="D12" s="20" t="s">
        <x:v>51</x:v>
      </x:c>
      <x:c r="E12" s="20" t="s">
        <x:v>52</x:v>
      </x:c>
      <x:c r="F12" s="21">
        <x:v>8</x:v>
      </x:c>
      <x:c r="G12" s="21">
        <x:v>780</x:v>
      </x:c>
      <x:c r="H12" s="21">
        <x:v>30</x:v>
      </x:c>
      <x:c r="I12" s="21">
        <x:f>G12-H12</x:f>
      </x:c>
      <x:c r="J12" s="20" t="s">
        <x:v>27</x:v>
      </x:c>
      <x:c r="K12" s="20" t="s">
        <x:v>21</x:v>
      </x:c>
      <x:c r="L12" s="20" t="s">
        <x:v>22</x:v>
      </x:c>
      <x:c r="M12" s="20"/>
      <x:c r="N12" s="20"/>
      <x:c r="O12" s="20"/>
      <x:c r="P12" s="20"/>
      <x:c r="Q12" s="20">
        <x:v>1</x:v>
      </x:c>
    </x:row>
    <x:row r="13" spans="1:18" x14ac:dyDescent="0.25">
      <x:c r="A13" s="20"/>
      <x:c r="B13" s="20" t="s">
        <x:v>17</x:v>
      </x:c>
      <x:c r="C13" s="20" t="s">
        <x:v>53</x:v>
      </x:c>
      <x:c r="D13" s="20" t="s">
        <x:v>54</x:v>
      </x:c>
      <x:c r="E13" s="20" t="s">
        <x:v>55</x:v>
      </x:c>
      <x:c r="F13" s="20" t="s">
        <x:v>26</x:v>
      </x:c>
      <x:c r="G13" s="21">
        <x:v>670</x:v>
      </x:c>
      <x:c r="H13" s="21">
        <x:v>30</x:v>
      </x:c>
      <x:c r="I13" s="21">
        <x:f>G13-H13</x:f>
      </x:c>
      <x:c r="J13" s="20" t="s">
        <x:v>27</x:v>
      </x:c>
      <x:c r="K13" s="20" t="s">
        <x:v>21</x:v>
      </x:c>
      <x:c r="L13" s="20" t="s">
        <x:v>22</x:v>
      </x:c>
      <x:c r="M13" s="20"/>
      <x:c r="N13" s="20"/>
      <x:c r="O13" s="20"/>
      <x:c r="P13" s="20"/>
      <x:c r="Q13" s="20">
        <x:v>1</x:v>
      </x:c>
    </x:row>
    <x:row r="14" spans="1:18" x14ac:dyDescent="0.25">
      <x:c r="A14" s="20"/>
      <x:c r="B14" s="20" t="s">
        <x:v>17</x:v>
      </x:c>
      <x:c r="C14" s="20" t="s">
        <x:v>56</x:v>
      </x:c>
      <x:c r="D14" s="20" t="s">
        <x:v>57</x:v>
      </x:c>
      <x:c r="E14" s="20" t="s">
        <x:v>58</x:v>
      </x:c>
      <x:c r="F14" s="21">
        <x:v>6</x:v>
      </x:c>
      <x:c r="G14" s="21">
        <x:v>1445</x:v>
      </x:c>
      <x:c r="H14" s="21">
        <x:v>25</x:v>
      </x:c>
      <x:c r="I14" s="21">
        <x:f>G14-H14</x:f>
      </x:c>
      <x:c r="J14" s="20" t="s">
        <x:v>27</x:v>
      </x:c>
      <x:c r="K14" s="20" t="s">
        <x:v>21</x:v>
      </x:c>
      <x:c r="L14" s="20" t="s">
        <x:v>22</x:v>
      </x:c>
      <x:c r="M14" s="20"/>
      <x:c r="N14" s="20"/>
      <x:c r="O14" s="20"/>
      <x:c r="P14" s="20"/>
      <x:c r="Q14" s="20">
        <x:v>1</x:v>
      </x:c>
    </x:row>
    <x:row r="15" spans="1:18" x14ac:dyDescent="0.25">
      <x:c r="A15" s="20"/>
      <x:c r="B15" s="20" t="s">
        <x:v>17</x:v>
      </x:c>
      <x:c r="C15" s="20" t="s">
        <x:v>59</x:v>
      </x:c>
      <x:c r="D15" s="20" t="s">
        <x:v>60</x:v>
      </x:c>
      <x:c r="E15" s="20" t="s">
        <x:v>61</x:v>
      </x:c>
      <x:c r="F15" s="21">
        <x:v>9</x:v>
      </x:c>
      <x:c r="G15" s="21">
        <x:v>780</x:v>
      </x:c>
      <x:c r="H15" s="21">
        <x:v>30</x:v>
      </x:c>
      <x:c r="I15" s="21">
        <x:f>G15-H15</x:f>
      </x:c>
      <x:c r="J15" s="20" t="s">
        <x:v>27</x:v>
      </x:c>
      <x:c r="K15" s="20" t="s">
        <x:v>21</x:v>
      </x:c>
      <x:c r="L15" s="20" t="s">
        <x:v>22</x:v>
      </x:c>
      <x:c r="M15" s="20"/>
      <x:c r="N15" s="20"/>
      <x:c r="O15" s="20"/>
      <x:c r="P15" s="20"/>
      <x:c r="Q15" s="20">
        <x:v>1</x:v>
      </x:c>
    </x:row>
    <x:row r="16" spans="1:18" x14ac:dyDescent="0.25">
      <x:c r="A16" s="20"/>
      <x:c r="B16" s="20" t="s">
        <x:v>17</x:v>
      </x:c>
      <x:c r="C16" s="20" t="s">
        <x:v>62</x:v>
      </x:c>
      <x:c r="D16" s="20" t="s">
        <x:v>63</x:v>
      </x:c>
      <x:c r="E16" s="20" t="s">
        <x:v>64</x:v>
      </x:c>
      <x:c r="F16" s="20" t="s">
        <x:v>26</x:v>
      </x:c>
      <x:c r="G16" s="21">
        <x:v>0</x:v>
      </x:c>
      <x:c r="H16" s="21">
        <x:v>30</x:v>
      </x:c>
      <x:c r="I16" s="21">
        <x:f>-H16</x:f>
      </x:c>
      <x:c r="J16" s="20" t="s">
        <x:v>27</x:v>
      </x:c>
      <x:c r="K16" s="20" t="s">
        <x:v>21</x:v>
      </x:c>
      <x:c r="L16" s="20" t="s">
        <x:v>22</x:v>
      </x:c>
      <x:c r="M16" s="20"/>
      <x:c r="N16" s="20"/>
      <x:c r="O16" s="20"/>
      <x:c r="P16" s="20"/>
      <x:c r="Q16" s="20">
        <x:v>1</x:v>
      </x:c>
      <x:c r="R16" s="15">
        <x:f>H16</x:f>
      </x:c>
    </x:row>
    <x:row r="17" spans="1:18" x14ac:dyDescent="0.25">
      <x:c r="A17" s="20"/>
      <x:c r="B17" s="20" t="s">
        <x:v>17</x:v>
      </x:c>
      <x:c r="C17" s="20" t="s">
        <x:v>65</x:v>
      </x:c>
      <x:c r="D17" s="20" t="s">
        <x:v>66</x:v>
      </x:c>
      <x:c r="E17" s="20" t="s">
        <x:v>67</x:v>
      </x:c>
      <x:c r="F17" s="21">
        <x:v>12</x:v>
      </x:c>
      <x:c r="G17" s="21">
        <x:v>690</x:v>
      </x:c>
      <x:c r="H17" s="21">
        <x:v>30</x:v>
      </x:c>
      <x:c r="I17" s="21">
        <x:f>G17-H17</x:f>
      </x:c>
      <x:c r="J17" s="20" t="s">
        <x:v>27</x:v>
      </x:c>
      <x:c r="K17" s="20" t="s">
        <x:v>21</x:v>
      </x:c>
      <x:c r="L17" s="20" t="s">
        <x:v>22</x:v>
      </x:c>
      <x:c r="M17" s="20"/>
      <x:c r="N17" s="20"/>
      <x:c r="O17" s="20"/>
      <x:c r="P17" s="20"/>
      <x:c r="Q17" s="20">
        <x:v>1</x:v>
      </x:c>
    </x:row>
    <x:row r="18" spans="1:18" x14ac:dyDescent="0.25">
      <x:c r="A18" s="20"/>
      <x:c r="B18" s="20" t="s">
        <x:v>17</x:v>
      </x:c>
      <x:c r="C18" s="20" t="s">
        <x:v>68</x:v>
      </x:c>
      <x:c r="D18" s="20" t="s">
        <x:v>69</x:v>
      </x:c>
      <x:c r="E18" s="20" t="s">
        <x:v>70</x:v>
      </x:c>
      <x:c r="F18" s="21">
        <x:v>2</x:v>
      </x:c>
      <x:c r="G18" s="21">
        <x:v>820</x:v>
      </x:c>
      <x:c r="H18" s="21">
        <x:v>30</x:v>
      </x:c>
      <x:c r="I18" s="21">
        <x:f>G18-H18</x:f>
      </x:c>
      <x:c r="J18" s="20" t="s">
        <x:v>21</x:v>
      </x:c>
      <x:c r="K18" s="20" t="s">
        <x:v>21</x:v>
      </x:c>
      <x:c r="L18" s="20" t="s">
        <x:v>22</x:v>
      </x:c>
      <x:c r="M18" s="20"/>
      <x:c r="N18" s="20"/>
      <x:c r="O18" s="20"/>
      <x:c r="P18" s="20"/>
      <x:c r="Q18" s="20">
        <x:v>1</x:v>
      </x:c>
    </x:row>
    <x:row r="19" spans="1:18" x14ac:dyDescent="0.25">
      <x:c r="A19" s="20"/>
      <x:c r="B19" s="20" t="s">
        <x:v>17</x:v>
      </x:c>
      <x:c r="C19" s="20" t="s">
        <x:v>71</x:v>
      </x:c>
      <x:c r="D19" s="20" t="s">
        <x:v>72</x:v>
      </x:c>
      <x:c r="E19" s="20" t="s">
        <x:v>73</x:v>
      </x:c>
      <x:c r="F19" s="21">
        <x:v>12</x:v>
      </x:c>
      <x:c r="G19" s="21">
        <x:v>0</x:v>
      </x:c>
      <x:c r="H19" s="21">
        <x:v>30</x:v>
      </x:c>
      <x:c r="I19" s="21">
        <x:f>-H19</x:f>
      </x:c>
      <x:c r="J19" s="20" t="s">
        <x:v>21</x:v>
      </x:c>
      <x:c r="K19" s="20" t="s">
        <x:v>21</x:v>
      </x:c>
      <x:c r="L19" s="20" t="s">
        <x:v>22</x:v>
      </x:c>
      <x:c r="M19" s="20"/>
      <x:c r="N19" s="20"/>
      <x:c r="O19" s="20"/>
      <x:c r="P19" s="20"/>
      <x:c r="Q19" s="20">
        <x:v>1</x:v>
      </x:c>
      <x:c r="R19" s="15">
        <x:f>H19</x:f>
      </x:c>
    </x:row>
    <x:row r="20" spans="1:18" x14ac:dyDescent="0.25">
      <x:c r="A20" s="20"/>
      <x:c r="B20" s="20" t="s">
        <x:v>17</x:v>
      </x:c>
      <x:c r="C20" s="20" t="s">
        <x:v>74</x:v>
      </x:c>
      <x:c r="D20" s="20" t="s">
        <x:v>75</x:v>
      </x:c>
      <x:c r="E20" s="20" t="s">
        <x:v>76</x:v>
      </x:c>
      <x:c r="F20" s="20" t="s">
        <x:v>77</x:v>
      </x:c>
      <x:c r="G20" s="21">
        <x:v>0</x:v>
      </x:c>
      <x:c r="H20" s="21">
        <x:v>40</x:v>
      </x:c>
      <x:c r="I20" s="21">
        <x:f>-H20</x:f>
      </x:c>
      <x:c r="J20" s="20" t="s">
        <x:v>21</x:v>
      </x:c>
      <x:c r="K20" s="20" t="s">
        <x:v>21</x:v>
      </x:c>
      <x:c r="L20" s="20" t="s">
        <x:v>22</x:v>
      </x:c>
      <x:c r="M20" s="20"/>
      <x:c r="N20" s="20"/>
      <x:c r="O20" s="20"/>
      <x:c r="P20" s="20"/>
      <x:c r="Q20" s="20">
        <x:v>1</x:v>
      </x:c>
      <x:c r="R20" s="15">
        <x:f>H20</x:f>
      </x:c>
    </x:row>
    <x:row r="21" spans="1:18" x14ac:dyDescent="0.25">
      <x:c r="A21" s="20"/>
      <x:c r="B21" s="20" t="s">
        <x:v>17</x:v>
      </x:c>
      <x:c r="C21" s="20" t="s">
        <x:v>78</x:v>
      </x:c>
      <x:c r="D21" s="20" t="s">
        <x:v>79</x:v>
      </x:c>
      <x:c r="E21" s="20" t="s">
        <x:v>80</x:v>
      </x:c>
      <x:c r="F21" s="20" t="s">
        <x:v>81</x:v>
      </x:c>
      <x:c r="G21" s="21">
        <x:v>690</x:v>
      </x:c>
      <x:c r="H21" s="21">
        <x:v>30</x:v>
      </x:c>
      <x:c r="I21" s="21">
        <x:f>G21-H21</x:f>
      </x:c>
      <x:c r="J21" s="20" t="s">
        <x:v>21</x:v>
      </x:c>
      <x:c r="K21" s="20" t="s">
        <x:v>21</x:v>
      </x:c>
      <x:c r="L21" s="20" t="s">
        <x:v>22</x:v>
      </x:c>
      <x:c r="M21" s="20"/>
      <x:c r="N21" s="20"/>
      <x:c r="O21" s="20"/>
      <x:c r="P21" s="20"/>
      <x:c r="Q21" s="20">
        <x:v>1</x:v>
      </x:c>
    </x:row>
    <x:row r="22" spans="1:18" x14ac:dyDescent="0.25">
      <x:c r="A22" s="20"/>
      <x:c r="B22" s="20" t="s">
        <x:v>17</x:v>
      </x:c>
      <x:c r="C22" s="20" t="s">
        <x:v>82</x:v>
      </x:c>
      <x:c r="D22" s="20" t="s">
        <x:v>83</x:v>
      </x:c>
      <x:c r="E22" s="20" t="s">
        <x:v>84</x:v>
      </x:c>
      <x:c r="F22" s="20" t="s">
        <x:v>85</x:v>
      </x:c>
      <x:c r="G22" s="21">
        <x:v>660</x:v>
      </x:c>
      <x:c r="H22" s="21">
        <x:v>20</x:v>
      </x:c>
      <x:c r="I22" s="21">
        <x:f>G22-H22</x:f>
      </x:c>
      <x:c r="J22" s="20" t="s">
        <x:v>21</x:v>
      </x:c>
      <x:c r="K22" s="20" t="s">
        <x:v>21</x:v>
      </x:c>
      <x:c r="L22" s="20" t="s">
        <x:v>22</x:v>
      </x:c>
      <x:c r="M22" s="20"/>
      <x:c r="N22" s="20"/>
      <x:c r="O22" s="20"/>
      <x:c r="P22" s="20"/>
      <x:c r="Q22" s="20">
        <x:v>1</x:v>
      </x:c>
    </x:row>
    <x:row r="23" spans="1:18" x14ac:dyDescent="0.25">
      <x:c r="A23" s="20"/>
      <x:c r="B23" s="20" t="s">
        <x:v>17</x:v>
      </x:c>
      <x:c r="C23" s="20" t="s">
        <x:v>86</x:v>
      </x:c>
      <x:c r="D23" s="20" t="s">
        <x:v>87</x:v>
      </x:c>
      <x:c r="E23" s="20" t="s">
        <x:v>88</x:v>
      </x:c>
      <x:c r="F23" s="20" t="s">
        <x:v>77</x:v>
      </x:c>
      <x:c r="G23" s="21">
        <x:v>375</x:v>
      </x:c>
      <x:c r="H23" s="21">
        <x:v>25</x:v>
      </x:c>
      <x:c r="I23" s="21">
        <x:f>G23-H23</x:f>
      </x:c>
      <x:c r="J23" s="20" t="s">
        <x:v>21</x:v>
      </x:c>
      <x:c r="K23" s="20" t="s">
        <x:v>21</x:v>
      </x:c>
      <x:c r="L23" s="20" t="s">
        <x:v>22</x:v>
      </x:c>
      <x:c r="M23" s="20"/>
      <x:c r="N23" s="20"/>
      <x:c r="O23" s="20"/>
      <x:c r="P23" s="20"/>
      <x:c r="Q23" s="20">
        <x:v>1</x:v>
      </x:c>
    </x:row>
    <x:row r="24" spans="1:18" x14ac:dyDescent="0.25">
      <x:c r="A24" s="20"/>
      <x:c r="B24" s="20" t="s">
        <x:v>17</x:v>
      </x:c>
      <x:c r="C24" s="20" t="s">
        <x:v>89</x:v>
      </x:c>
      <x:c r="D24" s="20" t="s">
        <x:v>90</x:v>
      </x:c>
      <x:c r="E24" s="20" t="s">
        <x:v>91</x:v>
      </x:c>
      <x:c r="F24" s="20" t="s">
        <x:v>77</x:v>
      </x:c>
      <x:c r="G24" s="21">
        <x:v>0</x:v>
      </x:c>
      <x:c r="H24" s="21">
        <x:v>25</x:v>
      </x:c>
      <x:c r="I24" s="21">
        <x:f>-H24</x:f>
      </x:c>
      <x:c r="J24" s="20" t="s">
        <x:v>21</x:v>
      </x:c>
      <x:c r="K24" s="20" t="s">
        <x:v>21</x:v>
      </x:c>
      <x:c r="L24" s="20" t="s">
        <x:v>22</x:v>
      </x:c>
      <x:c r="M24" s="20"/>
      <x:c r="N24" s="20"/>
      <x:c r="O24" s="20"/>
      <x:c r="P24" s="20"/>
      <x:c r="Q24" s="20">
        <x:v>1</x:v>
      </x:c>
      <x:c r="R24" s="15">
        <x:f>H24</x:f>
      </x:c>
    </x:row>
    <x:row r="25" spans="1:18" x14ac:dyDescent="0.25">
      <x:c r="A25" s="20"/>
      <x:c r="B25" s="20" t="s">
        <x:v>17</x:v>
      </x:c>
      <x:c r="C25" s="20" t="s">
        <x:v>92</x:v>
      </x:c>
      <x:c r="D25" s="20" t="s">
        <x:v>93</x:v>
      </x:c>
      <x:c r="E25" s="20" t="s">
        <x:v>94</x:v>
      </x:c>
      <x:c r="F25" s="20" t="s">
        <x:v>95</x:v>
      </x:c>
      <x:c r="G25" s="21">
        <x:v>725</x:v>
      </x:c>
      <x:c r="H25" s="21">
        <x:v>25</x:v>
      </x:c>
      <x:c r="I25" s="21">
        <x:f>G25-H25</x:f>
      </x:c>
      <x:c r="J25" s="20" t="s">
        <x:v>21</x:v>
      </x:c>
      <x:c r="K25" s="20" t="s">
        <x:v>21</x:v>
      </x:c>
      <x:c r="L25" s="20" t="s">
        <x:v>22</x:v>
      </x:c>
      <x:c r="M25" s="20"/>
      <x:c r="N25" s="20"/>
      <x:c r="O25" s="20"/>
      <x:c r="P25" s="20"/>
      <x:c r="Q25" s="20">
        <x:v>1</x:v>
      </x:c>
    </x:row>
    <x:row r="26" spans="1:18" x14ac:dyDescent="0.25">
      <x:c r="A26" s="20"/>
      <x:c r="B26" s="20" t="s">
        <x:v>17</x:v>
      </x:c>
      <x:c r="C26" s="20" t="s">
        <x:v>96</x:v>
      </x:c>
      <x:c r="D26" s="20" t="s">
        <x:v>97</x:v>
      </x:c>
      <x:c r="E26" s="20" t="s">
        <x:v>98</x:v>
      </x:c>
      <x:c r="F26" s="20" t="s">
        <x:v>77</x:v>
      </x:c>
      <x:c r="G26" s="21">
        <x:v>0</x:v>
      </x:c>
      <x:c r="H26" s="21">
        <x:v>25</x:v>
      </x:c>
      <x:c r="I26" s="21">
        <x:f>-H26</x:f>
      </x:c>
      <x:c r="J26" s="20" t="s">
        <x:v>21</x:v>
      </x:c>
      <x:c r="K26" s="20" t="s">
        <x:v>21</x:v>
      </x:c>
      <x:c r="L26" s="20" t="s">
        <x:v>22</x:v>
      </x:c>
      <x:c r="M26" s="20"/>
      <x:c r="N26" s="20"/>
      <x:c r="O26" s="20"/>
      <x:c r="P26" s="20"/>
      <x:c r="Q26" s="20">
        <x:v>1</x:v>
      </x:c>
      <x:c r="R26" s="15">
        <x:f>H26</x:f>
      </x:c>
    </x:row>
    <x:row r="27" spans="1:18" x14ac:dyDescent="0.25">
      <x:c r="A27" s="20"/>
      <x:c r="B27" s="20" t="s">
        <x:v>17</x:v>
      </x:c>
      <x:c r="C27" s="20" t="s">
        <x:v>99</x:v>
      </x:c>
      <x:c r="D27" s="20" t="s">
        <x:v>100</x:v>
      </x:c>
      <x:c r="E27" s="20" t="s">
        <x:v>101</x:v>
      </x:c>
      <x:c r="F27" s="20" t="s">
        <x:v>77</x:v>
      </x:c>
      <x:c r="G27" s="21">
        <x:v>1765</x:v>
      </x:c>
      <x:c r="H27" s="21">
        <x:v>25</x:v>
      </x:c>
      <x:c r="I27" s="21">
        <x:f>G27-H27</x:f>
      </x:c>
      <x:c r="J27" s="20" t="s">
        <x:v>21</x:v>
      </x:c>
      <x:c r="K27" s="20" t="s">
        <x:v>21</x:v>
      </x:c>
      <x:c r="L27" s="20" t="s">
        <x:v>22</x:v>
      </x:c>
      <x:c r="M27" s="20"/>
      <x:c r="N27" s="20"/>
      <x:c r="O27" s="20"/>
      <x:c r="P27" s="20"/>
      <x:c r="Q27" s="20">
        <x:v>1</x:v>
      </x:c>
    </x:row>
    <x:row r="28" spans="1:18" x14ac:dyDescent="0.25">
      <x:c r="A28" s="20"/>
      <x:c r="B28" s="20" t="s">
        <x:v>17</x:v>
      </x:c>
      <x:c r="C28" s="20" t="s">
        <x:v>102</x:v>
      </x:c>
      <x:c r="D28" s="20" t="s">
        <x:v>103</x:v>
      </x:c>
      <x:c r="E28" s="20" t="s">
        <x:v>104</x:v>
      </x:c>
      <x:c r="F28" s="20" t="s">
        <x:v>77</x:v>
      </x:c>
      <x:c r="G28" s="21">
        <x:v>0</x:v>
      </x:c>
      <x:c r="H28" s="21">
        <x:v>25</x:v>
      </x:c>
      <x:c r="I28" s="21">
        <x:f>-H28</x:f>
      </x:c>
      <x:c r="J28" s="20" t="s">
        <x:v>21</x:v>
      </x:c>
      <x:c r="K28" s="20" t="s">
        <x:v>21</x:v>
      </x:c>
      <x:c r="L28" s="20" t="s">
        <x:v>22</x:v>
      </x:c>
      <x:c r="M28" s="20"/>
      <x:c r="N28" s="20"/>
      <x:c r="O28" s="20"/>
      <x:c r="P28" s="20"/>
      <x:c r="Q28" s="20">
        <x:v>1</x:v>
      </x:c>
      <x:c r="R28" s="15">
        <x:f>H28</x:f>
      </x:c>
    </x:row>
    <x:row r="29" spans="1:18" x14ac:dyDescent="0.25">
      <x:c r="A29" s="20"/>
      <x:c r="B29" s="20" t="s">
        <x:v>17</x:v>
      </x:c>
      <x:c r="C29" s="20" t="s">
        <x:v>105</x:v>
      </x:c>
      <x:c r="D29" s="20" t="s">
        <x:v>106</x:v>
      </x:c>
      <x:c r="E29" s="20" t="s">
        <x:v>107</x:v>
      </x:c>
      <x:c r="F29" s="20" t="s">
        <x:v>77</x:v>
      </x:c>
      <x:c r="G29" s="21">
        <x:v>765</x:v>
      </x:c>
      <x:c r="H29" s="21">
        <x:v>25</x:v>
      </x:c>
      <x:c r="I29" s="21">
        <x:f>G29-H29</x:f>
      </x:c>
      <x:c r="J29" s="20" t="s">
        <x:v>21</x:v>
      </x:c>
      <x:c r="K29" s="20" t="s">
        <x:v>21</x:v>
      </x:c>
      <x:c r="L29" s="20" t="s">
        <x:v>22</x:v>
      </x:c>
      <x:c r="M29" s="20"/>
      <x:c r="N29" s="20"/>
      <x:c r="O29" s="20"/>
      <x:c r="P29" s="20"/>
      <x:c r="Q29" s="20">
        <x:v>1</x:v>
      </x:c>
    </x:row>
    <x:row r="30" spans="1:18" x14ac:dyDescent="0.25">
      <x:c r="A30" s="20"/>
      <x:c r="B30" s="20" t="s">
        <x:v>17</x:v>
      </x:c>
      <x:c r="C30" s="20" t="s">
        <x:v>108</x:v>
      </x:c>
      <x:c r="D30" s="20" t="s">
        <x:v>109</x:v>
      </x:c>
      <x:c r="E30" s="20" t="s">
        <x:v>110</x:v>
      </x:c>
      <x:c r="F30" s="20" t="s">
        <x:v>81</x:v>
      </x:c>
      <x:c r="G30" s="21">
        <x:v>820</x:v>
      </x:c>
      <x:c r="H30" s="21">
        <x:v>30</x:v>
      </x:c>
      <x:c r="I30" s="21">
        <x:f>G30-H30</x:f>
      </x:c>
      <x:c r="J30" s="20" t="s">
        <x:v>21</x:v>
      </x:c>
      <x:c r="K30" s="20" t="s">
        <x:v>21</x:v>
      </x:c>
      <x:c r="L30" s="20" t="s">
        <x:v>22</x:v>
      </x:c>
      <x:c r="M30" s="20"/>
      <x:c r="N30" s="20"/>
      <x:c r="O30" s="20"/>
      <x:c r="P30" s="20"/>
      <x:c r="Q30" s="20">
        <x:v>1</x:v>
      </x:c>
    </x:row>
    <x:row r="31" spans="1:18" x14ac:dyDescent="0.25">
      <x:c r="A31" s="20"/>
      <x:c r="B31" s="20" t="s">
        <x:v>17</x:v>
      </x:c>
      <x:c r="C31" s="20" t="s">
        <x:v>111</x:v>
      </x:c>
      <x:c r="D31" s="20" t="s">
        <x:v>112</x:v>
      </x:c>
      <x:c r="E31" s="20" t="s">
        <x:v>113</x:v>
      </x:c>
      <x:c r="F31" s="20" t="s">
        <x:v>85</x:v>
      </x:c>
      <x:c r="G31" s="21">
        <x:v>740</x:v>
      </x:c>
      <x:c r="H31" s="21">
        <x:v>20</x:v>
      </x:c>
      <x:c r="I31" s="21">
        <x:f>G31-H31</x:f>
      </x:c>
      <x:c r="J31" s="20" t="s">
        <x:v>21</x:v>
      </x:c>
      <x:c r="K31" s="20" t="s">
        <x:v>21</x:v>
      </x:c>
      <x:c r="L31" s="20" t="s">
        <x:v>22</x:v>
      </x:c>
      <x:c r="M31" s="20"/>
      <x:c r="N31" s="20"/>
      <x:c r="O31" s="20"/>
      <x:c r="P31" s="20"/>
      <x:c r="Q31" s="20">
        <x:v>1</x:v>
      </x:c>
    </x:row>
    <x:row r="32" spans="1:18" x14ac:dyDescent="0.25">
      <x:c r="A32" s="20"/>
      <x:c r="B32" s="20" t="s">
        <x:v>17</x:v>
      </x:c>
      <x:c r="C32" s="20" t="s">
        <x:v>114</x:v>
      </x:c>
      <x:c r="D32" s="20" t="s">
        <x:v>115</x:v>
      </x:c>
      <x:c r="E32" s="20" t="s">
        <x:v>116</x:v>
      </x:c>
      <x:c r="F32" s="20" t="s">
        <x:v>85</x:v>
      </x:c>
      <x:c r="G32" s="21">
        <x:v>770</x:v>
      </x:c>
      <x:c r="H32" s="21">
        <x:v>20</x:v>
      </x:c>
      <x:c r="I32" s="21">
        <x:f>G32-H32</x:f>
      </x:c>
      <x:c r="J32" s="20" t="s">
        <x:v>21</x:v>
      </x:c>
      <x:c r="K32" s="20" t="s">
        <x:v>21</x:v>
      </x:c>
      <x:c r="L32" s="20" t="s">
        <x:v>22</x:v>
      </x:c>
      <x:c r="M32" s="20"/>
      <x:c r="N32" s="20"/>
      <x:c r="O32" s="20"/>
      <x:c r="P32" s="20"/>
      <x:c r="Q32" s="20">
        <x:v>1</x:v>
      </x:c>
    </x:row>
    <x:row r="33" spans="1:18" x14ac:dyDescent="0.25">
      <x:c r="A33" s="20"/>
      <x:c r="B33" s="20" t="s">
        <x:v>17</x:v>
      </x:c>
      <x:c r="C33" s="20" t="s">
        <x:v>117</x:v>
      </x:c>
      <x:c r="D33" s="20" t="s">
        <x:v>118</x:v>
      </x:c>
      <x:c r="E33" s="20" t="s">
        <x:v>119</x:v>
      </x:c>
      <x:c r="F33" s="21">
        <x:v>2</x:v>
      </x:c>
      <x:c r="G33" s="21">
        <x:v>0</x:v>
      </x:c>
      <x:c r="H33" s="21">
        <x:v>30</x:v>
      </x:c>
      <x:c r="I33" s="21">
        <x:f>-H33</x:f>
      </x:c>
      <x:c r="J33" s="20" t="s">
        <x:v>21</x:v>
      </x:c>
      <x:c r="K33" s="20" t="s">
        <x:v>21</x:v>
      </x:c>
      <x:c r="L33" s="20" t="s">
        <x:v>22</x:v>
      </x:c>
      <x:c r="M33" s="20"/>
      <x:c r="N33" s="20"/>
      <x:c r="O33" s="20"/>
      <x:c r="P33" s="20"/>
      <x:c r="Q33" s="20">
        <x:v>1</x:v>
      </x:c>
      <x:c r="R33" s="15">
        <x:f>H33</x:f>
      </x:c>
    </x:row>
    <x:row r="34" spans="1:18" x14ac:dyDescent="0.25">
      <x:c r="A34" s="20"/>
      <x:c r="B34" s="20" t="s">
        <x:v>17</x:v>
      </x:c>
      <x:c r="C34" s="20" t="s">
        <x:v>120</x:v>
      </x:c>
      <x:c r="D34" s="20" t="s">
        <x:v>121</x:v>
      </x:c>
      <x:c r="E34" s="20" t="s">
        <x:v>122</x:v>
      </x:c>
      <x:c r="F34" s="20" t="s">
        <x:v>85</x:v>
      </x:c>
      <x:c r="G34" s="21">
        <x:v>590</x:v>
      </x:c>
      <x:c r="H34" s="21">
        <x:v>20</x:v>
      </x:c>
      <x:c r="I34" s="21">
        <x:f>G34-H34</x:f>
      </x:c>
      <x:c r="J34" s="20" t="s">
        <x:v>21</x:v>
      </x:c>
      <x:c r="K34" s="20" t="s">
        <x:v>21</x:v>
      </x:c>
      <x:c r="L34" s="20" t="s">
        <x:v>22</x:v>
      </x:c>
      <x:c r="M34" s="20"/>
      <x:c r="N34" s="20"/>
      <x:c r="O34" s="20"/>
      <x:c r="P34" s="20"/>
      <x:c r="Q34" s="20">
        <x:v>1</x:v>
      </x:c>
    </x:row>
    <x:row r="35" spans="1:18" s="27" customFormat="1" x14ac:dyDescent="0.25">
      <x:c r="A35" s="29"/>
      <x:c r="B35" s="29" t="s">
        <x:v>17</x:v>
      </x:c>
      <x:c r="C35" s="29" t="s">
        <x:v>123</x:v>
      </x:c>
      <x:c r="D35" s="29" t="s">
        <x:v>124</x:v>
      </x:c>
      <x:c r="E35" s="29" t="s">
        <x:v>125</x:v>
      </x:c>
      <x:c r="F35" s="30">
        <x:v>2</x:v>
      </x:c>
      <x:c r="G35" s="30">
        <x:v>110</x:v>
      </x:c>
      <x:c r="H35" s="30">
        <x:v>30</x:v>
      </x:c>
      <x:c r="I35" s="30">
        <x:f>G35-H35</x:f>
      </x:c>
      <x:c r="J35" s="29" t="s">
        <x:v>21</x:v>
      </x:c>
      <x:c r="K35" s="29" t="s">
        <x:v>21</x:v>
      </x:c>
      <x:c r="L35" s="29" t="s">
        <x:v>22</x:v>
      </x:c>
      <x:c r="M35" s="29" t="s">
        <x:v>126</x:v>
      </x:c>
      <x:c r="N35" s="29"/>
      <x:c r="O35" s="29"/>
      <x:c r="P35" s="29"/>
      <x:c r="Q35" s="29">
        <x:v>1</x:v>
      </x:c>
    </x:row>
    <x:row r="36" spans="1:18" x14ac:dyDescent="0.25">
      <x:c r="A36" s="20" t="s">
        <x:v>16</x:v>
      </x:c>
      <x:c r="B36" s="20" t="s">
        <x:v>17</x:v>
      </x:c>
      <x:c r="C36" s="20" t="s">
        <x:v>127</x:v>
      </x:c>
      <x:c r="D36" s="20"/>
      <x:c r="E36" s="20" t="s">
        <x:v>128</x:v>
      </x:c>
      <x:c r="F36" s="20" t="s">
        <x:v>81</x:v>
      </x:c>
      <x:c r="G36" s="21">
        <x:v>1165</x:v>
      </x:c>
      <x:c r="H36" s="21">
        <x:v>35</x:v>
      </x:c>
      <x:c r="I36" s="21">
        <x:f>G36-H36</x:f>
      </x:c>
      <x:c r="J36" s="20" t="s">
        <x:v>21</x:v>
      </x:c>
      <x:c r="K36" s="20" t="s">
        <x:v>21</x:v>
      </x:c>
      <x:c r="L36" s="20" t="s">
        <x:v>22</x:v>
      </x:c>
      <x:c r="M36" s="20"/>
      <x:c r="N36" s="20"/>
      <x:c r="O36" s="20"/>
      <x:c r="P36" s="20"/>
      <x:c r="Q36" s="20">
        <x:v>1</x:v>
      </x:c>
    </x:row>
    <x:row r="37" spans="1:18" x14ac:dyDescent="0.25">
      <x:c r="A37" s="20" t="s">
        <x:v>16</x:v>
      </x:c>
      <x:c r="B37" s="20" t="s">
        <x:v>17</x:v>
      </x:c>
      <x:c r="C37" s="20" t="s">
        <x:v>129</x:v>
      </x:c>
      <x:c r="D37" s="20"/>
      <x:c r="E37" s="20" t="s">
        <x:v>130</x:v>
      </x:c>
      <x:c r="F37" s="20" t="s">
        <x:v>77</x:v>
      </x:c>
      <x:c r="G37" s="21">
        <x:v>2985</x:v>
      </x:c>
      <x:c r="H37" s="21">
        <x:v>35</x:v>
      </x:c>
      <x:c r="I37" s="21">
        <x:f>G37-H37</x:f>
      </x:c>
      <x:c r="J37" s="20" t="s">
        <x:v>21</x:v>
      </x:c>
      <x:c r="K37" s="20" t="s">
        <x:v>21</x:v>
      </x:c>
      <x:c r="L37" s="20" t="s">
        <x:v>22</x:v>
      </x:c>
      <x:c r="M37" s="20"/>
      <x:c r="N37" s="20"/>
      <x:c r="O37" s="20"/>
      <x:c r="P37" s="20"/>
      <x:c r="Q37" s="20">
        <x:v>1</x:v>
      </x:c>
    </x:row>
    <x:row r="38" spans="1:18" x14ac:dyDescent="0.25">
      <x:c r="A38" s="20"/>
      <x:c r="B38" s="20" t="s">
        <x:v>17</x:v>
      </x:c>
      <x:c r="C38" s="20" t="s">
        <x:v>131</x:v>
      </x:c>
      <x:c r="D38" s="20" t="s">
        <x:v>132</x:v>
      </x:c>
      <x:c r="E38" s="20" t="s">
        <x:v>133</x:v>
      </x:c>
      <x:c r="F38" s="20" t="s">
        <x:v>134</x:v>
      </x:c>
      <x:c r="G38" s="21">
        <x:v>1145</x:v>
      </x:c>
      <x:c r="H38" s="21">
        <x:v>35</x:v>
      </x:c>
      <x:c r="I38" s="21">
        <x:f>G38-H38</x:f>
      </x:c>
      <x:c r="J38" s="20" t="s">
        <x:v>135</x:v>
      </x:c>
      <x:c r="K38" s="20" t="s">
        <x:v>21</x:v>
      </x:c>
      <x:c r="L38" s="20" t="s">
        <x:v>22</x:v>
      </x:c>
      <x:c r="M38" s="20"/>
      <x:c r="N38" s="20"/>
      <x:c r="O38" s="20"/>
      <x:c r="P38" s="20"/>
      <x:c r="Q38" s="20">
        <x:v>1</x:v>
      </x:c>
    </x:row>
    <x:row r="39" spans="1:18" x14ac:dyDescent="0.25">
      <x:c r="A39" s="20"/>
      <x:c r="B39" s="20" t="s">
        <x:v>17</x:v>
      </x:c>
      <x:c r="C39" s="20" t="s">
        <x:v>136</x:v>
      </x:c>
      <x:c r="D39" s="20" t="s">
        <x:v>137</x:v>
      </x:c>
      <x:c r="E39" s="20" t="s">
        <x:v>138</x:v>
      </x:c>
      <x:c r="F39" s="20" t="s">
        <x:v>139</x:v>
      </x:c>
      <x:c r="G39" s="21">
        <x:v>675</x:v>
      </x:c>
      <x:c r="H39" s="21">
        <x:v>35</x:v>
      </x:c>
      <x:c r="I39" s="21">
        <x:f>G39-H39</x:f>
      </x:c>
      <x:c r="J39" s="20" t="s">
        <x:v>135</x:v>
      </x:c>
      <x:c r="K39" s="20" t="s">
        <x:v>21</x:v>
      </x:c>
      <x:c r="L39" s="20" t="s">
        <x:v>22</x:v>
      </x:c>
      <x:c r="M39" s="20"/>
      <x:c r="N39" s="20"/>
      <x:c r="O39" s="20"/>
      <x:c r="P39" s="20"/>
      <x:c r="Q39" s="20">
        <x:v>1</x:v>
      </x:c>
    </x:row>
    <x:row r="40" spans="1:18" x14ac:dyDescent="0.25">
      <x:c r="A40" s="20"/>
      <x:c r="B40" s="20" t="s">
        <x:v>17</x:v>
      </x:c>
      <x:c r="C40" s="20" t="s">
        <x:v>140</x:v>
      </x:c>
      <x:c r="D40" s="20" t="s">
        <x:v>141</x:v>
      </x:c>
      <x:c r="E40" s="20" t="s">
        <x:v>142</x:v>
      </x:c>
      <x:c r="F40" s="21">
        <x:v>5</x:v>
      </x:c>
      <x:c r="G40" s="21">
        <x:v>785</x:v>
      </x:c>
      <x:c r="H40" s="21">
        <x:v>25</x:v>
      </x:c>
      <x:c r="I40" s="21">
        <x:f>G40-H40</x:f>
      </x:c>
      <x:c r="J40" s="20" t="s">
        <x:v>135</x:v>
      </x:c>
      <x:c r="K40" s="20" t="s">
        <x:v>21</x:v>
      </x:c>
      <x:c r="L40" s="20" t="s">
        <x:v>22</x:v>
      </x:c>
      <x:c r="M40" s="20"/>
      <x:c r="N40" s="20"/>
      <x:c r="O40" s="20"/>
      <x:c r="P40" s="20"/>
      <x:c r="Q40" s="20">
        <x:v>1</x:v>
      </x:c>
    </x:row>
    <x:row r="41" spans="1:18" x14ac:dyDescent="0.25">
      <x:c r="A41" s="20"/>
      <x:c r="B41" s="20" t="s">
        <x:v>17</x:v>
      </x:c>
      <x:c r="C41" s="20" t="s">
        <x:v>143</x:v>
      </x:c>
      <x:c r="D41" s="20" t="s">
        <x:v>144</x:v>
      </x:c>
      <x:c r="E41" s="20" t="s">
        <x:v>145</x:v>
      </x:c>
      <x:c r="F41" s="21">
        <x:v>1</x:v>
      </x:c>
      <x:c r="G41" s="21">
        <x:v>725</x:v>
      </x:c>
      <x:c r="H41" s="21">
        <x:v>25</x:v>
      </x:c>
      <x:c r="I41" s="21">
        <x:f>G41-H41</x:f>
      </x:c>
      <x:c r="J41" s="20" t="s">
        <x:v>135</x:v>
      </x:c>
      <x:c r="K41" s="20" t="s">
        <x:v>21</x:v>
      </x:c>
      <x:c r="L41" s="20" t="s">
        <x:v>22</x:v>
      </x:c>
      <x:c r="M41" s="20"/>
      <x:c r="N41" s="20"/>
      <x:c r="O41" s="20"/>
      <x:c r="P41" s="20"/>
      <x:c r="Q41" s="20">
        <x:v>1</x:v>
      </x:c>
    </x:row>
    <x:row r="42" spans="1:18" x14ac:dyDescent="0.25">
      <x:c r="A42" s="20"/>
      <x:c r="B42" s="20" t="s">
        <x:v>17</x:v>
      </x:c>
      <x:c r="C42" s="20" t="s">
        <x:v>146</x:v>
      </x:c>
      <x:c r="D42" s="20" t="s">
        <x:v>147</x:v>
      </x:c>
      <x:c r="E42" s="20" t="s">
        <x:v>148</x:v>
      </x:c>
      <x:c r="F42" s="21">
        <x:v>5</x:v>
      </x:c>
      <x:c r="G42" s="21">
        <x:v>0</x:v>
      </x:c>
      <x:c r="H42" s="21">
        <x:v>25</x:v>
      </x:c>
      <x:c r="I42" s="21">
        <x:f>-H42</x:f>
      </x:c>
      <x:c r="J42" s="20" t="s">
        <x:v>135</x:v>
      </x:c>
      <x:c r="K42" s="20" t="s">
        <x:v>21</x:v>
      </x:c>
      <x:c r="L42" s="20" t="s">
        <x:v>22</x:v>
      </x:c>
      <x:c r="M42" s="20"/>
      <x:c r="N42" s="20"/>
      <x:c r="O42" s="20"/>
      <x:c r="P42" s="20"/>
      <x:c r="Q42" s="20">
        <x:v>1</x:v>
      </x:c>
      <x:c r="R42" s="15">
        <x:f>H42</x:f>
      </x:c>
    </x:row>
    <x:row r="43" spans="1:18" x14ac:dyDescent="0.25">
      <x:c r="A43" s="20"/>
      <x:c r="B43" s="20" t="s">
        <x:v>17</x:v>
      </x:c>
      <x:c r="C43" s="20" t="s">
        <x:v>149</x:v>
      </x:c>
      <x:c r="D43" s="20" t="s">
        <x:v>150</x:v>
      </x:c>
      <x:c r="E43" s="20" t="s">
        <x:v>151</x:v>
      </x:c>
      <x:c r="F43" s="21">
        <x:v>3</x:v>
      </x:c>
      <x:c r="G43" s="21">
        <x:v>1585</x:v>
      </x:c>
      <x:c r="H43" s="21">
        <x:v>25</x:v>
      </x:c>
      <x:c r="I43" s="21">
        <x:f>G43-H43</x:f>
      </x:c>
      <x:c r="J43" s="20" t="s">
        <x:v>135</x:v>
      </x:c>
      <x:c r="K43" s="20" t="s">
        <x:v>21</x:v>
      </x:c>
      <x:c r="L43" s="20" t="s">
        <x:v>22</x:v>
      </x:c>
      <x:c r="M43" s="20"/>
      <x:c r="N43" s="20"/>
      <x:c r="O43" s="20"/>
      <x:c r="P43" s="20"/>
      <x:c r="Q43" s="20">
        <x:v>1</x:v>
      </x:c>
    </x:row>
    <x:row r="44" spans="1:18" x14ac:dyDescent="0.25">
      <x:c r="A44" s="20"/>
      <x:c r="B44" s="20" t="s">
        <x:v>17</x:v>
      </x:c>
      <x:c r="C44" s="20" t="s">
        <x:v>152</x:v>
      </x:c>
      <x:c r="D44" s="20" t="s">
        <x:v>153</x:v>
      </x:c>
      <x:c r="E44" s="20" t="s">
        <x:v>154</x:v>
      </x:c>
      <x:c r="F44" s="21">
        <x:v>3</x:v>
      </x:c>
      <x:c r="G44" s="21">
        <x:v>815</x:v>
      </x:c>
      <x:c r="H44" s="21">
        <x:v>25</x:v>
      </x:c>
      <x:c r="I44" s="21">
        <x:f>G44-H44</x:f>
      </x:c>
      <x:c r="J44" s="20" t="s">
        <x:v>135</x:v>
      </x:c>
      <x:c r="K44" s="20" t="s">
        <x:v>21</x:v>
      </x:c>
      <x:c r="L44" s="20" t="s">
        <x:v>22</x:v>
      </x:c>
      <x:c r="M44" s="20"/>
      <x:c r="N44" s="20"/>
      <x:c r="O44" s="20"/>
      <x:c r="P44" s="20"/>
      <x:c r="Q44" s="20">
        <x:v>1</x:v>
      </x:c>
    </x:row>
    <x:row r="45" spans="1:18" x14ac:dyDescent="0.25">
      <x:c r="A45" s="20"/>
      <x:c r="B45" s="20" t="s">
        <x:v>17</x:v>
      </x:c>
      <x:c r="C45" s="20" t="s">
        <x:v>155</x:v>
      </x:c>
      <x:c r="D45" s="20" t="s">
        <x:v>156</x:v>
      </x:c>
      <x:c r="E45" s="20" t="s">
        <x:v>157</x:v>
      </x:c>
      <x:c r="F45" s="21">
        <x:v>7</x:v>
      </x:c>
      <x:c r="G45" s="21">
        <x:v>690</x:v>
      </x:c>
      <x:c r="H45" s="21">
        <x:v>30</x:v>
      </x:c>
      <x:c r="I45" s="21">
        <x:f>G45-H45</x:f>
      </x:c>
      <x:c r="J45" s="20" t="s">
        <x:v>135</x:v>
      </x:c>
      <x:c r="K45" s="20" t="s">
        <x:v>21</x:v>
      </x:c>
      <x:c r="L45" s="20" t="s">
        <x:v>22</x:v>
      </x:c>
      <x:c r="M45" s="20"/>
      <x:c r="N45" s="20"/>
      <x:c r="O45" s="20"/>
      <x:c r="P45" s="20"/>
      <x:c r="Q45" s="20">
        <x:v>1</x:v>
      </x:c>
    </x:row>
    <x:row r="46" spans="1:18" x14ac:dyDescent="0.25">
      <x:c r="A46" s="20"/>
      <x:c r="B46" s="20" t="s">
        <x:v>17</x:v>
      </x:c>
      <x:c r="C46" s="20" t="s">
        <x:v>158</x:v>
      </x:c>
      <x:c r="D46" s="20" t="s">
        <x:v>159</x:v>
      </x:c>
      <x:c r="E46" s="20" t="s">
        <x:v>160</x:v>
      </x:c>
      <x:c r="F46" s="20" t="s">
        <x:v>95</x:v>
      </x:c>
      <x:c r="G46" s="21">
        <x:v>0</x:v>
      </x:c>
      <x:c r="H46" s="21">
        <x:v>25</x:v>
      </x:c>
      <x:c r="I46" s="21">
        <x:f>-H46</x:f>
      </x:c>
      <x:c r="J46" s="20" t="s">
        <x:v>135</x:v>
      </x:c>
      <x:c r="K46" s="20" t="s">
        <x:v>21</x:v>
      </x:c>
      <x:c r="L46" s="20" t="s">
        <x:v>22</x:v>
      </x:c>
      <x:c r="M46" s="20"/>
      <x:c r="N46" s="20"/>
      <x:c r="O46" s="20"/>
      <x:c r="P46" s="20"/>
      <x:c r="Q46" s="20">
        <x:v>1</x:v>
      </x:c>
      <x:c r="R46" s="15">
        <x:f>H46</x:f>
      </x:c>
    </x:row>
    <x:row r="47" spans="1:18" x14ac:dyDescent="0.25">
      <x:c r="A47" s="20"/>
      <x:c r="B47" s="20" t="s">
        <x:v>17</x:v>
      </x:c>
      <x:c r="C47" s="20" t="s">
        <x:v>161</x:v>
      </x:c>
      <x:c r="D47" s="20" t="s">
        <x:v>162</x:v>
      </x:c>
      <x:c r="E47" s="20" t="s">
        <x:v>163</x:v>
      </x:c>
      <x:c r="F47" s="21">
        <x:v>7</x:v>
      </x:c>
      <x:c r="G47" s="21">
        <x:v>720</x:v>
      </x:c>
      <x:c r="H47" s="21">
        <x:v>30</x:v>
      </x:c>
      <x:c r="I47" s="21">
        <x:f>G47-H47</x:f>
      </x:c>
      <x:c r="J47" s="20" t="s">
        <x:v>135</x:v>
      </x:c>
      <x:c r="K47" s="20" t="s">
        <x:v>21</x:v>
      </x:c>
      <x:c r="L47" s="20" t="s">
        <x:v>22</x:v>
      </x:c>
      <x:c r="M47" s="20"/>
      <x:c r="N47" s="20"/>
      <x:c r="O47" s="20"/>
      <x:c r="P47" s="20"/>
      <x:c r="Q47" s="20">
        <x:v>1</x:v>
      </x:c>
    </x:row>
    <x:row r="48" spans="1:18" x14ac:dyDescent="0.25">
      <x:c r="A48" s="20"/>
      <x:c r="B48" s="20" t="s">
        <x:v>17</x:v>
      </x:c>
      <x:c r="C48" s="20" t="s">
        <x:v>164</x:v>
      </x:c>
      <x:c r="D48" s="20" t="s">
        <x:v>165</x:v>
      </x:c>
      <x:c r="E48" s="20" t="s">
        <x:v>166</x:v>
      </x:c>
      <x:c r="F48" s="21">
        <x:v>1</x:v>
      </x:c>
      <x:c r="G48" s="21">
        <x:v>2040</x:v>
      </x:c>
      <x:c r="H48" s="21">
        <x:v>30</x:v>
      </x:c>
      <x:c r="I48" s="21">
        <x:f>G48-H48</x:f>
      </x:c>
      <x:c r="J48" s="20" t="s">
        <x:v>135</x:v>
      </x:c>
      <x:c r="K48" s="20" t="s">
        <x:v>21</x:v>
      </x:c>
      <x:c r="L48" s="20" t="s">
        <x:v>22</x:v>
      </x:c>
      <x:c r="M48" s="31" t="s">
        <x:v>167</x:v>
      </x:c>
      <x:c r="N48" s="20"/>
      <x:c r="O48" s="20"/>
      <x:c r="P48" s="20"/>
      <x:c r="Q48" s="20">
        <x:v>1</x:v>
      </x:c>
      <x:c r="R48" s="15">
        <x:f>H48</x:f>
      </x:c>
    </x:row>
    <x:row r="49" spans="1:18" x14ac:dyDescent="0.25">
      <x:c r="A49" s="20"/>
      <x:c r="B49" s="20" t="s">
        <x:v>17</x:v>
      </x:c>
      <x:c r="C49" s="20" t="s">
        <x:v>168</x:v>
      </x:c>
      <x:c r="D49" s="20" t="s">
        <x:v>169</x:v>
      </x:c>
      <x:c r="E49" s="20" t="s">
        <x:v>170</x:v>
      </x:c>
      <x:c r="F49" s="21">
        <x:v>7</x:v>
      </x:c>
      <x:c r="G49" s="21">
        <x:v>1800</x:v>
      </x:c>
      <x:c r="H49" s="21">
        <x:v>30</x:v>
      </x:c>
      <x:c r="I49" s="21">
        <x:f>G49-H49</x:f>
      </x:c>
      <x:c r="J49" s="20" t="s">
        <x:v>135</x:v>
      </x:c>
      <x:c r="K49" s="20" t="s">
        <x:v>21</x:v>
      </x:c>
      <x:c r="L49" s="20" t="s">
        <x:v>22</x:v>
      </x:c>
      <x:c r="M49" s="20"/>
      <x:c r="N49" s="20"/>
      <x:c r="O49" s="20"/>
      <x:c r="P49" s="20"/>
      <x:c r="Q49" s="20">
        <x:v>1</x:v>
      </x:c>
    </x:row>
    <x:row r="50" spans="1:18" x14ac:dyDescent="0.25">
      <x:c r="A50" s="20"/>
      <x:c r="B50" s="20" t="s">
        <x:v>17</x:v>
      </x:c>
      <x:c r="C50" s="20" t="s">
        <x:v>171</x:v>
      </x:c>
      <x:c r="D50" s="20" t="s">
        <x:v>172</x:v>
      </x:c>
      <x:c r="E50" s="20" t="s">
        <x:v>173</x:v>
      </x:c>
      <x:c r="F50" s="21">
        <x:v>7</x:v>
      </x:c>
      <x:c r="G50" s="21">
        <x:v>770</x:v>
      </x:c>
      <x:c r="H50" s="21">
        <x:v>30</x:v>
      </x:c>
      <x:c r="I50" s="21">
        <x:f>G50-H50</x:f>
      </x:c>
      <x:c r="J50" s="20" t="s">
        <x:v>135</x:v>
      </x:c>
      <x:c r="K50" s="20" t="s">
        <x:v>21</x:v>
      </x:c>
      <x:c r="L50" s="20" t="s">
        <x:v>22</x:v>
      </x:c>
      <x:c r="M50" s="20"/>
      <x:c r="N50" s="20"/>
      <x:c r="O50" s="20"/>
      <x:c r="P50" s="20"/>
      <x:c r="Q50" s="20">
        <x:v>1</x:v>
      </x:c>
    </x:row>
    <x:row r="51" spans="1:18" x14ac:dyDescent="0.25">
      <x:c r="A51" s="20"/>
      <x:c r="B51" s="20" t="s">
        <x:v>17</x:v>
      </x:c>
      <x:c r="C51" s="20" t="s">
        <x:v>174</x:v>
      </x:c>
      <x:c r="D51" s="20" t="s">
        <x:v>175</x:v>
      </x:c>
      <x:c r="E51" s="20" t="s">
        <x:v>176</x:v>
      </x:c>
      <x:c r="F51" s="21">
        <x:v>7</x:v>
      </x:c>
      <x:c r="G51" s="21">
        <x:v>770</x:v>
      </x:c>
      <x:c r="H51" s="21">
        <x:v>30</x:v>
      </x:c>
      <x:c r="I51" s="21">
        <x:f>G51-H51</x:f>
      </x:c>
      <x:c r="J51" s="20" t="s">
        <x:v>135</x:v>
      </x:c>
      <x:c r="K51" s="20" t="s">
        <x:v>21</x:v>
      </x:c>
      <x:c r="L51" s="20" t="s">
        <x:v>22</x:v>
      </x:c>
      <x:c r="M51" s="20"/>
      <x:c r="N51" s="20"/>
      <x:c r="O51" s="20"/>
      <x:c r="P51" s="20"/>
      <x:c r="Q51" s="20">
        <x:v>1</x:v>
      </x:c>
    </x:row>
    <x:row r="52" spans="1:18" x14ac:dyDescent="0.25">
      <x:c r="A52" s="20"/>
      <x:c r="B52" s="20" t="s">
        <x:v>17</x:v>
      </x:c>
      <x:c r="C52" s="20" t="s">
        <x:v>177</x:v>
      </x:c>
      <x:c r="D52" s="20" t="s">
        <x:v>178</x:v>
      </x:c>
      <x:c r="E52" s="20" t="s">
        <x:v>179</x:v>
      </x:c>
      <x:c r="F52" s="21">
        <x:v>8</x:v>
      </x:c>
      <x:c r="G52" s="21">
        <x:v>0</x:v>
      </x:c>
      <x:c r="H52" s="21">
        <x:v>25</x:v>
      </x:c>
      <x:c r="I52" s="21">
        <x:f>-H52</x:f>
      </x:c>
      <x:c r="J52" s="20" t="s">
        <x:v>135</x:v>
      </x:c>
      <x:c r="K52" s="20" t="s">
        <x:v>21</x:v>
      </x:c>
      <x:c r="L52" s="20" t="s">
        <x:v>22</x:v>
      </x:c>
      <x:c r="M52" s="20"/>
      <x:c r="N52" s="20"/>
      <x:c r="O52" s="20"/>
      <x:c r="P52" s="20"/>
      <x:c r="Q52" s="20">
        <x:v>1</x:v>
      </x:c>
      <x:c r="R52" s="15">
        <x:f>H52</x:f>
      </x:c>
    </x:row>
    <x:row r="53" spans="1:18" x14ac:dyDescent="0.25">
      <x:c r="A53" s="20"/>
      <x:c r="B53" s="20" t="s">
        <x:v>17</x:v>
      </x:c>
      <x:c r="C53" s="20" t="s">
        <x:v>180</x:v>
      </x:c>
      <x:c r="D53" s="20" t="s">
        <x:v>181</x:v>
      </x:c>
      <x:c r="E53" s="20" t="s">
        <x:v>182</x:v>
      </x:c>
      <x:c r="F53" s="21">
        <x:v>3</x:v>
      </x:c>
      <x:c r="G53" s="21">
        <x:v>0</x:v>
      </x:c>
      <x:c r="H53" s="21">
        <x:v>25</x:v>
      </x:c>
      <x:c r="I53" s="21">
        <x:f>-H53</x:f>
      </x:c>
      <x:c r="J53" s="20" t="s">
        <x:v>135</x:v>
      </x:c>
      <x:c r="K53" s="20" t="s">
        <x:v>21</x:v>
      </x:c>
      <x:c r="L53" s="20" t="s">
        <x:v>22</x:v>
      </x:c>
      <x:c r="M53" s="20"/>
      <x:c r="N53" s="20"/>
      <x:c r="O53" s="20"/>
      <x:c r="P53" s="20"/>
      <x:c r="Q53" s="20">
        <x:v>1</x:v>
      </x:c>
      <x:c r="R53" s="15">
        <x:f>H53</x:f>
      </x:c>
    </x:row>
    <x:row r="54" spans="1:18" x14ac:dyDescent="0.25">
      <x:c r="A54" s="20"/>
      <x:c r="B54" s="20" t="s">
        <x:v>17</x:v>
      </x:c>
      <x:c r="C54" s="20" t="s">
        <x:v>183</x:v>
      </x:c>
      <x:c r="D54" s="20" t="s">
        <x:v>184</x:v>
      </x:c>
      <x:c r="E54" s="20" t="s">
        <x:v>185</x:v>
      </x:c>
      <x:c r="F54" s="21">
        <x:v>4</x:v>
      </x:c>
      <x:c r="G54" s="21">
        <x:v>815</x:v>
      </x:c>
      <x:c r="H54" s="21">
        <x:v>25</x:v>
      </x:c>
      <x:c r="I54" s="21">
        <x:f>G54-H54</x:f>
      </x:c>
      <x:c r="J54" s="20" t="s">
        <x:v>135</x:v>
      </x:c>
      <x:c r="K54" s="20" t="s">
        <x:v>21</x:v>
      </x:c>
      <x:c r="L54" s="20" t="s">
        <x:v>22</x:v>
      </x:c>
      <x:c r="M54" s="20"/>
      <x:c r="N54" s="20"/>
      <x:c r="O54" s="20"/>
      <x:c r="P54" s="20"/>
      <x:c r="Q54" s="20">
        <x:v>1</x:v>
      </x:c>
    </x:row>
    <x:row r="55" spans="1:18" x14ac:dyDescent="0.25">
      <x:c r="A55" s="20"/>
      <x:c r="B55" s="20" t="s">
        <x:v>17</x:v>
      </x:c>
      <x:c r="C55" s="20" t="s">
        <x:v>186</x:v>
      </x:c>
      <x:c r="D55" s="20" t="s">
        <x:v>187</x:v>
      </x:c>
      <x:c r="E55" s="20" t="s">
        <x:v>188</x:v>
      </x:c>
      <x:c r="F55" s="21">
        <x:v>4</x:v>
      </x:c>
      <x:c r="G55" s="21">
        <x:v>815</x:v>
      </x:c>
      <x:c r="H55" s="21">
        <x:v>25</x:v>
      </x:c>
      <x:c r="I55" s="21">
        <x:f>G55-H55</x:f>
      </x:c>
      <x:c r="J55" s="20" t="s">
        <x:v>135</x:v>
      </x:c>
      <x:c r="K55" s="20" t="s">
        <x:v>21</x:v>
      </x:c>
      <x:c r="L55" s="20" t="s">
        <x:v>22</x:v>
      </x:c>
      <x:c r="M55" s="20"/>
      <x:c r="N55" s="20"/>
      <x:c r="O55" s="20"/>
      <x:c r="P55" s="20"/>
      <x:c r="Q55" s="20">
        <x:v>1</x:v>
      </x:c>
    </x:row>
    <x:row r="56" spans="1:18" x14ac:dyDescent="0.25">
      <x:c r="A56" s="20" t="s">
        <x:v>16</x:v>
      </x:c>
      <x:c r="B56" s="20" t="s">
        <x:v>17</x:v>
      </x:c>
      <x:c r="C56" s="20" t="s">
        <x:v>189</x:v>
      </x:c>
      <x:c r="D56" s="20"/>
      <x:c r="E56" s="20" t="s">
        <x:v>190</x:v>
      </x:c>
      <x:c r="F56" s="21">
        <x:v>5</x:v>
      </x:c>
      <x:c r="G56" s="21">
        <x:v>0</x:v>
      </x:c>
      <x:c r="H56" s="21">
        <x:v>30</x:v>
      </x:c>
      <x:c r="I56" s="21">
        <x:f>-H56</x:f>
      </x:c>
      <x:c r="J56" s="20" t="s">
        <x:v>135</x:v>
      </x:c>
      <x:c r="K56" s="20" t="s">
        <x:v>21</x:v>
      </x:c>
      <x:c r="L56" s="20" t="s">
        <x:v>22</x:v>
      </x:c>
      <x:c r="M56" s="20"/>
      <x:c r="N56" s="20"/>
      <x:c r="O56" s="20"/>
      <x:c r="P56" s="20"/>
      <x:c r="Q56" s="20">
        <x:v>1</x:v>
      </x:c>
      <x:c r="R56" s="15">
        <x:f>H56</x:f>
      </x:c>
    </x:row>
    <x:row r="58" spans="1:18" x14ac:dyDescent="0.25">
      <x:c r="D58" s="32">
        <x:f>COUNTA(D3:D56)</x:f>
      </x:c>
      <x:c r="G58" s="32">
        <x:f>SUBTOTAL(9,G3:G56)</x:f>
      </x:c>
      <x:c r="H58" s="32">
        <x:f>SUBTOTAL(9,H3:H56)</x:f>
      </x:c>
      <x:c r="I58" s="32">
        <x:f>SUBTOTAL(9,I3:I56)</x:f>
      </x:c>
      <x:c r="J58" s="32">
        <x:f>SUBTOTAL(9,J3:J56)</x:f>
      </x:c>
      <x:c r="K58" s="32">
        <x:f>SUBTOTAL(9,K3:K56)</x:f>
      </x:c>
      <x:c r="L58" s="32">
        <x:f>SUBTOTAL(9,L3:L56)</x:f>
      </x:c>
      <x:c r="M58" s="32">
        <x:f>SUBTOTAL(9,M3:M56)</x:f>
      </x:c>
      <x:c r="N58" s="32">
        <x:f>SUBTOTAL(9,N3:N56)</x:f>
      </x:c>
      <x:c r="O58" s="32">
        <x:f>SUBTOTAL(9,O3:O56)</x:f>
      </x:c>
      <x:c r="P58" s="32">
        <x:f>SUBTOTAL(9,P3:P56)</x:f>
      </x:c>
      <x:c r="Q58" s="32">
        <x:f>SUBTOTAL(9,Q3:Q56)</x:f>
      </x:c>
    </x:row>
    <x:row r="59" spans="1:18" x14ac:dyDescent="0.25">
      <x:c r="H59" s="0">
        <x:f>-5*17</x:f>
      </x:c>
    </x:row>
    <x:row r="60" spans="1:18" x14ac:dyDescent="0.25">
      <x:c r="A60" s="32" t="s">
        <x:v>17</x:v>
      </x:c>
      <x:c r="C60" s="5" t="s">
        <x:v>191</x:v>
      </x:c>
      <x:c r="D60" s="5"/>
      <x:c r="E60" s="5" t="s">
        <x:v>192</x:v>
      </x:c>
      <x:c r="H60" s="0">
        <x:f>-9*25</x:f>
      </x:c>
      <x:c r="K60" s="33" t="s">
        <x:v>27</x:v>
      </x:c>
      <x:c r="L60" s="33" t="s">
        <x:v>193</x:v>
      </x:c>
      <x:c r="M60" s="33" t="s">
        <x:v>192</x:v>
      </x:c>
      <x:c r="O60" s="5" t="s">
        <x:v>194</x:v>
      </x:c>
    </x:row>
    <x:row r="61" spans="1:18" x14ac:dyDescent="0.25">
      <x:c r="A61" s="0" t="s">
        <x:v>22</x:v>
      </x:c>
      <x:c r="B61" s="34" t="s">
        <x:v>195</x:v>
      </x:c>
      <x:c r="C61" s="34">
        <x:f>SUMIFS(I$3:I$56,B$3:B$56,A$60,L$3:L$56,A$61)</x:f>
      </x:c>
      <x:c r="D61" s="34"/>
      <x:c r="E61" s="34">
        <x:f>SUMIFS(Q$3:Q$56,B$3:B$56,A$60,L$3:L$56,A$61)</x:f>
      </x:c>
      <x:c r="F61" s="0" t="s">
        <x:v>196</x:v>
      </x:c>
      <x:c r="K61" s="0" t="s">
        <x:v>197</x:v>
      </x:c>
      <x:c r="L61" s="0">
        <x:f>SUMIFS(G$3:G$56,J$3:J$56,K$60)</x:f>
      </x:c>
      <x:c r="M61" s="0">
        <x:f>SUMIFS(Q$3:Q$56,J$3:J$56,K$60)-INT(COUNTIFS(J$3:J$56,K$60,M$3:M$56,"*gộp*")/2)</x:f>
      </x:c>
      <x:c r="O61" s="0" t="s">
        <x:v>198</x:v>
      </x:c>
      <x:c r="P61" s="0">
        <x:f>L66</x:f>
      </x:c>
    </x:row>
    <x:row r="62" spans="1:18" x14ac:dyDescent="0.25">
      <x:c r="B62" s="3" t="s">
        <x:v>199</x:v>
      </x:c>
      <x:c r="C62" s="3">
        <x:v>0</x:v>
      </x:c>
      <x:c r="D62" s="3"/>
      <x:c r="K62" s="0" t="s">
        <x:v>200</x:v>
      </x:c>
      <x:c r="L62" s="0">
        <x:f>SUM(H59:H60)</x:f>
      </x:c>
      <x:c r="M62" s="0">
        <x:f>SUMIFS(Q$3:Q$56,J$3:J$56,K$60)</x:f>
      </x:c>
      <x:c r="O62" s="0" t="s">
        <x:v>135</x:v>
      </x:c>
      <x:c r="P62" s="0">
        <x:f>L74</x:f>
      </x:c>
    </x:row>
    <x:row r="63" spans="1:18" x14ac:dyDescent="0.25">
      <x:c r="B63" s="3" t="s">
        <x:v>201</x:v>
      </x:c>
      <x:c r="C63" s="3">
        <x:f>-SUMIFS(I$3:I$56,B$3:B$56,A$60,P$3:P$56,"xx",N$3:N$56,"x")</x:f>
      </x:c>
      <x:c r="D63" s="3"/>
      <x:c r="E63" s="3">
        <x:f>SUMIFS(Q$3:Q$56,B$3:B$56,A$60,P$3:P$56,"xx",N$3:N$56,"x")</x:f>
      </x:c>
      <x:c r="K63" s="0" t="s">
        <x:v>202</x:v>
      </x:c>
      <x:c r="O63" s="0" t="s">
        <x:v>21</x:v>
      </x:c>
      <x:c r="P63" s="0">
        <x:f>L82</x:f>
      </x:c>
    </x:row>
    <x:row r="64" spans="1:18" x14ac:dyDescent="0.25">
      <x:c r="B64" s="5" t="s">
        <x:v>203</x:v>
      </x:c>
      <x:c r="C64" s="5">
        <x:f>SUBTOTAL(9,C61:C63)</x:f>
      </x:c>
      <x:c r="D64" s="5"/>
      <x:c r="E64" s="0">
        <x:f>E61</x:f>
      </x:c>
      <x:c r="K64" s="3" t="s">
        <x:v>204</x:v>
      </x:c>
      <x:c r="O64" s="0" t="s">
        <x:v>20</x:v>
      </x:c>
      <x:c r="P64" s="0">
        <x:f>L90</x:f>
      </x:c>
    </x:row>
    <x:row r="65" spans="1:18" x14ac:dyDescent="0.25">
      <x:c r="B65" s="3" t="s">
        <x:v>205</x:v>
      </x:c>
      <x:c r="K65" s="3" t="s">
        <x:v>206</x:v>
      </x:c>
      <x:c r="O65" s="0" t="s">
        <x:v>207</x:v>
      </x:c>
      <x:c r="P65" s="0">
        <x:f>-C68</x:f>
      </x:c>
    </x:row>
    <x:row r="66" spans="1:18" x14ac:dyDescent="0.25">
      <x:c r="B66" s="35" t="s">
        <x:v>208</x:v>
      </x:c>
      <x:c r="L66" s="36">
        <x:f>SUBTOTAL(9,L61:L65)</x:f>
      </x:c>
      <x:c r="M66" s="36">
        <x:f>M61</x:f>
      </x:c>
      <x:c r="O66" s="5" t="s">
        <x:v>209</x:v>
      </x:c>
      <x:c r="P66" s="5">
        <x:f>SUBTOTAL(9,P61:P65)</x:f>
      </x:c>
    </x:row>
    <x:row r="68" spans="1:18" x14ac:dyDescent="0.25">
      <x:c r="B68" s="32" t="s">
        <x:v>210</x:v>
      </x:c>
      <x:c r="C68" s="32">
        <x:f>C64+C65+C66</x:f>
      </x:c>
      <x:c r="D68" s="32"/>
      <x:c r="E68" s="32" t="s">
        <x:v>211</x:v>
      </x:c>
      <x:c r="K68" s="33" t="s">
        <x:v>135</x:v>
      </x:c>
      <x:c r="L68" s="33" t="s">
        <x:v>193</x:v>
      </x:c>
      <x:c r="M68" s="33" t="s">
        <x:v>192</x:v>
      </x:c>
    </x:row>
    <x:row r="69" spans="1:18" x14ac:dyDescent="0.25">
      <x:c r="K69" s="0" t="s">
        <x:v>197</x:v>
      </x:c>
      <x:c r="L69" s="0">
        <x:f>SUMIFS(G$3:G$56,J$3:J$56,K$68)</x:f>
      </x:c>
      <x:c r="M69" s="0">
        <x:f>SUMIFS(Q$3:Q$56,J$3:J$56,K$68)-INT(COUNTIFS(J$3:J$56,K$68,M$3:M$56,"*gộp*")/2)</x:f>
      </x:c>
    </x:row>
    <x:row r="70" spans="1:18" x14ac:dyDescent="0.25">
      <x:c r="K70" s="0" t="s">
        <x:v>200</x:v>
      </x:c>
      <x:c r="L70" s="0">
        <x:f>-SUMIFS(H$3:H$56,J$3:J$56,K$68)+M70*5</x:f>
      </x:c>
      <x:c r="M70" s="0">
        <x:f>SUMIFS(Q$3:Q$56,J$3:J$56,K$68)-INT(COUNTIFS(J$3:J$56,K$68,M$3:M$56,"*gộp*")/2)</x:f>
      </x:c>
    </x:row>
    <x:row r="71" spans="1:18" x14ac:dyDescent="0.25">
      <x:c r="K71" s="0" t="s">
        <x:v>202</x:v>
      </x:c>
    </x:row>
    <x:row r="72" spans="1:18" x14ac:dyDescent="0.25">
      <x:c r="K72" s="3" t="s">
        <x:v>204</x:v>
      </x:c>
    </x:row>
    <x:row r="73" spans="1:18" x14ac:dyDescent="0.25">
      <x:c r="K73" s="3" t="s">
        <x:v>206</x:v>
      </x:c>
    </x:row>
    <x:row r="74" spans="1:18" x14ac:dyDescent="0.25">
      <x:c r="L74" s="36">
        <x:f>SUBTOTAL(9,L69:L73)</x:f>
      </x:c>
      <x:c r="M74" s="36">
        <x:f>M69</x:f>
      </x:c>
    </x:row>
    <x:row r="76" spans="1:18" x14ac:dyDescent="0.25">
      <x:c r="K76" s="33" t="s">
        <x:v>21</x:v>
      </x:c>
      <x:c r="L76" s="33" t="s">
        <x:v>193</x:v>
      </x:c>
      <x:c r="M76" s="33" t="s">
        <x:v>192</x:v>
      </x:c>
    </x:row>
    <x:row r="77" spans="1:18" x14ac:dyDescent="0.25">
      <x:c r="K77" s="0" t="s">
        <x:v>197</x:v>
      </x:c>
      <x:c r="L77" s="0">
        <x:f>SUMIFS(G$3:G$56,J$3:J$56,K$76)</x:f>
      </x:c>
      <x:c r="M77" s="0">
        <x:f>SUMIFS(Q$3:Q$56,J$3:J$56,K$76)-INT(COUNTIFS(J$3:J$56,K$76,M$3:M$56,"*gộp*")/2)</x:f>
      </x:c>
    </x:row>
    <x:row r="78" spans="1:18" x14ac:dyDescent="0.25">
      <x:c r="K78" s="0" t="s">
        <x:v>200</x:v>
      </x:c>
      <x:c r="L78" s="0">
        <x:f>-SUMIFS(H$3:H$56,J$3:J$56,K$76)+M78*5</x:f>
      </x:c>
      <x:c r="M78" s="0">
        <x:f>SUMIFS(Q$3:Q$56,J$3:J$56,K$76)-INT(COUNTIFS(J$3:J$56,K$76,M$3:M$56,"*gộp*")/2)</x:f>
      </x:c>
    </x:row>
    <x:row r="79" spans="1:18" x14ac:dyDescent="0.25">
      <x:c r="K79" s="0" t="s">
        <x:v>202</x:v>
      </x:c>
      <x:c r="L79" s="0">
        <x:f>-M79*2</x:f>
      </x:c>
      <x:c r="M79" s="0">
        <x:f>E64-(COUNTIFS(M$3:M$56,"*gộp*")/2)-COUNTIFS(M$3:M$56,"*đơn trả*")-COUNTIFS(M$3:M$56,"*hàng tỉnh*")</x:f>
      </x:c>
    </x:row>
    <x:row r="80" spans="1:18" x14ac:dyDescent="0.25">
      <x:c r="K80" s="3" t="s">
        <x:v>204</x:v>
      </x:c>
    </x:row>
    <x:row r="81" spans="1:18" x14ac:dyDescent="0.25">
      <x:c r="K81" s="3" t="s">
        <x:v>206</x:v>
      </x:c>
    </x:row>
    <x:row r="82" spans="1:18" x14ac:dyDescent="0.25">
      <x:c r="L82" s="36">
        <x:f>SUBTOTAL(9,L77:L81)</x:f>
      </x:c>
      <x:c r="M82" s="36">
        <x:f>M77</x:f>
      </x:c>
    </x:row>
    <x:row r="84" spans="1:18" x14ac:dyDescent="0.25">
      <x:c r="K84" s="33" t="s">
        <x:v>20</x:v>
      </x:c>
      <x:c r="L84" s="33" t="s">
        <x:v>193</x:v>
      </x:c>
      <x:c r="M84" s="33" t="s">
        <x:v>192</x:v>
      </x:c>
    </x:row>
    <x:row r="85" spans="1:18" x14ac:dyDescent="0.25">
      <x:c r="K85" s="0" t="s">
        <x:v>197</x:v>
      </x:c>
      <x:c r="L85" s="0">
        <x:f>SUMIFS(G$3:G$56,J$3:J$56,K$84)</x:f>
      </x:c>
      <x:c r="M85" s="0">
        <x:f>SUMIFS(Q$3:Q$56,J$3:J$56,K$84)-INT(COUNTIFS(J$3:J$56,K$84,M$3:M$56,"*gộp*")/2)</x:f>
      </x:c>
    </x:row>
    <x:row r="86" spans="1:18" x14ac:dyDescent="0.25">
      <x:c r="K86" s="0" t="s">
        <x:v>200</x:v>
      </x:c>
      <x:c r="L86" s="0">
        <x:f>-SUMIFS(H$3:H$56,J$3:J$56,K$84)+M86*5</x:f>
      </x:c>
      <x:c r="M86" s="0">
        <x:f>SUMIFS(Q$3:Q$56,J$3:J$56,K$84)-INT(COUNTIFS(J$3:J$56,K$84,M$3:M$56,"*gộp*")/2)</x:f>
      </x:c>
    </x:row>
    <x:row r="87" spans="1:18" x14ac:dyDescent="0.25">
      <x:c r="K87" s="0" t="s">
        <x:v>202</x:v>
      </x:c>
    </x:row>
    <x:row r="88" spans="1:18" x14ac:dyDescent="0.25">
      <x:c r="K88" s="3" t="s">
        <x:v>204</x:v>
      </x:c>
    </x:row>
    <x:row r="89" spans="1:18" x14ac:dyDescent="0.25">
      <x:c r="K89" s="3" t="s">
        <x:v>206</x:v>
      </x:c>
    </x:row>
    <x:row r="90" spans="1:18" x14ac:dyDescent="0.25">
      <x:c r="L90" s="36">
        <x:f>SUBTOTAL(9,L85:L89)</x:f>
      </x:c>
      <x:c r="M90" s="36">
        <x:f>M85</x:f>
      </x:c>
    </x:row>
  </x:sheetData>
  <x:autoFilter ref="A2:P56">
    <x:sortState ref="A3:P56">
      <x:sortCondition ref="J2:J56"/>
    </x:sortState>
  </x:autoFilter>
  <x:mergeCells count="8">
    <x:mergeCell ref="C60:D60"/>
    <x:mergeCell ref="C61:D61"/>
    <x:mergeCell ref="C62:D62"/>
    <x:mergeCell ref="C63:D63"/>
    <x:mergeCell ref="C64:D64"/>
    <x:mergeCell ref="C65:D65"/>
    <x:mergeCell ref="C66:D66"/>
    <x:mergeCell ref="C68:D68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5D9B982-EAEB-4F31-86BF-4D059AFDEA27}" mc:Ignorable="x14ac xr xr2 xr3">
  <x:sheetPr>
    <x:tabColor rgb="FF0070C0"/>
    <x:outlinePr summaryBelow="1" summaryRight="1"/>
  </x:sheetPr>
  <x:dimension ref="A1:E32"/>
  <x:sheetViews>
    <x:sheetView workbookViewId="0">
      <x:selection activeCell="B3" sqref="B3 B3:D28"/>
    </x:sheetView>
  </x:sheetViews>
  <x:sheetFormatPr defaultColWidth="9.140625" defaultRowHeight="15" x14ac:dyDescent="0.25"/>
  <x:cols>
    <x:col min="1" max="1" width="9.425781" style="10" bestFit="1" customWidth="1"/>
    <x:col min="2" max="2" width="10.855469" style="10" bestFit="1" customWidth="1"/>
    <x:col min="3" max="3" width="9.425781" style="10" bestFit="1" customWidth="1"/>
    <x:col min="4" max="4" width="17.570312" style="10" bestFit="1" customWidth="1"/>
    <x:col min="5" max="5" width="15.855469" style="10" bestFit="1" customWidth="1"/>
    <x:col min="6" max="16384" width="9.140625" style="10" customWidth="1"/>
  </x:cols>
  <x:sheetData>
    <x:row r="1" spans="1:5" x14ac:dyDescent="0.25">
      <x:c r="A1" s="10" t="s">
        <x:v>212</x:v>
      </x:c>
      <x:c r="B1" s="10">
        <x:v>2026</x:v>
      </x:c>
    </x:row>
    <x:row r="2" spans="1:5" x14ac:dyDescent="0.25">
      <x:c r="A2" s="37" t="s">
        <x:v>213</x:v>
      </x:c>
      <x:c r="B2" s="37" t="s">
        <x:v>214</x:v>
      </x:c>
      <x:c r="C2" s="37" t="s">
        <x:v>215</x:v>
      </x:c>
      <x:c r="D2" s="37" t="s">
        <x:v>216</x:v>
      </x:c>
      <x:c r="E2" s="37" t="s">
        <x:v>217</x:v>
      </x:c>
    </x:row>
    <x:row r="3" spans="1:5" x14ac:dyDescent="0.25">
      <x:c r="A3" s="12">
        <x:v>46143</x:v>
      </x:c>
      <x:c r="B3" s="13">
        <x:f>IFERROR(COUNTIF(INDIRECT("'"&amp;TEXT(A3,"dd-mm")&amp;"'!L3:L200"),TEXT(A3,"dd-mm")&amp;"-"&amp;B$1),0)</x:f>
      </x:c>
      <x:c r="C3" s="13">
        <x:f>IFERROR(COUNTIF(INDIRECT("'"&amp;TEXT(A3,"DD-MM")&amp;"'!M3:M200"),"*gộp*")/2,0)</x:f>
      </x:c>
      <x:c r="D3" s="13" cm="1">
        <x:f t="array" ref="D3:D3">IFERROR(SUM(COUNTIF(INDIRECT("'"&amp;TEXT(A3,"DD-MM")&amp;"'!M3:M200"),{"*đơn trả*","*hàng tỉnh*"})),0)</x:f>
      </x:c>
      <x:c r="E3" s="13">
        <x:f>B3-C3-D3</x:f>
      </x:c>
    </x:row>
    <x:row r="4" spans="1:5" x14ac:dyDescent="0.25">
      <x:c r="A4" s="12">
        <x:v>46144</x:v>
      </x:c>
      <x:c r="B4" s="13">
        <x:f>IFERROR(COUNTIF(INDIRECT("'"&amp;TEXT(A4,"dd-mm")&amp;"'!L3:L200"),TEXT(A4,"dd-mm")&amp;"-"&amp;B$1),0)</x:f>
      </x:c>
      <x:c r="C4" s="13">
        <x:f>IFERROR(COUNTIF(INDIRECT("'"&amp;TEXT(A4,"DD-MM")&amp;"'!M3:M200"),"*gộp*")/2,0)</x:f>
      </x:c>
      <x:c r="D4" s="13" cm="1">
        <x:f t="array" ref="D4:D4">IFERROR(SUM(COUNTIF(INDIRECT("'"&amp;TEXT(A4,"DD-MM")&amp;"'!M3:M200"),{"*đơn trả*","*hàng tỉnh*"})),0)</x:f>
      </x:c>
      <x:c r="E4" s="13">
        <x:f>B4-C4-D4</x:f>
      </x:c>
    </x:row>
    <x:row r="5" spans="1:5" x14ac:dyDescent="0.25">
      <x:c r="A5" s="12">
        <x:v>46146</x:v>
      </x:c>
      <x:c r="B5" s="13">
        <x:f>IFERROR(COUNTIF(INDIRECT("'"&amp;TEXT(A4,"dd-mm")&amp;"'!L3:L200"),TEXT(A5,"dd-mm")&amp;"-"&amp;B$1),0)</x:f>
      </x:c>
      <x:c r="C5" s="13">
        <x:f>IFERROR(COUNTIF(INDIRECT("'"&amp;TEXT(A4,"DD-MM")&amp;"'!M3:M200"),"*gộp*")/2,0)</x:f>
      </x:c>
      <x:c r="D5" s="13" cm="1">
        <x:f t="array" ref="D5:D5">IFERROR(SUM(COUNTIF(INDIRECT("'"&amp;TEXT(A5,"DD-MM")&amp;"'!M3:M200"),{"*đơn trả*","*hàng tỉnh*"})),0)</x:f>
      </x:c>
      <x:c r="E5" s="13">
        <x:f>B5-C5-D5</x:f>
      </x:c>
    </x:row>
    <x:row r="6" spans="1:5" x14ac:dyDescent="0.25">
      <x:c r="A6" s="12">
        <x:v>46147</x:v>
      </x:c>
      <x:c r="B6" s="13">
        <x:f>IFERROR(COUNTIF(INDIRECT("'"&amp;TEXT(A4,"dd-mm")&amp;"'!L3:L200"),TEXT(A6,"dd-mm")&amp;"-"&amp;B$1),0)</x:f>
      </x:c>
      <x:c r="C6" s="13">
        <x:f>IFERROR(COUNTIF(INDIRECT("'"&amp;TEXT(A4,"DD-MM")&amp;"'!M3:M200"),"*gộp*")/2,0)</x:f>
      </x:c>
      <x:c r="D6" s="13" cm="1">
        <x:f t="array" ref="D6:D6">IFERROR(SUM(COUNTIF(INDIRECT("'"&amp;TEXT(A6,"DD-MM")&amp;"'!M3:M200"),{"*đơn trả*","*hàng tỉnh*"})),0)</x:f>
      </x:c>
      <x:c r="E6" s="13">
        <x:f>B6-C6-D6</x:f>
      </x:c>
    </x:row>
    <x:row r="7" spans="1:5" x14ac:dyDescent="0.25">
      <x:c r="A7" s="12">
        <x:v>46148</x:v>
      </x:c>
      <x:c r="B7" s="13">
        <x:f>IFERROR(COUNTIF(INDIRECT("'"&amp;TEXT(A4,"dd-mm")&amp;"'!L3:L200"),TEXT(A7,"dd-mm")&amp;"-"&amp;B$1),0)</x:f>
      </x:c>
      <x:c r="C7" s="13">
        <x:f>IFERROR(COUNTIF(INDIRECT("'"&amp;TEXT(A4,"DD-MM")&amp;"'!M3:M200"),"*gộp*")/2,0)</x:f>
      </x:c>
      <x:c r="D7" s="13" cm="1">
        <x:f t="array" ref="D7:D7">IFERROR(SUM(COUNTIF(INDIRECT("'"&amp;TEXT(A7,"DD-MM")&amp;"'!M3:M200"),{"*đơn trả*","*hàng tỉnh*"})),0)</x:f>
      </x:c>
      <x:c r="E7" s="13">
        <x:f>B7-C7-D7</x:f>
      </x:c>
    </x:row>
    <x:row r="8" spans="1:5" x14ac:dyDescent="0.25">
      <x:c r="A8" s="12">
        <x:v>46149</x:v>
      </x:c>
      <x:c r="B8" s="13">
        <x:f>IFERROR(COUNTIF(INDIRECT("'"&amp;TEXT(A4,"dd-mm")&amp;"'!L3:L200"),TEXT(A8,"dd-mm")&amp;"-"&amp;B$1),0)</x:f>
      </x:c>
      <x:c r="C8" s="13">
        <x:f>IFERROR(COUNTIF(INDIRECT("'"&amp;TEXT(A4,"DD-MM")&amp;"'!M3:M200"),"*gộp*")/2,0)</x:f>
      </x:c>
      <x:c r="D8" s="13" cm="1">
        <x:f t="array" ref="D8:D8">IFERROR(SUM(COUNTIF(INDIRECT("'"&amp;TEXT(A8,"DD-MM")&amp;"'!M3:M200"),{"*đơn trả*","*hàng tỉnh*"})),0)</x:f>
      </x:c>
      <x:c r="E8" s="13">
        <x:f>B8-C8-D8</x:f>
      </x:c>
    </x:row>
    <x:row r="9" spans="1:5" x14ac:dyDescent="0.25">
      <x:c r="A9" s="12">
        <x:v>46150</x:v>
      </x:c>
      <x:c r="B9" s="13">
        <x:f>IFERROR(COUNTIF(INDIRECT("'"&amp;TEXT(A4,"dd-mm")&amp;"'!L3:L200"),TEXT(A9,"dd-mm")&amp;"-"&amp;B$1),0)</x:f>
      </x:c>
      <x:c r="C9" s="13">
        <x:f>IFERROR(COUNTIF(INDIRECT("'"&amp;TEXT(A4,"DD-MM")&amp;"'!M3:M200"),"*gộp*")/2,0)</x:f>
      </x:c>
      <x:c r="D9" s="13" cm="1">
        <x:f t="array" ref="D9:D9">IFERROR(SUM(COUNTIF(INDIRECT("'"&amp;TEXT(A9,"DD-MM")&amp;"'!M3:M200"),{"*đơn trả*","*hàng tỉnh*"})),0)</x:f>
      </x:c>
      <x:c r="E9" s="13">
        <x:f>B9-C9-D9</x:f>
      </x:c>
    </x:row>
    <x:row r="10" spans="1:5" x14ac:dyDescent="0.25">
      <x:c r="A10" s="12">
        <x:v>46151</x:v>
      </x:c>
      <x:c r="B10" s="13">
        <x:f>IFERROR(COUNTIF(INDIRECT("'"&amp;TEXT(A4,"dd-mm")&amp;"'!L3:L200"),TEXT(A10,"dd-mm")&amp;"-"&amp;B$1),0)</x:f>
      </x:c>
      <x:c r="C10" s="13">
        <x:f>IFERROR(COUNTIF(INDIRECT("'"&amp;TEXT(A4,"DD-MM")&amp;"'!M3:M200"),"*gộp*")/2,0)</x:f>
      </x:c>
      <x:c r="D10" s="13" cm="1">
        <x:f t="array" ref="D10:D10">IFERROR(SUM(COUNTIF(INDIRECT("'"&amp;TEXT(A10,"DD-MM")&amp;"'!M3:M200"),{"*đơn trả*","*hàng tỉnh*"})),0)</x:f>
      </x:c>
      <x:c r="E10" s="13">
        <x:f>B10-C10-D10</x:f>
      </x:c>
    </x:row>
    <x:row r="11" spans="1:5" x14ac:dyDescent="0.25">
      <x:c r="A11" s="12">
        <x:v>46153</x:v>
      </x:c>
      <x:c r="B11" s="13">
        <x:f>IFERROR(COUNTIF(INDIRECT("'"&amp;TEXT(A4,"dd-mm")&amp;"'!L3:L200"),TEXT(A11,"dd-mm")&amp;"-"&amp;B$1),0)</x:f>
      </x:c>
      <x:c r="C11" s="13">
        <x:f>IFERROR(COUNTIF(INDIRECT("'"&amp;TEXT(A4,"DD-MM")&amp;"'!M3:M200"),"*gộp*")/2,0)</x:f>
      </x:c>
      <x:c r="D11" s="13" cm="1">
        <x:f t="array" ref="D11:D11">IFERROR(SUM(COUNTIF(INDIRECT("'"&amp;TEXT(A11,"DD-MM")&amp;"'!M3:M200"),{"*đơn trả*","*hàng tỉnh*"})),0)</x:f>
      </x:c>
      <x:c r="E11" s="13">
        <x:f>B11-C11-D11</x:f>
      </x:c>
    </x:row>
    <x:row r="12" spans="1:5" x14ac:dyDescent="0.25">
      <x:c r="A12" s="12">
        <x:v>46154</x:v>
      </x:c>
      <x:c r="B12" s="13">
        <x:f>IFERROR(COUNTIF(INDIRECT("'"&amp;TEXT(A4,"dd-mm")&amp;"'!L3:L200"),TEXT(A12,"dd-mm")&amp;"-"&amp;B$1),0)</x:f>
      </x:c>
      <x:c r="C12" s="13">
        <x:f>IFERROR(COUNTIF(INDIRECT("'"&amp;TEXT(A4,"DD-MM")&amp;"'!M3:M200"),"*gộp*")/2,0)</x:f>
      </x:c>
      <x:c r="D12" s="13" cm="1">
        <x:f t="array" ref="D12:D12">IFERROR(SUM(COUNTIF(INDIRECT("'"&amp;TEXT(A12,"DD-MM")&amp;"'!M3:M200"),{"*đơn trả*","*hàng tỉnh*"})),0)</x:f>
      </x:c>
      <x:c r="E12" s="13">
        <x:f>B12-C12-D12</x:f>
      </x:c>
    </x:row>
    <x:row r="13" spans="1:5" x14ac:dyDescent="0.25">
      <x:c r="A13" s="12">
        <x:v>46155</x:v>
      </x:c>
      <x:c r="B13" s="13">
        <x:f>IFERROR(COUNTIF(INDIRECT("'"&amp;TEXT(A4,"dd-mm")&amp;"'!L3:L200"),TEXT(A13,"dd-mm")&amp;"-"&amp;B$1),0)</x:f>
      </x:c>
      <x:c r="C13" s="13">
        <x:f>IFERROR(COUNTIF(INDIRECT("'"&amp;TEXT(A4,"DD-MM")&amp;"'!M3:M200"),"*gộp*")/2,0)</x:f>
      </x:c>
      <x:c r="D13" s="13" cm="1">
        <x:f t="array" ref="D13:D13">IFERROR(SUM(COUNTIF(INDIRECT("'"&amp;TEXT(A13,"DD-MM")&amp;"'!M3:M200"),{"*đơn trả*","*hàng tỉnh*"})),0)</x:f>
      </x:c>
      <x:c r="E13" s="13">
        <x:f>B13-C13-D13</x:f>
      </x:c>
    </x:row>
    <x:row r="14" spans="1:5" x14ac:dyDescent="0.25">
      <x:c r="A14" s="12">
        <x:v>46156</x:v>
      </x:c>
      <x:c r="B14" s="13">
        <x:f>IFERROR(COUNTIF(INDIRECT("'"&amp;TEXT(A4,"dd-mm")&amp;"'!L3:L200"),TEXT(A14,"dd-mm")&amp;"-"&amp;B$1),0)</x:f>
      </x:c>
      <x:c r="C14" s="13">
        <x:f>IFERROR(COUNTIF(INDIRECT("'"&amp;TEXT(A4,"DD-MM")&amp;"'!M3:M200"),"*gộp*")/2,0)</x:f>
      </x:c>
      <x:c r="D14" s="13" cm="1">
        <x:f t="array" ref="D14:D14">IFERROR(SUM(COUNTIF(INDIRECT("'"&amp;TEXT(A14,"DD-MM")&amp;"'!M3:M200"),{"*đơn trả*","*hàng tỉnh*"})),0)</x:f>
      </x:c>
      <x:c r="E14" s="13">
        <x:f>B14-C14-D14</x:f>
      </x:c>
    </x:row>
    <x:row r="15" spans="1:5" x14ac:dyDescent="0.25">
      <x:c r="A15" s="12">
        <x:v>46157</x:v>
      </x:c>
      <x:c r="B15" s="13">
        <x:f>IFERROR(COUNTIF(INDIRECT("'"&amp;TEXT(A4,"dd-mm")&amp;"'!L3:L200"),TEXT(A15,"dd-mm")&amp;"-"&amp;B$1),0)</x:f>
      </x:c>
      <x:c r="C15" s="13">
        <x:f>IFERROR(COUNTIF(INDIRECT("'"&amp;TEXT(A4,"DD-MM")&amp;"'!M3:M200"),"*gộp*")/2,0)</x:f>
      </x:c>
      <x:c r="D15" s="13" cm="1">
        <x:f t="array" ref="D15:D15">IFERROR(SUM(COUNTIF(INDIRECT("'"&amp;TEXT(A15,"DD-MM")&amp;"'!M3:M200"),{"*đơn trả*","*hàng tỉnh*"})),0)</x:f>
      </x:c>
      <x:c r="E15" s="13">
        <x:f>B15-C15-D15</x:f>
      </x:c>
    </x:row>
    <x:row r="16" spans="1:5" x14ac:dyDescent="0.25">
      <x:c r="A16" s="12">
        <x:v>46158</x:v>
      </x:c>
      <x:c r="B16" s="13">
        <x:f>IFERROR(COUNTIF(INDIRECT("'"&amp;TEXT(A4,"dd-mm")&amp;"'!L3:L200"),TEXT(A16,"dd-mm")&amp;"-"&amp;B$1),0)</x:f>
      </x:c>
      <x:c r="C16" s="13">
        <x:f>IFERROR(COUNTIF(INDIRECT("'"&amp;TEXT(A4,"DD-MM")&amp;"'!M3:M200"),"*gộp*")/2,0)</x:f>
      </x:c>
      <x:c r="D16" s="13" cm="1">
        <x:f t="array" ref="D16:D16">IFERROR(SUM(COUNTIF(INDIRECT("'"&amp;TEXT(A16,"DD-MM")&amp;"'!M3:M200"),{"*đơn trả*","*hàng tỉnh*"})),0)</x:f>
      </x:c>
      <x:c r="E16" s="13">
        <x:f>B16-C16-D16</x:f>
      </x:c>
    </x:row>
    <x:row r="17" spans="1:5" x14ac:dyDescent="0.25">
      <x:c r="A17" s="12">
        <x:v>46160</x:v>
      </x:c>
      <x:c r="B17" s="13">
        <x:f>IFERROR(COUNTIF(INDIRECT("'"&amp;TEXT(A4,"dd-mm")&amp;"'!L3:L200"),TEXT(A17,"dd-mm")&amp;"-"&amp;B$1),0)</x:f>
      </x:c>
      <x:c r="C17" s="13">
        <x:f>IFERROR(COUNTIF(INDIRECT("'"&amp;TEXT(A4,"DD-MM")&amp;"'!M3:M200"),"*gộp*")/2,0)</x:f>
      </x:c>
      <x:c r="D17" s="13" cm="1">
        <x:f t="array" ref="D17:D17">IFERROR(SUM(COUNTIF(INDIRECT("'"&amp;TEXT(A17,"DD-MM")&amp;"'!M3:M200"),{"*đơn trả*","*hàng tỉnh*"})),0)</x:f>
      </x:c>
      <x:c r="E17" s="13">
        <x:f>B17-C17-D17</x:f>
      </x:c>
    </x:row>
    <x:row r="18" spans="1:5" x14ac:dyDescent="0.25">
      <x:c r="A18" s="12">
        <x:v>46161</x:v>
      </x:c>
      <x:c r="B18" s="13">
        <x:f>IFERROR(COUNTIF(INDIRECT("'"&amp;TEXT(A4,"dd-mm")&amp;"'!L3:L200"),TEXT(A18,"dd-mm")&amp;"-"&amp;B$1),0)</x:f>
      </x:c>
      <x:c r="C18" s="13">
        <x:f>IFERROR(COUNTIF(INDIRECT("'"&amp;TEXT(A4,"DD-MM")&amp;"'!M3:M200"),"*gộp*")/2,0)</x:f>
      </x:c>
      <x:c r="D18" s="13" cm="1">
        <x:f t="array" ref="D18:D18">IFERROR(SUM(COUNTIF(INDIRECT("'"&amp;TEXT(A18,"DD-MM")&amp;"'!M3:M200"),{"*đơn trả*","*hàng tỉnh*"})),0)</x:f>
      </x:c>
      <x:c r="E18" s="13">
        <x:f>B18-C18-D18</x:f>
      </x:c>
    </x:row>
    <x:row r="19" spans="1:5" x14ac:dyDescent="0.25">
      <x:c r="A19" s="12">
        <x:v>46162</x:v>
      </x:c>
      <x:c r="B19" s="13">
        <x:f>IFERROR(COUNTIF(INDIRECT("'"&amp;TEXT(A4,"dd-mm")&amp;"'!L3:L200"),TEXT(A19,"dd-mm")&amp;"-"&amp;B$1),0)</x:f>
      </x:c>
      <x:c r="C19" s="13">
        <x:f>IFERROR(COUNTIF(INDIRECT("'"&amp;TEXT(A4,"DD-MM")&amp;"'!M3:M200"),"*gộp*")/2,0)</x:f>
      </x:c>
      <x:c r="D19" s="13" cm="1">
        <x:f t="array" ref="D19:D19">IFERROR(SUM(COUNTIF(INDIRECT("'"&amp;TEXT(A19,"DD-MM")&amp;"'!M3:M200"),{"*đơn trả*","*hàng tỉnh*"})),0)</x:f>
      </x:c>
      <x:c r="E19" s="13">
        <x:f>B19-C19-D19</x:f>
      </x:c>
    </x:row>
    <x:row r="20" spans="1:5" x14ac:dyDescent="0.25">
      <x:c r="A20" s="12">
        <x:v>46163</x:v>
      </x:c>
      <x:c r="B20" s="13">
        <x:f>IFERROR(COUNTIF(INDIRECT("'"&amp;TEXT(A4,"dd-mm")&amp;"'!L3:L200"),TEXT(A20,"dd-mm")&amp;"-"&amp;B$1),0)</x:f>
      </x:c>
      <x:c r="C20" s="13">
        <x:f>IFERROR(COUNTIF(INDIRECT("'"&amp;TEXT(A4,"DD-MM")&amp;"'!M3:M200"),"*gộp*")/2,0)</x:f>
      </x:c>
      <x:c r="D20" s="13" cm="1">
        <x:f t="array" ref="D20:D20">IFERROR(SUM(COUNTIF(INDIRECT("'"&amp;TEXT(A20,"DD-MM")&amp;"'!M3:M200"),{"*đơn trả*","*hàng tỉnh*"})),0)</x:f>
      </x:c>
      <x:c r="E20" s="13">
        <x:f>B20-C20-D20</x:f>
      </x:c>
    </x:row>
    <x:row r="21" spans="1:5" x14ac:dyDescent="0.25">
      <x:c r="A21" s="12">
        <x:v>46164</x:v>
      </x:c>
      <x:c r="B21" s="13">
        <x:f>IFERROR(COUNTIF(INDIRECT("'"&amp;TEXT(A4,"dd-mm")&amp;"'!L3:L200"),TEXT(A21,"dd-mm")&amp;"-"&amp;B$1),0)</x:f>
      </x:c>
      <x:c r="C21" s="13">
        <x:f>IFERROR(COUNTIF(INDIRECT("'"&amp;TEXT(A4,"DD-MM")&amp;"'!M3:M200"),"*gộp*")/2,0)</x:f>
      </x:c>
      <x:c r="D21" s="13" cm="1">
        <x:f t="array" ref="D21:D21">IFERROR(SUM(COUNTIF(INDIRECT("'"&amp;TEXT(A21,"DD-MM")&amp;"'!M3:M200"),{"*đơn trả*","*hàng tỉnh*"})),0)</x:f>
      </x:c>
      <x:c r="E21" s="13">
        <x:f>B21-C21-D21</x:f>
      </x:c>
    </x:row>
    <x:row r="22" spans="1:5" x14ac:dyDescent="0.25">
      <x:c r="A22" s="12">
        <x:v>46165</x:v>
      </x:c>
      <x:c r="B22" s="13">
        <x:f>IFERROR(COUNTIF(INDIRECT("'"&amp;TEXT(A4,"dd-mm")&amp;"'!L3:L200"),TEXT(A22,"dd-mm")&amp;"-"&amp;B$1),0)</x:f>
      </x:c>
      <x:c r="C22" s="13">
        <x:f>IFERROR(COUNTIF(INDIRECT("'"&amp;TEXT(A4,"DD-MM")&amp;"'!M3:M200"),"*gộp*")/2,0)</x:f>
      </x:c>
      <x:c r="D22" s="13" cm="1">
        <x:f t="array" ref="D22:D22">IFERROR(SUM(COUNTIF(INDIRECT("'"&amp;TEXT(A22,"DD-MM")&amp;"'!M3:M200"),{"*đơn trả*","*hàng tỉnh*"})),0)</x:f>
      </x:c>
      <x:c r="E22" s="13">
        <x:f>B22-C22-D22</x:f>
      </x:c>
    </x:row>
    <x:row r="23" spans="1:5" x14ac:dyDescent="0.25">
      <x:c r="A23" s="12">
        <x:v>46167</x:v>
      </x:c>
      <x:c r="B23" s="13">
        <x:f>IFERROR(COUNTIF(INDIRECT("'"&amp;TEXT(A4,"dd-mm")&amp;"'!L3:L200"),TEXT(A23,"dd-mm")&amp;"-"&amp;B$1),0)</x:f>
      </x:c>
      <x:c r="C23" s="13">
        <x:f>IFERROR(COUNTIF(INDIRECT("'"&amp;TEXT(A4,"DD-MM")&amp;"'!M3:M200"),"*gộp*")/2,0)</x:f>
      </x:c>
      <x:c r="D23" s="13" cm="1">
        <x:f t="array" ref="D23:D23">IFERROR(SUM(COUNTIF(INDIRECT("'"&amp;TEXT(A23,"DD-MM")&amp;"'!M3:M200"),{"*đơn trả*","*hàng tỉnh*"})),0)</x:f>
      </x:c>
      <x:c r="E23" s="13">
        <x:f>B23-C23-D23</x:f>
      </x:c>
    </x:row>
    <x:row r="24" spans="1:5" x14ac:dyDescent="0.25">
      <x:c r="A24" s="12">
        <x:v>46168</x:v>
      </x:c>
      <x:c r="B24" s="13">
        <x:f>IFERROR(COUNTIF(INDIRECT("'"&amp;TEXT(A4,"dd-mm")&amp;"'!L3:L200"),TEXT(A24,"dd-mm")&amp;"-"&amp;B$1),0)</x:f>
      </x:c>
      <x:c r="C24" s="13">
        <x:f>IFERROR(COUNTIF(INDIRECT("'"&amp;TEXT(A4,"DD-MM")&amp;"'!M3:M200"),"*gộp*")/2,0)</x:f>
      </x:c>
      <x:c r="D24" s="13" cm="1">
        <x:f t="array" ref="D24:D24">IFERROR(SUM(COUNTIF(INDIRECT("'"&amp;TEXT(A24,"DD-MM")&amp;"'!M3:M200"),{"*đơn trả*","*hàng tỉnh*"})),0)</x:f>
      </x:c>
      <x:c r="E24" s="13">
        <x:f>B24-C24-D24</x:f>
      </x:c>
    </x:row>
    <x:row r="25" spans="1:5" x14ac:dyDescent="0.25">
      <x:c r="A25" s="12">
        <x:v>46169</x:v>
      </x:c>
      <x:c r="B25" s="13">
        <x:f>IFERROR(COUNTIF(INDIRECT("'"&amp;TEXT(A4,"dd-mm")&amp;"'!L3:L200"),TEXT(A25,"dd-mm")&amp;"-"&amp;B$1),0)</x:f>
      </x:c>
      <x:c r="C25" s="13">
        <x:f>IFERROR(COUNTIF(INDIRECT("'"&amp;TEXT(A4,"DD-MM")&amp;"'!M3:M200"),"*gộp*")/2,0)</x:f>
      </x:c>
      <x:c r="D25" s="13" cm="1">
        <x:f t="array" ref="D25:D25">IFERROR(SUM(COUNTIF(INDIRECT("'"&amp;TEXT(A25,"DD-MM")&amp;"'!M3:M200"),{"*đơn trả*","*hàng tỉnh*"})),0)</x:f>
      </x:c>
      <x:c r="E25" s="13">
        <x:f>B25-C25-D25</x:f>
      </x:c>
    </x:row>
    <x:row r="26" spans="1:5" x14ac:dyDescent="0.25">
      <x:c r="A26" s="12">
        <x:v>46170</x:v>
      </x:c>
      <x:c r="B26" s="13">
        <x:f>IFERROR(COUNTIF(INDIRECT("'"&amp;TEXT(A4,"dd-mm")&amp;"'!L3:L200"),TEXT(A26,"dd-mm")&amp;"-"&amp;B$1),0)</x:f>
      </x:c>
      <x:c r="C26" s="13">
        <x:f>IFERROR(COUNTIF(INDIRECT("'"&amp;TEXT(A4,"DD-MM")&amp;"'!M3:M200"),"*gộp*")/2,0)</x:f>
      </x:c>
      <x:c r="D26" s="13" cm="1">
        <x:f t="array" ref="D26:D26">IFERROR(SUM(COUNTIF(INDIRECT("'"&amp;TEXT(A26,"DD-MM")&amp;"'!M3:M200"),{"*đơn trả*","*hàng tỉnh*"})),0)</x:f>
      </x:c>
      <x:c r="E26" s="13">
        <x:f>B26-C26-D26</x:f>
      </x:c>
    </x:row>
    <x:row r="27" spans="1:5" x14ac:dyDescent="0.25">
      <x:c r="A27" s="12">
        <x:v>46171</x:v>
      </x:c>
      <x:c r="B27" s="13">
        <x:f>IFERROR(COUNTIF(INDIRECT("'"&amp;TEXT(A4,"dd-mm")&amp;"'!L3:L200"),TEXT(A27,"dd-mm")&amp;"-"&amp;B$1),0)</x:f>
      </x:c>
      <x:c r="C27" s="13">
        <x:f>IFERROR(COUNTIF(INDIRECT("'"&amp;TEXT(A4,"DD-MM")&amp;"'!M3:M200"),"*gộp*")/2,0)</x:f>
      </x:c>
      <x:c r="D27" s="13" cm="1">
        <x:f t="array" ref="D27:D27">IFERROR(SUM(COUNTIF(INDIRECT("'"&amp;TEXT(A27,"DD-MM")&amp;"'!M3:M200"),{"*đơn trả*","*hàng tỉnh*"})),0)</x:f>
      </x:c>
      <x:c r="E27" s="13">
        <x:f>B27-C27-D27</x:f>
      </x:c>
    </x:row>
    <x:row r="28" spans="1:5" x14ac:dyDescent="0.25">
      <x:c r="A28" s="12">
        <x:v>46172</x:v>
      </x:c>
      <x:c r="B28" s="13">
        <x:f>IFERROR(COUNTIF(INDIRECT("'"&amp;TEXT(A4,"dd-mm")&amp;"'!L3:L200"),TEXT(A28,"dd-mm")&amp;"-"&amp;B$1),0)</x:f>
      </x:c>
      <x:c r="C28" s="13">
        <x:f>IFERROR(COUNTIF(INDIRECT("'"&amp;TEXT(A4,"DD-MM")&amp;"'!M3:M200"),"*gộp*")/2,0)</x:f>
      </x:c>
      <x:c r="D28" s="13" cm="1">
        <x:f t="array" ref="D28:D28">IFERROR(SUM(COUNTIF(INDIRECT("'"&amp;TEXT(A28,"DD-MM")&amp;"'!M3:M200"),{"*đơn trả*","*hàng tỉnh*"})),0)</x:f>
      </x:c>
      <x:c r="E28" s="13">
        <x:f>B28-C28-D28</x:f>
      </x:c>
    </x:row>
    <x:row r="29" spans="1:5" x14ac:dyDescent="0.25">
      <x:c r="D29" s="38" t="s">
        <x:v>218</x:v>
      </x:c>
      <x:c r="E29" s="38">
        <x:f>SUBTOTAL(9,E4:E28)</x:f>
      </x:c>
    </x:row>
    <x:row r="30" spans="1:5" x14ac:dyDescent="0.25">
      <x:c r="D30" s="38" t="s">
        <x:v>219</x:v>
      </x:c>
      <x:c r="E30" s="38" cm="1">
        <x:f t="array" ref="E30:E30">SUMPRODUCT(
    IFERROR(
        SUMIF(
            INDIRECT("'"&amp;TEXT(A4:A28,"dd-mm")&amp;"'!O:O"),
            "tổng",
            INDIRECT("'"&amp;TEXT(A4:A28,"dd-mm")&amp;"'!P:P")
        ),
    0)
)</x:f>
      </x:c>
    </x:row>
    <x:row r="31" spans="1:5" x14ac:dyDescent="0.25">
      <x:c r="D31" s="38" t="s">
        <x:v>220</x:v>
      </x:c>
      <x:c r="E31" s="38">
        <x:f>-E29*2</x:f>
      </x:c>
    </x:row>
    <x:row r="32" spans="1:5" x14ac:dyDescent="0.25">
      <x:c r="D32" s="38" t="s">
        <x:v>221</x:v>
      </x:c>
      <x:c r="E32" s="38">
        <x:f>SUBTOTAL(9,E30:E31)</x:f>
      </x:c>
    </x:row>
  </x:sheetData>
  <x:autoFilter ref="A2:E28"/>
  <x:phoneticPr fontId="3" type="noConversion"/>
  <x:conditionalFormatting sqref="C3:D28">
    <x:cfRule type="expression" dxfId="0" priority="1" operator="equal">
      <x:formula>C3&lt;&gt;0</x:formula>
    </x:cfRule>
  </x:conditionalFormatting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4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Q29"/>
  <x:sheetViews>
    <x:sheetView workbookViewId="0"/>
  </x:sheetViews>
  <x:sheetFormatPr defaultRowHeight="15"/>
  <x:cols>
    <x:col min="1" max="1" width="12.710625" style="0" customWidth="1"/>
    <x:col min="2" max="2" width="17.710625" style="0" customWidth="1"/>
    <x:col min="3" max="3" width="35.139196" style="0" customWidth="1"/>
    <x:col min="4" max="4" width="9.853482" style="0" customWidth="1"/>
    <x:col min="5" max="5" width="42.139196" style="0" customWidth="1"/>
    <x:col min="6" max="6" width="10.710625" style="0" customWidth="1"/>
    <x:col min="7" max="7" width="9.139196" style="0" customWidth="1"/>
    <x:col min="8" max="8" width="9.567768" style="0" customWidth="1"/>
    <x:col min="9" max="9" width="10.567768" style="0" customWidth="1"/>
    <x:col min="10" max="10" width="9.710625" style="0" customWidth="1"/>
    <x:col min="11" max="11" width="10.853482" style="0" customWidth="1"/>
    <x:col min="12" max="12" width="10.424911" style="0" customWidth="1"/>
    <x:col min="13" max="13" width="13.853482" style="0" customWidth="1"/>
    <x:col min="14" max="14" width="9.710625" style="0" customWidth="1"/>
    <x:col min="15" max="15" width="10.424911" style="0" customWidth="1"/>
    <x:col min="16" max="16" width="4.567768" style="0" customWidth="1"/>
    <x:col min="17" max="17" width="6.424911" style="0" customWidth="1"/>
  </x:cols>
  <x:sheetData>
    <x:row r="2" spans="1:17">
      <x:c r="A2" s="39" t="s">
        <x:v>0</x:v>
      </x:c>
      <x:c r="B2" s="39" t="s">
        <x:v>1</x:v>
      </x:c>
      <x:c r="C2" s="39" t="s">
        <x:v>2</x:v>
      </x:c>
      <x:c r="D2" s="39" t="s">
        <x:v>3</x:v>
      </x:c>
      <x:c r="E2" s="39" t="s">
        <x:v>4</x:v>
      </x:c>
      <x:c r="F2" s="39" t="s">
        <x:v>5</x:v>
      </x:c>
      <x:c r="G2" s="39" t="s">
        <x:v>6</x:v>
      </x:c>
      <x:c r="H2" s="39" t="s">
        <x:v>7</x:v>
      </x:c>
      <x:c r="I2" s="39" t="s">
        <x:v>8</x:v>
      </x:c>
      <x:c r="J2" s="39" t="s">
        <x:v>9</x:v>
      </x:c>
      <x:c r="K2" s="39" t="s">
        <x:v>10</x:v>
      </x:c>
      <x:c r="L2" s="39" t="s">
        <x:v>11</x:v>
      </x:c>
      <x:c r="M2" s="39" t="s">
        <x:v>12</x:v>
      </x:c>
      <x:c r="N2" s="39" t="s">
        <x:v>13</x:v>
      </x:c>
      <x:c r="O2" s="39" t="s">
        <x:v>14</x:v>
      </x:c>
      <x:c r="P2" s="39" t="s">
        <x:v>15</x:v>
      </x:c>
      <x:c r="Q2" s="39" t="s">
        <x:v>222</x:v>
      </x:c>
    </x:row>
    <x:row r="3" spans="1:17">
      <x:c r="B3" s="0" t="s">
        <x:v>17</x:v>
      </x:c>
      <x:c r="C3" s="0" t="s">
        <x:v>223</x:v>
      </x:c>
      <x:c r="D3" s="0" t="s">
        <x:v>224</x:v>
      </x:c>
      <x:c r="E3" s="0" t="s">
        <x:v>225</x:v>
      </x:c>
      <x:c r="F3" s="40">
        <x:v>8</x:v>
      </x:c>
      <x:c r="G3" s="40">
        <x:v>720</x:v>
      </x:c>
      <x:c r="H3" s="40">
        <x:v>30</x:v>
      </x:c>
      <x:c r="I3" s="40">
        <x:f>G3-H3</x:f>
      </x:c>
      <x:c r="J3" s="0" t="s">
        <x:v>226</x:v>
      </x:c>
      <x:c r="K3" s="0" t="s">
        <x:v>21</x:v>
      </x:c>
      <x:c r="L3" s="0" t="s">
        <x:v>227</x:v>
      </x:c>
      <x:c r="Q3" s="0">
        <x:v>1</x:v>
      </x:c>
    </x:row>
    <x:row r="4" spans="1:17">
      <x:c r="B4" s="0" t="s">
        <x:v>17</x:v>
      </x:c>
      <x:c r="C4" s="0" t="s">
        <x:v>228</x:v>
      </x:c>
      <x:c r="D4" s="0" t="s">
        <x:v>229</x:v>
      </x:c>
      <x:c r="E4" s="0" t="s">
        <x:v>230</x:v>
      </x:c>
      <x:c r="F4" s="0" t="s">
        <x:v>95</x:v>
      </x:c>
      <x:c r="G4" s="40">
        <x:v>1165</x:v>
      </x:c>
      <x:c r="H4" s="40">
        <x:v>25</x:v>
      </x:c>
      <x:c r="I4" s="40">
        <x:f>G4-H4</x:f>
      </x:c>
      <x:c r="J4" s="0" t="s">
        <x:v>226</x:v>
      </x:c>
      <x:c r="K4" s="0" t="s">
        <x:v>21</x:v>
      </x:c>
      <x:c r="L4" s="0" t="s">
        <x:v>227</x:v>
      </x:c>
      <x:c r="Q4" s="0">
        <x:v>1</x:v>
      </x:c>
    </x:row>
    <x:row r="5" spans="1:17">
      <x:c r="B5" s="0" t="s">
        <x:v>17</x:v>
      </x:c>
      <x:c r="C5" s="0" t="s">
        <x:v>231</x:v>
      </x:c>
      <x:c r="D5" s="0" t="s">
        <x:v>232</x:v>
      </x:c>
      <x:c r="E5" s="0" t="s">
        <x:v>233</x:v>
      </x:c>
      <x:c r="F5" s="0" t="s">
        <x:v>95</x:v>
      </x:c>
      <x:c r="G5" s="40">
        <x:v>915</x:v>
      </x:c>
      <x:c r="H5" s="40">
        <x:v>25</x:v>
      </x:c>
      <x:c r="I5" s="40">
        <x:f>G5-H5</x:f>
      </x:c>
      <x:c r="J5" s="0" t="s">
        <x:v>135</x:v>
      </x:c>
      <x:c r="K5" s="0" t="s">
        <x:v>21</x:v>
      </x:c>
      <x:c r="L5" s="0" t="s">
        <x:v>227</x:v>
      </x:c>
      <x:c r="Q5" s="0">
        <x:v>1</x:v>
      </x:c>
    </x:row>
    <x:row r="6" spans="1:17">
      <x:c r="B6" s="0" t="s">
        <x:v>17</x:v>
      </x:c>
      <x:c r="C6" s="0" t="s">
        <x:v>234</x:v>
      </x:c>
      <x:c r="D6" s="0" t="s">
        <x:v>235</x:v>
      </x:c>
      <x:c r="E6" s="0" t="s">
        <x:v>236</x:v>
      </x:c>
      <x:c r="F6" s="0" t="s">
        <x:v>85</x:v>
      </x:c>
      <x:c r="G6" s="40">
        <x:v>900</x:v>
      </x:c>
      <x:c r="H6" s="40">
        <x:v>20</x:v>
      </x:c>
      <x:c r="I6" s="40">
        <x:f>G6-H6</x:f>
      </x:c>
      <x:c r="J6" s="0" t="s">
        <x:v>21</x:v>
      </x:c>
      <x:c r="K6" s="0" t="s">
        <x:v>21</x:v>
      </x:c>
      <x:c r="L6" s="0" t="s">
        <x:v>227</x:v>
      </x:c>
      <x:c r="Q6" s="0">
        <x:v>1</x:v>
      </x:c>
    </x:row>
    <x:row r="7" spans="1:17">
      <x:c r="B7" s="0" t="s">
        <x:v>17</x:v>
      </x:c>
      <x:c r="C7" s="0" t="s">
        <x:v>237</x:v>
      </x:c>
      <x:c r="D7" s="0" t="s">
        <x:v>238</x:v>
      </x:c>
      <x:c r="E7" s="0" t="s">
        <x:v>239</x:v>
      </x:c>
      <x:c r="F7" s="40">
        <x:v>1</x:v>
      </x:c>
      <x:c r="G7" s="40">
        <x:v>0</x:v>
      </x:c>
      <x:c r="H7" s="40">
        <x:v>25</x:v>
      </x:c>
      <x:c r="I7" s="40">
        <x:f>G7-H7</x:f>
      </x:c>
      <x:c r="J7" s="0" t="s">
        <x:v>135</x:v>
      </x:c>
      <x:c r="K7" s="0" t="s">
        <x:v>21</x:v>
      </x:c>
      <x:c r="L7" s="0" t="s">
        <x:v>227</x:v>
      </x:c>
      <x:c r="Q7" s="0">
        <x:v>1</x:v>
      </x:c>
    </x:row>
    <x:row r="8" spans="1:17">
      <x:c r="B8" s="0" t="s">
        <x:v>17</x:v>
      </x:c>
      <x:c r="C8" s="0" t="s">
        <x:v>240</x:v>
      </x:c>
      <x:c r="D8" s="0" t="s">
        <x:v>241</x:v>
      </x:c>
      <x:c r="E8" s="0" t="s">
        <x:v>242</x:v>
      </x:c>
      <x:c r="F8" s="40">
        <x:v>1</x:v>
      </x:c>
      <x:c r="G8" s="40">
        <x:v>0</x:v>
      </x:c>
      <x:c r="H8" s="40">
        <x:v>25</x:v>
      </x:c>
      <x:c r="I8" s="40">
        <x:f>G8-H8</x:f>
      </x:c>
      <x:c r="J8" s="0" t="s">
        <x:v>135</x:v>
      </x:c>
      <x:c r="K8" s="0" t="s">
        <x:v>21</x:v>
      </x:c>
      <x:c r="L8" s="0" t="s">
        <x:v>227</x:v>
      </x:c>
      <x:c r="Q8" s="0">
        <x:v>1</x:v>
      </x:c>
    </x:row>
    <x:row r="9" spans="1:17">
      <x:c r="B9" s="0" t="s">
        <x:v>17</x:v>
      </x:c>
      <x:c r="C9" s="0" t="s">
        <x:v>243</x:v>
      </x:c>
      <x:c r="D9" s="0" t="s">
        <x:v>244</x:v>
      </x:c>
      <x:c r="E9" s="0" t="s">
        <x:v>245</x:v>
      </x:c>
      <x:c r="F9" s="40">
        <x:v>1</x:v>
      </x:c>
      <x:c r="G9" s="40">
        <x:v>0</x:v>
      </x:c>
      <x:c r="H9" s="40">
        <x:v>25</x:v>
      </x:c>
      <x:c r="I9" s="40">
        <x:f>G9-H9</x:f>
      </x:c>
      <x:c r="J9" s="0" t="s">
        <x:v>135</x:v>
      </x:c>
      <x:c r="K9" s="0" t="s">
        <x:v>21</x:v>
      </x:c>
      <x:c r="L9" s="0" t="s">
        <x:v>227</x:v>
      </x:c>
      <x:c r="Q9" s="0">
        <x:v>1</x:v>
      </x:c>
    </x:row>
    <x:row r="10" spans="1:17">
      <x:c r="B10" s="0" t="s">
        <x:v>17</x:v>
      </x:c>
      <x:c r="C10" s="0" t="s">
        <x:v>246</x:v>
      </x:c>
      <x:c r="D10" s="0" t="s">
        <x:v>247</x:v>
      </x:c>
      <x:c r="E10" s="0" t="s">
        <x:v>248</x:v>
      </x:c>
      <x:c r="F10" s="40">
        <x:v>6</x:v>
      </x:c>
      <x:c r="G10" s="40">
        <x:v>0</x:v>
      </x:c>
      <x:c r="H10" s="40">
        <x:v>25</x:v>
      </x:c>
      <x:c r="I10" s="40">
        <x:f>G10-H10</x:f>
      </x:c>
      <x:c r="J10" s="0" t="s">
        <x:v>226</x:v>
      </x:c>
      <x:c r="K10" s="0" t="s">
        <x:v>21</x:v>
      </x:c>
      <x:c r="L10" s="0" t="s">
        <x:v>227</x:v>
      </x:c>
      <x:c r="Q10" s="0">
        <x:v>1</x:v>
      </x:c>
    </x:row>
    <x:row r="11" spans="1:17">
      <x:c r="B11" s="0" t="s">
        <x:v>17</x:v>
      </x:c>
      <x:c r="C11" s="0" t="s">
        <x:v>249</x:v>
      </x:c>
      <x:c r="D11" s="0" t="s">
        <x:v>250</x:v>
      </x:c>
      <x:c r="E11" s="0" t="s">
        <x:v>251</x:v>
      </x:c>
      <x:c r="F11" s="0" t="s">
        <x:v>95</x:v>
      </x:c>
      <x:c r="G11" s="40">
        <x:v>0</x:v>
      </x:c>
      <x:c r="H11" s="40">
        <x:v>25</x:v>
      </x:c>
      <x:c r="I11" s="40">
        <x:f>G11-H11</x:f>
      </x:c>
      <x:c r="J11" s="0" t="s">
        <x:v>21</x:v>
      </x:c>
      <x:c r="K11" s="0" t="s">
        <x:v>21</x:v>
      </x:c>
      <x:c r="L11" s="0" t="s">
        <x:v>227</x:v>
      </x:c>
      <x:c r="Q11" s="0">
        <x:v>1</x:v>
      </x:c>
    </x:row>
    <x:row r="12" spans="1:17">
      <x:c r="B12" s="0" t="s">
        <x:v>17</x:v>
      </x:c>
      <x:c r="C12" s="0" t="s">
        <x:v>252</x:v>
      </x:c>
      <x:c r="D12" s="0" t="s">
        <x:v>253</x:v>
      </x:c>
      <x:c r="E12" s="0" t="s">
        <x:v>254</x:v>
      </x:c>
      <x:c r="F12" s="0" t="s">
        <x:v>81</x:v>
      </x:c>
      <x:c r="G12" s="40">
        <x:v>3650</x:v>
      </x:c>
      <x:c r="H12" s="40">
        <x:v>40</x:v>
      </x:c>
      <x:c r="I12" s="40">
        <x:f>G12-H12</x:f>
      </x:c>
      <x:c r="J12" s="0" t="s">
        <x:v>21</x:v>
      </x:c>
      <x:c r="K12" s="0" t="s">
        <x:v>21</x:v>
      </x:c>
      <x:c r="L12" s="0" t="s">
        <x:v>227</x:v>
      </x:c>
      <x:c r="M12" s="0" t="s">
        <x:v>167</x:v>
      </x:c>
      <x:c r="Q12" s="0">
        <x:v>1</x:v>
      </x:c>
    </x:row>
    <x:row r="13" spans="1:17">
      <x:c r="B13" s="0" t="s">
        <x:v>17</x:v>
      </x:c>
      <x:c r="C13" s="0" t="s">
        <x:v>255</x:v>
      </x:c>
      <x:c r="D13" s="0" t="s">
        <x:v>256</x:v>
      </x:c>
      <x:c r="E13" s="0" t="s">
        <x:v>257</x:v>
      </x:c>
      <x:c r="F13" s="0" t="s">
        <x:v>46</x:v>
      </x:c>
      <x:c r="G13" s="40">
        <x:v>845</x:v>
      </x:c>
      <x:c r="H13" s="40">
        <x:v>25</x:v>
      </x:c>
      <x:c r="I13" s="40">
        <x:f>G13-H13</x:f>
      </x:c>
      <x:c r="J13" s="0" t="s">
        <x:v>226</x:v>
      </x:c>
      <x:c r="K13" s="0" t="s">
        <x:v>21</x:v>
      </x:c>
      <x:c r="L13" s="0" t="s">
        <x:v>227</x:v>
      </x:c>
      <x:c r="Q13" s="0">
        <x:v>1</x:v>
      </x:c>
    </x:row>
    <x:row r="14" spans="1:17">
      <x:c r="B14" s="0" t="s">
        <x:v>17</x:v>
      </x:c>
      <x:c r="C14" s="0" t="s">
        <x:v>258</x:v>
      </x:c>
      <x:c r="D14" s="0" t="s">
        <x:v>259</x:v>
      </x:c>
      <x:c r="E14" s="0" t="s">
        <x:v>260</x:v>
      </x:c>
      <x:c r="F14" s="40">
        <x:v>12</x:v>
      </x:c>
      <x:c r="G14" s="40">
        <x:v>0</x:v>
      </x:c>
      <x:c r="H14" s="40">
        <x:v>30</x:v>
      </x:c>
      <x:c r="I14" s="40">
        <x:f>G14-H14</x:f>
      </x:c>
      <x:c r="J14" s="0" t="s">
        <x:v>21</x:v>
      </x:c>
      <x:c r="K14" s="0" t="s">
        <x:v>21</x:v>
      </x:c>
      <x:c r="L14" s="0" t="s">
        <x:v>227</x:v>
      </x:c>
      <x:c r="Q14" s="0">
        <x:v>1</x:v>
      </x:c>
    </x:row>
    <x:row r="15" spans="1:17">
      <x:c r="B15" s="0" t="s">
        <x:v>17</x:v>
      </x:c>
      <x:c r="C15" s="0" t="s">
        <x:v>261</x:v>
      </x:c>
      <x:c r="D15" s="0" t="s">
        <x:v>262</x:v>
      </x:c>
      <x:c r="E15" s="0" t="s">
        <x:v>263</x:v>
      </x:c>
      <x:c r="F15" s="0" t="s">
        <x:v>95</x:v>
      </x:c>
      <x:c r="G15" s="40">
        <x:v>775</x:v>
      </x:c>
      <x:c r="H15" s="40">
        <x:v>25</x:v>
      </x:c>
      <x:c r="I15" s="40">
        <x:f>G15-H15</x:f>
      </x:c>
      <x:c r="J15" s="0" t="s">
        <x:v>21</x:v>
      </x:c>
      <x:c r="K15" s="0" t="s">
        <x:v>21</x:v>
      </x:c>
      <x:c r="L15" s="0" t="s">
        <x:v>227</x:v>
      </x:c>
      <x:c r="Q15" s="0">
        <x:v>1</x:v>
      </x:c>
    </x:row>
    <x:row r="16" spans="1:17">
      <x:c r="B16" s="0" t="s">
        <x:v>17</x:v>
      </x:c>
      <x:c r="C16" s="0" t="s">
        <x:v>264</x:v>
      </x:c>
      <x:c r="D16" s="0" t="s">
        <x:v>265</x:v>
      </x:c>
      <x:c r="E16" s="0" t="s">
        <x:v>266</x:v>
      </x:c>
      <x:c r="F16" s="40">
        <x:v>8</x:v>
      </x:c>
      <x:c r="G16" s="40">
        <x:v>850</x:v>
      </x:c>
      <x:c r="H16" s="40">
        <x:v>30</x:v>
      </x:c>
      <x:c r="I16" s="40">
        <x:f>G16-H16</x:f>
      </x:c>
      <x:c r="J16" s="0" t="s">
        <x:v>226</x:v>
      </x:c>
      <x:c r="K16" s="0" t="s">
        <x:v>21</x:v>
      </x:c>
      <x:c r="L16" s="0" t="s">
        <x:v>227</x:v>
      </x:c>
      <x:c r="Q16" s="0">
        <x:v>1</x:v>
      </x:c>
    </x:row>
    <x:row r="17" spans="1:17">
      <x:c r="B17" s="0" t="s">
        <x:v>17</x:v>
      </x:c>
      <x:c r="C17" s="0" t="s">
        <x:v>267</x:v>
      </x:c>
      <x:c r="D17" s="0" t="s">
        <x:v>268</x:v>
      </x:c>
      <x:c r="E17" s="0" t="s">
        <x:v>269</x:v>
      </x:c>
      <x:c r="F17" s="40">
        <x:v>12</x:v>
      </x:c>
      <x:c r="G17" s="40">
        <x:v>0</x:v>
      </x:c>
      <x:c r="H17" s="40">
        <x:v>30</x:v>
      </x:c>
      <x:c r="I17" s="40">
        <x:f>G17-H17</x:f>
      </x:c>
      <x:c r="J17" s="0" t="s">
        <x:v>21</x:v>
      </x:c>
      <x:c r="K17" s="0" t="s">
        <x:v>21</x:v>
      </x:c>
      <x:c r="L17" s="0" t="s">
        <x:v>227</x:v>
      </x:c>
      <x:c r="Q17" s="0">
        <x:v>1</x:v>
      </x:c>
    </x:row>
    <x:row r="18" spans="1:17">
      <x:c r="B18" s="0" t="s">
        <x:v>17</x:v>
      </x:c>
      <x:c r="C18" s="0" t="s">
        <x:v>270</x:v>
      </x:c>
      <x:c r="D18" s="0" t="s">
        <x:v>271</x:v>
      </x:c>
      <x:c r="E18" s="0" t="s">
        <x:v>272</x:v>
      </x:c>
      <x:c r="F18" s="40">
        <x:v>10</x:v>
      </x:c>
      <x:c r="G18" s="40">
        <x:v>595</x:v>
      </x:c>
      <x:c r="H18" s="40">
        <x:v>25</x:v>
      </x:c>
      <x:c r="I18" s="40">
        <x:f>G18-H18</x:f>
      </x:c>
      <x:c r="J18" s="0" t="s">
        <x:v>135</x:v>
      </x:c>
      <x:c r="K18" s="0" t="s">
        <x:v>21</x:v>
      </x:c>
      <x:c r="L18" s="0" t="s">
        <x:v>227</x:v>
      </x:c>
      <x:c r="Q18" s="0">
        <x:v>1</x:v>
      </x:c>
    </x:row>
    <x:row r="19" spans="1:17">
      <x:c r="B19" s="0" t="s">
        <x:v>17</x:v>
      </x:c>
      <x:c r="C19" s="0" t="s">
        <x:v>273</x:v>
      </x:c>
      <x:c r="D19" s="0" t="s">
        <x:v>274</x:v>
      </x:c>
      <x:c r="E19" s="0" t="s">
        <x:v>275</x:v>
      </x:c>
      <x:c r="F19" s="0" t="s">
        <x:v>77</x:v>
      </x:c>
      <x:c r="G19" s="40">
        <x:v>1775</x:v>
      </x:c>
      <x:c r="H19" s="40">
        <x:v>25</x:v>
      </x:c>
      <x:c r="I19" s="40">
        <x:f>G19-H19</x:f>
      </x:c>
      <x:c r="J19" s="0" t="s">
        <x:v>21</x:v>
      </x:c>
      <x:c r="K19" s="0" t="s">
        <x:v>21</x:v>
      </x:c>
      <x:c r="L19" s="0" t="s">
        <x:v>227</x:v>
      </x:c>
      <x:c r="Q19" s="0">
        <x:v>1</x:v>
      </x:c>
    </x:row>
    <x:row r="20" spans="1:17">
      <x:c r="B20" s="0" t="s">
        <x:v>17</x:v>
      </x:c>
      <x:c r="C20" s="0" t="s">
        <x:v>276</x:v>
      </x:c>
      <x:c r="D20" s="0" t="s">
        <x:v>277</x:v>
      </x:c>
      <x:c r="E20" s="0" t="s">
        <x:v>278</x:v>
      </x:c>
      <x:c r="F20" s="0" t="s">
        <x:v>77</x:v>
      </x:c>
      <x:c r="G20" s="40">
        <x:v>0</x:v>
      </x:c>
      <x:c r="H20" s="40">
        <x:v>25</x:v>
      </x:c>
      <x:c r="I20" s="40">
        <x:f>G20-H20</x:f>
      </x:c>
      <x:c r="J20" s="0" t="s">
        <x:v>21</x:v>
      </x:c>
      <x:c r="K20" s="0" t="s">
        <x:v>21</x:v>
      </x:c>
      <x:c r="L20" s="0" t="s">
        <x:v>227</x:v>
      </x:c>
      <x:c r="Q20" s="0">
        <x:v>1</x:v>
      </x:c>
    </x:row>
    <x:row r="21" spans="1:17">
      <x:c r="B21" s="0" t="s">
        <x:v>17</x:v>
      </x:c>
      <x:c r="C21" s="0" t="s">
        <x:v>279</x:v>
      </x:c>
      <x:c r="D21" s="0" t="s">
        <x:v>280</x:v>
      </x:c>
      <x:c r="E21" s="0" t="s">
        <x:v>281</x:v>
      </x:c>
      <x:c r="F21" s="0" t="s">
        <x:v>81</x:v>
      </x:c>
      <x:c r="G21" s="40">
        <x:v>1120</x:v>
      </x:c>
      <x:c r="H21" s="40">
        <x:v>30</x:v>
      </x:c>
      <x:c r="I21" s="40">
        <x:f>G21-H21</x:f>
      </x:c>
      <x:c r="J21" s="0" t="s">
        <x:v>21</x:v>
      </x:c>
      <x:c r="K21" s="0" t="s">
        <x:v>21</x:v>
      </x:c>
      <x:c r="L21" s="0" t="s">
        <x:v>227</x:v>
      </x:c>
      <x:c r="Q21" s="0">
        <x:v>1</x:v>
      </x:c>
    </x:row>
    <x:row r="22" spans="1:17">
      <x:c r="B22" s="0" t="s">
        <x:v>17</x:v>
      </x:c>
      <x:c r="C22" s="0" t="s">
        <x:v>282</x:v>
      </x:c>
      <x:c r="D22" s="0" t="s">
        <x:v>283</x:v>
      </x:c>
      <x:c r="E22" s="0" t="s">
        <x:v>284</x:v>
      </x:c>
      <x:c r="F22" s="0" t="s">
        <x:v>285</x:v>
      </x:c>
      <x:c r="G22" s="40">
        <x:v>970</x:v>
      </x:c>
      <x:c r="H22" s="40">
        <x:v>20</x:v>
      </x:c>
      <x:c r="I22" s="40">
        <x:f>G22-H22</x:f>
      </x:c>
      <x:c r="J22" s="0" t="s">
        <x:v>135</x:v>
      </x:c>
      <x:c r="K22" s="0" t="s">
        <x:v>21</x:v>
      </x:c>
      <x:c r="L22" s="0" t="s">
        <x:v>227</x:v>
      </x:c>
      <x:c r="Q22" s="0">
        <x:v>1</x:v>
      </x:c>
    </x:row>
    <x:row r="23" spans="1:17">
      <x:c r="B23" s="0" t="s">
        <x:v>17</x:v>
      </x:c>
      <x:c r="C23" s="0" t="s">
        <x:v>286</x:v>
      </x:c>
      <x:c r="D23" s="0" t="s">
        <x:v>287</x:v>
      </x:c>
      <x:c r="E23" s="0" t="s">
        <x:v>288</x:v>
      </x:c>
      <x:c r="F23" s="40">
        <x:v>1</x:v>
      </x:c>
      <x:c r="G23" s="40">
        <x:v>845</x:v>
      </x:c>
      <x:c r="H23" s="40">
        <x:v>25</x:v>
      </x:c>
      <x:c r="I23" s="40">
        <x:f>G23-H23</x:f>
      </x:c>
      <x:c r="J23" s="0" t="s">
        <x:v>135</x:v>
      </x:c>
      <x:c r="K23" s="0" t="s">
        <x:v>21</x:v>
      </x:c>
      <x:c r="L23" s="0" t="s">
        <x:v>227</x:v>
      </x:c>
      <x:c r="Q23" s="0">
        <x:v>1</x:v>
      </x:c>
    </x:row>
    <x:row r="24" spans="1:17">
      <x:c r="B24" s="0" t="s">
        <x:v>17</x:v>
      </x:c>
      <x:c r="C24" s="0" t="s">
        <x:v>289</x:v>
      </x:c>
      <x:c r="D24" s="0" t="s">
        <x:v>290</x:v>
      </x:c>
      <x:c r="E24" s="0" t="s">
        <x:v>291</x:v>
      </x:c>
      <x:c r="F24" s="0" t="s">
        <x:v>85</x:v>
      </x:c>
      <x:c r="G24" s="40">
        <x:v>1720</x:v>
      </x:c>
      <x:c r="H24" s="40">
        <x:v>20</x:v>
      </x:c>
      <x:c r="I24" s="40">
        <x:f>G24-H24</x:f>
      </x:c>
      <x:c r="J24" s="0" t="s">
        <x:v>21</x:v>
      </x:c>
      <x:c r="K24" s="0" t="s">
        <x:v>21</x:v>
      </x:c>
      <x:c r="L24" s="0" t="s">
        <x:v>227</x:v>
      </x:c>
      <x:c r="Q24" s="0">
        <x:v>1</x:v>
      </x:c>
    </x:row>
    <x:row r="25" spans="1:17">
      <x:c r="B25" s="0" t="s">
        <x:v>17</x:v>
      </x:c>
      <x:c r="C25" s="0" t="s">
        <x:v>292</x:v>
      </x:c>
      <x:c r="D25" s="0" t="s">
        <x:v>293</x:v>
      </x:c>
      <x:c r="E25" s="0" t="s">
        <x:v>294</x:v>
      </x:c>
      <x:c r="F25" s="40">
        <x:v>8</x:v>
      </x:c>
      <x:c r="G25" s="40">
        <x:v>850</x:v>
      </x:c>
      <x:c r="H25" s="40">
        <x:v>30</x:v>
      </x:c>
      <x:c r="I25" s="40">
        <x:f>G25-H25</x:f>
      </x:c>
      <x:c r="J25" s="0" t="s">
        <x:v>226</x:v>
      </x:c>
      <x:c r="K25" s="0" t="s">
        <x:v>21</x:v>
      </x:c>
      <x:c r="L25" s="0" t="s">
        <x:v>227</x:v>
      </x:c>
      <x:c r="Q25" s="0">
        <x:v>1</x:v>
      </x:c>
    </x:row>
    <x:row r="26" spans="1:17">
      <x:c r="B26" s="0" t="s">
        <x:v>17</x:v>
      </x:c>
      <x:c r="C26" s="0" t="s">
        <x:v>295</x:v>
      </x:c>
      <x:c r="D26" s="0" t="s">
        <x:v>296</x:v>
      </x:c>
      <x:c r="E26" s="0" t="s">
        <x:v>297</x:v>
      </x:c>
      <x:c r="F26" s="0" t="s">
        <x:v>85</x:v>
      </x:c>
      <x:c r="G26" s="40">
        <x:v>0</x:v>
      </x:c>
      <x:c r="H26" s="40">
        <x:v>20</x:v>
      </x:c>
      <x:c r="I26" s="40">
        <x:f>G26-H26</x:f>
      </x:c>
      <x:c r="J26" s="0" t="s">
        <x:v>21</x:v>
      </x:c>
      <x:c r="K26" s="0" t="s">
        <x:v>21</x:v>
      </x:c>
      <x:c r="L26" s="0" t="s">
        <x:v>227</x:v>
      </x:c>
      <x:c r="M26" s="0" t="s">
        <x:v>167</x:v>
      </x:c>
      <x:c r="Q26" s="0">
        <x:v>1</x:v>
      </x:c>
    </x:row>
    <x:row r="27" spans="1:17">
      <x:c r="B27" s="0" t="s">
        <x:v>17</x:v>
      </x:c>
      <x:c r="C27" s="0" t="s">
        <x:v>111</x:v>
      </x:c>
      <x:c r="D27" s="0" t="s">
        <x:v>298</x:v>
      </x:c>
      <x:c r="E27" s="0" t="s">
        <x:v>299</x:v>
      </x:c>
      <x:c r="F27" s="0" t="s">
        <x:v>81</x:v>
      </x:c>
      <x:c r="G27" s="40">
        <x:v>860</x:v>
      </x:c>
      <x:c r="H27" s="40">
        <x:v>30</x:v>
      </x:c>
      <x:c r="I27" s="40">
        <x:f>G27-H27</x:f>
      </x:c>
      <x:c r="J27" s="0" t="s">
        <x:v>21</x:v>
      </x:c>
      <x:c r="K27" s="0" t="s">
        <x:v>21</x:v>
      </x:c>
      <x:c r="L27" s="0" t="s">
        <x:v>227</x:v>
      </x:c>
      <x:c r="Q27" s="0">
        <x:v>1</x:v>
      </x:c>
    </x:row>
    <x:row r="28" spans="1:17">
      <x:c r="A28" s="0" t="s">
        <x:v>16</x:v>
      </x:c>
      <x:c r="B28" s="0" t="s">
        <x:v>17</x:v>
      </x:c>
      <x:c r="C28" s="0" t="s">
        <x:v>300</x:v>
      </x:c>
      <x:c r="E28" s="0" t="s">
        <x:v>260</x:v>
      </x:c>
      <x:c r="F28" s="40">
        <x:v>12</x:v>
      </x:c>
      <x:c r="G28" s="40">
        <x:v>0</x:v>
      </x:c>
      <x:c r="H28" s="40">
        <x:v>60</x:v>
      </x:c>
      <x:c r="I28" s="40">
        <x:f>G28-H28</x:f>
      </x:c>
      <x:c r="J28" s="0" t="s">
        <x:v>21</x:v>
      </x:c>
      <x:c r="K28" s="0" t="s">
        <x:v>21</x:v>
      </x:c>
      <x:c r="L28" s="0" t="s">
        <x:v>227</x:v>
      </x:c>
      <x:c r="Q28" s="0">
        <x:v>1</x:v>
      </x:c>
    </x:row>
    <x:row r="29" spans="1:17">
      <x:c r="B29" s="0" t="s">
        <x:v>17</x:v>
      </x:c>
      <x:c r="C29" s="0" t="s">
        <x:v>301</x:v>
      </x:c>
      <x:c r="D29" s="0" t="s">
        <x:v>302</x:v>
      </x:c>
      <x:c r="E29" s="0" t="s">
        <x:v>303</x:v>
      </x:c>
      <x:c r="F29" s="40">
        <x:v>4</x:v>
      </x:c>
      <x:c r="G29" s="40">
        <x:v>845</x:v>
      </x:c>
      <x:c r="H29" s="40">
        <x:v>25</x:v>
      </x:c>
      <x:c r="I29" s="40">
        <x:f>G29-H29</x:f>
      </x:c>
      <x:c r="J29" s="0" t="s">
        <x:v>304</x:v>
      </x:c>
      <x:c r="K29" s="0" t="s">
        <x:v>21</x:v>
      </x:c>
      <x:c r="L29" s="0" t="s">
        <x:v>305</x:v>
      </x:c>
      <x:c r="M29" s="0" t="s">
        <x:v>204</x:v>
      </x:c>
      <x:c r="N29" s="0" t="s">
        <x:v>306</x:v>
      </x:c>
      <x:c r="O29" s="0" t="s">
        <x:v>306</x:v>
      </x:c>
      <x:c r="P29" s="0" t="s">
        <x:v>307</x:v>
      </x:c>
      <x:c r="Q29" s="40">
        <x:v>1</x:v>
      </x:c>
    </x:row>
    <x:row r="31" spans="1:17">
      <x:c r="D31" s="32">
        <x:f>COUNTA(D3:D29)</x:f>
      </x:c>
      <x:c r="G31" s="32">
        <x:f>SUBTOTAL(9,G3:G29)</x:f>
      </x:c>
      <x:c r="H31" s="32">
        <x:f>SUBTOTAL(9,H3:H29)</x:f>
      </x:c>
      <x:c r="I31" s="32">
        <x:f>SUBTOTAL(9,I3:I29)</x:f>
      </x:c>
      <x:c r="J31" s="32">
        <x:f>SUBTOTAL(9,J3:J29)</x:f>
      </x:c>
      <x:c r="K31" s="32">
        <x:f>SUBTOTAL(9,K3:K29)</x:f>
      </x:c>
      <x:c r="L31" s="32">
        <x:f>SUBTOTAL(9,L3:L29)</x:f>
      </x:c>
      <x:c r="M31" s="32">
        <x:f>SUBTOTAL(9,M3:M29)</x:f>
      </x:c>
      <x:c r="N31" s="32">
        <x:f>SUBTOTAL(9,N3:N29)</x:f>
      </x:c>
      <x:c r="O31" s="32">
        <x:f>SUBTOTAL(9,O3:O29)</x:f>
      </x:c>
      <x:c r="P31" s="32">
        <x:f>SUBTOTAL(9,P3:P29)</x:f>
      </x:c>
      <x:c r="Q31" s="32">
        <x:f>SUBTOTAL(9,Q3:Q29)</x:f>
      </x:c>
    </x:row>
    <x:row r="32" spans="1:17">
      <x:c r="H32" s="0">
        <x:f>-6*17</x:f>
      </x:c>
    </x:row>
    <x:row r="33" spans="1:17">
      <x:c r="A33" s="32" t="s">
        <x:v>17</x:v>
      </x:c>
      <x:c r="C33" s="5" t="s">
        <x:v>191</x:v>
      </x:c>
      <x:c r="D33" s="5"/>
      <x:c r="E33" s="5" t="s">
        <x:v>192</x:v>
      </x:c>
      <x:c r="K33" s="33" t="s">
        <x:v>226</x:v>
      </x:c>
      <x:c r="L33" s="33" t="s">
        <x:v>193</x:v>
      </x:c>
      <x:c r="M33" s="33" t="s">
        <x:v>192</x:v>
      </x:c>
      <x:c r="O33" s="5" t="s">
        <x:v>194</x:v>
      </x:c>
    </x:row>
    <x:row r="34" spans="1:17">
      <x:c r="A34" s="0" t="s">
        <x:v>227</x:v>
      </x:c>
      <x:c r="B34" s="34" t="s">
        <x:v>195</x:v>
      </x:c>
      <x:c r="C34" s="34">
        <x:f>SUMIFS(I$3:I$29,B$3:B$29,A$33,L$3:L$29,A$34)</x:f>
      </x:c>
      <x:c r="D34" s="34"/>
      <x:c r="E34" s="34">
        <x:f>SUMIFS(Q$3:Q$29,B$3:B$29,A$33,L$3:L$29,A$34)</x:f>
      </x:c>
      <x:c r="F34" s="0" t="s">
        <x:v>196</x:v>
      </x:c>
      <x:c r="K34" s="0" t="s">
        <x:v>197</x:v>
      </x:c>
      <x:c r="L34" s="0">
        <x:f>SUMIFS(G$3:G$29,J$3:J$29,K$33)</x:f>
      </x:c>
      <x:c r="M34" s="0">
        <x:f>SUMIFS(Q$3:Q$29,J$3:J$29,K$33)-INT(COUNTIFS(J$3:J$29,K$33,M$3:M$29,"*gộp*")/2)</x:f>
      </x:c>
      <x:c r="O34" s="0" t="s">
        <x:v>308</x:v>
      </x:c>
      <x:c r="P34" s="0">
        <x:f>L39</x:f>
      </x:c>
    </x:row>
    <x:row r="35" spans="1:17">
      <x:c r="B35" s="3" t="s">
        <x:v>199</x:v>
      </x:c>
      <x:c r="C35" s="3">
        <x:v>0</x:v>
      </x:c>
      <x:c r="D35" s="3"/>
      <x:c r="K35" s="0" t="s">
        <x:v>200</x:v>
      </x:c>
      <x:c r="L35" s="0">
        <x:f>SUM(H32:H32)</x:f>
      </x:c>
      <x:c r="M35" s="0">
        <x:f>SUMIFS(Q$3:Q$29,J$3:J$29,K$33)-INT(COUNTIFS(J$3:J$29,K$33,M$3:M$29,"*gộp*")/2)</x:f>
      </x:c>
      <x:c r="O35" s="0" t="s">
        <x:v>135</x:v>
      </x:c>
      <x:c r="P35" s="0">
        <x:f>L47</x:f>
      </x:c>
    </x:row>
    <x:row r="36" spans="1:17">
      <x:c r="B36" s="3" t="s">
        <x:v>201</x:v>
      </x:c>
      <x:c r="C36" s="3">
        <x:f>-SUMIFS(I$3:I$29,B$3:B$29,A$33,P$3:P$29,"xx",N$3:N$29,"x")</x:f>
      </x:c>
      <x:c r="D36" s="3"/>
      <x:c r="E36" s="3">
        <x:f>SUMIFS(Q$3:Q$29,B$3:B$29,A$33,P$3:P$29,"xx",N$3:N$29,"x")</x:f>
      </x:c>
      <x:c r="K36" s="0" t="s">
        <x:v>202</x:v>
      </x:c>
      <x:c r="O36" s="0" t="s">
        <x:v>21</x:v>
      </x:c>
      <x:c r="P36" s="0">
        <x:f>L55</x:f>
      </x:c>
    </x:row>
    <x:row r="37" spans="1:17">
      <x:c r="B37" s="5" t="s">
        <x:v>203</x:v>
      </x:c>
      <x:c r="C37" s="5">
        <x:f>SUBTOTAL(9,C34:C36)</x:f>
      </x:c>
      <x:c r="D37" s="5"/>
      <x:c r="E37" s="0">
        <x:f>E34</x:f>
      </x:c>
      <x:c r="K37" s="3" t="s">
        <x:v>204</x:v>
      </x:c>
      <x:c r="O37" s="0" t="s">
        <x:v>207</x:v>
      </x:c>
      <x:c r="P37" s="0">
        <x:f>-C41</x:f>
      </x:c>
    </x:row>
    <x:row r="38" spans="1:17">
      <x:c r="B38" s="3" t="s">
        <x:v>205</x:v>
      </x:c>
      <x:c r="K38" s="3" t="s">
        <x:v>206</x:v>
      </x:c>
      <x:c r="O38" s="5" t="s">
        <x:v>209</x:v>
      </x:c>
      <x:c r="P38" s="5">
        <x:f>SUBTOTAL(9,P34:P37)</x:f>
      </x:c>
    </x:row>
    <x:row r="39" spans="1:17">
      <x:c r="B39" s="35" t="s">
        <x:v>208</x:v>
      </x:c>
      <x:c r="L39" s="36">
        <x:f>SUBTOTAL(9,L34:L38)</x:f>
      </x:c>
      <x:c r="M39" s="36">
        <x:f>M34</x:f>
      </x:c>
    </x:row>
    <x:row r="41" spans="1:17">
      <x:c r="B41" s="32" t="s">
        <x:v>210</x:v>
      </x:c>
      <x:c r="C41" s="32">
        <x:f>C37+C38+C39</x:f>
      </x:c>
      <x:c r="D41" s="32"/>
      <x:c r="E41" s="32" t="s">
        <x:v>211</x:v>
      </x:c>
      <x:c r="K41" s="33" t="s">
        <x:v>135</x:v>
      </x:c>
      <x:c r="L41" s="33" t="s">
        <x:v>193</x:v>
      </x:c>
      <x:c r="M41" s="33" t="s">
        <x:v>192</x:v>
      </x:c>
    </x:row>
    <x:row r="42" spans="1:17">
      <x:c r="K42" s="0" t="s">
        <x:v>197</x:v>
      </x:c>
      <x:c r="L42" s="0">
        <x:f>SUMIFS(G$3:G$29,J$3:J$29,K$41)</x:f>
      </x:c>
      <x:c r="M42" s="0">
        <x:f>SUMIFS(Q$3:Q$29,J$3:J$29,K$41)-INT(COUNTIFS(J$3:J$29,K$41,M$3:M$29,"*gộp*")/2)</x:f>
      </x:c>
    </x:row>
    <x:row r="43" spans="1:17">
      <x:c r="K43" s="0" t="s">
        <x:v>200</x:v>
      </x:c>
      <x:c r="L43" s="0">
        <x:f>-SUMIFS(H$3:H$29,J$3:J$29,K$41)+M43*5</x:f>
      </x:c>
      <x:c r="M43" s="0">
        <x:f>SUMIFS(Q$3:Q$29,J$3:J$29,K$41)-INT(COUNTIFS(J$3:J$29,K$41,M$3:M$29,"*gộp*")/2)</x:f>
      </x:c>
    </x:row>
    <x:row r="44" spans="1:17">
      <x:c r="K44" s="0" t="s">
        <x:v>202</x:v>
      </x:c>
    </x:row>
    <x:row r="45" spans="1:17">
      <x:c r="K45" s="3" t="s">
        <x:v>204</x:v>
      </x:c>
      <x:c r="L45" s="3">
        <x:v>-825</x:v>
      </x:c>
      <x:c r="M45" s="0" t="s">
        <x:v>309</x:v>
      </x:c>
    </x:row>
    <x:row r="46" spans="1:17">
      <x:c r="K46" s="3" t="s">
        <x:v>206</x:v>
      </x:c>
    </x:row>
    <x:row r="47" spans="1:17">
      <x:c r="L47" s="36">
        <x:f>SUBTOTAL(9,L42:L46)</x:f>
      </x:c>
      <x:c r="M47" s="36">
        <x:f>M42</x:f>
      </x:c>
    </x:row>
    <x:row r="49" spans="1:17">
      <x:c r="K49" s="33" t="s">
        <x:v>21</x:v>
      </x:c>
      <x:c r="L49" s="33" t="s">
        <x:v>193</x:v>
      </x:c>
      <x:c r="M49" s="33" t="s">
        <x:v>192</x:v>
      </x:c>
    </x:row>
    <x:row r="50" spans="1:17">
      <x:c r="K50" s="0" t="s">
        <x:v>197</x:v>
      </x:c>
      <x:c r="L50" s="0">
        <x:f>SUMIFS(G$3:G$29,J$3:J$29,K$49)</x:f>
      </x:c>
      <x:c r="M50" s="0">
        <x:f>SUMIFS(Q$3:Q$29,J$3:J$29,K$49)-INT(COUNTIFS(J$3:J$29,K$49,M$3:M$29,"*gộp*")/2)</x:f>
      </x:c>
    </x:row>
    <x:row r="51" spans="1:17">
      <x:c r="K51" s="0" t="s">
        <x:v>200</x:v>
      </x:c>
      <x:c r="L51" s="0">
        <x:f>-SUMIFS(H$3:H$29,J$3:J$29,K$49)+M51*5</x:f>
      </x:c>
      <x:c r="M51" s="0">
        <x:f>SUMIFS(Q$3:Q$29,J$3:J$29,K$49)-INT(COUNTIFS(J$3:J$29,K$49,M$3:M$29,"*gộp*")/2)</x:f>
      </x:c>
    </x:row>
    <x:row r="52" spans="1:17">
      <x:c r="K52" s="0" t="s">
        <x:v>202</x:v>
      </x:c>
      <x:c r="L52" s="0">
        <x:f>-M52*2</x:f>
      </x:c>
      <x:c r="M52" s="0">
        <x:f>E37-(COUNTIFS(M$3:M$29,"*gộp*")/2)-COUNTIFS(M$3:M$29,"*đơn trả*")-COUNTIFS(M$3:M$29,"*hàng tỉnh*")</x:f>
      </x:c>
    </x:row>
    <x:row r="53" spans="1:17">
      <x:c r="K53" s="3" t="s">
        <x:v>204</x:v>
      </x:c>
    </x:row>
    <x:row r="54" spans="1:17">
      <x:c r="K54" s="3" t="s">
        <x:v>206</x:v>
      </x:c>
    </x:row>
    <x:row r="55" spans="1:17">
      <x:c r="L55" s="36">
        <x:f>SUBTOTAL(9,L50:L54)</x:f>
      </x:c>
      <x:c r="M55" s="36">
        <x:f>M50</x:f>
      </x:c>
    </x:row>
  </x:sheetData>
  <x:autoFilter ref="A2:P29"/>
  <x:mergeCells count="8">
    <x:mergeCell ref="C33:D33"/>
    <x:mergeCell ref="C34:D34"/>
    <x:mergeCell ref="C35:D35"/>
    <x:mergeCell ref="C36:D36"/>
    <x:mergeCell ref="C37:D37"/>
    <x:mergeCell ref="C38:D38"/>
    <x:mergeCell ref="C39:D39"/>
    <x:mergeCell ref="C41:D4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TitlesOfParts>
    <vt:vector baseType="lpstr" size="11">
      <vt:lpstr>01-05</vt:lpstr>
      <vt:lpstr>Sheet1</vt:lpstr>
      <vt:lpstr>28-05</vt:lpstr>
      <vt:lpstr>01-05!_xlnm._FilterDatabase</vt:lpstr>
      <vt:lpstr>01-05!Print_Area</vt:lpstr>
      <vt:lpstr>01-05!Print_Titles</vt:lpstr>
      <vt:lpstr>Sheet1!_xlnm._FilterDatabase</vt:lpstr>
      <vt:lpstr>Sheet1!Print_Area</vt:lpstr>
      <vt:lpstr>Sheet1!Print_Titles</vt:lpstr>
      <vt:lpstr>28-05!Print_Area</vt:lpstr>
      <vt:lpstr>28-05!Print_Titles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Sei Pham</lastModifiedBy>
  <dcterms:created xsi:type="dcterms:W3CDTF">2026-04-01T06:13:00.0000000Z</dcterms:created>
  <dcterms:modified xsi:type="dcterms:W3CDTF">2026-05-28T15:51:29.0000000Z</dcterms:modified>
</coreProperties>
</file>