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sample\"/>
    </mc:Choice>
  </mc:AlternateContent>
  <xr:revisionPtr revIDLastSave="0" documentId="13_ncr:1_{34E9E618-0F72-4333-9BB4-4D02A9EB323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9" r:id="rId1"/>
    <sheet name="Sheet2" sheetId="20" r:id="rId2"/>
    <sheet name="Sheet3" sheetId="22" r:id="rId3"/>
    <sheet name="Sheet4" sheetId="23" r:id="rId4"/>
    <sheet name="Test" sheetId="29" r:id="rId5"/>
    <sheet name="01-08" sheetId="24" r:id="rId6"/>
    <sheet name="03-08" sheetId="25" r:id="rId7"/>
    <sheet name="04-08" sheetId="28" r:id="rId8"/>
    <sheet name="24-08_Morning" sheetId="26" r:id="rId9"/>
    <sheet name="24-08_Night" sheetId="27" r:id="rId10"/>
  </sheets>
  <definedNames>
    <definedName name="_xlnm._FilterDatabase" localSheetId="5" hidden="1">'01-08'!$A$2:$P$41</definedName>
    <definedName name="_xlnm._FilterDatabase" localSheetId="6" hidden="1">'03-08'!$A$2:$P$48</definedName>
    <definedName name="_xlnm._FilterDatabase" localSheetId="7" hidden="1">'04-08'!$A$2:$P$25</definedName>
    <definedName name="_xlnm._FilterDatabase" localSheetId="8" hidden="1">'24-08_Morning'!$A$2:$P$44</definedName>
    <definedName name="_xlnm._FilterDatabase" localSheetId="9" hidden="1">'24-08_Night'!$A$2:$P$62</definedName>
    <definedName name="_xlnm._FilterDatabase" localSheetId="0" hidden="1">Sheet1!$A$2:$E$28</definedName>
    <definedName name="_xlnm._FilterDatabase" localSheetId="1" hidden="1">Sheet2!$A$2:$E$29</definedName>
    <definedName name="_xlnm._FilterDatabase" localSheetId="2" hidden="1">Sheet3!$A$2:$E$28</definedName>
    <definedName name="_xlnm._FilterDatabase" localSheetId="3" hidden="1">Sheet4!$A$2:$E$28</definedName>
    <definedName name="_xlnm._FilterDatabase" localSheetId="4" hidden="1">Test!$A$2:$E$28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7" i="28" l="1"/>
  <c r="M46" i="28"/>
  <c r="M51" i="28" s="1"/>
  <c r="L46" i="28"/>
  <c r="L51" i="28" s="1"/>
  <c r="P32" i="28" s="1"/>
  <c r="M39" i="28"/>
  <c r="L39" i="28" s="1"/>
  <c r="M38" i="28"/>
  <c r="M43" i="28" s="1"/>
  <c r="L38" i="28"/>
  <c r="E32" i="28"/>
  <c r="C32" i="28"/>
  <c r="M31" i="28"/>
  <c r="L31" i="28"/>
  <c r="M30" i="28"/>
  <c r="M35" i="28" s="1"/>
  <c r="L30" i="28"/>
  <c r="E30" i="28"/>
  <c r="E33" i="28" s="1"/>
  <c r="M32" i="28" s="1"/>
  <c r="L32" i="28" s="1"/>
  <c r="H29" i="28"/>
  <c r="L47" i="28" s="1"/>
  <c r="H28" i="28"/>
  <c r="Q27" i="28"/>
  <c r="P27" i="28"/>
  <c r="O27" i="28"/>
  <c r="N27" i="28"/>
  <c r="M27" i="28"/>
  <c r="L27" i="28"/>
  <c r="K27" i="28"/>
  <c r="J27" i="28"/>
  <c r="H27" i="28"/>
  <c r="G27" i="28"/>
  <c r="D27" i="28"/>
  <c r="I25" i="28"/>
  <c r="I24" i="28"/>
  <c r="I23" i="28"/>
  <c r="R22" i="28"/>
  <c r="I22" i="28"/>
  <c r="R21" i="28"/>
  <c r="I21" i="28"/>
  <c r="I20" i="28"/>
  <c r="I19" i="28"/>
  <c r="I18" i="28"/>
  <c r="I17" i="28"/>
  <c r="I16" i="28"/>
  <c r="I15" i="28"/>
  <c r="R14" i="28"/>
  <c r="I14" i="28"/>
  <c r="I13" i="28"/>
  <c r="R12" i="28"/>
  <c r="I12" i="28"/>
  <c r="I11" i="28"/>
  <c r="I10" i="28"/>
  <c r="I9" i="28"/>
  <c r="I8" i="28"/>
  <c r="I7" i="28"/>
  <c r="R6" i="28"/>
  <c r="I6" i="28"/>
  <c r="R5" i="28"/>
  <c r="I5" i="28"/>
  <c r="R4" i="28"/>
  <c r="I4" i="28"/>
  <c r="I27" i="28" s="1"/>
  <c r="I3" i="28"/>
  <c r="C30" i="28" s="1"/>
  <c r="C33" i="28" s="1"/>
  <c r="C37" i="28" s="1"/>
  <c r="P33" i="28" s="1"/>
  <c r="M85" i="27"/>
  <c r="L85" i="27" s="1"/>
  <c r="M84" i="27"/>
  <c r="L84" i="27" s="1"/>
  <c r="M83" i="27"/>
  <c r="M88" i="27" s="1"/>
  <c r="L83" i="27"/>
  <c r="M77" i="27"/>
  <c r="L77" i="27" s="1"/>
  <c r="M76" i="27"/>
  <c r="M75" i="27"/>
  <c r="M80" i="27" s="1"/>
  <c r="L75" i="27"/>
  <c r="L80" i="27" s="1"/>
  <c r="P68" i="27" s="1"/>
  <c r="M69" i="27"/>
  <c r="L69" i="27" s="1"/>
  <c r="E69" i="27"/>
  <c r="C69" i="27"/>
  <c r="M68" i="27"/>
  <c r="L68" i="27"/>
  <c r="L72" i="27" s="1"/>
  <c r="P67" i="27" s="1"/>
  <c r="M67" i="27"/>
  <c r="M72" i="27" s="1"/>
  <c r="L67" i="27"/>
  <c r="H67" i="27"/>
  <c r="E67" i="27"/>
  <c r="E70" i="27" s="1"/>
  <c r="H66" i="27"/>
  <c r="H65" i="27"/>
  <c r="L76" i="27" s="1"/>
  <c r="Q64" i="27"/>
  <c r="P64" i="27"/>
  <c r="O64" i="27"/>
  <c r="N64" i="27"/>
  <c r="M64" i="27"/>
  <c r="L64" i="27"/>
  <c r="K64" i="27"/>
  <c r="J64" i="27"/>
  <c r="H64" i="27"/>
  <c r="G64" i="27"/>
  <c r="D64" i="27"/>
  <c r="I62" i="27"/>
  <c r="I61" i="27"/>
  <c r="I60" i="27"/>
  <c r="I59" i="27"/>
  <c r="R58" i="27"/>
  <c r="I58" i="27"/>
  <c r="I57" i="27"/>
  <c r="I56" i="27"/>
  <c r="I55" i="27"/>
  <c r="I54" i="27"/>
  <c r="R53" i="27"/>
  <c r="I53" i="27"/>
  <c r="I52" i="27"/>
  <c r="I51" i="27"/>
  <c r="I50" i="27"/>
  <c r="I49" i="27"/>
  <c r="I48" i="27"/>
  <c r="I47" i="27"/>
  <c r="I46" i="27"/>
  <c r="I45" i="27"/>
  <c r="I44" i="27"/>
  <c r="I43" i="27"/>
  <c r="I42" i="27"/>
  <c r="I41" i="27"/>
  <c r="I40" i="27"/>
  <c r="I39" i="27"/>
  <c r="I38" i="27"/>
  <c r="I37" i="27"/>
  <c r="I36" i="27"/>
  <c r="I35" i="27"/>
  <c r="I34" i="27"/>
  <c r="I33" i="27"/>
  <c r="I32" i="27"/>
  <c r="I31" i="27"/>
  <c r="I30" i="27"/>
  <c r="I29" i="27"/>
  <c r="I28" i="27"/>
  <c r="I27" i="27"/>
  <c r="I26" i="27"/>
  <c r="I25" i="27"/>
  <c r="I24" i="27"/>
  <c r="R23" i="27"/>
  <c r="I23" i="27"/>
  <c r="I22" i="27"/>
  <c r="I21" i="27"/>
  <c r="I64" i="27" s="1"/>
  <c r="I20" i="27"/>
  <c r="I19" i="27"/>
  <c r="I18" i="27"/>
  <c r="I17" i="27"/>
  <c r="I16" i="27"/>
  <c r="I15" i="27"/>
  <c r="I14" i="27"/>
  <c r="I13" i="27"/>
  <c r="I12" i="27"/>
  <c r="I11" i="27"/>
  <c r="I10" i="27"/>
  <c r="I9" i="27"/>
  <c r="I8" i="27"/>
  <c r="I7" i="27"/>
  <c r="I6" i="27"/>
  <c r="C67" i="27" s="1"/>
  <c r="C70" i="27" s="1"/>
  <c r="C74" i="27" s="1"/>
  <c r="P70" i="27" s="1"/>
  <c r="I5" i="27"/>
  <c r="I4" i="27"/>
  <c r="I3" i="27"/>
  <c r="M67" i="26"/>
  <c r="L67" i="26" s="1"/>
  <c r="M66" i="26"/>
  <c r="L66" i="26"/>
  <c r="M65" i="26"/>
  <c r="M70" i="26" s="1"/>
  <c r="L65" i="26"/>
  <c r="L70" i="26" s="1"/>
  <c r="P51" i="26" s="1"/>
  <c r="M62" i="26"/>
  <c r="M59" i="26"/>
  <c r="L59" i="26" s="1"/>
  <c r="M58" i="26"/>
  <c r="M57" i="26"/>
  <c r="L57" i="26"/>
  <c r="M54" i="26"/>
  <c r="E52" i="26"/>
  <c r="M51" i="26"/>
  <c r="L51" i="26" s="1"/>
  <c r="E51" i="26"/>
  <c r="C51" i="26"/>
  <c r="M50" i="26"/>
  <c r="L50" i="26" s="1"/>
  <c r="L54" i="26" s="1"/>
  <c r="P49" i="26" s="1"/>
  <c r="M49" i="26"/>
  <c r="L49" i="26"/>
  <c r="H49" i="26"/>
  <c r="E49" i="26"/>
  <c r="H48" i="26"/>
  <c r="H47" i="26"/>
  <c r="L58" i="26" s="1"/>
  <c r="Q46" i="26"/>
  <c r="P46" i="26"/>
  <c r="O46" i="26"/>
  <c r="N46" i="26"/>
  <c r="M46" i="26"/>
  <c r="L46" i="26"/>
  <c r="K46" i="26"/>
  <c r="J46" i="26"/>
  <c r="H46" i="26"/>
  <c r="G46" i="26"/>
  <c r="D46" i="26"/>
  <c r="I44" i="26"/>
  <c r="I43" i="26"/>
  <c r="I42" i="26"/>
  <c r="I41" i="26"/>
  <c r="I40" i="26"/>
  <c r="I39" i="26"/>
  <c r="I38" i="26"/>
  <c r="I37" i="26"/>
  <c r="I36" i="26"/>
  <c r="R35" i="26"/>
  <c r="I35" i="26"/>
  <c r="R34" i="26"/>
  <c r="I34" i="26"/>
  <c r="I33" i="26"/>
  <c r="I32" i="26"/>
  <c r="I31" i="26"/>
  <c r="I30" i="26"/>
  <c r="R29" i="26"/>
  <c r="I29" i="26"/>
  <c r="I28" i="26"/>
  <c r="I27" i="26"/>
  <c r="R26" i="26"/>
  <c r="I26" i="26"/>
  <c r="I25" i="26"/>
  <c r="I24" i="26"/>
  <c r="I23" i="26"/>
  <c r="I22" i="26"/>
  <c r="I21" i="26"/>
  <c r="R20" i="26"/>
  <c r="I20" i="26"/>
  <c r="I19" i="26"/>
  <c r="I18" i="26"/>
  <c r="R17" i="26"/>
  <c r="I17" i="26"/>
  <c r="I16" i="26"/>
  <c r="I15" i="26"/>
  <c r="R14" i="26"/>
  <c r="I14" i="26"/>
  <c r="I13" i="26"/>
  <c r="I12" i="26"/>
  <c r="R11" i="26"/>
  <c r="I11" i="26"/>
  <c r="R10" i="26"/>
  <c r="I10" i="26"/>
  <c r="I9" i="26"/>
  <c r="I8" i="26"/>
  <c r="I7" i="26"/>
  <c r="R6" i="26"/>
  <c r="I6" i="26"/>
  <c r="I5" i="26"/>
  <c r="R4" i="26"/>
  <c r="I4" i="26"/>
  <c r="R3" i="26"/>
  <c r="I3" i="26"/>
  <c r="I46" i="26" s="1"/>
  <c r="M74" i="25"/>
  <c r="M70" i="25"/>
  <c r="M69" i="25"/>
  <c r="L69" i="25"/>
  <c r="M66" i="25"/>
  <c r="M62" i="25"/>
  <c r="L62" i="25" s="1"/>
  <c r="L66" i="25" s="1"/>
  <c r="P54" i="25" s="1"/>
  <c r="M61" i="25"/>
  <c r="L61" i="25"/>
  <c r="M58" i="25"/>
  <c r="E55" i="25"/>
  <c r="C55" i="25"/>
  <c r="M54" i="25"/>
  <c r="L54" i="25" s="1"/>
  <c r="M53" i="25"/>
  <c r="L53" i="25"/>
  <c r="H53" i="25"/>
  <c r="E53" i="25"/>
  <c r="E56" i="25" s="1"/>
  <c r="M55" i="25" s="1"/>
  <c r="L55" i="25" s="1"/>
  <c r="C53" i="25"/>
  <c r="C56" i="25" s="1"/>
  <c r="C60" i="25" s="1"/>
  <c r="P56" i="25" s="1"/>
  <c r="H52" i="25"/>
  <c r="L70" i="25" s="1"/>
  <c r="H51" i="25"/>
  <c r="Q50" i="25"/>
  <c r="P50" i="25"/>
  <c r="O50" i="25"/>
  <c r="N50" i="25"/>
  <c r="M50" i="25"/>
  <c r="L50" i="25"/>
  <c r="K50" i="25"/>
  <c r="J50" i="25"/>
  <c r="H50" i="25"/>
  <c r="G50" i="25"/>
  <c r="D50" i="25"/>
  <c r="I48" i="25"/>
  <c r="I47" i="25"/>
  <c r="I46" i="25"/>
  <c r="R45" i="25"/>
  <c r="I45" i="25"/>
  <c r="R44" i="25"/>
  <c r="I44" i="25"/>
  <c r="I43" i="25"/>
  <c r="I42" i="25"/>
  <c r="I41" i="25"/>
  <c r="I40" i="25"/>
  <c r="I39" i="25"/>
  <c r="R38" i="25"/>
  <c r="I38" i="25"/>
  <c r="I37" i="25"/>
  <c r="R36" i="25"/>
  <c r="I36" i="25"/>
  <c r="I35" i="25"/>
  <c r="R34" i="25"/>
  <c r="I34" i="25"/>
  <c r="I33" i="25"/>
  <c r="R32" i="25"/>
  <c r="I32" i="25"/>
  <c r="I31" i="25"/>
  <c r="R30" i="25"/>
  <c r="I30" i="25"/>
  <c r="I29" i="25"/>
  <c r="I28" i="25"/>
  <c r="I27" i="25"/>
  <c r="R26" i="25"/>
  <c r="I26" i="25"/>
  <c r="I25" i="25"/>
  <c r="R24" i="25"/>
  <c r="I24" i="25"/>
  <c r="R23" i="25"/>
  <c r="I23" i="25"/>
  <c r="R22" i="25"/>
  <c r="I22" i="25"/>
  <c r="I21" i="25"/>
  <c r="I20" i="25"/>
  <c r="I19" i="25"/>
  <c r="I18" i="25"/>
  <c r="I17" i="25"/>
  <c r="I16" i="25"/>
  <c r="I15" i="25"/>
  <c r="R14" i="25"/>
  <c r="I14" i="25"/>
  <c r="I13" i="25"/>
  <c r="I12" i="25"/>
  <c r="I11" i="25"/>
  <c r="I10" i="25"/>
  <c r="I9" i="25"/>
  <c r="I8" i="25"/>
  <c r="R7" i="25"/>
  <c r="I7" i="25"/>
  <c r="I6" i="25"/>
  <c r="R5" i="25"/>
  <c r="I5" i="25"/>
  <c r="I50" i="25" s="1"/>
  <c r="I4" i="25"/>
  <c r="I3" i="25"/>
  <c r="M67" i="24"/>
  <c r="M63" i="24"/>
  <c r="L63" i="24" s="1"/>
  <c r="M62" i="24"/>
  <c r="L62" i="24"/>
  <c r="M55" i="24"/>
  <c r="L55" i="24" s="1"/>
  <c r="M54" i="24"/>
  <c r="M59" i="24" s="1"/>
  <c r="L54" i="24"/>
  <c r="E48" i="24"/>
  <c r="M47" i="24"/>
  <c r="M46" i="24"/>
  <c r="M51" i="24" s="1"/>
  <c r="L46" i="24"/>
  <c r="H46" i="24"/>
  <c r="E46" i="24"/>
  <c r="E49" i="24" s="1"/>
  <c r="M56" i="24" s="1"/>
  <c r="L56" i="24" s="1"/>
  <c r="C46" i="24"/>
  <c r="H45" i="24"/>
  <c r="H44" i="24"/>
  <c r="L47" i="24" s="1"/>
  <c r="L51" i="24" s="1"/>
  <c r="P46" i="24" s="1"/>
  <c r="Q43" i="24"/>
  <c r="P43" i="24"/>
  <c r="O43" i="24"/>
  <c r="N43" i="24"/>
  <c r="M43" i="24"/>
  <c r="L43" i="24"/>
  <c r="K43" i="24"/>
  <c r="J43" i="24"/>
  <c r="H43" i="24"/>
  <c r="G43" i="24"/>
  <c r="D43" i="24"/>
  <c r="I41" i="24"/>
  <c r="C48" i="24" s="1"/>
  <c r="R40" i="24"/>
  <c r="I40" i="24"/>
  <c r="I39" i="24"/>
  <c r="I38" i="24"/>
  <c r="I37" i="24"/>
  <c r="I36" i="24"/>
  <c r="I35" i="24"/>
  <c r="I34" i="24"/>
  <c r="I33" i="24"/>
  <c r="I32" i="24"/>
  <c r="R31" i="24"/>
  <c r="I31" i="24"/>
  <c r="I30" i="24"/>
  <c r="I29" i="24"/>
  <c r="I28" i="24"/>
  <c r="I27" i="24"/>
  <c r="I26" i="24"/>
  <c r="I25" i="24"/>
  <c r="I24" i="24"/>
  <c r="I23" i="24"/>
  <c r="I22" i="24"/>
  <c r="R21" i="24"/>
  <c r="I21" i="24"/>
  <c r="I20" i="24"/>
  <c r="I19" i="24"/>
  <c r="R18" i="24"/>
  <c r="I18" i="24"/>
  <c r="I17" i="24"/>
  <c r="R16" i="24"/>
  <c r="I16" i="24"/>
  <c r="I15" i="24"/>
  <c r="I14" i="24"/>
  <c r="I13" i="24"/>
  <c r="I12" i="24"/>
  <c r="R11" i="24"/>
  <c r="I11" i="24"/>
  <c r="I10" i="24"/>
  <c r="I9" i="24"/>
  <c r="I8" i="24"/>
  <c r="I7" i="24"/>
  <c r="R6" i="24"/>
  <c r="I6" i="24"/>
  <c r="I5" i="24"/>
  <c r="I4" i="24"/>
  <c r="I3" i="24"/>
  <c r="I43" i="24" s="1"/>
  <c r="A3" i="22" a="1"/>
  <c r="A3" i="22" s="1"/>
  <c r="D3" i="19" a="1"/>
  <c r="D22" i="29" a="1"/>
  <c r="B10" i="29"/>
  <c r="B24" i="29"/>
  <c r="B26" i="29"/>
  <c r="C23" i="29"/>
  <c r="C22" i="22"/>
  <c r="C17" i="22"/>
  <c r="D16" i="22" a="1"/>
  <c r="D11" i="22" a="1"/>
  <c r="D26" i="22" a="1"/>
  <c r="C20" i="22"/>
  <c r="C19" i="22"/>
  <c r="B15" i="20"/>
  <c r="C23" i="20"/>
  <c r="B18" i="20"/>
  <c r="B19" i="20"/>
  <c r="B20" i="20"/>
  <c r="D24" i="19" a="1"/>
  <c r="C20" i="19"/>
  <c r="B14" i="19"/>
  <c r="B23" i="19"/>
  <c r="D3" i="19"/>
  <c r="B25" i="19"/>
  <c r="D13" i="19" a="1"/>
  <c r="D14" i="19" a="1"/>
  <c r="B28" i="19"/>
  <c r="D27" i="20" a="1"/>
  <c r="C25" i="19"/>
  <c r="D9" i="19" a="1"/>
  <c r="D8" i="22" a="1"/>
  <c r="D20" i="20" a="1"/>
  <c r="C11" i="19"/>
  <c r="B20" i="29"/>
  <c r="D25" i="29" a="1"/>
  <c r="C19" i="29"/>
  <c r="C21" i="29"/>
  <c r="D18" i="29" a="1"/>
  <c r="D17" i="22" a="1"/>
  <c r="D12" i="22" a="1"/>
  <c r="B14" i="22"/>
  <c r="D20" i="22" a="1"/>
  <c r="D25" i="22" a="1"/>
  <c r="D15" i="22" a="1"/>
  <c r="B7" i="22"/>
  <c r="D3" i="20" a="1"/>
  <c r="C17" i="20"/>
  <c r="D24" i="20" a="1"/>
  <c r="D13" i="20" a="1"/>
  <c r="D14" i="20" a="1"/>
  <c r="D15" i="20" a="1"/>
  <c r="B22" i="19"/>
  <c r="D10" i="19" a="1"/>
  <c r="B27" i="19"/>
  <c r="D25" i="19" a="1"/>
  <c r="D17" i="19" a="1"/>
  <c r="D28" i="19" a="1"/>
  <c r="D23" i="19" a="1"/>
  <c r="C15" i="19"/>
  <c r="B26" i="22"/>
  <c r="B7" i="19"/>
  <c r="C10" i="29"/>
  <c r="C16" i="22"/>
  <c r="D7" i="19" a="1"/>
  <c r="C15" i="29"/>
  <c r="D24" i="29" a="1"/>
  <c r="D14" i="29" a="1"/>
  <c r="D16" i="29" a="1"/>
  <c r="B16" i="29"/>
  <c r="B15" i="22"/>
  <c r="B10" i="22"/>
  <c r="C9" i="22"/>
  <c r="C8" i="22"/>
  <c r="B23" i="22"/>
  <c r="B13" i="22"/>
  <c r="C27" i="20"/>
  <c r="C16" i="20"/>
  <c r="C11" i="20"/>
  <c r="D18" i="20" a="1"/>
  <c r="B6" i="20"/>
  <c r="B13" i="20"/>
  <c r="B14" i="20"/>
  <c r="C16" i="19"/>
  <c r="B5" i="19"/>
  <c r="D11" i="19" a="1"/>
  <c r="D27" i="19" a="1"/>
  <c r="C28" i="19"/>
  <c r="D13" i="29" a="1"/>
  <c r="D24" i="22" a="1"/>
  <c r="D27" i="22" a="1"/>
  <c r="B8" i="22"/>
  <c r="C4" i="20"/>
  <c r="D21" i="19" a="1"/>
  <c r="C6" i="19"/>
  <c r="D10" i="29" a="1"/>
  <c r="B22" i="29"/>
  <c r="B12" i="29"/>
  <c r="B14" i="29"/>
  <c r="C11" i="29"/>
  <c r="C10" i="22"/>
  <c r="C24" i="22"/>
  <c r="D4" i="22" a="1"/>
  <c r="C7" i="22"/>
  <c r="C18" i="22"/>
  <c r="D3" i="22" a="1"/>
  <c r="C21" i="20"/>
  <c r="C5" i="20"/>
  <c r="B17" i="20"/>
  <c r="C3" i="20"/>
  <c r="D8" i="20" a="1"/>
  <c r="D9" i="20" a="1"/>
  <c r="D5" i="19" a="1"/>
  <c r="C8" i="19"/>
  <c r="B17" i="19"/>
  <c r="D12" i="19" a="1"/>
  <c r="C10" i="19"/>
  <c r="B9" i="29"/>
  <c r="B21" i="22"/>
  <c r="C28" i="20"/>
  <c r="B26" i="20"/>
  <c r="B21" i="19"/>
  <c r="C27" i="29"/>
  <c r="B28" i="29"/>
  <c r="C21" i="22"/>
  <c r="D22" i="20" a="1"/>
  <c r="C24" i="19"/>
  <c r="B8" i="29"/>
  <c r="C17" i="29"/>
  <c r="C26" i="29"/>
  <c r="C9" i="29"/>
  <c r="C25" i="29"/>
  <c r="D5" i="22" a="1"/>
  <c r="C12" i="22"/>
  <c r="B9" i="22"/>
  <c r="B28" i="22"/>
  <c r="D13" i="22" a="1"/>
  <c r="B12" i="22"/>
  <c r="C15" i="20"/>
  <c r="B28" i="20"/>
  <c r="B11" i="20"/>
  <c r="D12" i="20" a="1"/>
  <c r="C25" i="20"/>
  <c r="B7" i="20"/>
  <c r="B8" i="20"/>
  <c r="C7" i="19"/>
  <c r="C5" i="19"/>
  <c r="C27" i="19"/>
  <c r="C18" i="19"/>
  <c r="D8" i="19" a="1"/>
  <c r="B18" i="19"/>
  <c r="C12" i="19"/>
  <c r="B11" i="19"/>
  <c r="C13" i="19"/>
  <c r="B29" i="20"/>
  <c r="D18" i="19" a="1"/>
  <c r="D21" i="20" a="1"/>
  <c r="D19" i="19" a="1"/>
  <c r="D27" i="29" a="1"/>
  <c r="D12" i="29" a="1"/>
  <c r="B23" i="29"/>
  <c r="B19" i="29"/>
  <c r="C28" i="29"/>
  <c r="D20" i="29" a="1"/>
  <c r="C5" i="22"/>
  <c r="D14" i="22" a="1"/>
  <c r="C4" i="22"/>
  <c r="C23" i="22"/>
  <c r="B11" i="22"/>
  <c r="C27" i="22"/>
  <c r="C9" i="20"/>
  <c r="D23" i="20" a="1"/>
  <c r="D6" i="20" a="1"/>
  <c r="C29" i="20"/>
  <c r="C19" i="20"/>
  <c r="C26" i="20"/>
  <c r="B27" i="20"/>
  <c r="D15" i="19" a="1"/>
  <c r="C9" i="19"/>
  <c r="B9" i="19"/>
  <c r="D26" i="19" a="1"/>
  <c r="B12" i="19"/>
  <c r="B26" i="19"/>
  <c r="D16" i="19" a="1"/>
  <c r="C23" i="19"/>
  <c r="D4" i="19" a="1"/>
  <c r="C26" i="19"/>
  <c r="B25" i="20"/>
  <c r="D26" i="29" a="1"/>
  <c r="B27" i="22"/>
  <c r="B25" i="22"/>
  <c r="D29" i="20" a="1"/>
  <c r="B4" i="19"/>
  <c r="B25" i="29"/>
  <c r="C18" i="29"/>
  <c r="C24" i="29"/>
  <c r="C14" i="29"/>
  <c r="D23" i="29" a="1"/>
  <c r="B18" i="29"/>
  <c r="D19" i="22" a="1"/>
  <c r="B17" i="22"/>
  <c r="C13" i="22"/>
  <c r="D18" i="22" a="1"/>
  <c r="C6" i="22"/>
  <c r="D22" i="22" a="1"/>
  <c r="D28" i="20" a="1"/>
  <c r="D17" i="20" a="1"/>
  <c r="D25" i="20" a="1"/>
  <c r="C24" i="20"/>
  <c r="C13" i="20"/>
  <c r="C20" i="20"/>
  <c r="D16" i="20" a="1"/>
  <c r="E30" i="19" a="1"/>
  <c r="C20" i="29"/>
  <c r="B27" i="29"/>
  <c r="D19" i="29" a="1"/>
  <c r="B11" i="29"/>
  <c r="B21" i="29"/>
  <c r="C13" i="29"/>
  <c r="D7" i="22" a="1"/>
  <c r="B19" i="22"/>
  <c r="C14" i="22"/>
  <c r="B16" i="22"/>
  <c r="C25" i="22"/>
  <c r="B20" i="22"/>
  <c r="B21" i="20"/>
  <c r="B16" i="20"/>
  <c r="D19" i="20" a="1"/>
  <c r="C18" i="20"/>
  <c r="C7" i="20"/>
  <c r="C8" i="20"/>
  <c r="D10" i="20" a="1"/>
  <c r="C22" i="19"/>
  <c r="D6" i="19" a="1"/>
  <c r="B19" i="19"/>
  <c r="C21" i="19"/>
  <c r="D22" i="19" a="1"/>
  <c r="B16" i="19"/>
  <c r="C4" i="19"/>
  <c r="D9" i="22" a="1"/>
  <c r="D23" i="22" a="1"/>
  <c r="D6" i="22" a="1"/>
  <c r="D21" i="22" a="1"/>
  <c r="D4" i="20" a="1"/>
  <c r="D7" i="20" a="1"/>
  <c r="C6" i="20"/>
  <c r="B20" i="19"/>
  <c r="D20" i="19" a="1"/>
  <c r="C17" i="19"/>
  <c r="C19" i="19"/>
  <c r="D15" i="29" a="1"/>
  <c r="C22" i="29"/>
  <c r="B17" i="29"/>
  <c r="D21" i="29" a="1"/>
  <c r="C16" i="29"/>
  <c r="D8" i="29" a="1"/>
  <c r="B24" i="22"/>
  <c r="C26" i="22"/>
  <c r="C28" i="22"/>
  <c r="C11" i="22"/>
  <c r="B6" i="22"/>
  <c r="C15" i="22"/>
  <c r="B9" i="20"/>
  <c r="D11" i="20" a="1"/>
  <c r="B12" i="20"/>
  <c r="C12" i="20"/>
  <c r="C14" i="20"/>
  <c r="C10" i="20"/>
  <c r="C22" i="20"/>
  <c r="B24" i="19"/>
  <c r="C14" i="19"/>
  <c r="B15" i="19"/>
  <c r="C3" i="19"/>
  <c r="B6" i="19"/>
  <c r="D28" i="22" a="1"/>
  <c r="D10" i="22" a="1"/>
  <c r="B10" i="20"/>
  <c r="D26" i="20" a="1"/>
  <c r="B8" i="19"/>
  <c r="B10" i="19"/>
  <c r="D12" i="23" a="1"/>
  <c r="B18" i="22"/>
  <c r="D5" i="20" a="1"/>
  <c r="B13" i="19"/>
  <c r="D28" i="29" a="1"/>
  <c r="B22" i="22"/>
  <c r="C3" i="22"/>
  <c r="B24" i="20"/>
  <c r="B13" i="29"/>
  <c r="D17" i="29" a="1"/>
  <c r="C12" i="29"/>
  <c r="D9" i="29" a="1"/>
  <c r="D11" i="29" a="1"/>
  <c r="A3" i="23" a="1"/>
  <c r="C8" i="29"/>
  <c r="B15" i="29"/>
  <c r="A3" i="29" a="1"/>
  <c r="D8" i="29" l="1"/>
  <c r="E8" i="29" s="1"/>
  <c r="D20" i="29"/>
  <c r="E20" i="29" s="1"/>
  <c r="D18" i="29"/>
  <c r="E18" i="29" s="1"/>
  <c r="D11" i="29"/>
  <c r="E11" i="29" s="1"/>
  <c r="D23" i="29"/>
  <c r="E23" i="29" s="1"/>
  <c r="D16" i="29"/>
  <c r="E16" i="29" s="1"/>
  <c r="D28" i="29"/>
  <c r="E28" i="29" s="1"/>
  <c r="D13" i="29"/>
  <c r="E13" i="29" s="1"/>
  <c r="D9" i="29"/>
  <c r="E9" i="29" s="1"/>
  <c r="D21" i="29"/>
  <c r="E21" i="29" s="1"/>
  <c r="D14" i="29"/>
  <c r="E14" i="29" s="1"/>
  <c r="D26" i="29"/>
  <c r="E26" i="29" s="1"/>
  <c r="A3" i="29"/>
  <c r="D19" i="29"/>
  <c r="E19" i="29" s="1"/>
  <c r="D24" i="29"/>
  <c r="E24" i="29" s="1"/>
  <c r="D25" i="29"/>
  <c r="E25" i="29" s="1"/>
  <c r="D17" i="29"/>
  <c r="E17" i="29" s="1"/>
  <c r="D12" i="29"/>
  <c r="E12" i="29" s="1"/>
  <c r="D10" i="29"/>
  <c r="E10" i="29" s="1"/>
  <c r="D22" i="29"/>
  <c r="E22" i="29" s="1"/>
  <c r="D15" i="29"/>
  <c r="E15" i="29" s="1"/>
  <c r="D27" i="29"/>
  <c r="E27" i="29" s="1"/>
  <c r="L35" i="28"/>
  <c r="L43" i="28"/>
  <c r="P31" i="28" s="1"/>
  <c r="A3" i="23"/>
  <c r="L67" i="24"/>
  <c r="P48" i="24" s="1"/>
  <c r="L62" i="26"/>
  <c r="L74" i="25"/>
  <c r="P55" i="25" s="1"/>
  <c r="L88" i="27"/>
  <c r="C49" i="24"/>
  <c r="C53" i="24" s="1"/>
  <c r="P49" i="24" s="1"/>
  <c r="L58" i="25"/>
  <c r="L59" i="24"/>
  <c r="C49" i="26"/>
  <c r="C52" i="26" s="1"/>
  <c r="C56" i="26" s="1"/>
  <c r="P52" i="26" s="1"/>
  <c r="D12" i="23"/>
  <c r="D10" i="22"/>
  <c r="E10" i="22" s="1"/>
  <c r="D22" i="22"/>
  <c r="E22" i="22" s="1"/>
  <c r="D3" i="22"/>
  <c r="D15" i="22"/>
  <c r="E15" i="22" s="1"/>
  <c r="D27" i="22"/>
  <c r="E27" i="22" s="1"/>
  <c r="D21" i="22"/>
  <c r="E21" i="22" s="1"/>
  <c r="D13" i="22"/>
  <c r="E13" i="22" s="1"/>
  <c r="D25" i="22"/>
  <c r="E25" i="22" s="1"/>
  <c r="D26" i="22"/>
  <c r="E26" i="22" s="1"/>
  <c r="D8" i="22"/>
  <c r="E8" i="22" s="1"/>
  <c r="D6" i="22"/>
  <c r="E6" i="22" s="1"/>
  <c r="D18" i="22"/>
  <c r="E18" i="22" s="1"/>
  <c r="D20" i="22"/>
  <c r="E20" i="22" s="1"/>
  <c r="D11" i="22"/>
  <c r="E11" i="22" s="1"/>
  <c r="D23" i="22"/>
  <c r="E23" i="22" s="1"/>
  <c r="D4" i="22"/>
  <c r="D16" i="22"/>
  <c r="E16" i="22" s="1"/>
  <c r="D28" i="22"/>
  <c r="E28" i="22" s="1"/>
  <c r="D14" i="22"/>
  <c r="E14" i="22" s="1"/>
  <c r="D12" i="22"/>
  <c r="E12" i="22" s="1"/>
  <c r="D24" i="22"/>
  <c r="E24" i="22" s="1"/>
  <c r="D9" i="22"/>
  <c r="E9" i="22" s="1"/>
  <c r="D7" i="22"/>
  <c r="E7" i="22" s="1"/>
  <c r="D19" i="22"/>
  <c r="E19" i="22" s="1"/>
  <c r="D5" i="22"/>
  <c r="D17" i="22"/>
  <c r="E17" i="22" s="1"/>
  <c r="D10" i="20"/>
  <c r="E10" i="20" s="1"/>
  <c r="D16" i="20"/>
  <c r="E16" i="20" s="1"/>
  <c r="D9" i="20"/>
  <c r="E9" i="20" s="1"/>
  <c r="D15" i="20"/>
  <c r="E15" i="20" s="1"/>
  <c r="D21" i="20"/>
  <c r="E21" i="20" s="1"/>
  <c r="D27" i="20"/>
  <c r="E27" i="20" s="1"/>
  <c r="D8" i="20"/>
  <c r="E8" i="20" s="1"/>
  <c r="D14" i="20"/>
  <c r="E14" i="20" s="1"/>
  <c r="D20" i="20"/>
  <c r="E20" i="20" s="1"/>
  <c r="D26" i="20"/>
  <c r="E26" i="20" s="1"/>
  <c r="D13" i="20"/>
  <c r="E13" i="20" s="1"/>
  <c r="D12" i="20"/>
  <c r="E12" i="20" s="1"/>
  <c r="D18" i="20"/>
  <c r="E18" i="20" s="1"/>
  <c r="D24" i="20"/>
  <c r="E24" i="20" s="1"/>
  <c r="D29" i="20"/>
  <c r="E29" i="20" s="1"/>
  <c r="D7" i="20"/>
  <c r="E7" i="20" s="1"/>
  <c r="D19" i="20"/>
  <c r="E19" i="20" s="1"/>
  <c r="D25" i="20"/>
  <c r="E25" i="20" s="1"/>
  <c r="D6" i="20"/>
  <c r="E6" i="20" s="1"/>
  <c r="D5" i="20"/>
  <c r="D11" i="20"/>
  <c r="E11" i="20" s="1"/>
  <c r="D17" i="20"/>
  <c r="E17" i="20" s="1"/>
  <c r="D23" i="20"/>
  <c r="D3" i="20"/>
  <c r="D22" i="20"/>
  <c r="D4" i="20"/>
  <c r="D28" i="20"/>
  <c r="E28" i="20" s="1"/>
  <c r="E30" i="19"/>
  <c r="D25" i="19"/>
  <c r="E25" i="19" s="1"/>
  <c r="D12" i="19"/>
  <c r="E12" i="19" s="1"/>
  <c r="D9" i="19"/>
  <c r="E9" i="19" s="1"/>
  <c r="D6" i="19"/>
  <c r="E6" i="19" s="1"/>
  <c r="D22" i="19"/>
  <c r="E22" i="19" s="1"/>
  <c r="D18" i="19"/>
  <c r="E18" i="19" s="1"/>
  <c r="D15" i="19"/>
  <c r="E15" i="19" s="1"/>
  <c r="D17" i="19"/>
  <c r="E17" i="19" s="1"/>
  <c r="D14" i="19"/>
  <c r="E14" i="19" s="1"/>
  <c r="D11" i="19"/>
  <c r="E11" i="19" s="1"/>
  <c r="D8" i="19"/>
  <c r="E8" i="19" s="1"/>
  <c r="D5" i="19"/>
  <c r="E5" i="19" s="1"/>
  <c r="D27" i="19"/>
  <c r="E27" i="19" s="1"/>
  <c r="D23" i="19"/>
  <c r="E23" i="19" s="1"/>
  <c r="D24" i="19"/>
  <c r="E24" i="19" s="1"/>
  <c r="D26" i="19"/>
  <c r="E26" i="19" s="1"/>
  <c r="D21" i="19"/>
  <c r="E21" i="19" s="1"/>
  <c r="D20" i="19"/>
  <c r="E20" i="19" s="1"/>
  <c r="D28" i="19"/>
  <c r="E28" i="19" s="1"/>
  <c r="D19" i="19"/>
  <c r="E19" i="19" s="1"/>
  <c r="D16" i="19"/>
  <c r="E16" i="19" s="1"/>
  <c r="D13" i="19"/>
  <c r="E13" i="19" s="1"/>
  <c r="D10" i="19"/>
  <c r="E10" i="19" s="1"/>
  <c r="D7" i="19"/>
  <c r="E7" i="19" s="1"/>
  <c r="D4" i="19"/>
  <c r="E4" i="19" s="1"/>
  <c r="D4" i="29" a="1"/>
  <c r="B4" i="22"/>
  <c r="C18" i="23"/>
  <c r="D7" i="23" a="1"/>
  <c r="D17" i="23" a="1"/>
  <c r="B21" i="23"/>
  <c r="C9" i="23"/>
  <c r="B27" i="23"/>
  <c r="D27" i="23" a="1"/>
  <c r="C8" i="23"/>
  <c r="C21" i="23"/>
  <c r="B3" i="19"/>
  <c r="C27" i="23"/>
  <c r="B13" i="23"/>
  <c r="D6" i="29" a="1"/>
  <c r="B3" i="20"/>
  <c r="C15" i="23"/>
  <c r="C28" i="23"/>
  <c r="C11" i="23"/>
  <c r="C19" i="23"/>
  <c r="B6" i="29"/>
  <c r="D26" i="23" a="1"/>
  <c r="D19" i="23" a="1"/>
  <c r="B17" i="23"/>
  <c r="D10" i="23" a="1"/>
  <c r="C5" i="23"/>
  <c r="B6" i="23"/>
  <c r="B10" i="23"/>
  <c r="C7" i="29"/>
  <c r="C16" i="23"/>
  <c r="C13" i="23"/>
  <c r="C7" i="23"/>
  <c r="C4" i="29"/>
  <c r="B3" i="22"/>
  <c r="D28" i="23" a="1"/>
  <c r="D25" i="23" a="1"/>
  <c r="C17" i="23"/>
  <c r="D9" i="23" a="1"/>
  <c r="B19" i="23"/>
  <c r="B28" i="23"/>
  <c r="B9" i="23"/>
  <c r="D8" i="23" a="1"/>
  <c r="B15" i="23"/>
  <c r="C4" i="23"/>
  <c r="D16" i="23" a="1"/>
  <c r="C23" i="23"/>
  <c r="B12" i="23"/>
  <c r="B4" i="20"/>
  <c r="D20" i="23" a="1"/>
  <c r="B4" i="29"/>
  <c r="D15" i="23" a="1"/>
  <c r="B4" i="23"/>
  <c r="D21" i="23" a="1"/>
  <c r="B5" i="22"/>
  <c r="C14" i="23"/>
  <c r="C26" i="23"/>
  <c r="D24" i="23" a="1"/>
  <c r="C22" i="23"/>
  <c r="B7" i="29"/>
  <c r="B5" i="23"/>
  <c r="C6" i="29"/>
  <c r="D13" i="23" a="1"/>
  <c r="C24" i="23"/>
  <c r="D5" i="23" a="1"/>
  <c r="D14" i="23" a="1"/>
  <c r="B18" i="23"/>
  <c r="B20" i="23"/>
  <c r="D18" i="23" a="1"/>
  <c r="B24" i="23"/>
  <c r="D23" i="23" a="1"/>
  <c r="C12" i="23"/>
  <c r="B26" i="23"/>
  <c r="D22" i="23" a="1"/>
  <c r="D4" i="23" a="1"/>
  <c r="C10" i="23"/>
  <c r="B5" i="20"/>
  <c r="D6" i="23" a="1"/>
  <c r="D7" i="29" a="1"/>
  <c r="D5" i="29" a="1"/>
  <c r="B8" i="23"/>
  <c r="D11" i="23" a="1"/>
  <c r="C6" i="23"/>
  <c r="C5" i="29"/>
  <c r="B25" i="23"/>
  <c r="B23" i="23"/>
  <c r="B7" i="23"/>
  <c r="B14" i="23"/>
  <c r="E30" i="29" a="1"/>
  <c r="B22" i="23"/>
  <c r="C20" i="23"/>
  <c r="B5" i="29"/>
  <c r="B22" i="20"/>
  <c r="C25" i="23"/>
  <c r="B23" i="20"/>
  <c r="B16" i="23"/>
  <c r="B11" i="23"/>
  <c r="D5" i="29" l="1"/>
  <c r="E5" i="29" s="1"/>
  <c r="D6" i="29"/>
  <c r="E6" i="29" s="1"/>
  <c r="D4" i="29"/>
  <c r="E4" i="29" s="1"/>
  <c r="D7" i="29"/>
  <c r="E7" i="29" s="1"/>
  <c r="E30" i="29"/>
  <c r="P30" i="28"/>
  <c r="P34" i="28" s="1"/>
  <c r="E5" i="20"/>
  <c r="E5" i="22"/>
  <c r="E4" i="20"/>
  <c r="P47" i="24"/>
  <c r="P50" i="24" s="1"/>
  <c r="E22" i="20"/>
  <c r="P53" i="25"/>
  <c r="P58" i="25" s="1"/>
  <c r="E4" i="22"/>
  <c r="E3" i="20"/>
  <c r="P69" i="27"/>
  <c r="P71" i="27" s="1"/>
  <c r="E23" i="20"/>
  <c r="E3" i="22"/>
  <c r="P50" i="26"/>
  <c r="P53" i="26" s="1"/>
  <c r="D18" i="23"/>
  <c r="E18" i="23" s="1"/>
  <c r="D16" i="23"/>
  <c r="E16" i="23" s="1"/>
  <c r="D21" i="23"/>
  <c r="E21" i="23" s="1"/>
  <c r="D20" i="23"/>
  <c r="E20" i="23" s="1"/>
  <c r="D6" i="23"/>
  <c r="E6" i="23" s="1"/>
  <c r="D4" i="23"/>
  <c r="E4" i="23" s="1"/>
  <c r="D9" i="23"/>
  <c r="E9" i="23" s="1"/>
  <c r="D10" i="23"/>
  <c r="E10" i="23" s="1"/>
  <c r="D22" i="23"/>
  <c r="E22" i="23" s="1"/>
  <c r="D11" i="23"/>
  <c r="E11" i="23" s="1"/>
  <c r="D14" i="23"/>
  <c r="E14" i="23" s="1"/>
  <c r="D8" i="23"/>
  <c r="E8" i="23" s="1"/>
  <c r="D17" i="23"/>
  <c r="E17" i="23" s="1"/>
  <c r="D24" i="23"/>
  <c r="E24" i="23" s="1"/>
  <c r="D26" i="23"/>
  <c r="E26" i="23" s="1"/>
  <c r="D23" i="23"/>
  <c r="E23" i="23" s="1"/>
  <c r="D5" i="23"/>
  <c r="E5" i="23" s="1"/>
  <c r="D25" i="23"/>
  <c r="E25" i="23" s="1"/>
  <c r="D27" i="23"/>
  <c r="E27" i="23" s="1"/>
  <c r="D7" i="23"/>
  <c r="E7" i="23" s="1"/>
  <c r="D28" i="23"/>
  <c r="E28" i="23" s="1"/>
  <c r="E12" i="23"/>
  <c r="D19" i="23"/>
  <c r="E19" i="23" s="1"/>
  <c r="D13" i="23"/>
  <c r="E13" i="23" s="1"/>
  <c r="D15" i="23"/>
  <c r="E15" i="23" s="1"/>
  <c r="E3" i="19"/>
  <c r="E30" i="22" a="1"/>
  <c r="E30" i="23" a="1"/>
  <c r="D3" i="23" a="1"/>
  <c r="E31" i="20" a="1"/>
  <c r="C3" i="23"/>
  <c r="C3" i="29"/>
  <c r="B3" i="23"/>
  <c r="B3" i="29"/>
  <c r="D3" i="29" a="1"/>
  <c r="D3" i="29" l="1"/>
  <c r="E3" i="29" s="1"/>
  <c r="E29" i="29" s="1"/>
  <c r="E31" i="29" s="1"/>
  <c r="E32" i="29" s="1"/>
  <c r="E29" i="22"/>
  <c r="E31" i="22" s="1"/>
  <c r="E30" i="20"/>
  <c r="E32" i="20" s="1"/>
  <c r="E30" i="22"/>
  <c r="E31" i="20"/>
  <c r="D3" i="23"/>
  <c r="E3" i="23" s="1"/>
  <c r="E29" i="23" s="1"/>
  <c r="E31" i="23" s="1"/>
  <c r="E30" i="23"/>
  <c r="E29" i="19"/>
  <c r="E31" i="19" s="1"/>
  <c r="E32" i="19" s="1"/>
  <c r="E32" i="22" l="1"/>
  <c r="E33" i="20"/>
  <c r="E32" i="2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<sst xmlns="http://schemas.openxmlformats.org/spreadsheetml/2006/main" count="1975" uniqueCount="706">
  <si>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</si>
  <si>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</si>
  <si>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</si>
  <si>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</si>
  <si>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</si>
  <si>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</si>
  <si>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</si>
  <si>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</si>
  <si>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</si>
  <si>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</si>
  <si>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THÁNG 8</t>
  </si>
  <si>
    <t>01-08</t>
  </si>
  <si>
    <t>03-08</t>
  </si>
  <si>
    <t>04-08</t>
  </si>
  <si>
    <t>05-08</t>
  </si>
  <si>
    <t>06-08</t>
  </si>
  <si>
    <t>07-08</t>
  </si>
  <si>
    <t>08-08</t>
  </si>
  <si>
    <t>10-08</t>
  </si>
  <si>
    <t>11-08</t>
  </si>
  <si>
    <t>12-08</t>
  </si>
  <si>
    <t>13-08</t>
  </si>
  <si>
    <t>14-08</t>
  </si>
  <si>
    <t>15-08</t>
  </si>
  <si>
    <t>17-08</t>
  </si>
  <si>
    <t>18-08</t>
  </si>
  <si>
    <t>19-08</t>
  </si>
  <si>
    <t>20-08</t>
  </si>
  <si>
    <t>21-08</t>
  </si>
  <si>
    <t>22-08</t>
  </si>
  <si>
    <t>24-08_Morning</t>
  </si>
  <si>
    <t>24-08_Night</t>
  </si>
  <si>
    <t>25-08</t>
  </si>
  <si>
    <t>26-08</t>
  </si>
  <si>
    <t>27-08</t>
  </si>
  <si>
    <t>28-08</t>
  </si>
  <si>
    <t>29-08</t>
  </si>
  <si>
    <t>31-08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</si>
  <si>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</si>
  <si>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</si>
  <si>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</si>
  <si>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</si>
  <si>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</si>
  <si>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</si>
  <si>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</si>
  <si>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</si>
  <si>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</si>
  <si>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</si>
  <si>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</si>
  <si>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</si>
  <si>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</si>
  <si>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</si>
  <si>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</si>
  <si>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</si>
  <si>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_col17</t>
  </si>
  <si>
    <t>ĐOÀN NGÂN CHÂU</t>
  </si>
  <si>
    <t>Kiều Trâm</t>
  </si>
  <si>
    <t>HD040769</t>
  </si>
  <si>
    <t>33 lương minh nguyệt p tân thời hoà</t>
  </si>
  <si>
    <t>tan phu</t>
  </si>
  <si>
    <t>AT 01-08</t>
  </si>
  <si>
    <t>c.cuong</t>
  </si>
  <si>
    <t>01-08-2026</t>
  </si>
  <si>
    <t>Sen Lô Lô</t>
  </si>
  <si>
    <t>HD040656</t>
  </si>
  <si>
    <t>Chung cư Felisa- 99 bến bình đông- p11</t>
  </si>
  <si>
    <t>Thu Hằng</t>
  </si>
  <si>
    <t>HD040632</t>
  </si>
  <si>
    <t>38A đường 3158A phạm thế hiển P7. Đối diện cổng trường THPT nguyễn văn linh</t>
  </si>
  <si>
    <t>Suc Vày</t>
  </si>
  <si>
    <t>HD040552</t>
  </si>
  <si>
    <t>338/24 âu cơ p10</t>
  </si>
  <si>
    <t>tan binh</t>
  </si>
  <si>
    <t>chị hường</t>
  </si>
  <si>
    <t>HD040596</t>
  </si>
  <si>
    <t>chung cư privia khang điền, 321 an dương vương an lạc</t>
  </si>
  <si>
    <t>binh tan</t>
  </si>
  <si>
    <t>Đỗ Diễm</t>
  </si>
  <si>
    <t>HD040828</t>
  </si>
  <si>
    <t>14 Lãnh Binh Thăng, P Phú Thọ</t>
  </si>
  <si>
    <t>Châu Châu</t>
  </si>
  <si>
    <t>HD040851</t>
  </si>
  <si>
    <t>E3/8 ấp 56 xã vĩnh lộc</t>
  </si>
  <si>
    <t>binh chanh</t>
  </si>
  <si>
    <t>Hà Kim Ánh</t>
  </si>
  <si>
    <t>HD040770</t>
  </si>
  <si>
    <t>80/120 đường hoàng ngân, p16</t>
  </si>
  <si>
    <t>hàng sỉ</t>
  </si>
  <si>
    <t>Nguyễn Minh Hải (Bow)</t>
  </si>
  <si>
    <t>17 Đường Số 13 Bình Hưng Hoà</t>
  </si>
  <si>
    <t>Nguyễn thị mỹ dung</t>
  </si>
  <si>
    <t>HD040826</t>
  </si>
  <si>
    <t>Chung cư the estella block 4B1801 bình trưng</t>
  </si>
  <si>
    <t>Phan Nhi KHÔNG HỘP</t>
  </si>
  <si>
    <t>HD040834</t>
  </si>
  <si>
    <t>C note chú Cường 133/55 quang trung, f.10, Đó là DiLa Spa</t>
  </si>
  <si>
    <t>go vap</t>
  </si>
  <si>
    <t>Yến Phương (zalo)</t>
  </si>
  <si>
    <t>HD040762</t>
  </si>
  <si>
    <t>56/20 đường 147, Phường Phước Long B</t>
  </si>
  <si>
    <t>Jemial Vo</t>
  </si>
  <si>
    <t>HD040583</t>
  </si>
  <si>
    <t>438 phan văn trị, p.hạnh thông</t>
  </si>
  <si>
    <t>Linh Bửu</t>
  </si>
  <si>
    <t>HD040836</t>
  </si>
  <si>
    <t>Landmark 4,P22</t>
  </si>
  <si>
    <t>binh thanh</t>
  </si>
  <si>
    <t>Lê Viết Băng Châu</t>
  </si>
  <si>
    <t>HD040847</t>
  </si>
  <si>
    <t>61/70/7 Đường số 59, Phường 14</t>
  </si>
  <si>
    <t>Nguyễn bảo trân</t>
  </si>
  <si>
    <t>HD040670</t>
  </si>
  <si>
    <t>68/6 Thống Nhất, p10</t>
  </si>
  <si>
    <t>Vân</t>
  </si>
  <si>
    <t>HD040806</t>
  </si>
  <si>
    <t>T1633 manhattan Vinhomes Grand Park</t>
  </si>
  <si>
    <t>Kem Kem</t>
  </si>
  <si>
    <t>HD040843</t>
  </si>
  <si>
    <t>632/5 lê văn thọ p13</t>
  </si>
  <si>
    <t>Người Nhận BN2705</t>
  </si>
  <si>
    <t>HD040780</t>
  </si>
  <si>
    <t>163 Trương Thị Hoa, phường Tân Thới Hiệp</t>
  </si>
  <si>
    <t>Thanh Thuy</t>
  </si>
  <si>
    <t>HD040848</t>
  </si>
  <si>
    <t>220/62 Xô viết nghệ tĩnh, phường thành mỹ tây</t>
  </si>
  <si>
    <t>May Ngoc Nguyen</t>
  </si>
  <si>
    <t>HD040839</t>
  </si>
  <si>
    <t>Lô j nhà D chung cư bình Khánh</t>
  </si>
  <si>
    <t>đổi hàng</t>
  </si>
  <si>
    <t>Phuc Vo</t>
  </si>
  <si>
    <t>HD040829</t>
  </si>
  <si>
    <t>151/44 tam châu tam bình</t>
  </si>
  <si>
    <t>thu duc</t>
  </si>
  <si>
    <t>Lisa</t>
  </si>
  <si>
    <t>173 phan huy ích, phường tân sơn</t>
  </si>
  <si>
    <t>jenny bouti</t>
  </si>
  <si>
    <t>401 Quang trung f10</t>
  </si>
  <si>
    <t>Lê Thảo</t>
  </si>
  <si>
    <t>441 Nguyễn Văn Khối, Thông Tây Hội</t>
  </si>
  <si>
    <t>HƯƠNG TRẦN</t>
  </si>
  <si>
    <t>261/26c chu văn an p12</t>
  </si>
  <si>
    <t>Ly Clara Selena</t>
  </si>
  <si>
    <t>403 tân sơn p12</t>
  </si>
  <si>
    <t>Nga Nga</t>
  </si>
  <si>
    <t>HD040745</t>
  </si>
  <si>
    <t>Sedona suite cổng nam kỳ khởi nghĩa</t>
  </si>
  <si>
    <t>phu nhuan</t>
  </si>
  <si>
    <t>c.hieu</t>
  </si>
  <si>
    <t>boramery 015738168</t>
  </si>
  <si>
    <t>HD040800</t>
  </si>
  <si>
    <t>363-365-367, 363 Đi Hùng Vương, Phường 9</t>
  </si>
  <si>
    <t>Em Hương</t>
  </si>
  <si>
    <t>HD040609</t>
  </si>
  <si>
    <t>13/174 trần văn hoàng p tân Hoa</t>
  </si>
  <si>
    <t>Diễm Thúy</t>
  </si>
  <si>
    <t>HD040833</t>
  </si>
  <si>
    <t>237/22 hoàng sa, P. Tân Sơn Nhất</t>
  </si>
  <si>
    <t>Tuyết Nhi</t>
  </si>
  <si>
    <t>HD040808</t>
  </si>
  <si>
    <t>Block d2, chung cư sài gòn riverside (số 4 đào trí, phù thuận)</t>
  </si>
  <si>
    <t>Kim Anh Phạm</t>
  </si>
  <si>
    <t>HD040535</t>
  </si>
  <si>
    <t>6 cư xá bình minh, dương Bá Trạc, phường 1</t>
  </si>
  <si>
    <t>Trần Huệ</t>
  </si>
  <si>
    <t>HD040749</t>
  </si>
  <si>
    <t>391 ngô gia tự p2</t>
  </si>
  <si>
    <t>Bảo Ngọc</t>
  </si>
  <si>
    <t>HD040602</t>
  </si>
  <si>
    <t>12/65 nguyễn khoái</t>
  </si>
  <si>
    <t>Đỗ Thị Hoa</t>
  </si>
  <si>
    <t>HD040603</t>
  </si>
  <si>
    <t>355 ngô gia tự p vườn lài</t>
  </si>
  <si>
    <t>Xuân hậu (zalo)</t>
  </si>
  <si>
    <t>HD040761</t>
  </si>
  <si>
    <t>341 sư vạn hạnh, vườn lài - Nhi đồng 1</t>
  </si>
  <si>
    <t>Gửi KIMMI BÙI</t>
  </si>
  <si>
    <t>HD040827</t>
  </si>
  <si>
    <t>Sao Mai express số 35 Tân Canh, p1</t>
  </si>
  <si>
    <t>Hân</t>
  </si>
  <si>
    <t>HD040354</t>
  </si>
  <si>
    <t>72 Trương Định P Bến Thành</t>
  </si>
  <si>
    <t>luu tra</t>
  </si>
  <si>
    <t>31-07-2026</t>
  </si>
  <si>
    <t>đơn trả</t>
  </si>
  <si>
    <t>x</t>
  </si>
  <si>
    <t>xx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</si>
  <si>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</si>
  <si>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</si>
  <si>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</si>
  <si>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</si>
  <si>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</si>
  <si>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</si>
  <si>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</si>
  <si>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01-08</t>
  </si>
  <si>
    <t>Trừ Ship</t>
  </si>
  <si>
    <t>tiền ship</t>
  </si>
  <si>
    <t>Đơn trả &amp; c.khoản</t>
  </si>
  <si>
    <t>tiền lấy</t>
  </si>
  <si>
    <t>Tiền Hàng Hcm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</si>
  <si>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</si>
  <si>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</si>
  <si>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</si>
  <si>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</si>
  <si>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</si>
  <si>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</si>
  <si>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</si>
  <si>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1 đơn</t>
  </si>
  <si>
    <t>Huỳnh Huỳnh Như</t>
  </si>
  <si>
    <t>HD040952</t>
  </si>
  <si>
    <t>Đường số 15, Phường Tân Phú The Peak Midtown M8 Phú Mỹ Hưng</t>
  </si>
  <si>
    <t>AT 03-08</t>
  </si>
  <si>
    <t>03-08-2026</t>
  </si>
  <si>
    <t>Trâm Nguyễn</t>
  </si>
  <si>
    <t>HD041152</t>
  </si>
  <si>
    <t>72G/4/10 nguyễn văn yến,p.tân thới hoà</t>
  </si>
  <si>
    <t>MC NitaSmile</t>
  </si>
  <si>
    <t>HD041120</t>
  </si>
  <si>
    <t>(MV01709) phường Bình Hưng Hòa</t>
  </si>
  <si>
    <t>Hạnh Trần</t>
  </si>
  <si>
    <t>HD040971</t>
  </si>
  <si>
    <t>Số 2 đường 75, khu phố 2, tân phong</t>
  </si>
  <si>
    <t>Minh</t>
  </si>
  <si>
    <t>HD041137</t>
  </si>
  <si>
    <t>Sunrise city central tháp W3 25 nguyễn hữu thọ tân hưng</t>
  </si>
  <si>
    <t>Linh Linh</t>
  </si>
  <si>
    <t>HD040987</t>
  </si>
  <si>
    <t>36/4 kinh dương vương phường 13</t>
  </si>
  <si>
    <t>Annie Lam</t>
  </si>
  <si>
    <t>HD040870</t>
  </si>
  <si>
    <t>18D6/80/9 Huỳnh Tấn Phát</t>
  </si>
  <si>
    <t>nha be</t>
  </si>
  <si>
    <t>Trang Angels</t>
  </si>
  <si>
    <t>HD041290</t>
  </si>
  <si>
    <t>nhà 20 đường 2B phường Tân Mỹ</t>
  </si>
  <si>
    <t>Ngoc Linh</t>
  </si>
  <si>
    <t>HD041253</t>
  </si>
  <si>
    <t>số 27, bình trường, ấp 2</t>
  </si>
  <si>
    <t>BELLA TRẦN</t>
  </si>
  <si>
    <t>66đường 17 p10</t>
  </si>
  <si>
    <t>PUNLORK</t>
  </si>
  <si>
    <t>XE PHY PHY VỀ Phnom penh</t>
  </si>
  <si>
    <t>ko thêm bảng đối soát</t>
  </si>
  <si>
    <t>MIE</t>
  </si>
  <si>
    <t>275/14B1 Đặng Nguyên Cẩn, Phường Phú Lâm</t>
  </si>
  <si>
    <t>Yến Như</t>
  </si>
  <si>
    <t>HD041183</t>
  </si>
  <si>
    <t>213 Bưng Ông Thoàn, Tăng Nhơn Phú B</t>
  </si>
  <si>
    <t>HD041119</t>
  </si>
  <si>
    <t>T16-33 manhattan Vinhomes Grand Park</t>
  </si>
  <si>
    <t>Lam Tố Huỳnh</t>
  </si>
  <si>
    <t>HD040968</t>
  </si>
  <si>
    <t>39/2a1 đường số 47 phường hiệp bình chánh</t>
  </si>
  <si>
    <t>Khánh Vy Đỗ</t>
  </si>
  <si>
    <t>HD041098</t>
  </si>
  <si>
    <t>Ship 24 đường số 6 tam phú</t>
  </si>
  <si>
    <t>Anh Thi</t>
  </si>
  <si>
    <t>HD041169</t>
  </si>
  <si>
    <t>Số 39/3/ 2 đường số 2 long đại phường long phước</t>
  </si>
  <si>
    <t>Karen Van</t>
  </si>
  <si>
    <t>HD041161</t>
  </si>
  <si>
    <t>799/2 Nguyễn kiệm p3</t>
  </si>
  <si>
    <t>hạ mi</t>
  </si>
  <si>
    <t>HD040920</t>
  </si>
  <si>
    <t>576 nguyễn xiển long bình</t>
  </si>
  <si>
    <t>BN182 miki chouchou Fb</t>
  </si>
  <si>
    <t>HD041278</t>
  </si>
  <si>
    <t>163 Đường Trương Thị Hoa, phường Tân Thới Hiệp</t>
  </si>
  <si>
    <t>Mộng Cầm</t>
  </si>
  <si>
    <t>HD041198</t>
  </si>
  <si>
    <t>222 nguyễn văn đậu p bình lợi trung</t>
  </si>
  <si>
    <t>Destiny Huynh</t>
  </si>
  <si>
    <t>HD040564</t>
  </si>
  <si>
    <t>366 Nguyễn thị kiểu Phường Tân Thới Hiệp</t>
  </si>
  <si>
    <t>Hoa Hoa</t>
  </si>
  <si>
    <t>HD040904</t>
  </si>
  <si>
    <t>20 đường 37, phường Hiệp Bình Phước Vạn Phúc</t>
  </si>
  <si>
    <t>Nhi</t>
  </si>
  <si>
    <t>HD040925</t>
  </si>
  <si>
    <t>548/23 Điện biên phủ phường 21</t>
  </si>
  <si>
    <t>duy di (nhận hộ trang phạm)</t>
  </si>
  <si>
    <t>HD041070</t>
  </si>
  <si>
    <t>331/68 vườn lài phường an phú đông</t>
  </si>
  <si>
    <t>Nguyễn Hương Lan</t>
  </si>
  <si>
    <t>HD041158</t>
  </si>
  <si>
    <t>629 phạm văn đồng hiệp bình chánh</t>
  </si>
  <si>
    <t>Quỳnh Như</t>
  </si>
  <si>
    <t>HD041208</t>
  </si>
  <si>
    <t>66/68, Phổ Quang, Phường 2</t>
  </si>
  <si>
    <t>Lê Thão</t>
  </si>
  <si>
    <t>HD041204</t>
  </si>
  <si>
    <t>3 Đặng Dung, P Tân Định</t>
  </si>
  <si>
    <t>Kim Hân</t>
  </si>
  <si>
    <t>HD041099</t>
  </si>
  <si>
    <t>302 nguyễn chi thanh p5</t>
  </si>
  <si>
    <t>Henny</t>
  </si>
  <si>
    <t>HD041084</t>
  </si>
  <si>
    <t>Kin Hotel Ly Tu Trong</t>
  </si>
  <si>
    <t>Yến Nhi - fb Thanh Thanh</t>
  </si>
  <si>
    <t>HD041063</t>
  </si>
  <si>
    <t>38 Nguyễn Bá Tuyển, P12</t>
  </si>
  <si>
    <t>Zara Royale</t>
  </si>
  <si>
    <t>HD040922</t>
  </si>
  <si>
    <t>kho D36, Duong Bay Hien</t>
  </si>
  <si>
    <t>Mei Ling</t>
  </si>
  <si>
    <t>HD040759</t>
  </si>
  <si>
    <t>A75/6B/2 Bạch Đằng, phường Tân Sơn Hòa</t>
  </si>
  <si>
    <t>SALLY</t>
  </si>
  <si>
    <t>HD040891</t>
  </si>
  <si>
    <t>Chành xe Khải Nam 363-365-367, Đ. Hùng Vương, Phường 9</t>
  </si>
  <si>
    <t>Lan Khuê (zalo)</t>
  </si>
  <si>
    <t>HD040499</t>
  </si>
  <si>
    <t>1036/133/9 cách mạng tháng 8 p4 giờ là phường tân sơn nhất</t>
  </si>
  <si>
    <t>Thúy Hana</t>
  </si>
  <si>
    <t>HD041306</t>
  </si>
  <si>
    <t>De La Sol, 1 Tôn Thất Thuyết, Phường 1</t>
  </si>
  <si>
    <t>Trang Lê</t>
  </si>
  <si>
    <t>HD041289</t>
  </si>
  <si>
    <t>8A Sông Thương P2</t>
  </si>
  <si>
    <t>Hà Mi</t>
  </si>
  <si>
    <t>HD041301</t>
  </si>
  <si>
    <t>82 trần hưng đạo p an đông</t>
  </si>
  <si>
    <t>lucky</t>
  </si>
  <si>
    <t>HD041252</t>
  </si>
  <si>
    <t>416/71/3 nguyễn đình chiểu f4</t>
  </si>
  <si>
    <t>C30ST</t>
  </si>
  <si>
    <t>HD041284</t>
  </si>
  <si>
    <t>270B Đường Lý Thường Kiệt, Khu Phố 1 Phường 6</t>
  </si>
  <si>
    <t>minea</t>
  </si>
  <si>
    <t>Công ty Khải Nam - 363 Hùng Vương, Phường 9</t>
  </si>
  <si>
    <t>Ivy Huyền</t>
  </si>
  <si>
    <t>Số 5 Nhất Chi Mai phương 13</t>
  </si>
  <si>
    <t>Ellie Quach</t>
  </si>
  <si>
    <t>8A Sông thương, Phường 2</t>
  </si>
  <si>
    <t>Huyen Thanh Vo</t>
  </si>
  <si>
    <t>HD040498</t>
  </si>
  <si>
    <t>125/61 Nguyễn Văn Thương, Thạnh Mỹ Tây</t>
  </si>
  <si>
    <t>at 03-08</t>
  </si>
  <si>
    <t>at 03-08 cũ</t>
  </si>
  <si>
    <t>Mnh Thuu</t>
  </si>
  <si>
    <t>HD046537</t>
  </si>
  <si>
    <t>124/31/18/3 đường bình trị đông phường bình trị đông</t>
  </si>
  <si>
    <t>AT 24-08</t>
  </si>
  <si>
    <t>24-08-2026</t>
  </si>
  <si>
    <t>Lan fb Kim Lee</t>
  </si>
  <si>
    <t>HD046432</t>
  </si>
  <si>
    <t>3/44 ấp nhị tân, xã tân thới nhì</t>
  </si>
  <si>
    <t>hoc mon</t>
  </si>
  <si>
    <t>Phạm Thu Phương</t>
  </si>
  <si>
    <t>HD047215</t>
  </si>
  <si>
    <t>385b/6p hậu Giang p11</t>
  </si>
  <si>
    <t>MC Sanita Mao (MV01908)</t>
  </si>
  <si>
    <t>HD046467</t>
  </si>
  <si>
    <t>315/18/6 Nguyễn Thị Tú</t>
  </si>
  <si>
    <t>Thuy An Dao</t>
  </si>
  <si>
    <t>HD044873</t>
  </si>
  <si>
    <t>Sảnh B2 chung cư Emerald phường Sơn Kỳ</t>
  </si>
  <si>
    <t>Na (Fb Cana Nguyên)</t>
  </si>
  <si>
    <t>HD047221</t>
  </si>
  <si>
    <t>230/28/8 Mã Lò - Bình Trị Đông A</t>
  </si>
  <si>
    <t>Tuyết Ngân</t>
  </si>
  <si>
    <t>HD046714</t>
  </si>
  <si>
    <t>Akari City - AK2.(14.04) - 77 Đ. Võ Văn Kiệt, An Lạc</t>
  </si>
  <si>
    <t>MeyMey EV28641</t>
  </si>
  <si>
    <t>HD047044</t>
  </si>
  <si>
    <t>315/18/6 Nhuyễn Thị Tú Bình Hưng Hòa B</t>
  </si>
  <si>
    <t>VTS-52138TLM (inst meijiao.ling)</t>
  </si>
  <si>
    <t>HD046847</t>
  </si>
  <si>
    <t>129 Đ. Trần Đại Nghĩa, Ấp 2, Xã Tân Kiên</t>
  </si>
  <si>
    <t>Đinh Thiên Kim</t>
  </si>
  <si>
    <t>HD046616</t>
  </si>
  <si>
    <t>35 Nguyễn trọng trí phường an lạc A</t>
  </si>
  <si>
    <t>Pé Thỏ</t>
  </si>
  <si>
    <t>HD046731</t>
  </si>
  <si>
    <t>547-549 tạ quang bửu, phường chánh hưng, Topaz Elite – Block Phoenix 1B</t>
  </si>
  <si>
    <t>Hoàng Thân ( Cy Cy )</t>
  </si>
  <si>
    <t>HD046691</t>
  </si>
  <si>
    <t>1/2/3B Linh Đông, KP7, P.Linh Đông</t>
  </si>
  <si>
    <t>Phạm Điệp</t>
  </si>
  <si>
    <t>HD046978</t>
  </si>
  <si>
    <t>73 nguyễn xí</t>
  </si>
  <si>
    <t>Kim Huyền (website)</t>
  </si>
  <si>
    <t>HD046498</t>
  </si>
  <si>
    <t>02 đoàn kết, phường bình thọ</t>
  </si>
  <si>
    <t>HD046430</t>
  </si>
  <si>
    <t>624 Lê thị riêng thới an</t>
  </si>
  <si>
    <t>Capynehaha Haha</t>
  </si>
  <si>
    <t>HD046500</t>
  </si>
  <si>
    <t>129 bùi tá hán,bình trưng</t>
  </si>
  <si>
    <t>HD046663</t>
  </si>
  <si>
    <t>chung cư 8x plus số 163A trường chinh, Đông Hưng Thuận</t>
  </si>
  <si>
    <t>W3508</t>
  </si>
  <si>
    <t>HD046708</t>
  </si>
  <si>
    <t>624 Lê thị riêng, thới an</t>
  </si>
  <si>
    <t>Nguyễn Thùy Vi</t>
  </si>
  <si>
    <t>HD046895</t>
  </si>
  <si>
    <t>Toà Crest, N11 Metropole Thủ Thiêm, P An Khánh</t>
  </si>
  <si>
    <t>Trần Thị Thanh Thu</t>
  </si>
  <si>
    <t>HD046990</t>
  </si>
  <si>
    <t>1096 Quang Trung</t>
  </si>
  <si>
    <t>Tea Gao</t>
  </si>
  <si>
    <t>HD047065</t>
  </si>
  <si>
    <t>90 Nguyễn Hữu Cảnh, P22, Toà Opal</t>
  </si>
  <si>
    <t>Angela Sam</t>
  </si>
  <si>
    <t>HD046994</t>
  </si>
  <si>
    <t>17 mai chí thọ chung cư newcity toà venice3</t>
  </si>
  <si>
    <t>Tâm Vũ</t>
  </si>
  <si>
    <t>HD047010</t>
  </si>
  <si>
    <t>80/38 đường số 4, khu phố 32, phường Tam Binh</t>
  </si>
  <si>
    <t>Nguyễn Hữu Thắng</t>
  </si>
  <si>
    <t>HD046670</t>
  </si>
  <si>
    <t>561/3 Phạm Văn Chiêu, phường An Hội Đông</t>
  </si>
  <si>
    <t>Khả Hân</t>
  </si>
  <si>
    <t>HD047038</t>
  </si>
  <si>
    <t>67 mai chí thọ Lengxington LB 25.05 phường Bình Trưng</t>
  </si>
  <si>
    <t>Trang Tran NJ</t>
  </si>
  <si>
    <t>384/22 phạm văn bạch, Tân Sơn</t>
  </si>
  <si>
    <t>Gẩm</t>
  </si>
  <si>
    <t>Số 22, Đường Tân Thới Nhất 1b, Phường Tân Thới Nhất</t>
  </si>
  <si>
    <t>YẾN NHI</t>
  </si>
  <si>
    <t>HD047355</t>
  </si>
  <si>
    <t>79/5 bùi quang là, p5</t>
  </si>
  <si>
    <t>Hong Cuc sale</t>
  </si>
  <si>
    <t>HD047353</t>
  </si>
  <si>
    <t>68/64/3/4 đường số 5 phường linh xuân</t>
  </si>
  <si>
    <t>Tâm Như SALE</t>
  </si>
  <si>
    <t>HD047391</t>
  </si>
  <si>
    <t>33 Võ Văn Ngân, P.Linh Chiểu</t>
  </si>
  <si>
    <t>Nguyen Tra My</t>
  </si>
  <si>
    <t>HD047402</t>
  </si>
  <si>
    <t>68/14 nguyễn tư giãn p12</t>
  </si>
  <si>
    <t>Irine Intara</t>
  </si>
  <si>
    <t>HD046681</t>
  </si>
  <si>
    <t>55 Cách Mạng Tháng Tám, Bến Thành</t>
  </si>
  <si>
    <t>Luu Quynh Trang</t>
  </si>
  <si>
    <t>HD047057</t>
  </si>
  <si>
    <t>867 nội khu nam thông 2D, phường tân phú</t>
  </si>
  <si>
    <t>chị Bình</t>
  </si>
  <si>
    <t>HD047052</t>
  </si>
  <si>
    <t>55/30-23 Trần Đình Xu</t>
  </si>
  <si>
    <t>Bích Phượng</t>
  </si>
  <si>
    <t>HD046950</t>
  </si>
  <si>
    <t>Block M1, Sảnh B, Chung cư Jamona city, Đào Trí, Phú Thuận</t>
  </si>
  <si>
    <t>Thu Ly</t>
  </si>
  <si>
    <t>HD047128</t>
  </si>
  <si>
    <t>158/1a1 bến Vân đồn p Khánh hội</t>
  </si>
  <si>
    <t>Liễu ( fb Lina Nguyễn)</t>
  </si>
  <si>
    <t>HD046424</t>
  </si>
  <si>
    <t>261C Nguyễn Văn Trỗi, P10</t>
  </si>
  <si>
    <t>phuong phuong (inst bedaunee)</t>
  </si>
  <si>
    <t>HD046485</t>
  </si>
  <si>
    <t>479 trần xuân soạn, phường tân kiểng</t>
  </si>
  <si>
    <t>Nguyễn Cẩm Tú</t>
  </si>
  <si>
    <t>HD046949</t>
  </si>
  <si>
    <t>801 trần hưng đạo, chợ quán</t>
  </si>
  <si>
    <t>Quach Kim Hồng</t>
  </si>
  <si>
    <t>HD046499</t>
  </si>
  <si>
    <t>270/18 Huỳnh tấn Phát</t>
  </si>
  <si>
    <t>Lê Tuyết Minh sale</t>
  </si>
  <si>
    <t>HD047310</t>
  </si>
  <si>
    <t>12 Phước Hưng, P.7</t>
  </si>
  <si>
    <t>Phương Thảo</t>
  </si>
  <si>
    <t>HD047382</t>
  </si>
  <si>
    <t>504 Nguyễn Tất Thành, phường 18 chung cư Riva Park</t>
  </si>
  <si>
    <t>at 24-08</t>
  </si>
  <si>
    <t>Ju Nguyen</t>
  </si>
  <si>
    <t>HD047434</t>
  </si>
  <si>
    <t>69 đường số 29 Bình Trị Đông B</t>
  </si>
  <si>
    <t>Nguyễn Lê Tường Vi</t>
  </si>
  <si>
    <t>HD047312</t>
  </si>
  <si>
    <t>35/75/10 cao lỗ, p4</t>
  </si>
  <si>
    <t>Bảo Trâm (SALE)</t>
  </si>
  <si>
    <t>HD047584</t>
  </si>
  <si>
    <t>Bs15 Vinhome Grand Park,, Phường Long Bình</t>
  </si>
  <si>
    <t>Vân Vân sale</t>
  </si>
  <si>
    <t>HD047903</t>
  </si>
  <si>
    <t>100/12/21B ấp 3 xã đông thạnh</t>
  </si>
  <si>
    <t>Thảo thảo</t>
  </si>
  <si>
    <t>HD047785</t>
  </si>
  <si>
    <t>77 võ văn kiệt an lạc</t>
  </si>
  <si>
    <t>Vũ Kiều Thúy Vân</t>
  </si>
  <si>
    <t>HD047474</t>
  </si>
  <si>
    <t>10/2b tăng nhơn phú</t>
  </si>
  <si>
    <t>ty-sale web</t>
  </si>
  <si>
    <t>HD047794</t>
  </si>
  <si>
    <t>Cc Picity lô c5 sảnh B căn 1.05 phường thới an</t>
  </si>
  <si>
    <t>Minh Thư Sale</t>
  </si>
  <si>
    <t>HD047541</t>
  </si>
  <si>
    <t>29/2a đường 16, Linh Chiểu</t>
  </si>
  <si>
    <t>Tuyền-sale web</t>
  </si>
  <si>
    <t>HD047764</t>
  </si>
  <si>
    <t>Chung cư bình trị đông B, phường BTĐ B</t>
  </si>
  <si>
    <t>Yến Yến sale</t>
  </si>
  <si>
    <t>HD047357</t>
  </si>
  <si>
    <t>605 bình thời p10</t>
  </si>
  <si>
    <t>Trần Huỳnh Thương sale</t>
  </si>
  <si>
    <t>HD047722</t>
  </si>
  <si>
    <t>Số 6 Tân Mỹ phường Tân Mỹ</t>
  </si>
  <si>
    <t>Ni Trần (Minh Hải)</t>
  </si>
  <si>
    <t>HD047561</t>
  </si>
  <si>
    <t>Hồng Mây sale</t>
  </si>
  <si>
    <t>HD047668</t>
  </si>
  <si>
    <t>Chung cư ecogreen block D phường Tân Thuận Tây</t>
  </si>
  <si>
    <t>Võ Thị Thanh Thúy sale</t>
  </si>
  <si>
    <t>HD047788</t>
  </si>
  <si>
    <t>75/3/2 Lê Văn Phan phường Phú Thọ Hòa</t>
  </si>
  <si>
    <t>Hồng Nguyễn</t>
  </si>
  <si>
    <t>HD047836</t>
  </si>
  <si>
    <t>1806/109/2 Huỳnh Tấn Phát</t>
  </si>
  <si>
    <t>Hoàng Quỳnh Nhhư</t>
  </si>
  <si>
    <t>HD047422</t>
  </si>
  <si>
    <t>CC an gia skyline 89 lê thị chợ, phú thuận</t>
  </si>
  <si>
    <t>Bùi Thị Yến Nhi sale</t>
  </si>
  <si>
    <t>HD047501</t>
  </si>
  <si>
    <t>390/19 quốc lộ 1a kp3 p bình hưng hoà b</t>
  </si>
  <si>
    <t>Dương Hoang Yen sale</t>
  </si>
  <si>
    <t>HD047757</t>
  </si>
  <si>
    <t>15 duong 26 f10</t>
  </si>
  <si>
    <t>Honganh Pham SALE</t>
  </si>
  <si>
    <t>HD047870</t>
  </si>
  <si>
    <t>100/33/8 Lê văn duyệt p1</t>
  </si>
  <si>
    <t>Nguyễn Huế SALE</t>
  </si>
  <si>
    <t>HD047515</t>
  </si>
  <si>
    <t>326 nguyễn văn lạc, p19</t>
  </si>
  <si>
    <t>Bup Vuong</t>
  </si>
  <si>
    <t>HD047790</t>
  </si>
  <si>
    <t>134 linh đông</t>
  </si>
  <si>
    <t>Dương Thư sale</t>
  </si>
  <si>
    <t>HD047529</t>
  </si>
  <si>
    <t>66/11C Bình Lợi P13</t>
  </si>
  <si>
    <t>Mai Nguyen sale</t>
  </si>
  <si>
    <t>HD047513</t>
  </si>
  <si>
    <t>Ship số 76 đường 52ap khu văn minh phường an phú</t>
  </si>
  <si>
    <t>Quynh Nguyen</t>
  </si>
  <si>
    <t>HD047563</t>
  </si>
  <si>
    <t>61 kha vạn cân P hiệp bình chánh</t>
  </si>
  <si>
    <t>Nguyễn Hàn Đan Anh sale</t>
  </si>
  <si>
    <t>HD047396</t>
  </si>
  <si>
    <t>84/3B Nguyễn Văn Khôi</t>
  </si>
  <si>
    <t>HD047303</t>
  </si>
  <si>
    <t>Toà Crest, N11 Metropole Thủ Thiêm, p An Khánh</t>
  </si>
  <si>
    <t>Dao Bui SAlE</t>
  </si>
  <si>
    <t>HD047505</t>
  </si>
  <si>
    <t>78/16/4E Nguyễn Văn Khôi, phường 11</t>
  </si>
  <si>
    <t>Phụng Đỗ sale wed</t>
  </si>
  <si>
    <t>HD047463</t>
  </si>
  <si>
    <t>Nhà G lô N chung cư Bình Khánh</t>
  </si>
  <si>
    <t>Ngọc Tiền sale</t>
  </si>
  <si>
    <t>HD047579</t>
  </si>
  <si>
    <t>39 phạm văn ngôn phương an khánh</t>
  </si>
  <si>
    <t>Tiên Nguyễn sale</t>
  </si>
  <si>
    <t>HD047516</t>
  </si>
  <si>
    <t>351/16 Nơ Trang Long, phường Bình Lợi Trung (phường 13 cũ)</t>
  </si>
  <si>
    <t>Kim Anh sale</t>
  </si>
  <si>
    <t>HD047521</t>
  </si>
  <si>
    <t>110/55/22 đường số 30, P An Nhơn</t>
  </si>
  <si>
    <t>Minh Tâm sale</t>
  </si>
  <si>
    <t>HD047718</t>
  </si>
  <si>
    <t>208 đuong 17</t>
  </si>
  <si>
    <t>Nguyễn Ngọc</t>
  </si>
  <si>
    <t>HD047695</t>
  </si>
  <si>
    <t>460 Quang Trung, Phường 10</t>
  </si>
  <si>
    <t>Lâm Oanh sale</t>
  </si>
  <si>
    <t>HD047519</t>
  </si>
  <si>
    <t>102 phan văn hớn</t>
  </si>
  <si>
    <t>Bàn Thị Diễm</t>
  </si>
  <si>
    <t>HD047594</t>
  </si>
  <si>
    <t>489 Kha Vạn Cân Hiệp Bình</t>
  </si>
  <si>
    <t>Dương Hằng</t>
  </si>
  <si>
    <t>HD047437</t>
  </si>
  <si>
    <t>Lk7-39 khu biệt thự sài gòn mystery phường Bình trưng Tây</t>
  </si>
  <si>
    <t>Hồng Ngọc-sale</t>
  </si>
  <si>
    <t>HD047400</t>
  </si>
  <si>
    <t>200/21 bình lợi</t>
  </si>
  <si>
    <t>Hiếu Ngân sale</t>
  </si>
  <si>
    <t>HD047476</t>
  </si>
  <si>
    <t>17 đường 40, phường An Khánh</t>
  </si>
  <si>
    <t>Phuong Thanh</t>
  </si>
  <si>
    <t>HD047746</t>
  </si>
  <si>
    <t>214/16 bùi đình tuý, p. Bình Thạnh</t>
  </si>
  <si>
    <t>Hoàng Vi-sale</t>
  </si>
  <si>
    <t>HD047379</t>
  </si>
  <si>
    <t>Chung cư Sunview Town, Đường Gò Dưa, P. Hiệp Bình Phước</t>
  </si>
  <si>
    <t>Kính Vũ</t>
  </si>
  <si>
    <t>HD047889</t>
  </si>
  <si>
    <t>Aqua1, bason</t>
  </si>
  <si>
    <t>Kim Thương</t>
  </si>
  <si>
    <t>HD047530</t>
  </si>
  <si>
    <t>212A trần hưng đạo phường nguyễn cư trinh</t>
  </si>
  <si>
    <t>Thanh Thảo sale</t>
  </si>
  <si>
    <t>HD047629</t>
  </si>
  <si>
    <t>1243 Hoàng Sa, Phường Tân Sơn Nhất</t>
  </si>
  <si>
    <t>Dương Thúy SALE</t>
  </si>
  <si>
    <t>HD047440</t>
  </si>
  <si>
    <t>Số 8 bùi thị xuân P phạm ngũ lão</t>
  </si>
  <si>
    <t>Mimi</t>
  </si>
  <si>
    <t>HD047632</t>
  </si>
  <si>
    <t>toà M1 chung cư tôn thất thuyết, p1</t>
  </si>
  <si>
    <t>Thao My Nguyen sale</t>
  </si>
  <si>
    <t>HD047611</t>
  </si>
  <si>
    <t>Chung cư Emerald, phường Sơn Kỳ</t>
  </si>
  <si>
    <t>Như Hòa SALE</t>
  </si>
  <si>
    <t>HD047518</t>
  </si>
  <si>
    <t>71/2 Chế Lan Viên, Tây Thạnh (Toà nhà 59)</t>
  </si>
  <si>
    <t xml:space="preserve">Trân </t>
  </si>
  <si>
    <t>HD047455</t>
  </si>
  <si>
    <t>536/43/18/23 Âu Cơ P.10</t>
  </si>
  <si>
    <t>Ngọc Ánh</t>
  </si>
  <si>
    <t>HD047493</t>
  </si>
  <si>
    <t>1 ca văn thình, p11</t>
  </si>
  <si>
    <t>Ngân Mochi</t>
  </si>
  <si>
    <t>HD047488</t>
  </si>
  <si>
    <t>1011 cách mạng tháng 8 phường tân sơn nhất</t>
  </si>
  <si>
    <t>Hàng Của Janie (zalo )</t>
  </si>
  <si>
    <t>HD047243</t>
  </si>
  <si>
    <t>007 Lô B Đường C6, C/c Tây Thạnh, P. Tây Thạnh</t>
  </si>
  <si>
    <t>Thảo Nguyên</t>
  </si>
  <si>
    <t>HD047936</t>
  </si>
  <si>
    <t>23/36/63/16 Nguyễn Hữu Tiến, Tây Thạnh</t>
  </si>
  <si>
    <t>Hoàng Yến sale</t>
  </si>
  <si>
    <t>HD047819</t>
  </si>
  <si>
    <t>350an dương vương</t>
  </si>
  <si>
    <t>Anh Thư-sale</t>
  </si>
  <si>
    <t>HD047354</t>
  </si>
  <si>
    <t>84/2 nguyễn thái bình bến thành</t>
  </si>
  <si>
    <t>Lê Ngọc Anh</t>
  </si>
  <si>
    <t>HD047583</t>
  </si>
  <si>
    <t>220/18 Hồ Văn Huê, Đức Nhuận</t>
  </si>
  <si>
    <t>An Nguyen</t>
  </si>
  <si>
    <t>HD047598</t>
  </si>
  <si>
    <t>118/17 Trần Quang Diệu, Nhiêu Lộc</t>
  </si>
  <si>
    <t>Thuy Tien</t>
  </si>
  <si>
    <t>HD047701</t>
  </si>
  <si>
    <t>Sảnh B2-B3 Chung Cư Diamond Brilliant Celadon City, phường Tân Sơn Nhì</t>
  </si>
  <si>
    <t>Diễm Mi</t>
  </si>
  <si>
    <t>HD047855</t>
  </si>
  <si>
    <t>307 Lê Văn Sỹ, phường Tân Sơn Hòa</t>
  </si>
  <si>
    <t>Như Hạnh</t>
  </si>
  <si>
    <t>HD047363</t>
  </si>
  <si>
    <t>21 Đặng Dung, P Tân Định</t>
  </si>
  <si>
    <t>Võ Thanh Vân</t>
  </si>
  <si>
    <t>HD047607</t>
  </si>
  <si>
    <t>8b Nguyễn Văn Thủ, phường Tân Định</t>
  </si>
  <si>
    <t>Ji Ah</t>
  </si>
  <si>
    <t>HD041397</t>
  </si>
  <si>
    <t>89 lê thị chợ phú thuận Chung cư skyline</t>
  </si>
  <si>
    <t>AT 04-08</t>
  </si>
  <si>
    <t>04-08-2026</t>
  </si>
  <si>
    <t>MC Chheth Srey Sing (MV03028)</t>
  </si>
  <si>
    <t>HD041350</t>
  </si>
  <si>
    <t>315/18/6 Nguyễn Thị Tú phường Bình Tân (mới)</t>
  </si>
  <si>
    <t>Meow Service + [MS0419]</t>
  </si>
  <si>
    <t>HD041327</t>
  </si>
  <si>
    <t>Ngõ 72 đường 18B, phường Bình Hưng Hoà A</t>
  </si>
  <si>
    <t>Jess Huang (Đài Loan 0908523033)</t>
  </si>
  <si>
    <t>HD034688</t>
  </si>
  <si>
    <t>H78 Đường A3-Phường Tân Thới Nhất</t>
  </si>
  <si>
    <t>Tien Phan</t>
  </si>
  <si>
    <t>HD041385</t>
  </si>
  <si>
    <t>4 đường số 3 An Lạc A</t>
  </si>
  <si>
    <t>Thủy Tiên</t>
  </si>
  <si>
    <t>HD041353</t>
  </si>
  <si>
    <t>23/4 Hồ Thành Biên p4</t>
  </si>
  <si>
    <t>Nguyễn Thị Phương Quyên</t>
  </si>
  <si>
    <t>HD041400</t>
  </si>
  <si>
    <t>Số 38 đường số 1, kdc cityland, p. tân phú</t>
  </si>
  <si>
    <t>Block d2, chung cư sài gòn riverside (số 4 đào trí, phú thuận)</t>
  </si>
  <si>
    <t>NGUYỄN MINH DUY</t>
  </si>
  <si>
    <t>90/35 Trần Văn Ơn, Phường Tân Sơn Nhì</t>
  </si>
  <si>
    <t>401 quang trung f10</t>
  </si>
  <si>
    <t>Tuyết Mai vận chuyển cho Lee Seo Eun</t>
  </si>
  <si>
    <t>HD041466</t>
  </si>
  <si>
    <t>28 khu dân cư nam long đường hà huy giáp - phường thạnh lộc (đối diện công viên thanh niên)</t>
  </si>
  <si>
    <t>shop chịu ship</t>
  </si>
  <si>
    <t>Quỳnh Seven</t>
  </si>
  <si>
    <t>HD041503</t>
  </si>
  <si>
    <t>Gh5 glory heights- vinhome grandpark</t>
  </si>
  <si>
    <t>Lan Tiên</t>
  </si>
  <si>
    <t>HD041484</t>
  </si>
  <si>
    <t>773/12 lê duc tho p16</t>
  </si>
  <si>
    <t>Jenny Bích Vũ</t>
  </si>
  <si>
    <t>HD041334</t>
  </si>
  <si>
    <t>537/30 Nguyễn Oanh phường 17</t>
  </si>
  <si>
    <t>Hoàng Thu Trang</t>
  </si>
  <si>
    <t>HD041498</t>
  </si>
  <si>
    <t>Toà Daisy lumier vinhomes</t>
  </si>
  <si>
    <t>Trương Hoàng Diễm</t>
  </si>
  <si>
    <t>HD041486</t>
  </si>
  <si>
    <t>280a39 lương định của . an khánh</t>
  </si>
  <si>
    <t>Selena Pham</t>
  </si>
  <si>
    <t>HD041495</t>
  </si>
  <si>
    <t>616/61/118 Lê Đức Thọ, Phường 15 (P. An Hội Đông)</t>
  </si>
  <si>
    <t>SU ANH</t>
  </si>
  <si>
    <t>72/5 Giải Phóng, Tân Sơn Nhất</t>
  </si>
  <si>
    <t>Sokhavy</t>
  </si>
  <si>
    <t>HD041362</t>
  </si>
  <si>
    <t>A25 luxury hotel 277B Le Thanh Ton, Ben Thanh ward</t>
  </si>
  <si>
    <t>Kim Thanh</t>
  </si>
  <si>
    <t>HD041337</t>
  </si>
  <si>
    <t>108/69a trần quang diệu</t>
  </si>
  <si>
    <t>Hoang Thuy Quynh</t>
  </si>
  <si>
    <t>HD041441</t>
  </si>
  <si>
    <t>156/1/23 cộng hoà, phường 12</t>
  </si>
  <si>
    <t>Yen Nhi</t>
  </si>
  <si>
    <t>HD041474</t>
  </si>
  <si>
    <t>51/3 lê van huan p13</t>
  </si>
  <si>
    <t>at 04-08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</si>
</sst>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 applyBorder="0"/>
    <xf numFmtId="0" fontId="3" fillId="0" borderId="0"/>
    <xf numFmtId="0" fontId="1" fillId="0" borderId="0"/>
  </cellStyleXfs>
  <cellXfs count="37">
    <xf numFmtId="0" fontId="0" fillId="0" borderId="0" xfId="0"/>
    <xf numFmtId="0" fontId="2" fillId="0" borderId="0" xfId="1" applyFont="1"/>
    <xf numFmtId="0" fontId="2" fillId="2" borderId="1" xfId="0" applyFont="1" applyFill="1" applyBorder="1"/>
    <xf numFmtId="164" fontId="2" fillId="0" borderId="1" xfId="0" applyNumberFormat="1" applyFont="1" applyBorder="1"/>
    <xf numFmtId="0" fontId="2" fillId="0" borderId="1" xfId="0" applyFont="1" applyBorder="1"/>
    <xf numFmtId="0" fontId="2" fillId="3" borderId="0" xfId="0" applyFont="1" applyFill="1"/>
    <xf numFmtId="0" fontId="1" fillId="0" borderId="0" xfId="2"/>
    <xf numFmtId="0" fontId="1" fillId="2" borderId="1" xfId="0" applyFont="1" applyFill="1" applyBorder="1"/>
    <xf numFmtId="49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0" fontId="1" fillId="0" borderId="1" xfId="0" applyFont="1" applyBorder="1" applyAlignment="1">
      <alignment wrapText="1"/>
    </xf>
    <xf numFmtId="0" fontId="5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5" borderId="1" xfId="0" applyFill="1" applyBorder="1"/>
    <xf numFmtId="3" fontId="0" fillId="5" borderId="1" xfId="0" applyNumberFormat="1" applyFill="1" applyBorder="1"/>
    <xf numFmtId="0" fontId="0" fillId="5" borderId="0" xfId="0" applyFill="1"/>
    <xf numFmtId="0" fontId="6" fillId="0" borderId="1" xfId="0" applyFont="1" applyBorder="1"/>
    <xf numFmtId="3" fontId="6" fillId="0" borderId="1" xfId="0" applyNumberFormat="1" applyFont="1" applyBorder="1"/>
    <xf numFmtId="0" fontId="6" fillId="0" borderId="0" xfId="0" applyFont="1"/>
    <xf numFmtId="0" fontId="5" fillId="6" borderId="0" xfId="0" applyFont="1" applyFill="1"/>
    <xf numFmtId="0" fontId="5" fillId="0" borderId="0" xfId="0" applyFont="1"/>
    <xf numFmtId="0" fontId="5" fillId="7" borderId="0" xfId="0" applyFont="1" applyFill="1"/>
    <xf numFmtId="0" fontId="0" fillId="6" borderId="0" xfId="0" applyFill="1"/>
    <xf numFmtId="0" fontId="6" fillId="0" borderId="0" xfId="0" applyFont="1" applyAlignment="1">
      <alignment horizontal="left"/>
    </xf>
    <xf numFmtId="0" fontId="0" fillId="8" borderId="0" xfId="0" applyFill="1"/>
    <xf numFmtId="0" fontId="5" fillId="9" borderId="0" xfId="0" applyFont="1" applyFill="1"/>
    <xf numFmtId="0" fontId="6" fillId="0" borderId="0" xfId="0" applyFont="1" applyAlignment="1">
      <alignment horizontal="right"/>
    </xf>
    <xf numFmtId="3" fontId="0" fillId="5" borderId="0" xfId="0" applyNumberFormat="1" applyFill="1"/>
    <xf numFmtId="0" fontId="6" fillId="2" borderId="1" xfId="0" applyFont="1" applyFill="1" applyBorder="1"/>
    <xf numFmtId="0" fontId="0" fillId="0" borderId="0" xfId="0"/>
    <xf numFmtId="0" fontId="5" fillId="6" borderId="0" xfId="0" applyFont="1" applyFill="1"/>
    <xf numFmtId="0" fontId="5" fillId="0" borderId="0" xfId="0" applyFont="1"/>
    <xf numFmtId="0" fontId="0" fillId="6" borderId="0" xfId="0" applyFill="1"/>
    <xf numFmtId="0" fontId="6" fillId="0" borderId="0" xfId="0" applyFont="1"/>
  </cellXfs>
  <cellStyles count="3">
    <cellStyle name="Normal" xfId="0" builtinId="0"/>
    <cellStyle name="Normal 2" xfId="1" xr:uid="{DB72F213-3AF7-4618-B5B3-4068D3F972D7}"/>
    <cellStyle name="Normal 2 2" xfId="2" xr:uid="{8826C004-3536-47DC-882F-67739F870812}"/>
  </cellStyles>
  <dxfs count="5">
    <dxf>
      <fill>
        <patternFill patternType="solid">
          <fgColor auto="1"/>
          <bgColor rgb="FF00B0F0"/>
        </patternFill>
      </fill>
    </dxf>
    <dxf>
      <fill>
        <patternFill patternType="solid">
          <fgColor auto="1"/>
          <bgColor rgb="FF00B0F0"/>
        </patternFill>
      </fill>
    </dxf>
    <dxf>
      <fill>
        <patternFill patternType="solid">
          <fgColor auto="1"/>
          <bgColor rgb="FF00B0F0"/>
        </patternFill>
      </fill>
    </dxf>
    <dxf>
      <fill>
        <patternFill patternType="solid">
          <fgColor auto="1"/>
          <bgColor rgb="FF00B0F0"/>
        </patternFill>
      </fill>
    </dxf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theme="0" tint="-0.499984740745262"/>
  </sheetPr>
  <dimension ref="A1:E32"/>
  <sheetViews>
    <sheetView workbookViewId="0">
      <selection activeCell="E30" sqref="E30"/>
    </sheetView>
  </sheetViews>
  <sheetFormatPr defaultColWidth="9.140625" defaultRowHeight="15" x14ac:dyDescent="0.25"/>
  <cols>
    <col min="1" max="1" width="9.42578125" style="1" bestFit="1" customWidth="1"/>
    <col min="2" max="2" width="10.85546875" style="1" bestFit="1" customWidth="1"/>
    <col min="3" max="3" width="9.42578125" style="1" bestFit="1" customWidth="1"/>
    <col min="4" max="4" width="17.5703125" style="1" bestFit="1" customWidth="1"/>
    <col min="5" max="5" width="15.85546875" style="1" bestFit="1" customWidth="1"/>
    <col min="6" max="6" width="9.140625" style="1" customWidth="1"/>
    <col min="7" max="16384" width="9.140625" style="1"/>
  </cols>
  <sheetData>
    <row r="1" spans="1:5" x14ac:dyDescent="0.25">
      <c r="A1" s="1" t="s">
        <v>0</v>
      </c>
      <c r="B1" s="1">
        <v>2026</v>
      </c>
    </row>
    <row r="2" spans="1: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x14ac:dyDescent="0.25">
      <c r="A3" s="3">
        <v>46143</v>
      </c>
      <c r="B3" s="4">
        <f ca="1">IFERROR(COUNTIF(INDIRECT("'"&amp;TEXT(A3,"dd-mm")&amp;"'!L3:L200"),TEXT(A3,"dd-mm")&amp;"-"&amp;B$1),0)</f>
        <v>0</v>
      </c>
      <c r="C3" s="4">
        <f ca="1">IFERROR(COUNTIF(INDIRECT("'"&amp;TEXT(A3,"DD-MM")&amp;"'!M3:M200"),"*gộp*")/2,0)</f>
        <v>0</v>
      </c>
      <c r="D3" s="4" cm="1">
        <f t="array" ref="D3" ca="1">IFERROR(SUM(COUNTIF(INDIRECT("'"&amp;TEXT(A3,"DD-MM")&amp;"'!M3:M200"),{"*đơn trả*","*hàng tỉnh*"})),0)</f>
        <v>0</v>
      </c>
      <c r="E3" s="4">
        <f t="shared" ref="E3:E28" ca="1" si="0">B3-C3-D3</f>
        <v>0</v>
      </c>
    </row>
    <row r="4" spans="1:5" x14ac:dyDescent="0.25">
      <c r="A4" s="3">
        <v>46144</v>
      </c>
      <c r="B4" s="4">
        <f t="shared" ref="B4:B28" ca="1" si="1">IFERROR(COUNTIF(INDIRECT("'"&amp;TEXT(A4,"dd-mm")&amp;"'!L3:L200"),TEXT(A4,"dd-mm")&amp;"-"&amp;B$1),0)</f>
        <v>0</v>
      </c>
      <c r="C4" s="4">
        <f t="shared" ref="C4:C28" ca="1" si="2">IFERROR(COUNTIF(INDIRECT("'"&amp;TEXT(A4,"DD-MM")&amp;"'!M3:M200"),"*gộp*")/2,0)</f>
        <v>0</v>
      </c>
      <c r="D4" s="4" cm="1">
        <f t="array" aca="1" ref="D4" ca="1">IFERROR(SUM(COUNTIF(INDIRECT("'"&amp;TEXT(A4,"DD-MM")&amp;"'!M3:M200"),{"*đơn trả*","*hàng tỉnh*"})),0)</f>
        <v>0</v>
      </c>
      <c r="E4" s="4">
        <f t="shared" ca="1" si="0"/>
        <v>0</v>
      </c>
    </row>
    <row r="5" spans="1:5" x14ac:dyDescent="0.25">
      <c r="A5" s="3">
        <v>46146</v>
      </c>
      <c r="B5" s="4">
        <f t="shared" ca="1" si="1"/>
        <v>0</v>
      </c>
      <c r="C5" s="4">
        <f t="shared" ca="1" si="2"/>
        <v>0</v>
      </c>
      <c r="D5" s="4" cm="1">
        <f t="array" aca="1" ref="D5" ca="1">IFERROR(SUM(COUNTIF(INDIRECT("'"&amp;TEXT(A5,"DD-MM")&amp;"'!M3:M200"),{"*đơn trả*","*hàng tỉnh*"})),0)</f>
        <v>0</v>
      </c>
      <c r="E5" s="4">
        <f t="shared" ca="1" si="0"/>
        <v>0</v>
      </c>
    </row>
    <row r="6" spans="1:5" x14ac:dyDescent="0.25">
      <c r="A6" s="3">
        <v>46147</v>
      </c>
      <c r="B6" s="4">
        <f t="shared" ca="1" si="1"/>
        <v>0</v>
      </c>
      <c r="C6" s="4">
        <f t="shared" ca="1" si="2"/>
        <v>0</v>
      </c>
      <c r="D6" s="4" cm="1">
        <f t="array" aca="1" ref="D6" ca="1">IFERROR(SUM(COUNTIF(INDIRECT("'"&amp;TEXT(A6,"DD-MM")&amp;"'!M3:M200"),{"*đơn trả*","*hàng tỉnh*"})),0)</f>
        <v>0</v>
      </c>
      <c r="E6" s="4">
        <f t="shared" ca="1" si="0"/>
        <v>0</v>
      </c>
    </row>
    <row r="7" spans="1:5" x14ac:dyDescent="0.25">
      <c r="A7" s="3">
        <v>46148</v>
      </c>
      <c r="B7" s="4">
        <f t="shared" ca="1" si="1"/>
        <v>0</v>
      </c>
      <c r="C7" s="4">
        <f t="shared" ca="1" si="2"/>
        <v>0</v>
      </c>
      <c r="D7" s="4" cm="1">
        <f t="array" aca="1" ref="D7" ca="1">IFERROR(SUM(COUNTIF(INDIRECT("'"&amp;TEXT(A7,"DD-MM")&amp;"'!M3:M200"),{"*đơn trả*","*hàng tỉnh*"})),0)</f>
        <v>0</v>
      </c>
      <c r="E7" s="4">
        <f t="shared" ca="1" si="0"/>
        <v>0</v>
      </c>
    </row>
    <row r="8" spans="1:5" x14ac:dyDescent="0.25">
      <c r="A8" s="3">
        <v>46149</v>
      </c>
      <c r="B8" s="4">
        <f t="shared" ca="1" si="1"/>
        <v>0</v>
      </c>
      <c r="C8" s="4">
        <f t="shared" ca="1" si="2"/>
        <v>0</v>
      </c>
      <c r="D8" s="4" cm="1">
        <f t="array" aca="1" ref="D8" ca="1">IFERROR(SUM(COUNTIF(INDIRECT("'"&amp;TEXT(A8,"DD-MM")&amp;"'!M3:M200"),{"*đơn trả*","*hàng tỉnh*"})),0)</f>
        <v>0</v>
      </c>
      <c r="E8" s="4">
        <f t="shared" ca="1" si="0"/>
        <v>0</v>
      </c>
    </row>
    <row r="9" spans="1:5" x14ac:dyDescent="0.25">
      <c r="A9" s="3">
        <v>46150</v>
      </c>
      <c r="B9" s="4">
        <f t="shared" ca="1" si="1"/>
        <v>0</v>
      </c>
      <c r="C9" s="4">
        <f t="shared" ca="1" si="2"/>
        <v>0</v>
      </c>
      <c r="D9" s="4" cm="1">
        <f t="array" aca="1" ref="D9" ca="1">IFERROR(SUM(COUNTIF(INDIRECT("'"&amp;TEXT(A9,"DD-MM")&amp;"'!M3:M200"),{"*đơn trả*","*hàng tỉnh*"})),0)</f>
        <v>0</v>
      </c>
      <c r="E9" s="4">
        <f t="shared" ca="1" si="0"/>
        <v>0</v>
      </c>
    </row>
    <row r="10" spans="1:5" x14ac:dyDescent="0.25">
      <c r="A10" s="3">
        <v>46151</v>
      </c>
      <c r="B10" s="4">
        <f t="shared" ca="1" si="1"/>
        <v>0</v>
      </c>
      <c r="C10" s="4">
        <f t="shared" ca="1" si="2"/>
        <v>0</v>
      </c>
      <c r="D10" s="4" cm="1">
        <f t="array" aca="1" ref="D10" ca="1">IFERROR(SUM(COUNTIF(INDIRECT("'"&amp;TEXT(A10,"DD-MM")&amp;"'!M3:M200"),{"*đơn trả*","*hàng tỉnh*"})),0)</f>
        <v>0</v>
      </c>
      <c r="E10" s="4">
        <f t="shared" ca="1" si="0"/>
        <v>0</v>
      </c>
    </row>
    <row r="11" spans="1:5" x14ac:dyDescent="0.25">
      <c r="A11" s="3">
        <v>46153</v>
      </c>
      <c r="B11" s="4">
        <f t="shared" ca="1" si="1"/>
        <v>0</v>
      </c>
      <c r="C11" s="4">
        <f t="shared" ca="1" si="2"/>
        <v>0</v>
      </c>
      <c r="D11" s="4" cm="1">
        <f t="array" aca="1" ref="D11" ca="1">IFERROR(SUM(COUNTIF(INDIRECT("'"&amp;TEXT(A11,"DD-MM")&amp;"'!M3:M200"),{"*đơn trả*","*hàng tỉnh*"})),0)</f>
        <v>0</v>
      </c>
      <c r="E11" s="4">
        <f t="shared" ca="1" si="0"/>
        <v>0</v>
      </c>
    </row>
    <row r="12" spans="1:5" x14ac:dyDescent="0.25">
      <c r="A12" s="3">
        <v>46154</v>
      </c>
      <c r="B12" s="4">
        <f t="shared" ca="1" si="1"/>
        <v>0</v>
      </c>
      <c r="C12" s="4">
        <f t="shared" ca="1" si="2"/>
        <v>0</v>
      </c>
      <c r="D12" s="4" cm="1">
        <f t="array" aca="1" ref="D12" ca="1">IFERROR(SUM(COUNTIF(INDIRECT("'"&amp;TEXT(A12,"DD-MM")&amp;"'!M3:M200"),{"*đơn trả*","*hàng tỉnh*"})),0)</f>
        <v>0</v>
      </c>
      <c r="E12" s="4">
        <f t="shared" ca="1" si="0"/>
        <v>0</v>
      </c>
    </row>
    <row r="13" spans="1:5" x14ac:dyDescent="0.25">
      <c r="A13" s="3">
        <v>46155</v>
      </c>
      <c r="B13" s="4">
        <f t="shared" ca="1" si="1"/>
        <v>0</v>
      </c>
      <c r="C13" s="4">
        <f t="shared" ca="1" si="2"/>
        <v>0</v>
      </c>
      <c r="D13" s="4" cm="1">
        <f t="array" aca="1" ref="D13" ca="1">IFERROR(SUM(COUNTIF(INDIRECT("'"&amp;TEXT(A13,"DD-MM")&amp;"'!M3:M200"),{"*đơn trả*","*hàng tỉnh*"})),0)</f>
        <v>0</v>
      </c>
      <c r="E13" s="4">
        <f t="shared" ca="1" si="0"/>
        <v>0</v>
      </c>
    </row>
    <row r="14" spans="1:5" x14ac:dyDescent="0.25">
      <c r="A14" s="3">
        <v>46156</v>
      </c>
      <c r="B14" s="4">
        <f t="shared" ca="1" si="1"/>
        <v>0</v>
      </c>
      <c r="C14" s="4">
        <f t="shared" ca="1" si="2"/>
        <v>0</v>
      </c>
      <c r="D14" s="4" cm="1">
        <f t="array" aca="1" ref="D14" ca="1">IFERROR(SUM(COUNTIF(INDIRECT("'"&amp;TEXT(A14,"DD-MM")&amp;"'!M3:M200"),{"*đơn trả*","*hàng tỉnh*"})),0)</f>
        <v>0</v>
      </c>
      <c r="E14" s="4">
        <f t="shared" ca="1" si="0"/>
        <v>0</v>
      </c>
    </row>
    <row r="15" spans="1:5" x14ac:dyDescent="0.25">
      <c r="A15" s="3">
        <v>46157</v>
      </c>
      <c r="B15" s="4">
        <f t="shared" ca="1" si="1"/>
        <v>0</v>
      </c>
      <c r="C15" s="4">
        <f t="shared" ca="1" si="2"/>
        <v>0</v>
      </c>
      <c r="D15" s="4" cm="1">
        <f t="array" aca="1" ref="D15" ca="1">IFERROR(SUM(COUNTIF(INDIRECT("'"&amp;TEXT(A15,"DD-MM")&amp;"'!M3:M200"),{"*đơn trả*","*hàng tỉnh*"})),0)</f>
        <v>0</v>
      </c>
      <c r="E15" s="4">
        <f t="shared" ca="1" si="0"/>
        <v>0</v>
      </c>
    </row>
    <row r="16" spans="1:5" x14ac:dyDescent="0.25">
      <c r="A16" s="3">
        <v>46158</v>
      </c>
      <c r="B16" s="4">
        <f t="shared" ca="1" si="1"/>
        <v>0</v>
      </c>
      <c r="C16" s="4">
        <f t="shared" ca="1" si="2"/>
        <v>0</v>
      </c>
      <c r="D16" s="4" cm="1">
        <f t="array" aca="1" ref="D16" ca="1">IFERROR(SUM(COUNTIF(INDIRECT("'"&amp;TEXT(A16,"DD-MM")&amp;"'!M3:M200"),{"*đơn trả*","*hàng tỉnh*"})),0)</f>
        <v>0</v>
      </c>
      <c r="E16" s="4">
        <f t="shared" ca="1" si="0"/>
        <v>0</v>
      </c>
    </row>
    <row r="17" spans="1:5" x14ac:dyDescent="0.25">
      <c r="A17" s="3">
        <v>46160</v>
      </c>
      <c r="B17" s="4">
        <f t="shared" ca="1" si="1"/>
        <v>0</v>
      </c>
      <c r="C17" s="4">
        <f t="shared" ca="1" si="2"/>
        <v>0</v>
      </c>
      <c r="D17" s="4" cm="1">
        <f t="array" aca="1" ref="D17" ca="1">IFERROR(SUM(COUNTIF(INDIRECT("'"&amp;TEXT(A17,"DD-MM")&amp;"'!M3:M200"),{"*đơn trả*","*hàng tỉnh*"})),0)</f>
        <v>0</v>
      </c>
      <c r="E17" s="4">
        <f t="shared" ca="1" si="0"/>
        <v>0</v>
      </c>
    </row>
    <row r="18" spans="1:5" x14ac:dyDescent="0.25">
      <c r="A18" s="3">
        <v>46161</v>
      </c>
      <c r="B18" s="4">
        <f t="shared" ca="1" si="1"/>
        <v>0</v>
      </c>
      <c r="C18" s="4">
        <f t="shared" ca="1" si="2"/>
        <v>0</v>
      </c>
      <c r="D18" s="4" cm="1">
        <f t="array" aca="1" ref="D18" ca="1">IFERROR(SUM(COUNTIF(INDIRECT("'"&amp;TEXT(A18,"DD-MM")&amp;"'!M3:M200"),{"*đơn trả*","*hàng tỉnh*"})),0)</f>
        <v>0</v>
      </c>
      <c r="E18" s="4">
        <f t="shared" ca="1" si="0"/>
        <v>0</v>
      </c>
    </row>
    <row r="19" spans="1:5" x14ac:dyDescent="0.25">
      <c r="A19" s="3">
        <v>46162</v>
      </c>
      <c r="B19" s="4">
        <f t="shared" ca="1" si="1"/>
        <v>0</v>
      </c>
      <c r="C19" s="4">
        <f t="shared" ca="1" si="2"/>
        <v>0</v>
      </c>
      <c r="D19" s="4" cm="1">
        <f t="array" aca="1" ref="D19" ca="1">IFERROR(SUM(COUNTIF(INDIRECT("'"&amp;TEXT(A19,"DD-MM")&amp;"'!M3:M200"),{"*đơn trả*","*hàng tỉnh*"})),0)</f>
        <v>0</v>
      </c>
      <c r="E19" s="4">
        <f t="shared" ca="1" si="0"/>
        <v>0</v>
      </c>
    </row>
    <row r="20" spans="1:5" x14ac:dyDescent="0.25">
      <c r="A20" s="3">
        <v>46163</v>
      </c>
      <c r="B20" s="4">
        <f t="shared" ca="1" si="1"/>
        <v>0</v>
      </c>
      <c r="C20" s="4">
        <f t="shared" ca="1" si="2"/>
        <v>0</v>
      </c>
      <c r="D20" s="4" cm="1">
        <f t="array" aca="1" ref="D20" ca="1">IFERROR(SUM(COUNTIF(INDIRECT("'"&amp;TEXT(A20,"DD-MM")&amp;"'!M3:M200"),{"*đơn trả*","*hàng tỉnh*"})),0)</f>
        <v>0</v>
      </c>
      <c r="E20" s="4">
        <f t="shared" ca="1" si="0"/>
        <v>0</v>
      </c>
    </row>
    <row r="21" spans="1:5" x14ac:dyDescent="0.25">
      <c r="A21" s="3">
        <v>46164</v>
      </c>
      <c r="B21" s="4">
        <f t="shared" ca="1" si="1"/>
        <v>0</v>
      </c>
      <c r="C21" s="4">
        <f t="shared" ca="1" si="2"/>
        <v>0</v>
      </c>
      <c r="D21" s="4" cm="1">
        <f t="array" aca="1" ref="D21" ca="1">IFERROR(SUM(COUNTIF(INDIRECT("'"&amp;TEXT(A21,"DD-MM")&amp;"'!M3:M200"),{"*đơn trả*","*hàng tỉnh*"})),0)</f>
        <v>0</v>
      </c>
      <c r="E21" s="4">
        <f t="shared" ca="1" si="0"/>
        <v>0</v>
      </c>
    </row>
    <row r="22" spans="1:5" x14ac:dyDescent="0.25">
      <c r="A22" s="3">
        <v>46165</v>
      </c>
      <c r="B22" s="4">
        <f t="shared" ca="1" si="1"/>
        <v>0</v>
      </c>
      <c r="C22" s="4">
        <f t="shared" ca="1" si="2"/>
        <v>0</v>
      </c>
      <c r="D22" s="4" cm="1">
        <f t="array" aca="1" ref="D22" ca="1">IFERROR(SUM(COUNTIF(INDIRECT("'"&amp;TEXT(A22,"DD-MM")&amp;"'!M3:M200"),{"*đơn trả*","*hàng tỉnh*"})),0)</f>
        <v>0</v>
      </c>
      <c r="E22" s="4">
        <f t="shared" ca="1" si="0"/>
        <v>0</v>
      </c>
    </row>
    <row r="23" spans="1:5" x14ac:dyDescent="0.25">
      <c r="A23" s="3">
        <v>46167</v>
      </c>
      <c r="B23" s="4">
        <f t="shared" ca="1" si="1"/>
        <v>0</v>
      </c>
      <c r="C23" s="4">
        <f t="shared" ca="1" si="2"/>
        <v>0</v>
      </c>
      <c r="D23" s="4" cm="1">
        <f t="array" aca="1" ref="D23" ca="1">IFERROR(SUM(COUNTIF(INDIRECT("'"&amp;TEXT(A23,"DD-MM")&amp;"'!M3:M200"),{"*đơn trả*","*hàng tỉnh*"})),0)</f>
        <v>0</v>
      </c>
      <c r="E23" s="4">
        <f t="shared" ca="1" si="0"/>
        <v>0</v>
      </c>
    </row>
    <row r="24" spans="1:5" x14ac:dyDescent="0.25">
      <c r="A24" s="3">
        <v>46168</v>
      </c>
      <c r="B24" s="4">
        <f t="shared" ca="1" si="1"/>
        <v>0</v>
      </c>
      <c r="C24" s="4">
        <f t="shared" ca="1" si="2"/>
        <v>0</v>
      </c>
      <c r="D24" s="4" cm="1">
        <f t="array" aca="1" ref="D24" ca="1">IFERROR(SUM(COUNTIF(INDIRECT("'"&amp;TEXT(A24,"DD-MM")&amp;"'!M3:M200"),{"*đơn trả*","*hàng tỉnh*"})),0)</f>
        <v>0</v>
      </c>
      <c r="E24" s="4">
        <f t="shared" ca="1" si="0"/>
        <v>0</v>
      </c>
    </row>
    <row r="25" spans="1:5" x14ac:dyDescent="0.25">
      <c r="A25" s="3">
        <v>46169</v>
      </c>
      <c r="B25" s="4">
        <f t="shared" ca="1" si="1"/>
        <v>0</v>
      </c>
      <c r="C25" s="4">
        <f t="shared" ca="1" si="2"/>
        <v>0</v>
      </c>
      <c r="D25" s="4" cm="1">
        <f t="array" aca="1" ref="D25" ca="1">IFERROR(SUM(COUNTIF(INDIRECT("'"&amp;TEXT(A25,"DD-MM")&amp;"'!M3:M200"),{"*đơn trả*","*hàng tỉnh*"})),0)</f>
        <v>0</v>
      </c>
      <c r="E25" s="4">
        <f t="shared" ca="1" si="0"/>
        <v>0</v>
      </c>
    </row>
    <row r="26" spans="1:5" x14ac:dyDescent="0.25">
      <c r="A26" s="3">
        <v>46170</v>
      </c>
      <c r="B26" s="4">
        <f t="shared" ca="1" si="1"/>
        <v>0</v>
      </c>
      <c r="C26" s="4">
        <f t="shared" ca="1" si="2"/>
        <v>0</v>
      </c>
      <c r="D26" s="4" cm="1">
        <f t="array" aca="1" ref="D26" ca="1">IFERROR(SUM(COUNTIF(INDIRECT("'"&amp;TEXT(A26,"DD-MM")&amp;"'!M3:M200"),{"*đơn trả*","*hàng tỉnh*"})),0)</f>
        <v>0</v>
      </c>
      <c r="E26" s="4">
        <f t="shared" ca="1" si="0"/>
        <v>0</v>
      </c>
    </row>
    <row r="27" spans="1:5" x14ac:dyDescent="0.25">
      <c r="A27" s="3">
        <v>46171</v>
      </c>
      <c r="B27" s="4">
        <f t="shared" ca="1" si="1"/>
        <v>0</v>
      </c>
      <c r="C27" s="4">
        <f t="shared" ca="1" si="2"/>
        <v>0</v>
      </c>
      <c r="D27" s="4" cm="1">
        <f t="array" aca="1" ref="D27" ca="1">IFERROR(SUM(COUNTIF(INDIRECT("'"&amp;TEXT(A27,"DD-MM")&amp;"'!M3:M200"),{"*đơn trả*","*hàng tỉnh*"})),0)</f>
        <v>0</v>
      </c>
      <c r="E27" s="4">
        <f t="shared" ca="1" si="0"/>
        <v>0</v>
      </c>
    </row>
    <row r="28" spans="1:5" x14ac:dyDescent="0.25">
      <c r="A28" s="3">
        <v>46172</v>
      </c>
      <c r="B28" s="4">
        <f t="shared" ca="1" si="1"/>
        <v>0</v>
      </c>
      <c r="C28" s="4">
        <f t="shared" ca="1" si="2"/>
        <v>0</v>
      </c>
      <c r="D28" s="4" cm="1">
        <f t="array" aca="1" ref="D28" ca="1">IFERROR(SUM(COUNTIF(INDIRECT("'"&amp;TEXT(A28,"DD-MM")&amp;"'!M3:M200"),{"*đơn trả*","*hàng tỉnh*"})),0)</f>
        <v>0</v>
      </c>
      <c r="E28" s="4">
        <f t="shared" ca="1" si="0"/>
        <v>0</v>
      </c>
    </row>
    <row r="29" spans="1:5" x14ac:dyDescent="0.25">
      <c r="D29" s="5" t="s">
        <v>6</v>
      </c>
      <c r="E29" s="5">
        <f ca="1">SUBTOTAL(9,E3:E28)</f>
        <v>0</v>
      </c>
    </row>
    <row r="30" spans="1:5" x14ac:dyDescent="0.25">
      <c r="D30" s="5" t="s">
        <v>7</v>
      </c>
      <c r="E30" s="5" cm="1">
        <f t="array" aca="1" ref="E30" ca="1">SUMPRODUCT(
    IFERROR(
        SUMIF(
            INDIRECT("'"&amp;TEXT(A3:A28,"dd-mm")&amp;"'!O:O"),
            "tổng",
            INDIRECT("'"&amp;TEXT(A3:A28,"dd-mm")&amp;"'!P:P")
        ),
    0)
)</f>
        <v>0</v>
      </c>
    </row>
    <row r="31" spans="1:5" x14ac:dyDescent="0.25">
      <c r="D31" s="5" t="s">
        <v>8</v>
      </c>
      <c r="E31" s="5">
        <f ca="1">-E29*2</f>
        <v>0</v>
      </c>
    </row>
    <row r="32" spans="1:5" x14ac:dyDescent="0.25">
      <c r="D32" s="5" t="s">
        <v>9</v>
      </c>
      <c r="E32" s="5">
        <f ca="1">SUBTOTAL(9,E30:E31)</f>
        <v>0</v>
      </c>
    </row>
  </sheetData>
  <autoFilter ref="A2:E28" xr:uid="{00000000-0009-0000-0000-000001000000}"/>
  <phoneticPr fontId="4" type="noConversion"/>
  <conditionalFormatting sqref="C3:D28">
    <cfRule type="expression" dxfId="4" priority="1">
      <formula>C3&lt;&gt;0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168F0-4776-4EB5-AB58-A94C5839ED61}">
  <sheetPr>
    <tabColor theme="0" tint="-0.499984740745262"/>
  </sheetPr>
  <dimension ref="A1:E33"/>
  <sheetViews>
    <sheetView tabSelected="1" workbookViewId="0">
      <selection activeCell="A29" sqref="A29:XFD29"/>
    </sheetView>
  </sheetViews>
  <sheetFormatPr defaultColWidth="9.140625" defaultRowHeight="15" x14ac:dyDescent="0.25"/>
  <cols>
    <col min="1" max="1" width="14.28515625" style="6" bestFit="1" customWidth="1"/>
    <col min="2" max="2" width="13.28515625" style="6" bestFit="1" customWidth="1"/>
    <col min="3" max="3" width="11.7109375" style="6" bestFit="1" customWidth="1"/>
    <col min="4" max="4" width="17.5703125" style="6" bestFit="1" customWidth="1"/>
    <col min="5" max="5" width="15.85546875" style="6" bestFit="1" customWidth="1"/>
    <col min="6" max="6" width="9.140625" style="6" customWidth="1"/>
    <col min="7" max="16384" width="9.140625" style="6"/>
  </cols>
  <sheetData>
    <row r="1" spans="1:5" x14ac:dyDescent="0.25">
      <c r="A1" s="6" t="s">
        <v>10</v>
      </c>
      <c r="B1" s="6">
        <v>2026</v>
      </c>
    </row>
    <row r="2" spans="1:5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</row>
    <row r="3" spans="1:5" x14ac:dyDescent="0.25">
      <c r="A3" s="8" t="s">
        <v>11</v>
      </c>
      <c r="B3" s="9">
        <f ca="1">IFERROR(COUNTIF(INDIRECT("'"&amp;A3&amp;"'!L3:L200"),LEFT(A3,FIND("_",A3&amp;"_")-1)&amp;"-"&amp;B$1),0)</f>
        <v>38</v>
      </c>
      <c r="C3" s="9">
        <f ca="1">IFERROR(COUNTIF(INDIRECT("'"&amp;A3&amp;"'!M3:M200"),"*gộp*")/2,0)</f>
        <v>0</v>
      </c>
      <c r="D3" s="9" cm="1">
        <f t="array" aca="1" ref="D3" ca="1">IFERROR(SUM(COUNTIF(INDIRECT("'"&amp;A3&amp;"'!M3:M200"),{"*đơn trả*","*hàng tỉnh*"})),0)</f>
        <v>1</v>
      </c>
      <c r="E3" s="9">
        <f t="shared" ref="E3:E29" ca="1" si="0">B3-C3-D3</f>
        <v>37</v>
      </c>
    </row>
    <row r="4" spans="1:5" x14ac:dyDescent="0.25">
      <c r="A4" s="8" t="s">
        <v>12</v>
      </c>
      <c r="B4" s="9">
        <f t="shared" ref="B4:B29" ca="1" si="1">IFERROR(COUNTIF(INDIRECT("'"&amp;A4&amp;"'!L3:L200"),LEFT(A4,FIND("_",A4&amp;"_")-1)&amp;"-"&amp;B$1),0)</f>
        <v>44</v>
      </c>
      <c r="C4" s="9">
        <f t="shared" ref="C4:C29" ca="1" si="2">IFERROR(COUNTIF(INDIRECT("'"&amp;A4&amp;"'!M3:M200"),"*gộp*")/2,0)</f>
        <v>0</v>
      </c>
      <c r="D4" s="9" cm="1">
        <f t="array" aca="1" ref="D4" ca="1">IFERROR(SUM(COUNTIF(INDIRECT("'"&amp;A4&amp;"'!M3:M200"),{"*đơn trả*","*hàng tỉnh*"})),0)</f>
        <v>1</v>
      </c>
      <c r="E4" s="9">
        <f t="shared" ca="1" si="0"/>
        <v>43</v>
      </c>
    </row>
    <row r="5" spans="1:5" x14ac:dyDescent="0.25">
      <c r="A5" s="8" t="s">
        <v>13</v>
      </c>
      <c r="B5" s="9">
        <f t="shared" ca="1" si="1"/>
        <v>23</v>
      </c>
      <c r="C5" s="9">
        <f t="shared" ca="1" si="2"/>
        <v>0</v>
      </c>
      <c r="D5" s="9" cm="1">
        <f t="array" aca="1" ref="D5" ca="1">IFERROR(SUM(COUNTIF(INDIRECT("'"&amp;A5&amp;"'!M3:M200"),{"*đơn trả*","*hàng tỉnh*"})),0)</f>
        <v>0</v>
      </c>
      <c r="E5" s="9">
        <f t="shared" ca="1" si="0"/>
        <v>23</v>
      </c>
    </row>
    <row r="6" spans="1:5" x14ac:dyDescent="0.25">
      <c r="A6" s="8" t="s">
        <v>14</v>
      </c>
      <c r="B6" s="9">
        <f t="shared" ca="1" si="1"/>
        <v>0</v>
      </c>
      <c r="C6" s="9">
        <f t="shared" ca="1" si="2"/>
        <v>0</v>
      </c>
      <c r="D6" s="9" cm="1">
        <f t="array" aca="1" ref="D6" ca="1">IFERROR(SUM(COUNTIF(INDIRECT("'"&amp;A6&amp;"'!M3:M200"),{"*đơn trả*","*hàng tỉnh*"})),0)</f>
        <v>0</v>
      </c>
      <c r="E6" s="9">
        <f t="shared" ca="1" si="0"/>
        <v>0</v>
      </c>
    </row>
    <row r="7" spans="1:5" x14ac:dyDescent="0.25">
      <c r="A7" s="8" t="s">
        <v>15</v>
      </c>
      <c r="B7" s="9">
        <f t="shared" ca="1" si="1"/>
        <v>0</v>
      </c>
      <c r="C7" s="9">
        <f t="shared" ca="1" si="2"/>
        <v>0</v>
      </c>
      <c r="D7" s="9" cm="1">
        <f t="array" aca="1" ref="D7" ca="1">IFERROR(SUM(COUNTIF(INDIRECT("'"&amp;A7&amp;"'!M3:M200"),{"*đơn trả*","*hàng tỉnh*"})),0)</f>
        <v>0</v>
      </c>
      <c r="E7" s="9">
        <f t="shared" ca="1" si="0"/>
        <v>0</v>
      </c>
    </row>
    <row r="8" spans="1:5" x14ac:dyDescent="0.25">
      <c r="A8" s="8" t="s">
        <v>16</v>
      </c>
      <c r="B8" s="9">
        <f t="shared" ca="1" si="1"/>
        <v>0</v>
      </c>
      <c r="C8" s="9">
        <f t="shared" ca="1" si="2"/>
        <v>0</v>
      </c>
      <c r="D8" s="9" cm="1">
        <f t="array" aca="1" ref="D8" ca="1">IFERROR(SUM(COUNTIF(INDIRECT("'"&amp;A8&amp;"'!M3:M200"),{"*đơn trả*","*hàng tỉnh*"})),0)</f>
        <v>0</v>
      </c>
      <c r="E8" s="9">
        <f t="shared" ca="1" si="0"/>
        <v>0</v>
      </c>
    </row>
    <row r="9" spans="1:5" x14ac:dyDescent="0.25">
      <c r="A9" s="8" t="s">
        <v>17</v>
      </c>
      <c r="B9" s="9">
        <f t="shared" ca="1" si="1"/>
        <v>0</v>
      </c>
      <c r="C9" s="9">
        <f t="shared" ca="1" si="2"/>
        <v>0</v>
      </c>
      <c r="D9" s="9" cm="1">
        <f t="array" aca="1" ref="D9" ca="1">IFERROR(SUM(COUNTIF(INDIRECT("'"&amp;A9&amp;"'!M3:M200"),{"*đơn trả*","*hàng tỉnh*"})),0)</f>
        <v>0</v>
      </c>
      <c r="E9" s="9">
        <f t="shared" ca="1" si="0"/>
        <v>0</v>
      </c>
    </row>
    <row r="10" spans="1:5" x14ac:dyDescent="0.25">
      <c r="A10" s="8" t="s">
        <v>18</v>
      </c>
      <c r="B10" s="9">
        <f t="shared" ca="1" si="1"/>
        <v>0</v>
      </c>
      <c r="C10" s="9">
        <f t="shared" ca="1" si="2"/>
        <v>0</v>
      </c>
      <c r="D10" s="9" cm="1">
        <f t="array" aca="1" ref="D10" ca="1">IFERROR(SUM(COUNTIF(INDIRECT("'"&amp;A10&amp;"'!M3:M200"),{"*đơn trả*","*hàng tỉnh*"})),0)</f>
        <v>0</v>
      </c>
      <c r="E10" s="9">
        <f t="shared" ca="1" si="0"/>
        <v>0</v>
      </c>
    </row>
    <row r="11" spans="1:5" x14ac:dyDescent="0.25">
      <c r="A11" s="8" t="s">
        <v>19</v>
      </c>
      <c r="B11" s="9">
        <f t="shared" ca="1" si="1"/>
        <v>0</v>
      </c>
      <c r="C11" s="9">
        <f t="shared" ca="1" si="2"/>
        <v>0</v>
      </c>
      <c r="D11" s="9" cm="1">
        <f t="array" aca="1" ref="D11" ca="1">IFERROR(SUM(COUNTIF(INDIRECT("'"&amp;A11&amp;"'!M3:M200"),{"*đơn trả*","*hàng tỉnh*"})),0)</f>
        <v>0</v>
      </c>
      <c r="E11" s="9">
        <f t="shared" ca="1" si="0"/>
        <v>0</v>
      </c>
    </row>
    <row r="12" spans="1:5" x14ac:dyDescent="0.25">
      <c r="A12" s="8" t="s">
        <v>20</v>
      </c>
      <c r="B12" s="9">
        <f t="shared" ca="1" si="1"/>
        <v>0</v>
      </c>
      <c r="C12" s="9">
        <f t="shared" ca="1" si="2"/>
        <v>0</v>
      </c>
      <c r="D12" s="9" cm="1">
        <f t="array" aca="1" ref="D12" ca="1">IFERROR(SUM(COUNTIF(INDIRECT("'"&amp;A12&amp;"'!M3:M200"),{"*đơn trả*","*hàng tỉnh*"})),0)</f>
        <v>0</v>
      </c>
      <c r="E12" s="9">
        <f t="shared" ca="1" si="0"/>
        <v>0</v>
      </c>
    </row>
    <row r="13" spans="1:5" x14ac:dyDescent="0.25">
      <c r="A13" s="8" t="s">
        <v>21</v>
      </c>
      <c r="B13" s="9">
        <f t="shared" ca="1" si="1"/>
        <v>0</v>
      </c>
      <c r="C13" s="9">
        <f t="shared" ca="1" si="2"/>
        <v>0</v>
      </c>
      <c r="D13" s="9" cm="1">
        <f t="array" aca="1" ref="D13" ca="1">IFERROR(SUM(COUNTIF(INDIRECT("'"&amp;A13&amp;"'!M3:M200"),{"*đơn trả*","*hàng tỉnh*"})),0)</f>
        <v>0</v>
      </c>
      <c r="E13" s="9">
        <f t="shared" ca="1" si="0"/>
        <v>0</v>
      </c>
    </row>
    <row r="14" spans="1:5" x14ac:dyDescent="0.25">
      <c r="A14" s="8" t="s">
        <v>22</v>
      </c>
      <c r="B14" s="9">
        <f t="shared" ca="1" si="1"/>
        <v>0</v>
      </c>
      <c r="C14" s="9">
        <f t="shared" ca="1" si="2"/>
        <v>0</v>
      </c>
      <c r="D14" s="9" cm="1">
        <f t="array" aca="1" ref="D14" ca="1">IFERROR(SUM(COUNTIF(INDIRECT("'"&amp;A14&amp;"'!M3:M200"),{"*đơn trả*","*hàng tỉnh*"})),0)</f>
        <v>0</v>
      </c>
      <c r="E14" s="9">
        <f t="shared" ca="1" si="0"/>
        <v>0</v>
      </c>
    </row>
    <row r="15" spans="1:5" x14ac:dyDescent="0.25">
      <c r="A15" s="8" t="s">
        <v>23</v>
      </c>
      <c r="B15" s="9">
        <f t="shared" ca="1" si="1"/>
        <v>0</v>
      </c>
      <c r="C15" s="9">
        <f t="shared" ca="1" si="2"/>
        <v>0</v>
      </c>
      <c r="D15" s="9" cm="1">
        <f t="array" aca="1" ref="D15" ca="1">IFERROR(SUM(COUNTIF(INDIRECT("'"&amp;A15&amp;"'!M3:M200"),{"*đơn trả*","*hàng tỉnh*"})),0)</f>
        <v>0</v>
      </c>
      <c r="E15" s="9">
        <f t="shared" ca="1" si="0"/>
        <v>0</v>
      </c>
    </row>
    <row r="16" spans="1:5" x14ac:dyDescent="0.25">
      <c r="A16" s="8" t="s">
        <v>24</v>
      </c>
      <c r="B16" s="9">
        <f t="shared" ca="1" si="1"/>
        <v>0</v>
      </c>
      <c r="C16" s="9">
        <f t="shared" ca="1" si="2"/>
        <v>0</v>
      </c>
      <c r="D16" s="9" cm="1">
        <f t="array" aca="1" ref="D16" ca="1">IFERROR(SUM(COUNTIF(INDIRECT("'"&amp;A16&amp;"'!M3:M200"),{"*đơn trả*","*hàng tỉnh*"})),0)</f>
        <v>0</v>
      </c>
      <c r="E16" s="9">
        <f t="shared" ca="1" si="0"/>
        <v>0</v>
      </c>
    </row>
    <row r="17" spans="1:5" x14ac:dyDescent="0.25">
      <c r="A17" s="8" t="s">
        <v>25</v>
      </c>
      <c r="B17" s="9">
        <f t="shared" ca="1" si="1"/>
        <v>0</v>
      </c>
      <c r="C17" s="9">
        <f t="shared" ca="1" si="2"/>
        <v>0</v>
      </c>
      <c r="D17" s="9" cm="1">
        <f t="array" aca="1" ref="D17" ca="1">IFERROR(SUM(COUNTIF(INDIRECT("'"&amp;A17&amp;"'!M3:M200"),{"*đơn trả*","*hàng tỉnh*"})),0)</f>
        <v>0</v>
      </c>
      <c r="E17" s="9">
        <f t="shared" ca="1" si="0"/>
        <v>0</v>
      </c>
    </row>
    <row r="18" spans="1:5" x14ac:dyDescent="0.25">
      <c r="A18" s="8" t="s">
        <v>26</v>
      </c>
      <c r="B18" s="9">
        <f t="shared" ca="1" si="1"/>
        <v>0</v>
      </c>
      <c r="C18" s="9">
        <f t="shared" ca="1" si="2"/>
        <v>0</v>
      </c>
      <c r="D18" s="9" cm="1">
        <f t="array" aca="1" ref="D18" ca="1">IFERROR(SUM(COUNTIF(INDIRECT("'"&amp;A18&amp;"'!M3:M200"),{"*đơn trả*","*hàng tỉnh*"})),0)</f>
        <v>0</v>
      </c>
      <c r="E18" s="9">
        <f t="shared" ca="1" si="0"/>
        <v>0</v>
      </c>
    </row>
    <row r="19" spans="1:5" x14ac:dyDescent="0.25">
      <c r="A19" s="8" t="s">
        <v>27</v>
      </c>
      <c r="B19" s="9">
        <f t="shared" ca="1" si="1"/>
        <v>0</v>
      </c>
      <c r="C19" s="9">
        <f t="shared" ca="1" si="2"/>
        <v>0</v>
      </c>
      <c r="D19" s="9" cm="1">
        <f t="array" aca="1" ref="D19" ca="1">IFERROR(SUM(COUNTIF(INDIRECT("'"&amp;A19&amp;"'!M3:M200"),{"*đơn trả*","*hàng tỉnh*"})),0)</f>
        <v>0</v>
      </c>
      <c r="E19" s="9">
        <f t="shared" ca="1" si="0"/>
        <v>0</v>
      </c>
    </row>
    <row r="20" spans="1:5" x14ac:dyDescent="0.25">
      <c r="A20" s="8" t="s">
        <v>28</v>
      </c>
      <c r="B20" s="9">
        <f t="shared" ca="1" si="1"/>
        <v>0</v>
      </c>
      <c r="C20" s="9">
        <f t="shared" ca="1" si="2"/>
        <v>0</v>
      </c>
      <c r="D20" s="9" cm="1">
        <f t="array" aca="1" ref="D20" ca="1">IFERROR(SUM(COUNTIF(INDIRECT("'"&amp;A20&amp;"'!M3:M200"),{"*đơn trả*","*hàng tỉnh*"})),0)</f>
        <v>0</v>
      </c>
      <c r="E20" s="9">
        <f t="shared" ca="1" si="0"/>
        <v>0</v>
      </c>
    </row>
    <row r="21" spans="1:5" x14ac:dyDescent="0.25">
      <c r="A21" s="8" t="s">
        <v>29</v>
      </c>
      <c r="B21" s="9">
        <f t="shared" ca="1" si="1"/>
        <v>0</v>
      </c>
      <c r="C21" s="9">
        <f t="shared" ca="1" si="2"/>
        <v>0</v>
      </c>
      <c r="D21" s="9" cm="1">
        <f t="array" aca="1" ref="D21" ca="1">IFERROR(SUM(COUNTIF(INDIRECT("'"&amp;A21&amp;"'!M3:M200"),{"*đơn trả*","*hàng tỉnh*"})),0)</f>
        <v>0</v>
      </c>
      <c r="E21" s="9">
        <f t="shared" ca="1" si="0"/>
        <v>0</v>
      </c>
    </row>
    <row r="22" spans="1:5" x14ac:dyDescent="0.25">
      <c r="A22" s="8" t="s">
        <v>30</v>
      </c>
      <c r="B22" s="9">
        <f t="shared" ca="1" si="1"/>
        <v>42</v>
      </c>
      <c r="C22" s="9">
        <f t="shared" ca="1" si="2"/>
        <v>0</v>
      </c>
      <c r="D22" s="9" cm="1">
        <f t="array" aca="1" ref="D22" ca="1">IFERROR(SUM(COUNTIF(INDIRECT("'"&amp;A22&amp;"'!M3:M200"),{"*đơn trả*","*hàng tỉnh*"})),0)</f>
        <v>0</v>
      </c>
      <c r="E22" s="9">
        <f t="shared" ca="1" si="0"/>
        <v>42</v>
      </c>
    </row>
    <row r="23" spans="1:5" x14ac:dyDescent="0.25">
      <c r="A23" s="8" t="s">
        <v>31</v>
      </c>
      <c r="B23" s="9">
        <f t="shared" ca="1" si="1"/>
        <v>60</v>
      </c>
      <c r="C23" s="9">
        <f t="shared" ca="1" si="2"/>
        <v>0</v>
      </c>
      <c r="D23" s="9" cm="1">
        <f t="array" aca="1" ref="D23" ca="1">IFERROR(SUM(COUNTIF(INDIRECT("'"&amp;A23&amp;"'!M3:M200"),{"*đơn trả*","*hàng tỉnh*"})),0)</f>
        <v>0</v>
      </c>
      <c r="E23" s="9">
        <f t="shared" ca="1" si="0"/>
        <v>60</v>
      </c>
    </row>
    <row r="24" spans="1:5" x14ac:dyDescent="0.25">
      <c r="A24" s="8" t="s">
        <v>32</v>
      </c>
      <c r="B24" s="9">
        <f t="shared" ca="1" si="1"/>
        <v>0</v>
      </c>
      <c r="C24" s="9">
        <f t="shared" ca="1" si="2"/>
        <v>0</v>
      </c>
      <c r="D24" s="9" cm="1">
        <f t="array" aca="1" ref="D24" ca="1">IFERROR(SUM(COUNTIF(INDIRECT("'"&amp;A24&amp;"'!M3:M200"),{"*đơn trả*","*hàng tỉnh*"})),0)</f>
        <v>0</v>
      </c>
      <c r="E24" s="9">
        <f t="shared" ca="1" si="0"/>
        <v>0</v>
      </c>
    </row>
    <row r="25" spans="1:5" x14ac:dyDescent="0.25">
      <c r="A25" s="8" t="s">
        <v>33</v>
      </c>
      <c r="B25" s="9">
        <f t="shared" ca="1" si="1"/>
        <v>0</v>
      </c>
      <c r="C25" s="9">
        <f t="shared" ca="1" si="2"/>
        <v>0</v>
      </c>
      <c r="D25" s="9" cm="1">
        <f t="array" aca="1" ref="D25" ca="1">IFERROR(SUM(COUNTIF(INDIRECT("'"&amp;A25&amp;"'!M3:M200"),{"*đơn trả*","*hàng tỉnh*"})),0)</f>
        <v>0</v>
      </c>
      <c r="E25" s="9">
        <f t="shared" ca="1" si="0"/>
        <v>0</v>
      </c>
    </row>
    <row r="26" spans="1:5" x14ac:dyDescent="0.25">
      <c r="A26" s="8" t="s">
        <v>34</v>
      </c>
      <c r="B26" s="9">
        <f t="shared" ca="1" si="1"/>
        <v>0</v>
      </c>
      <c r="C26" s="9">
        <f t="shared" ca="1" si="2"/>
        <v>0</v>
      </c>
      <c r="D26" s="9" cm="1">
        <f t="array" aca="1" ref="D26" ca="1">IFERROR(SUM(COUNTIF(INDIRECT("'"&amp;A26&amp;"'!M3:M200"),{"*đơn trả*","*hàng tỉnh*"})),0)</f>
        <v>0</v>
      </c>
      <c r="E26" s="9">
        <f t="shared" ca="1" si="0"/>
        <v>0</v>
      </c>
    </row>
    <row r="27" spans="1:5" x14ac:dyDescent="0.25">
      <c r="A27" s="8" t="s">
        <v>35</v>
      </c>
      <c r="B27" s="9">
        <f t="shared" ca="1" si="1"/>
        <v>0</v>
      </c>
      <c r="C27" s="9">
        <f t="shared" ca="1" si="2"/>
        <v>0</v>
      </c>
      <c r="D27" s="9" cm="1">
        <f t="array" aca="1" ref="D27" ca="1">IFERROR(SUM(COUNTIF(INDIRECT("'"&amp;A27&amp;"'!M3:M200"),{"*đơn trả*","*hàng tỉnh*"})),0)</f>
        <v>0</v>
      </c>
      <c r="E27" s="9">
        <f t="shared" ca="1" si="0"/>
        <v>0</v>
      </c>
    </row>
    <row r="28" spans="1:5" x14ac:dyDescent="0.25">
      <c r="A28" s="8" t="s">
        <v>36</v>
      </c>
      <c r="B28" s="9">
        <f t="shared" ca="1" si="1"/>
        <v>0</v>
      </c>
      <c r="C28" s="9">
        <f t="shared" ca="1" si="2"/>
        <v>0</v>
      </c>
      <c r="D28" s="9" cm="1">
        <f t="array" aca="1" ref="D28" ca="1">IFERROR(SUM(COUNTIF(INDIRECT("'"&amp;A28&amp;"'!M3:M200"),{"*đơn trả*","*hàng tỉnh*"})),0)</f>
        <v>0</v>
      </c>
      <c r="E28" s="9">
        <f t="shared" ca="1" si="0"/>
        <v>0</v>
      </c>
    </row>
    <row r="29" spans="1:5" x14ac:dyDescent="0.25">
      <c r="A29" s="8" t="s">
        <v>37</v>
      </c>
      <c r="B29" s="9">
        <f t="shared" ca="1" si="1"/>
        <v>0</v>
      </c>
      <c r="C29" s="9">
        <f t="shared" ca="1" si="2"/>
        <v>0</v>
      </c>
      <c r="D29" s="9" cm="1">
        <f t="array" aca="1" ref="D29" ca="1">IFERROR(SUM(COUNTIF(INDIRECT("'"&amp;A29&amp;"'!M3:M200"),{"*đơn trả*","*hàng tỉnh*"})),0)</f>
        <v>0</v>
      </c>
      <c r="E29" s="9">
        <f t="shared" ca="1" si="0"/>
        <v>0</v>
      </c>
    </row>
    <row r="30" spans="1:5" x14ac:dyDescent="0.25">
      <c r="D30" s="10" t="s">
        <v>6</v>
      </c>
      <c r="E30" s="10">
        <f ca="1">SUBTOTAL(9,E3:E29)</f>
        <v>205</v>
      </c>
    </row>
    <row r="31" spans="1:5" x14ac:dyDescent="0.25">
      <c r="D31" s="10" t="s">
        <v>7</v>
      </c>
      <c r="E31" s="10" cm="1">
        <f t="array" aca="1" ref="E31" ca="1">SUMPRODUCT(
    IFERROR(
        SUMIF(
            INDIRECT("'"&amp;A3:A29&amp;"'!O:O"),
            "tổng",
            INDIRECT("'"&amp;A3:A29&amp;"'!P:P")
        ),
    0)
)</f>
        <v>848</v>
      </c>
    </row>
    <row r="32" spans="1:5" x14ac:dyDescent="0.25">
      <c r="D32" s="10" t="s">
        <v>8</v>
      </c>
      <c r="E32" s="10">
        <f ca="1">-E30*2</f>
        <v>-410</v>
      </c>
    </row>
    <row r="33" spans="4:5" x14ac:dyDescent="0.25">
      <c r="D33" s="10" t="s">
        <v>9</v>
      </c>
      <c r="E33" s="10">
        <f ca="1">SUBTOTAL(9,E31:E32)</f>
        <v>438</v>
      </c>
    </row>
  </sheetData>
  <autoFilter ref="A2:E29" xr:uid="{00000000-0009-0000-0000-000000000000}"/>
  <conditionalFormatting sqref="C3:D29">
    <cfRule type="expression" dxfId="3" priority="2">
      <formula>C3&lt;&gt;0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91310-214D-4B15-BDCC-3A848076D934}">
  <sheetPr>
    <tabColor theme="0" tint="-0.499984740745262"/>
  </sheetPr>
  <dimension ref="A1:E32"/>
  <sheetViews>
    <sheetView workbookViewId="0">
      <selection activeCell="A3" sqref="A3"/>
    </sheetView>
  </sheetViews>
  <sheetFormatPr defaultColWidth="9.140625" defaultRowHeight="15" x14ac:dyDescent="0.25"/>
  <cols>
    <col min="1" max="1" width="14.28515625" style="6" bestFit="1" customWidth="1"/>
    <col min="2" max="2" width="13.28515625" style="6" bestFit="1" customWidth="1"/>
    <col min="3" max="3" width="11.7109375" style="6" bestFit="1" customWidth="1"/>
    <col min="4" max="4" width="17.5703125" style="6" bestFit="1" customWidth="1"/>
    <col min="5" max="5" width="15.85546875" style="6" bestFit="1" customWidth="1"/>
    <col min="6" max="6" width="9.140625" style="6" customWidth="1"/>
    <col min="7" max="16384" width="9.140625" style="6"/>
  </cols>
  <sheetData>
    <row r="1" spans="1:5" x14ac:dyDescent="0.25">
      <c r="A1" s="6" t="s">
        <v>10</v>
      </c>
      <c r="B1" s="6">
        <v>2026</v>
      </c>
    </row>
    <row r="2" spans="1:5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</row>
    <row r="3" spans="1:5" x14ac:dyDescent="0.25">
      <c r="A3" s="11" t="str" cm="1">
        <f t="array" ref="A3:A28">_xlfn.LET(
    _xlpm.start,DATE(B1,--TRIM(_xlfn.TEXTAFTER(A1," ")),1),
    _xlpm.days,_xlfn.SEQUENCE(DAY(EOMONTH(_xlpm.start,0)),,_xlpm.start),
    TEXT(_xlfn._xlws.FILTER(_xlpm.days,WEEKDAY(_xlpm.days,2)&lt;&gt;7),"dd-mm")
)</f>
        <v>01-08</v>
      </c>
      <c r="B3" s="9">
        <f ca="1">IFERROR(COUNTIF(INDIRECT("'"&amp;A3&amp;"'!L3:L200"),LEFT(A3,FIND("_",A3&amp;"_")-1)&amp;"-"&amp;B$1),0)</f>
        <v>38</v>
      </c>
      <c r="C3" s="9">
        <f ca="1">IFERROR(COUNTIF(INDIRECT("'"&amp;A3&amp;"'!M3:M200"),"*gộp*")/2,0)</f>
        <v>0</v>
      </c>
      <c r="D3" s="9" cm="1">
        <f t="array" aca="1" ref="D3" ca="1">IFERROR(SUM(COUNTIF(INDIRECT("'"&amp;A3&amp;"'!M3:M200"),{"*đơn trả*","*hàng tỉnh*"})),0)</f>
        <v>1</v>
      </c>
      <c r="E3" s="9">
        <f t="shared" ref="E3:E28" ca="1" si="0">B3-C3-D3</f>
        <v>37</v>
      </c>
    </row>
    <row r="4" spans="1:5" x14ac:dyDescent="0.25">
      <c r="A4" s="8" t="str">
        <v>03-08</v>
      </c>
      <c r="B4" s="9">
        <f t="shared" ref="B4:B28" ca="1" si="1">IFERROR(COUNTIF(INDIRECT("'"&amp;A4&amp;"'!L3:L200"),LEFT(A4,FIND("_",A4&amp;"_")-1)&amp;"-"&amp;B$1),0)</f>
        <v>44</v>
      </c>
      <c r="C4" s="9">
        <f t="shared" ref="C4:C28" ca="1" si="2">IFERROR(COUNTIF(INDIRECT("'"&amp;A4&amp;"'!M3:M200"),"*gộp*")/2,0)</f>
        <v>0</v>
      </c>
      <c r="D4" s="9" cm="1">
        <f t="array" aca="1" ref="D4" ca="1">IFERROR(SUM(COUNTIF(INDIRECT("'"&amp;A4&amp;"'!M3:M200"),{"*đơn trả*","*hàng tỉnh*"})),0)</f>
        <v>1</v>
      </c>
      <c r="E4" s="9">
        <f t="shared" ca="1" si="0"/>
        <v>43</v>
      </c>
    </row>
    <row r="5" spans="1:5" x14ac:dyDescent="0.25">
      <c r="A5" s="8" t="str">
        <v>04-08</v>
      </c>
      <c r="B5" s="9">
        <f t="shared" ca="1" si="1"/>
        <v>23</v>
      </c>
      <c r="C5" s="9">
        <f t="shared" ca="1" si="2"/>
        <v>0</v>
      </c>
      <c r="D5" s="9" cm="1">
        <f t="array" aca="1" ref="D5" ca="1">IFERROR(SUM(COUNTIF(INDIRECT("'"&amp;A5&amp;"'!M3:M200"),{"*đơn trả*","*hàng tỉnh*"})),0)</f>
        <v>0</v>
      </c>
      <c r="E5" s="9">
        <f t="shared" ca="1" si="0"/>
        <v>23</v>
      </c>
    </row>
    <row r="6" spans="1:5" x14ac:dyDescent="0.25">
      <c r="A6" s="8" t="str">
        <v>05-08</v>
      </c>
      <c r="B6" s="9">
        <f t="shared" ca="1" si="1"/>
        <v>0</v>
      </c>
      <c r="C6" s="9">
        <f t="shared" ca="1" si="2"/>
        <v>0</v>
      </c>
      <c r="D6" s="9" cm="1">
        <f t="array" aca="1" ref="D6" ca="1">IFERROR(SUM(COUNTIF(INDIRECT("'"&amp;A6&amp;"'!M3:M200"),{"*đơn trả*","*hàng tỉnh*"})),0)</f>
        <v>0</v>
      </c>
      <c r="E6" s="9">
        <f t="shared" ca="1" si="0"/>
        <v>0</v>
      </c>
    </row>
    <row r="7" spans="1:5" x14ac:dyDescent="0.25">
      <c r="A7" s="8" t="str">
        <v>06-08</v>
      </c>
      <c r="B7" s="9">
        <f t="shared" ca="1" si="1"/>
        <v>0</v>
      </c>
      <c r="C7" s="9">
        <f t="shared" ca="1" si="2"/>
        <v>0</v>
      </c>
      <c r="D7" s="9" cm="1">
        <f t="array" aca="1" ref="D7" ca="1">IFERROR(SUM(COUNTIF(INDIRECT("'"&amp;A7&amp;"'!M3:M200"),{"*đơn trả*","*hàng tỉnh*"})),0)</f>
        <v>0</v>
      </c>
      <c r="E7" s="9">
        <f t="shared" ca="1" si="0"/>
        <v>0</v>
      </c>
    </row>
    <row r="8" spans="1:5" x14ac:dyDescent="0.25">
      <c r="A8" s="8" t="str">
        <v>07-08</v>
      </c>
      <c r="B8" s="9">
        <f t="shared" ca="1" si="1"/>
        <v>0</v>
      </c>
      <c r="C8" s="9">
        <f t="shared" ca="1" si="2"/>
        <v>0</v>
      </c>
      <c r="D8" s="9" cm="1">
        <f t="array" aca="1" ref="D8" ca="1">IFERROR(SUM(COUNTIF(INDIRECT("'"&amp;A8&amp;"'!M3:M200"),{"*đơn trả*","*hàng tỉnh*"})),0)</f>
        <v>0</v>
      </c>
      <c r="E8" s="9">
        <f t="shared" ca="1" si="0"/>
        <v>0</v>
      </c>
    </row>
    <row r="9" spans="1:5" x14ac:dyDescent="0.25">
      <c r="A9" s="8" t="str">
        <v>08-08</v>
      </c>
      <c r="B9" s="9">
        <f t="shared" ca="1" si="1"/>
        <v>0</v>
      </c>
      <c r="C9" s="9">
        <f t="shared" ca="1" si="2"/>
        <v>0</v>
      </c>
      <c r="D9" s="9" cm="1">
        <f t="array" aca="1" ref="D9" ca="1">IFERROR(SUM(COUNTIF(INDIRECT("'"&amp;A9&amp;"'!M3:M200"),{"*đơn trả*","*hàng tỉnh*"})),0)</f>
        <v>0</v>
      </c>
      <c r="E9" s="9">
        <f t="shared" ca="1" si="0"/>
        <v>0</v>
      </c>
    </row>
    <row r="10" spans="1:5" x14ac:dyDescent="0.25">
      <c r="A10" s="8" t="str">
        <v>10-08</v>
      </c>
      <c r="B10" s="9">
        <f t="shared" ca="1" si="1"/>
        <v>0</v>
      </c>
      <c r="C10" s="9">
        <f t="shared" ca="1" si="2"/>
        <v>0</v>
      </c>
      <c r="D10" s="9" cm="1">
        <f t="array" aca="1" ref="D10" ca="1">IFERROR(SUM(COUNTIF(INDIRECT("'"&amp;A10&amp;"'!M3:M200"),{"*đơn trả*","*hàng tỉnh*"})),0)</f>
        <v>0</v>
      </c>
      <c r="E10" s="9">
        <f t="shared" ca="1" si="0"/>
        <v>0</v>
      </c>
    </row>
    <row r="11" spans="1:5" x14ac:dyDescent="0.25">
      <c r="A11" s="8" t="str">
        <v>11-08</v>
      </c>
      <c r="B11" s="9">
        <f t="shared" ca="1" si="1"/>
        <v>0</v>
      </c>
      <c r="C11" s="9">
        <f t="shared" ca="1" si="2"/>
        <v>0</v>
      </c>
      <c r="D11" s="9" cm="1">
        <f t="array" aca="1" ref="D11" ca="1">IFERROR(SUM(COUNTIF(INDIRECT("'"&amp;A11&amp;"'!M3:M200"),{"*đơn trả*","*hàng tỉnh*"})),0)</f>
        <v>0</v>
      </c>
      <c r="E11" s="9">
        <f t="shared" ca="1" si="0"/>
        <v>0</v>
      </c>
    </row>
    <row r="12" spans="1:5" x14ac:dyDescent="0.25">
      <c r="A12" s="8" t="str">
        <v>12-08</v>
      </c>
      <c r="B12" s="9">
        <f t="shared" ca="1" si="1"/>
        <v>0</v>
      </c>
      <c r="C12" s="9">
        <f t="shared" ca="1" si="2"/>
        <v>0</v>
      </c>
      <c r="D12" s="9" cm="1">
        <f t="array" aca="1" ref="D12" ca="1">IFERROR(SUM(COUNTIF(INDIRECT("'"&amp;A12&amp;"'!M3:M200"),{"*đơn trả*","*hàng tỉnh*"})),0)</f>
        <v>0</v>
      </c>
      <c r="E12" s="9">
        <f t="shared" ca="1" si="0"/>
        <v>0</v>
      </c>
    </row>
    <row r="13" spans="1:5" x14ac:dyDescent="0.25">
      <c r="A13" s="8" t="str">
        <v>13-08</v>
      </c>
      <c r="B13" s="9">
        <f t="shared" ca="1" si="1"/>
        <v>0</v>
      </c>
      <c r="C13" s="9">
        <f t="shared" ca="1" si="2"/>
        <v>0</v>
      </c>
      <c r="D13" s="9" cm="1">
        <f t="array" aca="1" ref="D13" ca="1">IFERROR(SUM(COUNTIF(INDIRECT("'"&amp;A13&amp;"'!M3:M200"),{"*đơn trả*","*hàng tỉnh*"})),0)</f>
        <v>0</v>
      </c>
      <c r="E13" s="9">
        <f t="shared" ca="1" si="0"/>
        <v>0</v>
      </c>
    </row>
    <row r="14" spans="1:5" x14ac:dyDescent="0.25">
      <c r="A14" s="8" t="str">
        <v>14-08</v>
      </c>
      <c r="B14" s="9">
        <f t="shared" ca="1" si="1"/>
        <v>0</v>
      </c>
      <c r="C14" s="9">
        <f t="shared" ca="1" si="2"/>
        <v>0</v>
      </c>
      <c r="D14" s="9" cm="1">
        <f t="array" aca="1" ref="D14" ca="1">IFERROR(SUM(COUNTIF(INDIRECT("'"&amp;A14&amp;"'!M3:M200"),{"*đơn trả*","*hàng tỉnh*"})),0)</f>
        <v>0</v>
      </c>
      <c r="E14" s="9">
        <f t="shared" ca="1" si="0"/>
        <v>0</v>
      </c>
    </row>
    <row r="15" spans="1:5" x14ac:dyDescent="0.25">
      <c r="A15" s="8" t="str">
        <v>15-08</v>
      </c>
      <c r="B15" s="9">
        <f t="shared" ca="1" si="1"/>
        <v>0</v>
      </c>
      <c r="C15" s="9">
        <f t="shared" ca="1" si="2"/>
        <v>0</v>
      </c>
      <c r="D15" s="9" cm="1">
        <f t="array" aca="1" ref="D15" ca="1">IFERROR(SUM(COUNTIF(INDIRECT("'"&amp;A15&amp;"'!M3:M200"),{"*đơn trả*","*hàng tỉnh*"})),0)</f>
        <v>0</v>
      </c>
      <c r="E15" s="9">
        <f t="shared" ca="1" si="0"/>
        <v>0</v>
      </c>
    </row>
    <row r="16" spans="1:5" x14ac:dyDescent="0.25">
      <c r="A16" s="8" t="str">
        <v>17-08</v>
      </c>
      <c r="B16" s="9">
        <f t="shared" ca="1" si="1"/>
        <v>0</v>
      </c>
      <c r="C16" s="9">
        <f t="shared" ca="1" si="2"/>
        <v>0</v>
      </c>
      <c r="D16" s="9" cm="1">
        <f t="array" aca="1" ref="D16" ca="1">IFERROR(SUM(COUNTIF(INDIRECT("'"&amp;A16&amp;"'!M3:M200"),{"*đơn trả*","*hàng tỉnh*"})),0)</f>
        <v>0</v>
      </c>
      <c r="E16" s="9">
        <f t="shared" ca="1" si="0"/>
        <v>0</v>
      </c>
    </row>
    <row r="17" spans="1:5" x14ac:dyDescent="0.25">
      <c r="A17" s="8" t="str">
        <v>18-08</v>
      </c>
      <c r="B17" s="9">
        <f t="shared" ca="1" si="1"/>
        <v>0</v>
      </c>
      <c r="C17" s="9">
        <f t="shared" ca="1" si="2"/>
        <v>0</v>
      </c>
      <c r="D17" s="9" cm="1">
        <f t="array" aca="1" ref="D17" ca="1">IFERROR(SUM(COUNTIF(INDIRECT("'"&amp;A17&amp;"'!M3:M200"),{"*đơn trả*","*hàng tỉnh*"})),0)</f>
        <v>0</v>
      </c>
      <c r="E17" s="9">
        <f t="shared" ca="1" si="0"/>
        <v>0</v>
      </c>
    </row>
    <row r="18" spans="1:5" x14ac:dyDescent="0.25">
      <c r="A18" s="8" t="str">
        <v>19-08</v>
      </c>
      <c r="B18" s="9">
        <f t="shared" ca="1" si="1"/>
        <v>0</v>
      </c>
      <c r="C18" s="9">
        <f t="shared" ca="1" si="2"/>
        <v>0</v>
      </c>
      <c r="D18" s="9" cm="1">
        <f t="array" aca="1" ref="D18" ca="1">IFERROR(SUM(COUNTIF(INDIRECT("'"&amp;A18&amp;"'!M3:M200"),{"*đơn trả*","*hàng tỉnh*"})),0)</f>
        <v>0</v>
      </c>
      <c r="E18" s="9">
        <f t="shared" ca="1" si="0"/>
        <v>0</v>
      </c>
    </row>
    <row r="19" spans="1:5" x14ac:dyDescent="0.25">
      <c r="A19" s="8" t="str">
        <v>20-08</v>
      </c>
      <c r="B19" s="9">
        <f t="shared" ca="1" si="1"/>
        <v>0</v>
      </c>
      <c r="C19" s="9">
        <f t="shared" ca="1" si="2"/>
        <v>0</v>
      </c>
      <c r="D19" s="9" cm="1">
        <f t="array" aca="1" ref="D19" ca="1">IFERROR(SUM(COUNTIF(INDIRECT("'"&amp;A19&amp;"'!M3:M200"),{"*đơn trả*","*hàng tỉnh*"})),0)</f>
        <v>0</v>
      </c>
      <c r="E19" s="9">
        <f t="shared" ca="1" si="0"/>
        <v>0</v>
      </c>
    </row>
    <row r="20" spans="1:5" x14ac:dyDescent="0.25">
      <c r="A20" s="8" t="str">
        <v>21-08</v>
      </c>
      <c r="B20" s="9">
        <f t="shared" ca="1" si="1"/>
        <v>0</v>
      </c>
      <c r="C20" s="9">
        <f t="shared" ca="1" si="2"/>
        <v>0</v>
      </c>
      <c r="D20" s="9" cm="1">
        <f t="array" aca="1" ref="D20" ca="1">IFERROR(SUM(COUNTIF(INDIRECT("'"&amp;A20&amp;"'!M3:M200"),{"*đơn trả*","*hàng tỉnh*"})),0)</f>
        <v>0</v>
      </c>
      <c r="E20" s="9">
        <f t="shared" ca="1" si="0"/>
        <v>0</v>
      </c>
    </row>
    <row r="21" spans="1:5" x14ac:dyDescent="0.25">
      <c r="A21" s="8" t="str">
        <v>22-08</v>
      </c>
      <c r="B21" s="9">
        <f t="shared" ca="1" si="1"/>
        <v>0</v>
      </c>
      <c r="C21" s="9">
        <f t="shared" ca="1" si="2"/>
        <v>0</v>
      </c>
      <c r="D21" s="9" cm="1">
        <f t="array" aca="1" ref="D21" ca="1">IFERROR(SUM(COUNTIF(INDIRECT("'"&amp;A21&amp;"'!M3:M200"),{"*đơn trả*","*hàng tỉnh*"})),0)</f>
        <v>0</v>
      </c>
      <c r="E21" s="9">
        <f t="shared" ca="1" si="0"/>
        <v>0</v>
      </c>
    </row>
    <row r="22" spans="1:5" x14ac:dyDescent="0.25">
      <c r="A22" s="8" t="str">
        <v>24-08</v>
      </c>
      <c r="B22" s="9">
        <f t="shared" ca="1" si="1"/>
        <v>0</v>
      </c>
      <c r="C22" s="9">
        <f t="shared" ca="1" si="2"/>
        <v>0</v>
      </c>
      <c r="D22" s="9" cm="1">
        <f t="array" aca="1" ref="D22" ca="1">IFERROR(SUM(COUNTIF(INDIRECT("'"&amp;A22&amp;"'!M3:M200"),{"*đơn trả*","*hàng tỉnh*"})),0)</f>
        <v>0</v>
      </c>
      <c r="E22" s="9">
        <f t="shared" ca="1" si="0"/>
        <v>0</v>
      </c>
    </row>
    <row r="23" spans="1:5" x14ac:dyDescent="0.25">
      <c r="A23" s="8" t="str">
        <v>25-08</v>
      </c>
      <c r="B23" s="9">
        <f t="shared" ca="1" si="1"/>
        <v>0</v>
      </c>
      <c r="C23" s="9">
        <f t="shared" ca="1" si="2"/>
        <v>0</v>
      </c>
      <c r="D23" s="9" cm="1">
        <f t="array" aca="1" ref="D23" ca="1">IFERROR(SUM(COUNTIF(INDIRECT("'"&amp;A23&amp;"'!M3:M200"),{"*đơn trả*","*hàng tỉnh*"})),0)</f>
        <v>0</v>
      </c>
      <c r="E23" s="9">
        <f t="shared" ca="1" si="0"/>
        <v>0</v>
      </c>
    </row>
    <row r="24" spans="1:5" x14ac:dyDescent="0.25">
      <c r="A24" s="8" t="str">
        <v>26-08</v>
      </c>
      <c r="B24" s="9">
        <f t="shared" ca="1" si="1"/>
        <v>0</v>
      </c>
      <c r="C24" s="9">
        <f t="shared" ca="1" si="2"/>
        <v>0</v>
      </c>
      <c r="D24" s="9" cm="1">
        <f t="array" aca="1" ref="D24" ca="1">IFERROR(SUM(COUNTIF(INDIRECT("'"&amp;A24&amp;"'!M3:M200"),{"*đơn trả*","*hàng tỉnh*"})),0)</f>
        <v>0</v>
      </c>
      <c r="E24" s="9">
        <f t="shared" ca="1" si="0"/>
        <v>0</v>
      </c>
    </row>
    <row r="25" spans="1:5" x14ac:dyDescent="0.25">
      <c r="A25" s="8" t="str">
        <v>27-08</v>
      </c>
      <c r="B25" s="9">
        <f t="shared" ca="1" si="1"/>
        <v>0</v>
      </c>
      <c r="C25" s="9">
        <f t="shared" ca="1" si="2"/>
        <v>0</v>
      </c>
      <c r="D25" s="9" cm="1">
        <f t="array" aca="1" ref="D25" ca="1">IFERROR(SUM(COUNTIF(INDIRECT("'"&amp;A25&amp;"'!M3:M200"),{"*đơn trả*","*hàng tỉnh*"})),0)</f>
        <v>0</v>
      </c>
      <c r="E25" s="9">
        <f t="shared" ca="1" si="0"/>
        <v>0</v>
      </c>
    </row>
    <row r="26" spans="1:5" x14ac:dyDescent="0.25">
      <c r="A26" s="8" t="str">
        <v>28-08</v>
      </c>
      <c r="B26" s="9">
        <f t="shared" ca="1" si="1"/>
        <v>0</v>
      </c>
      <c r="C26" s="9">
        <f t="shared" ca="1" si="2"/>
        <v>0</v>
      </c>
      <c r="D26" s="9" cm="1">
        <f t="array" aca="1" ref="D26" ca="1">IFERROR(SUM(COUNTIF(INDIRECT("'"&amp;A26&amp;"'!M3:M200"),{"*đơn trả*","*hàng tỉnh*"})),0)</f>
        <v>0</v>
      </c>
      <c r="E26" s="9">
        <f t="shared" ca="1" si="0"/>
        <v>0</v>
      </c>
    </row>
    <row r="27" spans="1:5" x14ac:dyDescent="0.25">
      <c r="A27" s="8" t="str">
        <v>29-08</v>
      </c>
      <c r="B27" s="9">
        <f t="shared" ca="1" si="1"/>
        <v>0</v>
      </c>
      <c r="C27" s="9">
        <f t="shared" ca="1" si="2"/>
        <v>0</v>
      </c>
      <c r="D27" s="9" cm="1">
        <f t="array" aca="1" ref="D27" ca="1">IFERROR(SUM(COUNTIF(INDIRECT("'"&amp;A27&amp;"'!M3:M200"),{"*đơn trả*","*hàng tỉnh*"})),0)</f>
        <v>0</v>
      </c>
      <c r="E27" s="9">
        <f t="shared" ca="1" si="0"/>
        <v>0</v>
      </c>
    </row>
    <row r="28" spans="1:5" x14ac:dyDescent="0.25">
      <c r="A28" s="8" t="str">
        <v>31-08</v>
      </c>
      <c r="B28" s="9">
        <f t="shared" ca="1" si="1"/>
        <v>0</v>
      </c>
      <c r="C28" s="9">
        <f t="shared" ca="1" si="2"/>
        <v>0</v>
      </c>
      <c r="D28" s="9" cm="1">
        <f t="array" aca="1" ref="D28" ca="1">IFERROR(SUM(COUNTIF(INDIRECT("'"&amp;A28&amp;"'!M3:M200"),{"*đơn trả*","*hàng tỉnh*"})),0)</f>
        <v>0</v>
      </c>
      <c r="E28" s="9">
        <f t="shared" ca="1" si="0"/>
        <v>0</v>
      </c>
    </row>
    <row r="29" spans="1:5" x14ac:dyDescent="0.25">
      <c r="D29" s="10" t="s">
        <v>6</v>
      </c>
      <c r="E29" s="10">
        <f ca="1">SUBTOTAL(9,E3:E28)</f>
        <v>103</v>
      </c>
    </row>
    <row r="30" spans="1:5" x14ac:dyDescent="0.25">
      <c r="D30" s="10" t="s">
        <v>7</v>
      </c>
      <c r="E30" s="10" cm="1">
        <f t="array" aca="1" ref="E30" ca="1">SUMPRODUCT(
    IFERROR(
        SUMIF(
            INDIRECT("'"&amp;A3:A28&amp;"'!O:O"),
            "tổng",
            INDIRECT("'"&amp;A3:A28&amp;"'!P:P")
        ),
    0)
)</f>
        <v>469</v>
      </c>
    </row>
    <row r="31" spans="1:5" x14ac:dyDescent="0.25">
      <c r="D31" s="10" t="s">
        <v>8</v>
      </c>
      <c r="E31" s="10">
        <f ca="1">-E29*2</f>
        <v>-206</v>
      </c>
    </row>
    <row r="32" spans="1:5" x14ac:dyDescent="0.25">
      <c r="D32" s="10" t="s">
        <v>9</v>
      </c>
      <c r="E32" s="10">
        <f ca="1">SUBTOTAL(9,E30:E31)</f>
        <v>263</v>
      </c>
    </row>
  </sheetData>
  <autoFilter ref="A2:E28" xr:uid="{00000000-0009-0000-0000-000000000000}"/>
  <conditionalFormatting sqref="C3:D28">
    <cfRule type="expression" dxfId="2" priority="1">
      <formula>C3&lt;&gt;0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ECF96-0A18-485A-9A4F-1733820EBBD9}">
  <sheetPr>
    <tabColor rgb="FF00B050"/>
  </sheetPr>
  <dimension ref="A1:E32"/>
  <sheetViews>
    <sheetView workbookViewId="0">
      <selection activeCell="A3" sqref="A3"/>
    </sheetView>
  </sheetViews>
  <sheetFormatPr defaultColWidth="9.140625" defaultRowHeight="15" x14ac:dyDescent="0.25"/>
  <cols>
    <col min="1" max="1" width="14.28515625" style="6" bestFit="1" customWidth="1"/>
    <col min="2" max="2" width="13.28515625" style="6" bestFit="1" customWidth="1"/>
    <col min="3" max="3" width="11.7109375" style="6" bestFit="1" customWidth="1"/>
    <col min="4" max="4" width="17.5703125" style="6" bestFit="1" customWidth="1"/>
    <col min="5" max="5" width="15.85546875" style="6" bestFit="1" customWidth="1"/>
    <col min="6" max="6" width="9.140625" style="6" customWidth="1"/>
    <col min="7" max="16384" width="9.140625" style="6"/>
  </cols>
  <sheetData>
    <row r="1" spans="1:5" x14ac:dyDescent="0.25">
      <c r="A1" s="6" t="s">
        <v>10</v>
      </c>
      <c r="B1" s="6">
        <v>2026</v>
      </c>
    </row>
    <row r="2" spans="1:5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</row>
    <row r="3" spans="1:5" x14ac:dyDescent="0.25">
      <c r="A3" s="11" t="str" cm="1">
        <f t="array" aca="1" ref="A3:A7" ca="1">_xlfn.LET(
    _xlpm.start,DATE(B1,--_xlfn.TEXTAFTER(A1," "),1),
    _xlpm.d,_xlfn._xlws.FILTER(
        _xlfn.SEQUENCE(DAY(EOMONTH(_xlpm.start,0)),,_xlpm.start),
        WEEKDAY(_xlfn.SEQUENCE(DAY(EOMONTH(_xlpm.start,0)),,_xlpm.start),2)&lt;&gt;7
    ),
    _xlpm.x,TEXT(_xlpm.d,"dd-mm"),
    _xlpm.result,_xlfn.DROP(
        _xlfn.REDUCE("",_xlpm.x,_xlfn.LAMBDA(_xlpm.a,_xlpm.s,
            _xlfn.VSTACK(
                _xlpm.a,
                IF(ISREF(INDIRECT("'"&amp;_xlpm.s&amp;"'!A1")),_xlpm.s,""),
                IF(ISREF(INDIRECT("'"&amp;_xlpm.s&amp;"_Morning'!A1")),_xlpm.s&amp;"_Morning",""),
                IF(ISREF(INDIRECT("'"&amp;_xlpm.s&amp;"_Night'!A1")),_xlpm.s&amp;"_Night","")
            )
        )),
        1
    ),
    _xlfn._xlws.FILTER(_xlpm.result,_xlpm.result&lt;&gt;"")
)</f>
        <v>01-08</v>
      </c>
      <c r="B3" s="9">
        <f ca="1">IFERROR(COUNTIF(INDIRECT("'"&amp;A3&amp;"'!L3:L200"),LEFT(A3,FIND("_",A3&amp;"_")-1)&amp;"-"&amp;B$1),0)</f>
        <v>38</v>
      </c>
      <c r="C3" s="9">
        <f ca="1">IFERROR(COUNTIF(INDIRECT("'"&amp;A3&amp;"'!M3:M200"),"*gộp*")/2,0)</f>
        <v>0</v>
      </c>
      <c r="D3" s="9" cm="1">
        <f t="array" aca="1" ref="D3" ca="1">IFERROR(SUM(COUNTIF(INDIRECT("'"&amp;A3&amp;"'!M3:M200"),{"*đơn trả*","*hàng tỉnh*"})),0)</f>
        <v>1</v>
      </c>
      <c r="E3" s="9">
        <f t="shared" ref="E3:E28" ca="1" si="0">B3-C3-D3</f>
        <v>37</v>
      </c>
    </row>
    <row r="4" spans="1:5" x14ac:dyDescent="0.25">
      <c r="A4" s="8" t="str">
        <f ca="1"/>
        <v>03-08</v>
      </c>
      <c r="B4" s="9">
        <f t="shared" ref="B4:B28" ca="1" si="1">IFERROR(COUNTIF(INDIRECT("'"&amp;A4&amp;"'!L3:L200"),LEFT(A4,FIND("_",A4&amp;"_")-1)&amp;"-"&amp;B$1),0)</f>
        <v>44</v>
      </c>
      <c r="C4" s="9">
        <f t="shared" ref="C4:C28" ca="1" si="2">IFERROR(COUNTIF(INDIRECT("'"&amp;A4&amp;"'!M3:M200"),"*gộp*")/2,0)</f>
        <v>0</v>
      </c>
      <c r="D4" s="9" cm="1">
        <f t="array" aca="1" ref="D4" ca="1">IFERROR(SUM(COUNTIF(INDIRECT("'"&amp;A4&amp;"'!M3:M200"),{"*đơn trả*","*hàng tỉnh*"})),0)</f>
        <v>1</v>
      </c>
      <c r="E4" s="9">
        <f t="shared" ca="1" si="0"/>
        <v>43</v>
      </c>
    </row>
    <row r="5" spans="1:5" x14ac:dyDescent="0.25">
      <c r="A5" s="8" t="str">
        <f ca="1"/>
        <v>04-08</v>
      </c>
      <c r="B5" s="9">
        <f t="shared" ca="1" si="1"/>
        <v>23</v>
      </c>
      <c r="C5" s="9">
        <f t="shared" ca="1" si="2"/>
        <v>0</v>
      </c>
      <c r="D5" s="9" cm="1">
        <f t="array" aca="1" ref="D5" ca="1">IFERROR(SUM(COUNTIF(INDIRECT("'"&amp;A5&amp;"'!M3:M200"),{"*đơn trả*","*hàng tỉnh*"})),0)</f>
        <v>0</v>
      </c>
      <c r="E5" s="9">
        <f t="shared" ca="1" si="0"/>
        <v>23</v>
      </c>
    </row>
    <row r="6" spans="1:5" x14ac:dyDescent="0.25">
      <c r="A6" s="8" t="str">
        <f ca="1"/>
        <v>24-08_Morning</v>
      </c>
      <c r="B6" s="9">
        <f t="shared" ca="1" si="1"/>
        <v>42</v>
      </c>
      <c r="C6" s="9">
        <f t="shared" ca="1" si="2"/>
        <v>0</v>
      </c>
      <c r="D6" s="9" cm="1">
        <f t="array" aca="1" ref="D6" ca="1">IFERROR(SUM(COUNTIF(INDIRECT("'"&amp;A6&amp;"'!M3:M200"),{"*đơn trả*","*hàng tỉnh*"})),0)</f>
        <v>0</v>
      </c>
      <c r="E6" s="9">
        <f t="shared" ca="1" si="0"/>
        <v>42</v>
      </c>
    </row>
    <row r="7" spans="1:5" x14ac:dyDescent="0.25">
      <c r="A7" s="8" t="str">
        <f ca="1"/>
        <v>24-08_Night</v>
      </c>
      <c r="B7" s="9">
        <f t="shared" ca="1" si="1"/>
        <v>60</v>
      </c>
      <c r="C7" s="9">
        <f t="shared" ca="1" si="2"/>
        <v>0</v>
      </c>
      <c r="D7" s="9" cm="1">
        <f t="array" aca="1" ref="D7" ca="1">IFERROR(SUM(COUNTIF(INDIRECT("'"&amp;A7&amp;"'!M3:M200"),{"*đơn trả*","*hàng tỉnh*"})),0)</f>
        <v>0</v>
      </c>
      <c r="E7" s="9">
        <f t="shared" ca="1" si="0"/>
        <v>60</v>
      </c>
    </row>
    <row r="8" spans="1:5" x14ac:dyDescent="0.25">
      <c r="A8" s="8"/>
      <c r="B8" s="9">
        <f t="shared" ca="1" si="1"/>
        <v>0</v>
      </c>
      <c r="C8" s="9">
        <f t="shared" ca="1" si="2"/>
        <v>0</v>
      </c>
      <c r="D8" s="9" cm="1">
        <f t="array" aca="1" ref="D8" ca="1">IFERROR(SUM(COUNTIF(INDIRECT("'"&amp;A8&amp;"'!M3:M200"),{"*đơn trả*","*hàng tỉnh*"})),0)</f>
        <v>0</v>
      </c>
      <c r="E8" s="9">
        <f t="shared" ca="1" si="0"/>
        <v>0</v>
      </c>
    </row>
    <row r="9" spans="1:5" x14ac:dyDescent="0.25">
      <c r="A9" s="8"/>
      <c r="B9" s="9">
        <f t="shared" ca="1" si="1"/>
        <v>0</v>
      </c>
      <c r="C9" s="9">
        <f t="shared" ca="1" si="2"/>
        <v>0</v>
      </c>
      <c r="D9" s="9" cm="1">
        <f t="array" aca="1" ref="D9" ca="1">IFERROR(SUM(COUNTIF(INDIRECT("'"&amp;A9&amp;"'!M3:M200"),{"*đơn trả*","*hàng tỉnh*"})),0)</f>
        <v>0</v>
      </c>
      <c r="E9" s="9">
        <f t="shared" ca="1" si="0"/>
        <v>0</v>
      </c>
    </row>
    <row r="10" spans="1:5" x14ac:dyDescent="0.25">
      <c r="A10" s="8"/>
      <c r="B10" s="9">
        <f t="shared" ca="1" si="1"/>
        <v>0</v>
      </c>
      <c r="C10" s="9">
        <f t="shared" ca="1" si="2"/>
        <v>0</v>
      </c>
      <c r="D10" s="9" cm="1">
        <f t="array" aca="1" ref="D10" ca="1">IFERROR(SUM(COUNTIF(INDIRECT("'"&amp;A10&amp;"'!M3:M200"),{"*đơn trả*","*hàng tỉnh*"})),0)</f>
        <v>0</v>
      </c>
      <c r="E10" s="9">
        <f t="shared" ca="1" si="0"/>
        <v>0</v>
      </c>
    </row>
    <row r="11" spans="1:5" x14ac:dyDescent="0.25">
      <c r="A11" s="8"/>
      <c r="B11" s="9">
        <f t="shared" ca="1" si="1"/>
        <v>0</v>
      </c>
      <c r="C11" s="9">
        <f t="shared" ca="1" si="2"/>
        <v>0</v>
      </c>
      <c r="D11" s="9" cm="1">
        <f t="array" aca="1" ref="D11" ca="1">IFERROR(SUM(COUNTIF(INDIRECT("'"&amp;A11&amp;"'!M3:M200"),{"*đơn trả*","*hàng tỉnh*"})),0)</f>
        <v>0</v>
      </c>
      <c r="E11" s="9">
        <f t="shared" ca="1" si="0"/>
        <v>0</v>
      </c>
    </row>
    <row r="12" spans="1:5" x14ac:dyDescent="0.25">
      <c r="A12" s="8"/>
      <c r="B12" s="9">
        <f t="shared" ca="1" si="1"/>
        <v>0</v>
      </c>
      <c r="C12" s="9">
        <f t="shared" ca="1" si="2"/>
        <v>0</v>
      </c>
      <c r="D12" s="9" cm="1">
        <f t="array" aca="1" ref="D12" ca="1">IFERROR(SUM(COUNTIF(INDIRECT("'"&amp;A12&amp;"'!M3:M200"),{"*đơn trả*","*hàng tỉnh*"})),0)</f>
        <v>0</v>
      </c>
      <c r="E12" s="9">
        <f t="shared" ca="1" si="0"/>
        <v>0</v>
      </c>
    </row>
    <row r="13" spans="1:5" x14ac:dyDescent="0.25">
      <c r="A13" s="8"/>
      <c r="B13" s="9">
        <f t="shared" ca="1" si="1"/>
        <v>0</v>
      </c>
      <c r="C13" s="9">
        <f t="shared" ca="1" si="2"/>
        <v>0</v>
      </c>
      <c r="D13" s="9" cm="1">
        <f t="array" aca="1" ref="D13" ca="1">IFERROR(SUM(COUNTIF(INDIRECT("'"&amp;A13&amp;"'!M3:M200"),{"*đơn trả*","*hàng tỉnh*"})),0)</f>
        <v>0</v>
      </c>
      <c r="E13" s="9">
        <f t="shared" ca="1" si="0"/>
        <v>0</v>
      </c>
    </row>
    <row r="14" spans="1:5" x14ac:dyDescent="0.25">
      <c r="A14" s="8"/>
      <c r="B14" s="9">
        <f t="shared" ca="1" si="1"/>
        <v>0</v>
      </c>
      <c r="C14" s="9">
        <f t="shared" ca="1" si="2"/>
        <v>0</v>
      </c>
      <c r="D14" s="9" cm="1">
        <f t="array" aca="1" ref="D14" ca="1">IFERROR(SUM(COUNTIF(INDIRECT("'"&amp;A14&amp;"'!M3:M200"),{"*đơn trả*","*hàng tỉnh*"})),0)</f>
        <v>0</v>
      </c>
      <c r="E14" s="9">
        <f t="shared" ca="1" si="0"/>
        <v>0</v>
      </c>
    </row>
    <row r="15" spans="1:5" x14ac:dyDescent="0.25">
      <c r="A15" s="8"/>
      <c r="B15" s="9">
        <f t="shared" ca="1" si="1"/>
        <v>0</v>
      </c>
      <c r="C15" s="9">
        <f t="shared" ca="1" si="2"/>
        <v>0</v>
      </c>
      <c r="D15" s="9" cm="1">
        <f t="array" aca="1" ref="D15" ca="1">IFERROR(SUM(COUNTIF(INDIRECT("'"&amp;A15&amp;"'!M3:M200"),{"*đơn trả*","*hàng tỉnh*"})),0)</f>
        <v>0</v>
      </c>
      <c r="E15" s="9">
        <f t="shared" ca="1" si="0"/>
        <v>0</v>
      </c>
    </row>
    <row r="16" spans="1:5" x14ac:dyDescent="0.25">
      <c r="A16" s="8"/>
      <c r="B16" s="9">
        <f t="shared" ca="1" si="1"/>
        <v>0</v>
      </c>
      <c r="C16" s="9">
        <f t="shared" ca="1" si="2"/>
        <v>0</v>
      </c>
      <c r="D16" s="9" cm="1">
        <f t="array" aca="1" ref="D16" ca="1">IFERROR(SUM(COUNTIF(INDIRECT("'"&amp;A16&amp;"'!M3:M200"),{"*đơn trả*","*hàng tỉnh*"})),0)</f>
        <v>0</v>
      </c>
      <c r="E16" s="9">
        <f t="shared" ca="1" si="0"/>
        <v>0</v>
      </c>
    </row>
    <row r="17" spans="1:5" x14ac:dyDescent="0.25">
      <c r="A17" s="8"/>
      <c r="B17" s="9">
        <f t="shared" ca="1" si="1"/>
        <v>0</v>
      </c>
      <c r="C17" s="9">
        <f t="shared" ca="1" si="2"/>
        <v>0</v>
      </c>
      <c r="D17" s="9" cm="1">
        <f t="array" aca="1" ref="D17" ca="1">IFERROR(SUM(COUNTIF(INDIRECT("'"&amp;A17&amp;"'!M3:M200"),{"*đơn trả*","*hàng tỉnh*"})),0)</f>
        <v>0</v>
      </c>
      <c r="E17" s="9">
        <f t="shared" ca="1" si="0"/>
        <v>0</v>
      </c>
    </row>
    <row r="18" spans="1:5" x14ac:dyDescent="0.25">
      <c r="A18" s="8"/>
      <c r="B18" s="9">
        <f t="shared" ca="1" si="1"/>
        <v>0</v>
      </c>
      <c r="C18" s="9">
        <f t="shared" ca="1" si="2"/>
        <v>0</v>
      </c>
      <c r="D18" s="9" cm="1">
        <f t="array" aca="1" ref="D18" ca="1">IFERROR(SUM(COUNTIF(INDIRECT("'"&amp;A18&amp;"'!M3:M200"),{"*đơn trả*","*hàng tỉnh*"})),0)</f>
        <v>0</v>
      </c>
      <c r="E18" s="9">
        <f t="shared" ca="1" si="0"/>
        <v>0</v>
      </c>
    </row>
    <row r="19" spans="1:5" x14ac:dyDescent="0.25">
      <c r="A19" s="8"/>
      <c r="B19" s="9">
        <f t="shared" ca="1" si="1"/>
        <v>0</v>
      </c>
      <c r="C19" s="9">
        <f t="shared" ca="1" si="2"/>
        <v>0</v>
      </c>
      <c r="D19" s="9" cm="1">
        <f t="array" aca="1" ref="D19" ca="1">IFERROR(SUM(COUNTIF(INDIRECT("'"&amp;A19&amp;"'!M3:M200"),{"*đơn trả*","*hàng tỉnh*"})),0)</f>
        <v>0</v>
      </c>
      <c r="E19" s="9">
        <f t="shared" ca="1" si="0"/>
        <v>0</v>
      </c>
    </row>
    <row r="20" spans="1:5" x14ac:dyDescent="0.25">
      <c r="A20" s="8"/>
      <c r="B20" s="9">
        <f t="shared" ca="1" si="1"/>
        <v>0</v>
      </c>
      <c r="C20" s="9">
        <f t="shared" ca="1" si="2"/>
        <v>0</v>
      </c>
      <c r="D20" s="9" cm="1">
        <f t="array" aca="1" ref="D20" ca="1">IFERROR(SUM(COUNTIF(INDIRECT("'"&amp;A20&amp;"'!M3:M200"),{"*đơn trả*","*hàng tỉnh*"})),0)</f>
        <v>0</v>
      </c>
      <c r="E20" s="9">
        <f t="shared" ca="1" si="0"/>
        <v>0</v>
      </c>
    </row>
    <row r="21" spans="1:5" x14ac:dyDescent="0.25">
      <c r="A21" s="8"/>
      <c r="B21" s="9">
        <f t="shared" ca="1" si="1"/>
        <v>0</v>
      </c>
      <c r="C21" s="9">
        <f t="shared" ca="1" si="2"/>
        <v>0</v>
      </c>
      <c r="D21" s="9" cm="1">
        <f t="array" aca="1" ref="D21" ca="1">IFERROR(SUM(COUNTIF(INDIRECT("'"&amp;A21&amp;"'!M3:M200"),{"*đơn trả*","*hàng tỉnh*"})),0)</f>
        <v>0</v>
      </c>
      <c r="E21" s="9">
        <f t="shared" ca="1" si="0"/>
        <v>0</v>
      </c>
    </row>
    <row r="22" spans="1:5" x14ac:dyDescent="0.25">
      <c r="A22" s="8"/>
      <c r="B22" s="9">
        <f t="shared" ca="1" si="1"/>
        <v>0</v>
      </c>
      <c r="C22" s="9">
        <f t="shared" ca="1" si="2"/>
        <v>0</v>
      </c>
      <c r="D22" s="9" cm="1">
        <f t="array" aca="1" ref="D22" ca="1">IFERROR(SUM(COUNTIF(INDIRECT("'"&amp;A22&amp;"'!M3:M200"),{"*đơn trả*","*hàng tỉnh*"})),0)</f>
        <v>0</v>
      </c>
      <c r="E22" s="9">
        <f t="shared" ca="1" si="0"/>
        <v>0</v>
      </c>
    </row>
    <row r="23" spans="1:5" x14ac:dyDescent="0.25">
      <c r="A23" s="8"/>
      <c r="B23" s="9">
        <f t="shared" ca="1" si="1"/>
        <v>0</v>
      </c>
      <c r="C23" s="9">
        <f t="shared" ca="1" si="2"/>
        <v>0</v>
      </c>
      <c r="D23" s="9" cm="1">
        <f t="array" aca="1" ref="D23" ca="1">IFERROR(SUM(COUNTIF(INDIRECT("'"&amp;A23&amp;"'!M3:M200"),{"*đơn trả*","*hàng tỉnh*"})),0)</f>
        <v>0</v>
      </c>
      <c r="E23" s="9">
        <f t="shared" ca="1" si="0"/>
        <v>0</v>
      </c>
    </row>
    <row r="24" spans="1:5" x14ac:dyDescent="0.25">
      <c r="A24" s="8"/>
      <c r="B24" s="9">
        <f t="shared" ca="1" si="1"/>
        <v>0</v>
      </c>
      <c r="C24" s="9">
        <f t="shared" ca="1" si="2"/>
        <v>0</v>
      </c>
      <c r="D24" s="9" cm="1">
        <f t="array" aca="1" ref="D24" ca="1">IFERROR(SUM(COUNTIF(INDIRECT("'"&amp;A24&amp;"'!M3:M200"),{"*đơn trả*","*hàng tỉnh*"})),0)</f>
        <v>0</v>
      </c>
      <c r="E24" s="9">
        <f t="shared" ca="1" si="0"/>
        <v>0</v>
      </c>
    </row>
    <row r="25" spans="1:5" x14ac:dyDescent="0.25">
      <c r="A25" s="8"/>
      <c r="B25" s="9">
        <f t="shared" ca="1" si="1"/>
        <v>0</v>
      </c>
      <c r="C25" s="9">
        <f t="shared" ca="1" si="2"/>
        <v>0</v>
      </c>
      <c r="D25" s="9" cm="1">
        <f t="array" aca="1" ref="D25" ca="1">IFERROR(SUM(COUNTIF(INDIRECT("'"&amp;A25&amp;"'!M3:M200"),{"*đơn trả*","*hàng tỉnh*"})),0)</f>
        <v>0</v>
      </c>
      <c r="E25" s="9">
        <f t="shared" ca="1" si="0"/>
        <v>0</v>
      </c>
    </row>
    <row r="26" spans="1:5" x14ac:dyDescent="0.25">
      <c r="A26" s="8"/>
      <c r="B26" s="9">
        <f t="shared" ca="1" si="1"/>
        <v>0</v>
      </c>
      <c r="C26" s="9">
        <f t="shared" ca="1" si="2"/>
        <v>0</v>
      </c>
      <c r="D26" s="9" cm="1">
        <f t="array" aca="1" ref="D26" ca="1">IFERROR(SUM(COUNTIF(INDIRECT("'"&amp;A26&amp;"'!M3:M200"),{"*đơn trả*","*hàng tỉnh*"})),0)</f>
        <v>0</v>
      </c>
      <c r="E26" s="9">
        <f t="shared" ca="1" si="0"/>
        <v>0</v>
      </c>
    </row>
    <row r="27" spans="1:5" x14ac:dyDescent="0.25">
      <c r="A27" s="8"/>
      <c r="B27" s="9">
        <f t="shared" ca="1" si="1"/>
        <v>0</v>
      </c>
      <c r="C27" s="9">
        <f t="shared" ca="1" si="2"/>
        <v>0</v>
      </c>
      <c r="D27" s="9" cm="1">
        <f t="array" aca="1" ref="D27" ca="1">IFERROR(SUM(COUNTIF(INDIRECT("'"&amp;A27&amp;"'!M3:M200"),{"*đơn trả*","*hàng tỉnh*"})),0)</f>
        <v>0</v>
      </c>
      <c r="E27" s="9">
        <f t="shared" ca="1" si="0"/>
        <v>0</v>
      </c>
    </row>
    <row r="28" spans="1:5" x14ac:dyDescent="0.25">
      <c r="A28" s="8"/>
      <c r="B28" s="9">
        <f t="shared" ca="1" si="1"/>
        <v>0</v>
      </c>
      <c r="C28" s="9">
        <f t="shared" ca="1" si="2"/>
        <v>0</v>
      </c>
      <c r="D28" s="9" cm="1">
        <f t="array" aca="1" ref="D28" ca="1">IFERROR(SUM(COUNTIF(INDIRECT("'"&amp;A28&amp;"'!M3:M200"),{"*đơn trả*","*hàng tỉnh*"})),0)</f>
        <v>0</v>
      </c>
      <c r="E28" s="9">
        <f t="shared" ca="1" si="0"/>
        <v>0</v>
      </c>
    </row>
    <row r="29" spans="1:5" x14ac:dyDescent="0.25">
      <c r="D29" s="10" t="s">
        <v>6</v>
      </c>
      <c r="E29" s="10">
        <f ca="1">SUBTOTAL(9,E3:E28)</f>
        <v>205</v>
      </c>
    </row>
    <row r="30" spans="1:5" x14ac:dyDescent="0.25">
      <c r="D30" s="10" t="s">
        <v>7</v>
      </c>
      <c r="E30" s="10" cm="1">
        <f t="array" aca="1" ref="E30" ca="1">SUMPRODUCT(
    IFERROR(
        SUMIF(
            INDIRECT("'"&amp;A3:A28&amp;"'!O:O"),
            "tổng",
            INDIRECT("'"&amp;A3:A28&amp;"'!P:P")
        ),
    0)
)</f>
        <v>848</v>
      </c>
    </row>
    <row r="31" spans="1:5" x14ac:dyDescent="0.25">
      <c r="D31" s="10" t="s">
        <v>8</v>
      </c>
      <c r="E31" s="10">
        <f ca="1">-E29*2</f>
        <v>-410</v>
      </c>
    </row>
    <row r="32" spans="1:5" x14ac:dyDescent="0.25">
      <c r="D32" s="10" t="s">
        <v>9</v>
      </c>
      <c r="E32" s="10">
        <f ca="1">SUBTOTAL(9,E30:E31)</f>
        <v>438</v>
      </c>
    </row>
  </sheetData>
  <autoFilter ref="A2:E28" xr:uid="{00000000-0009-0000-0000-000000000000}"/>
  <conditionalFormatting sqref="C3:D28">
    <cfRule type="expression" dxfId="1" priority="1">
      <formula>C3&lt;&gt;0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69FE3-9538-4B74-A171-26BA4A55D281}">
  <sheetPr>
    <tabColor rgb="FFFF0000"/>
  </sheetPr>
  <dimension ref="A1:E32"/>
  <sheetViews>
    <sheetView workbookViewId="0"/>
  </sheetViews>
  <sheetFormatPr defaultColWidth="9.140625" defaultRowHeight="15" x14ac:dyDescent="0.25"/>
  <cols>
    <col min="1" max="1" width="14.28515625" style="6" bestFit="1" customWidth="1"/>
    <col min="2" max="2" width="13.28515625" style="6" bestFit="1" customWidth="1"/>
    <col min="3" max="3" width="11.7109375" style="6" bestFit="1" customWidth="1"/>
    <col min="4" max="4" width="17.5703125" style="6" bestFit="1" customWidth="1"/>
    <col min="5" max="5" width="15.85546875" style="6" bestFit="1" customWidth="1"/>
    <col min="6" max="6" width="9.140625" style="6" customWidth="1"/>
    <col min="7" max="16384" width="9.140625" style="6"/>
  </cols>
  <sheetData>
    <row r="1" spans="1:5" x14ac:dyDescent="0.25">
      <c r="A1" s="6" t="s">
        <v>10</v>
      </c>
      <c r="B1" s="6">
        <v>2026</v>
      </c>
    </row>
    <row r="2" spans="1:5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</row>
    <row r="3" spans="1:5" x14ac:dyDescent="0.25">
      <c r="A3" s="11" t="str" cm="1">
        <f t="array" aca="1" ref="A3:A7" ca="1">_xlfn.LET(
    _xlpm.start,DATE(B1,--_xlfn.TEXTAFTER(A1," "),1),
    _xlpm.d,_xlfn._xlws.FILTER(
        _xlfn.SEQUENCE(DAY(EOMONTH(_xlpm.start,0)),,_xlpm.start),
        WEEKDAY(_xlfn.SEQUENCE(DAY(EOMONTH(_xlpm.start,0)),,_xlpm.start),2)&lt;&gt;7
    ),
    _xlpm.x,TEXT(_xlpm.d,"dd-mm"),
    _xlpm.result,_xlfn.DROP(
        _xlfn.REDUCE("",_xlpm.x,_xlfn.LAMBDA(_xlpm.a,_xlpm.s,
            _xlfn.VSTACK(
                _xlpm.a,
                IF(ISREF(INDIRECT("'"&amp;_xlpm.s&amp;"'!A1")),_xlpm.s,""),
                IF(ISREF(INDIRECT("'"&amp;_xlpm.s&amp;"_Morning'!A1")),_xlpm.s&amp;"_Morning",""),
                IF(ISREF(INDIRECT("'"&amp;_xlpm.s&amp;"_Night'!A1")),_xlpm.s&amp;"_Night","")
            )
        )),
        1
    ),
    _xlfn._xlws.FILTER(_xlpm.result,_xlpm.result&lt;&gt;"")
)</f>
        <v>01-08</v>
      </c>
      <c r="B3" s="9">
        <f ca="1">IFERROR(COUNTIF(INDIRECT("'"&amp;A3&amp;"'!L3:L200"),LEFT(A3,FIND("_",A3&amp;"_")-1)&amp;"-"&amp;B$1),0)</f>
        <v>38</v>
      </c>
      <c r="C3" s="9">
        <f ca="1">IFERROR(COUNTIF(INDIRECT("'"&amp;A3&amp;"'!M3:M200"),"*gộp*")/2,0)</f>
        <v>0</v>
      </c>
      <c r="D3" s="9" cm="1">
        <f t="array" aca="1" ref="D3" ca="1">IFERROR(SUM(COUNTIF(INDIRECT("'"&amp;A3&amp;"'!M3:M200"),{"*đơn trả*","*hàng tỉnh*"})),0)</f>
        <v>1</v>
      </c>
      <c r="E3" s="9">
        <f t="shared" ref="E3:E28" ca="1" si="0">B3-C3-D3</f>
        <v>37</v>
      </c>
    </row>
    <row r="4" spans="1:5" x14ac:dyDescent="0.25">
      <c r="A4" s="8" t="str">
        <f ca="1"/>
        <v>03-08</v>
      </c>
      <c r="B4" s="9">
        <f t="shared" ref="B4:B28" ca="1" si="1">IFERROR(COUNTIF(INDIRECT("'"&amp;A4&amp;"'!L3:L200"),LEFT(A4,FIND("_",A4&amp;"_")-1)&amp;"-"&amp;B$1),0)</f>
        <v>44</v>
      </c>
      <c r="C4" s="9">
        <f t="shared" ref="C4:C28" ca="1" si="2">IFERROR(COUNTIF(INDIRECT("'"&amp;A4&amp;"'!M3:M200"),"*gộp*")/2,0)</f>
        <v>0</v>
      </c>
      <c r="D4" s="9" cm="1">
        <f t="array" aca="1" ref="D4" ca="1">IFERROR(SUM(COUNTIF(INDIRECT("'"&amp;A4&amp;"'!M3:M200"),{"*đơn trả*","*hàng tỉnh*"})),0)</f>
        <v>1</v>
      </c>
      <c r="E4" s="9">
        <f t="shared" ca="1" si="0"/>
        <v>43</v>
      </c>
    </row>
    <row r="5" spans="1:5" x14ac:dyDescent="0.25">
      <c r="A5" s="8" t="str">
        <f ca="1"/>
        <v>04-08</v>
      </c>
      <c r="B5" s="9">
        <f t="shared" ca="1" si="1"/>
        <v>23</v>
      </c>
      <c r="C5" s="9">
        <f t="shared" ca="1" si="2"/>
        <v>0</v>
      </c>
      <c r="D5" s="9" cm="1">
        <f t="array" aca="1" ref="D5" ca="1">IFERROR(SUM(COUNTIF(INDIRECT("'"&amp;A5&amp;"'!M3:M200"),{"*đơn trả*","*hàng tỉnh*"})),0)</f>
        <v>0</v>
      </c>
      <c r="E5" s="9">
        <f t="shared" ca="1" si="0"/>
        <v>23</v>
      </c>
    </row>
    <row r="6" spans="1:5" x14ac:dyDescent="0.25">
      <c r="A6" s="8" t="str">
        <f ca="1"/>
        <v>24-08_Morning</v>
      </c>
      <c r="B6" s="9">
        <f t="shared" ca="1" si="1"/>
        <v>42</v>
      </c>
      <c r="C6" s="9">
        <f t="shared" ca="1" si="2"/>
        <v>0</v>
      </c>
      <c r="D6" s="9" cm="1">
        <f t="array" aca="1" ref="D6" ca="1">IFERROR(SUM(COUNTIF(INDIRECT("'"&amp;A6&amp;"'!M3:M200"),{"*đơn trả*","*hàng tỉnh*"})),0)</f>
        <v>0</v>
      </c>
      <c r="E6" s="9">
        <f t="shared" ca="1" si="0"/>
        <v>42</v>
      </c>
    </row>
    <row r="7" spans="1:5" x14ac:dyDescent="0.25">
      <c r="A7" s="8" t="str">
        <f ca="1"/>
        <v>24-08_Night</v>
      </c>
      <c r="B7" s="9">
        <f t="shared" ca="1" si="1"/>
        <v>60</v>
      </c>
      <c r="C7" s="9">
        <f t="shared" ca="1" si="2"/>
        <v>0</v>
      </c>
      <c r="D7" s="9" cm="1">
        <f t="array" aca="1" ref="D7" ca="1">IFERROR(SUM(COUNTIF(INDIRECT("'"&amp;A7&amp;"'!M3:M200"),{"*đơn trả*","*hàng tỉnh*"})),0)</f>
        <v>0</v>
      </c>
      <c r="E7" s="9">
        <f t="shared" ca="1" si="0"/>
        <v>60</v>
      </c>
    </row>
    <row r="8" spans="1:5" x14ac:dyDescent="0.25">
      <c r="A8" s="8"/>
      <c r="B8" s="9">
        <f t="shared" ca="1" si="1"/>
        <v>0</v>
      </c>
      <c r="C8" s="9">
        <f t="shared" ca="1" si="2"/>
        <v>0</v>
      </c>
      <c r="D8" s="9" cm="1">
        <f t="array" aca="1" ref="D8" ca="1">IFERROR(SUM(COUNTIF(INDIRECT("'"&amp;A8&amp;"'!M3:M200"),{"*đơn trả*","*hàng tỉnh*"})),0)</f>
        <v>0</v>
      </c>
      <c r="E8" s="9">
        <f t="shared" ca="1" si="0"/>
        <v>0</v>
      </c>
    </row>
    <row r="9" spans="1:5" x14ac:dyDescent="0.25">
      <c r="A9" s="8"/>
      <c r="B9" s="9">
        <f t="shared" ca="1" si="1"/>
        <v>0</v>
      </c>
      <c r="C9" s="9">
        <f t="shared" ca="1" si="2"/>
        <v>0</v>
      </c>
      <c r="D9" s="9" cm="1">
        <f t="array" aca="1" ref="D9" ca="1">IFERROR(SUM(COUNTIF(INDIRECT("'"&amp;A9&amp;"'!M3:M200"),{"*đơn trả*","*hàng tỉnh*"})),0)</f>
        <v>0</v>
      </c>
      <c r="E9" s="9">
        <f t="shared" ca="1" si="0"/>
        <v>0</v>
      </c>
    </row>
    <row r="10" spans="1:5" x14ac:dyDescent="0.25">
      <c r="A10" s="8"/>
      <c r="B10" s="9">
        <f t="shared" ca="1" si="1"/>
        <v>0</v>
      </c>
      <c r="C10" s="9">
        <f t="shared" ca="1" si="2"/>
        <v>0</v>
      </c>
      <c r="D10" s="9" cm="1">
        <f t="array" aca="1" ref="D10" ca="1">IFERROR(SUM(COUNTIF(INDIRECT("'"&amp;A10&amp;"'!M3:M200"),{"*đơn trả*","*hàng tỉnh*"})),0)</f>
        <v>0</v>
      </c>
      <c r="E10" s="9">
        <f t="shared" ca="1" si="0"/>
        <v>0</v>
      </c>
    </row>
    <row r="11" spans="1:5" x14ac:dyDescent="0.25">
      <c r="A11" s="8"/>
      <c r="B11" s="9">
        <f t="shared" ca="1" si="1"/>
        <v>0</v>
      </c>
      <c r="C11" s="9">
        <f t="shared" ca="1" si="2"/>
        <v>0</v>
      </c>
      <c r="D11" s="9" cm="1">
        <f t="array" aca="1" ref="D11" ca="1">IFERROR(SUM(COUNTIF(INDIRECT("'"&amp;A11&amp;"'!M3:M200"),{"*đơn trả*","*hàng tỉnh*"})),0)</f>
        <v>0</v>
      </c>
      <c r="E11" s="9">
        <f t="shared" ca="1" si="0"/>
        <v>0</v>
      </c>
    </row>
    <row r="12" spans="1:5" x14ac:dyDescent="0.25">
      <c r="A12" s="8"/>
      <c r="B12" s="9">
        <f t="shared" ca="1" si="1"/>
        <v>0</v>
      </c>
      <c r="C12" s="9">
        <f t="shared" ca="1" si="2"/>
        <v>0</v>
      </c>
      <c r="D12" s="9" cm="1">
        <f t="array" aca="1" ref="D12" ca="1">IFERROR(SUM(COUNTIF(INDIRECT("'"&amp;A12&amp;"'!M3:M200"),{"*đơn trả*","*hàng tỉnh*"})),0)</f>
        <v>0</v>
      </c>
      <c r="E12" s="9">
        <f t="shared" ca="1" si="0"/>
        <v>0</v>
      </c>
    </row>
    <row r="13" spans="1:5" x14ac:dyDescent="0.25">
      <c r="A13" s="8"/>
      <c r="B13" s="9">
        <f t="shared" ca="1" si="1"/>
        <v>0</v>
      </c>
      <c r="C13" s="9">
        <f t="shared" ca="1" si="2"/>
        <v>0</v>
      </c>
      <c r="D13" s="9" cm="1">
        <f t="array" aca="1" ref="D13" ca="1">IFERROR(SUM(COUNTIF(INDIRECT("'"&amp;A13&amp;"'!M3:M200"),{"*đơn trả*","*hàng tỉnh*"})),0)</f>
        <v>0</v>
      </c>
      <c r="E13" s="9">
        <f t="shared" ca="1" si="0"/>
        <v>0</v>
      </c>
    </row>
    <row r="14" spans="1:5" x14ac:dyDescent="0.25">
      <c r="A14" s="8"/>
      <c r="B14" s="9">
        <f t="shared" ca="1" si="1"/>
        <v>0</v>
      </c>
      <c r="C14" s="9">
        <f t="shared" ca="1" si="2"/>
        <v>0</v>
      </c>
      <c r="D14" s="9" cm="1">
        <f t="array" aca="1" ref="D14" ca="1">IFERROR(SUM(COUNTIF(INDIRECT("'"&amp;A14&amp;"'!M3:M200"),{"*đơn trả*","*hàng tỉnh*"})),0)</f>
        <v>0</v>
      </c>
      <c r="E14" s="9">
        <f t="shared" ca="1" si="0"/>
        <v>0</v>
      </c>
    </row>
    <row r="15" spans="1:5" x14ac:dyDescent="0.25">
      <c r="A15" s="8"/>
      <c r="B15" s="9">
        <f t="shared" ca="1" si="1"/>
        <v>0</v>
      </c>
      <c r="C15" s="9">
        <f t="shared" ca="1" si="2"/>
        <v>0</v>
      </c>
      <c r="D15" s="9" cm="1">
        <f t="array" aca="1" ref="D15" ca="1">IFERROR(SUM(COUNTIF(INDIRECT("'"&amp;A15&amp;"'!M3:M200"),{"*đơn trả*","*hàng tỉnh*"})),0)</f>
        <v>0</v>
      </c>
      <c r="E15" s="9">
        <f t="shared" ca="1" si="0"/>
        <v>0</v>
      </c>
    </row>
    <row r="16" spans="1:5" x14ac:dyDescent="0.25">
      <c r="A16" s="8"/>
      <c r="B16" s="9">
        <f t="shared" ca="1" si="1"/>
        <v>0</v>
      </c>
      <c r="C16" s="9">
        <f t="shared" ca="1" si="2"/>
        <v>0</v>
      </c>
      <c r="D16" s="9" cm="1">
        <f t="array" aca="1" ref="D16" ca="1">IFERROR(SUM(COUNTIF(INDIRECT("'"&amp;A16&amp;"'!M3:M200"),{"*đơn trả*","*hàng tỉnh*"})),0)</f>
        <v>0</v>
      </c>
      <c r="E16" s="9">
        <f t="shared" ca="1" si="0"/>
        <v>0</v>
      </c>
    </row>
    <row r="17" spans="1:5" x14ac:dyDescent="0.25">
      <c r="A17" s="8"/>
      <c r="B17" s="9">
        <f t="shared" ca="1" si="1"/>
        <v>0</v>
      </c>
      <c r="C17" s="9">
        <f t="shared" ca="1" si="2"/>
        <v>0</v>
      </c>
      <c r="D17" s="9" cm="1">
        <f t="array" aca="1" ref="D17" ca="1">IFERROR(SUM(COUNTIF(INDIRECT("'"&amp;A17&amp;"'!M3:M200"),{"*đơn trả*","*hàng tỉnh*"})),0)</f>
        <v>0</v>
      </c>
      <c r="E17" s="9">
        <f t="shared" ca="1" si="0"/>
        <v>0</v>
      </c>
    </row>
    <row r="18" spans="1:5" x14ac:dyDescent="0.25">
      <c r="A18" s="8"/>
      <c r="B18" s="9">
        <f t="shared" ca="1" si="1"/>
        <v>0</v>
      </c>
      <c r="C18" s="9">
        <f t="shared" ca="1" si="2"/>
        <v>0</v>
      </c>
      <c r="D18" s="9" cm="1">
        <f t="array" aca="1" ref="D18" ca="1">IFERROR(SUM(COUNTIF(INDIRECT("'"&amp;A18&amp;"'!M3:M200"),{"*đơn trả*","*hàng tỉnh*"})),0)</f>
        <v>0</v>
      </c>
      <c r="E18" s="9">
        <f t="shared" ca="1" si="0"/>
        <v>0</v>
      </c>
    </row>
    <row r="19" spans="1:5" x14ac:dyDescent="0.25">
      <c r="A19" s="8"/>
      <c r="B19" s="9">
        <f t="shared" ca="1" si="1"/>
        <v>0</v>
      </c>
      <c r="C19" s="9">
        <f t="shared" ca="1" si="2"/>
        <v>0</v>
      </c>
      <c r="D19" s="9" cm="1">
        <f t="array" aca="1" ref="D19" ca="1">IFERROR(SUM(COUNTIF(INDIRECT("'"&amp;A19&amp;"'!M3:M200"),{"*đơn trả*","*hàng tỉnh*"})),0)</f>
        <v>0</v>
      </c>
      <c r="E19" s="9">
        <f t="shared" ca="1" si="0"/>
        <v>0</v>
      </c>
    </row>
    <row r="20" spans="1:5" x14ac:dyDescent="0.25">
      <c r="A20" s="8"/>
      <c r="B20" s="9">
        <f t="shared" ca="1" si="1"/>
        <v>0</v>
      </c>
      <c r="C20" s="9">
        <f t="shared" ca="1" si="2"/>
        <v>0</v>
      </c>
      <c r="D20" s="9" cm="1">
        <f t="array" aca="1" ref="D20" ca="1">IFERROR(SUM(COUNTIF(INDIRECT("'"&amp;A20&amp;"'!M3:M200"),{"*đơn trả*","*hàng tỉnh*"})),0)</f>
        <v>0</v>
      </c>
      <c r="E20" s="9">
        <f t="shared" ca="1" si="0"/>
        <v>0</v>
      </c>
    </row>
    <row r="21" spans="1:5" x14ac:dyDescent="0.25">
      <c r="A21" s="8"/>
      <c r="B21" s="9">
        <f t="shared" ca="1" si="1"/>
        <v>0</v>
      </c>
      <c r="C21" s="9">
        <f t="shared" ca="1" si="2"/>
        <v>0</v>
      </c>
      <c r="D21" s="9" cm="1">
        <f t="array" aca="1" ref="D21" ca="1">IFERROR(SUM(COUNTIF(INDIRECT("'"&amp;A21&amp;"'!M3:M200"),{"*đơn trả*","*hàng tỉnh*"})),0)</f>
        <v>0</v>
      </c>
      <c r="E21" s="9">
        <f t="shared" ca="1" si="0"/>
        <v>0</v>
      </c>
    </row>
    <row r="22" spans="1:5" x14ac:dyDescent="0.25">
      <c r="A22" s="8"/>
      <c r="B22" s="9">
        <f t="shared" ca="1" si="1"/>
        <v>0</v>
      </c>
      <c r="C22" s="9">
        <f t="shared" ca="1" si="2"/>
        <v>0</v>
      </c>
      <c r="D22" s="9" cm="1">
        <f t="array" aca="1" ref="D22" ca="1">IFERROR(SUM(COUNTIF(INDIRECT("'"&amp;A22&amp;"'!M3:M200"),{"*đơn trả*","*hàng tỉnh*"})),0)</f>
        <v>0</v>
      </c>
      <c r="E22" s="9">
        <f t="shared" ca="1" si="0"/>
        <v>0</v>
      </c>
    </row>
    <row r="23" spans="1:5" x14ac:dyDescent="0.25">
      <c r="A23" s="8"/>
      <c r="B23" s="9">
        <f t="shared" ca="1" si="1"/>
        <v>0</v>
      </c>
      <c r="C23" s="9">
        <f t="shared" ca="1" si="2"/>
        <v>0</v>
      </c>
      <c r="D23" s="9" cm="1">
        <f t="array" aca="1" ref="D23" ca="1">IFERROR(SUM(COUNTIF(INDIRECT("'"&amp;A23&amp;"'!M3:M200"),{"*đơn trả*","*hàng tỉnh*"})),0)</f>
        <v>0</v>
      </c>
      <c r="E23" s="9">
        <f t="shared" ca="1" si="0"/>
        <v>0</v>
      </c>
    </row>
    <row r="24" spans="1:5" x14ac:dyDescent="0.25">
      <c r="A24" s="8"/>
      <c r="B24" s="9">
        <f t="shared" ca="1" si="1"/>
        <v>0</v>
      </c>
      <c r="C24" s="9">
        <f t="shared" ca="1" si="2"/>
        <v>0</v>
      </c>
      <c r="D24" s="9" cm="1">
        <f t="array" aca="1" ref="D24" ca="1">IFERROR(SUM(COUNTIF(INDIRECT("'"&amp;A24&amp;"'!M3:M200"),{"*đơn trả*","*hàng tỉnh*"})),0)</f>
        <v>0</v>
      </c>
      <c r="E24" s="9">
        <f t="shared" ca="1" si="0"/>
        <v>0</v>
      </c>
    </row>
    <row r="25" spans="1:5" x14ac:dyDescent="0.25">
      <c r="A25" s="8"/>
      <c r="B25" s="9">
        <f t="shared" ca="1" si="1"/>
        <v>0</v>
      </c>
      <c r="C25" s="9">
        <f t="shared" ca="1" si="2"/>
        <v>0</v>
      </c>
      <c r="D25" s="9" cm="1">
        <f t="array" aca="1" ref="D25" ca="1">IFERROR(SUM(COUNTIF(INDIRECT("'"&amp;A25&amp;"'!M3:M200"),{"*đơn trả*","*hàng tỉnh*"})),0)</f>
        <v>0</v>
      </c>
      <c r="E25" s="9">
        <f t="shared" ca="1" si="0"/>
        <v>0</v>
      </c>
    </row>
    <row r="26" spans="1:5" x14ac:dyDescent="0.25">
      <c r="A26" s="8"/>
      <c r="B26" s="9">
        <f t="shared" ca="1" si="1"/>
        <v>0</v>
      </c>
      <c r="C26" s="9">
        <f t="shared" ca="1" si="2"/>
        <v>0</v>
      </c>
      <c r="D26" s="9" cm="1">
        <f t="array" aca="1" ref="D26" ca="1">IFERROR(SUM(COUNTIF(INDIRECT("'"&amp;A26&amp;"'!M3:M200"),{"*đơn trả*","*hàng tỉnh*"})),0)</f>
        <v>0</v>
      </c>
      <c r="E26" s="9">
        <f t="shared" ca="1" si="0"/>
        <v>0</v>
      </c>
    </row>
    <row r="27" spans="1:5" x14ac:dyDescent="0.25">
      <c r="A27" s="8"/>
      <c r="B27" s="9">
        <f t="shared" ca="1" si="1"/>
        <v>0</v>
      </c>
      <c r="C27" s="9">
        <f t="shared" ca="1" si="2"/>
        <v>0</v>
      </c>
      <c r="D27" s="9" cm="1">
        <f t="array" aca="1" ref="D27" ca="1">IFERROR(SUM(COUNTIF(INDIRECT("'"&amp;A27&amp;"'!M3:M200"),{"*đơn trả*","*hàng tỉnh*"})),0)</f>
        <v>0</v>
      </c>
      <c r="E27" s="9">
        <f t="shared" ca="1" si="0"/>
        <v>0</v>
      </c>
    </row>
    <row r="28" spans="1:5" x14ac:dyDescent="0.25">
      <c r="A28" s="8"/>
      <c r="B28" s="9">
        <f t="shared" ca="1" si="1"/>
        <v>0</v>
      </c>
      <c r="C28" s="9">
        <f t="shared" ca="1" si="2"/>
        <v>0</v>
      </c>
      <c r="D28" s="9" cm="1">
        <f t="array" aca="1" ref="D28" ca="1">IFERROR(SUM(COUNTIF(INDIRECT("'"&amp;A28&amp;"'!M3:M200"),{"*đơn trả*","*hàng tỉnh*"})),0)</f>
        <v>0</v>
      </c>
      <c r="E28" s="9">
        <f t="shared" ca="1" si="0"/>
        <v>0</v>
      </c>
    </row>
    <row r="29" spans="1:5" x14ac:dyDescent="0.25">
      <c r="D29" s="10" t="s">
        <v>6</v>
      </c>
      <c r="E29" s="10">
        <f ca="1">SUBTOTAL(9,E3:E28)</f>
        <v>205</v>
      </c>
    </row>
    <row r="30" spans="1:5" x14ac:dyDescent="0.25">
      <c r="D30" s="10" t="s">
        <v>7</v>
      </c>
      <c r="E30" s="10" cm="1">
        <f t="array" aca="1" ref="E30" ca="1">SUMPRODUCT(
    IFERROR(
        SUMIF(
            INDIRECT("'"&amp;A3:A28&amp;"'!O:O"),
            "tổng",
            INDIRECT("'"&amp;A3:A28&amp;"'!P:P")
        ),
    0)
)</f>
        <v>848</v>
      </c>
    </row>
    <row r="31" spans="1:5" x14ac:dyDescent="0.25">
      <c r="D31" s="10" t="s">
        <v>8</v>
      </c>
      <c r="E31" s="10">
        <f ca="1">-E29*2</f>
        <v>-410</v>
      </c>
    </row>
    <row r="32" spans="1:5" x14ac:dyDescent="0.25">
      <c r="D32" s="10" t="s">
        <v>9</v>
      </c>
      <c r="E32" s="10">
        <f ca="1">SUBTOTAL(9,E30:E31)</f>
        <v>438</v>
      </c>
    </row>
  </sheetData>
  <autoFilter ref="A2:E28" xr:uid="{00000000-0009-0000-0000-000000000000}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A8359-678D-43DF-AEDB-72C019B2C65B}">
  <dimension ref="A2:R67"/>
  <sheetViews>
    <sheetView topLeftCell="A31" workbookViewId="0">
      <selection activeCell="A34" sqref="A34 A34:XFD34"/>
    </sheetView>
  </sheetViews>
  <sheetFormatPr defaultRowHeight="15" x14ac:dyDescent="0.25"/>
  <cols>
    <col min="1" max="1" width="12.7109375" customWidth="1"/>
    <col min="2" max="2" width="9" customWidth="1"/>
    <col min="3" max="3" width="21.85546875" customWidth="1"/>
    <col min="4" max="4" width="9.85546875" customWidth="1"/>
    <col min="5" max="5" width="73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2" t="s">
        <v>38</v>
      </c>
      <c r="B2" s="12" t="s">
        <v>39</v>
      </c>
      <c r="C2" s="12" t="s">
        <v>40</v>
      </c>
      <c r="D2" s="12" t="s">
        <v>41</v>
      </c>
      <c r="E2" s="12" t="s">
        <v>42</v>
      </c>
      <c r="F2" s="12" t="s">
        <v>43</v>
      </c>
      <c r="G2" s="12" t="s">
        <v>44</v>
      </c>
      <c r="H2" s="12" t="s">
        <v>45</v>
      </c>
      <c r="I2" s="12" t="s">
        <v>46</v>
      </c>
      <c r="J2" s="12" t="s">
        <v>47</v>
      </c>
      <c r="K2" s="12" t="s">
        <v>48</v>
      </c>
      <c r="L2" s="12" t="s">
        <v>49</v>
      </c>
      <c r="M2" s="12" t="s">
        <v>50</v>
      </c>
      <c r="N2" s="12" t="s">
        <v>51</v>
      </c>
      <c r="O2" s="12" t="s">
        <v>52</v>
      </c>
      <c r="P2" s="12" t="s">
        <v>53</v>
      </c>
      <c r="Q2" s="12" t="s">
        <v>54</v>
      </c>
    </row>
    <row r="3" spans="1:18" x14ac:dyDescent="0.25">
      <c r="A3" s="13"/>
      <c r="B3" s="13" t="s">
        <v>55</v>
      </c>
      <c r="C3" s="13" t="s">
        <v>56</v>
      </c>
      <c r="D3" s="13" t="s">
        <v>57</v>
      </c>
      <c r="E3" s="13" t="s">
        <v>58</v>
      </c>
      <c r="F3" s="13" t="s">
        <v>59</v>
      </c>
      <c r="G3" s="14">
        <v>715</v>
      </c>
      <c r="H3" s="14">
        <v>25</v>
      </c>
      <c r="I3" s="14">
        <f t="shared" ref="I3:I41" si="0">G3-H3</f>
        <v>690</v>
      </c>
      <c r="J3" s="13" t="s">
        <v>60</v>
      </c>
      <c r="K3" s="13" t="s">
        <v>61</v>
      </c>
      <c r="L3" s="13" t="s">
        <v>62</v>
      </c>
      <c r="M3" s="13"/>
      <c r="N3" s="13"/>
      <c r="O3" s="13"/>
      <c r="P3" s="13"/>
      <c r="Q3" s="13">
        <v>1</v>
      </c>
    </row>
    <row r="4" spans="1:18" x14ac:dyDescent="0.25">
      <c r="A4" s="13"/>
      <c r="B4" s="13" t="s">
        <v>55</v>
      </c>
      <c r="C4" s="13" t="s">
        <v>63</v>
      </c>
      <c r="D4" s="13" t="s">
        <v>64</v>
      </c>
      <c r="E4" s="13" t="s">
        <v>65</v>
      </c>
      <c r="F4" s="14">
        <v>8</v>
      </c>
      <c r="G4" s="14">
        <v>920</v>
      </c>
      <c r="H4" s="14">
        <v>30</v>
      </c>
      <c r="I4" s="14">
        <f t="shared" si="0"/>
        <v>890</v>
      </c>
      <c r="J4" s="13" t="s">
        <v>60</v>
      </c>
      <c r="K4" s="13" t="s">
        <v>61</v>
      </c>
      <c r="L4" s="13" t="s">
        <v>62</v>
      </c>
      <c r="M4" s="13"/>
      <c r="N4" s="13"/>
      <c r="O4" s="13"/>
      <c r="P4" s="13"/>
      <c r="Q4" s="13">
        <v>1</v>
      </c>
    </row>
    <row r="5" spans="1:18" x14ac:dyDescent="0.25">
      <c r="A5" s="13"/>
      <c r="B5" s="13" t="s">
        <v>55</v>
      </c>
      <c r="C5" s="13" t="s">
        <v>66</v>
      </c>
      <c r="D5" s="13" t="s">
        <v>67</v>
      </c>
      <c r="E5" s="13" t="s">
        <v>68</v>
      </c>
      <c r="F5" s="14">
        <v>8</v>
      </c>
      <c r="G5" s="14">
        <v>920</v>
      </c>
      <c r="H5" s="14">
        <v>30</v>
      </c>
      <c r="I5" s="14">
        <f t="shared" si="0"/>
        <v>890</v>
      </c>
      <c r="J5" s="13" t="s">
        <v>60</v>
      </c>
      <c r="K5" s="13" t="s">
        <v>61</v>
      </c>
      <c r="L5" s="13" t="s">
        <v>62</v>
      </c>
      <c r="M5" s="13"/>
      <c r="N5" s="13"/>
      <c r="O5" s="13"/>
      <c r="P5" s="13"/>
      <c r="Q5" s="13">
        <v>1</v>
      </c>
    </row>
    <row r="6" spans="1:18" x14ac:dyDescent="0.25">
      <c r="A6" s="13"/>
      <c r="B6" s="13" t="s">
        <v>55</v>
      </c>
      <c r="C6" s="13" t="s">
        <v>69</v>
      </c>
      <c r="D6" s="13" t="s">
        <v>70</v>
      </c>
      <c r="E6" s="13" t="s">
        <v>71</v>
      </c>
      <c r="F6" s="13" t="s">
        <v>72</v>
      </c>
      <c r="G6" s="14">
        <v>0</v>
      </c>
      <c r="H6" s="14">
        <v>25</v>
      </c>
      <c r="I6" s="14">
        <f t="shared" si="0"/>
        <v>-25</v>
      </c>
      <c r="J6" s="13" t="s">
        <v>60</v>
      </c>
      <c r="K6" s="13" t="s">
        <v>61</v>
      </c>
      <c r="L6" s="13" t="s">
        <v>62</v>
      </c>
      <c r="M6" s="13"/>
      <c r="N6" s="13"/>
      <c r="O6" s="13"/>
      <c r="P6" s="13"/>
      <c r="Q6" s="13">
        <v>1</v>
      </c>
      <c r="R6" s="15">
        <f>H6</f>
        <v>25</v>
      </c>
    </row>
    <row r="7" spans="1:18" x14ac:dyDescent="0.25">
      <c r="A7" s="13"/>
      <c r="B7" s="13" t="s">
        <v>55</v>
      </c>
      <c r="C7" s="13" t="s">
        <v>73</v>
      </c>
      <c r="D7" s="13" t="s">
        <v>74</v>
      </c>
      <c r="E7" s="13" t="s">
        <v>75</v>
      </c>
      <c r="F7" s="13" t="s">
        <v>76</v>
      </c>
      <c r="G7" s="14">
        <v>940</v>
      </c>
      <c r="H7" s="14">
        <v>30</v>
      </c>
      <c r="I7" s="14">
        <f t="shared" si="0"/>
        <v>910</v>
      </c>
      <c r="J7" s="13" t="s">
        <v>60</v>
      </c>
      <c r="K7" s="13" t="s">
        <v>61</v>
      </c>
      <c r="L7" s="13" t="s">
        <v>62</v>
      </c>
      <c r="M7" s="13"/>
      <c r="N7" s="13"/>
      <c r="O7" s="13"/>
      <c r="P7" s="13"/>
      <c r="Q7" s="13">
        <v>1</v>
      </c>
    </row>
    <row r="8" spans="1:18" x14ac:dyDescent="0.25">
      <c r="A8" s="13"/>
      <c r="B8" s="13" t="s">
        <v>55</v>
      </c>
      <c r="C8" s="13" t="s">
        <v>77</v>
      </c>
      <c r="D8" s="13" t="s">
        <v>78</v>
      </c>
      <c r="E8" s="13" t="s">
        <v>79</v>
      </c>
      <c r="F8" s="14">
        <v>11</v>
      </c>
      <c r="G8" s="14">
        <v>715</v>
      </c>
      <c r="H8" s="14">
        <v>25</v>
      </c>
      <c r="I8" s="14">
        <f t="shared" si="0"/>
        <v>690</v>
      </c>
      <c r="J8" s="13" t="s">
        <v>60</v>
      </c>
      <c r="K8" s="13" t="s">
        <v>61</v>
      </c>
      <c r="L8" s="13" t="s">
        <v>62</v>
      </c>
      <c r="M8" s="13"/>
      <c r="N8" s="13"/>
      <c r="O8" s="13"/>
      <c r="P8" s="13"/>
      <c r="Q8" s="13">
        <v>1</v>
      </c>
    </row>
    <row r="9" spans="1:18" x14ac:dyDescent="0.25">
      <c r="A9" s="13"/>
      <c r="B9" s="13" t="s">
        <v>55</v>
      </c>
      <c r="C9" s="13" t="s">
        <v>80</v>
      </c>
      <c r="D9" s="13" t="s">
        <v>81</v>
      </c>
      <c r="E9" s="13" t="s">
        <v>82</v>
      </c>
      <c r="F9" s="13" t="s">
        <v>83</v>
      </c>
      <c r="G9" s="14">
        <v>925</v>
      </c>
      <c r="H9" s="14">
        <v>35</v>
      </c>
      <c r="I9" s="14">
        <f t="shared" si="0"/>
        <v>890</v>
      </c>
      <c r="J9" s="13" t="s">
        <v>60</v>
      </c>
      <c r="K9" s="13" t="s">
        <v>61</v>
      </c>
      <c r="L9" s="13" t="s">
        <v>62</v>
      </c>
      <c r="M9" s="13"/>
      <c r="N9" s="13"/>
      <c r="O9" s="13"/>
      <c r="P9" s="13"/>
      <c r="Q9" s="13">
        <v>1</v>
      </c>
    </row>
    <row r="10" spans="1:18" x14ac:dyDescent="0.25">
      <c r="A10" s="13"/>
      <c r="B10" s="13" t="s">
        <v>55</v>
      </c>
      <c r="C10" s="13" t="s">
        <v>84</v>
      </c>
      <c r="D10" s="13" t="s">
        <v>85</v>
      </c>
      <c r="E10" s="13" t="s">
        <v>86</v>
      </c>
      <c r="F10" s="14">
        <v>8</v>
      </c>
      <c r="G10" s="14">
        <v>710</v>
      </c>
      <c r="H10" s="14">
        <v>30</v>
      </c>
      <c r="I10" s="14">
        <f t="shared" si="0"/>
        <v>680</v>
      </c>
      <c r="J10" s="13" t="s">
        <v>60</v>
      </c>
      <c r="K10" s="13" t="s">
        <v>61</v>
      </c>
      <c r="L10" s="13" t="s">
        <v>62</v>
      </c>
      <c r="M10" s="13"/>
      <c r="N10" s="13"/>
      <c r="O10" s="13"/>
      <c r="P10" s="13"/>
      <c r="Q10" s="13">
        <v>1</v>
      </c>
    </row>
    <row r="11" spans="1:18" x14ac:dyDescent="0.25">
      <c r="A11" s="13" t="s">
        <v>87</v>
      </c>
      <c r="B11" s="13" t="s">
        <v>55</v>
      </c>
      <c r="C11" s="13" t="s">
        <v>88</v>
      </c>
      <c r="D11" s="13"/>
      <c r="E11" s="13" t="s">
        <v>89</v>
      </c>
      <c r="F11" s="13" t="s">
        <v>76</v>
      </c>
      <c r="G11" s="14">
        <v>0</v>
      </c>
      <c r="H11" s="14">
        <v>35</v>
      </c>
      <c r="I11" s="14">
        <f t="shared" si="0"/>
        <v>-35</v>
      </c>
      <c r="J11" s="13" t="s">
        <v>60</v>
      </c>
      <c r="K11" s="13" t="s">
        <v>61</v>
      </c>
      <c r="L11" s="13" t="s">
        <v>62</v>
      </c>
      <c r="M11" s="13"/>
      <c r="N11" s="13"/>
      <c r="O11" s="13"/>
      <c r="P11" s="13"/>
      <c r="Q11" s="13">
        <v>1</v>
      </c>
      <c r="R11" s="15">
        <f>H11</f>
        <v>35</v>
      </c>
    </row>
    <row r="12" spans="1:18" x14ac:dyDescent="0.25">
      <c r="A12" s="13"/>
      <c r="B12" s="13" t="s">
        <v>55</v>
      </c>
      <c r="C12" s="13" t="s">
        <v>90</v>
      </c>
      <c r="D12" s="13" t="s">
        <v>91</v>
      </c>
      <c r="E12" s="13" t="s">
        <v>92</v>
      </c>
      <c r="F12" s="14">
        <v>2</v>
      </c>
      <c r="G12" s="14">
        <v>940</v>
      </c>
      <c r="H12" s="14">
        <v>30</v>
      </c>
      <c r="I12" s="14">
        <f t="shared" si="0"/>
        <v>910</v>
      </c>
      <c r="J12" s="13" t="s">
        <v>61</v>
      </c>
      <c r="K12" s="13" t="s">
        <v>61</v>
      </c>
      <c r="L12" s="13" t="s">
        <v>62</v>
      </c>
      <c r="M12" s="13"/>
      <c r="N12" s="13"/>
      <c r="O12" s="13"/>
      <c r="P12" s="13"/>
      <c r="Q12" s="13">
        <v>1</v>
      </c>
    </row>
    <row r="13" spans="1:18" x14ac:dyDescent="0.25">
      <c r="A13" s="13"/>
      <c r="B13" s="13" t="s">
        <v>55</v>
      </c>
      <c r="C13" s="13" t="s">
        <v>93</v>
      </c>
      <c r="D13" s="13" t="s">
        <v>94</v>
      </c>
      <c r="E13" s="13" t="s">
        <v>95</v>
      </c>
      <c r="F13" s="13" t="s">
        <v>96</v>
      </c>
      <c r="G13" s="14">
        <v>915</v>
      </c>
      <c r="H13" s="14">
        <v>25</v>
      </c>
      <c r="I13" s="14">
        <f t="shared" si="0"/>
        <v>890</v>
      </c>
      <c r="J13" s="13" t="s">
        <v>61</v>
      </c>
      <c r="K13" s="13" t="s">
        <v>61</v>
      </c>
      <c r="L13" s="13" t="s">
        <v>62</v>
      </c>
      <c r="M13" s="13"/>
      <c r="N13" s="13"/>
      <c r="O13" s="13"/>
      <c r="P13" s="13"/>
      <c r="Q13" s="13">
        <v>1</v>
      </c>
    </row>
    <row r="14" spans="1:18" x14ac:dyDescent="0.25">
      <c r="A14" s="13"/>
      <c r="B14" s="13" t="s">
        <v>55</v>
      </c>
      <c r="C14" s="13" t="s">
        <v>97</v>
      </c>
      <c r="D14" s="13" t="s">
        <v>98</v>
      </c>
      <c r="E14" s="13" t="s">
        <v>99</v>
      </c>
      <c r="F14" s="14">
        <v>9</v>
      </c>
      <c r="G14" s="14">
        <v>1080</v>
      </c>
      <c r="H14" s="14">
        <v>30</v>
      </c>
      <c r="I14" s="14">
        <f t="shared" si="0"/>
        <v>1050</v>
      </c>
      <c r="J14" s="13" t="s">
        <v>61</v>
      </c>
      <c r="K14" s="13" t="s">
        <v>61</v>
      </c>
      <c r="L14" s="13" t="s">
        <v>62</v>
      </c>
      <c r="M14" s="13"/>
      <c r="N14" s="13"/>
      <c r="O14" s="13"/>
      <c r="P14" s="13"/>
      <c r="Q14" s="13">
        <v>1</v>
      </c>
    </row>
    <row r="15" spans="1:18" x14ac:dyDescent="0.25">
      <c r="A15" s="13"/>
      <c r="B15" s="13" t="s">
        <v>55</v>
      </c>
      <c r="C15" s="13" t="s">
        <v>100</v>
      </c>
      <c r="D15" s="13" t="s">
        <v>101</v>
      </c>
      <c r="E15" s="13" t="s">
        <v>102</v>
      </c>
      <c r="F15" s="13" t="s">
        <v>96</v>
      </c>
      <c r="G15" s="14">
        <v>1005</v>
      </c>
      <c r="H15" s="14">
        <v>25</v>
      </c>
      <c r="I15" s="14">
        <f t="shared" si="0"/>
        <v>980</v>
      </c>
      <c r="J15" s="13" t="s">
        <v>61</v>
      </c>
      <c r="K15" s="13" t="s">
        <v>61</v>
      </c>
      <c r="L15" s="13" t="s">
        <v>62</v>
      </c>
      <c r="M15" s="13"/>
      <c r="N15" s="13"/>
      <c r="O15" s="13"/>
      <c r="P15" s="13"/>
      <c r="Q15" s="13">
        <v>1</v>
      </c>
    </row>
    <row r="16" spans="1:18" x14ac:dyDescent="0.25">
      <c r="A16" s="13"/>
      <c r="B16" s="13" t="s">
        <v>55</v>
      </c>
      <c r="C16" s="13" t="s">
        <v>103</v>
      </c>
      <c r="D16" s="13" t="s">
        <v>104</v>
      </c>
      <c r="E16" s="13" t="s">
        <v>105</v>
      </c>
      <c r="F16" s="13" t="s">
        <v>106</v>
      </c>
      <c r="G16" s="14">
        <v>0</v>
      </c>
      <c r="H16" s="14">
        <v>20</v>
      </c>
      <c r="I16" s="14">
        <f t="shared" si="0"/>
        <v>-20</v>
      </c>
      <c r="J16" s="13" t="s">
        <v>61</v>
      </c>
      <c r="K16" s="13" t="s">
        <v>61</v>
      </c>
      <c r="L16" s="13" t="s">
        <v>62</v>
      </c>
      <c r="M16" s="13"/>
      <c r="N16" s="13"/>
      <c r="O16" s="13"/>
      <c r="P16" s="13"/>
      <c r="Q16" s="13">
        <v>1</v>
      </c>
      <c r="R16" s="15">
        <f>H16</f>
        <v>20</v>
      </c>
    </row>
    <row r="17" spans="1:18" x14ac:dyDescent="0.25">
      <c r="A17" s="13"/>
      <c r="B17" s="13" t="s">
        <v>55</v>
      </c>
      <c r="C17" s="13" t="s">
        <v>107</v>
      </c>
      <c r="D17" s="13" t="s">
        <v>108</v>
      </c>
      <c r="E17" s="13" t="s">
        <v>109</v>
      </c>
      <c r="F17" s="13" t="s">
        <v>96</v>
      </c>
      <c r="G17" s="14">
        <v>515</v>
      </c>
      <c r="H17" s="14">
        <v>25</v>
      </c>
      <c r="I17" s="14">
        <f t="shared" si="0"/>
        <v>490</v>
      </c>
      <c r="J17" s="13" t="s">
        <v>61</v>
      </c>
      <c r="K17" s="13" t="s">
        <v>61</v>
      </c>
      <c r="L17" s="13" t="s">
        <v>62</v>
      </c>
      <c r="M17" s="13"/>
      <c r="N17" s="13"/>
      <c r="O17" s="13"/>
      <c r="P17" s="13"/>
      <c r="Q17" s="13">
        <v>1</v>
      </c>
    </row>
    <row r="18" spans="1:18" x14ac:dyDescent="0.25">
      <c r="A18" s="13"/>
      <c r="B18" s="13" t="s">
        <v>55</v>
      </c>
      <c r="C18" s="13" t="s">
        <v>110</v>
      </c>
      <c r="D18" s="13" t="s">
        <v>111</v>
      </c>
      <c r="E18" s="13" t="s">
        <v>112</v>
      </c>
      <c r="F18" s="13" t="s">
        <v>96</v>
      </c>
      <c r="G18" s="14">
        <v>0</v>
      </c>
      <c r="H18" s="14">
        <v>25</v>
      </c>
      <c r="I18" s="14">
        <f t="shared" si="0"/>
        <v>-25</v>
      </c>
      <c r="J18" s="13" t="s">
        <v>61</v>
      </c>
      <c r="K18" s="13" t="s">
        <v>61</v>
      </c>
      <c r="L18" s="13" t="s">
        <v>62</v>
      </c>
      <c r="M18" s="13"/>
      <c r="N18" s="13"/>
      <c r="O18" s="13"/>
      <c r="P18" s="13"/>
      <c r="Q18" s="13">
        <v>1</v>
      </c>
      <c r="R18" s="15">
        <f>H18</f>
        <v>25</v>
      </c>
    </row>
    <row r="19" spans="1:18" x14ac:dyDescent="0.25">
      <c r="A19" s="13"/>
      <c r="B19" s="13" t="s">
        <v>55</v>
      </c>
      <c r="C19" s="13" t="s">
        <v>113</v>
      </c>
      <c r="D19" s="13" t="s">
        <v>114</v>
      </c>
      <c r="E19" s="13" t="s">
        <v>115</v>
      </c>
      <c r="F19" s="14">
        <v>9</v>
      </c>
      <c r="G19" s="14">
        <v>890</v>
      </c>
      <c r="H19" s="14">
        <v>30</v>
      </c>
      <c r="I19" s="14">
        <f t="shared" si="0"/>
        <v>860</v>
      </c>
      <c r="J19" s="13" t="s">
        <v>61</v>
      </c>
      <c r="K19" s="13" t="s">
        <v>61</v>
      </c>
      <c r="L19" s="13" t="s">
        <v>62</v>
      </c>
      <c r="M19" s="13"/>
      <c r="N19" s="13"/>
      <c r="O19" s="13"/>
      <c r="P19" s="13"/>
      <c r="Q19" s="13">
        <v>1</v>
      </c>
    </row>
    <row r="20" spans="1:18" x14ac:dyDescent="0.25">
      <c r="A20" s="13"/>
      <c r="B20" s="13" t="s">
        <v>55</v>
      </c>
      <c r="C20" s="13" t="s">
        <v>116</v>
      </c>
      <c r="D20" s="13" t="s">
        <v>117</v>
      </c>
      <c r="E20" s="13" t="s">
        <v>118</v>
      </c>
      <c r="F20" s="13" t="s">
        <v>96</v>
      </c>
      <c r="G20" s="14">
        <v>915</v>
      </c>
      <c r="H20" s="14">
        <v>25</v>
      </c>
      <c r="I20" s="14">
        <f t="shared" si="0"/>
        <v>890</v>
      </c>
      <c r="J20" s="13" t="s">
        <v>61</v>
      </c>
      <c r="K20" s="13" t="s">
        <v>61</v>
      </c>
      <c r="L20" s="13" t="s">
        <v>62</v>
      </c>
      <c r="M20" s="13"/>
      <c r="N20" s="13"/>
      <c r="O20" s="13"/>
      <c r="P20" s="13"/>
      <c r="Q20" s="13">
        <v>1</v>
      </c>
    </row>
    <row r="21" spans="1:18" x14ac:dyDescent="0.25">
      <c r="A21" s="13"/>
      <c r="B21" s="13" t="s">
        <v>55</v>
      </c>
      <c r="C21" s="13" t="s">
        <v>119</v>
      </c>
      <c r="D21" s="13" t="s">
        <v>120</v>
      </c>
      <c r="E21" s="13" t="s">
        <v>121</v>
      </c>
      <c r="F21" s="14">
        <v>12</v>
      </c>
      <c r="G21" s="14">
        <v>0</v>
      </c>
      <c r="H21" s="14">
        <v>30</v>
      </c>
      <c r="I21" s="14">
        <f t="shared" si="0"/>
        <v>-30</v>
      </c>
      <c r="J21" s="13" t="s">
        <v>61</v>
      </c>
      <c r="K21" s="13" t="s">
        <v>61</v>
      </c>
      <c r="L21" s="13" t="s">
        <v>62</v>
      </c>
      <c r="M21" s="13"/>
      <c r="N21" s="13"/>
      <c r="O21" s="13"/>
      <c r="P21" s="13"/>
      <c r="Q21" s="13">
        <v>1</v>
      </c>
      <c r="R21" s="15">
        <f>H21</f>
        <v>30</v>
      </c>
    </row>
    <row r="22" spans="1:18" x14ac:dyDescent="0.25">
      <c r="A22" s="13"/>
      <c r="B22" s="13" t="s">
        <v>55</v>
      </c>
      <c r="C22" s="13" t="s">
        <v>122</v>
      </c>
      <c r="D22" s="13" t="s">
        <v>123</v>
      </c>
      <c r="E22" s="13" t="s">
        <v>124</v>
      </c>
      <c r="F22" s="13" t="s">
        <v>106</v>
      </c>
      <c r="G22" s="14">
        <v>510</v>
      </c>
      <c r="H22" s="14">
        <v>20</v>
      </c>
      <c r="I22" s="14">
        <f t="shared" si="0"/>
        <v>490</v>
      </c>
      <c r="J22" s="13" t="s">
        <v>61</v>
      </c>
      <c r="K22" s="13" t="s">
        <v>61</v>
      </c>
      <c r="L22" s="13" t="s">
        <v>62</v>
      </c>
      <c r="M22" s="13"/>
      <c r="N22" s="13"/>
      <c r="O22" s="13"/>
      <c r="P22" s="13"/>
      <c r="Q22" s="13">
        <v>1</v>
      </c>
    </row>
    <row r="23" spans="1:18" s="18" customFormat="1" x14ac:dyDescent="0.25">
      <c r="A23" s="16"/>
      <c r="B23" s="16" t="s">
        <v>55</v>
      </c>
      <c r="C23" s="16" t="s">
        <v>125</v>
      </c>
      <c r="D23" s="16" t="s">
        <v>126</v>
      </c>
      <c r="E23" s="16" t="s">
        <v>127</v>
      </c>
      <c r="F23" s="17">
        <v>2</v>
      </c>
      <c r="G23" s="17">
        <v>30</v>
      </c>
      <c r="H23" s="17">
        <v>30</v>
      </c>
      <c r="I23" s="17">
        <f t="shared" si="0"/>
        <v>0</v>
      </c>
      <c r="J23" s="16" t="s">
        <v>61</v>
      </c>
      <c r="K23" s="16" t="s">
        <v>61</v>
      </c>
      <c r="L23" s="16" t="s">
        <v>62</v>
      </c>
      <c r="M23" s="16" t="s">
        <v>128</v>
      </c>
      <c r="N23" s="16"/>
      <c r="O23" s="16"/>
      <c r="P23" s="16"/>
      <c r="Q23" s="16">
        <v>1</v>
      </c>
    </row>
    <row r="24" spans="1:18" x14ac:dyDescent="0.25">
      <c r="A24" s="13"/>
      <c r="B24" s="13" t="s">
        <v>55</v>
      </c>
      <c r="C24" s="13" t="s">
        <v>129</v>
      </c>
      <c r="D24" s="13" t="s">
        <v>130</v>
      </c>
      <c r="E24" s="13" t="s">
        <v>131</v>
      </c>
      <c r="F24" s="13" t="s">
        <v>132</v>
      </c>
      <c r="G24" s="14">
        <v>920</v>
      </c>
      <c r="H24" s="14">
        <v>30</v>
      </c>
      <c r="I24" s="14">
        <f t="shared" si="0"/>
        <v>890</v>
      </c>
      <c r="J24" s="13" t="s">
        <v>61</v>
      </c>
      <c r="K24" s="13" t="s">
        <v>61</v>
      </c>
      <c r="L24" s="13" t="s">
        <v>62</v>
      </c>
      <c r="M24" s="13"/>
      <c r="N24" s="13"/>
      <c r="O24" s="13"/>
      <c r="P24" s="13"/>
      <c r="Q24" s="13">
        <v>1</v>
      </c>
    </row>
    <row r="25" spans="1:18" x14ac:dyDescent="0.25">
      <c r="A25" s="13" t="s">
        <v>87</v>
      </c>
      <c r="B25" s="13" t="s">
        <v>55</v>
      </c>
      <c r="C25" s="13" t="s">
        <v>133</v>
      </c>
      <c r="D25" s="13"/>
      <c r="E25" s="13" t="s">
        <v>134</v>
      </c>
      <c r="F25" s="13" t="s">
        <v>96</v>
      </c>
      <c r="G25" s="14">
        <v>2485</v>
      </c>
      <c r="H25" s="14">
        <v>35</v>
      </c>
      <c r="I25" s="14">
        <f t="shared" si="0"/>
        <v>2450</v>
      </c>
      <c r="J25" s="13" t="s">
        <v>61</v>
      </c>
      <c r="K25" s="13" t="s">
        <v>61</v>
      </c>
      <c r="L25" s="13" t="s">
        <v>62</v>
      </c>
      <c r="M25" s="13"/>
      <c r="N25" s="13"/>
      <c r="O25" s="13"/>
      <c r="P25" s="13"/>
      <c r="Q25" s="13">
        <v>1</v>
      </c>
    </row>
    <row r="26" spans="1:18" x14ac:dyDescent="0.25">
      <c r="A26" s="13" t="s">
        <v>87</v>
      </c>
      <c r="B26" s="13" t="s">
        <v>55</v>
      </c>
      <c r="C26" s="13" t="s">
        <v>135</v>
      </c>
      <c r="D26" s="13"/>
      <c r="E26" s="13" t="s">
        <v>136</v>
      </c>
      <c r="F26" s="13" t="s">
        <v>96</v>
      </c>
      <c r="G26" s="14">
        <v>3155</v>
      </c>
      <c r="H26" s="14">
        <v>35</v>
      </c>
      <c r="I26" s="14">
        <f t="shared" si="0"/>
        <v>3120</v>
      </c>
      <c r="J26" s="13" t="s">
        <v>61</v>
      </c>
      <c r="K26" s="13" t="s">
        <v>61</v>
      </c>
      <c r="L26" s="13" t="s">
        <v>62</v>
      </c>
      <c r="M26" s="13"/>
      <c r="N26" s="13"/>
      <c r="O26" s="13"/>
      <c r="P26" s="13"/>
      <c r="Q26" s="13">
        <v>1</v>
      </c>
    </row>
    <row r="27" spans="1:18" x14ac:dyDescent="0.25">
      <c r="A27" s="13" t="s">
        <v>87</v>
      </c>
      <c r="B27" s="13" t="s">
        <v>55</v>
      </c>
      <c r="C27" s="13" t="s">
        <v>137</v>
      </c>
      <c r="D27" s="13"/>
      <c r="E27" s="13" t="s">
        <v>138</v>
      </c>
      <c r="F27" s="13" t="s">
        <v>96</v>
      </c>
      <c r="G27" s="14">
        <v>35</v>
      </c>
      <c r="H27" s="14">
        <v>35</v>
      </c>
      <c r="I27" s="14">
        <f t="shared" si="0"/>
        <v>0</v>
      </c>
      <c r="J27" s="13" t="s">
        <v>61</v>
      </c>
      <c r="K27" s="13" t="s">
        <v>61</v>
      </c>
      <c r="L27" s="13" t="s">
        <v>62</v>
      </c>
      <c r="M27" s="13"/>
      <c r="N27" s="13"/>
      <c r="O27" s="13"/>
      <c r="P27" s="13"/>
      <c r="Q27" s="13">
        <v>1</v>
      </c>
    </row>
    <row r="28" spans="1:18" x14ac:dyDescent="0.25">
      <c r="A28" s="13" t="s">
        <v>87</v>
      </c>
      <c r="B28" s="13" t="s">
        <v>55</v>
      </c>
      <c r="C28" s="13" t="s">
        <v>139</v>
      </c>
      <c r="D28" s="13"/>
      <c r="E28" s="13" t="s">
        <v>140</v>
      </c>
      <c r="F28" s="13" t="s">
        <v>106</v>
      </c>
      <c r="G28" s="14">
        <v>30</v>
      </c>
      <c r="H28" s="14">
        <v>30</v>
      </c>
      <c r="I28" s="14">
        <f t="shared" si="0"/>
        <v>0</v>
      </c>
      <c r="J28" s="13" t="s">
        <v>61</v>
      </c>
      <c r="K28" s="13" t="s">
        <v>61</v>
      </c>
      <c r="L28" s="13" t="s">
        <v>62</v>
      </c>
      <c r="M28" s="13"/>
      <c r="N28" s="13"/>
      <c r="O28" s="13"/>
      <c r="P28" s="13"/>
      <c r="Q28" s="13">
        <v>1</v>
      </c>
    </row>
    <row r="29" spans="1:18" x14ac:dyDescent="0.25">
      <c r="A29" s="13" t="s">
        <v>87</v>
      </c>
      <c r="B29" s="13" t="s">
        <v>55</v>
      </c>
      <c r="C29" s="13" t="s">
        <v>141</v>
      </c>
      <c r="D29" s="13"/>
      <c r="E29" s="13" t="s">
        <v>142</v>
      </c>
      <c r="F29" s="13" t="s">
        <v>96</v>
      </c>
      <c r="G29" s="14">
        <v>30</v>
      </c>
      <c r="H29" s="14">
        <v>30</v>
      </c>
      <c r="I29" s="14">
        <f t="shared" si="0"/>
        <v>0</v>
      </c>
      <c r="J29" s="13" t="s">
        <v>61</v>
      </c>
      <c r="K29" s="13" t="s">
        <v>61</v>
      </c>
      <c r="L29" s="13" t="s">
        <v>62</v>
      </c>
      <c r="M29" s="13"/>
      <c r="N29" s="13"/>
      <c r="O29" s="13"/>
      <c r="P29" s="13"/>
      <c r="Q29" s="13">
        <v>1</v>
      </c>
    </row>
    <row r="30" spans="1:18" x14ac:dyDescent="0.25">
      <c r="A30" s="13"/>
      <c r="B30" s="13" t="s">
        <v>55</v>
      </c>
      <c r="C30" s="13" t="s">
        <v>143</v>
      </c>
      <c r="D30" s="13" t="s">
        <v>144</v>
      </c>
      <c r="E30" s="13" t="s">
        <v>145</v>
      </c>
      <c r="F30" s="13" t="s">
        <v>146</v>
      </c>
      <c r="G30" s="14">
        <v>1735</v>
      </c>
      <c r="H30" s="14">
        <v>25</v>
      </c>
      <c r="I30" s="14">
        <f t="shared" si="0"/>
        <v>1710</v>
      </c>
      <c r="J30" s="13" t="s">
        <v>147</v>
      </c>
      <c r="K30" s="13" t="s">
        <v>61</v>
      </c>
      <c r="L30" s="13" t="s">
        <v>62</v>
      </c>
      <c r="M30" s="13"/>
      <c r="N30" s="13"/>
      <c r="O30" s="13"/>
      <c r="P30" s="13"/>
      <c r="Q30" s="13">
        <v>1</v>
      </c>
    </row>
    <row r="31" spans="1:18" x14ac:dyDescent="0.25">
      <c r="A31" s="13"/>
      <c r="B31" s="13" t="s">
        <v>55</v>
      </c>
      <c r="C31" s="13" t="s">
        <v>148</v>
      </c>
      <c r="D31" s="13" t="s">
        <v>149</v>
      </c>
      <c r="E31" s="13" t="s">
        <v>150</v>
      </c>
      <c r="F31" s="14">
        <v>5</v>
      </c>
      <c r="G31" s="14">
        <v>0</v>
      </c>
      <c r="H31" s="14">
        <v>25</v>
      </c>
      <c r="I31" s="14">
        <f t="shared" si="0"/>
        <v>-25</v>
      </c>
      <c r="J31" s="13" t="s">
        <v>147</v>
      </c>
      <c r="K31" s="13" t="s">
        <v>61</v>
      </c>
      <c r="L31" s="13" t="s">
        <v>62</v>
      </c>
      <c r="M31" s="13"/>
      <c r="N31" s="13"/>
      <c r="O31" s="13"/>
      <c r="P31" s="13"/>
      <c r="Q31" s="13">
        <v>1</v>
      </c>
      <c r="R31" s="15">
        <f>H31</f>
        <v>25</v>
      </c>
    </row>
    <row r="32" spans="1:18" x14ac:dyDescent="0.25">
      <c r="A32" s="13"/>
      <c r="B32" s="13" t="s">
        <v>55</v>
      </c>
      <c r="C32" s="13" t="s">
        <v>151</v>
      </c>
      <c r="D32" s="13" t="s">
        <v>152</v>
      </c>
      <c r="E32" s="13" t="s">
        <v>153</v>
      </c>
      <c r="F32" s="13" t="s">
        <v>72</v>
      </c>
      <c r="G32" s="14">
        <v>1835</v>
      </c>
      <c r="H32" s="14">
        <v>25</v>
      </c>
      <c r="I32" s="14">
        <f t="shared" si="0"/>
        <v>1810</v>
      </c>
      <c r="J32" s="13" t="s">
        <v>147</v>
      </c>
      <c r="K32" s="13" t="s">
        <v>61</v>
      </c>
      <c r="L32" s="13" t="s">
        <v>62</v>
      </c>
      <c r="M32" s="13"/>
      <c r="N32" s="13"/>
      <c r="O32" s="13"/>
      <c r="P32" s="13"/>
      <c r="Q32" s="13">
        <v>1</v>
      </c>
    </row>
    <row r="33" spans="1:18" x14ac:dyDescent="0.25">
      <c r="A33" s="13"/>
      <c r="B33" s="13" t="s">
        <v>55</v>
      </c>
      <c r="C33" s="13" t="s">
        <v>154</v>
      </c>
      <c r="D33" s="13" t="s">
        <v>155</v>
      </c>
      <c r="E33" s="13" t="s">
        <v>156</v>
      </c>
      <c r="F33" s="14">
        <v>1</v>
      </c>
      <c r="G33" s="14">
        <v>495</v>
      </c>
      <c r="H33" s="14">
        <v>25</v>
      </c>
      <c r="I33" s="14">
        <f t="shared" si="0"/>
        <v>470</v>
      </c>
      <c r="J33" s="13" t="s">
        <v>147</v>
      </c>
      <c r="K33" s="13" t="s">
        <v>61</v>
      </c>
      <c r="L33" s="13" t="s">
        <v>62</v>
      </c>
      <c r="M33" s="13"/>
      <c r="N33" s="13"/>
      <c r="O33" s="13"/>
      <c r="P33" s="13"/>
      <c r="Q33" s="13">
        <v>1</v>
      </c>
    </row>
    <row r="34" spans="1:18" x14ac:dyDescent="0.25">
      <c r="A34" s="13"/>
      <c r="B34" s="13" t="s">
        <v>55</v>
      </c>
      <c r="C34" s="13" t="s">
        <v>157</v>
      </c>
      <c r="D34" s="13" t="s">
        <v>158</v>
      </c>
      <c r="E34" s="13" t="s">
        <v>159</v>
      </c>
      <c r="F34" s="14">
        <v>7</v>
      </c>
      <c r="G34" s="14">
        <v>720</v>
      </c>
      <c r="H34" s="14">
        <v>30</v>
      </c>
      <c r="I34" s="14">
        <f t="shared" si="0"/>
        <v>690</v>
      </c>
      <c r="J34" s="13" t="s">
        <v>147</v>
      </c>
      <c r="K34" s="13" t="s">
        <v>61</v>
      </c>
      <c r="L34" s="13" t="s">
        <v>62</v>
      </c>
      <c r="M34" s="13"/>
      <c r="N34" s="13"/>
      <c r="O34" s="13"/>
      <c r="P34" s="13"/>
      <c r="Q34" s="13">
        <v>1</v>
      </c>
    </row>
    <row r="35" spans="1:18" x14ac:dyDescent="0.25">
      <c r="A35" s="13"/>
      <c r="B35" s="13" t="s">
        <v>55</v>
      </c>
      <c r="C35" s="13" t="s">
        <v>160</v>
      </c>
      <c r="D35" s="13" t="s">
        <v>161</v>
      </c>
      <c r="E35" s="13" t="s">
        <v>162</v>
      </c>
      <c r="F35" s="14">
        <v>8</v>
      </c>
      <c r="G35" s="14">
        <v>940</v>
      </c>
      <c r="H35" s="14">
        <v>30</v>
      </c>
      <c r="I35" s="14">
        <f t="shared" si="0"/>
        <v>910</v>
      </c>
      <c r="J35" s="13" t="s">
        <v>147</v>
      </c>
      <c r="K35" s="13" t="s">
        <v>61</v>
      </c>
      <c r="L35" s="13" t="s">
        <v>62</v>
      </c>
      <c r="M35" s="13"/>
      <c r="N35" s="13"/>
      <c r="O35" s="13"/>
      <c r="P35" s="13"/>
      <c r="Q35" s="13">
        <v>1</v>
      </c>
    </row>
    <row r="36" spans="1:18" x14ac:dyDescent="0.25">
      <c r="A36" s="13"/>
      <c r="B36" s="13" t="s">
        <v>55</v>
      </c>
      <c r="C36" s="13" t="s">
        <v>163</v>
      </c>
      <c r="D36" s="13" t="s">
        <v>164</v>
      </c>
      <c r="E36" s="13" t="s">
        <v>165</v>
      </c>
      <c r="F36" s="14">
        <v>10</v>
      </c>
      <c r="G36" s="14">
        <v>715</v>
      </c>
      <c r="H36" s="14">
        <v>25</v>
      </c>
      <c r="I36" s="14">
        <f t="shared" si="0"/>
        <v>690</v>
      </c>
      <c r="J36" s="13" t="s">
        <v>147</v>
      </c>
      <c r="K36" s="13" t="s">
        <v>61</v>
      </c>
      <c r="L36" s="13" t="s">
        <v>62</v>
      </c>
      <c r="M36" s="13"/>
      <c r="N36" s="13"/>
      <c r="O36" s="13"/>
      <c r="P36" s="13"/>
      <c r="Q36" s="13">
        <v>1</v>
      </c>
    </row>
    <row r="37" spans="1:18" x14ac:dyDescent="0.25">
      <c r="A37" s="13"/>
      <c r="B37" s="13" t="s">
        <v>55</v>
      </c>
      <c r="C37" s="13" t="s">
        <v>166</v>
      </c>
      <c r="D37" s="13" t="s">
        <v>167</v>
      </c>
      <c r="E37" s="13" t="s">
        <v>168</v>
      </c>
      <c r="F37" s="14">
        <v>4</v>
      </c>
      <c r="G37" s="14">
        <v>1825</v>
      </c>
      <c r="H37" s="14">
        <v>25</v>
      </c>
      <c r="I37" s="14">
        <f t="shared" si="0"/>
        <v>1800</v>
      </c>
      <c r="J37" s="13" t="s">
        <v>147</v>
      </c>
      <c r="K37" s="13" t="s">
        <v>61</v>
      </c>
      <c r="L37" s="13" t="s">
        <v>62</v>
      </c>
      <c r="M37" s="13"/>
      <c r="N37" s="13"/>
      <c r="O37" s="13"/>
      <c r="P37" s="13"/>
      <c r="Q37" s="13">
        <v>1</v>
      </c>
    </row>
    <row r="38" spans="1:18" s="18" customFormat="1" x14ac:dyDescent="0.25">
      <c r="A38" s="16"/>
      <c r="B38" s="16" t="s">
        <v>55</v>
      </c>
      <c r="C38" s="16" t="s">
        <v>169</v>
      </c>
      <c r="D38" s="16" t="s">
        <v>170</v>
      </c>
      <c r="E38" s="16" t="s">
        <v>171</v>
      </c>
      <c r="F38" s="17">
        <v>10</v>
      </c>
      <c r="G38" s="17">
        <v>25</v>
      </c>
      <c r="H38" s="17">
        <v>25</v>
      </c>
      <c r="I38" s="17">
        <f t="shared" si="0"/>
        <v>0</v>
      </c>
      <c r="J38" s="16" t="s">
        <v>147</v>
      </c>
      <c r="K38" s="16" t="s">
        <v>61</v>
      </c>
      <c r="L38" s="16" t="s">
        <v>62</v>
      </c>
      <c r="M38" s="16" t="s">
        <v>128</v>
      </c>
      <c r="N38" s="16"/>
      <c r="O38" s="16"/>
      <c r="P38" s="16"/>
      <c r="Q38" s="16">
        <v>1</v>
      </c>
    </row>
    <row r="39" spans="1:18" x14ac:dyDescent="0.25">
      <c r="A39" s="13"/>
      <c r="B39" s="13" t="s">
        <v>55</v>
      </c>
      <c r="C39" s="13" t="s">
        <v>172</v>
      </c>
      <c r="D39" s="13" t="s">
        <v>173</v>
      </c>
      <c r="E39" s="13" t="s">
        <v>174</v>
      </c>
      <c r="F39" s="14">
        <v>10</v>
      </c>
      <c r="G39" s="14">
        <v>795</v>
      </c>
      <c r="H39" s="14">
        <v>25</v>
      </c>
      <c r="I39" s="14">
        <f t="shared" si="0"/>
        <v>770</v>
      </c>
      <c r="J39" s="13" t="s">
        <v>147</v>
      </c>
      <c r="K39" s="13" t="s">
        <v>61</v>
      </c>
      <c r="L39" s="13" t="s">
        <v>62</v>
      </c>
      <c r="M39" s="13"/>
      <c r="N39" s="13"/>
      <c r="O39" s="13"/>
      <c r="P39" s="13"/>
      <c r="Q39" s="13">
        <v>1</v>
      </c>
    </row>
    <row r="40" spans="1:18" x14ac:dyDescent="0.25">
      <c r="A40" s="13"/>
      <c r="B40" s="13" t="s">
        <v>55</v>
      </c>
      <c r="C40" s="13" t="s">
        <v>175</v>
      </c>
      <c r="D40" s="13" t="s">
        <v>176</v>
      </c>
      <c r="E40" s="13" t="s">
        <v>177</v>
      </c>
      <c r="F40" s="13" t="s">
        <v>72</v>
      </c>
      <c r="G40" s="14">
        <v>0</v>
      </c>
      <c r="H40" s="14">
        <v>25</v>
      </c>
      <c r="I40" s="14">
        <f t="shared" si="0"/>
        <v>-25</v>
      </c>
      <c r="J40" s="13" t="s">
        <v>147</v>
      </c>
      <c r="K40" s="13" t="s">
        <v>61</v>
      </c>
      <c r="L40" s="13" t="s">
        <v>62</v>
      </c>
      <c r="M40" s="13"/>
      <c r="N40" s="13"/>
      <c r="O40" s="13"/>
      <c r="P40" s="13"/>
      <c r="Q40" s="13">
        <v>1</v>
      </c>
      <c r="R40" s="15">
        <f>H40</f>
        <v>25</v>
      </c>
    </row>
    <row r="41" spans="1:18" s="21" customFormat="1" x14ac:dyDescent="0.25">
      <c r="A41" s="19"/>
      <c r="B41" s="19" t="s">
        <v>55</v>
      </c>
      <c r="C41" s="19" t="s">
        <v>178</v>
      </c>
      <c r="D41" s="19" t="s">
        <v>179</v>
      </c>
      <c r="E41" s="19" t="s">
        <v>180</v>
      </c>
      <c r="F41" s="20">
        <v>1</v>
      </c>
      <c r="G41" s="20">
        <v>935</v>
      </c>
      <c r="H41" s="20">
        <v>25</v>
      </c>
      <c r="I41" s="20">
        <f t="shared" si="0"/>
        <v>910</v>
      </c>
      <c r="J41" s="19" t="s">
        <v>181</v>
      </c>
      <c r="K41" s="19" t="s">
        <v>61</v>
      </c>
      <c r="L41" s="19" t="s">
        <v>182</v>
      </c>
      <c r="M41" s="19" t="s">
        <v>183</v>
      </c>
      <c r="N41" s="19" t="s">
        <v>184</v>
      </c>
      <c r="O41" s="19" t="s">
        <v>184</v>
      </c>
      <c r="P41" s="19" t="s">
        <v>185</v>
      </c>
      <c r="Q41" s="20">
        <v>1</v>
      </c>
    </row>
    <row r="43" spans="1:18" x14ac:dyDescent="0.25">
      <c r="D43" s="22">
        <f>COUNTA(D3:D41)</f>
        <v>33</v>
      </c>
      <c r="G43" s="22">
        <f t="shared" ref="G43:Q43" si="1">SUBTOTAL(9,G3:G41)</f>
        <v>29320</v>
      </c>
      <c r="H43" s="22">
        <f t="shared" si="1"/>
        <v>1085</v>
      </c>
      <c r="I43" s="22">
        <f t="shared" si="1"/>
        <v>28235</v>
      </c>
      <c r="J43" s="22">
        <f t="shared" si="1"/>
        <v>0</v>
      </c>
      <c r="K43" s="22">
        <f t="shared" si="1"/>
        <v>0</v>
      </c>
      <c r="L43" s="22">
        <f t="shared" si="1"/>
        <v>0</v>
      </c>
      <c r="M43" s="22">
        <f t="shared" si="1"/>
        <v>0</v>
      </c>
      <c r="N43" s="22">
        <f t="shared" si="1"/>
        <v>0</v>
      </c>
      <c r="O43" s="22">
        <f t="shared" si="1"/>
        <v>0</v>
      </c>
      <c r="P43" s="22">
        <f t="shared" si="1"/>
        <v>0</v>
      </c>
      <c r="Q43" s="22">
        <f t="shared" si="1"/>
        <v>39</v>
      </c>
    </row>
    <row r="44" spans="1:18" x14ac:dyDescent="0.25">
      <c r="H44">
        <f>-6*17</f>
        <v>-102</v>
      </c>
    </row>
    <row r="45" spans="1:18" x14ac:dyDescent="0.25">
      <c r="A45" s="22" t="s">
        <v>55</v>
      </c>
      <c r="C45" s="34" t="s">
        <v>186</v>
      </c>
      <c r="D45" s="34"/>
      <c r="E45" s="23" t="s">
        <v>187</v>
      </c>
      <c r="H45">
        <f>-2*25</f>
        <v>-50</v>
      </c>
      <c r="K45" s="24" t="s">
        <v>60</v>
      </c>
      <c r="L45" s="24" t="s">
        <v>188</v>
      </c>
      <c r="M45" s="24" t="s">
        <v>187</v>
      </c>
      <c r="O45" s="23" t="s">
        <v>189</v>
      </c>
    </row>
    <row r="46" spans="1:18" x14ac:dyDescent="0.25">
      <c r="A46" t="s">
        <v>62</v>
      </c>
      <c r="B46" s="25" t="s">
        <v>190</v>
      </c>
      <c r="C46" s="35">
        <f>SUMIFS(I$3:I$41,B$3:B$41,A$45,L$3:L$41,A$46)</f>
        <v>27325</v>
      </c>
      <c r="D46" s="35"/>
      <c r="E46" s="25">
        <f>SUMIFS(Q$3:Q$41,B$3:B$41,A$45,L$3:L$41,A$46)</f>
        <v>38</v>
      </c>
      <c r="F46" t="s">
        <v>191</v>
      </c>
      <c r="H46">
        <f>-1*30</f>
        <v>-30</v>
      </c>
      <c r="K46" t="s">
        <v>192</v>
      </c>
      <c r="L46">
        <f>SUMIFS(G$3:G$41,J$3:J$41,K$45)</f>
        <v>5845</v>
      </c>
      <c r="M46">
        <f>SUMIFS(Q$3:Q$41,J$3:J$41,K$45)-INT(COUNTIFS(J$3:J$41,K$45,M$3:M$41,"*gộp*")/2)</f>
        <v>9</v>
      </c>
      <c r="O46" t="s">
        <v>193</v>
      </c>
      <c r="P46">
        <f>L51</f>
        <v>5663</v>
      </c>
    </row>
    <row r="47" spans="1:18" x14ac:dyDescent="0.25">
      <c r="B47" s="21" t="s">
        <v>194</v>
      </c>
      <c r="C47" s="36">
        <v>0</v>
      </c>
      <c r="D47" s="36"/>
      <c r="K47" t="s">
        <v>195</v>
      </c>
      <c r="L47">
        <f>SUM(H44:H46)</f>
        <v>-182</v>
      </c>
      <c r="M47">
        <f>SUMIFS(Q$3:Q$41,J$3:J$41,K$45)-INT(COUNTIFS(J$3:J$41,K$45,M$3:M$41,"*gộp*")/2)</f>
        <v>9</v>
      </c>
      <c r="O47" t="s">
        <v>61</v>
      </c>
      <c r="P47">
        <f>L59</f>
        <v>12961</v>
      </c>
    </row>
    <row r="48" spans="1:18" x14ac:dyDescent="0.25">
      <c r="B48" s="21" t="s">
        <v>196</v>
      </c>
      <c r="C48" s="36">
        <f>-SUMIFS(I$3:I$41,B$3:B$41,A$45,P$3:P$41,"xx",N$3:N$41,"x")</f>
        <v>-910</v>
      </c>
      <c r="D48" s="36"/>
      <c r="E48" s="21">
        <f>SUMIFS(Q$3:Q$41,B$3:B$41,A$45,P$3:P$41,"xx",N$3:N$41,"x")</f>
        <v>1</v>
      </c>
      <c r="K48" t="s">
        <v>197</v>
      </c>
      <c r="O48" t="s">
        <v>147</v>
      </c>
      <c r="P48">
        <f>L67</f>
        <v>7940</v>
      </c>
    </row>
    <row r="49" spans="2:16" x14ac:dyDescent="0.25">
      <c r="B49" s="23" t="s">
        <v>198</v>
      </c>
      <c r="C49" s="34">
        <f>SUBTOTAL(9,C46:C48)</f>
        <v>26415</v>
      </c>
      <c r="D49" s="34"/>
      <c r="E49">
        <f>E46</f>
        <v>38</v>
      </c>
      <c r="K49" s="26" t="s">
        <v>183</v>
      </c>
      <c r="O49" t="s">
        <v>199</v>
      </c>
      <c r="P49">
        <f>-C53</f>
        <v>-26415</v>
      </c>
    </row>
    <row r="50" spans="2:16" x14ac:dyDescent="0.25">
      <c r="B50" s="21" t="s">
        <v>200</v>
      </c>
      <c r="C50" s="32"/>
      <c r="D50" s="32"/>
      <c r="K50" s="21" t="s">
        <v>201</v>
      </c>
      <c r="O50" s="23" t="s">
        <v>202</v>
      </c>
      <c r="P50" s="23">
        <f>SUBTOTAL(9,P46:P49)</f>
        <v>149</v>
      </c>
    </row>
    <row r="51" spans="2:16" x14ac:dyDescent="0.25">
      <c r="B51" s="27" t="s">
        <v>203</v>
      </c>
      <c r="C51" s="32"/>
      <c r="D51" s="32"/>
      <c r="L51" s="28">
        <f>SUBTOTAL(9,L46:L50)</f>
        <v>5663</v>
      </c>
      <c r="M51" s="28">
        <f>M46</f>
        <v>9</v>
      </c>
    </row>
    <row r="53" spans="2:16" x14ac:dyDescent="0.25">
      <c r="B53" s="22" t="s">
        <v>204</v>
      </c>
      <c r="C53" s="33">
        <f>C49+C50+C51</f>
        <v>26415</v>
      </c>
      <c r="D53" s="33"/>
      <c r="E53" s="22" t="s">
        <v>205</v>
      </c>
      <c r="K53" s="24" t="s">
        <v>61</v>
      </c>
      <c r="L53" s="24" t="s">
        <v>188</v>
      </c>
      <c r="M53" s="24" t="s">
        <v>187</v>
      </c>
    </row>
    <row r="54" spans="2:16" x14ac:dyDescent="0.25">
      <c r="K54" t="s">
        <v>192</v>
      </c>
      <c r="L54">
        <f>SUMIFS(G$3:G$41,J$3:J$41,K$53)</f>
        <v>13455</v>
      </c>
      <c r="M54">
        <f>SUMIFS(Q$3:Q$41,J$3:J$41,K$53)-INT(COUNTIFS(J$3:J$41,K$53,M$3:M$41,"*gộp*")/2)</f>
        <v>18</v>
      </c>
    </row>
    <row r="55" spans="2:16" x14ac:dyDescent="0.25">
      <c r="K55" t="s">
        <v>195</v>
      </c>
      <c r="L55">
        <f>-SUMIFS(H$3:H$41,J$3:J$41,K$53)+M55*5</f>
        <v>-420</v>
      </c>
      <c r="M55">
        <f>SUMIFS(Q$3:Q$41,J$3:J$41,K$53)-INT(COUNTIFS(J$3:J$41,K$53,M$3:M$41,"*gộp*")/2)</f>
        <v>18</v>
      </c>
    </row>
    <row r="56" spans="2:16" x14ac:dyDescent="0.25">
      <c r="K56" t="s">
        <v>197</v>
      </c>
      <c r="L56">
        <f>-M56*2</f>
        <v>-74</v>
      </c>
      <c r="M56">
        <f>E49-(COUNTIFS(M$3:M$41,"*gộp*")/2)-COUNTIFS(M$3:M$41,"*đơn trả*")-COUNTIFS(M$3:M$41,"*hàng tỉnh*")</f>
        <v>37</v>
      </c>
    </row>
    <row r="57" spans="2:16" x14ac:dyDescent="0.25">
      <c r="K57" s="26" t="s">
        <v>183</v>
      </c>
    </row>
    <row r="58" spans="2:16" x14ac:dyDescent="0.25">
      <c r="K58" s="21" t="s">
        <v>201</v>
      </c>
    </row>
    <row r="59" spans="2:16" x14ac:dyDescent="0.25">
      <c r="L59" s="28">
        <f>SUBTOTAL(9,L54:L58)</f>
        <v>12961</v>
      </c>
      <c r="M59" s="28">
        <f>M54</f>
        <v>18</v>
      </c>
    </row>
    <row r="61" spans="2:16" x14ac:dyDescent="0.25">
      <c r="K61" s="24" t="s">
        <v>147</v>
      </c>
      <c r="L61" s="24" t="s">
        <v>188</v>
      </c>
      <c r="M61" s="24" t="s">
        <v>187</v>
      </c>
    </row>
    <row r="62" spans="2:16" x14ac:dyDescent="0.25">
      <c r="K62" t="s">
        <v>192</v>
      </c>
      <c r="L62">
        <f>SUMIFS(G$3:G$41,J$3:J$41,K$61)</f>
        <v>9085</v>
      </c>
      <c r="M62">
        <f>SUMIFS(Q$3:Q$41,J$3:J$41,K$61)-INT(COUNTIFS(J$3:J$41,K$61,M$3:M$41,"*gộp*")/2)</f>
        <v>11</v>
      </c>
    </row>
    <row r="63" spans="2:16" x14ac:dyDescent="0.25">
      <c r="K63" t="s">
        <v>195</v>
      </c>
      <c r="L63">
        <f>-SUMIFS(H$3:H$41,J$3:J$41,K$61)+M63*5</f>
        <v>-230</v>
      </c>
      <c r="M63">
        <f>SUMIFS(Q$3:Q$41,J$3:J$41,K$61)-INT(COUNTIFS(J$3:J$41,K$61,M$3:M$41,"*gộp*")/2)</f>
        <v>11</v>
      </c>
    </row>
    <row r="64" spans="2:16" x14ac:dyDescent="0.25">
      <c r="K64" t="s">
        <v>197</v>
      </c>
    </row>
    <row r="65" spans="11:13" x14ac:dyDescent="0.25">
      <c r="K65" s="26" t="s">
        <v>183</v>
      </c>
      <c r="L65" s="29">
        <v>-915</v>
      </c>
      <c r="M65" s="29" t="s">
        <v>206</v>
      </c>
    </row>
    <row r="66" spans="11:13" x14ac:dyDescent="0.25">
      <c r="K66" s="21" t="s">
        <v>201</v>
      </c>
    </row>
    <row r="67" spans="11:13" x14ac:dyDescent="0.25">
      <c r="L67" s="28">
        <f>SUBTOTAL(9,L62:L66)</f>
        <v>7940</v>
      </c>
      <c r="M67" s="28">
        <f>M62</f>
        <v>11</v>
      </c>
    </row>
  </sheetData>
  <autoFilter ref="A2:P41" xr:uid="{00000000-0009-0000-0000-000001000000}">
    <sortState xmlns:xlrd2="http://schemas.microsoft.com/office/spreadsheetml/2017/richdata2" ref="A3:P41">
      <sortCondition ref="J2:J41"/>
    </sortState>
  </autoFilter>
  <mergeCells count="8">
    <mergeCell ref="C51:D51"/>
    <mergeCell ref="C53:D53"/>
    <mergeCell ref="C45:D45"/>
    <mergeCell ref="C46:D46"/>
    <mergeCell ref="C47:D47"/>
    <mergeCell ref="C48:D48"/>
    <mergeCell ref="C49:D49"/>
    <mergeCell ref="C50:D50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E2164-E9EA-421E-AD3C-FC954D99694A}">
  <dimension ref="A2:R74"/>
  <sheetViews>
    <sheetView topLeftCell="A46" workbookViewId="0">
      <selection activeCell="A34" sqref="A34 A34:XFD34"/>
    </sheetView>
  </sheetViews>
  <sheetFormatPr defaultRowHeight="15" x14ac:dyDescent="0.25"/>
  <cols>
    <col min="1" max="1" width="12.7109375" customWidth="1"/>
    <col min="2" max="2" width="9" customWidth="1"/>
    <col min="3" max="3" width="26.5703125" customWidth="1"/>
    <col min="4" max="4" width="9.85546875" customWidth="1"/>
    <col min="5" max="5" width="62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2" t="s">
        <v>38</v>
      </c>
      <c r="B2" s="12" t="s">
        <v>39</v>
      </c>
      <c r="C2" s="12" t="s">
        <v>40</v>
      </c>
      <c r="D2" s="12" t="s">
        <v>41</v>
      </c>
      <c r="E2" s="12" t="s">
        <v>42</v>
      </c>
      <c r="F2" s="12" t="s">
        <v>43</v>
      </c>
      <c r="G2" s="12" t="s">
        <v>44</v>
      </c>
      <c r="H2" s="12" t="s">
        <v>45</v>
      </c>
      <c r="I2" s="12" t="s">
        <v>46</v>
      </c>
      <c r="J2" s="12" t="s">
        <v>47</v>
      </c>
      <c r="K2" s="12" t="s">
        <v>48</v>
      </c>
      <c r="L2" s="12" t="s">
        <v>49</v>
      </c>
      <c r="M2" s="12" t="s">
        <v>50</v>
      </c>
      <c r="N2" s="12" t="s">
        <v>51</v>
      </c>
      <c r="O2" s="12" t="s">
        <v>52</v>
      </c>
      <c r="P2" s="12" t="s">
        <v>53</v>
      </c>
      <c r="Q2" s="12" t="s">
        <v>54</v>
      </c>
    </row>
    <row r="3" spans="1:18" x14ac:dyDescent="0.25">
      <c r="A3" s="13"/>
      <c r="B3" s="13" t="s">
        <v>55</v>
      </c>
      <c r="C3" s="13" t="s">
        <v>207</v>
      </c>
      <c r="D3" s="13" t="s">
        <v>208</v>
      </c>
      <c r="E3" s="13" t="s">
        <v>209</v>
      </c>
      <c r="F3" s="14">
        <v>7</v>
      </c>
      <c r="G3" s="14">
        <v>850</v>
      </c>
      <c r="H3" s="14">
        <v>30</v>
      </c>
      <c r="I3" s="14">
        <f t="shared" ref="I3:I48" si="0">G3-H3</f>
        <v>820</v>
      </c>
      <c r="J3" s="13" t="s">
        <v>210</v>
      </c>
      <c r="K3" s="13" t="s">
        <v>61</v>
      </c>
      <c r="L3" s="13" t="s">
        <v>211</v>
      </c>
      <c r="M3" s="13"/>
      <c r="N3" s="13"/>
      <c r="O3" s="13"/>
      <c r="P3" s="13"/>
      <c r="Q3" s="13">
        <v>1</v>
      </c>
    </row>
    <row r="4" spans="1:18" s="18" customFormat="1" x14ac:dyDescent="0.25">
      <c r="A4" s="16"/>
      <c r="B4" s="16" t="s">
        <v>55</v>
      </c>
      <c r="C4" s="16" t="s">
        <v>212</v>
      </c>
      <c r="D4" s="16" t="s">
        <v>213</v>
      </c>
      <c r="E4" s="16" t="s">
        <v>214</v>
      </c>
      <c r="F4" s="16" t="s">
        <v>59</v>
      </c>
      <c r="G4" s="17">
        <v>105</v>
      </c>
      <c r="H4" s="17">
        <v>25</v>
      </c>
      <c r="I4" s="17">
        <f t="shared" si="0"/>
        <v>80</v>
      </c>
      <c r="J4" s="16" t="s">
        <v>210</v>
      </c>
      <c r="K4" s="16" t="s">
        <v>61</v>
      </c>
      <c r="L4" s="16" t="s">
        <v>211</v>
      </c>
      <c r="M4" s="16" t="s">
        <v>128</v>
      </c>
      <c r="N4" s="16"/>
      <c r="O4" s="16"/>
      <c r="P4" s="16"/>
      <c r="Q4" s="16">
        <v>1</v>
      </c>
    </row>
    <row r="5" spans="1:18" x14ac:dyDescent="0.25">
      <c r="A5" s="13"/>
      <c r="B5" s="13" t="s">
        <v>55</v>
      </c>
      <c r="C5" s="13" t="s">
        <v>215</v>
      </c>
      <c r="D5" s="13" t="s">
        <v>216</v>
      </c>
      <c r="E5" s="13" t="s">
        <v>217</v>
      </c>
      <c r="F5" s="13" t="s">
        <v>76</v>
      </c>
      <c r="G5" s="14">
        <v>0</v>
      </c>
      <c r="H5" s="14">
        <v>30</v>
      </c>
      <c r="I5" s="14">
        <f t="shared" si="0"/>
        <v>-30</v>
      </c>
      <c r="J5" s="13" t="s">
        <v>210</v>
      </c>
      <c r="K5" s="13" t="s">
        <v>61</v>
      </c>
      <c r="L5" s="13" t="s">
        <v>211</v>
      </c>
      <c r="M5" s="13"/>
      <c r="N5" s="13"/>
      <c r="O5" s="13"/>
      <c r="P5" s="13"/>
      <c r="Q5" s="13">
        <v>1</v>
      </c>
      <c r="R5" s="15">
        <f>H5</f>
        <v>30</v>
      </c>
    </row>
    <row r="6" spans="1:18" x14ac:dyDescent="0.25">
      <c r="A6" s="13"/>
      <c r="B6" s="13" t="s">
        <v>55</v>
      </c>
      <c r="C6" s="13" t="s">
        <v>218</v>
      </c>
      <c r="D6" s="13" t="s">
        <v>219</v>
      </c>
      <c r="E6" s="13" t="s">
        <v>220</v>
      </c>
      <c r="F6" s="14">
        <v>7</v>
      </c>
      <c r="G6" s="14">
        <v>1830</v>
      </c>
      <c r="H6" s="14">
        <v>30</v>
      </c>
      <c r="I6" s="14">
        <f t="shared" si="0"/>
        <v>1800</v>
      </c>
      <c r="J6" s="13" t="s">
        <v>210</v>
      </c>
      <c r="K6" s="13" t="s">
        <v>61</v>
      </c>
      <c r="L6" s="13" t="s">
        <v>211</v>
      </c>
      <c r="M6" s="13"/>
      <c r="N6" s="13"/>
      <c r="O6" s="13"/>
      <c r="P6" s="13"/>
      <c r="Q6" s="13">
        <v>1</v>
      </c>
    </row>
    <row r="7" spans="1:18" x14ac:dyDescent="0.25">
      <c r="A7" s="13"/>
      <c r="B7" s="13" t="s">
        <v>55</v>
      </c>
      <c r="C7" s="13" t="s">
        <v>221</v>
      </c>
      <c r="D7" s="13" t="s">
        <v>222</v>
      </c>
      <c r="E7" s="13" t="s">
        <v>223</v>
      </c>
      <c r="F7" s="14">
        <v>7</v>
      </c>
      <c r="G7" s="14">
        <v>0</v>
      </c>
      <c r="H7" s="14">
        <v>30</v>
      </c>
      <c r="I7" s="14">
        <f t="shared" si="0"/>
        <v>-30</v>
      </c>
      <c r="J7" s="13" t="s">
        <v>210</v>
      </c>
      <c r="K7" s="13" t="s">
        <v>61</v>
      </c>
      <c r="L7" s="13" t="s">
        <v>211</v>
      </c>
      <c r="M7" s="13"/>
      <c r="N7" s="13"/>
      <c r="O7" s="13"/>
      <c r="P7" s="13"/>
      <c r="Q7" s="13">
        <v>1</v>
      </c>
      <c r="R7" s="15">
        <f>H7</f>
        <v>30</v>
      </c>
    </row>
    <row r="8" spans="1:18" x14ac:dyDescent="0.25">
      <c r="A8" s="13"/>
      <c r="B8" s="13" t="s">
        <v>55</v>
      </c>
      <c r="C8" s="13" t="s">
        <v>224</v>
      </c>
      <c r="D8" s="13" t="s">
        <v>225</v>
      </c>
      <c r="E8" s="13" t="s">
        <v>226</v>
      </c>
      <c r="F8" s="14">
        <v>6</v>
      </c>
      <c r="G8" s="14">
        <v>715</v>
      </c>
      <c r="H8" s="14">
        <v>25</v>
      </c>
      <c r="I8" s="14">
        <f t="shared" si="0"/>
        <v>690</v>
      </c>
      <c r="J8" s="13" t="s">
        <v>210</v>
      </c>
      <c r="K8" s="13" t="s">
        <v>61</v>
      </c>
      <c r="L8" s="13" t="s">
        <v>211</v>
      </c>
      <c r="M8" s="13"/>
      <c r="N8" s="13"/>
      <c r="O8" s="13"/>
      <c r="P8" s="13"/>
      <c r="Q8" s="13">
        <v>1</v>
      </c>
    </row>
    <row r="9" spans="1:18" x14ac:dyDescent="0.25">
      <c r="A9" s="13"/>
      <c r="B9" s="13" t="s">
        <v>55</v>
      </c>
      <c r="C9" s="13" t="s">
        <v>227</v>
      </c>
      <c r="D9" s="13" t="s">
        <v>228</v>
      </c>
      <c r="E9" s="13" t="s">
        <v>229</v>
      </c>
      <c r="F9" s="13" t="s">
        <v>230</v>
      </c>
      <c r="G9" s="14">
        <v>945</v>
      </c>
      <c r="H9" s="14">
        <v>35</v>
      </c>
      <c r="I9" s="14">
        <f t="shared" si="0"/>
        <v>910</v>
      </c>
      <c r="J9" s="13" t="s">
        <v>210</v>
      </c>
      <c r="K9" s="13" t="s">
        <v>61</v>
      </c>
      <c r="L9" s="13" t="s">
        <v>211</v>
      </c>
      <c r="M9" s="13"/>
      <c r="N9" s="13"/>
      <c r="O9" s="13"/>
      <c r="P9" s="13"/>
      <c r="Q9" s="13">
        <v>1</v>
      </c>
    </row>
    <row r="10" spans="1:18" x14ac:dyDescent="0.25">
      <c r="A10" s="13"/>
      <c r="B10" s="13" t="s">
        <v>55</v>
      </c>
      <c r="C10" s="13" t="s">
        <v>231</v>
      </c>
      <c r="D10" s="13" t="s">
        <v>232</v>
      </c>
      <c r="E10" s="13" t="s">
        <v>233</v>
      </c>
      <c r="F10" s="14">
        <v>7</v>
      </c>
      <c r="G10" s="14">
        <v>940</v>
      </c>
      <c r="H10" s="14">
        <v>30</v>
      </c>
      <c r="I10" s="14">
        <f t="shared" si="0"/>
        <v>910</v>
      </c>
      <c r="J10" s="13" t="s">
        <v>210</v>
      </c>
      <c r="K10" s="13" t="s">
        <v>61</v>
      </c>
      <c r="L10" s="13" t="s">
        <v>211</v>
      </c>
      <c r="M10" s="13"/>
      <c r="N10" s="13"/>
      <c r="O10" s="13"/>
      <c r="P10" s="13"/>
      <c r="Q10" s="13">
        <v>1</v>
      </c>
    </row>
    <row r="11" spans="1:18" x14ac:dyDescent="0.25">
      <c r="A11" s="13"/>
      <c r="B11" s="13" t="s">
        <v>55</v>
      </c>
      <c r="C11" s="13" t="s">
        <v>234</v>
      </c>
      <c r="D11" s="13" t="s">
        <v>235</v>
      </c>
      <c r="E11" s="13" t="s">
        <v>236</v>
      </c>
      <c r="F11" s="13" t="s">
        <v>83</v>
      </c>
      <c r="G11" s="14">
        <v>815</v>
      </c>
      <c r="H11" s="14">
        <v>35</v>
      </c>
      <c r="I11" s="14">
        <f t="shared" si="0"/>
        <v>780</v>
      </c>
      <c r="J11" s="13" t="s">
        <v>210</v>
      </c>
      <c r="K11" s="13" t="s">
        <v>61</v>
      </c>
      <c r="L11" s="13" t="s">
        <v>211</v>
      </c>
      <c r="M11" s="13"/>
      <c r="N11" s="13"/>
      <c r="O11" s="13"/>
      <c r="P11" s="13"/>
      <c r="Q11" s="13">
        <v>1</v>
      </c>
    </row>
    <row r="12" spans="1:18" x14ac:dyDescent="0.25">
      <c r="A12" s="13" t="s">
        <v>87</v>
      </c>
      <c r="B12" s="13" t="s">
        <v>55</v>
      </c>
      <c r="C12" s="13" t="s">
        <v>237</v>
      </c>
      <c r="D12" s="13"/>
      <c r="E12" s="13" t="s">
        <v>238</v>
      </c>
      <c r="F12" s="14">
        <v>6</v>
      </c>
      <c r="G12" s="14">
        <v>35</v>
      </c>
      <c r="H12" s="14">
        <v>35</v>
      </c>
      <c r="I12" s="14">
        <f t="shared" si="0"/>
        <v>0</v>
      </c>
      <c r="J12" s="13" t="s">
        <v>210</v>
      </c>
      <c r="K12" s="13" t="s">
        <v>61</v>
      </c>
      <c r="L12" s="13" t="s">
        <v>211</v>
      </c>
      <c r="M12" s="13"/>
      <c r="N12" s="13"/>
      <c r="O12" s="13"/>
      <c r="P12" s="13"/>
      <c r="Q12" s="13">
        <v>1</v>
      </c>
    </row>
    <row r="13" spans="1:18" x14ac:dyDescent="0.25">
      <c r="A13" s="13" t="s">
        <v>87</v>
      </c>
      <c r="B13" s="13" t="s">
        <v>55</v>
      </c>
      <c r="C13" s="13" t="s">
        <v>239</v>
      </c>
      <c r="D13" s="13"/>
      <c r="E13" s="13" t="s">
        <v>240</v>
      </c>
      <c r="F13" s="13" t="s">
        <v>72</v>
      </c>
      <c r="G13" s="14">
        <v>6460</v>
      </c>
      <c r="H13" s="14">
        <v>50</v>
      </c>
      <c r="I13" s="14">
        <f t="shared" si="0"/>
        <v>6410</v>
      </c>
      <c r="J13" s="13" t="s">
        <v>210</v>
      </c>
      <c r="K13" s="13" t="s">
        <v>61</v>
      </c>
      <c r="L13" s="13"/>
      <c r="M13" s="19" t="s">
        <v>241</v>
      </c>
      <c r="N13" s="13"/>
      <c r="O13" s="13"/>
      <c r="P13" s="13"/>
      <c r="Q13" s="13">
        <v>1</v>
      </c>
    </row>
    <row r="14" spans="1:18" x14ac:dyDescent="0.25">
      <c r="A14" s="13" t="s">
        <v>87</v>
      </c>
      <c r="B14" s="13" t="s">
        <v>55</v>
      </c>
      <c r="C14" s="13" t="s">
        <v>242</v>
      </c>
      <c r="D14" s="13"/>
      <c r="E14" s="13" t="s">
        <v>243</v>
      </c>
      <c r="F14" s="14">
        <v>6</v>
      </c>
      <c r="G14" s="14">
        <v>0</v>
      </c>
      <c r="H14" s="14">
        <v>30</v>
      </c>
      <c r="I14" s="14">
        <f t="shared" si="0"/>
        <v>-30</v>
      </c>
      <c r="J14" s="13" t="s">
        <v>210</v>
      </c>
      <c r="K14" s="13" t="s">
        <v>61</v>
      </c>
      <c r="L14" s="13" t="s">
        <v>211</v>
      </c>
      <c r="M14" s="13"/>
      <c r="N14" s="13"/>
      <c r="O14" s="13"/>
      <c r="P14" s="13"/>
      <c r="Q14" s="13">
        <v>1</v>
      </c>
      <c r="R14" s="15">
        <f>H14</f>
        <v>30</v>
      </c>
    </row>
    <row r="15" spans="1:18" x14ac:dyDescent="0.25">
      <c r="A15" s="13"/>
      <c r="B15" s="13" t="s">
        <v>55</v>
      </c>
      <c r="C15" s="13" t="s">
        <v>244</v>
      </c>
      <c r="D15" s="13" t="s">
        <v>245</v>
      </c>
      <c r="E15" s="13" t="s">
        <v>246</v>
      </c>
      <c r="F15" s="14">
        <v>9</v>
      </c>
      <c r="G15" s="14">
        <v>950</v>
      </c>
      <c r="H15" s="14">
        <v>30</v>
      </c>
      <c r="I15" s="14">
        <f t="shared" si="0"/>
        <v>920</v>
      </c>
      <c r="J15" s="13" t="s">
        <v>61</v>
      </c>
      <c r="K15" s="13" t="s">
        <v>61</v>
      </c>
      <c r="L15" s="13" t="s">
        <v>211</v>
      </c>
      <c r="M15" s="13"/>
      <c r="N15" s="13"/>
      <c r="O15" s="13"/>
      <c r="P15" s="13"/>
      <c r="Q15" s="13">
        <v>1</v>
      </c>
    </row>
    <row r="16" spans="1:18" s="18" customFormat="1" x14ac:dyDescent="0.25">
      <c r="A16" s="16"/>
      <c r="B16" s="16" t="s">
        <v>55</v>
      </c>
      <c r="C16" s="16" t="s">
        <v>113</v>
      </c>
      <c r="D16" s="16" t="s">
        <v>247</v>
      </c>
      <c r="E16" s="16" t="s">
        <v>248</v>
      </c>
      <c r="F16" s="17">
        <v>9</v>
      </c>
      <c r="G16" s="17">
        <v>30</v>
      </c>
      <c r="H16" s="17">
        <v>30</v>
      </c>
      <c r="I16" s="17">
        <f t="shared" si="0"/>
        <v>0</v>
      </c>
      <c r="J16" s="16" t="s">
        <v>61</v>
      </c>
      <c r="K16" s="16" t="s">
        <v>61</v>
      </c>
      <c r="L16" s="16" t="s">
        <v>211</v>
      </c>
      <c r="M16" s="16" t="s">
        <v>128</v>
      </c>
      <c r="N16" s="16"/>
      <c r="O16" s="16"/>
      <c r="P16" s="16"/>
      <c r="Q16" s="16">
        <v>1</v>
      </c>
    </row>
    <row r="17" spans="1:18" x14ac:dyDescent="0.25">
      <c r="A17" s="13"/>
      <c r="B17" s="13" t="s">
        <v>55</v>
      </c>
      <c r="C17" s="13" t="s">
        <v>249</v>
      </c>
      <c r="D17" s="13" t="s">
        <v>250</v>
      </c>
      <c r="E17" s="13" t="s">
        <v>251</v>
      </c>
      <c r="F17" s="13" t="s">
        <v>132</v>
      </c>
      <c r="G17" s="14">
        <v>880</v>
      </c>
      <c r="H17" s="14">
        <v>30</v>
      </c>
      <c r="I17" s="14">
        <f t="shared" si="0"/>
        <v>850</v>
      </c>
      <c r="J17" s="13" t="s">
        <v>61</v>
      </c>
      <c r="K17" s="13" t="s">
        <v>61</v>
      </c>
      <c r="L17" s="13" t="s">
        <v>211</v>
      </c>
      <c r="M17" s="13"/>
      <c r="N17" s="13"/>
      <c r="O17" s="13"/>
      <c r="P17" s="13"/>
      <c r="Q17" s="13">
        <v>1</v>
      </c>
    </row>
    <row r="18" spans="1:18" x14ac:dyDescent="0.25">
      <c r="A18" s="13"/>
      <c r="B18" s="13" t="s">
        <v>55</v>
      </c>
      <c r="C18" s="13" t="s">
        <v>252</v>
      </c>
      <c r="D18" s="13" t="s">
        <v>253</v>
      </c>
      <c r="E18" s="13" t="s">
        <v>254</v>
      </c>
      <c r="F18" s="13" t="s">
        <v>132</v>
      </c>
      <c r="G18" s="14">
        <v>940</v>
      </c>
      <c r="H18" s="14">
        <v>30</v>
      </c>
      <c r="I18" s="14">
        <f t="shared" si="0"/>
        <v>910</v>
      </c>
      <c r="J18" s="13" t="s">
        <v>61</v>
      </c>
      <c r="K18" s="13" t="s">
        <v>61</v>
      </c>
      <c r="L18" s="13" t="s">
        <v>211</v>
      </c>
      <c r="M18" s="13"/>
      <c r="N18" s="13"/>
      <c r="O18" s="13"/>
      <c r="P18" s="13"/>
      <c r="Q18" s="13">
        <v>1</v>
      </c>
    </row>
    <row r="19" spans="1:18" x14ac:dyDescent="0.25">
      <c r="A19" s="13"/>
      <c r="B19" s="13" t="s">
        <v>55</v>
      </c>
      <c r="C19" s="13" t="s">
        <v>255</v>
      </c>
      <c r="D19" s="13" t="s">
        <v>256</v>
      </c>
      <c r="E19" s="13" t="s">
        <v>257</v>
      </c>
      <c r="F19" s="14">
        <v>9</v>
      </c>
      <c r="G19" s="14">
        <v>850</v>
      </c>
      <c r="H19" s="14">
        <v>30</v>
      </c>
      <c r="I19" s="14">
        <f t="shared" si="0"/>
        <v>820</v>
      </c>
      <c r="J19" s="13" t="s">
        <v>61</v>
      </c>
      <c r="K19" s="13" t="s">
        <v>61</v>
      </c>
      <c r="L19" s="13" t="s">
        <v>211</v>
      </c>
      <c r="M19" s="13"/>
      <c r="N19" s="13"/>
      <c r="O19" s="13"/>
      <c r="P19" s="13"/>
      <c r="Q19" s="13">
        <v>1</v>
      </c>
    </row>
    <row r="20" spans="1:18" x14ac:dyDescent="0.25">
      <c r="A20" s="13"/>
      <c r="B20" s="13" t="s">
        <v>55</v>
      </c>
      <c r="C20" s="13" t="s">
        <v>258</v>
      </c>
      <c r="D20" s="13" t="s">
        <v>259</v>
      </c>
      <c r="E20" s="13" t="s">
        <v>260</v>
      </c>
      <c r="F20" s="13" t="s">
        <v>96</v>
      </c>
      <c r="G20" s="14">
        <v>1865</v>
      </c>
      <c r="H20" s="14">
        <v>25</v>
      </c>
      <c r="I20" s="14">
        <f t="shared" si="0"/>
        <v>1840</v>
      </c>
      <c r="J20" s="13" t="s">
        <v>61</v>
      </c>
      <c r="K20" s="13" t="s">
        <v>61</v>
      </c>
      <c r="L20" s="13" t="s">
        <v>211</v>
      </c>
      <c r="M20" s="13"/>
      <c r="N20" s="13"/>
      <c r="O20" s="13"/>
      <c r="P20" s="13"/>
      <c r="Q20" s="13">
        <v>1</v>
      </c>
    </row>
    <row r="21" spans="1:18" x14ac:dyDescent="0.25">
      <c r="A21" s="13"/>
      <c r="B21" s="13" t="s">
        <v>55</v>
      </c>
      <c r="C21" s="13" t="s">
        <v>261</v>
      </c>
      <c r="D21" s="13" t="s">
        <v>262</v>
      </c>
      <c r="E21" s="13" t="s">
        <v>263</v>
      </c>
      <c r="F21" s="14">
        <v>9</v>
      </c>
      <c r="G21" s="14">
        <v>940</v>
      </c>
      <c r="H21" s="14">
        <v>30</v>
      </c>
      <c r="I21" s="14">
        <f t="shared" si="0"/>
        <v>910</v>
      </c>
      <c r="J21" s="13" t="s">
        <v>61</v>
      </c>
      <c r="K21" s="13" t="s">
        <v>61</v>
      </c>
      <c r="L21" s="13" t="s">
        <v>211</v>
      </c>
      <c r="M21" s="13"/>
      <c r="N21" s="13"/>
      <c r="O21" s="13"/>
      <c r="P21" s="13"/>
      <c r="Q21" s="13">
        <v>1</v>
      </c>
    </row>
    <row r="22" spans="1:18" x14ac:dyDescent="0.25">
      <c r="A22" s="13"/>
      <c r="B22" s="13" t="s">
        <v>55</v>
      </c>
      <c r="C22" s="13" t="s">
        <v>264</v>
      </c>
      <c r="D22" s="13" t="s">
        <v>265</v>
      </c>
      <c r="E22" s="13" t="s">
        <v>266</v>
      </c>
      <c r="F22" s="14">
        <v>12</v>
      </c>
      <c r="G22" s="14">
        <v>0</v>
      </c>
      <c r="H22" s="14">
        <v>30</v>
      </c>
      <c r="I22" s="14">
        <f t="shared" si="0"/>
        <v>-30</v>
      </c>
      <c r="J22" s="13" t="s">
        <v>61</v>
      </c>
      <c r="K22" s="13" t="s">
        <v>61</v>
      </c>
      <c r="L22" s="13" t="s">
        <v>211</v>
      </c>
      <c r="M22" s="13"/>
      <c r="N22" s="13"/>
      <c r="O22" s="13"/>
      <c r="P22" s="13"/>
      <c r="Q22" s="13">
        <v>1</v>
      </c>
      <c r="R22" s="15">
        <f>H22</f>
        <v>30</v>
      </c>
    </row>
    <row r="23" spans="1:18" x14ac:dyDescent="0.25">
      <c r="A23" s="13"/>
      <c r="B23" s="13" t="s">
        <v>55</v>
      </c>
      <c r="C23" s="13" t="s">
        <v>267</v>
      </c>
      <c r="D23" s="13" t="s">
        <v>268</v>
      </c>
      <c r="E23" s="13" t="s">
        <v>269</v>
      </c>
      <c r="F23" s="13" t="s">
        <v>106</v>
      </c>
      <c r="G23" s="14">
        <v>0</v>
      </c>
      <c r="H23" s="14">
        <v>20</v>
      </c>
      <c r="I23" s="14">
        <f t="shared" si="0"/>
        <v>-20</v>
      </c>
      <c r="J23" s="13" t="s">
        <v>61</v>
      </c>
      <c r="K23" s="13" t="s">
        <v>61</v>
      </c>
      <c r="L23" s="13" t="s">
        <v>211</v>
      </c>
      <c r="M23" s="13"/>
      <c r="N23" s="13"/>
      <c r="O23" s="13"/>
      <c r="P23" s="13"/>
      <c r="Q23" s="13">
        <v>1</v>
      </c>
      <c r="R23" s="15">
        <f>H23</f>
        <v>20</v>
      </c>
    </row>
    <row r="24" spans="1:18" s="18" customFormat="1" x14ac:dyDescent="0.25">
      <c r="A24" s="16"/>
      <c r="B24" s="16" t="s">
        <v>55</v>
      </c>
      <c r="C24" s="16" t="s">
        <v>270</v>
      </c>
      <c r="D24" s="16" t="s">
        <v>271</v>
      </c>
      <c r="E24" s="16" t="s">
        <v>272</v>
      </c>
      <c r="F24" s="17">
        <v>12</v>
      </c>
      <c r="G24" s="17">
        <v>0</v>
      </c>
      <c r="H24" s="17">
        <v>30</v>
      </c>
      <c r="I24" s="17">
        <f t="shared" si="0"/>
        <v>-30</v>
      </c>
      <c r="J24" s="16" t="s">
        <v>61</v>
      </c>
      <c r="K24" s="16" t="s">
        <v>61</v>
      </c>
      <c r="L24" s="16" t="s">
        <v>211</v>
      </c>
      <c r="M24" s="16" t="s">
        <v>128</v>
      </c>
      <c r="N24" s="16"/>
      <c r="O24" s="16"/>
      <c r="P24" s="16"/>
      <c r="Q24" s="16">
        <v>1</v>
      </c>
      <c r="R24" s="30">
        <f>H24</f>
        <v>30</v>
      </c>
    </row>
    <row r="25" spans="1:18" x14ac:dyDescent="0.25">
      <c r="A25" s="13"/>
      <c r="B25" s="13" t="s">
        <v>55</v>
      </c>
      <c r="C25" s="13" t="s">
        <v>273</v>
      </c>
      <c r="D25" s="13" t="s">
        <v>274</v>
      </c>
      <c r="E25" s="13" t="s">
        <v>275</v>
      </c>
      <c r="F25" s="13" t="s">
        <v>132</v>
      </c>
      <c r="G25" s="14">
        <v>720</v>
      </c>
      <c r="H25" s="14">
        <v>30</v>
      </c>
      <c r="I25" s="14">
        <f t="shared" si="0"/>
        <v>690</v>
      </c>
      <c r="J25" s="13" t="s">
        <v>61</v>
      </c>
      <c r="K25" s="13" t="s">
        <v>61</v>
      </c>
      <c r="L25" s="13" t="s">
        <v>211</v>
      </c>
      <c r="M25" s="13"/>
      <c r="N25" s="13"/>
      <c r="O25" s="13"/>
      <c r="P25" s="13"/>
      <c r="Q25" s="13">
        <v>1</v>
      </c>
    </row>
    <row r="26" spans="1:18" x14ac:dyDescent="0.25">
      <c r="A26" s="13"/>
      <c r="B26" s="13" t="s">
        <v>55</v>
      </c>
      <c r="C26" s="13" t="s">
        <v>276</v>
      </c>
      <c r="D26" s="13" t="s">
        <v>277</v>
      </c>
      <c r="E26" s="13" t="s">
        <v>278</v>
      </c>
      <c r="F26" s="13" t="s">
        <v>106</v>
      </c>
      <c r="G26" s="14">
        <v>0</v>
      </c>
      <c r="H26" s="14">
        <v>20</v>
      </c>
      <c r="I26" s="14">
        <f t="shared" si="0"/>
        <v>-20</v>
      </c>
      <c r="J26" s="13" t="s">
        <v>61</v>
      </c>
      <c r="K26" s="13" t="s">
        <v>61</v>
      </c>
      <c r="L26" s="13" t="s">
        <v>211</v>
      </c>
      <c r="M26" s="13"/>
      <c r="N26" s="13"/>
      <c r="O26" s="13"/>
      <c r="P26" s="13"/>
      <c r="Q26" s="13">
        <v>1</v>
      </c>
      <c r="R26" s="15">
        <f>H26</f>
        <v>20</v>
      </c>
    </row>
    <row r="27" spans="1:18" x14ac:dyDescent="0.25">
      <c r="A27" s="13"/>
      <c r="B27" s="13" t="s">
        <v>55</v>
      </c>
      <c r="C27" s="13" t="s">
        <v>279</v>
      </c>
      <c r="D27" s="13" t="s">
        <v>280</v>
      </c>
      <c r="E27" s="13" t="s">
        <v>281</v>
      </c>
      <c r="F27" s="14">
        <v>12</v>
      </c>
      <c r="G27" s="14">
        <v>520</v>
      </c>
      <c r="H27" s="14">
        <v>30</v>
      </c>
      <c r="I27" s="14">
        <f t="shared" si="0"/>
        <v>490</v>
      </c>
      <c r="J27" s="13" t="s">
        <v>61</v>
      </c>
      <c r="K27" s="13" t="s">
        <v>61</v>
      </c>
      <c r="L27" s="13" t="s">
        <v>211</v>
      </c>
      <c r="M27" s="13"/>
      <c r="N27" s="13"/>
      <c r="O27" s="13"/>
      <c r="P27" s="13"/>
      <c r="Q27" s="13">
        <v>1</v>
      </c>
    </row>
    <row r="28" spans="1:18" x14ac:dyDescent="0.25">
      <c r="A28" s="13"/>
      <c r="B28" s="13" t="s">
        <v>55</v>
      </c>
      <c r="C28" s="13" t="s">
        <v>282</v>
      </c>
      <c r="D28" s="13" t="s">
        <v>283</v>
      </c>
      <c r="E28" s="13" t="s">
        <v>284</v>
      </c>
      <c r="F28" s="13" t="s">
        <v>132</v>
      </c>
      <c r="G28" s="14">
        <v>520</v>
      </c>
      <c r="H28" s="14">
        <v>30</v>
      </c>
      <c r="I28" s="14">
        <f t="shared" si="0"/>
        <v>490</v>
      </c>
      <c r="J28" s="13" t="s">
        <v>61</v>
      </c>
      <c r="K28" s="13" t="s">
        <v>61</v>
      </c>
      <c r="L28" s="13" t="s">
        <v>211</v>
      </c>
      <c r="M28" s="13"/>
      <c r="N28" s="13"/>
      <c r="O28" s="13"/>
      <c r="P28" s="13"/>
      <c r="Q28" s="13">
        <v>1</v>
      </c>
    </row>
    <row r="29" spans="1:18" x14ac:dyDescent="0.25">
      <c r="A29" s="13" t="s">
        <v>87</v>
      </c>
      <c r="B29" s="13" t="s">
        <v>55</v>
      </c>
      <c r="C29" s="13" t="s">
        <v>133</v>
      </c>
      <c r="D29" s="13"/>
      <c r="E29" s="13" t="s">
        <v>134</v>
      </c>
      <c r="F29" s="13" t="s">
        <v>96</v>
      </c>
      <c r="G29" s="14">
        <v>30</v>
      </c>
      <c r="H29" s="14">
        <v>30</v>
      </c>
      <c r="I29" s="14">
        <f t="shared" si="0"/>
        <v>0</v>
      </c>
      <c r="J29" s="13" t="s">
        <v>61</v>
      </c>
      <c r="K29" s="13" t="s">
        <v>61</v>
      </c>
      <c r="L29" s="13" t="s">
        <v>211</v>
      </c>
      <c r="M29" s="13"/>
      <c r="N29" s="13"/>
      <c r="O29" s="13"/>
      <c r="P29" s="13"/>
      <c r="Q29" s="13">
        <v>1</v>
      </c>
    </row>
    <row r="30" spans="1:18" x14ac:dyDescent="0.25">
      <c r="A30" s="13" t="s">
        <v>87</v>
      </c>
      <c r="B30" s="13" t="s">
        <v>55</v>
      </c>
      <c r="C30" s="13" t="s">
        <v>141</v>
      </c>
      <c r="D30" s="13"/>
      <c r="E30" s="13" t="s">
        <v>142</v>
      </c>
      <c r="F30" s="13" t="s">
        <v>96</v>
      </c>
      <c r="G30" s="14">
        <v>0</v>
      </c>
      <c r="H30" s="14">
        <v>30</v>
      </c>
      <c r="I30" s="14">
        <f t="shared" si="0"/>
        <v>-30</v>
      </c>
      <c r="J30" s="13" t="s">
        <v>61</v>
      </c>
      <c r="K30" s="13" t="s">
        <v>61</v>
      </c>
      <c r="L30" s="13" t="s">
        <v>211</v>
      </c>
      <c r="M30" s="13"/>
      <c r="N30" s="13"/>
      <c r="O30" s="13"/>
      <c r="P30" s="13"/>
      <c r="Q30" s="13">
        <v>1</v>
      </c>
      <c r="R30" s="15">
        <f>H30</f>
        <v>30</v>
      </c>
    </row>
    <row r="31" spans="1:18" x14ac:dyDescent="0.25">
      <c r="A31" s="13"/>
      <c r="B31" s="13" t="s">
        <v>55</v>
      </c>
      <c r="C31" s="13" t="s">
        <v>285</v>
      </c>
      <c r="D31" s="13" t="s">
        <v>286</v>
      </c>
      <c r="E31" s="13" t="s">
        <v>287</v>
      </c>
      <c r="F31" s="13" t="s">
        <v>72</v>
      </c>
      <c r="G31" s="14">
        <v>935</v>
      </c>
      <c r="H31" s="14">
        <v>25</v>
      </c>
      <c r="I31" s="14">
        <f t="shared" si="0"/>
        <v>910</v>
      </c>
      <c r="J31" s="13" t="s">
        <v>147</v>
      </c>
      <c r="K31" s="13" t="s">
        <v>61</v>
      </c>
      <c r="L31" s="13" t="s">
        <v>211</v>
      </c>
      <c r="M31" s="13"/>
      <c r="N31" s="13"/>
      <c r="O31" s="13"/>
      <c r="P31" s="13"/>
      <c r="Q31" s="13">
        <v>1</v>
      </c>
    </row>
    <row r="32" spans="1:18" x14ac:dyDescent="0.25">
      <c r="A32" s="13"/>
      <c r="B32" s="13" t="s">
        <v>55</v>
      </c>
      <c r="C32" s="13" t="s">
        <v>288</v>
      </c>
      <c r="D32" s="13" t="s">
        <v>289</v>
      </c>
      <c r="E32" s="13" t="s">
        <v>290</v>
      </c>
      <c r="F32" s="14">
        <v>1</v>
      </c>
      <c r="G32" s="14">
        <v>0</v>
      </c>
      <c r="H32" s="14">
        <v>25</v>
      </c>
      <c r="I32" s="14">
        <f t="shared" si="0"/>
        <v>-25</v>
      </c>
      <c r="J32" s="13" t="s">
        <v>147</v>
      </c>
      <c r="K32" s="13" t="s">
        <v>61</v>
      </c>
      <c r="L32" s="13" t="s">
        <v>211</v>
      </c>
      <c r="M32" s="13"/>
      <c r="N32" s="13"/>
      <c r="O32" s="13"/>
      <c r="P32" s="13"/>
      <c r="Q32" s="13">
        <v>1</v>
      </c>
      <c r="R32" s="15">
        <f>H32</f>
        <v>25</v>
      </c>
    </row>
    <row r="33" spans="1:18" x14ac:dyDescent="0.25">
      <c r="A33" s="13"/>
      <c r="B33" s="13" t="s">
        <v>55</v>
      </c>
      <c r="C33" s="13" t="s">
        <v>291</v>
      </c>
      <c r="D33" s="13" t="s">
        <v>292</v>
      </c>
      <c r="E33" s="13" t="s">
        <v>293</v>
      </c>
      <c r="F33" s="14">
        <v>10</v>
      </c>
      <c r="G33" s="14">
        <v>755</v>
      </c>
      <c r="H33" s="14">
        <v>25</v>
      </c>
      <c r="I33" s="14">
        <f t="shared" si="0"/>
        <v>730</v>
      </c>
      <c r="J33" s="13" t="s">
        <v>147</v>
      </c>
      <c r="K33" s="13" t="s">
        <v>61</v>
      </c>
      <c r="L33" s="13" t="s">
        <v>211</v>
      </c>
      <c r="M33" s="13"/>
      <c r="N33" s="13"/>
      <c r="O33" s="13"/>
      <c r="P33" s="13"/>
      <c r="Q33" s="13">
        <v>1</v>
      </c>
    </row>
    <row r="34" spans="1:18" x14ac:dyDescent="0.25">
      <c r="A34" s="13"/>
      <c r="B34" s="13" t="s">
        <v>55</v>
      </c>
      <c r="C34" s="13" t="s">
        <v>294</v>
      </c>
      <c r="D34" s="13" t="s">
        <v>295</v>
      </c>
      <c r="E34" s="13" t="s">
        <v>296</v>
      </c>
      <c r="F34" s="14">
        <v>1</v>
      </c>
      <c r="G34" s="14">
        <v>0</v>
      </c>
      <c r="H34" s="14">
        <v>25</v>
      </c>
      <c r="I34" s="14">
        <f t="shared" si="0"/>
        <v>-25</v>
      </c>
      <c r="J34" s="13" t="s">
        <v>147</v>
      </c>
      <c r="K34" s="13" t="s">
        <v>61</v>
      </c>
      <c r="L34" s="13" t="s">
        <v>211</v>
      </c>
      <c r="M34" s="13"/>
      <c r="N34" s="13"/>
      <c r="O34" s="13"/>
      <c r="P34" s="13"/>
      <c r="Q34" s="13">
        <v>1</v>
      </c>
      <c r="R34" s="15">
        <f>H34</f>
        <v>25</v>
      </c>
    </row>
    <row r="35" spans="1:18" x14ac:dyDescent="0.25">
      <c r="A35" s="13"/>
      <c r="B35" s="13" t="s">
        <v>55</v>
      </c>
      <c r="C35" s="13" t="s">
        <v>297</v>
      </c>
      <c r="D35" s="13" t="s">
        <v>298</v>
      </c>
      <c r="E35" s="13" t="s">
        <v>299</v>
      </c>
      <c r="F35" s="13" t="s">
        <v>72</v>
      </c>
      <c r="G35" s="14">
        <v>915</v>
      </c>
      <c r="H35" s="14">
        <v>25</v>
      </c>
      <c r="I35" s="14">
        <f t="shared" si="0"/>
        <v>890</v>
      </c>
      <c r="J35" s="13" t="s">
        <v>147</v>
      </c>
      <c r="K35" s="13" t="s">
        <v>61</v>
      </c>
      <c r="L35" s="13" t="s">
        <v>211</v>
      </c>
      <c r="M35" s="13"/>
      <c r="N35" s="13"/>
      <c r="O35" s="13"/>
      <c r="P35" s="13"/>
      <c r="Q35" s="13">
        <v>1</v>
      </c>
    </row>
    <row r="36" spans="1:18" x14ac:dyDescent="0.25">
      <c r="A36" s="13"/>
      <c r="B36" s="13" t="s">
        <v>55</v>
      </c>
      <c r="C36" s="13" t="s">
        <v>300</v>
      </c>
      <c r="D36" s="13" t="s">
        <v>301</v>
      </c>
      <c r="E36" s="13" t="s">
        <v>302</v>
      </c>
      <c r="F36" s="13" t="s">
        <v>76</v>
      </c>
      <c r="G36" s="14">
        <v>0</v>
      </c>
      <c r="H36" s="14">
        <v>30</v>
      </c>
      <c r="I36" s="14">
        <f t="shared" si="0"/>
        <v>-30</v>
      </c>
      <c r="J36" s="13" t="s">
        <v>147</v>
      </c>
      <c r="K36" s="13" t="s">
        <v>61</v>
      </c>
      <c r="L36" s="13" t="s">
        <v>211</v>
      </c>
      <c r="M36" s="13"/>
      <c r="N36" s="13"/>
      <c r="O36" s="13"/>
      <c r="P36" s="13"/>
      <c r="Q36" s="13">
        <v>1</v>
      </c>
      <c r="R36" s="15">
        <f>H36</f>
        <v>30</v>
      </c>
    </row>
    <row r="37" spans="1:18" x14ac:dyDescent="0.25">
      <c r="A37" s="13"/>
      <c r="B37" s="13" t="s">
        <v>55</v>
      </c>
      <c r="C37" s="13" t="s">
        <v>303</v>
      </c>
      <c r="D37" s="13" t="s">
        <v>304</v>
      </c>
      <c r="E37" s="13" t="s">
        <v>305</v>
      </c>
      <c r="F37" s="13" t="s">
        <v>72</v>
      </c>
      <c r="G37" s="14">
        <v>855</v>
      </c>
      <c r="H37" s="14">
        <v>25</v>
      </c>
      <c r="I37" s="14">
        <f t="shared" si="0"/>
        <v>830</v>
      </c>
      <c r="J37" s="13" t="s">
        <v>147</v>
      </c>
      <c r="K37" s="13" t="s">
        <v>61</v>
      </c>
      <c r="L37" s="13" t="s">
        <v>211</v>
      </c>
      <c r="M37" s="13"/>
      <c r="N37" s="13"/>
      <c r="O37" s="13"/>
      <c r="P37" s="13"/>
      <c r="Q37" s="13">
        <v>1</v>
      </c>
    </row>
    <row r="38" spans="1:18" x14ac:dyDescent="0.25">
      <c r="A38" s="13"/>
      <c r="B38" s="13" t="s">
        <v>55</v>
      </c>
      <c r="C38" s="13" t="s">
        <v>306</v>
      </c>
      <c r="D38" s="13" t="s">
        <v>307</v>
      </c>
      <c r="E38" s="13" t="s">
        <v>308</v>
      </c>
      <c r="F38" s="14">
        <v>5</v>
      </c>
      <c r="G38" s="14">
        <v>0</v>
      </c>
      <c r="H38" s="14">
        <v>25</v>
      </c>
      <c r="I38" s="14">
        <f t="shared" si="0"/>
        <v>-25</v>
      </c>
      <c r="J38" s="13" t="s">
        <v>147</v>
      </c>
      <c r="K38" s="13" t="s">
        <v>61</v>
      </c>
      <c r="L38" s="13" t="s">
        <v>211</v>
      </c>
      <c r="M38" s="13"/>
      <c r="N38" s="13"/>
      <c r="O38" s="13"/>
      <c r="P38" s="13"/>
      <c r="Q38" s="13">
        <v>1</v>
      </c>
      <c r="R38" s="15">
        <f>H38</f>
        <v>25</v>
      </c>
    </row>
    <row r="39" spans="1:18" x14ac:dyDescent="0.25">
      <c r="A39" s="13"/>
      <c r="B39" s="13" t="s">
        <v>55</v>
      </c>
      <c r="C39" s="13" t="s">
        <v>309</v>
      </c>
      <c r="D39" s="13" t="s">
        <v>310</v>
      </c>
      <c r="E39" s="13" t="s">
        <v>311</v>
      </c>
      <c r="F39" s="13" t="s">
        <v>72</v>
      </c>
      <c r="G39" s="14">
        <v>995</v>
      </c>
      <c r="H39" s="14">
        <v>25</v>
      </c>
      <c r="I39" s="14">
        <f t="shared" si="0"/>
        <v>970</v>
      </c>
      <c r="J39" s="13" t="s">
        <v>147</v>
      </c>
      <c r="K39" s="13" t="s">
        <v>61</v>
      </c>
      <c r="L39" s="13" t="s">
        <v>211</v>
      </c>
      <c r="M39" s="13"/>
      <c r="N39" s="13"/>
      <c r="O39" s="13"/>
      <c r="P39" s="13"/>
      <c r="Q39" s="13">
        <v>1</v>
      </c>
    </row>
    <row r="40" spans="1:18" x14ac:dyDescent="0.25">
      <c r="A40" s="13"/>
      <c r="B40" s="13" t="s">
        <v>55</v>
      </c>
      <c r="C40" s="13" t="s">
        <v>312</v>
      </c>
      <c r="D40" s="13" t="s">
        <v>313</v>
      </c>
      <c r="E40" s="13" t="s">
        <v>314</v>
      </c>
      <c r="F40" s="14">
        <v>4</v>
      </c>
      <c r="G40" s="14">
        <v>945</v>
      </c>
      <c r="H40" s="14">
        <v>25</v>
      </c>
      <c r="I40" s="14">
        <f t="shared" si="0"/>
        <v>920</v>
      </c>
      <c r="J40" s="13" t="s">
        <v>147</v>
      </c>
      <c r="K40" s="13" t="s">
        <v>61</v>
      </c>
      <c r="L40" s="13" t="s">
        <v>211</v>
      </c>
      <c r="M40" s="13"/>
      <c r="N40" s="13"/>
      <c r="O40" s="13"/>
      <c r="P40" s="13"/>
      <c r="Q40" s="13">
        <v>1</v>
      </c>
    </row>
    <row r="41" spans="1:18" x14ac:dyDescent="0.25">
      <c r="A41" s="13"/>
      <c r="B41" s="13" t="s">
        <v>55</v>
      </c>
      <c r="C41" s="13" t="s">
        <v>315</v>
      </c>
      <c r="D41" s="13" t="s">
        <v>316</v>
      </c>
      <c r="E41" s="13" t="s">
        <v>317</v>
      </c>
      <c r="F41" s="13" t="s">
        <v>72</v>
      </c>
      <c r="G41" s="14">
        <v>1955</v>
      </c>
      <c r="H41" s="14">
        <v>25</v>
      </c>
      <c r="I41" s="14">
        <f t="shared" si="0"/>
        <v>1930</v>
      </c>
      <c r="J41" s="13" t="s">
        <v>147</v>
      </c>
      <c r="K41" s="13" t="s">
        <v>61</v>
      </c>
      <c r="L41" s="13" t="s">
        <v>211</v>
      </c>
      <c r="M41" s="13"/>
      <c r="N41" s="13"/>
      <c r="O41" s="13"/>
      <c r="P41" s="13"/>
      <c r="Q41" s="13">
        <v>1</v>
      </c>
    </row>
    <row r="42" spans="1:18" x14ac:dyDescent="0.25">
      <c r="A42" s="13"/>
      <c r="B42" s="13" t="s">
        <v>55</v>
      </c>
      <c r="C42" s="13" t="s">
        <v>318</v>
      </c>
      <c r="D42" s="13" t="s">
        <v>319</v>
      </c>
      <c r="E42" s="13" t="s">
        <v>320</v>
      </c>
      <c r="F42" s="14">
        <v>5</v>
      </c>
      <c r="G42" s="14">
        <v>885</v>
      </c>
      <c r="H42" s="14">
        <v>25</v>
      </c>
      <c r="I42" s="14">
        <f t="shared" si="0"/>
        <v>860</v>
      </c>
      <c r="J42" s="13" t="s">
        <v>147</v>
      </c>
      <c r="K42" s="13" t="s">
        <v>61</v>
      </c>
      <c r="L42" s="13" t="s">
        <v>211</v>
      </c>
      <c r="M42" s="13"/>
      <c r="N42" s="13"/>
      <c r="O42" s="13"/>
      <c r="P42" s="13"/>
      <c r="Q42" s="13">
        <v>1</v>
      </c>
    </row>
    <row r="43" spans="1:18" x14ac:dyDescent="0.25">
      <c r="A43" s="13"/>
      <c r="B43" s="13" t="s">
        <v>55</v>
      </c>
      <c r="C43" s="13" t="s">
        <v>321</v>
      </c>
      <c r="D43" s="13" t="s">
        <v>322</v>
      </c>
      <c r="E43" s="13" t="s">
        <v>323</v>
      </c>
      <c r="F43" s="14">
        <v>3</v>
      </c>
      <c r="G43" s="14">
        <v>865</v>
      </c>
      <c r="H43" s="14">
        <v>25</v>
      </c>
      <c r="I43" s="14">
        <f t="shared" si="0"/>
        <v>840</v>
      </c>
      <c r="J43" s="13" t="s">
        <v>147</v>
      </c>
      <c r="K43" s="13" t="s">
        <v>61</v>
      </c>
      <c r="L43" s="13" t="s">
        <v>211</v>
      </c>
      <c r="M43" s="13"/>
      <c r="N43" s="13"/>
      <c r="O43" s="13"/>
      <c r="P43" s="13"/>
      <c r="Q43" s="13">
        <v>1</v>
      </c>
    </row>
    <row r="44" spans="1:18" x14ac:dyDescent="0.25">
      <c r="A44" s="13"/>
      <c r="B44" s="13" t="s">
        <v>55</v>
      </c>
      <c r="C44" s="13" t="s">
        <v>324</v>
      </c>
      <c r="D44" s="13" t="s">
        <v>325</v>
      </c>
      <c r="E44" s="13" t="s">
        <v>326</v>
      </c>
      <c r="F44" s="13" t="s">
        <v>72</v>
      </c>
      <c r="G44" s="14">
        <v>0</v>
      </c>
      <c r="H44" s="14">
        <v>25</v>
      </c>
      <c r="I44" s="14">
        <f t="shared" si="0"/>
        <v>-25</v>
      </c>
      <c r="J44" s="13" t="s">
        <v>147</v>
      </c>
      <c r="K44" s="13" t="s">
        <v>61</v>
      </c>
      <c r="L44" s="13" t="s">
        <v>211</v>
      </c>
      <c r="M44" s="13"/>
      <c r="N44" s="13"/>
      <c r="O44" s="13"/>
      <c r="P44" s="13"/>
      <c r="Q44" s="13">
        <v>1</v>
      </c>
      <c r="R44" s="15">
        <f>H44</f>
        <v>25</v>
      </c>
    </row>
    <row r="45" spans="1:18" x14ac:dyDescent="0.25">
      <c r="A45" s="13" t="s">
        <v>87</v>
      </c>
      <c r="B45" s="13" t="s">
        <v>55</v>
      </c>
      <c r="C45" s="13" t="s">
        <v>327</v>
      </c>
      <c r="D45" s="13"/>
      <c r="E45" s="13" t="s">
        <v>328</v>
      </c>
      <c r="F45" s="14">
        <v>5</v>
      </c>
      <c r="G45" s="14">
        <v>0</v>
      </c>
      <c r="H45" s="14">
        <v>30</v>
      </c>
      <c r="I45" s="14">
        <f t="shared" si="0"/>
        <v>-30</v>
      </c>
      <c r="J45" s="13" t="s">
        <v>147</v>
      </c>
      <c r="K45" s="13" t="s">
        <v>61</v>
      </c>
      <c r="L45" s="13" t="s">
        <v>211</v>
      </c>
      <c r="M45" s="13"/>
      <c r="N45" s="13"/>
      <c r="O45" s="13"/>
      <c r="P45" s="13"/>
      <c r="Q45" s="13">
        <v>1</v>
      </c>
      <c r="R45" s="15">
        <f>H45</f>
        <v>30</v>
      </c>
    </row>
    <row r="46" spans="1:18" x14ac:dyDescent="0.25">
      <c r="A46" s="13" t="s">
        <v>87</v>
      </c>
      <c r="B46" s="13" t="s">
        <v>55</v>
      </c>
      <c r="C46" s="13" t="s">
        <v>329</v>
      </c>
      <c r="D46" s="13"/>
      <c r="E46" s="13" t="s">
        <v>330</v>
      </c>
      <c r="F46" s="13" t="s">
        <v>72</v>
      </c>
      <c r="G46" s="14">
        <v>40</v>
      </c>
      <c r="H46" s="14">
        <v>40</v>
      </c>
      <c r="I46" s="14">
        <f t="shared" si="0"/>
        <v>0</v>
      </c>
      <c r="J46" s="13" t="s">
        <v>147</v>
      </c>
      <c r="K46" s="13" t="s">
        <v>61</v>
      </c>
      <c r="L46" s="13" t="s">
        <v>211</v>
      </c>
      <c r="M46" s="13"/>
      <c r="N46" s="13"/>
      <c r="O46" s="13"/>
      <c r="P46" s="13"/>
      <c r="Q46" s="13">
        <v>1</v>
      </c>
    </row>
    <row r="47" spans="1:18" x14ac:dyDescent="0.25">
      <c r="A47" s="13" t="s">
        <v>87</v>
      </c>
      <c r="B47" s="13" t="s">
        <v>55</v>
      </c>
      <c r="C47" s="13" t="s">
        <v>331</v>
      </c>
      <c r="D47" s="13"/>
      <c r="E47" s="13" t="s">
        <v>332</v>
      </c>
      <c r="F47" s="13" t="s">
        <v>72</v>
      </c>
      <c r="G47" s="14">
        <v>30</v>
      </c>
      <c r="H47" s="14">
        <v>30</v>
      </c>
      <c r="I47" s="14">
        <f t="shared" si="0"/>
        <v>0</v>
      </c>
      <c r="J47" s="13" t="s">
        <v>147</v>
      </c>
      <c r="K47" s="13" t="s">
        <v>61</v>
      </c>
      <c r="L47" s="13" t="s">
        <v>211</v>
      </c>
      <c r="M47" s="13"/>
      <c r="N47" s="13"/>
      <c r="O47" s="13"/>
      <c r="P47" s="13"/>
      <c r="Q47" s="13">
        <v>1</v>
      </c>
    </row>
    <row r="48" spans="1:18" s="21" customFormat="1" x14ac:dyDescent="0.25">
      <c r="A48" s="19"/>
      <c r="B48" s="19" t="s">
        <v>55</v>
      </c>
      <c r="C48" s="19" t="s">
        <v>333</v>
      </c>
      <c r="D48" s="19" t="s">
        <v>334</v>
      </c>
      <c r="E48" s="19" t="s">
        <v>335</v>
      </c>
      <c r="F48" s="19" t="s">
        <v>106</v>
      </c>
      <c r="G48" s="20">
        <v>1790</v>
      </c>
      <c r="H48" s="20">
        <v>20</v>
      </c>
      <c r="I48" s="20">
        <f t="shared" si="0"/>
        <v>1770</v>
      </c>
      <c r="J48" s="19" t="s">
        <v>181</v>
      </c>
      <c r="K48" s="19" t="s">
        <v>61</v>
      </c>
      <c r="L48" s="19" t="s">
        <v>182</v>
      </c>
      <c r="M48" s="19" t="s">
        <v>183</v>
      </c>
      <c r="N48" s="19" t="s">
        <v>184</v>
      </c>
      <c r="O48" s="19" t="s">
        <v>184</v>
      </c>
      <c r="P48" s="19" t="s">
        <v>185</v>
      </c>
      <c r="Q48" s="20">
        <v>1</v>
      </c>
    </row>
    <row r="50" spans="1:17" x14ac:dyDescent="0.25">
      <c r="D50" s="22">
        <f>COUNTA(D3:D48)</f>
        <v>38</v>
      </c>
      <c r="G50" s="22">
        <f t="shared" ref="G50:Q50" si="1">SUBTOTAL(9,G3:G48)</f>
        <v>31905</v>
      </c>
      <c r="H50" s="22">
        <f t="shared" si="1"/>
        <v>1315</v>
      </c>
      <c r="I50" s="22">
        <f t="shared" si="1"/>
        <v>30590</v>
      </c>
      <c r="J50" s="22">
        <f t="shared" si="1"/>
        <v>0</v>
      </c>
      <c r="K50" s="22">
        <f t="shared" si="1"/>
        <v>0</v>
      </c>
      <c r="L50" s="22">
        <f t="shared" si="1"/>
        <v>0</v>
      </c>
      <c r="M50" s="22">
        <f t="shared" si="1"/>
        <v>0</v>
      </c>
      <c r="N50" s="22">
        <f t="shared" si="1"/>
        <v>0</v>
      </c>
      <c r="O50" s="22">
        <f t="shared" si="1"/>
        <v>0</v>
      </c>
      <c r="P50" s="22">
        <f t="shared" si="1"/>
        <v>0</v>
      </c>
      <c r="Q50" s="22">
        <f t="shared" si="1"/>
        <v>46</v>
      </c>
    </row>
    <row r="51" spans="1:17" x14ac:dyDescent="0.25">
      <c r="H51">
        <f>-9*17</f>
        <v>-153</v>
      </c>
    </row>
    <row r="52" spans="1:17" x14ac:dyDescent="0.25">
      <c r="A52" s="22" t="s">
        <v>55</v>
      </c>
      <c r="C52" s="34" t="s">
        <v>186</v>
      </c>
      <c r="D52" s="34"/>
      <c r="E52" s="23" t="s">
        <v>187</v>
      </c>
      <c r="H52">
        <f>-1*25</f>
        <v>-25</v>
      </c>
      <c r="K52" s="24" t="s">
        <v>61</v>
      </c>
      <c r="L52" s="24" t="s">
        <v>188</v>
      </c>
      <c r="M52" s="24" t="s">
        <v>187</v>
      </c>
      <c r="O52" s="23" t="s">
        <v>189</v>
      </c>
    </row>
    <row r="53" spans="1:17" x14ac:dyDescent="0.25">
      <c r="A53" t="s">
        <v>211</v>
      </c>
      <c r="B53" s="25" t="s">
        <v>190</v>
      </c>
      <c r="C53" s="35">
        <f>SUMIFS(I$3:I$48,B$3:B$48,A$52,L$3:L$48,A$53)</f>
        <v>22410</v>
      </c>
      <c r="D53" s="35"/>
      <c r="E53" s="25">
        <f>SUMIFS(Q$3:Q$48,B$3:B$48,A$52,L$3:L$48,A$53)</f>
        <v>44</v>
      </c>
      <c r="F53" t="s">
        <v>191</v>
      </c>
      <c r="H53">
        <f>-2*30</f>
        <v>-60</v>
      </c>
      <c r="K53" t="s">
        <v>192</v>
      </c>
      <c r="L53">
        <f>SUMIFS(G$3:G$48,J$3:J$48,K$52)</f>
        <v>8245</v>
      </c>
      <c r="M53">
        <f>SUMIFS(Q$3:Q$48,J$3:J$48,K$52)-INT(COUNTIFS(J$3:J$48,K$52,M$3:M$48,"*gộp*")/2)</f>
        <v>16</v>
      </c>
      <c r="O53" t="s">
        <v>61</v>
      </c>
      <c r="P53">
        <f>L58</f>
        <v>6007</v>
      </c>
    </row>
    <row r="54" spans="1:17" x14ac:dyDescent="0.25">
      <c r="B54" s="21" t="s">
        <v>194</v>
      </c>
      <c r="C54" s="36">
        <v>0</v>
      </c>
      <c r="D54" s="36"/>
      <c r="K54" t="s">
        <v>195</v>
      </c>
      <c r="L54">
        <f>-SUMIFS(H$3:H$48,J$3:J$48,K$52)+M54*5</f>
        <v>-375</v>
      </c>
      <c r="M54">
        <f>SUMIFS(Q$3:Q$48,J$3:J$48,K$52)-INT(COUNTIFS(J$3:J$48,K$52,M$3:M$48,"*gộp*")/2)</f>
        <v>16</v>
      </c>
      <c r="O54" t="s">
        <v>147</v>
      </c>
      <c r="P54">
        <f>L66</f>
        <v>8805</v>
      </c>
    </row>
    <row r="55" spans="1:17" x14ac:dyDescent="0.25">
      <c r="B55" s="21" t="s">
        <v>196</v>
      </c>
      <c r="C55" s="36">
        <f>-SUMIFS(I$3:I$48,B$3:B$48,A$52,P$3:P$48,"xx",N$3:N$48,"x")</f>
        <v>-1770</v>
      </c>
      <c r="D55" s="36"/>
      <c r="E55" s="21">
        <f>SUMIFS(Q$3:Q$48,B$3:B$48,A$52,P$3:P$48,"xx",N$3:N$48,"x")</f>
        <v>1</v>
      </c>
      <c r="K55" t="s">
        <v>197</v>
      </c>
      <c r="L55">
        <f>-M55*2</f>
        <v>-88</v>
      </c>
      <c r="M55">
        <f>E56-(COUNTIFS(M$3:M$48,"*gộp*")/2)-COUNTIFS(M$3:M$48,"*đơn trả*")-COUNTIFS(M$3:M$48,"*hàng tỉnh*")+1</f>
        <v>44</v>
      </c>
      <c r="O55" t="s">
        <v>336</v>
      </c>
      <c r="P55">
        <f>L74</f>
        <v>12457</v>
      </c>
    </row>
    <row r="56" spans="1:17" x14ac:dyDescent="0.25">
      <c r="B56" s="23" t="s">
        <v>198</v>
      </c>
      <c r="C56" s="34">
        <f>SUBTOTAL(9,C53:C55)</f>
        <v>20640</v>
      </c>
      <c r="D56" s="34"/>
      <c r="E56">
        <f>E53</f>
        <v>44</v>
      </c>
      <c r="K56" s="26" t="s">
        <v>183</v>
      </c>
      <c r="L56" s="29">
        <v>-1775</v>
      </c>
      <c r="M56" s="29" t="s">
        <v>206</v>
      </c>
      <c r="O56" t="s">
        <v>199</v>
      </c>
      <c r="P56">
        <f>-C60</f>
        <v>-20640</v>
      </c>
    </row>
    <row r="57" spans="1:17" x14ac:dyDescent="0.25">
      <c r="B57" s="21" t="s">
        <v>200</v>
      </c>
      <c r="C57" s="32"/>
      <c r="D57" s="32"/>
      <c r="K57" s="21" t="s">
        <v>201</v>
      </c>
      <c r="O57" t="s">
        <v>337</v>
      </c>
      <c r="P57">
        <v>-6410</v>
      </c>
    </row>
    <row r="58" spans="1:17" x14ac:dyDescent="0.25">
      <c r="B58" s="27" t="s">
        <v>203</v>
      </c>
      <c r="C58" s="32"/>
      <c r="D58" s="32"/>
      <c r="L58" s="28">
        <f>SUBTOTAL(9,L53:L57)</f>
        <v>6007</v>
      </c>
      <c r="M58" s="28">
        <f>M53</f>
        <v>16</v>
      </c>
      <c r="O58" s="23" t="s">
        <v>202</v>
      </c>
      <c r="P58" s="23">
        <f>SUBTOTAL(9,P53:P57)</f>
        <v>219</v>
      </c>
    </row>
    <row r="60" spans="1:17" x14ac:dyDescent="0.25">
      <c r="B60" s="22" t="s">
        <v>204</v>
      </c>
      <c r="C60" s="33">
        <f>C56+C57+C58</f>
        <v>20640</v>
      </c>
      <c r="D60" s="33"/>
      <c r="E60" s="22" t="s">
        <v>205</v>
      </c>
      <c r="K60" s="24" t="s">
        <v>147</v>
      </c>
      <c r="L60" s="24" t="s">
        <v>188</v>
      </c>
      <c r="M60" s="24" t="s">
        <v>187</v>
      </c>
    </row>
    <row r="61" spans="1:17" x14ac:dyDescent="0.25">
      <c r="K61" t="s">
        <v>192</v>
      </c>
      <c r="L61">
        <f>SUMIFS(G$3:G$48,J$3:J$48,K$60)</f>
        <v>9175</v>
      </c>
      <c r="M61">
        <f>SUMIFS(Q$3:Q$48,J$3:J$48,K$60)-INT(COUNTIFS(J$3:J$48,K$60,M$3:M$48,"*gộp*")/2)</f>
        <v>17</v>
      </c>
    </row>
    <row r="62" spans="1:17" x14ac:dyDescent="0.25">
      <c r="K62" t="s">
        <v>195</v>
      </c>
      <c r="L62">
        <f>-SUMIFS(H$3:H$48,J$3:J$48,K$60)+M62*5</f>
        <v>-370</v>
      </c>
      <c r="M62">
        <f>SUMIFS(Q$3:Q$48,J$3:J$48,K$60)-INT(COUNTIFS(J$3:J$48,K$60,M$3:M$48,"*gộp*")/2)</f>
        <v>17</v>
      </c>
    </row>
    <row r="63" spans="1:17" x14ac:dyDescent="0.25">
      <c r="K63" t="s">
        <v>197</v>
      </c>
    </row>
    <row r="64" spans="1:17" x14ac:dyDescent="0.25">
      <c r="K64" s="26" t="s">
        <v>183</v>
      </c>
    </row>
    <row r="65" spans="11:13" x14ac:dyDescent="0.25">
      <c r="K65" s="21" t="s">
        <v>201</v>
      </c>
    </row>
    <row r="66" spans="11:13" x14ac:dyDescent="0.25">
      <c r="L66" s="28">
        <f>SUBTOTAL(9,L61:L65)</f>
        <v>8805</v>
      </c>
      <c r="M66" s="28">
        <f>M61</f>
        <v>17</v>
      </c>
    </row>
    <row r="68" spans="11:13" x14ac:dyDescent="0.25">
      <c r="K68" s="24" t="s">
        <v>210</v>
      </c>
      <c r="L68" s="24" t="s">
        <v>188</v>
      </c>
      <c r="M68" s="24" t="s">
        <v>187</v>
      </c>
    </row>
    <row r="69" spans="11:13" x14ac:dyDescent="0.25">
      <c r="K69" t="s">
        <v>192</v>
      </c>
      <c r="L69">
        <f>SUMIFS(G$3:G$48,J$3:J$48,K$68)</f>
        <v>12695</v>
      </c>
      <c r="M69">
        <f>SUMIFS(Q$3:Q$48,J$3:J$48,K$68)-INT(COUNTIFS(J$3:J$48,K$68,M$3:M$48,"*gộp*")/2)</f>
        <v>12</v>
      </c>
    </row>
    <row r="70" spans="11:13" x14ac:dyDescent="0.25">
      <c r="K70" t="s">
        <v>195</v>
      </c>
      <c r="L70">
        <f>SUM(H51:H53)</f>
        <v>-238</v>
      </c>
      <c r="M70">
        <f>SUMIFS(Q$3:Q$48,J$3:J$48,K$68)-INT(COUNTIFS(J$3:J$48,K$68,M$3:M$48,"*gộp*")/2)</f>
        <v>12</v>
      </c>
    </row>
    <row r="71" spans="11:13" x14ac:dyDescent="0.25">
      <c r="K71" t="s">
        <v>197</v>
      </c>
    </row>
    <row r="72" spans="11:13" x14ac:dyDescent="0.25">
      <c r="K72" s="26" t="s">
        <v>183</v>
      </c>
    </row>
    <row r="73" spans="11:13" x14ac:dyDescent="0.25">
      <c r="K73" s="21" t="s">
        <v>201</v>
      </c>
    </row>
    <row r="74" spans="11:13" x14ac:dyDescent="0.25">
      <c r="L74" s="28">
        <f>SUBTOTAL(9,L69:L73)</f>
        <v>12457</v>
      </c>
      <c r="M74" s="28">
        <f>M69</f>
        <v>12</v>
      </c>
    </row>
  </sheetData>
  <autoFilter ref="A2:P48" xr:uid="{00000000-0009-0000-0000-000002000000}">
    <sortState xmlns:xlrd2="http://schemas.microsoft.com/office/spreadsheetml/2017/richdata2" ref="A3:P48">
      <sortCondition ref="J2:J48"/>
    </sortState>
  </autoFilter>
  <mergeCells count="8">
    <mergeCell ref="C58:D58"/>
    <mergeCell ref="C60:D60"/>
    <mergeCell ref="C52:D52"/>
    <mergeCell ref="C53:D53"/>
    <mergeCell ref="C54:D54"/>
    <mergeCell ref="C55:D55"/>
    <mergeCell ref="C56:D56"/>
    <mergeCell ref="C57:D57"/>
  </mergeCell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7643B-4376-4AFA-AEEB-624C91AB5B3C}">
  <dimension ref="A2:R51"/>
  <sheetViews>
    <sheetView topLeftCell="A19" zoomScale="85" zoomScaleNormal="85" workbookViewId="0">
      <selection activeCell="A10" sqref="A10 A10:XFD10"/>
    </sheetView>
  </sheetViews>
  <sheetFormatPr defaultRowHeight="15" x14ac:dyDescent="0.25"/>
  <cols>
    <col min="1" max="1" width="12.7109375" customWidth="1"/>
    <col min="2" max="2" width="9" customWidth="1"/>
    <col min="3" max="3" width="35.7109375" customWidth="1"/>
    <col min="4" max="4" width="9.85546875" customWidth="1"/>
    <col min="5" max="5" width="85.85546875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.42578125" bestFit="1" customWidth="1"/>
  </cols>
  <sheetData>
    <row r="2" spans="1:18" x14ac:dyDescent="0.25">
      <c r="A2" s="12" t="s">
        <v>38</v>
      </c>
      <c r="B2" s="12" t="s">
        <v>39</v>
      </c>
      <c r="C2" s="12" t="s">
        <v>40</v>
      </c>
      <c r="D2" s="12" t="s">
        <v>41</v>
      </c>
      <c r="E2" s="12" t="s">
        <v>42</v>
      </c>
      <c r="F2" s="12" t="s">
        <v>43</v>
      </c>
      <c r="G2" s="12" t="s">
        <v>44</v>
      </c>
      <c r="H2" s="12" t="s">
        <v>45</v>
      </c>
      <c r="I2" s="12" t="s">
        <v>46</v>
      </c>
      <c r="J2" s="12" t="s">
        <v>47</v>
      </c>
      <c r="K2" s="12" t="s">
        <v>48</v>
      </c>
      <c r="L2" s="12" t="s">
        <v>49</v>
      </c>
      <c r="M2" s="12" t="s">
        <v>50</v>
      </c>
      <c r="N2" s="12" t="s">
        <v>51</v>
      </c>
      <c r="O2" s="12" t="s">
        <v>52</v>
      </c>
      <c r="P2" s="12" t="s">
        <v>53</v>
      </c>
      <c r="Q2" s="13"/>
    </row>
    <row r="3" spans="1:18" x14ac:dyDescent="0.25">
      <c r="A3" s="13"/>
      <c r="B3" s="13" t="s">
        <v>55</v>
      </c>
      <c r="C3" s="13" t="s">
        <v>642</v>
      </c>
      <c r="D3" s="13" t="s">
        <v>643</v>
      </c>
      <c r="E3" s="13" t="s">
        <v>644</v>
      </c>
      <c r="F3" s="14">
        <v>7</v>
      </c>
      <c r="G3" s="14">
        <v>780</v>
      </c>
      <c r="H3" s="14">
        <v>30</v>
      </c>
      <c r="I3" s="14">
        <f t="shared" ref="I3:I25" si="0">G3-H3</f>
        <v>750</v>
      </c>
      <c r="J3" s="13" t="s">
        <v>645</v>
      </c>
      <c r="K3" s="13" t="s">
        <v>61</v>
      </c>
      <c r="L3" s="13" t="s">
        <v>646</v>
      </c>
      <c r="M3" s="13"/>
      <c r="N3" s="13"/>
      <c r="O3" s="13"/>
      <c r="P3" s="13"/>
      <c r="Q3" s="13">
        <v>1</v>
      </c>
    </row>
    <row r="4" spans="1:18" x14ac:dyDescent="0.25">
      <c r="A4" s="13"/>
      <c r="B4" s="13" t="s">
        <v>55</v>
      </c>
      <c r="C4" s="13" t="s">
        <v>647</v>
      </c>
      <c r="D4" s="13" t="s">
        <v>648</v>
      </c>
      <c r="E4" s="13" t="s">
        <v>649</v>
      </c>
      <c r="F4" s="13" t="s">
        <v>76</v>
      </c>
      <c r="G4" s="14">
        <v>0</v>
      </c>
      <c r="H4" s="14">
        <v>30</v>
      </c>
      <c r="I4" s="14">
        <f t="shared" si="0"/>
        <v>-30</v>
      </c>
      <c r="J4" s="13" t="s">
        <v>645</v>
      </c>
      <c r="K4" s="13" t="s">
        <v>61</v>
      </c>
      <c r="L4" s="13" t="s">
        <v>646</v>
      </c>
      <c r="M4" s="13"/>
      <c r="N4" s="13"/>
      <c r="O4" s="13"/>
      <c r="P4" s="13"/>
      <c r="Q4" s="13">
        <v>1</v>
      </c>
      <c r="R4" s="15">
        <f>H4</f>
        <v>30</v>
      </c>
    </row>
    <row r="5" spans="1:18" x14ac:dyDescent="0.25">
      <c r="A5" s="13"/>
      <c r="B5" s="13" t="s">
        <v>55</v>
      </c>
      <c r="C5" s="13" t="s">
        <v>650</v>
      </c>
      <c r="D5" s="13" t="s">
        <v>651</v>
      </c>
      <c r="E5" s="13" t="s">
        <v>652</v>
      </c>
      <c r="F5" s="13" t="s">
        <v>76</v>
      </c>
      <c r="G5" s="14">
        <v>0</v>
      </c>
      <c r="H5" s="14">
        <v>30</v>
      </c>
      <c r="I5" s="14">
        <f t="shared" si="0"/>
        <v>-30</v>
      </c>
      <c r="J5" s="13" t="s">
        <v>645</v>
      </c>
      <c r="K5" s="13" t="s">
        <v>61</v>
      </c>
      <c r="L5" s="13" t="s">
        <v>646</v>
      </c>
      <c r="M5" s="13"/>
      <c r="N5" s="13"/>
      <c r="O5" s="13"/>
      <c r="P5" s="13"/>
      <c r="Q5" s="13">
        <v>1</v>
      </c>
      <c r="R5" s="15">
        <f>H5</f>
        <v>30</v>
      </c>
    </row>
    <row r="6" spans="1:18" x14ac:dyDescent="0.25">
      <c r="A6" s="13"/>
      <c r="B6" s="13" t="s">
        <v>55</v>
      </c>
      <c r="C6" s="13" t="s">
        <v>653</v>
      </c>
      <c r="D6" s="13" t="s">
        <v>654</v>
      </c>
      <c r="E6" s="13" t="s">
        <v>655</v>
      </c>
      <c r="F6" s="14">
        <v>12</v>
      </c>
      <c r="G6" s="14">
        <v>0</v>
      </c>
      <c r="H6" s="14">
        <v>30</v>
      </c>
      <c r="I6" s="14">
        <f t="shared" si="0"/>
        <v>-30</v>
      </c>
      <c r="J6" s="13" t="s">
        <v>645</v>
      </c>
      <c r="K6" s="13" t="s">
        <v>61</v>
      </c>
      <c r="L6" s="13" t="s">
        <v>646</v>
      </c>
      <c r="M6" s="13"/>
      <c r="N6" s="13"/>
      <c r="O6" s="13"/>
      <c r="P6" s="13"/>
      <c r="Q6" s="13">
        <v>1</v>
      </c>
      <c r="R6" s="15">
        <f>H6</f>
        <v>30</v>
      </c>
    </row>
    <row r="7" spans="1:18" x14ac:dyDescent="0.25">
      <c r="A7" s="13"/>
      <c r="B7" s="13" t="s">
        <v>55</v>
      </c>
      <c r="C7" s="13" t="s">
        <v>656</v>
      </c>
      <c r="D7" s="13" t="s">
        <v>657</v>
      </c>
      <c r="E7" s="13" t="s">
        <v>658</v>
      </c>
      <c r="F7" s="13" t="s">
        <v>76</v>
      </c>
      <c r="G7" s="14">
        <v>320</v>
      </c>
      <c r="H7" s="14">
        <v>30</v>
      </c>
      <c r="I7" s="14">
        <f t="shared" si="0"/>
        <v>290</v>
      </c>
      <c r="J7" s="13" t="s">
        <v>645</v>
      </c>
      <c r="K7" s="13" t="s">
        <v>61</v>
      </c>
      <c r="L7" s="13" t="s">
        <v>646</v>
      </c>
      <c r="M7" s="13"/>
      <c r="N7" s="13"/>
      <c r="O7" s="13"/>
      <c r="P7" s="13"/>
      <c r="Q7" s="13">
        <v>1</v>
      </c>
    </row>
    <row r="8" spans="1:18" x14ac:dyDescent="0.25">
      <c r="A8" s="13"/>
      <c r="B8" s="13" t="s">
        <v>55</v>
      </c>
      <c r="C8" s="13" t="s">
        <v>659</v>
      </c>
      <c r="D8" s="13" t="s">
        <v>660</v>
      </c>
      <c r="E8" s="13" t="s">
        <v>661</v>
      </c>
      <c r="F8" s="14">
        <v>8</v>
      </c>
      <c r="G8" s="14">
        <v>1410</v>
      </c>
      <c r="H8" s="14">
        <v>30</v>
      </c>
      <c r="I8" s="14">
        <f t="shared" si="0"/>
        <v>1380</v>
      </c>
      <c r="J8" s="13" t="s">
        <v>645</v>
      </c>
      <c r="K8" s="13" t="s">
        <v>61</v>
      </c>
      <c r="L8" s="13" t="s">
        <v>646</v>
      </c>
      <c r="M8" s="13"/>
      <c r="N8" s="13"/>
      <c r="O8" s="13"/>
      <c r="P8" s="13"/>
      <c r="Q8" s="13">
        <v>1</v>
      </c>
    </row>
    <row r="9" spans="1:18" x14ac:dyDescent="0.25">
      <c r="A9" s="13"/>
      <c r="B9" s="13" t="s">
        <v>55</v>
      </c>
      <c r="C9" s="13" t="s">
        <v>662</v>
      </c>
      <c r="D9" s="13" t="s">
        <v>663</v>
      </c>
      <c r="E9" s="13" t="s">
        <v>664</v>
      </c>
      <c r="F9" s="14">
        <v>7</v>
      </c>
      <c r="G9" s="14">
        <v>1080</v>
      </c>
      <c r="H9" s="14">
        <v>30</v>
      </c>
      <c r="I9" s="14">
        <f t="shared" si="0"/>
        <v>1050</v>
      </c>
      <c r="J9" s="13" t="s">
        <v>645</v>
      </c>
      <c r="K9" s="13" t="s">
        <v>61</v>
      </c>
      <c r="L9" s="13" t="s">
        <v>646</v>
      </c>
      <c r="M9" s="13"/>
      <c r="N9" s="13"/>
      <c r="O9" s="13"/>
      <c r="P9" s="13"/>
      <c r="Q9" s="13">
        <v>1</v>
      </c>
    </row>
    <row r="10" spans="1:18" x14ac:dyDescent="0.25">
      <c r="A10" s="13"/>
      <c r="B10" s="13" t="s">
        <v>55</v>
      </c>
      <c r="C10" s="13" t="s">
        <v>157</v>
      </c>
      <c r="D10" s="13" t="s">
        <v>158</v>
      </c>
      <c r="E10" s="13" t="s">
        <v>665</v>
      </c>
      <c r="F10" s="14">
        <v>7</v>
      </c>
      <c r="G10" s="14">
        <v>720</v>
      </c>
      <c r="H10" s="14">
        <v>30</v>
      </c>
      <c r="I10" s="14">
        <f t="shared" si="0"/>
        <v>690</v>
      </c>
      <c r="J10" s="13" t="s">
        <v>645</v>
      </c>
      <c r="K10" s="13" t="s">
        <v>61</v>
      </c>
      <c r="L10" s="13" t="s">
        <v>646</v>
      </c>
      <c r="M10" s="13"/>
      <c r="N10" s="13"/>
      <c r="O10" s="13"/>
      <c r="P10" s="13"/>
      <c r="Q10" s="13">
        <v>1</v>
      </c>
    </row>
    <row r="11" spans="1:18" x14ac:dyDescent="0.25">
      <c r="A11" s="13" t="s">
        <v>87</v>
      </c>
      <c r="B11" s="13" t="s">
        <v>55</v>
      </c>
      <c r="C11" s="13" t="s">
        <v>666</v>
      </c>
      <c r="D11" s="13"/>
      <c r="E11" s="13" t="s">
        <v>667</v>
      </c>
      <c r="F11" s="13" t="s">
        <v>59</v>
      </c>
      <c r="G11" s="14">
        <v>4360</v>
      </c>
      <c r="H11" s="14">
        <v>40</v>
      </c>
      <c r="I11" s="14">
        <f t="shared" si="0"/>
        <v>4320</v>
      </c>
      <c r="J11" s="13" t="s">
        <v>61</v>
      </c>
      <c r="K11" s="13" t="s">
        <v>61</v>
      </c>
      <c r="L11" s="13" t="s">
        <v>646</v>
      </c>
      <c r="M11" s="13"/>
      <c r="N11" s="13"/>
      <c r="O11" s="13"/>
      <c r="P11" s="13"/>
      <c r="Q11" s="13">
        <v>1</v>
      </c>
    </row>
    <row r="12" spans="1:18" x14ac:dyDescent="0.25">
      <c r="A12" s="13" t="s">
        <v>87</v>
      </c>
      <c r="B12" s="13" t="s">
        <v>55</v>
      </c>
      <c r="C12" s="13" t="s">
        <v>141</v>
      </c>
      <c r="D12" s="13"/>
      <c r="E12" s="13" t="s">
        <v>142</v>
      </c>
      <c r="F12" s="13" t="s">
        <v>96</v>
      </c>
      <c r="G12" s="14">
        <v>0</v>
      </c>
      <c r="H12" s="14">
        <v>30</v>
      </c>
      <c r="I12" s="14">
        <f t="shared" si="0"/>
        <v>-30</v>
      </c>
      <c r="J12" s="13" t="s">
        <v>61</v>
      </c>
      <c r="K12" s="13" t="s">
        <v>61</v>
      </c>
      <c r="L12" s="13" t="s">
        <v>646</v>
      </c>
      <c r="M12" s="13"/>
      <c r="N12" s="13"/>
      <c r="O12" s="13"/>
      <c r="P12" s="13"/>
      <c r="Q12" s="13">
        <v>1</v>
      </c>
      <c r="R12" s="15">
        <f>H12</f>
        <v>30</v>
      </c>
    </row>
    <row r="13" spans="1:18" x14ac:dyDescent="0.25">
      <c r="A13" s="13" t="s">
        <v>87</v>
      </c>
      <c r="B13" s="13" t="s">
        <v>55</v>
      </c>
      <c r="C13" s="13" t="s">
        <v>135</v>
      </c>
      <c r="D13" s="13"/>
      <c r="E13" s="13" t="s">
        <v>668</v>
      </c>
      <c r="F13" s="13" t="s">
        <v>96</v>
      </c>
      <c r="G13" s="14">
        <v>8630</v>
      </c>
      <c r="H13" s="14">
        <v>50</v>
      </c>
      <c r="I13" s="14">
        <f t="shared" si="0"/>
        <v>8580</v>
      </c>
      <c r="J13" s="13" t="s">
        <v>61</v>
      </c>
      <c r="K13" s="13" t="s">
        <v>61</v>
      </c>
      <c r="L13" s="13" t="s">
        <v>646</v>
      </c>
      <c r="M13" s="13"/>
      <c r="N13" s="13"/>
      <c r="O13" s="13"/>
      <c r="P13" s="13"/>
      <c r="Q13" s="13">
        <v>1</v>
      </c>
    </row>
    <row r="14" spans="1:18" x14ac:dyDescent="0.25">
      <c r="A14" s="13"/>
      <c r="B14" s="13" t="s">
        <v>55</v>
      </c>
      <c r="C14" s="13" t="s">
        <v>669</v>
      </c>
      <c r="D14" s="13" t="s">
        <v>670</v>
      </c>
      <c r="E14" s="13" t="s">
        <v>671</v>
      </c>
      <c r="F14" s="14">
        <v>12</v>
      </c>
      <c r="G14" s="14">
        <v>2500</v>
      </c>
      <c r="H14" s="14">
        <v>35</v>
      </c>
      <c r="I14" s="14">
        <f t="shared" si="0"/>
        <v>2465</v>
      </c>
      <c r="J14" s="13" t="s">
        <v>61</v>
      </c>
      <c r="K14" s="13" t="s">
        <v>61</v>
      </c>
      <c r="L14" s="13" t="s">
        <v>646</v>
      </c>
      <c r="M14" s="31" t="s">
        <v>672</v>
      </c>
      <c r="N14" s="13"/>
      <c r="O14" s="13"/>
      <c r="P14" s="13"/>
      <c r="Q14" s="13">
        <v>1</v>
      </c>
      <c r="R14" s="15">
        <f>H14</f>
        <v>35</v>
      </c>
    </row>
    <row r="15" spans="1:18" x14ac:dyDescent="0.25">
      <c r="A15" s="13"/>
      <c r="B15" s="13" t="s">
        <v>55</v>
      </c>
      <c r="C15" s="13" t="s">
        <v>673</v>
      </c>
      <c r="D15" s="13" t="s">
        <v>674</v>
      </c>
      <c r="E15" s="13" t="s">
        <v>675</v>
      </c>
      <c r="F15" s="14">
        <v>9</v>
      </c>
      <c r="G15" s="14">
        <v>1850</v>
      </c>
      <c r="H15" s="14">
        <v>30</v>
      </c>
      <c r="I15" s="14">
        <f t="shared" si="0"/>
        <v>1820</v>
      </c>
      <c r="J15" s="13" t="s">
        <v>61</v>
      </c>
      <c r="K15" s="13" t="s">
        <v>61</v>
      </c>
      <c r="L15" s="13" t="s">
        <v>646</v>
      </c>
      <c r="M15" s="13"/>
      <c r="N15" s="13"/>
      <c r="O15" s="13"/>
      <c r="P15" s="13"/>
      <c r="Q15" s="13">
        <v>1</v>
      </c>
    </row>
    <row r="16" spans="1:18" x14ac:dyDescent="0.25">
      <c r="A16" s="13"/>
      <c r="B16" s="13" t="s">
        <v>55</v>
      </c>
      <c r="C16" s="13" t="s">
        <v>676</v>
      </c>
      <c r="D16" s="13" t="s">
        <v>677</v>
      </c>
      <c r="E16" s="13" t="s">
        <v>678</v>
      </c>
      <c r="F16" s="13" t="s">
        <v>96</v>
      </c>
      <c r="G16" s="14">
        <v>945</v>
      </c>
      <c r="H16" s="14">
        <v>25</v>
      </c>
      <c r="I16" s="14">
        <f t="shared" si="0"/>
        <v>920</v>
      </c>
      <c r="J16" s="13" t="s">
        <v>61</v>
      </c>
      <c r="K16" s="13" t="s">
        <v>61</v>
      </c>
      <c r="L16" s="13" t="s">
        <v>646</v>
      </c>
      <c r="M16" s="13"/>
      <c r="N16" s="13"/>
      <c r="O16" s="13"/>
      <c r="P16" s="13"/>
      <c r="Q16" s="13">
        <v>1</v>
      </c>
    </row>
    <row r="17" spans="1:18" x14ac:dyDescent="0.25">
      <c r="A17" s="13"/>
      <c r="B17" s="13" t="s">
        <v>55</v>
      </c>
      <c r="C17" s="13" t="s">
        <v>679</v>
      </c>
      <c r="D17" s="13" t="s">
        <v>680</v>
      </c>
      <c r="E17" s="13" t="s">
        <v>681</v>
      </c>
      <c r="F17" s="13" t="s">
        <v>96</v>
      </c>
      <c r="G17" s="14">
        <v>1845</v>
      </c>
      <c r="H17" s="14">
        <v>25</v>
      </c>
      <c r="I17" s="14">
        <f t="shared" si="0"/>
        <v>1820</v>
      </c>
      <c r="J17" s="13" t="s">
        <v>61</v>
      </c>
      <c r="K17" s="13" t="s">
        <v>61</v>
      </c>
      <c r="L17" s="13" t="s">
        <v>646</v>
      </c>
      <c r="M17" s="13"/>
      <c r="N17" s="13"/>
      <c r="O17" s="13"/>
      <c r="P17" s="13"/>
      <c r="Q17" s="13">
        <v>1</v>
      </c>
    </row>
    <row r="18" spans="1:18" x14ac:dyDescent="0.25">
      <c r="A18" s="13"/>
      <c r="B18" s="13" t="s">
        <v>55</v>
      </c>
      <c r="C18" s="13" t="s">
        <v>682</v>
      </c>
      <c r="D18" s="13" t="s">
        <v>683</v>
      </c>
      <c r="E18" s="13" t="s">
        <v>684</v>
      </c>
      <c r="F18" s="14">
        <v>9</v>
      </c>
      <c r="G18" s="14">
        <v>1290</v>
      </c>
      <c r="H18" s="14">
        <v>30</v>
      </c>
      <c r="I18" s="14">
        <f t="shared" si="0"/>
        <v>1260</v>
      </c>
      <c r="J18" s="13" t="s">
        <v>61</v>
      </c>
      <c r="K18" s="13" t="s">
        <v>61</v>
      </c>
      <c r="L18" s="13" t="s">
        <v>646</v>
      </c>
      <c r="M18" s="13"/>
      <c r="N18" s="13"/>
      <c r="O18" s="13"/>
      <c r="P18" s="13"/>
      <c r="Q18" s="13">
        <v>1</v>
      </c>
    </row>
    <row r="19" spans="1:18" x14ac:dyDescent="0.25">
      <c r="A19" s="13"/>
      <c r="B19" s="13" t="s">
        <v>55</v>
      </c>
      <c r="C19" s="13" t="s">
        <v>685</v>
      </c>
      <c r="D19" s="13" t="s">
        <v>686</v>
      </c>
      <c r="E19" s="13" t="s">
        <v>687</v>
      </c>
      <c r="F19" s="14">
        <v>2</v>
      </c>
      <c r="G19" s="14">
        <v>920</v>
      </c>
      <c r="H19" s="14">
        <v>30</v>
      </c>
      <c r="I19" s="14">
        <f t="shared" si="0"/>
        <v>890</v>
      </c>
      <c r="J19" s="13" t="s">
        <v>61</v>
      </c>
      <c r="K19" s="13" t="s">
        <v>61</v>
      </c>
      <c r="L19" s="13" t="s">
        <v>646</v>
      </c>
      <c r="M19" s="13"/>
      <c r="N19" s="13"/>
      <c r="O19" s="13"/>
      <c r="P19" s="13"/>
      <c r="Q19" s="13">
        <v>1</v>
      </c>
    </row>
    <row r="20" spans="1:18" x14ac:dyDescent="0.25">
      <c r="A20" s="13"/>
      <c r="B20" s="13" t="s">
        <v>55</v>
      </c>
      <c r="C20" s="13" t="s">
        <v>688</v>
      </c>
      <c r="D20" s="13" t="s">
        <v>689</v>
      </c>
      <c r="E20" s="13" t="s">
        <v>690</v>
      </c>
      <c r="F20" s="13" t="s">
        <v>96</v>
      </c>
      <c r="G20" s="14">
        <v>885</v>
      </c>
      <c r="H20" s="14">
        <v>25</v>
      </c>
      <c r="I20" s="14">
        <f t="shared" si="0"/>
        <v>860</v>
      </c>
      <c r="J20" s="13" t="s">
        <v>61</v>
      </c>
      <c r="K20" s="13" t="s">
        <v>61</v>
      </c>
      <c r="L20" s="13" t="s">
        <v>646</v>
      </c>
      <c r="M20" s="13"/>
      <c r="N20" s="13"/>
      <c r="O20" s="13"/>
      <c r="P20" s="13"/>
      <c r="Q20" s="13">
        <v>1</v>
      </c>
    </row>
    <row r="21" spans="1:18" x14ac:dyDescent="0.25">
      <c r="A21" s="13" t="s">
        <v>87</v>
      </c>
      <c r="B21" s="13" t="s">
        <v>55</v>
      </c>
      <c r="C21" s="13" t="s">
        <v>691</v>
      </c>
      <c r="D21" s="13"/>
      <c r="E21" s="13" t="s">
        <v>692</v>
      </c>
      <c r="F21" s="13" t="s">
        <v>72</v>
      </c>
      <c r="G21" s="14">
        <v>0</v>
      </c>
      <c r="H21" s="14">
        <v>30</v>
      </c>
      <c r="I21" s="14">
        <f t="shared" si="0"/>
        <v>-30</v>
      </c>
      <c r="J21" s="13" t="s">
        <v>147</v>
      </c>
      <c r="K21" s="13" t="s">
        <v>61</v>
      </c>
      <c r="L21" s="13" t="s">
        <v>646</v>
      </c>
      <c r="M21" s="13"/>
      <c r="N21" s="13"/>
      <c r="O21" s="13"/>
      <c r="P21" s="13"/>
      <c r="Q21" s="13">
        <v>1</v>
      </c>
      <c r="R21" s="15">
        <f>H21</f>
        <v>30</v>
      </c>
    </row>
    <row r="22" spans="1:18" x14ac:dyDescent="0.25">
      <c r="A22" s="13"/>
      <c r="B22" s="13" t="s">
        <v>55</v>
      </c>
      <c r="C22" s="13" t="s">
        <v>693</v>
      </c>
      <c r="D22" s="13" t="s">
        <v>694</v>
      </c>
      <c r="E22" s="13" t="s">
        <v>695</v>
      </c>
      <c r="F22" s="14">
        <v>1</v>
      </c>
      <c r="G22" s="14">
        <v>0</v>
      </c>
      <c r="H22" s="14">
        <v>25</v>
      </c>
      <c r="I22" s="14">
        <f t="shared" si="0"/>
        <v>-25</v>
      </c>
      <c r="J22" s="13" t="s">
        <v>147</v>
      </c>
      <c r="K22" s="13" t="s">
        <v>61</v>
      </c>
      <c r="L22" s="13" t="s">
        <v>646</v>
      </c>
      <c r="M22" s="13"/>
      <c r="N22" s="13"/>
      <c r="O22" s="13"/>
      <c r="P22" s="13"/>
      <c r="Q22" s="13">
        <v>1</v>
      </c>
      <c r="R22" s="15">
        <f>H22</f>
        <v>25</v>
      </c>
    </row>
    <row r="23" spans="1:18" x14ac:dyDescent="0.25">
      <c r="A23" s="13"/>
      <c r="B23" s="13" t="s">
        <v>55</v>
      </c>
      <c r="C23" s="13" t="s">
        <v>696</v>
      </c>
      <c r="D23" s="13" t="s">
        <v>697</v>
      </c>
      <c r="E23" s="13" t="s">
        <v>698</v>
      </c>
      <c r="F23" s="14">
        <v>3</v>
      </c>
      <c r="G23" s="14">
        <v>805</v>
      </c>
      <c r="H23" s="14">
        <v>25</v>
      </c>
      <c r="I23" s="14">
        <f t="shared" si="0"/>
        <v>780</v>
      </c>
      <c r="J23" s="13" t="s">
        <v>147</v>
      </c>
      <c r="K23" s="13" t="s">
        <v>61</v>
      </c>
      <c r="L23" s="13" t="s">
        <v>646</v>
      </c>
      <c r="M23" s="13"/>
      <c r="N23" s="13"/>
      <c r="O23" s="13"/>
      <c r="P23" s="13"/>
      <c r="Q23" s="13">
        <v>1</v>
      </c>
    </row>
    <row r="24" spans="1:18" x14ac:dyDescent="0.25">
      <c r="A24" s="13"/>
      <c r="B24" s="13" t="s">
        <v>55</v>
      </c>
      <c r="C24" s="13" t="s">
        <v>699</v>
      </c>
      <c r="D24" s="13" t="s">
        <v>700</v>
      </c>
      <c r="E24" s="13" t="s">
        <v>701</v>
      </c>
      <c r="F24" s="13" t="s">
        <v>72</v>
      </c>
      <c r="G24" s="14">
        <v>1645</v>
      </c>
      <c r="H24" s="14">
        <v>25</v>
      </c>
      <c r="I24" s="14">
        <f t="shared" si="0"/>
        <v>1620</v>
      </c>
      <c r="J24" s="13" t="s">
        <v>147</v>
      </c>
      <c r="K24" s="13" t="s">
        <v>61</v>
      </c>
      <c r="L24" s="13" t="s">
        <v>646</v>
      </c>
      <c r="M24" s="13"/>
      <c r="N24" s="13"/>
      <c r="O24" s="13"/>
      <c r="P24" s="13"/>
      <c r="Q24" s="13">
        <v>1</v>
      </c>
    </row>
    <row r="25" spans="1:18" x14ac:dyDescent="0.25">
      <c r="A25" s="13"/>
      <c r="B25" s="13" t="s">
        <v>55</v>
      </c>
      <c r="C25" s="13" t="s">
        <v>702</v>
      </c>
      <c r="D25" s="13" t="s">
        <v>703</v>
      </c>
      <c r="E25" s="13" t="s">
        <v>704</v>
      </c>
      <c r="F25" s="13" t="s">
        <v>72</v>
      </c>
      <c r="G25" s="14">
        <v>845</v>
      </c>
      <c r="H25" s="14">
        <v>25</v>
      </c>
      <c r="I25" s="14">
        <f t="shared" si="0"/>
        <v>820</v>
      </c>
      <c r="J25" s="13" t="s">
        <v>147</v>
      </c>
      <c r="K25" s="13" t="s">
        <v>61</v>
      </c>
      <c r="L25" s="13" t="s">
        <v>646</v>
      </c>
      <c r="M25" s="13"/>
      <c r="N25" s="13"/>
      <c r="O25" s="13"/>
      <c r="P25" s="13"/>
      <c r="Q25" s="13">
        <v>1</v>
      </c>
    </row>
    <row r="27" spans="1:18" x14ac:dyDescent="0.25">
      <c r="D27" s="22">
        <f>COUNTA(D3:D25)</f>
        <v>19</v>
      </c>
      <c r="G27" s="22">
        <f t="shared" ref="G27:Q27" si="1">SUBTOTAL(9,G3:G25)</f>
        <v>30830</v>
      </c>
      <c r="H27" s="22">
        <f t="shared" si="1"/>
        <v>690</v>
      </c>
      <c r="I27" s="22">
        <f t="shared" si="1"/>
        <v>30140</v>
      </c>
      <c r="J27" s="22">
        <f t="shared" si="1"/>
        <v>0</v>
      </c>
      <c r="K27" s="22">
        <f t="shared" si="1"/>
        <v>0</v>
      </c>
      <c r="L27" s="22">
        <f t="shared" si="1"/>
        <v>0</v>
      </c>
      <c r="M27" s="22">
        <f t="shared" si="1"/>
        <v>0</v>
      </c>
      <c r="N27" s="22">
        <f t="shared" si="1"/>
        <v>0</v>
      </c>
      <c r="O27" s="22">
        <f t="shared" si="1"/>
        <v>0</v>
      </c>
      <c r="P27" s="22">
        <f t="shared" si="1"/>
        <v>0</v>
      </c>
      <c r="Q27" s="22">
        <f t="shared" si="1"/>
        <v>23</v>
      </c>
    </row>
    <row r="28" spans="1:18" x14ac:dyDescent="0.25">
      <c r="H28">
        <f>-4*17</f>
        <v>-68</v>
      </c>
    </row>
    <row r="29" spans="1:18" x14ac:dyDescent="0.25">
      <c r="A29" s="22" t="s">
        <v>55</v>
      </c>
      <c r="C29" s="34" t="s">
        <v>186</v>
      </c>
      <c r="D29" s="34"/>
      <c r="E29" s="23" t="s">
        <v>187</v>
      </c>
      <c r="H29">
        <f>-4*25</f>
        <v>-100</v>
      </c>
      <c r="K29" s="24" t="s">
        <v>61</v>
      </c>
      <c r="L29" s="24" t="s">
        <v>188</v>
      </c>
      <c r="M29" s="24" t="s">
        <v>187</v>
      </c>
      <c r="O29" s="23" t="s">
        <v>189</v>
      </c>
    </row>
    <row r="30" spans="1:18" x14ac:dyDescent="0.25">
      <c r="A30" t="s">
        <v>646</v>
      </c>
      <c r="B30" s="25" t="s">
        <v>190</v>
      </c>
      <c r="C30" s="35">
        <f>SUMIFS(I$3:I$25,B$3:B$25,A$29,L$3:L$25,A$30)</f>
        <v>30140</v>
      </c>
      <c r="D30" s="35"/>
      <c r="E30" s="25">
        <f>SUMIFS(Q$3:Q$25,B$3:B$25,A$29,L$3:L$25,A$30)</f>
        <v>23</v>
      </c>
      <c r="F30" t="s">
        <v>191</v>
      </c>
      <c r="K30" t="s">
        <v>192</v>
      </c>
      <c r="L30">
        <f>SUMIFS(G$3:G$25,J$3:J$25,K$29)</f>
        <v>23225</v>
      </c>
      <c r="M30">
        <f>SUMIFS(Q$3:Q$25,J$3:J$25,K$29)-INT(COUNTIFS(J$3:J$25,K$29,M$3:M$25,"*gộp*")/2)</f>
        <v>10</v>
      </c>
      <c r="O30" t="s">
        <v>61</v>
      </c>
      <c r="P30">
        <f>L35</f>
        <v>22909</v>
      </c>
    </row>
    <row r="31" spans="1:18" x14ac:dyDescent="0.25">
      <c r="B31" s="21" t="s">
        <v>194</v>
      </c>
      <c r="C31" s="36">
        <v>0</v>
      </c>
      <c r="D31" s="36"/>
      <c r="K31" t="s">
        <v>195</v>
      </c>
      <c r="L31">
        <f>-SUMIFS(H$3:H$25,J$3:J$25,K$29)+M31*5</f>
        <v>-270</v>
      </c>
      <c r="M31">
        <f>SUMIFS(Q$3:Q$25,J$3:J$25,K$29)-INT(COUNTIFS(J$3:J$25,K$29,M$3:M$25,"*gộp*")/2)</f>
        <v>10</v>
      </c>
      <c r="O31" t="s">
        <v>147</v>
      </c>
      <c r="P31">
        <f>L43</f>
        <v>3190</v>
      </c>
    </row>
    <row r="32" spans="1:18" x14ac:dyDescent="0.25">
      <c r="B32" s="21" t="s">
        <v>196</v>
      </c>
      <c r="C32" s="36">
        <f>-SUMIFS(I$3:I$25,B$3:B$25,A$29,P$3:P$25,"xx",N$3:N$25,"x")</f>
        <v>0</v>
      </c>
      <c r="D32" s="36"/>
      <c r="E32" s="21">
        <f>SUMIFS(Q$3:Q$25,B$3:B$25,A$29,P$3:P$25,"xx",N$3:N$25,"x")</f>
        <v>0</v>
      </c>
      <c r="K32" t="s">
        <v>197</v>
      </c>
      <c r="L32">
        <f>-M32*2</f>
        <v>-46</v>
      </c>
      <c r="M32">
        <f>E33-(COUNTIFS(M$3:M$25,"*gộp*")/2)-COUNTIFS(M$3:M$25,"*đơn trả*")-COUNTIFS(M$3:M$25,"*hàng tỉnh*")</f>
        <v>23</v>
      </c>
      <c r="O32" t="s">
        <v>705</v>
      </c>
      <c r="P32">
        <f>L51</f>
        <v>4142</v>
      </c>
    </row>
    <row r="33" spans="2:16" x14ac:dyDescent="0.25">
      <c r="B33" s="23" t="s">
        <v>198</v>
      </c>
      <c r="C33" s="34">
        <f>SUBTOTAL(9,C30:C32)</f>
        <v>30140</v>
      </c>
      <c r="D33" s="34"/>
      <c r="E33">
        <f>E30</f>
        <v>23</v>
      </c>
      <c r="K33" s="26" t="s">
        <v>183</v>
      </c>
      <c r="O33" t="s">
        <v>199</v>
      </c>
      <c r="P33">
        <f>-C37</f>
        <v>-30140</v>
      </c>
    </row>
    <row r="34" spans="2:16" x14ac:dyDescent="0.25">
      <c r="B34" s="21" t="s">
        <v>200</v>
      </c>
      <c r="C34" s="32"/>
      <c r="D34" s="32"/>
      <c r="K34" s="21" t="s">
        <v>201</v>
      </c>
      <c r="O34" s="23" t="s">
        <v>202</v>
      </c>
      <c r="P34" s="23">
        <f>SUBTOTAL(9,P30:P33)</f>
        <v>101</v>
      </c>
    </row>
    <row r="35" spans="2:16" x14ac:dyDescent="0.25">
      <c r="B35" s="27" t="s">
        <v>203</v>
      </c>
      <c r="C35" s="32"/>
      <c r="D35" s="32"/>
      <c r="L35" s="28">
        <f>SUBTOTAL(9,L30:L34)</f>
        <v>22909</v>
      </c>
      <c r="M35" s="28">
        <f>M30</f>
        <v>10</v>
      </c>
    </row>
    <row r="37" spans="2:16" x14ac:dyDescent="0.25">
      <c r="B37" s="22" t="s">
        <v>204</v>
      </c>
      <c r="C37" s="33">
        <f>C33+C34+C35</f>
        <v>30140</v>
      </c>
      <c r="D37" s="33"/>
      <c r="E37" s="22" t="s">
        <v>205</v>
      </c>
      <c r="K37" s="24" t="s">
        <v>147</v>
      </c>
      <c r="L37" s="24" t="s">
        <v>188</v>
      </c>
      <c r="M37" s="24" t="s">
        <v>187</v>
      </c>
    </row>
    <row r="38" spans="2:16" x14ac:dyDescent="0.25">
      <c r="K38" t="s">
        <v>192</v>
      </c>
      <c r="L38">
        <f>SUMIFS(G$3:G$25,J$3:J$25,K$37)</f>
        <v>3295</v>
      </c>
      <c r="M38">
        <f>SUMIFS(Q$3:Q$25,J$3:J$25,K$37)-INT(COUNTIFS(J$3:J$25,K$37,M$3:M$25,"*gộp*")/2)</f>
        <v>5</v>
      </c>
    </row>
    <row r="39" spans="2:16" x14ac:dyDescent="0.25">
      <c r="K39" t="s">
        <v>195</v>
      </c>
      <c r="L39">
        <f>-SUMIFS(H$3:H$25,J$3:J$25,K$37)+M39*5</f>
        <v>-105</v>
      </c>
      <c r="M39">
        <f>SUMIFS(Q$3:Q$25,J$3:J$25,K$37)-INT(COUNTIFS(J$3:J$25,K$37,M$3:M$25,"*gộp*")/2)</f>
        <v>5</v>
      </c>
    </row>
    <row r="40" spans="2:16" x14ac:dyDescent="0.25">
      <c r="K40" t="s">
        <v>197</v>
      </c>
    </row>
    <row r="41" spans="2:16" x14ac:dyDescent="0.25">
      <c r="K41" s="26" t="s">
        <v>183</v>
      </c>
    </row>
    <row r="42" spans="2:16" x14ac:dyDescent="0.25">
      <c r="K42" s="21" t="s">
        <v>201</v>
      </c>
    </row>
    <row r="43" spans="2:16" x14ac:dyDescent="0.25">
      <c r="L43" s="28">
        <f>SUBTOTAL(9,L38:L42)</f>
        <v>3190</v>
      </c>
      <c r="M43" s="28">
        <f>M38</f>
        <v>5</v>
      </c>
    </row>
    <row r="45" spans="2:16" x14ac:dyDescent="0.25">
      <c r="K45" s="24" t="s">
        <v>645</v>
      </c>
      <c r="L45" s="24" t="s">
        <v>188</v>
      </c>
      <c r="M45" s="24" t="s">
        <v>187</v>
      </c>
    </row>
    <row r="46" spans="2:16" x14ac:dyDescent="0.25">
      <c r="K46" t="s">
        <v>192</v>
      </c>
      <c r="L46">
        <f>SUMIFS(G$3:G$25,J$3:J$25,K$45)</f>
        <v>4310</v>
      </c>
      <c r="M46">
        <f>SUMIFS(Q$3:Q$25,J$3:J$25,K$45)-INT(COUNTIFS(J$3:J$25,K$45,M$3:M$25,"*gộp*")/2)</f>
        <v>8</v>
      </c>
    </row>
    <row r="47" spans="2:16" x14ac:dyDescent="0.25">
      <c r="K47" t="s">
        <v>195</v>
      </c>
      <c r="L47">
        <f>SUM(H28:H29)</f>
        <v>-168</v>
      </c>
      <c r="M47">
        <f>SUMIFS(Q$3:Q$25,J$3:J$25,K$45)-INT(COUNTIFS(J$3:J$25,K$45,M$3:M$25,"*gộp*")/2)</f>
        <v>8</v>
      </c>
    </row>
    <row r="48" spans="2:16" x14ac:dyDescent="0.25">
      <c r="K48" t="s">
        <v>197</v>
      </c>
    </row>
    <row r="49" spans="11:13" x14ac:dyDescent="0.25">
      <c r="K49" s="26" t="s">
        <v>183</v>
      </c>
    </row>
    <row r="50" spans="11:13" x14ac:dyDescent="0.25">
      <c r="K50" s="21" t="s">
        <v>201</v>
      </c>
    </row>
    <row r="51" spans="11:13" x14ac:dyDescent="0.25">
      <c r="L51" s="28">
        <f>SUBTOTAL(9,L46:L50)</f>
        <v>4142</v>
      </c>
      <c r="M51" s="28">
        <f>M46</f>
        <v>8</v>
      </c>
    </row>
  </sheetData>
  <autoFilter ref="A2:P25" xr:uid="{00000000-0009-0000-0000-000003000000}">
    <sortState xmlns:xlrd2="http://schemas.microsoft.com/office/spreadsheetml/2017/richdata2" ref="A3:P25">
      <sortCondition ref="J2:J25"/>
    </sortState>
  </autoFilter>
  <mergeCells count="8">
    <mergeCell ref="C35:D35"/>
    <mergeCell ref="C37:D37"/>
    <mergeCell ref="C29:D29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1F740-A0CF-4A20-9589-1DCC8830C706}">
  <dimension ref="A2:R70"/>
  <sheetViews>
    <sheetView topLeftCell="A28" workbookViewId="0">
      <selection activeCell="A34" sqref="A34 A34:XFD34"/>
    </sheetView>
  </sheetViews>
  <sheetFormatPr defaultRowHeight="15" x14ac:dyDescent="0.25"/>
  <cols>
    <col min="1" max="1" width="12.7109375" customWidth="1"/>
    <col min="2" max="2" width="8.5703125" customWidth="1"/>
    <col min="3" max="3" width="30" customWidth="1"/>
    <col min="4" max="4" width="9.85546875" customWidth="1"/>
    <col min="5" max="5" width="68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2" t="s">
        <v>38</v>
      </c>
      <c r="B2" s="12" t="s">
        <v>39</v>
      </c>
      <c r="C2" s="12" t="s">
        <v>40</v>
      </c>
      <c r="D2" s="12" t="s">
        <v>41</v>
      </c>
      <c r="E2" s="12" t="s">
        <v>42</v>
      </c>
      <c r="F2" s="12" t="s">
        <v>43</v>
      </c>
      <c r="G2" s="12" t="s">
        <v>44</v>
      </c>
      <c r="H2" s="12" t="s">
        <v>45</v>
      </c>
      <c r="I2" s="12" t="s">
        <v>46</v>
      </c>
      <c r="J2" s="12" t="s">
        <v>47</v>
      </c>
      <c r="K2" s="12" t="s">
        <v>48</v>
      </c>
      <c r="L2" s="12" t="s">
        <v>49</v>
      </c>
      <c r="M2" s="12" t="s">
        <v>50</v>
      </c>
      <c r="N2" s="12" t="s">
        <v>51</v>
      </c>
      <c r="O2" s="12" t="s">
        <v>52</v>
      </c>
      <c r="P2" s="12" t="s">
        <v>53</v>
      </c>
      <c r="Q2" s="13"/>
    </row>
    <row r="3" spans="1:18" x14ac:dyDescent="0.25">
      <c r="A3" s="13"/>
      <c r="B3" s="13" t="s">
        <v>55</v>
      </c>
      <c r="C3" s="13" t="s">
        <v>338</v>
      </c>
      <c r="D3" s="13" t="s">
        <v>339</v>
      </c>
      <c r="E3" s="13" t="s">
        <v>340</v>
      </c>
      <c r="F3" s="13" t="s">
        <v>76</v>
      </c>
      <c r="G3" s="14">
        <v>0</v>
      </c>
      <c r="H3" s="14">
        <v>30</v>
      </c>
      <c r="I3" s="14">
        <f t="shared" ref="I3:I44" si="0">G3-H3</f>
        <v>-30</v>
      </c>
      <c r="J3" s="13" t="s">
        <v>341</v>
      </c>
      <c r="K3" s="13" t="s">
        <v>61</v>
      </c>
      <c r="L3" s="13" t="s">
        <v>342</v>
      </c>
      <c r="M3" s="13"/>
      <c r="N3" s="13"/>
      <c r="O3" s="13"/>
      <c r="P3" s="13"/>
      <c r="Q3" s="13">
        <v>1</v>
      </c>
      <c r="R3" s="15">
        <f>H3</f>
        <v>30</v>
      </c>
    </row>
    <row r="4" spans="1:18" x14ac:dyDescent="0.25">
      <c r="A4" s="13"/>
      <c r="B4" s="13" t="s">
        <v>55</v>
      </c>
      <c r="C4" s="13" t="s">
        <v>343</v>
      </c>
      <c r="D4" s="13" t="s">
        <v>344</v>
      </c>
      <c r="E4" s="13" t="s">
        <v>345</v>
      </c>
      <c r="F4" s="13" t="s">
        <v>346</v>
      </c>
      <c r="G4" s="14">
        <v>0</v>
      </c>
      <c r="H4" s="14">
        <v>35</v>
      </c>
      <c r="I4" s="14">
        <f t="shared" si="0"/>
        <v>-35</v>
      </c>
      <c r="J4" s="13" t="s">
        <v>341</v>
      </c>
      <c r="K4" s="13" t="s">
        <v>61</v>
      </c>
      <c r="L4" s="13" t="s">
        <v>342</v>
      </c>
      <c r="M4" s="13"/>
      <c r="N4" s="13"/>
      <c r="O4" s="13"/>
      <c r="P4" s="13"/>
      <c r="Q4" s="13">
        <v>1</v>
      </c>
      <c r="R4" s="15">
        <f>H4</f>
        <v>35</v>
      </c>
    </row>
    <row r="5" spans="1:18" x14ac:dyDescent="0.25">
      <c r="A5" s="13"/>
      <c r="B5" s="13" t="s">
        <v>55</v>
      </c>
      <c r="C5" s="13" t="s">
        <v>347</v>
      </c>
      <c r="D5" s="13" t="s">
        <v>348</v>
      </c>
      <c r="E5" s="13" t="s">
        <v>349</v>
      </c>
      <c r="F5" s="14">
        <v>6</v>
      </c>
      <c r="G5" s="14">
        <v>727</v>
      </c>
      <c r="H5" s="14">
        <v>25</v>
      </c>
      <c r="I5" s="14">
        <f t="shared" si="0"/>
        <v>702</v>
      </c>
      <c r="J5" s="13" t="s">
        <v>341</v>
      </c>
      <c r="K5" s="13" t="s">
        <v>61</v>
      </c>
      <c r="L5" s="13" t="s">
        <v>342</v>
      </c>
      <c r="M5" s="13"/>
      <c r="N5" s="13"/>
      <c r="O5" s="13"/>
      <c r="P5" s="13"/>
      <c r="Q5" s="13">
        <v>1</v>
      </c>
    </row>
    <row r="6" spans="1:18" x14ac:dyDescent="0.25">
      <c r="A6" s="13"/>
      <c r="B6" s="13" t="s">
        <v>55</v>
      </c>
      <c r="C6" s="13" t="s">
        <v>350</v>
      </c>
      <c r="D6" s="13" t="s">
        <v>351</v>
      </c>
      <c r="E6" s="13" t="s">
        <v>352</v>
      </c>
      <c r="F6" s="13" t="s">
        <v>76</v>
      </c>
      <c r="G6" s="14">
        <v>0</v>
      </c>
      <c r="H6" s="14">
        <v>30</v>
      </c>
      <c r="I6" s="14">
        <f t="shared" si="0"/>
        <v>-30</v>
      </c>
      <c r="J6" s="13" t="s">
        <v>341</v>
      </c>
      <c r="K6" s="13" t="s">
        <v>61</v>
      </c>
      <c r="L6" s="13" t="s">
        <v>342</v>
      </c>
      <c r="M6" s="13"/>
      <c r="N6" s="13"/>
      <c r="O6" s="13"/>
      <c r="P6" s="13"/>
      <c r="Q6" s="13">
        <v>1</v>
      </c>
      <c r="R6" s="15">
        <f>H6</f>
        <v>30</v>
      </c>
    </row>
    <row r="7" spans="1:18" x14ac:dyDescent="0.25">
      <c r="A7" s="13"/>
      <c r="B7" s="13" t="s">
        <v>55</v>
      </c>
      <c r="C7" s="13" t="s">
        <v>353</v>
      </c>
      <c r="D7" s="13" t="s">
        <v>354</v>
      </c>
      <c r="E7" s="13" t="s">
        <v>355</v>
      </c>
      <c r="F7" s="13" t="s">
        <v>59</v>
      </c>
      <c r="G7" s="14">
        <v>575</v>
      </c>
      <c r="H7" s="14">
        <v>25</v>
      </c>
      <c r="I7" s="14">
        <f t="shared" si="0"/>
        <v>550</v>
      </c>
      <c r="J7" s="13" t="s">
        <v>341</v>
      </c>
      <c r="K7" s="13" t="s">
        <v>61</v>
      </c>
      <c r="L7" s="13" t="s">
        <v>342</v>
      </c>
      <c r="M7" s="13"/>
      <c r="N7" s="13"/>
      <c r="O7" s="13"/>
      <c r="P7" s="13"/>
      <c r="Q7" s="13">
        <v>1</v>
      </c>
    </row>
    <row r="8" spans="1:18" x14ac:dyDescent="0.25">
      <c r="A8" s="13"/>
      <c r="B8" s="13" t="s">
        <v>55</v>
      </c>
      <c r="C8" s="13" t="s">
        <v>356</v>
      </c>
      <c r="D8" s="13" t="s">
        <v>357</v>
      </c>
      <c r="E8" s="13" t="s">
        <v>358</v>
      </c>
      <c r="F8" s="13" t="s">
        <v>76</v>
      </c>
      <c r="G8" s="14">
        <v>1191</v>
      </c>
      <c r="H8" s="14">
        <v>30</v>
      </c>
      <c r="I8" s="14">
        <f t="shared" si="0"/>
        <v>1161</v>
      </c>
      <c r="J8" s="13" t="s">
        <v>341</v>
      </c>
      <c r="K8" s="13" t="s">
        <v>61</v>
      </c>
      <c r="L8" s="13" t="s">
        <v>342</v>
      </c>
      <c r="M8" s="13"/>
      <c r="N8" s="13"/>
      <c r="O8" s="13"/>
      <c r="P8" s="13"/>
      <c r="Q8" s="13">
        <v>1</v>
      </c>
    </row>
    <row r="9" spans="1:18" x14ac:dyDescent="0.25">
      <c r="A9" s="13"/>
      <c r="B9" s="13" t="s">
        <v>55</v>
      </c>
      <c r="C9" s="13" t="s">
        <v>359</v>
      </c>
      <c r="D9" s="13" t="s">
        <v>360</v>
      </c>
      <c r="E9" s="13" t="s">
        <v>361</v>
      </c>
      <c r="F9" s="13" t="s">
        <v>76</v>
      </c>
      <c r="G9" s="14">
        <v>780</v>
      </c>
      <c r="H9" s="14">
        <v>30</v>
      </c>
      <c r="I9" s="14">
        <f t="shared" si="0"/>
        <v>750</v>
      </c>
      <c r="J9" s="13" t="s">
        <v>341</v>
      </c>
      <c r="K9" s="13" t="s">
        <v>61</v>
      </c>
      <c r="L9" s="13" t="s">
        <v>342</v>
      </c>
      <c r="M9" s="13"/>
      <c r="N9" s="13"/>
      <c r="O9" s="13"/>
      <c r="P9" s="13"/>
      <c r="Q9" s="13">
        <v>1</v>
      </c>
    </row>
    <row r="10" spans="1:18" x14ac:dyDescent="0.25">
      <c r="A10" s="13"/>
      <c r="B10" s="13" t="s">
        <v>55</v>
      </c>
      <c r="C10" s="13" t="s">
        <v>362</v>
      </c>
      <c r="D10" s="13" t="s">
        <v>363</v>
      </c>
      <c r="E10" s="13" t="s">
        <v>364</v>
      </c>
      <c r="F10" s="13" t="s">
        <v>76</v>
      </c>
      <c r="G10" s="14">
        <v>0</v>
      </c>
      <c r="H10" s="14">
        <v>30</v>
      </c>
      <c r="I10" s="14">
        <f t="shared" si="0"/>
        <v>-30</v>
      </c>
      <c r="J10" s="13" t="s">
        <v>341</v>
      </c>
      <c r="K10" s="13" t="s">
        <v>61</v>
      </c>
      <c r="L10" s="13" t="s">
        <v>342</v>
      </c>
      <c r="M10" s="13"/>
      <c r="N10" s="13"/>
      <c r="O10" s="13"/>
      <c r="P10" s="13"/>
      <c r="Q10" s="13">
        <v>1</v>
      </c>
      <c r="R10" s="15">
        <f>H10</f>
        <v>30</v>
      </c>
    </row>
    <row r="11" spans="1:18" x14ac:dyDescent="0.25">
      <c r="A11" s="13"/>
      <c r="B11" s="13" t="s">
        <v>55</v>
      </c>
      <c r="C11" s="13" t="s">
        <v>365</v>
      </c>
      <c r="D11" s="13" t="s">
        <v>366</v>
      </c>
      <c r="E11" s="13" t="s">
        <v>367</v>
      </c>
      <c r="F11" s="13" t="s">
        <v>83</v>
      </c>
      <c r="G11" s="14">
        <v>0</v>
      </c>
      <c r="H11" s="14">
        <v>35</v>
      </c>
      <c r="I11" s="14">
        <f t="shared" si="0"/>
        <v>-35</v>
      </c>
      <c r="J11" s="13" t="s">
        <v>341</v>
      </c>
      <c r="K11" s="13" t="s">
        <v>61</v>
      </c>
      <c r="L11" s="13" t="s">
        <v>342</v>
      </c>
      <c r="M11" s="13"/>
      <c r="N11" s="13"/>
      <c r="O11" s="13"/>
      <c r="P11" s="13"/>
      <c r="Q11" s="13">
        <v>1</v>
      </c>
      <c r="R11" s="15">
        <f>H11</f>
        <v>35</v>
      </c>
    </row>
    <row r="12" spans="1:18" s="18" customFormat="1" x14ac:dyDescent="0.25">
      <c r="A12" s="16"/>
      <c r="B12" s="16" t="s">
        <v>55</v>
      </c>
      <c r="C12" s="16" t="s">
        <v>368</v>
      </c>
      <c r="D12" s="16" t="s">
        <v>369</v>
      </c>
      <c r="E12" s="16" t="s">
        <v>370</v>
      </c>
      <c r="F12" s="16" t="s">
        <v>76</v>
      </c>
      <c r="G12" s="17">
        <v>700</v>
      </c>
      <c r="H12" s="17">
        <v>30</v>
      </c>
      <c r="I12" s="17">
        <f t="shared" si="0"/>
        <v>670</v>
      </c>
      <c r="J12" s="16" t="s">
        <v>341</v>
      </c>
      <c r="K12" s="16" t="s">
        <v>61</v>
      </c>
      <c r="L12" s="16" t="s">
        <v>342</v>
      </c>
      <c r="M12" s="16" t="s">
        <v>128</v>
      </c>
      <c r="N12" s="16"/>
      <c r="O12" s="16"/>
      <c r="P12" s="16"/>
      <c r="Q12" s="16">
        <v>1</v>
      </c>
    </row>
    <row r="13" spans="1:18" x14ac:dyDescent="0.25">
      <c r="A13" s="13"/>
      <c r="B13" s="13" t="s">
        <v>55</v>
      </c>
      <c r="C13" s="13" t="s">
        <v>371</v>
      </c>
      <c r="D13" s="13" t="s">
        <v>372</v>
      </c>
      <c r="E13" s="13" t="s">
        <v>373</v>
      </c>
      <c r="F13" s="14">
        <v>8</v>
      </c>
      <c r="G13" s="14">
        <v>2334</v>
      </c>
      <c r="H13" s="14">
        <v>30</v>
      </c>
      <c r="I13" s="14">
        <f t="shared" si="0"/>
        <v>2304</v>
      </c>
      <c r="J13" s="13" t="s">
        <v>341</v>
      </c>
      <c r="K13" s="13" t="s">
        <v>61</v>
      </c>
      <c r="L13" s="13" t="s">
        <v>342</v>
      </c>
      <c r="M13" s="13"/>
      <c r="N13" s="13"/>
      <c r="O13" s="13"/>
      <c r="P13" s="13"/>
      <c r="Q13" s="13">
        <v>1</v>
      </c>
    </row>
    <row r="14" spans="1:18" x14ac:dyDescent="0.25">
      <c r="A14" s="13"/>
      <c r="B14" s="13" t="s">
        <v>55</v>
      </c>
      <c r="C14" s="13" t="s">
        <v>374</v>
      </c>
      <c r="D14" s="13" t="s">
        <v>375</v>
      </c>
      <c r="E14" s="13" t="s">
        <v>376</v>
      </c>
      <c r="F14" s="13" t="s">
        <v>132</v>
      </c>
      <c r="G14" s="14">
        <v>0</v>
      </c>
      <c r="H14" s="14">
        <v>30</v>
      </c>
      <c r="I14" s="14">
        <f t="shared" si="0"/>
        <v>-30</v>
      </c>
      <c r="J14" s="13" t="s">
        <v>61</v>
      </c>
      <c r="K14" s="13" t="s">
        <v>61</v>
      </c>
      <c r="L14" s="13" t="s">
        <v>342</v>
      </c>
      <c r="M14" s="13"/>
      <c r="N14" s="13"/>
      <c r="O14" s="13"/>
      <c r="P14" s="13"/>
      <c r="Q14" s="13">
        <v>1</v>
      </c>
      <c r="R14" s="15">
        <f>H14</f>
        <v>30</v>
      </c>
    </row>
    <row r="15" spans="1:18" x14ac:dyDescent="0.25">
      <c r="A15" s="13"/>
      <c r="B15" s="13" t="s">
        <v>55</v>
      </c>
      <c r="C15" s="13" t="s">
        <v>377</v>
      </c>
      <c r="D15" s="13" t="s">
        <v>378</v>
      </c>
      <c r="E15" s="13" t="s">
        <v>379</v>
      </c>
      <c r="F15" s="13" t="s">
        <v>106</v>
      </c>
      <c r="G15" s="14">
        <v>1401</v>
      </c>
      <c r="H15" s="14">
        <v>20</v>
      </c>
      <c r="I15" s="14">
        <f t="shared" si="0"/>
        <v>1381</v>
      </c>
      <c r="J15" s="13" t="s">
        <v>61</v>
      </c>
      <c r="K15" s="13" t="s">
        <v>61</v>
      </c>
      <c r="L15" s="13" t="s">
        <v>342</v>
      </c>
      <c r="M15" s="13"/>
      <c r="N15" s="13"/>
      <c r="O15" s="13"/>
      <c r="P15" s="13"/>
      <c r="Q15" s="13">
        <v>1</v>
      </c>
    </row>
    <row r="16" spans="1:18" x14ac:dyDescent="0.25">
      <c r="A16" s="13"/>
      <c r="B16" s="13" t="s">
        <v>55</v>
      </c>
      <c r="C16" s="13" t="s">
        <v>380</v>
      </c>
      <c r="D16" s="13" t="s">
        <v>381</v>
      </c>
      <c r="E16" s="13" t="s">
        <v>382</v>
      </c>
      <c r="F16" s="13" t="s">
        <v>132</v>
      </c>
      <c r="G16" s="14">
        <v>920</v>
      </c>
      <c r="H16" s="14">
        <v>30</v>
      </c>
      <c r="I16" s="14">
        <f t="shared" si="0"/>
        <v>890</v>
      </c>
      <c r="J16" s="13" t="s">
        <v>61</v>
      </c>
      <c r="K16" s="13" t="s">
        <v>61</v>
      </c>
      <c r="L16" s="13" t="s">
        <v>342</v>
      </c>
      <c r="M16" s="13"/>
      <c r="N16" s="13"/>
      <c r="O16" s="13"/>
      <c r="P16" s="13"/>
      <c r="Q16" s="13">
        <v>1</v>
      </c>
    </row>
    <row r="17" spans="1:18" x14ac:dyDescent="0.25">
      <c r="A17" s="13"/>
      <c r="B17" s="13" t="s">
        <v>55</v>
      </c>
      <c r="C17" s="14">
        <v>2429</v>
      </c>
      <c r="D17" s="13" t="s">
        <v>383</v>
      </c>
      <c r="E17" s="13" t="s">
        <v>384</v>
      </c>
      <c r="F17" s="14">
        <v>12</v>
      </c>
      <c r="G17" s="14">
        <v>0</v>
      </c>
      <c r="H17" s="14">
        <v>30</v>
      </c>
      <c r="I17" s="14">
        <f t="shared" si="0"/>
        <v>-30</v>
      </c>
      <c r="J17" s="13" t="s">
        <v>61</v>
      </c>
      <c r="K17" s="13" t="s">
        <v>61</v>
      </c>
      <c r="L17" s="13" t="s">
        <v>342</v>
      </c>
      <c r="M17" s="13"/>
      <c r="N17" s="13"/>
      <c r="O17" s="13"/>
      <c r="P17" s="13"/>
      <c r="Q17" s="13">
        <v>1</v>
      </c>
      <c r="R17" s="15">
        <f>H17</f>
        <v>30</v>
      </c>
    </row>
    <row r="18" spans="1:18" x14ac:dyDescent="0.25">
      <c r="A18" s="13"/>
      <c r="B18" s="13" t="s">
        <v>55</v>
      </c>
      <c r="C18" s="13" t="s">
        <v>385</v>
      </c>
      <c r="D18" s="13" t="s">
        <v>386</v>
      </c>
      <c r="E18" s="13" t="s">
        <v>387</v>
      </c>
      <c r="F18" s="14">
        <v>2</v>
      </c>
      <c r="G18" s="14">
        <v>860</v>
      </c>
      <c r="H18" s="14">
        <v>30</v>
      </c>
      <c r="I18" s="14">
        <f t="shared" si="0"/>
        <v>830</v>
      </c>
      <c r="J18" s="13" t="s">
        <v>61</v>
      </c>
      <c r="K18" s="13" t="s">
        <v>61</v>
      </c>
      <c r="L18" s="13" t="s">
        <v>342</v>
      </c>
      <c r="M18" s="13"/>
      <c r="N18" s="13"/>
      <c r="O18" s="13"/>
      <c r="P18" s="13"/>
      <c r="Q18" s="13">
        <v>1</v>
      </c>
    </row>
    <row r="19" spans="1:18" x14ac:dyDescent="0.25">
      <c r="A19" s="13"/>
      <c r="B19" s="13" t="s">
        <v>55</v>
      </c>
      <c r="C19" s="13" t="s">
        <v>276</v>
      </c>
      <c r="D19" s="13" t="s">
        <v>388</v>
      </c>
      <c r="E19" s="13" t="s">
        <v>389</v>
      </c>
      <c r="F19" s="14">
        <v>12</v>
      </c>
      <c r="G19" s="14">
        <v>30</v>
      </c>
      <c r="H19" s="14">
        <v>30</v>
      </c>
      <c r="I19" s="14">
        <f t="shared" si="0"/>
        <v>0</v>
      </c>
      <c r="J19" s="13" t="s">
        <v>61</v>
      </c>
      <c r="K19" s="13" t="s">
        <v>61</v>
      </c>
      <c r="L19" s="13" t="s">
        <v>342</v>
      </c>
      <c r="M19" s="13"/>
      <c r="N19" s="13"/>
      <c r="O19" s="13"/>
      <c r="P19" s="13"/>
      <c r="Q19" s="13">
        <v>1</v>
      </c>
    </row>
    <row r="20" spans="1:18" x14ac:dyDescent="0.25">
      <c r="A20" s="13"/>
      <c r="B20" s="13" t="s">
        <v>55</v>
      </c>
      <c r="C20" s="13" t="s">
        <v>390</v>
      </c>
      <c r="D20" s="13" t="s">
        <v>391</v>
      </c>
      <c r="E20" s="13" t="s">
        <v>392</v>
      </c>
      <c r="F20" s="14">
        <v>12</v>
      </c>
      <c r="G20" s="14">
        <v>0</v>
      </c>
      <c r="H20" s="14">
        <v>30</v>
      </c>
      <c r="I20" s="14">
        <f t="shared" si="0"/>
        <v>-30</v>
      </c>
      <c r="J20" s="13" t="s">
        <v>61</v>
      </c>
      <c r="K20" s="13" t="s">
        <v>61</v>
      </c>
      <c r="L20" s="13" t="s">
        <v>342</v>
      </c>
      <c r="M20" s="13"/>
      <c r="N20" s="13"/>
      <c r="O20" s="13"/>
      <c r="P20" s="13"/>
      <c r="Q20" s="13">
        <v>1</v>
      </c>
      <c r="R20" s="15">
        <f>H20</f>
        <v>30</v>
      </c>
    </row>
    <row r="21" spans="1:18" x14ac:dyDescent="0.25">
      <c r="A21" s="13"/>
      <c r="B21" s="13" t="s">
        <v>55</v>
      </c>
      <c r="C21" s="13" t="s">
        <v>393</v>
      </c>
      <c r="D21" s="13" t="s">
        <v>394</v>
      </c>
      <c r="E21" s="13" t="s">
        <v>395</v>
      </c>
      <c r="F21" s="14">
        <v>2</v>
      </c>
      <c r="G21" s="14">
        <v>858</v>
      </c>
      <c r="H21" s="14">
        <v>30</v>
      </c>
      <c r="I21" s="14">
        <f t="shared" si="0"/>
        <v>828</v>
      </c>
      <c r="J21" s="13" t="s">
        <v>61</v>
      </c>
      <c r="K21" s="13" t="s">
        <v>61</v>
      </c>
      <c r="L21" s="13" t="s">
        <v>342</v>
      </c>
      <c r="M21" s="13"/>
      <c r="N21" s="13"/>
      <c r="O21" s="13"/>
      <c r="P21" s="13"/>
      <c r="Q21" s="13">
        <v>1</v>
      </c>
    </row>
    <row r="22" spans="1:18" x14ac:dyDescent="0.25">
      <c r="A22" s="13"/>
      <c r="B22" s="13" t="s">
        <v>55</v>
      </c>
      <c r="C22" s="13" t="s">
        <v>396</v>
      </c>
      <c r="D22" s="13" t="s">
        <v>397</v>
      </c>
      <c r="E22" s="13" t="s">
        <v>398</v>
      </c>
      <c r="F22" s="13" t="s">
        <v>96</v>
      </c>
      <c r="G22" s="14">
        <v>2563</v>
      </c>
      <c r="H22" s="14">
        <v>30</v>
      </c>
      <c r="I22" s="14">
        <f t="shared" si="0"/>
        <v>2533</v>
      </c>
      <c r="J22" s="13" t="s">
        <v>61</v>
      </c>
      <c r="K22" s="13" t="s">
        <v>61</v>
      </c>
      <c r="L22" s="13" t="s">
        <v>342</v>
      </c>
      <c r="M22" s="13"/>
      <c r="N22" s="13"/>
      <c r="O22" s="13"/>
      <c r="P22" s="13"/>
      <c r="Q22" s="13">
        <v>1</v>
      </c>
    </row>
    <row r="23" spans="1:18" x14ac:dyDescent="0.25">
      <c r="A23" s="13"/>
      <c r="B23" s="13" t="s">
        <v>55</v>
      </c>
      <c r="C23" s="13" t="s">
        <v>399</v>
      </c>
      <c r="D23" s="13" t="s">
        <v>400</v>
      </c>
      <c r="E23" s="13" t="s">
        <v>401</v>
      </c>
      <c r="F23" s="13" t="s">
        <v>106</v>
      </c>
      <c r="G23" s="14">
        <v>956</v>
      </c>
      <c r="H23" s="14">
        <v>20</v>
      </c>
      <c r="I23" s="14">
        <f t="shared" si="0"/>
        <v>936</v>
      </c>
      <c r="J23" s="13" t="s">
        <v>61</v>
      </c>
      <c r="K23" s="13" t="s">
        <v>61</v>
      </c>
      <c r="L23" s="13" t="s">
        <v>342</v>
      </c>
      <c r="M23" s="13"/>
      <c r="N23" s="13"/>
      <c r="O23" s="13"/>
      <c r="P23" s="13"/>
      <c r="Q23" s="13">
        <v>1</v>
      </c>
    </row>
    <row r="24" spans="1:18" x14ac:dyDescent="0.25">
      <c r="A24" s="13"/>
      <c r="B24" s="13" t="s">
        <v>55</v>
      </c>
      <c r="C24" s="13" t="s">
        <v>402</v>
      </c>
      <c r="D24" s="13" t="s">
        <v>403</v>
      </c>
      <c r="E24" s="13" t="s">
        <v>404</v>
      </c>
      <c r="F24" s="14">
        <v>2</v>
      </c>
      <c r="G24" s="14">
        <v>444</v>
      </c>
      <c r="H24" s="14">
        <v>30</v>
      </c>
      <c r="I24" s="14">
        <f t="shared" si="0"/>
        <v>414</v>
      </c>
      <c r="J24" s="13" t="s">
        <v>61</v>
      </c>
      <c r="K24" s="13" t="s">
        <v>61</v>
      </c>
      <c r="L24" s="13" t="s">
        <v>342</v>
      </c>
      <c r="M24" s="13"/>
      <c r="N24" s="13"/>
      <c r="O24" s="13"/>
      <c r="P24" s="13"/>
      <c r="Q24" s="13">
        <v>1</v>
      </c>
    </row>
    <row r="25" spans="1:18" x14ac:dyDescent="0.25">
      <c r="A25" s="13"/>
      <c r="B25" s="13" t="s">
        <v>55</v>
      </c>
      <c r="C25" s="13" t="s">
        <v>405</v>
      </c>
      <c r="D25" s="13" t="s">
        <v>406</v>
      </c>
      <c r="E25" s="13" t="s">
        <v>407</v>
      </c>
      <c r="F25" s="13" t="s">
        <v>132</v>
      </c>
      <c r="G25" s="14">
        <v>444</v>
      </c>
      <c r="H25" s="14">
        <v>30</v>
      </c>
      <c r="I25" s="14">
        <f t="shared" si="0"/>
        <v>414</v>
      </c>
      <c r="J25" s="13" t="s">
        <v>61</v>
      </c>
      <c r="K25" s="13" t="s">
        <v>61</v>
      </c>
      <c r="L25" s="13" t="s">
        <v>342</v>
      </c>
      <c r="M25" s="13"/>
      <c r="N25" s="13"/>
      <c r="O25" s="13"/>
      <c r="P25" s="13"/>
      <c r="Q25" s="13">
        <v>1</v>
      </c>
    </row>
    <row r="26" spans="1:18" x14ac:dyDescent="0.25">
      <c r="A26" s="13"/>
      <c r="B26" s="13" t="s">
        <v>55</v>
      </c>
      <c r="C26" s="13" t="s">
        <v>408</v>
      </c>
      <c r="D26" s="13" t="s">
        <v>409</v>
      </c>
      <c r="E26" s="13" t="s">
        <v>410</v>
      </c>
      <c r="F26" s="13" t="s">
        <v>96</v>
      </c>
      <c r="G26" s="14">
        <v>0</v>
      </c>
      <c r="H26" s="14">
        <v>25</v>
      </c>
      <c r="I26" s="14">
        <f t="shared" si="0"/>
        <v>-25</v>
      </c>
      <c r="J26" s="13" t="s">
        <v>61</v>
      </c>
      <c r="K26" s="13" t="s">
        <v>61</v>
      </c>
      <c r="L26" s="13" t="s">
        <v>342</v>
      </c>
      <c r="M26" s="13"/>
      <c r="N26" s="13"/>
      <c r="O26" s="13"/>
      <c r="P26" s="13"/>
      <c r="Q26" s="13">
        <v>1</v>
      </c>
      <c r="R26" s="15">
        <f>H26</f>
        <v>25</v>
      </c>
    </row>
    <row r="27" spans="1:18" x14ac:dyDescent="0.25">
      <c r="A27" s="13"/>
      <c r="B27" s="13" t="s">
        <v>55</v>
      </c>
      <c r="C27" s="13" t="s">
        <v>411</v>
      </c>
      <c r="D27" s="13" t="s">
        <v>412</v>
      </c>
      <c r="E27" s="13" t="s">
        <v>413</v>
      </c>
      <c r="F27" s="14">
        <v>2</v>
      </c>
      <c r="G27" s="14">
        <v>471</v>
      </c>
      <c r="H27" s="14">
        <v>30</v>
      </c>
      <c r="I27" s="14">
        <f t="shared" si="0"/>
        <v>441</v>
      </c>
      <c r="J27" s="13" t="s">
        <v>61</v>
      </c>
      <c r="K27" s="13" t="s">
        <v>61</v>
      </c>
      <c r="L27" s="13" t="s">
        <v>342</v>
      </c>
      <c r="M27" s="13"/>
      <c r="N27" s="13"/>
      <c r="O27" s="13"/>
      <c r="P27" s="13"/>
      <c r="Q27" s="13">
        <v>1</v>
      </c>
    </row>
    <row r="28" spans="1:18" x14ac:dyDescent="0.25">
      <c r="A28" s="13" t="s">
        <v>87</v>
      </c>
      <c r="B28" s="13" t="s">
        <v>55</v>
      </c>
      <c r="C28" s="13" t="s">
        <v>414</v>
      </c>
      <c r="D28" s="13"/>
      <c r="E28" s="13" t="s">
        <v>415</v>
      </c>
      <c r="F28" s="13" t="s">
        <v>72</v>
      </c>
      <c r="G28" s="14">
        <v>30</v>
      </c>
      <c r="H28" s="14">
        <v>30</v>
      </c>
      <c r="I28" s="14">
        <f t="shared" si="0"/>
        <v>0</v>
      </c>
      <c r="J28" s="13" t="s">
        <v>61</v>
      </c>
      <c r="K28" s="13" t="s">
        <v>61</v>
      </c>
      <c r="L28" s="13" t="s">
        <v>342</v>
      </c>
      <c r="M28" s="13"/>
      <c r="N28" s="13"/>
      <c r="O28" s="13"/>
      <c r="P28" s="13"/>
      <c r="Q28" s="13">
        <v>1</v>
      </c>
    </row>
    <row r="29" spans="1:18" x14ac:dyDescent="0.25">
      <c r="A29" s="13" t="s">
        <v>87</v>
      </c>
      <c r="B29" s="13" t="s">
        <v>55</v>
      </c>
      <c r="C29" s="13" t="s">
        <v>416</v>
      </c>
      <c r="D29" s="13"/>
      <c r="E29" s="13" t="s">
        <v>417</v>
      </c>
      <c r="F29" s="14">
        <v>12</v>
      </c>
      <c r="G29" s="14">
        <v>0</v>
      </c>
      <c r="H29" s="14">
        <v>35</v>
      </c>
      <c r="I29" s="14">
        <f t="shared" si="0"/>
        <v>-35</v>
      </c>
      <c r="J29" s="13" t="s">
        <v>61</v>
      </c>
      <c r="K29" s="13" t="s">
        <v>61</v>
      </c>
      <c r="L29" s="13" t="s">
        <v>342</v>
      </c>
      <c r="M29" s="13"/>
      <c r="N29" s="13"/>
      <c r="O29" s="13"/>
      <c r="P29" s="13"/>
      <c r="Q29" s="13">
        <v>1</v>
      </c>
      <c r="R29" s="15">
        <f>H29</f>
        <v>35</v>
      </c>
    </row>
    <row r="30" spans="1:18" x14ac:dyDescent="0.25">
      <c r="A30" s="13"/>
      <c r="B30" s="13" t="s">
        <v>55</v>
      </c>
      <c r="C30" s="13" t="s">
        <v>418</v>
      </c>
      <c r="D30" s="13" t="s">
        <v>419</v>
      </c>
      <c r="E30" s="13" t="s">
        <v>420</v>
      </c>
      <c r="F30" s="13" t="s">
        <v>96</v>
      </c>
      <c r="G30" s="14">
        <v>275</v>
      </c>
      <c r="H30" s="14">
        <v>25</v>
      </c>
      <c r="I30" s="14">
        <f t="shared" si="0"/>
        <v>250</v>
      </c>
      <c r="J30" s="13" t="s">
        <v>61</v>
      </c>
      <c r="K30" s="13" t="s">
        <v>61</v>
      </c>
      <c r="L30" s="13" t="s">
        <v>342</v>
      </c>
      <c r="M30" s="13"/>
      <c r="N30" s="13"/>
      <c r="O30" s="13"/>
      <c r="P30" s="13"/>
      <c r="Q30" s="13">
        <v>1</v>
      </c>
    </row>
    <row r="31" spans="1:18" x14ac:dyDescent="0.25">
      <c r="A31" s="13"/>
      <c r="B31" s="13" t="s">
        <v>55</v>
      </c>
      <c r="C31" s="13" t="s">
        <v>421</v>
      </c>
      <c r="D31" s="13" t="s">
        <v>422</v>
      </c>
      <c r="E31" s="13" t="s">
        <v>423</v>
      </c>
      <c r="F31" s="13" t="s">
        <v>132</v>
      </c>
      <c r="G31" s="14">
        <v>520</v>
      </c>
      <c r="H31" s="14">
        <v>30</v>
      </c>
      <c r="I31" s="14">
        <f t="shared" si="0"/>
        <v>490</v>
      </c>
      <c r="J31" s="13" t="s">
        <v>61</v>
      </c>
      <c r="K31" s="13" t="s">
        <v>61</v>
      </c>
      <c r="L31" s="13" t="s">
        <v>342</v>
      </c>
      <c r="M31" s="13"/>
      <c r="N31" s="13"/>
      <c r="O31" s="13"/>
      <c r="P31" s="13"/>
      <c r="Q31" s="13">
        <v>1</v>
      </c>
    </row>
    <row r="32" spans="1:18" x14ac:dyDescent="0.25">
      <c r="A32" s="13"/>
      <c r="B32" s="13" t="s">
        <v>55</v>
      </c>
      <c r="C32" s="13" t="s">
        <v>424</v>
      </c>
      <c r="D32" s="13" t="s">
        <v>425</v>
      </c>
      <c r="E32" s="13" t="s">
        <v>426</v>
      </c>
      <c r="F32" s="13" t="s">
        <v>132</v>
      </c>
      <c r="G32" s="14">
        <v>380</v>
      </c>
      <c r="H32" s="14">
        <v>30</v>
      </c>
      <c r="I32" s="14">
        <f t="shared" si="0"/>
        <v>350</v>
      </c>
      <c r="J32" s="13" t="s">
        <v>61</v>
      </c>
      <c r="K32" s="13" t="s">
        <v>61</v>
      </c>
      <c r="L32" s="13" t="s">
        <v>342</v>
      </c>
      <c r="M32" s="13"/>
      <c r="N32" s="13"/>
      <c r="O32" s="13"/>
      <c r="P32" s="13"/>
      <c r="Q32" s="13">
        <v>1</v>
      </c>
    </row>
    <row r="33" spans="1:18" x14ac:dyDescent="0.25">
      <c r="A33" s="13"/>
      <c r="B33" s="13" t="s">
        <v>55</v>
      </c>
      <c r="C33" s="13" t="s">
        <v>427</v>
      </c>
      <c r="D33" s="13" t="s">
        <v>428</v>
      </c>
      <c r="E33" s="13" t="s">
        <v>429</v>
      </c>
      <c r="F33" s="13" t="s">
        <v>96</v>
      </c>
      <c r="G33" s="14">
        <v>1155</v>
      </c>
      <c r="H33" s="14">
        <v>25</v>
      </c>
      <c r="I33" s="14">
        <f t="shared" si="0"/>
        <v>1130</v>
      </c>
      <c r="J33" s="13" t="s">
        <v>61</v>
      </c>
      <c r="K33" s="13" t="s">
        <v>61</v>
      </c>
      <c r="L33" s="13" t="s">
        <v>342</v>
      </c>
      <c r="M33" s="13"/>
      <c r="N33" s="13"/>
      <c r="O33" s="13"/>
      <c r="P33" s="13"/>
      <c r="Q33" s="13">
        <v>1</v>
      </c>
    </row>
    <row r="34" spans="1:18" x14ac:dyDescent="0.25">
      <c r="A34" s="13"/>
      <c r="B34" s="13" t="s">
        <v>55</v>
      </c>
      <c r="C34" s="13" t="s">
        <v>430</v>
      </c>
      <c r="D34" s="13" t="s">
        <v>431</v>
      </c>
      <c r="E34" s="13" t="s">
        <v>432</v>
      </c>
      <c r="F34" s="14">
        <v>1</v>
      </c>
      <c r="G34" s="14">
        <v>0</v>
      </c>
      <c r="H34" s="14">
        <v>25</v>
      </c>
      <c r="I34" s="14">
        <f t="shared" si="0"/>
        <v>-25</v>
      </c>
      <c r="J34" s="13" t="s">
        <v>147</v>
      </c>
      <c r="K34" s="13" t="s">
        <v>61</v>
      </c>
      <c r="L34" s="13" t="s">
        <v>342</v>
      </c>
      <c r="M34" s="13"/>
      <c r="N34" s="13"/>
      <c r="O34" s="13"/>
      <c r="P34" s="13"/>
      <c r="Q34" s="13">
        <v>1</v>
      </c>
      <c r="R34" s="15">
        <f>H34</f>
        <v>25</v>
      </c>
    </row>
    <row r="35" spans="1:18" x14ac:dyDescent="0.25">
      <c r="A35" s="13"/>
      <c r="B35" s="13" t="s">
        <v>55</v>
      </c>
      <c r="C35" s="13" t="s">
        <v>433</v>
      </c>
      <c r="D35" s="13" t="s">
        <v>434</v>
      </c>
      <c r="E35" s="13" t="s">
        <v>435</v>
      </c>
      <c r="F35" s="14">
        <v>7</v>
      </c>
      <c r="G35" s="14">
        <v>0</v>
      </c>
      <c r="H35" s="14">
        <v>30</v>
      </c>
      <c r="I35" s="14">
        <f t="shared" si="0"/>
        <v>-30</v>
      </c>
      <c r="J35" s="13" t="s">
        <v>147</v>
      </c>
      <c r="K35" s="13" t="s">
        <v>61</v>
      </c>
      <c r="L35" s="13" t="s">
        <v>342</v>
      </c>
      <c r="M35" s="13"/>
      <c r="N35" s="13"/>
      <c r="O35" s="13"/>
      <c r="P35" s="13"/>
      <c r="Q35" s="13">
        <v>1</v>
      </c>
      <c r="R35" s="15">
        <f>H35</f>
        <v>30</v>
      </c>
    </row>
    <row r="36" spans="1:18" x14ac:dyDescent="0.25">
      <c r="A36" s="13"/>
      <c r="B36" s="13" t="s">
        <v>55</v>
      </c>
      <c r="C36" s="13" t="s">
        <v>436</v>
      </c>
      <c r="D36" s="13" t="s">
        <v>437</v>
      </c>
      <c r="E36" s="13" t="s">
        <v>438</v>
      </c>
      <c r="F36" s="14">
        <v>1</v>
      </c>
      <c r="G36" s="14">
        <v>25</v>
      </c>
      <c r="H36" s="14">
        <v>25</v>
      </c>
      <c r="I36" s="14">
        <f t="shared" si="0"/>
        <v>0</v>
      </c>
      <c r="J36" s="13" t="s">
        <v>147</v>
      </c>
      <c r="K36" s="13" t="s">
        <v>61</v>
      </c>
      <c r="L36" s="13" t="s">
        <v>342</v>
      </c>
      <c r="M36" s="13"/>
      <c r="N36" s="13"/>
      <c r="O36" s="13"/>
      <c r="P36" s="13"/>
      <c r="Q36" s="13">
        <v>1</v>
      </c>
    </row>
    <row r="37" spans="1:18" x14ac:dyDescent="0.25">
      <c r="A37" s="13"/>
      <c r="B37" s="13" t="s">
        <v>55</v>
      </c>
      <c r="C37" s="13" t="s">
        <v>439</v>
      </c>
      <c r="D37" s="13" t="s">
        <v>440</v>
      </c>
      <c r="E37" s="13" t="s">
        <v>441</v>
      </c>
      <c r="F37" s="14">
        <v>7</v>
      </c>
      <c r="G37" s="14">
        <v>1047</v>
      </c>
      <c r="H37" s="14">
        <v>30</v>
      </c>
      <c r="I37" s="14">
        <f t="shared" si="0"/>
        <v>1017</v>
      </c>
      <c r="J37" s="13" t="s">
        <v>147</v>
      </c>
      <c r="K37" s="13" t="s">
        <v>61</v>
      </c>
      <c r="L37" s="13" t="s">
        <v>342</v>
      </c>
      <c r="M37" s="13"/>
      <c r="N37" s="13"/>
      <c r="O37" s="13"/>
      <c r="P37" s="13"/>
      <c r="Q37" s="13">
        <v>1</v>
      </c>
    </row>
    <row r="38" spans="1:18" x14ac:dyDescent="0.25">
      <c r="A38" s="13"/>
      <c r="B38" s="13" t="s">
        <v>55</v>
      </c>
      <c r="C38" s="13" t="s">
        <v>442</v>
      </c>
      <c r="D38" s="13" t="s">
        <v>443</v>
      </c>
      <c r="E38" s="13" t="s">
        <v>444</v>
      </c>
      <c r="F38" s="14">
        <v>4</v>
      </c>
      <c r="G38" s="14">
        <v>610</v>
      </c>
      <c r="H38" s="14">
        <v>25</v>
      </c>
      <c r="I38" s="14">
        <f t="shared" si="0"/>
        <v>585</v>
      </c>
      <c r="J38" s="13" t="s">
        <v>147</v>
      </c>
      <c r="K38" s="13" t="s">
        <v>61</v>
      </c>
      <c r="L38" s="13" t="s">
        <v>342</v>
      </c>
      <c r="M38" s="13"/>
      <c r="N38" s="13"/>
      <c r="O38" s="13"/>
      <c r="P38" s="13"/>
      <c r="Q38" s="13">
        <v>1</v>
      </c>
    </row>
    <row r="39" spans="1:18" x14ac:dyDescent="0.25">
      <c r="A39" s="13"/>
      <c r="B39" s="13" t="s">
        <v>55</v>
      </c>
      <c r="C39" s="13" t="s">
        <v>445</v>
      </c>
      <c r="D39" s="13" t="s">
        <v>446</v>
      </c>
      <c r="E39" s="13" t="s">
        <v>447</v>
      </c>
      <c r="F39" s="13" t="s">
        <v>146</v>
      </c>
      <c r="G39" s="14">
        <v>1060</v>
      </c>
      <c r="H39" s="14">
        <v>20</v>
      </c>
      <c r="I39" s="14">
        <f t="shared" si="0"/>
        <v>1040</v>
      </c>
      <c r="J39" s="13" t="s">
        <v>147</v>
      </c>
      <c r="K39" s="13" t="s">
        <v>61</v>
      </c>
      <c r="L39" s="13" t="s">
        <v>342</v>
      </c>
      <c r="M39" s="13"/>
      <c r="N39" s="13"/>
      <c r="O39" s="13"/>
      <c r="P39" s="13"/>
      <c r="Q39" s="13">
        <v>1</v>
      </c>
    </row>
    <row r="40" spans="1:18" x14ac:dyDescent="0.25">
      <c r="A40" s="13"/>
      <c r="B40" s="13" t="s">
        <v>55</v>
      </c>
      <c r="C40" s="13" t="s">
        <v>448</v>
      </c>
      <c r="D40" s="13" t="s">
        <v>449</v>
      </c>
      <c r="E40" s="13" t="s">
        <v>450</v>
      </c>
      <c r="F40" s="14">
        <v>7</v>
      </c>
      <c r="G40" s="14">
        <v>1686</v>
      </c>
      <c r="H40" s="14">
        <v>30</v>
      </c>
      <c r="I40" s="14">
        <f t="shared" si="0"/>
        <v>1656</v>
      </c>
      <c r="J40" s="13" t="s">
        <v>147</v>
      </c>
      <c r="K40" s="13" t="s">
        <v>61</v>
      </c>
      <c r="L40" s="13" t="s">
        <v>342</v>
      </c>
      <c r="M40" s="13"/>
      <c r="N40" s="13"/>
      <c r="O40" s="13"/>
      <c r="P40" s="13"/>
      <c r="Q40" s="13">
        <v>1</v>
      </c>
    </row>
    <row r="41" spans="1:18" x14ac:dyDescent="0.25">
      <c r="A41" s="13"/>
      <c r="B41" s="13" t="s">
        <v>55</v>
      </c>
      <c r="C41" s="13" t="s">
        <v>451</v>
      </c>
      <c r="D41" s="13" t="s">
        <v>452</v>
      </c>
      <c r="E41" s="13" t="s">
        <v>453</v>
      </c>
      <c r="F41" s="14">
        <v>5</v>
      </c>
      <c r="G41" s="14">
        <v>646</v>
      </c>
      <c r="H41" s="14">
        <v>25</v>
      </c>
      <c r="I41" s="14">
        <f t="shared" si="0"/>
        <v>621</v>
      </c>
      <c r="J41" s="13" t="s">
        <v>147</v>
      </c>
      <c r="K41" s="13" t="s">
        <v>61</v>
      </c>
      <c r="L41" s="13" t="s">
        <v>342</v>
      </c>
      <c r="M41" s="13"/>
      <c r="N41" s="13"/>
      <c r="O41" s="13"/>
      <c r="P41" s="13"/>
      <c r="Q41" s="13">
        <v>1</v>
      </c>
    </row>
    <row r="42" spans="1:18" x14ac:dyDescent="0.25">
      <c r="A42" s="13"/>
      <c r="B42" s="13" t="s">
        <v>55</v>
      </c>
      <c r="C42" s="13" t="s">
        <v>454</v>
      </c>
      <c r="D42" s="13" t="s">
        <v>455</v>
      </c>
      <c r="E42" s="13" t="s">
        <v>456</v>
      </c>
      <c r="F42" s="14">
        <v>7</v>
      </c>
      <c r="G42" s="14">
        <v>723</v>
      </c>
      <c r="H42" s="14">
        <v>30</v>
      </c>
      <c r="I42" s="14">
        <f t="shared" si="0"/>
        <v>693</v>
      </c>
      <c r="J42" s="13" t="s">
        <v>147</v>
      </c>
      <c r="K42" s="13" t="s">
        <v>61</v>
      </c>
      <c r="L42" s="13" t="s">
        <v>342</v>
      </c>
      <c r="M42" s="13"/>
      <c r="N42" s="13"/>
      <c r="O42" s="13"/>
      <c r="P42" s="13"/>
      <c r="Q42" s="13">
        <v>1</v>
      </c>
    </row>
    <row r="43" spans="1:18" x14ac:dyDescent="0.25">
      <c r="A43" s="13"/>
      <c r="B43" s="13" t="s">
        <v>55</v>
      </c>
      <c r="C43" s="13" t="s">
        <v>457</v>
      </c>
      <c r="D43" s="13" t="s">
        <v>458</v>
      </c>
      <c r="E43" s="13" t="s">
        <v>459</v>
      </c>
      <c r="F43" s="14">
        <v>5</v>
      </c>
      <c r="G43" s="14">
        <v>515</v>
      </c>
      <c r="H43" s="14">
        <v>25</v>
      </c>
      <c r="I43" s="14">
        <f t="shared" si="0"/>
        <v>490</v>
      </c>
      <c r="J43" s="13" t="s">
        <v>147</v>
      </c>
      <c r="K43" s="13" t="s">
        <v>61</v>
      </c>
      <c r="L43" s="13" t="s">
        <v>342</v>
      </c>
      <c r="M43" s="13"/>
      <c r="N43" s="13"/>
      <c r="O43" s="13"/>
      <c r="P43" s="13"/>
      <c r="Q43" s="13">
        <v>1</v>
      </c>
    </row>
    <row r="44" spans="1:18" x14ac:dyDescent="0.25">
      <c r="A44" s="13"/>
      <c r="B44" s="13" t="s">
        <v>55</v>
      </c>
      <c r="C44" s="13" t="s">
        <v>460</v>
      </c>
      <c r="D44" s="13" t="s">
        <v>461</v>
      </c>
      <c r="E44" s="13" t="s">
        <v>462</v>
      </c>
      <c r="F44" s="14">
        <v>4</v>
      </c>
      <c r="G44" s="14">
        <v>763</v>
      </c>
      <c r="H44" s="14">
        <v>25</v>
      </c>
      <c r="I44" s="14">
        <f t="shared" si="0"/>
        <v>738</v>
      </c>
      <c r="J44" s="13" t="s">
        <v>147</v>
      </c>
      <c r="K44" s="13" t="s">
        <v>61</v>
      </c>
      <c r="L44" s="13" t="s">
        <v>342</v>
      </c>
      <c r="M44" s="13"/>
      <c r="N44" s="13"/>
      <c r="O44" s="13"/>
      <c r="P44" s="13"/>
      <c r="Q44" s="13">
        <v>1</v>
      </c>
    </row>
    <row r="46" spans="1:18" x14ac:dyDescent="0.25">
      <c r="D46" s="22">
        <f>COUNTA(D3:D44)</f>
        <v>40</v>
      </c>
      <c r="G46" s="22">
        <f t="shared" ref="G46:Q46" si="1">SUBTOTAL(9,G3:G44)</f>
        <v>24689</v>
      </c>
      <c r="H46" s="22">
        <f t="shared" si="1"/>
        <v>1190</v>
      </c>
      <c r="I46" s="22">
        <f t="shared" si="1"/>
        <v>23499</v>
      </c>
      <c r="J46" s="22">
        <f t="shared" si="1"/>
        <v>0</v>
      </c>
      <c r="K46" s="22">
        <f t="shared" si="1"/>
        <v>0</v>
      </c>
      <c r="L46" s="22">
        <f t="shared" si="1"/>
        <v>0</v>
      </c>
      <c r="M46" s="22">
        <f t="shared" si="1"/>
        <v>0</v>
      </c>
      <c r="N46" s="22">
        <f t="shared" si="1"/>
        <v>0</v>
      </c>
      <c r="O46" s="22">
        <f t="shared" si="1"/>
        <v>0</v>
      </c>
      <c r="P46" s="22">
        <f t="shared" si="1"/>
        <v>0</v>
      </c>
      <c r="Q46" s="22">
        <f t="shared" si="1"/>
        <v>42</v>
      </c>
    </row>
    <row r="47" spans="1:18" x14ac:dyDescent="0.25">
      <c r="H47">
        <f>-3*17</f>
        <v>-51</v>
      </c>
    </row>
    <row r="48" spans="1:18" x14ac:dyDescent="0.25">
      <c r="A48" s="22" t="s">
        <v>55</v>
      </c>
      <c r="C48" s="34" t="s">
        <v>186</v>
      </c>
      <c r="D48" s="34"/>
      <c r="E48" s="23" t="s">
        <v>187</v>
      </c>
      <c r="H48">
        <f>-6*25</f>
        <v>-150</v>
      </c>
      <c r="K48" s="24" t="s">
        <v>61</v>
      </c>
      <c r="L48" s="24" t="s">
        <v>188</v>
      </c>
      <c r="M48" s="24" t="s">
        <v>187</v>
      </c>
      <c r="O48" s="23" t="s">
        <v>189</v>
      </c>
    </row>
    <row r="49" spans="1:16" x14ac:dyDescent="0.25">
      <c r="A49" t="s">
        <v>342</v>
      </c>
      <c r="B49" s="25" t="s">
        <v>190</v>
      </c>
      <c r="C49" s="35">
        <f>SUMIFS(I$3:I$44,B$3:B$44,A$48,L$3:L$44,A$49)</f>
        <v>23499</v>
      </c>
      <c r="D49" s="35"/>
      <c r="E49" s="25">
        <f>SUMIFS(Q$3:Q$44,B$3:B$44,A$48,L$3:L$44,A$49)</f>
        <v>42</v>
      </c>
      <c r="F49" t="s">
        <v>191</v>
      </c>
      <c r="H49">
        <f>-2*30</f>
        <v>-60</v>
      </c>
      <c r="K49" t="s">
        <v>192</v>
      </c>
      <c r="L49">
        <f>SUMIFS(G$3:G$44,J$3:J$44,K$48)</f>
        <v>11307</v>
      </c>
      <c r="M49">
        <f>SUMIFS(Q$3:Q$44,J$3:J$44,K$48)-INT(COUNTIFS(J$3:J$44,K$48,M$3:M$44,"*gộp*")/2)</f>
        <v>20</v>
      </c>
      <c r="O49" t="s">
        <v>61</v>
      </c>
      <c r="P49">
        <f>L54</f>
        <v>10753</v>
      </c>
    </row>
    <row r="50" spans="1:16" x14ac:dyDescent="0.25">
      <c r="B50" s="21" t="s">
        <v>194</v>
      </c>
      <c r="C50" s="36">
        <v>0</v>
      </c>
      <c r="D50" s="36"/>
      <c r="K50" t="s">
        <v>195</v>
      </c>
      <c r="L50">
        <f>-SUMIFS(H$3:H$44,J$3:J$44,K$48)+M50*5</f>
        <v>-470</v>
      </c>
      <c r="M50">
        <f>SUMIFS(Q$3:Q$44,J$3:J$44,K$48)-INT(COUNTIFS(J$3:J$44,K$48,M$3:M$44,"*gộp*")/2)</f>
        <v>20</v>
      </c>
      <c r="O50" t="s">
        <v>463</v>
      </c>
      <c r="P50">
        <f>L62</f>
        <v>6046</v>
      </c>
    </row>
    <row r="51" spans="1:16" x14ac:dyDescent="0.25">
      <c r="B51" s="21" t="s">
        <v>196</v>
      </c>
      <c r="C51" s="36">
        <f>-SUMIFS(I$3:I$44,B$3:B$44,A$48,P$3:P$44,"xx",N$3:N$44,"x")</f>
        <v>0</v>
      </c>
      <c r="D51" s="36"/>
      <c r="E51" s="21">
        <f>SUMIFS(Q$3:Q$44,B$3:B$44,A$48,P$3:P$44,"xx",N$3:N$44,"x")</f>
        <v>0</v>
      </c>
      <c r="K51" t="s">
        <v>197</v>
      </c>
      <c r="L51">
        <f>-M51*2</f>
        <v>-84</v>
      </c>
      <c r="M51">
        <f>COUNTIFS(K$3:K$44,K$48,L$3:L$44,A$49)-(COUNTIFS(K$3:K$44,K$48,M$3:M$44,"*gộp*")/2)-COUNTIFS(K$3:K$44,K$48,M$3:M$44,"*đơn trả*")-COUNTIFS(K$3:K$44,K$48,M$3:M$44,"*hàng tỉnh*")</f>
        <v>42</v>
      </c>
      <c r="O51" t="s">
        <v>147</v>
      </c>
      <c r="P51">
        <f>L70</f>
        <v>6840</v>
      </c>
    </row>
    <row r="52" spans="1:16" x14ac:dyDescent="0.25">
      <c r="B52" s="23" t="s">
        <v>198</v>
      </c>
      <c r="C52" s="34">
        <f>SUBTOTAL(9,C49:C51)</f>
        <v>23499</v>
      </c>
      <c r="D52" s="34"/>
      <c r="E52">
        <f>E49</f>
        <v>42</v>
      </c>
      <c r="K52" s="26" t="s">
        <v>183</v>
      </c>
      <c r="O52" t="s">
        <v>199</v>
      </c>
      <c r="P52">
        <f>-C56</f>
        <v>-23499</v>
      </c>
    </row>
    <row r="53" spans="1:16" x14ac:dyDescent="0.25">
      <c r="B53" s="21" t="s">
        <v>200</v>
      </c>
      <c r="C53" s="32"/>
      <c r="D53" s="32"/>
      <c r="K53" s="21" t="s">
        <v>201</v>
      </c>
      <c r="O53" s="23" t="s">
        <v>202</v>
      </c>
      <c r="P53" s="23">
        <f>SUBTOTAL(9,P49:P52)</f>
        <v>140</v>
      </c>
    </row>
    <row r="54" spans="1:16" x14ac:dyDescent="0.25">
      <c r="B54" s="27" t="s">
        <v>203</v>
      </c>
      <c r="C54" s="32"/>
      <c r="D54" s="32"/>
      <c r="L54" s="28">
        <f>SUBTOTAL(9,L49:L53)</f>
        <v>10753</v>
      </c>
      <c r="M54" s="28">
        <f>M49</f>
        <v>20</v>
      </c>
    </row>
    <row r="56" spans="1:16" x14ac:dyDescent="0.25">
      <c r="B56" s="22" t="s">
        <v>204</v>
      </c>
      <c r="C56" s="33">
        <f>C52+C53+C54</f>
        <v>23499</v>
      </c>
      <c r="D56" s="33"/>
      <c r="E56" s="22" t="s">
        <v>205</v>
      </c>
      <c r="K56" s="24" t="s">
        <v>341</v>
      </c>
      <c r="L56" s="24" t="s">
        <v>188</v>
      </c>
      <c r="M56" s="24" t="s">
        <v>187</v>
      </c>
    </row>
    <row r="57" spans="1:16" x14ac:dyDescent="0.25">
      <c r="K57" t="s">
        <v>192</v>
      </c>
      <c r="L57">
        <f>SUMIFS(G$3:G$44,J$3:J$44,K$56)</f>
        <v>6307</v>
      </c>
      <c r="M57">
        <f>SUMIFS(Q$3:Q$44,J$3:J$44,K$56)-INT(COUNTIFS(J$3:J$44,K$56,M$3:M$44,"*gộp*")/2)</f>
        <v>11</v>
      </c>
    </row>
    <row r="58" spans="1:16" x14ac:dyDescent="0.25">
      <c r="K58" t="s">
        <v>195</v>
      </c>
      <c r="L58">
        <f>SUM(H47:H49)</f>
        <v>-261</v>
      </c>
      <c r="M58">
        <f>SUMIFS(Q$3:Q$44,J$3:J$44,K$56)-INT(COUNTIFS(J$3:J$44,K$56,M$3:M$44,"*gộp*")/2)</f>
        <v>11</v>
      </c>
    </row>
    <row r="59" spans="1:16" x14ac:dyDescent="0.25">
      <c r="K59" t="s">
        <v>197</v>
      </c>
      <c r="L59">
        <f>-M59*2</f>
        <v>0</v>
      </c>
      <c r="M59">
        <f>COUNTIFS(K$3:K$44,K$56,L$3:L$44,A$49)-(COUNTIFS(K$3:K$44,K$56,M$3:M$44,"*gộp*")/2)-COUNTIFS(K$3:K$44,K$56,M$3:M$44,"*đơn trả*")-COUNTIFS(K$3:K$44,K$56,M$3:M$44,"*hàng tỉnh*")</f>
        <v>0</v>
      </c>
    </row>
    <row r="60" spans="1:16" x14ac:dyDescent="0.25">
      <c r="K60" s="26" t="s">
        <v>183</v>
      </c>
    </row>
    <row r="61" spans="1:16" x14ac:dyDescent="0.25">
      <c r="K61" s="21" t="s">
        <v>201</v>
      </c>
    </row>
    <row r="62" spans="1:16" x14ac:dyDescent="0.25">
      <c r="L62" s="28">
        <f>SUBTOTAL(9,L57:L61)</f>
        <v>6046</v>
      </c>
      <c r="M62" s="28">
        <f>M57</f>
        <v>11</v>
      </c>
    </row>
    <row r="64" spans="1:16" x14ac:dyDescent="0.25">
      <c r="K64" s="24" t="s">
        <v>147</v>
      </c>
      <c r="L64" s="24" t="s">
        <v>188</v>
      </c>
      <c r="M64" s="24" t="s">
        <v>187</v>
      </c>
    </row>
    <row r="65" spans="11:13" x14ac:dyDescent="0.25">
      <c r="K65" t="s">
        <v>192</v>
      </c>
      <c r="L65">
        <f>SUMIFS(G$3:G$44,J$3:J$44,K$64)</f>
        <v>7075</v>
      </c>
      <c r="M65">
        <f>SUMIFS(Q$3:Q$44,J$3:J$44,K$64)-INT(COUNTIFS(J$3:J$44,K$64,M$3:M$44,"*gộp*")/2)</f>
        <v>11</v>
      </c>
    </row>
    <row r="66" spans="11:13" x14ac:dyDescent="0.25">
      <c r="K66" t="s">
        <v>195</v>
      </c>
      <c r="L66">
        <f>-SUMIFS(H$3:H$44,J$3:J$44,K$64)+M66*5</f>
        <v>-235</v>
      </c>
      <c r="M66">
        <f>SUMIFS(Q$3:Q$44,J$3:J$44,K$64)-INT(COUNTIFS(J$3:J$44,K$64,M$3:M$44,"*gộp*")/2)</f>
        <v>11</v>
      </c>
    </row>
    <row r="67" spans="11:13" x14ac:dyDescent="0.25">
      <c r="K67" t="s">
        <v>197</v>
      </c>
      <c r="L67">
        <f>-M67*2</f>
        <v>0</v>
      </c>
      <c r="M67">
        <f>COUNTIFS(K$3:K$44,K$64,L$3:L$44,A$49)-(COUNTIFS(K$3:K$44,K$64,M$3:M$44,"*gộp*")/2)-COUNTIFS(K$3:K$44,K$64,M$3:M$44,"*đơn trả*")-COUNTIFS(K$3:K$44,K$64,M$3:M$44,"*hàng tỉnh*")</f>
        <v>0</v>
      </c>
    </row>
    <row r="68" spans="11:13" x14ac:dyDescent="0.25">
      <c r="K68" s="26" t="s">
        <v>183</v>
      </c>
    </row>
    <row r="69" spans="11:13" x14ac:dyDescent="0.25">
      <c r="K69" s="21" t="s">
        <v>201</v>
      </c>
    </row>
    <row r="70" spans="11:13" x14ac:dyDescent="0.25">
      <c r="L70" s="28">
        <f>SUBTOTAL(9,L65:L69)</f>
        <v>6840</v>
      </c>
      <c r="M70" s="28">
        <f>M65</f>
        <v>11</v>
      </c>
    </row>
  </sheetData>
  <autoFilter ref="A2:P44" xr:uid="{00000000-0009-0000-0000-000014000000}">
    <sortState xmlns:xlrd2="http://schemas.microsoft.com/office/spreadsheetml/2017/richdata2" ref="A3:P44">
      <sortCondition ref="J2:J44"/>
    </sortState>
  </autoFilter>
  <mergeCells count="8">
    <mergeCell ref="C54:D54"/>
    <mergeCell ref="C56:D56"/>
    <mergeCell ref="C48:D48"/>
    <mergeCell ref="C49:D49"/>
    <mergeCell ref="C50:D50"/>
    <mergeCell ref="C51:D51"/>
    <mergeCell ref="C52:D52"/>
    <mergeCell ref="C53:D53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FC456-A118-4126-BEAA-A242D043986D}">
  <sheetPr filterMode="1"/>
  <dimension ref="A2:R88"/>
  <sheetViews>
    <sheetView topLeftCell="A37" workbookViewId="0">
      <selection activeCell="A34" sqref="A34 A34:XFD34"/>
    </sheetView>
  </sheetViews>
  <sheetFormatPr defaultRowHeight="15" x14ac:dyDescent="0.25"/>
  <cols>
    <col min="1" max="1" width="12.7109375" customWidth="1"/>
    <col min="2" max="2" width="9.5703125" customWidth="1"/>
    <col min="3" max="3" width="24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2" t="s">
        <v>38</v>
      </c>
      <c r="B2" s="12" t="s">
        <v>39</v>
      </c>
      <c r="C2" s="12" t="s">
        <v>40</v>
      </c>
      <c r="D2" s="12" t="s">
        <v>41</v>
      </c>
      <c r="E2" s="12" t="s">
        <v>42</v>
      </c>
      <c r="F2" s="12" t="s">
        <v>43</v>
      </c>
      <c r="G2" s="12" t="s">
        <v>44</v>
      </c>
      <c r="H2" s="12" t="s">
        <v>45</v>
      </c>
      <c r="I2" s="12" t="s">
        <v>46</v>
      </c>
      <c r="J2" s="12" t="s">
        <v>47</v>
      </c>
      <c r="K2" s="12" t="s">
        <v>48</v>
      </c>
      <c r="L2" s="12" t="s">
        <v>49</v>
      </c>
      <c r="M2" s="12" t="s">
        <v>50</v>
      </c>
      <c r="N2" s="12" t="s">
        <v>51</v>
      </c>
      <c r="O2" s="12" t="s">
        <v>52</v>
      </c>
      <c r="P2" s="12" t="s">
        <v>53</v>
      </c>
      <c r="Q2" s="13"/>
    </row>
    <row r="3" spans="1:17" hidden="1" x14ac:dyDescent="0.25">
      <c r="A3" s="13"/>
      <c r="B3" s="13" t="s">
        <v>55</v>
      </c>
      <c r="C3" s="13" t="s">
        <v>464</v>
      </c>
      <c r="D3" s="13" t="s">
        <v>465</v>
      </c>
      <c r="E3" s="13" t="s">
        <v>466</v>
      </c>
      <c r="F3" s="13" t="s">
        <v>76</v>
      </c>
      <c r="G3" s="14">
        <v>460</v>
      </c>
      <c r="H3" s="14">
        <v>30</v>
      </c>
      <c r="I3" s="14">
        <f t="shared" ref="I3:I34" si="0">G3-H3</f>
        <v>430</v>
      </c>
      <c r="J3" s="13" t="s">
        <v>341</v>
      </c>
      <c r="K3" s="13" t="s">
        <v>61</v>
      </c>
      <c r="L3" s="13" t="s">
        <v>342</v>
      </c>
      <c r="M3" s="13"/>
      <c r="N3" s="13"/>
      <c r="O3" s="13"/>
      <c r="P3" s="13"/>
      <c r="Q3" s="13">
        <v>1</v>
      </c>
    </row>
    <row r="4" spans="1:17" hidden="1" x14ac:dyDescent="0.25">
      <c r="A4" s="13"/>
      <c r="B4" s="13" t="s">
        <v>55</v>
      </c>
      <c r="C4" s="13" t="s">
        <v>467</v>
      </c>
      <c r="D4" s="13" t="s">
        <v>468</v>
      </c>
      <c r="E4" s="13" t="s">
        <v>469</v>
      </c>
      <c r="F4" s="14">
        <v>8</v>
      </c>
      <c r="G4" s="14">
        <v>990</v>
      </c>
      <c r="H4" s="14">
        <v>30</v>
      </c>
      <c r="I4" s="14">
        <f t="shared" si="0"/>
        <v>960</v>
      </c>
      <c r="J4" s="13" t="s">
        <v>341</v>
      </c>
      <c r="K4" s="13" t="s">
        <v>61</v>
      </c>
      <c r="L4" s="13" t="s">
        <v>342</v>
      </c>
      <c r="M4" s="13"/>
      <c r="N4" s="13"/>
      <c r="O4" s="13"/>
      <c r="P4" s="13"/>
      <c r="Q4" s="13">
        <v>1</v>
      </c>
    </row>
    <row r="5" spans="1:17" hidden="1" x14ac:dyDescent="0.25">
      <c r="A5" s="13"/>
      <c r="B5" s="13" t="s">
        <v>55</v>
      </c>
      <c r="C5" s="13" t="s">
        <v>470</v>
      </c>
      <c r="D5" s="13" t="s">
        <v>471</v>
      </c>
      <c r="E5" s="13" t="s">
        <v>472</v>
      </c>
      <c r="F5" s="14">
        <v>9</v>
      </c>
      <c r="G5" s="14">
        <v>1150</v>
      </c>
      <c r="H5" s="14">
        <v>30</v>
      </c>
      <c r="I5" s="14">
        <f t="shared" si="0"/>
        <v>1120</v>
      </c>
      <c r="J5" s="13" t="s">
        <v>341</v>
      </c>
      <c r="K5" s="13" t="s">
        <v>61</v>
      </c>
      <c r="L5" s="13" t="s">
        <v>342</v>
      </c>
      <c r="M5" s="13"/>
      <c r="N5" s="13"/>
      <c r="O5" s="13"/>
      <c r="P5" s="13"/>
      <c r="Q5" s="13">
        <v>1</v>
      </c>
    </row>
    <row r="6" spans="1:17" hidden="1" x14ac:dyDescent="0.25">
      <c r="A6" s="13"/>
      <c r="B6" s="13" t="s">
        <v>55</v>
      </c>
      <c r="C6" s="13" t="s">
        <v>473</v>
      </c>
      <c r="D6" s="13" t="s">
        <v>474</v>
      </c>
      <c r="E6" s="13" t="s">
        <v>475</v>
      </c>
      <c r="F6" s="13" t="s">
        <v>346</v>
      </c>
      <c r="G6" s="14">
        <v>845</v>
      </c>
      <c r="H6" s="14">
        <v>35</v>
      </c>
      <c r="I6" s="14">
        <f t="shared" si="0"/>
        <v>810</v>
      </c>
      <c r="J6" s="13" t="s">
        <v>341</v>
      </c>
      <c r="K6" s="13" t="s">
        <v>61</v>
      </c>
      <c r="L6" s="13" t="s">
        <v>342</v>
      </c>
      <c r="M6" s="13"/>
      <c r="N6" s="13"/>
      <c r="O6" s="13"/>
      <c r="P6" s="13"/>
      <c r="Q6" s="13">
        <v>1</v>
      </c>
    </row>
    <row r="7" spans="1:17" hidden="1" x14ac:dyDescent="0.25">
      <c r="A7" s="13"/>
      <c r="B7" s="13" t="s">
        <v>55</v>
      </c>
      <c r="C7" s="13" t="s">
        <v>476</v>
      </c>
      <c r="D7" s="13" t="s">
        <v>477</v>
      </c>
      <c r="E7" s="13" t="s">
        <v>478</v>
      </c>
      <c r="F7" s="13" t="s">
        <v>76</v>
      </c>
      <c r="G7" s="14">
        <v>1140</v>
      </c>
      <c r="H7" s="14">
        <v>30</v>
      </c>
      <c r="I7" s="14">
        <f t="shared" si="0"/>
        <v>1110</v>
      </c>
      <c r="J7" s="13" t="s">
        <v>341</v>
      </c>
      <c r="K7" s="13" t="s">
        <v>61</v>
      </c>
      <c r="L7" s="13" t="s">
        <v>342</v>
      </c>
      <c r="M7" s="13"/>
      <c r="N7" s="13"/>
      <c r="O7" s="13"/>
      <c r="P7" s="13"/>
      <c r="Q7" s="13">
        <v>1</v>
      </c>
    </row>
    <row r="8" spans="1:17" hidden="1" x14ac:dyDescent="0.25">
      <c r="A8" s="13"/>
      <c r="B8" s="13" t="s">
        <v>55</v>
      </c>
      <c r="C8" s="13" t="s">
        <v>479</v>
      </c>
      <c r="D8" s="13" t="s">
        <v>480</v>
      </c>
      <c r="E8" s="13" t="s">
        <v>481</v>
      </c>
      <c r="F8" s="14">
        <v>9</v>
      </c>
      <c r="G8" s="14">
        <v>850</v>
      </c>
      <c r="H8" s="14">
        <v>30</v>
      </c>
      <c r="I8" s="14">
        <f t="shared" si="0"/>
        <v>820</v>
      </c>
      <c r="J8" s="13" t="s">
        <v>341</v>
      </c>
      <c r="K8" s="13" t="s">
        <v>61</v>
      </c>
      <c r="L8" s="13" t="s">
        <v>342</v>
      </c>
      <c r="M8" s="13"/>
      <c r="N8" s="13"/>
      <c r="O8" s="13"/>
      <c r="P8" s="13"/>
      <c r="Q8" s="13">
        <v>1</v>
      </c>
    </row>
    <row r="9" spans="1:17" hidden="1" x14ac:dyDescent="0.25">
      <c r="A9" s="13"/>
      <c r="B9" s="13" t="s">
        <v>55</v>
      </c>
      <c r="C9" s="13" t="s">
        <v>482</v>
      </c>
      <c r="D9" s="13" t="s">
        <v>483</v>
      </c>
      <c r="E9" s="13" t="s">
        <v>484</v>
      </c>
      <c r="F9" s="14">
        <v>12</v>
      </c>
      <c r="G9" s="14">
        <v>520</v>
      </c>
      <c r="H9" s="14">
        <v>30</v>
      </c>
      <c r="I9" s="14">
        <f t="shared" si="0"/>
        <v>490</v>
      </c>
      <c r="J9" s="13" t="s">
        <v>341</v>
      </c>
      <c r="K9" s="13" t="s">
        <v>61</v>
      </c>
      <c r="L9" s="13" t="s">
        <v>342</v>
      </c>
      <c r="M9" s="13"/>
      <c r="N9" s="13"/>
      <c r="O9" s="13"/>
      <c r="P9" s="13"/>
      <c r="Q9" s="13">
        <v>1</v>
      </c>
    </row>
    <row r="10" spans="1:17" hidden="1" x14ac:dyDescent="0.25">
      <c r="A10" s="13"/>
      <c r="B10" s="13" t="s">
        <v>55</v>
      </c>
      <c r="C10" s="13" t="s">
        <v>485</v>
      </c>
      <c r="D10" s="13" t="s">
        <v>486</v>
      </c>
      <c r="E10" s="13" t="s">
        <v>487</v>
      </c>
      <c r="F10" s="13" t="s">
        <v>132</v>
      </c>
      <c r="G10" s="14">
        <v>940</v>
      </c>
      <c r="H10" s="14">
        <v>30</v>
      </c>
      <c r="I10" s="14">
        <f t="shared" si="0"/>
        <v>910</v>
      </c>
      <c r="J10" s="13" t="s">
        <v>341</v>
      </c>
      <c r="K10" s="13" t="s">
        <v>61</v>
      </c>
      <c r="L10" s="13" t="s">
        <v>342</v>
      </c>
      <c r="M10" s="13"/>
      <c r="N10" s="13"/>
      <c r="O10" s="13"/>
      <c r="P10" s="13"/>
      <c r="Q10" s="13">
        <v>1</v>
      </c>
    </row>
    <row r="11" spans="1:17" hidden="1" x14ac:dyDescent="0.25">
      <c r="A11" s="13"/>
      <c r="B11" s="13" t="s">
        <v>55</v>
      </c>
      <c r="C11" s="13" t="s">
        <v>488</v>
      </c>
      <c r="D11" s="13" t="s">
        <v>489</v>
      </c>
      <c r="E11" s="13" t="s">
        <v>490</v>
      </c>
      <c r="F11" s="13" t="s">
        <v>76</v>
      </c>
      <c r="G11" s="14">
        <v>250</v>
      </c>
      <c r="H11" s="14">
        <v>30</v>
      </c>
      <c r="I11" s="14">
        <f t="shared" si="0"/>
        <v>220</v>
      </c>
      <c r="J11" s="13" t="s">
        <v>341</v>
      </c>
      <c r="K11" s="13" t="s">
        <v>61</v>
      </c>
      <c r="L11" s="13" t="s">
        <v>342</v>
      </c>
      <c r="M11" s="13"/>
      <c r="N11" s="13"/>
      <c r="O11" s="13"/>
      <c r="P11" s="13"/>
      <c r="Q11" s="13">
        <v>1</v>
      </c>
    </row>
    <row r="12" spans="1:17" hidden="1" x14ac:dyDescent="0.25">
      <c r="A12" s="13"/>
      <c r="B12" s="13" t="s">
        <v>55</v>
      </c>
      <c r="C12" s="13" t="s">
        <v>491</v>
      </c>
      <c r="D12" s="13" t="s">
        <v>492</v>
      </c>
      <c r="E12" s="13" t="s">
        <v>493</v>
      </c>
      <c r="F12" s="14">
        <v>11</v>
      </c>
      <c r="G12" s="14">
        <v>2155</v>
      </c>
      <c r="H12" s="14">
        <v>25</v>
      </c>
      <c r="I12" s="14">
        <f t="shared" si="0"/>
        <v>2130</v>
      </c>
      <c r="J12" s="13" t="s">
        <v>341</v>
      </c>
      <c r="K12" s="13" t="s">
        <v>61</v>
      </c>
      <c r="L12" s="13" t="s">
        <v>342</v>
      </c>
      <c r="M12" s="13"/>
      <c r="N12" s="13"/>
      <c r="O12" s="13"/>
      <c r="P12" s="13"/>
      <c r="Q12" s="13">
        <v>1</v>
      </c>
    </row>
    <row r="13" spans="1:17" hidden="1" x14ac:dyDescent="0.25">
      <c r="A13" s="13"/>
      <c r="B13" s="13" t="s">
        <v>55</v>
      </c>
      <c r="C13" s="13" t="s">
        <v>494</v>
      </c>
      <c r="D13" s="13" t="s">
        <v>495</v>
      </c>
      <c r="E13" s="13" t="s">
        <v>496</v>
      </c>
      <c r="F13" s="14">
        <v>7</v>
      </c>
      <c r="G13" s="14">
        <v>470</v>
      </c>
      <c r="H13" s="14">
        <v>30</v>
      </c>
      <c r="I13" s="14">
        <f t="shared" si="0"/>
        <v>440</v>
      </c>
      <c r="J13" s="13" t="s">
        <v>341</v>
      </c>
      <c r="K13" s="13" t="s">
        <v>61</v>
      </c>
      <c r="L13" s="13" t="s">
        <v>342</v>
      </c>
      <c r="M13" s="13"/>
      <c r="N13" s="13"/>
      <c r="O13" s="13"/>
      <c r="P13" s="13"/>
      <c r="Q13" s="13">
        <v>1</v>
      </c>
    </row>
    <row r="14" spans="1:17" hidden="1" x14ac:dyDescent="0.25">
      <c r="A14" s="13"/>
      <c r="B14" s="13" t="s">
        <v>55</v>
      </c>
      <c r="C14" s="13" t="s">
        <v>497</v>
      </c>
      <c r="D14" s="13" t="s">
        <v>498</v>
      </c>
      <c r="E14" s="13" t="s">
        <v>89</v>
      </c>
      <c r="F14" s="13" t="s">
        <v>76</v>
      </c>
      <c r="G14" s="14">
        <v>300</v>
      </c>
      <c r="H14" s="14">
        <v>30</v>
      </c>
      <c r="I14" s="14">
        <f t="shared" si="0"/>
        <v>270</v>
      </c>
      <c r="J14" s="13" t="s">
        <v>341</v>
      </c>
      <c r="K14" s="13" t="s">
        <v>61</v>
      </c>
      <c r="L14" s="13" t="s">
        <v>342</v>
      </c>
      <c r="M14" s="13"/>
      <c r="N14" s="13"/>
      <c r="O14" s="13"/>
      <c r="P14" s="13"/>
      <c r="Q14" s="13">
        <v>1</v>
      </c>
    </row>
    <row r="15" spans="1:17" hidden="1" x14ac:dyDescent="0.25">
      <c r="A15" s="13"/>
      <c r="B15" s="13" t="s">
        <v>55</v>
      </c>
      <c r="C15" s="13" t="s">
        <v>499</v>
      </c>
      <c r="D15" s="13" t="s">
        <v>500</v>
      </c>
      <c r="E15" s="13" t="s">
        <v>501</v>
      </c>
      <c r="F15" s="14">
        <v>7</v>
      </c>
      <c r="G15" s="14">
        <v>520</v>
      </c>
      <c r="H15" s="14">
        <v>30</v>
      </c>
      <c r="I15" s="14">
        <f t="shared" si="0"/>
        <v>490</v>
      </c>
      <c r="J15" s="13" t="s">
        <v>341</v>
      </c>
      <c r="K15" s="13" t="s">
        <v>61</v>
      </c>
      <c r="L15" s="13" t="s">
        <v>342</v>
      </c>
      <c r="M15" s="13"/>
      <c r="N15" s="13"/>
      <c r="O15" s="13"/>
      <c r="P15" s="13"/>
      <c r="Q15" s="13">
        <v>1</v>
      </c>
    </row>
    <row r="16" spans="1:17" hidden="1" x14ac:dyDescent="0.25">
      <c r="A16" s="13"/>
      <c r="B16" s="13" t="s">
        <v>55</v>
      </c>
      <c r="C16" s="13" t="s">
        <v>502</v>
      </c>
      <c r="D16" s="13" t="s">
        <v>503</v>
      </c>
      <c r="E16" s="13" t="s">
        <v>504</v>
      </c>
      <c r="F16" s="13" t="s">
        <v>59</v>
      </c>
      <c r="G16" s="14">
        <v>1265</v>
      </c>
      <c r="H16" s="14">
        <v>25</v>
      </c>
      <c r="I16" s="14">
        <f t="shared" si="0"/>
        <v>1240</v>
      </c>
      <c r="J16" s="13" t="s">
        <v>341</v>
      </c>
      <c r="K16" s="13" t="s">
        <v>61</v>
      </c>
      <c r="L16" s="13" t="s">
        <v>342</v>
      </c>
      <c r="M16" s="13"/>
      <c r="N16" s="13"/>
      <c r="O16" s="13"/>
      <c r="P16" s="13"/>
      <c r="Q16" s="13">
        <v>1</v>
      </c>
    </row>
    <row r="17" spans="1:18" hidden="1" x14ac:dyDescent="0.25">
      <c r="A17" s="13"/>
      <c r="B17" s="13" t="s">
        <v>55</v>
      </c>
      <c r="C17" s="13" t="s">
        <v>505</v>
      </c>
      <c r="D17" s="13" t="s">
        <v>506</v>
      </c>
      <c r="E17" s="13" t="s">
        <v>507</v>
      </c>
      <c r="F17" s="14">
        <v>7</v>
      </c>
      <c r="G17" s="14">
        <v>320</v>
      </c>
      <c r="H17" s="14">
        <v>30</v>
      </c>
      <c r="I17" s="14">
        <f t="shared" si="0"/>
        <v>290</v>
      </c>
      <c r="J17" s="13" t="s">
        <v>341</v>
      </c>
      <c r="K17" s="13" t="s">
        <v>61</v>
      </c>
      <c r="L17" s="13" t="s">
        <v>342</v>
      </c>
      <c r="M17" s="13"/>
      <c r="N17" s="13"/>
      <c r="O17" s="13"/>
      <c r="P17" s="13"/>
      <c r="Q17" s="13">
        <v>1</v>
      </c>
    </row>
    <row r="18" spans="1:18" hidden="1" x14ac:dyDescent="0.25">
      <c r="A18" s="13"/>
      <c r="B18" s="13" t="s">
        <v>55</v>
      </c>
      <c r="C18" s="13" t="s">
        <v>508</v>
      </c>
      <c r="D18" s="13" t="s">
        <v>509</v>
      </c>
      <c r="E18" s="13" t="s">
        <v>510</v>
      </c>
      <c r="F18" s="14">
        <v>7</v>
      </c>
      <c r="G18" s="14">
        <v>320</v>
      </c>
      <c r="H18" s="14">
        <v>30</v>
      </c>
      <c r="I18" s="14">
        <f t="shared" si="0"/>
        <v>290</v>
      </c>
      <c r="J18" s="13" t="s">
        <v>341</v>
      </c>
      <c r="K18" s="13" t="s">
        <v>61</v>
      </c>
      <c r="L18" s="13" t="s">
        <v>342</v>
      </c>
      <c r="M18" s="13"/>
      <c r="N18" s="13"/>
      <c r="O18" s="13"/>
      <c r="P18" s="13"/>
      <c r="Q18" s="13">
        <v>1</v>
      </c>
    </row>
    <row r="19" spans="1:18" hidden="1" x14ac:dyDescent="0.25">
      <c r="A19" s="13"/>
      <c r="B19" s="13" t="s">
        <v>55</v>
      </c>
      <c r="C19" s="13" t="s">
        <v>511</v>
      </c>
      <c r="D19" s="13" t="s">
        <v>512</v>
      </c>
      <c r="E19" s="13" t="s">
        <v>513</v>
      </c>
      <c r="F19" s="13" t="s">
        <v>76</v>
      </c>
      <c r="G19" s="14">
        <v>4370</v>
      </c>
      <c r="H19" s="14">
        <v>40</v>
      </c>
      <c r="I19" s="14">
        <f t="shared" si="0"/>
        <v>4330</v>
      </c>
      <c r="J19" s="13" t="s">
        <v>341</v>
      </c>
      <c r="K19" s="13" t="s">
        <v>61</v>
      </c>
      <c r="L19" s="13" t="s">
        <v>342</v>
      </c>
      <c r="M19" s="13"/>
      <c r="N19" s="13"/>
      <c r="O19" s="13"/>
      <c r="P19" s="13"/>
      <c r="Q19" s="13">
        <v>1</v>
      </c>
    </row>
    <row r="20" spans="1:18" hidden="1" x14ac:dyDescent="0.25">
      <c r="A20" s="13"/>
      <c r="B20" s="13" t="s">
        <v>55</v>
      </c>
      <c r="C20" s="13" t="s">
        <v>514</v>
      </c>
      <c r="D20" s="13" t="s">
        <v>515</v>
      </c>
      <c r="E20" s="13" t="s">
        <v>516</v>
      </c>
      <c r="F20" s="14">
        <v>6</v>
      </c>
      <c r="G20" s="14">
        <v>785</v>
      </c>
      <c r="H20" s="14">
        <v>25</v>
      </c>
      <c r="I20" s="14">
        <f t="shared" si="0"/>
        <v>760</v>
      </c>
      <c r="J20" s="13" t="s">
        <v>341</v>
      </c>
      <c r="K20" s="13" t="s">
        <v>61</v>
      </c>
      <c r="L20" s="13" t="s">
        <v>342</v>
      </c>
      <c r="M20" s="13"/>
      <c r="N20" s="13"/>
      <c r="O20" s="13"/>
      <c r="P20" s="13"/>
      <c r="Q20" s="13">
        <v>1</v>
      </c>
    </row>
    <row r="21" spans="1:18" x14ac:dyDescent="0.25">
      <c r="A21" s="13"/>
      <c r="B21" s="13" t="s">
        <v>55</v>
      </c>
      <c r="C21" s="13" t="s">
        <v>517</v>
      </c>
      <c r="D21" s="13" t="s">
        <v>518</v>
      </c>
      <c r="E21" s="13" t="s">
        <v>519</v>
      </c>
      <c r="F21" s="13" t="s">
        <v>106</v>
      </c>
      <c r="G21" s="14">
        <v>2170</v>
      </c>
      <c r="H21" s="14">
        <v>20</v>
      </c>
      <c r="I21" s="14">
        <f t="shared" si="0"/>
        <v>2150</v>
      </c>
      <c r="J21" s="13" t="s">
        <v>61</v>
      </c>
      <c r="K21" s="13" t="s">
        <v>61</v>
      </c>
      <c r="L21" s="13" t="s">
        <v>342</v>
      </c>
      <c r="M21" s="13"/>
      <c r="N21" s="13"/>
      <c r="O21" s="13"/>
      <c r="P21" s="13"/>
      <c r="Q21" s="13">
        <v>1</v>
      </c>
    </row>
    <row r="22" spans="1:18" x14ac:dyDescent="0.25">
      <c r="A22" s="13"/>
      <c r="B22" s="13" t="s">
        <v>55</v>
      </c>
      <c r="C22" s="13" t="s">
        <v>520</v>
      </c>
      <c r="D22" s="13" t="s">
        <v>521</v>
      </c>
      <c r="E22" s="13" t="s">
        <v>522</v>
      </c>
      <c r="F22" s="13" t="s">
        <v>106</v>
      </c>
      <c r="G22" s="14">
        <v>310</v>
      </c>
      <c r="H22" s="14">
        <v>20</v>
      </c>
      <c r="I22" s="14">
        <f t="shared" si="0"/>
        <v>290</v>
      </c>
      <c r="J22" s="13" t="s">
        <v>61</v>
      </c>
      <c r="K22" s="13" t="s">
        <v>61</v>
      </c>
      <c r="L22" s="13" t="s">
        <v>342</v>
      </c>
      <c r="M22" s="13"/>
      <c r="N22" s="13"/>
      <c r="O22" s="13"/>
      <c r="P22" s="13"/>
      <c r="Q22" s="13">
        <v>1</v>
      </c>
    </row>
    <row r="23" spans="1:18" s="18" customFormat="1" x14ac:dyDescent="0.25">
      <c r="A23" s="16"/>
      <c r="B23" s="16" t="s">
        <v>55</v>
      </c>
      <c r="C23" s="16" t="s">
        <v>523</v>
      </c>
      <c r="D23" s="16" t="s">
        <v>524</v>
      </c>
      <c r="E23" s="16" t="s">
        <v>525</v>
      </c>
      <c r="F23" s="16" t="s">
        <v>132</v>
      </c>
      <c r="G23" s="17">
        <v>0</v>
      </c>
      <c r="H23" s="17">
        <v>30</v>
      </c>
      <c r="I23" s="17">
        <f t="shared" si="0"/>
        <v>-30</v>
      </c>
      <c r="J23" s="16" t="s">
        <v>61</v>
      </c>
      <c r="K23" s="16" t="s">
        <v>61</v>
      </c>
      <c r="L23" s="16" t="s">
        <v>342</v>
      </c>
      <c r="M23" s="16" t="s">
        <v>128</v>
      </c>
      <c r="N23" s="16"/>
      <c r="O23" s="16"/>
      <c r="P23" s="16"/>
      <c r="Q23" s="16">
        <v>1</v>
      </c>
      <c r="R23" s="30">
        <f>H23</f>
        <v>30</v>
      </c>
    </row>
    <row r="24" spans="1:18" x14ac:dyDescent="0.25">
      <c r="A24" s="13"/>
      <c r="B24" s="13" t="s">
        <v>55</v>
      </c>
      <c r="C24" s="13" t="s">
        <v>526</v>
      </c>
      <c r="D24" s="13" t="s">
        <v>527</v>
      </c>
      <c r="E24" s="13" t="s">
        <v>528</v>
      </c>
      <c r="F24" s="13" t="s">
        <v>106</v>
      </c>
      <c r="G24" s="14">
        <v>2735</v>
      </c>
      <c r="H24" s="14">
        <v>25</v>
      </c>
      <c r="I24" s="14">
        <f t="shared" si="0"/>
        <v>2710</v>
      </c>
      <c r="J24" s="13" t="s">
        <v>61</v>
      </c>
      <c r="K24" s="13" t="s">
        <v>61</v>
      </c>
      <c r="L24" s="13" t="s">
        <v>342</v>
      </c>
      <c r="M24" s="13"/>
      <c r="N24" s="13"/>
      <c r="O24" s="13"/>
      <c r="P24" s="13"/>
      <c r="Q24" s="13">
        <v>1</v>
      </c>
    </row>
    <row r="25" spans="1:18" x14ac:dyDescent="0.25">
      <c r="A25" s="13"/>
      <c r="B25" s="13" t="s">
        <v>55</v>
      </c>
      <c r="C25" s="13" t="s">
        <v>529</v>
      </c>
      <c r="D25" s="13" t="s">
        <v>530</v>
      </c>
      <c r="E25" s="13" t="s">
        <v>531</v>
      </c>
      <c r="F25" s="14">
        <v>2</v>
      </c>
      <c r="G25" s="14">
        <v>1110</v>
      </c>
      <c r="H25" s="14">
        <v>30</v>
      </c>
      <c r="I25" s="14">
        <f t="shared" si="0"/>
        <v>1080</v>
      </c>
      <c r="J25" s="13" t="s">
        <v>61</v>
      </c>
      <c r="K25" s="13" t="s">
        <v>61</v>
      </c>
      <c r="L25" s="13" t="s">
        <v>342</v>
      </c>
      <c r="M25" s="13"/>
      <c r="N25" s="13"/>
      <c r="O25" s="13"/>
      <c r="P25" s="13"/>
      <c r="Q25" s="13">
        <v>1</v>
      </c>
    </row>
    <row r="26" spans="1:18" x14ac:dyDescent="0.25">
      <c r="A26" s="13"/>
      <c r="B26" s="13" t="s">
        <v>55</v>
      </c>
      <c r="C26" s="13" t="s">
        <v>532</v>
      </c>
      <c r="D26" s="13" t="s">
        <v>533</v>
      </c>
      <c r="E26" s="13" t="s">
        <v>534</v>
      </c>
      <c r="F26" s="13" t="s">
        <v>132</v>
      </c>
      <c r="G26" s="14">
        <v>1870</v>
      </c>
      <c r="H26" s="14">
        <v>30</v>
      </c>
      <c r="I26" s="14">
        <f t="shared" si="0"/>
        <v>1840</v>
      </c>
      <c r="J26" s="13" t="s">
        <v>61</v>
      </c>
      <c r="K26" s="13" t="s">
        <v>61</v>
      </c>
      <c r="L26" s="13" t="s">
        <v>342</v>
      </c>
      <c r="M26" s="13"/>
      <c r="N26" s="13"/>
      <c r="O26" s="13"/>
      <c r="P26" s="13"/>
      <c r="Q26" s="13">
        <v>1</v>
      </c>
    </row>
    <row r="27" spans="1:18" x14ac:dyDescent="0.25">
      <c r="A27" s="13"/>
      <c r="B27" s="13" t="s">
        <v>55</v>
      </c>
      <c r="C27" s="13" t="s">
        <v>535</v>
      </c>
      <c r="D27" s="13" t="s">
        <v>536</v>
      </c>
      <c r="E27" s="13" t="s">
        <v>537</v>
      </c>
      <c r="F27" s="13" t="s">
        <v>96</v>
      </c>
      <c r="G27" s="14">
        <v>1735</v>
      </c>
      <c r="H27" s="14">
        <v>25</v>
      </c>
      <c r="I27" s="14">
        <f t="shared" si="0"/>
        <v>1710</v>
      </c>
      <c r="J27" s="13" t="s">
        <v>61</v>
      </c>
      <c r="K27" s="13" t="s">
        <v>61</v>
      </c>
      <c r="L27" s="13" t="s">
        <v>342</v>
      </c>
      <c r="M27" s="13"/>
      <c r="N27" s="13"/>
      <c r="O27" s="13"/>
      <c r="P27" s="13"/>
      <c r="Q27" s="13">
        <v>1</v>
      </c>
    </row>
    <row r="28" spans="1:18" x14ac:dyDescent="0.25">
      <c r="A28" s="13"/>
      <c r="B28" s="13" t="s">
        <v>55</v>
      </c>
      <c r="C28" s="13" t="s">
        <v>393</v>
      </c>
      <c r="D28" s="13" t="s">
        <v>538</v>
      </c>
      <c r="E28" s="13" t="s">
        <v>539</v>
      </c>
      <c r="F28" s="14">
        <v>2</v>
      </c>
      <c r="G28" s="14">
        <v>1230</v>
      </c>
      <c r="H28" s="14">
        <v>30</v>
      </c>
      <c r="I28" s="14">
        <f t="shared" si="0"/>
        <v>1200</v>
      </c>
      <c r="J28" s="13" t="s">
        <v>61</v>
      </c>
      <c r="K28" s="13" t="s">
        <v>61</v>
      </c>
      <c r="L28" s="13" t="s">
        <v>342</v>
      </c>
      <c r="M28" s="13"/>
      <c r="N28" s="13"/>
      <c r="O28" s="13"/>
      <c r="P28" s="13"/>
      <c r="Q28" s="13">
        <v>1</v>
      </c>
    </row>
    <row r="29" spans="1:18" x14ac:dyDescent="0.25">
      <c r="A29" s="13"/>
      <c r="B29" s="13" t="s">
        <v>55</v>
      </c>
      <c r="C29" s="13" t="s">
        <v>540</v>
      </c>
      <c r="D29" s="13" t="s">
        <v>541</v>
      </c>
      <c r="E29" s="13" t="s">
        <v>542</v>
      </c>
      <c r="F29" s="13" t="s">
        <v>96</v>
      </c>
      <c r="G29" s="14">
        <v>605</v>
      </c>
      <c r="H29" s="14">
        <v>25</v>
      </c>
      <c r="I29" s="14">
        <f t="shared" si="0"/>
        <v>580</v>
      </c>
      <c r="J29" s="13" t="s">
        <v>61</v>
      </c>
      <c r="K29" s="13" t="s">
        <v>61</v>
      </c>
      <c r="L29" s="13" t="s">
        <v>342</v>
      </c>
      <c r="M29" s="13"/>
      <c r="N29" s="13"/>
      <c r="O29" s="13"/>
      <c r="P29" s="13"/>
      <c r="Q29" s="13">
        <v>1</v>
      </c>
    </row>
    <row r="30" spans="1:18" x14ac:dyDescent="0.25">
      <c r="A30" s="13"/>
      <c r="B30" s="13" t="s">
        <v>55</v>
      </c>
      <c r="C30" s="13" t="s">
        <v>543</v>
      </c>
      <c r="D30" s="13" t="s">
        <v>544</v>
      </c>
      <c r="E30" s="13" t="s">
        <v>545</v>
      </c>
      <c r="F30" s="14">
        <v>2</v>
      </c>
      <c r="G30" s="14">
        <v>820</v>
      </c>
      <c r="H30" s="14">
        <v>30</v>
      </c>
      <c r="I30" s="14">
        <f t="shared" si="0"/>
        <v>790</v>
      </c>
      <c r="J30" s="13" t="s">
        <v>61</v>
      </c>
      <c r="K30" s="13" t="s">
        <v>61</v>
      </c>
      <c r="L30" s="13" t="s">
        <v>342</v>
      </c>
      <c r="M30" s="13"/>
      <c r="N30" s="13"/>
      <c r="O30" s="13"/>
      <c r="P30" s="13"/>
      <c r="Q30" s="13">
        <v>1</v>
      </c>
    </row>
    <row r="31" spans="1:18" x14ac:dyDescent="0.25">
      <c r="A31" s="13"/>
      <c r="B31" s="13" t="s">
        <v>55</v>
      </c>
      <c r="C31" s="13" t="s">
        <v>546</v>
      </c>
      <c r="D31" s="13" t="s">
        <v>547</v>
      </c>
      <c r="E31" s="13" t="s">
        <v>548</v>
      </c>
      <c r="F31" s="14">
        <v>2</v>
      </c>
      <c r="G31" s="14">
        <v>470</v>
      </c>
      <c r="H31" s="14">
        <v>30</v>
      </c>
      <c r="I31" s="14">
        <f t="shared" si="0"/>
        <v>440</v>
      </c>
      <c r="J31" s="13" t="s">
        <v>61</v>
      </c>
      <c r="K31" s="13" t="s">
        <v>61</v>
      </c>
      <c r="L31" s="13" t="s">
        <v>342</v>
      </c>
      <c r="M31" s="13"/>
      <c r="N31" s="13"/>
      <c r="O31" s="13"/>
      <c r="P31" s="13"/>
      <c r="Q31" s="13">
        <v>1</v>
      </c>
    </row>
    <row r="32" spans="1:18" x14ac:dyDescent="0.25">
      <c r="A32" s="13"/>
      <c r="B32" s="13" t="s">
        <v>55</v>
      </c>
      <c r="C32" s="13" t="s">
        <v>549</v>
      </c>
      <c r="D32" s="13" t="s">
        <v>550</v>
      </c>
      <c r="E32" s="13" t="s">
        <v>551</v>
      </c>
      <c r="F32" s="13" t="s">
        <v>106</v>
      </c>
      <c r="G32" s="14">
        <v>340</v>
      </c>
      <c r="H32" s="14">
        <v>20</v>
      </c>
      <c r="I32" s="14">
        <f t="shared" si="0"/>
        <v>320</v>
      </c>
      <c r="J32" s="13" t="s">
        <v>61</v>
      </c>
      <c r="K32" s="13" t="s">
        <v>61</v>
      </c>
      <c r="L32" s="13" t="s">
        <v>342</v>
      </c>
      <c r="M32" s="13"/>
      <c r="N32" s="13"/>
      <c r="O32" s="13"/>
      <c r="P32" s="13"/>
      <c r="Q32" s="13">
        <v>1</v>
      </c>
    </row>
    <row r="33" spans="1:17" x14ac:dyDescent="0.25">
      <c r="A33" s="13"/>
      <c r="B33" s="13" t="s">
        <v>55</v>
      </c>
      <c r="C33" s="13" t="s">
        <v>552</v>
      </c>
      <c r="D33" s="13" t="s">
        <v>553</v>
      </c>
      <c r="E33" s="13" t="s">
        <v>554</v>
      </c>
      <c r="F33" s="13" t="s">
        <v>96</v>
      </c>
      <c r="G33" s="14">
        <v>615</v>
      </c>
      <c r="H33" s="14">
        <v>25</v>
      </c>
      <c r="I33" s="14">
        <f t="shared" si="0"/>
        <v>590</v>
      </c>
      <c r="J33" s="13" t="s">
        <v>61</v>
      </c>
      <c r="K33" s="13" t="s">
        <v>61</v>
      </c>
      <c r="L33" s="13" t="s">
        <v>342</v>
      </c>
      <c r="M33" s="13"/>
      <c r="N33" s="13"/>
      <c r="O33" s="13"/>
      <c r="P33" s="13"/>
      <c r="Q33" s="13">
        <v>1</v>
      </c>
    </row>
    <row r="34" spans="1:17" x14ac:dyDescent="0.25">
      <c r="A34" s="13"/>
      <c r="B34" s="13" t="s">
        <v>55</v>
      </c>
      <c r="C34" s="13" t="s">
        <v>555</v>
      </c>
      <c r="D34" s="13" t="s">
        <v>556</v>
      </c>
      <c r="E34" s="13" t="s">
        <v>557</v>
      </c>
      <c r="F34" s="13" t="s">
        <v>96</v>
      </c>
      <c r="G34" s="14">
        <v>455</v>
      </c>
      <c r="H34" s="14">
        <v>25</v>
      </c>
      <c r="I34" s="14">
        <f t="shared" si="0"/>
        <v>430</v>
      </c>
      <c r="J34" s="13" t="s">
        <v>61</v>
      </c>
      <c r="K34" s="13" t="s">
        <v>61</v>
      </c>
      <c r="L34" s="13" t="s">
        <v>342</v>
      </c>
      <c r="M34" s="13"/>
      <c r="N34" s="13"/>
      <c r="O34" s="13"/>
      <c r="P34" s="13"/>
      <c r="Q34" s="13">
        <v>1</v>
      </c>
    </row>
    <row r="35" spans="1:17" x14ac:dyDescent="0.25">
      <c r="A35" s="13"/>
      <c r="B35" s="13" t="s">
        <v>55</v>
      </c>
      <c r="C35" s="13" t="s">
        <v>558</v>
      </c>
      <c r="D35" s="13" t="s">
        <v>559</v>
      </c>
      <c r="E35" s="13" t="s">
        <v>560</v>
      </c>
      <c r="F35" s="13" t="s">
        <v>96</v>
      </c>
      <c r="G35" s="14">
        <v>1045</v>
      </c>
      <c r="H35" s="14">
        <v>25</v>
      </c>
      <c r="I35" s="14">
        <f t="shared" ref="I35:I66" si="1">G35-H35</f>
        <v>1020</v>
      </c>
      <c r="J35" s="13" t="s">
        <v>61</v>
      </c>
      <c r="K35" s="13" t="s">
        <v>61</v>
      </c>
      <c r="L35" s="13" t="s">
        <v>342</v>
      </c>
      <c r="M35" s="13"/>
      <c r="N35" s="13"/>
      <c r="O35" s="13"/>
      <c r="P35" s="13"/>
      <c r="Q35" s="13">
        <v>1</v>
      </c>
    </row>
    <row r="36" spans="1:17" x14ac:dyDescent="0.25">
      <c r="A36" s="13"/>
      <c r="B36" s="13" t="s">
        <v>55</v>
      </c>
      <c r="C36" s="13" t="s">
        <v>561</v>
      </c>
      <c r="D36" s="13" t="s">
        <v>562</v>
      </c>
      <c r="E36" s="13" t="s">
        <v>563</v>
      </c>
      <c r="F36" s="14">
        <v>12</v>
      </c>
      <c r="G36" s="14">
        <v>320</v>
      </c>
      <c r="H36" s="14">
        <v>30</v>
      </c>
      <c r="I36" s="14">
        <f t="shared" si="1"/>
        <v>290</v>
      </c>
      <c r="J36" s="13" t="s">
        <v>61</v>
      </c>
      <c r="K36" s="13" t="s">
        <v>61</v>
      </c>
      <c r="L36" s="13" t="s">
        <v>342</v>
      </c>
      <c r="M36" s="13"/>
      <c r="N36" s="13"/>
      <c r="O36" s="13"/>
      <c r="P36" s="13"/>
      <c r="Q36" s="13">
        <v>1</v>
      </c>
    </row>
    <row r="37" spans="1:17" x14ac:dyDescent="0.25">
      <c r="A37" s="13"/>
      <c r="B37" s="13" t="s">
        <v>55</v>
      </c>
      <c r="C37" s="13" t="s">
        <v>564</v>
      </c>
      <c r="D37" s="13" t="s">
        <v>565</v>
      </c>
      <c r="E37" s="13" t="s">
        <v>566</v>
      </c>
      <c r="F37" s="13" t="s">
        <v>132</v>
      </c>
      <c r="G37" s="14">
        <v>620</v>
      </c>
      <c r="H37" s="14">
        <v>30</v>
      </c>
      <c r="I37" s="14">
        <f t="shared" si="1"/>
        <v>590</v>
      </c>
      <c r="J37" s="13" t="s">
        <v>61</v>
      </c>
      <c r="K37" s="13" t="s">
        <v>61</v>
      </c>
      <c r="L37" s="13" t="s">
        <v>342</v>
      </c>
      <c r="M37" s="13"/>
      <c r="N37" s="13"/>
      <c r="O37" s="13"/>
      <c r="P37" s="13"/>
      <c r="Q37" s="13">
        <v>1</v>
      </c>
    </row>
    <row r="38" spans="1:17" x14ac:dyDescent="0.25">
      <c r="A38" s="13"/>
      <c r="B38" s="13" t="s">
        <v>55</v>
      </c>
      <c r="C38" s="13" t="s">
        <v>567</v>
      </c>
      <c r="D38" s="13" t="s">
        <v>568</v>
      </c>
      <c r="E38" s="13" t="s">
        <v>569</v>
      </c>
      <c r="F38" s="14">
        <v>2</v>
      </c>
      <c r="G38" s="14">
        <v>520</v>
      </c>
      <c r="H38" s="14">
        <v>30</v>
      </c>
      <c r="I38" s="14">
        <f t="shared" si="1"/>
        <v>490</v>
      </c>
      <c r="J38" s="13" t="s">
        <v>61</v>
      </c>
      <c r="K38" s="13" t="s">
        <v>61</v>
      </c>
      <c r="L38" s="13" t="s">
        <v>342</v>
      </c>
      <c r="M38" s="13"/>
      <c r="N38" s="13"/>
      <c r="O38" s="13"/>
      <c r="P38" s="13"/>
      <c r="Q38" s="13">
        <v>1</v>
      </c>
    </row>
    <row r="39" spans="1:17" x14ac:dyDescent="0.25">
      <c r="A39" s="13"/>
      <c r="B39" s="13" t="s">
        <v>55</v>
      </c>
      <c r="C39" s="13" t="s">
        <v>570</v>
      </c>
      <c r="D39" s="13" t="s">
        <v>571</v>
      </c>
      <c r="E39" s="13" t="s">
        <v>572</v>
      </c>
      <c r="F39" s="13" t="s">
        <v>106</v>
      </c>
      <c r="G39" s="14">
        <v>770</v>
      </c>
      <c r="H39" s="14">
        <v>20</v>
      </c>
      <c r="I39" s="14">
        <f t="shared" si="1"/>
        <v>750</v>
      </c>
      <c r="J39" s="13" t="s">
        <v>61</v>
      </c>
      <c r="K39" s="13" t="s">
        <v>61</v>
      </c>
      <c r="L39" s="13" t="s">
        <v>342</v>
      </c>
      <c r="M39" s="13"/>
      <c r="N39" s="13"/>
      <c r="O39" s="13"/>
      <c r="P39" s="13"/>
      <c r="Q39" s="13">
        <v>1</v>
      </c>
    </row>
    <row r="40" spans="1:17" x14ac:dyDescent="0.25">
      <c r="A40" s="13"/>
      <c r="B40" s="13" t="s">
        <v>55</v>
      </c>
      <c r="C40" s="13" t="s">
        <v>573</v>
      </c>
      <c r="D40" s="13" t="s">
        <v>574</v>
      </c>
      <c r="E40" s="13" t="s">
        <v>575</v>
      </c>
      <c r="F40" s="14">
        <v>2</v>
      </c>
      <c r="G40" s="14">
        <v>600</v>
      </c>
      <c r="H40" s="14">
        <v>30</v>
      </c>
      <c r="I40" s="14">
        <f t="shared" si="1"/>
        <v>570</v>
      </c>
      <c r="J40" s="13" t="s">
        <v>61</v>
      </c>
      <c r="K40" s="13" t="s">
        <v>61</v>
      </c>
      <c r="L40" s="13" t="s">
        <v>342</v>
      </c>
      <c r="M40" s="13"/>
      <c r="N40" s="13"/>
      <c r="O40" s="13"/>
      <c r="P40" s="13"/>
      <c r="Q40" s="13">
        <v>1</v>
      </c>
    </row>
    <row r="41" spans="1:17" x14ac:dyDescent="0.25">
      <c r="A41" s="13"/>
      <c r="B41" s="13" t="s">
        <v>55</v>
      </c>
      <c r="C41" s="13" t="s">
        <v>576</v>
      </c>
      <c r="D41" s="13" t="s">
        <v>577</v>
      </c>
      <c r="E41" s="13" t="s">
        <v>578</v>
      </c>
      <c r="F41" s="13" t="s">
        <v>106</v>
      </c>
      <c r="G41" s="14">
        <v>240</v>
      </c>
      <c r="H41" s="14">
        <v>20</v>
      </c>
      <c r="I41" s="14">
        <f t="shared" si="1"/>
        <v>220</v>
      </c>
      <c r="J41" s="13" t="s">
        <v>61</v>
      </c>
      <c r="K41" s="13" t="s">
        <v>61</v>
      </c>
      <c r="L41" s="13" t="s">
        <v>342</v>
      </c>
      <c r="M41" s="13"/>
      <c r="N41" s="13"/>
      <c r="O41" s="13"/>
      <c r="P41" s="13"/>
      <c r="Q41" s="13">
        <v>1</v>
      </c>
    </row>
    <row r="42" spans="1:17" x14ac:dyDescent="0.25">
      <c r="A42" s="13"/>
      <c r="B42" s="13" t="s">
        <v>55</v>
      </c>
      <c r="C42" s="13" t="s">
        <v>579</v>
      </c>
      <c r="D42" s="13" t="s">
        <v>580</v>
      </c>
      <c r="E42" s="13" t="s">
        <v>581</v>
      </c>
      <c r="F42" s="13" t="s">
        <v>132</v>
      </c>
      <c r="G42" s="14">
        <v>1020</v>
      </c>
      <c r="H42" s="14">
        <v>30</v>
      </c>
      <c r="I42" s="14">
        <f t="shared" si="1"/>
        <v>990</v>
      </c>
      <c r="J42" s="13" t="s">
        <v>61</v>
      </c>
      <c r="K42" s="13" t="s">
        <v>61</v>
      </c>
      <c r="L42" s="13" t="s">
        <v>342</v>
      </c>
      <c r="M42" s="13"/>
      <c r="N42" s="13"/>
      <c r="O42" s="13"/>
      <c r="P42" s="13"/>
      <c r="Q42" s="13">
        <v>1</v>
      </c>
    </row>
    <row r="43" spans="1:17" hidden="1" x14ac:dyDescent="0.25">
      <c r="A43" s="13"/>
      <c r="B43" s="13" t="s">
        <v>55</v>
      </c>
      <c r="C43" s="13" t="s">
        <v>582</v>
      </c>
      <c r="D43" s="13" t="s">
        <v>583</v>
      </c>
      <c r="E43" s="13" t="s">
        <v>584</v>
      </c>
      <c r="F43" s="14">
        <v>1</v>
      </c>
      <c r="G43" s="14">
        <v>625</v>
      </c>
      <c r="H43" s="14">
        <v>25</v>
      </c>
      <c r="I43" s="14">
        <f t="shared" si="1"/>
        <v>600</v>
      </c>
      <c r="J43" s="13" t="s">
        <v>147</v>
      </c>
      <c r="K43" s="13" t="s">
        <v>61</v>
      </c>
      <c r="L43" s="13" t="s">
        <v>342</v>
      </c>
      <c r="M43" s="13"/>
      <c r="N43" s="13"/>
      <c r="O43" s="13"/>
      <c r="P43" s="13"/>
      <c r="Q43" s="13">
        <v>1</v>
      </c>
    </row>
    <row r="44" spans="1:17" hidden="1" x14ac:dyDescent="0.25">
      <c r="A44" s="13"/>
      <c r="B44" s="13" t="s">
        <v>55</v>
      </c>
      <c r="C44" s="13" t="s">
        <v>585</v>
      </c>
      <c r="D44" s="13" t="s">
        <v>586</v>
      </c>
      <c r="E44" s="13" t="s">
        <v>587</v>
      </c>
      <c r="F44" s="14">
        <v>1</v>
      </c>
      <c r="G44" s="14">
        <v>853</v>
      </c>
      <c r="H44" s="14">
        <v>25</v>
      </c>
      <c r="I44" s="14">
        <f t="shared" si="1"/>
        <v>828</v>
      </c>
      <c r="J44" s="13" t="s">
        <v>147</v>
      </c>
      <c r="K44" s="13" t="s">
        <v>61</v>
      </c>
      <c r="L44" s="13" t="s">
        <v>342</v>
      </c>
      <c r="M44" s="13"/>
      <c r="N44" s="13"/>
      <c r="O44" s="13"/>
      <c r="P44" s="13"/>
      <c r="Q44" s="13">
        <v>1</v>
      </c>
    </row>
    <row r="45" spans="1:17" hidden="1" x14ac:dyDescent="0.25">
      <c r="A45" s="13"/>
      <c r="B45" s="13" t="s">
        <v>55</v>
      </c>
      <c r="C45" s="13" t="s">
        <v>588</v>
      </c>
      <c r="D45" s="13" t="s">
        <v>589</v>
      </c>
      <c r="E45" s="13" t="s">
        <v>590</v>
      </c>
      <c r="F45" s="13" t="s">
        <v>72</v>
      </c>
      <c r="G45" s="14">
        <v>715</v>
      </c>
      <c r="H45" s="14">
        <v>25</v>
      </c>
      <c r="I45" s="14">
        <f t="shared" si="1"/>
        <v>690</v>
      </c>
      <c r="J45" s="13" t="s">
        <v>147</v>
      </c>
      <c r="K45" s="13" t="s">
        <v>61</v>
      </c>
      <c r="L45" s="13" t="s">
        <v>342</v>
      </c>
      <c r="M45" s="13"/>
      <c r="N45" s="13"/>
      <c r="O45" s="13"/>
      <c r="P45" s="13"/>
      <c r="Q45" s="13">
        <v>1</v>
      </c>
    </row>
    <row r="46" spans="1:17" hidden="1" x14ac:dyDescent="0.25">
      <c r="A46" s="13"/>
      <c r="B46" s="13" t="s">
        <v>55</v>
      </c>
      <c r="C46" s="13" t="s">
        <v>591</v>
      </c>
      <c r="D46" s="13" t="s">
        <v>592</v>
      </c>
      <c r="E46" s="13" t="s">
        <v>593</v>
      </c>
      <c r="F46" s="14">
        <v>1</v>
      </c>
      <c r="G46" s="14">
        <v>395</v>
      </c>
      <c r="H46" s="14">
        <v>25</v>
      </c>
      <c r="I46" s="14">
        <f t="shared" si="1"/>
        <v>370</v>
      </c>
      <c r="J46" s="13" t="s">
        <v>147</v>
      </c>
      <c r="K46" s="13" t="s">
        <v>61</v>
      </c>
      <c r="L46" s="13" t="s">
        <v>342</v>
      </c>
      <c r="M46" s="13"/>
      <c r="N46" s="13"/>
      <c r="O46" s="13"/>
      <c r="P46" s="13"/>
      <c r="Q46" s="13">
        <v>1</v>
      </c>
    </row>
    <row r="47" spans="1:17" hidden="1" x14ac:dyDescent="0.25">
      <c r="A47" s="13"/>
      <c r="B47" s="13" t="s">
        <v>55</v>
      </c>
      <c r="C47" s="13" t="s">
        <v>594</v>
      </c>
      <c r="D47" s="13" t="s">
        <v>595</v>
      </c>
      <c r="E47" s="13" t="s">
        <v>596</v>
      </c>
      <c r="F47" s="14">
        <v>4</v>
      </c>
      <c r="G47" s="14">
        <v>905</v>
      </c>
      <c r="H47" s="14">
        <v>25</v>
      </c>
      <c r="I47" s="14">
        <f t="shared" si="1"/>
        <v>880</v>
      </c>
      <c r="J47" s="13" t="s">
        <v>147</v>
      </c>
      <c r="K47" s="13" t="s">
        <v>61</v>
      </c>
      <c r="L47" s="13" t="s">
        <v>342</v>
      </c>
      <c r="M47" s="13"/>
      <c r="N47" s="13"/>
      <c r="O47" s="13"/>
      <c r="P47" s="13"/>
      <c r="Q47" s="13">
        <v>1</v>
      </c>
    </row>
    <row r="48" spans="1:17" hidden="1" x14ac:dyDescent="0.25">
      <c r="A48" s="13"/>
      <c r="B48" s="13" t="s">
        <v>55</v>
      </c>
      <c r="C48" s="13" t="s">
        <v>597</v>
      </c>
      <c r="D48" s="13" t="s">
        <v>598</v>
      </c>
      <c r="E48" s="13" t="s">
        <v>599</v>
      </c>
      <c r="F48" s="13" t="s">
        <v>59</v>
      </c>
      <c r="G48" s="14">
        <v>675</v>
      </c>
      <c r="H48" s="14">
        <v>25</v>
      </c>
      <c r="I48" s="14">
        <f t="shared" si="1"/>
        <v>650</v>
      </c>
      <c r="J48" s="13" t="s">
        <v>147</v>
      </c>
      <c r="K48" s="13" t="s">
        <v>61</v>
      </c>
      <c r="L48" s="13" t="s">
        <v>342</v>
      </c>
      <c r="M48" s="13"/>
      <c r="N48" s="13"/>
      <c r="O48" s="13"/>
      <c r="P48" s="13"/>
      <c r="Q48" s="13">
        <v>1</v>
      </c>
    </row>
    <row r="49" spans="1:18" hidden="1" x14ac:dyDescent="0.25">
      <c r="A49" s="13"/>
      <c r="B49" s="13" t="s">
        <v>55</v>
      </c>
      <c r="C49" s="13" t="s">
        <v>600</v>
      </c>
      <c r="D49" s="13" t="s">
        <v>601</v>
      </c>
      <c r="E49" s="13" t="s">
        <v>602</v>
      </c>
      <c r="F49" s="13" t="s">
        <v>59</v>
      </c>
      <c r="G49" s="14">
        <v>515</v>
      </c>
      <c r="H49" s="14">
        <v>25</v>
      </c>
      <c r="I49" s="14">
        <f t="shared" si="1"/>
        <v>490</v>
      </c>
      <c r="J49" s="13" t="s">
        <v>147</v>
      </c>
      <c r="K49" s="13" t="s">
        <v>61</v>
      </c>
      <c r="L49" s="13" t="s">
        <v>342</v>
      </c>
      <c r="M49" s="13"/>
      <c r="N49" s="13"/>
      <c r="O49" s="13"/>
      <c r="P49" s="13"/>
      <c r="Q49" s="13">
        <v>1</v>
      </c>
    </row>
    <row r="50" spans="1:18" hidden="1" x14ac:dyDescent="0.25">
      <c r="A50" s="13"/>
      <c r="B50" s="13" t="s">
        <v>55</v>
      </c>
      <c r="C50" s="13" t="s">
        <v>603</v>
      </c>
      <c r="D50" s="13" t="s">
        <v>604</v>
      </c>
      <c r="E50" s="13" t="s">
        <v>605</v>
      </c>
      <c r="F50" s="13" t="s">
        <v>72</v>
      </c>
      <c r="G50" s="14">
        <v>625</v>
      </c>
      <c r="H50" s="14">
        <v>25</v>
      </c>
      <c r="I50" s="14">
        <f t="shared" si="1"/>
        <v>600</v>
      </c>
      <c r="J50" s="13" t="s">
        <v>147</v>
      </c>
      <c r="K50" s="13" t="s">
        <v>61</v>
      </c>
      <c r="L50" s="13" t="s">
        <v>342</v>
      </c>
      <c r="M50" s="13"/>
      <c r="N50" s="13"/>
      <c r="O50" s="13"/>
      <c r="P50" s="13"/>
      <c r="Q50" s="13">
        <v>1</v>
      </c>
    </row>
    <row r="51" spans="1:18" hidden="1" x14ac:dyDescent="0.25">
      <c r="A51" s="13"/>
      <c r="B51" s="13" t="s">
        <v>55</v>
      </c>
      <c r="C51" s="13" t="s">
        <v>606</v>
      </c>
      <c r="D51" s="13" t="s">
        <v>607</v>
      </c>
      <c r="E51" s="13" t="s">
        <v>608</v>
      </c>
      <c r="F51" s="13" t="s">
        <v>72</v>
      </c>
      <c r="G51" s="14">
        <v>245</v>
      </c>
      <c r="H51" s="14">
        <v>25</v>
      </c>
      <c r="I51" s="14">
        <f t="shared" si="1"/>
        <v>220</v>
      </c>
      <c r="J51" s="13" t="s">
        <v>147</v>
      </c>
      <c r="K51" s="13" t="s">
        <v>61</v>
      </c>
      <c r="L51" s="13" t="s">
        <v>342</v>
      </c>
      <c r="M51" s="13"/>
      <c r="N51" s="13"/>
      <c r="O51" s="13"/>
      <c r="P51" s="13"/>
      <c r="Q51" s="13">
        <v>1</v>
      </c>
    </row>
    <row r="52" spans="1:18" hidden="1" x14ac:dyDescent="0.25">
      <c r="A52" s="13"/>
      <c r="B52" s="13" t="s">
        <v>55</v>
      </c>
      <c r="C52" s="13" t="s">
        <v>609</v>
      </c>
      <c r="D52" s="13" t="s">
        <v>610</v>
      </c>
      <c r="E52" s="13" t="s">
        <v>611</v>
      </c>
      <c r="F52" s="13" t="s">
        <v>72</v>
      </c>
      <c r="G52" s="14">
        <v>445</v>
      </c>
      <c r="H52" s="14">
        <v>25</v>
      </c>
      <c r="I52" s="14">
        <f t="shared" si="1"/>
        <v>420</v>
      </c>
      <c r="J52" s="13" t="s">
        <v>147</v>
      </c>
      <c r="K52" s="13" t="s">
        <v>61</v>
      </c>
      <c r="L52" s="13" t="s">
        <v>342</v>
      </c>
      <c r="M52" s="13"/>
      <c r="N52" s="13"/>
      <c r="O52" s="13"/>
      <c r="P52" s="13"/>
      <c r="Q52" s="13">
        <v>1</v>
      </c>
    </row>
    <row r="53" spans="1:18" hidden="1" x14ac:dyDescent="0.25">
      <c r="A53" s="13"/>
      <c r="B53" s="13" t="s">
        <v>55</v>
      </c>
      <c r="C53" s="13" t="s">
        <v>612</v>
      </c>
      <c r="D53" s="13" t="s">
        <v>613</v>
      </c>
      <c r="E53" s="13" t="s">
        <v>614</v>
      </c>
      <c r="F53" s="13" t="s">
        <v>59</v>
      </c>
      <c r="G53" s="14">
        <v>0</v>
      </c>
      <c r="H53" s="14">
        <v>25</v>
      </c>
      <c r="I53" s="14">
        <f t="shared" si="1"/>
        <v>-25</v>
      </c>
      <c r="J53" s="13" t="s">
        <v>147</v>
      </c>
      <c r="K53" s="13" t="s">
        <v>61</v>
      </c>
      <c r="L53" s="13" t="s">
        <v>342</v>
      </c>
      <c r="M53" s="13"/>
      <c r="N53" s="13"/>
      <c r="O53" s="13"/>
      <c r="P53" s="13"/>
      <c r="Q53" s="13">
        <v>1</v>
      </c>
      <c r="R53" s="15">
        <f>H53</f>
        <v>25</v>
      </c>
    </row>
    <row r="54" spans="1:18" hidden="1" x14ac:dyDescent="0.25">
      <c r="A54" s="13"/>
      <c r="B54" s="13" t="s">
        <v>55</v>
      </c>
      <c r="C54" s="13" t="s">
        <v>615</v>
      </c>
      <c r="D54" s="13" t="s">
        <v>616</v>
      </c>
      <c r="E54" s="13" t="s">
        <v>617</v>
      </c>
      <c r="F54" s="13" t="s">
        <v>59</v>
      </c>
      <c r="G54" s="14">
        <v>465</v>
      </c>
      <c r="H54" s="14">
        <v>25</v>
      </c>
      <c r="I54" s="14">
        <f t="shared" si="1"/>
        <v>440</v>
      </c>
      <c r="J54" s="13" t="s">
        <v>147</v>
      </c>
      <c r="K54" s="13" t="s">
        <v>61</v>
      </c>
      <c r="L54" s="13" t="s">
        <v>342</v>
      </c>
      <c r="M54" s="13"/>
      <c r="N54" s="13"/>
      <c r="O54" s="13"/>
      <c r="P54" s="13"/>
      <c r="Q54" s="13">
        <v>1</v>
      </c>
    </row>
    <row r="55" spans="1:18" hidden="1" x14ac:dyDescent="0.25">
      <c r="A55" s="13"/>
      <c r="B55" s="13" t="s">
        <v>55</v>
      </c>
      <c r="C55" s="13" t="s">
        <v>618</v>
      </c>
      <c r="D55" s="13" t="s">
        <v>619</v>
      </c>
      <c r="E55" s="13" t="s">
        <v>620</v>
      </c>
      <c r="F55" s="14">
        <v>5</v>
      </c>
      <c r="G55" s="14">
        <v>415</v>
      </c>
      <c r="H55" s="14">
        <v>25</v>
      </c>
      <c r="I55" s="14">
        <f t="shared" si="1"/>
        <v>390</v>
      </c>
      <c r="J55" s="13" t="s">
        <v>147</v>
      </c>
      <c r="K55" s="13" t="s">
        <v>61</v>
      </c>
      <c r="L55" s="13" t="s">
        <v>342</v>
      </c>
      <c r="M55" s="13"/>
      <c r="N55" s="13"/>
      <c r="O55" s="13"/>
      <c r="P55" s="13"/>
      <c r="Q55" s="13">
        <v>1</v>
      </c>
    </row>
    <row r="56" spans="1:18" hidden="1" x14ac:dyDescent="0.25">
      <c r="A56" s="13"/>
      <c r="B56" s="13" t="s">
        <v>55</v>
      </c>
      <c r="C56" s="13" t="s">
        <v>621</v>
      </c>
      <c r="D56" s="13" t="s">
        <v>622</v>
      </c>
      <c r="E56" s="13" t="s">
        <v>623</v>
      </c>
      <c r="F56" s="14">
        <v>1</v>
      </c>
      <c r="G56" s="14">
        <v>465</v>
      </c>
      <c r="H56" s="14">
        <v>25</v>
      </c>
      <c r="I56" s="14">
        <f t="shared" si="1"/>
        <v>440</v>
      </c>
      <c r="J56" s="13" t="s">
        <v>147</v>
      </c>
      <c r="K56" s="13" t="s">
        <v>61</v>
      </c>
      <c r="L56" s="13" t="s">
        <v>342</v>
      </c>
      <c r="M56" s="13"/>
      <c r="N56" s="13"/>
      <c r="O56" s="13"/>
      <c r="P56" s="13"/>
      <c r="Q56" s="13">
        <v>1</v>
      </c>
    </row>
    <row r="57" spans="1:18" hidden="1" x14ac:dyDescent="0.25">
      <c r="A57" s="13"/>
      <c r="B57" s="13" t="s">
        <v>55</v>
      </c>
      <c r="C57" s="13" t="s">
        <v>624</v>
      </c>
      <c r="D57" s="13" t="s">
        <v>625</v>
      </c>
      <c r="E57" s="13" t="s">
        <v>626</v>
      </c>
      <c r="F57" s="13" t="s">
        <v>146</v>
      </c>
      <c r="G57" s="14">
        <v>510</v>
      </c>
      <c r="H57" s="14">
        <v>20</v>
      </c>
      <c r="I57" s="14">
        <f t="shared" si="1"/>
        <v>490</v>
      </c>
      <c r="J57" s="13" t="s">
        <v>147</v>
      </c>
      <c r="K57" s="13" t="s">
        <v>61</v>
      </c>
      <c r="L57" s="13" t="s">
        <v>342</v>
      </c>
      <c r="M57" s="13"/>
      <c r="N57" s="13"/>
      <c r="O57" s="13"/>
      <c r="P57" s="13"/>
      <c r="Q57" s="13">
        <v>1</v>
      </c>
    </row>
    <row r="58" spans="1:18" hidden="1" x14ac:dyDescent="0.25">
      <c r="A58" s="13"/>
      <c r="B58" s="13" t="s">
        <v>55</v>
      </c>
      <c r="C58" s="13" t="s">
        <v>627</v>
      </c>
      <c r="D58" s="13" t="s">
        <v>628</v>
      </c>
      <c r="E58" s="13" t="s">
        <v>629</v>
      </c>
      <c r="F58" s="14">
        <v>3</v>
      </c>
      <c r="G58" s="14">
        <v>0</v>
      </c>
      <c r="H58" s="14">
        <v>25</v>
      </c>
      <c r="I58" s="14">
        <f t="shared" si="1"/>
        <v>-25</v>
      </c>
      <c r="J58" s="13" t="s">
        <v>147</v>
      </c>
      <c r="K58" s="13" t="s">
        <v>61</v>
      </c>
      <c r="L58" s="13" t="s">
        <v>342</v>
      </c>
      <c r="M58" s="13"/>
      <c r="N58" s="13"/>
      <c r="O58" s="13"/>
      <c r="P58" s="13"/>
      <c r="Q58" s="13">
        <v>1</v>
      </c>
      <c r="R58" s="15">
        <f>H58</f>
        <v>25</v>
      </c>
    </row>
    <row r="59" spans="1:18" hidden="1" x14ac:dyDescent="0.25">
      <c r="A59" s="13"/>
      <c r="B59" s="13" t="s">
        <v>55</v>
      </c>
      <c r="C59" s="13" t="s">
        <v>630</v>
      </c>
      <c r="D59" s="13" t="s">
        <v>631</v>
      </c>
      <c r="E59" s="13" t="s">
        <v>632</v>
      </c>
      <c r="F59" s="13" t="s">
        <v>59</v>
      </c>
      <c r="G59" s="14">
        <v>445</v>
      </c>
      <c r="H59" s="14">
        <v>25</v>
      </c>
      <c r="I59" s="14">
        <f t="shared" si="1"/>
        <v>420</v>
      </c>
      <c r="J59" s="13" t="s">
        <v>147</v>
      </c>
      <c r="K59" s="13" t="s">
        <v>61</v>
      </c>
      <c r="L59" s="13" t="s">
        <v>342</v>
      </c>
      <c r="M59" s="13"/>
      <c r="N59" s="13"/>
      <c r="O59" s="13"/>
      <c r="P59" s="13"/>
      <c r="Q59" s="13">
        <v>1</v>
      </c>
    </row>
    <row r="60" spans="1:18" hidden="1" x14ac:dyDescent="0.25">
      <c r="A60" s="13"/>
      <c r="B60" s="13" t="s">
        <v>55</v>
      </c>
      <c r="C60" s="13" t="s">
        <v>633</v>
      </c>
      <c r="D60" s="13" t="s">
        <v>634</v>
      </c>
      <c r="E60" s="13" t="s">
        <v>635</v>
      </c>
      <c r="F60" s="13" t="s">
        <v>72</v>
      </c>
      <c r="G60" s="14">
        <v>375</v>
      </c>
      <c r="H60" s="14">
        <v>25</v>
      </c>
      <c r="I60" s="14">
        <f t="shared" si="1"/>
        <v>350</v>
      </c>
      <c r="J60" s="13" t="s">
        <v>147</v>
      </c>
      <c r="K60" s="13" t="s">
        <v>61</v>
      </c>
      <c r="L60" s="13" t="s">
        <v>342</v>
      </c>
      <c r="M60" s="13"/>
      <c r="N60" s="13"/>
      <c r="O60" s="13"/>
      <c r="P60" s="13"/>
      <c r="Q60" s="13">
        <v>1</v>
      </c>
    </row>
    <row r="61" spans="1:18" hidden="1" x14ac:dyDescent="0.25">
      <c r="A61" s="13"/>
      <c r="B61" s="13" t="s">
        <v>55</v>
      </c>
      <c r="C61" s="13" t="s">
        <v>636</v>
      </c>
      <c r="D61" s="13" t="s">
        <v>637</v>
      </c>
      <c r="E61" s="13" t="s">
        <v>638</v>
      </c>
      <c r="F61" s="14">
        <v>1</v>
      </c>
      <c r="G61" s="14">
        <v>315</v>
      </c>
      <c r="H61" s="14">
        <v>25</v>
      </c>
      <c r="I61" s="14">
        <f t="shared" si="1"/>
        <v>290</v>
      </c>
      <c r="J61" s="13" t="s">
        <v>147</v>
      </c>
      <c r="K61" s="13" t="s">
        <v>61</v>
      </c>
      <c r="L61" s="13" t="s">
        <v>342</v>
      </c>
      <c r="M61" s="13"/>
      <c r="N61" s="13"/>
      <c r="O61" s="13"/>
      <c r="P61" s="13"/>
      <c r="Q61" s="13">
        <v>1</v>
      </c>
    </row>
    <row r="62" spans="1:18" hidden="1" x14ac:dyDescent="0.25">
      <c r="A62" s="13"/>
      <c r="B62" s="13" t="s">
        <v>55</v>
      </c>
      <c r="C62" s="13" t="s">
        <v>639</v>
      </c>
      <c r="D62" s="13" t="s">
        <v>640</v>
      </c>
      <c r="E62" s="13" t="s">
        <v>641</v>
      </c>
      <c r="F62" s="14">
        <v>1</v>
      </c>
      <c r="G62" s="14">
        <v>855</v>
      </c>
      <c r="H62" s="14">
        <v>25</v>
      </c>
      <c r="I62" s="14">
        <f t="shared" si="1"/>
        <v>830</v>
      </c>
      <c r="J62" s="13" t="s">
        <v>147</v>
      </c>
      <c r="K62" s="13" t="s">
        <v>61</v>
      </c>
      <c r="L62" s="13" t="s">
        <v>342</v>
      </c>
      <c r="M62" s="13"/>
      <c r="N62" s="13"/>
      <c r="O62" s="13"/>
      <c r="P62" s="13"/>
      <c r="Q62" s="13">
        <v>1</v>
      </c>
    </row>
    <row r="64" spans="1:18" x14ac:dyDescent="0.25">
      <c r="D64" s="22">
        <f>COUNTA(D3:D62)</f>
        <v>60</v>
      </c>
      <c r="G64" s="22">
        <f t="shared" ref="G64:Q64" si="2">SUBTOTAL(9,G3:G62)</f>
        <v>19600</v>
      </c>
      <c r="H64" s="22">
        <f t="shared" si="2"/>
        <v>580</v>
      </c>
      <c r="I64" s="22">
        <f t="shared" si="2"/>
        <v>19020</v>
      </c>
      <c r="J64" s="22">
        <f t="shared" si="2"/>
        <v>0</v>
      </c>
      <c r="K64" s="22">
        <f t="shared" si="2"/>
        <v>0</v>
      </c>
      <c r="L64" s="22">
        <f t="shared" si="2"/>
        <v>0</v>
      </c>
      <c r="M64" s="22">
        <f t="shared" si="2"/>
        <v>0</v>
      </c>
      <c r="N64" s="22">
        <f t="shared" si="2"/>
        <v>0</v>
      </c>
      <c r="O64" s="22">
        <f t="shared" si="2"/>
        <v>0</v>
      </c>
      <c r="P64" s="22">
        <f t="shared" si="2"/>
        <v>0</v>
      </c>
      <c r="Q64" s="22">
        <f t="shared" si="2"/>
        <v>22</v>
      </c>
    </row>
    <row r="65" spans="1:16" x14ac:dyDescent="0.25">
      <c r="H65">
        <f>-8*17</f>
        <v>-136</v>
      </c>
    </row>
    <row r="66" spans="1:16" x14ac:dyDescent="0.25">
      <c r="A66" s="22" t="s">
        <v>55</v>
      </c>
      <c r="C66" s="34" t="s">
        <v>186</v>
      </c>
      <c r="D66" s="34"/>
      <c r="E66" s="23" t="s">
        <v>187</v>
      </c>
      <c r="H66">
        <f>-9*25</f>
        <v>-225</v>
      </c>
      <c r="K66" s="24" t="s">
        <v>61</v>
      </c>
      <c r="L66" s="24" t="s">
        <v>188</v>
      </c>
      <c r="M66" s="24" t="s">
        <v>187</v>
      </c>
      <c r="O66" s="23" t="s">
        <v>189</v>
      </c>
    </row>
    <row r="67" spans="1:16" x14ac:dyDescent="0.25">
      <c r="A67" t="s">
        <v>342</v>
      </c>
      <c r="B67" s="25" t="s">
        <v>190</v>
      </c>
      <c r="C67" s="35">
        <f>SUMIFS(I$3:I$62,B$3:B$62,A$66,L$3:L$62,A$67)</f>
        <v>45478</v>
      </c>
      <c r="D67" s="35"/>
      <c r="E67" s="25">
        <f>SUMIFS(Q$3:Q$62,B$3:B$62,A$66,L$3:L$62,A$67)</f>
        <v>60</v>
      </c>
      <c r="F67" t="s">
        <v>191</v>
      </c>
      <c r="H67">
        <f>-1*30</f>
        <v>-30</v>
      </c>
      <c r="K67" t="s">
        <v>192</v>
      </c>
      <c r="L67">
        <f>SUMIFS(G$3:G$62,J$3:J$62,K$66)</f>
        <v>19600</v>
      </c>
      <c r="M67">
        <f>SUMIFS(Q$3:Q$62,J$3:J$62,K$66)-INT(COUNTIFS(J$3:J$62,K$66,M$3:M$62,"*gộp*")/2)</f>
        <v>22</v>
      </c>
      <c r="O67" t="s">
        <v>61</v>
      </c>
      <c r="P67">
        <f>L72</f>
        <v>19010</v>
      </c>
    </row>
    <row r="68" spans="1:16" x14ac:dyDescent="0.25">
      <c r="B68" s="21" t="s">
        <v>194</v>
      </c>
      <c r="C68" s="36">
        <v>0</v>
      </c>
      <c r="D68" s="36"/>
      <c r="K68" t="s">
        <v>195</v>
      </c>
      <c r="L68">
        <f>-SUMIFS(H$3:H$62,J$3:J$62,K$66)+M68*5</f>
        <v>-470</v>
      </c>
      <c r="M68">
        <f>SUMIFS(Q$3:Q$62,J$3:J$62,K$66)-INT(COUNTIFS(J$3:J$62,K$66,M$3:M$62,"*gộp*")/2)</f>
        <v>22</v>
      </c>
      <c r="O68" t="s">
        <v>463</v>
      </c>
      <c r="P68">
        <f>L80</f>
        <v>17259</v>
      </c>
    </row>
    <row r="69" spans="1:16" x14ac:dyDescent="0.25">
      <c r="B69" s="21" t="s">
        <v>196</v>
      </c>
      <c r="C69" s="36">
        <f>-SUMIFS(I$3:I$62,B$3:B$62,A$66,P$3:P$62,"xx",N$3:N$62,"x")</f>
        <v>0</v>
      </c>
      <c r="D69" s="36"/>
      <c r="E69" s="21">
        <f>SUMIFS(Q$3:Q$62,B$3:B$62,A$66,P$3:P$62,"xx",N$3:N$62,"x")</f>
        <v>0</v>
      </c>
      <c r="K69" t="s">
        <v>197</v>
      </c>
      <c r="L69">
        <f>-M69*2</f>
        <v>-120</v>
      </c>
      <c r="M69">
        <f>COUNTIFS(K$3:K$62,K$66,L$3:L$62,A$67)-(COUNTIFS(K$3:K$62,K$66,M$3:M$62,"*gộp*")/2)-COUNTIFS(K$3:K$62,K$66,M$3:M$62,"*đơn trả*")-COUNTIFS(K$3:K$62,K$66,M$3:M$62,"*hàng tỉnh*")</f>
        <v>60</v>
      </c>
      <c r="O69" t="s">
        <v>147</v>
      </c>
      <c r="P69">
        <f>L88</f>
        <v>9448</v>
      </c>
    </row>
    <row r="70" spans="1:16" x14ac:dyDescent="0.25">
      <c r="B70" s="23" t="s">
        <v>198</v>
      </c>
      <c r="C70" s="34">
        <f>SUBTOTAL(9,C67:C69)</f>
        <v>45478</v>
      </c>
      <c r="D70" s="34"/>
      <c r="E70">
        <f>E67</f>
        <v>60</v>
      </c>
      <c r="K70" s="26" t="s">
        <v>183</v>
      </c>
      <c r="O70" t="s">
        <v>199</v>
      </c>
      <c r="P70">
        <f>-C74</f>
        <v>-45478</v>
      </c>
    </row>
    <row r="71" spans="1:16" x14ac:dyDescent="0.25">
      <c r="B71" s="21" t="s">
        <v>200</v>
      </c>
      <c r="C71" s="32"/>
      <c r="D71" s="32"/>
      <c r="K71" s="21" t="s">
        <v>201</v>
      </c>
      <c r="O71" s="23" t="s">
        <v>202</v>
      </c>
      <c r="P71" s="23">
        <f>SUBTOTAL(9,P67:P70)</f>
        <v>239</v>
      </c>
    </row>
    <row r="72" spans="1:16" x14ac:dyDescent="0.25">
      <c r="B72" s="27" t="s">
        <v>203</v>
      </c>
      <c r="C72" s="32"/>
      <c r="D72" s="32"/>
      <c r="L72" s="28">
        <f>SUBTOTAL(9,L67:L71)</f>
        <v>19010</v>
      </c>
      <c r="M72" s="28">
        <f>M67</f>
        <v>22</v>
      </c>
    </row>
    <row r="74" spans="1:16" x14ac:dyDescent="0.25">
      <c r="B74" s="22" t="s">
        <v>204</v>
      </c>
      <c r="C74" s="33">
        <f>C70+C71+C72</f>
        <v>45478</v>
      </c>
      <c r="D74" s="33"/>
      <c r="E74" s="22" t="s">
        <v>205</v>
      </c>
      <c r="K74" s="24" t="s">
        <v>341</v>
      </c>
      <c r="L74" s="24" t="s">
        <v>188</v>
      </c>
      <c r="M74" s="24" t="s">
        <v>187</v>
      </c>
    </row>
    <row r="75" spans="1:16" x14ac:dyDescent="0.25">
      <c r="K75" t="s">
        <v>192</v>
      </c>
      <c r="L75">
        <f>SUMIFS(G$3:G$62,J$3:J$62,K$74)</f>
        <v>17650</v>
      </c>
      <c r="M75">
        <f>SUMIFS(Q$3:Q$62,J$3:J$62,K$74)-INT(COUNTIFS(J$3:J$62,K$74,M$3:M$62,"*gộp*")/2)</f>
        <v>18</v>
      </c>
    </row>
    <row r="76" spans="1:16" x14ac:dyDescent="0.25">
      <c r="K76" t="s">
        <v>195</v>
      </c>
      <c r="L76">
        <f>SUM(H65:H67)</f>
        <v>-391</v>
      </c>
      <c r="M76">
        <f>SUMIFS(Q$3:Q$62,J$3:J$62,K$74)-INT(COUNTIFS(J$3:J$62,K$74,M$3:M$62,"*gộp*")/2)</f>
        <v>18</v>
      </c>
    </row>
    <row r="77" spans="1:16" x14ac:dyDescent="0.25">
      <c r="K77" t="s">
        <v>197</v>
      </c>
      <c r="L77">
        <f>-M77*2</f>
        <v>0</v>
      </c>
      <c r="M77">
        <f>COUNTIFS(K$3:K$62,K$74,L$3:L$62,A$67)-(COUNTIFS(K$3:K$62,K$74,M$3:M$62,"*gộp*")/2)-COUNTIFS(K$3:K$62,K$74,M$3:M$62,"*đơn trả*")-COUNTIFS(K$3:K$62,K$74,M$3:M$62,"*hàng tỉnh*")</f>
        <v>0</v>
      </c>
    </row>
    <row r="78" spans="1:16" x14ac:dyDescent="0.25">
      <c r="K78" s="26" t="s">
        <v>183</v>
      </c>
    </row>
    <row r="79" spans="1:16" x14ac:dyDescent="0.25">
      <c r="K79" s="21" t="s">
        <v>201</v>
      </c>
    </row>
    <row r="80" spans="1:16" x14ac:dyDescent="0.25">
      <c r="L80" s="28">
        <f>SUBTOTAL(9,L75:L79)</f>
        <v>17259</v>
      </c>
      <c r="M80" s="28">
        <f>M75</f>
        <v>18</v>
      </c>
    </row>
    <row r="82" spans="11:13" x14ac:dyDescent="0.25">
      <c r="K82" s="24" t="s">
        <v>147</v>
      </c>
      <c r="L82" s="24" t="s">
        <v>188</v>
      </c>
      <c r="M82" s="24" t="s">
        <v>187</v>
      </c>
    </row>
    <row r="83" spans="11:13" x14ac:dyDescent="0.25">
      <c r="K83" t="s">
        <v>192</v>
      </c>
      <c r="L83">
        <f>SUMIFS(G$3:G$62,J$3:J$62,K$82)</f>
        <v>9843</v>
      </c>
      <c r="M83">
        <f>SUMIFS(Q$3:Q$62,J$3:J$62,K$82)-INT(COUNTIFS(J$3:J$62,K$82,M$3:M$62,"*gộp*")/2)</f>
        <v>20</v>
      </c>
    </row>
    <row r="84" spans="11:13" x14ac:dyDescent="0.25">
      <c r="K84" t="s">
        <v>195</v>
      </c>
      <c r="L84">
        <f>-SUMIFS(H$3:H$62,J$3:J$62,K$82)+M84*5</f>
        <v>-395</v>
      </c>
      <c r="M84">
        <f>SUMIFS(Q$3:Q$62,J$3:J$62,K$82)-INT(COUNTIFS(J$3:J$62,K$82,M$3:M$62,"*gộp*")/2)</f>
        <v>20</v>
      </c>
    </row>
    <row r="85" spans="11:13" x14ac:dyDescent="0.25">
      <c r="K85" t="s">
        <v>197</v>
      </c>
      <c r="L85">
        <f>-M85*2</f>
        <v>0</v>
      </c>
      <c r="M85">
        <f>COUNTIFS(K$3:K$62,K$82,L$3:L$62,A$67)-(COUNTIFS(K$3:K$62,K$82,M$3:M$62,"*gộp*")/2)-COUNTIFS(K$3:K$62,K$82,M$3:M$62,"*đơn trả*")-COUNTIFS(K$3:K$62,K$82,M$3:M$62,"*hàng tỉnh*")</f>
        <v>0</v>
      </c>
    </row>
    <row r="86" spans="11:13" x14ac:dyDescent="0.25">
      <c r="K86" s="26" t="s">
        <v>183</v>
      </c>
    </row>
    <row r="87" spans="11:13" x14ac:dyDescent="0.25">
      <c r="K87" s="21" t="s">
        <v>201</v>
      </c>
    </row>
    <row r="88" spans="11:13" x14ac:dyDescent="0.25">
      <c r="L88" s="28">
        <f>SUBTOTAL(9,L83:L87)</f>
        <v>9448</v>
      </c>
      <c r="M88" s="28">
        <f>M83</f>
        <v>20</v>
      </c>
    </row>
  </sheetData>
  <autoFilter ref="A2:P62" xr:uid="{00000000-0009-0000-0000-000015000000}">
    <filterColumn colId="9">
      <filters>
        <filter val="c.cuong"/>
      </filters>
    </filterColumn>
    <sortState xmlns:xlrd2="http://schemas.microsoft.com/office/spreadsheetml/2017/richdata2" ref="A3:P62">
      <sortCondition ref="J2:J62"/>
    </sortState>
  </autoFilter>
  <mergeCells count="8">
    <mergeCell ref="C72:D72"/>
    <mergeCell ref="C74:D74"/>
    <mergeCell ref="C66:D66"/>
    <mergeCell ref="C67:D67"/>
    <mergeCell ref="C68:D68"/>
    <mergeCell ref="C69:D69"/>
    <mergeCell ref="C70:D70"/>
    <mergeCell ref="C71:D71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</vt:lpstr>
      <vt:lpstr>Sheet4</vt:lpstr>
      <vt:lpstr>Test</vt:lpstr>
      <vt:lpstr>01-08</vt:lpstr>
      <vt:lpstr>03-08</vt:lpstr>
      <vt:lpstr>04-08</vt:lpstr>
      <vt:lpstr>24-08_Morning</vt:lpstr>
      <vt:lpstr>24-08_Night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2026-08-24T17:40:20Z</dcterms:modified>
</cp:coreProperties>
</file>