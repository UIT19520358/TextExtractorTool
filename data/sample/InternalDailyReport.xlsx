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sample\"/>
    </mc:Choice>
  </mc:AlternateContent>
  <xr:revisionPtr revIDLastSave="0" documentId="13_ncr:1_{665D2BEC-C4A9-4625-BEDE-0517E3EF798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01-05" sheetId="7" r:id="rId1"/>
    <sheet name="28-05" sheetId="9" r:id="rId2"/>
    <sheet name="Sheet1" sheetId="19" r:id="rId3"/>
  </sheets>
  <definedNames>
    <definedName name="_xlnm._FilterDatabase" localSheetId="0" hidden="1">'01-05'!$A$2:$P$56</definedName>
    <definedName name="_xlnm._FilterDatabase" localSheetId="1" hidden="1">'28-05'!$A$2:$P$29</definedName>
    <definedName name="_xlnm._FilterDatabase" localSheetId="2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7" l="1"/>
  <c r="I58" i="7" s="1"/>
  <c r="I4" i="7"/>
  <c r="I5" i="7"/>
  <c r="I6" i="7"/>
  <c r="I7" i="7"/>
  <c r="I8" i="7"/>
  <c r="C61" i="7" s="1"/>
  <c r="C64" i="7" s="1"/>
  <c r="C68" i="7" s="1"/>
  <c r="P65" i="7" s="1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J58" i="7"/>
  <c r="K58" i="7"/>
  <c r="L58" i="7"/>
  <c r="M58" i="7"/>
  <c r="N58" i="7"/>
  <c r="O58" i="7"/>
  <c r="P58" i="7"/>
  <c r="Q58" i="7"/>
  <c r="H59" i="7"/>
  <c r="H60" i="7"/>
  <c r="E61" i="7"/>
  <c r="E64" i="7" s="1"/>
  <c r="M79" i="7" s="1"/>
  <c r="L79" i="7" s="1"/>
  <c r="L61" i="7"/>
  <c r="L66" i="7" s="1"/>
  <c r="P61" i="7" s="1"/>
  <c r="M61" i="7"/>
  <c r="L62" i="7"/>
  <c r="M62" i="7"/>
  <c r="C63" i="7"/>
  <c r="E63" i="7"/>
  <c r="M66" i="7"/>
  <c r="L69" i="7"/>
  <c r="L74" i="7" s="1"/>
  <c r="P62" i="7" s="1"/>
  <c r="M69" i="7"/>
  <c r="M74" i="7" s="1"/>
  <c r="L70" i="7"/>
  <c r="M70" i="7"/>
  <c r="L77" i="7"/>
  <c r="M77" i="7"/>
  <c r="M82" i="7" s="1"/>
  <c r="M78" i="7"/>
  <c r="L78" i="7" s="1"/>
  <c r="L85" i="7"/>
  <c r="M85" i="7"/>
  <c r="M86" i="7"/>
  <c r="L86" i="7" s="1"/>
  <c r="M90" i="7"/>
  <c r="D3" i="19" a="1"/>
  <c r="E30" i="19" a="1"/>
  <c r="I3" i="9"/>
  <c r="I4" i="9"/>
  <c r="C34" i="9" s="1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C36" i="9" s="1"/>
  <c r="D31" i="9"/>
  <c r="G31" i="9"/>
  <c r="H31" i="9"/>
  <c r="J31" i="9"/>
  <c r="K31" i="9"/>
  <c r="L31" i="9"/>
  <c r="M31" i="9"/>
  <c r="N31" i="9"/>
  <c r="O31" i="9"/>
  <c r="P31" i="9"/>
  <c r="Q31" i="9"/>
  <c r="H32" i="9"/>
  <c r="L35" i="9" s="1"/>
  <c r="L39" i="9" s="1"/>
  <c r="P34" i="9" s="1"/>
  <c r="E34" i="9"/>
  <c r="L34" i="9"/>
  <c r="M34" i="9"/>
  <c r="M35" i="9"/>
  <c r="E36" i="9"/>
  <c r="E37" i="9"/>
  <c r="M39" i="9"/>
  <c r="L42" i="9"/>
  <c r="M42" i="9"/>
  <c r="M43" i="9"/>
  <c r="L43" i="9" s="1"/>
  <c r="M47" i="9"/>
  <c r="L50" i="9"/>
  <c r="M50" i="9"/>
  <c r="M51" i="9"/>
  <c r="L51" i="9" s="1"/>
  <c r="L55" i="9" s="1"/>
  <c r="P36" i="9" s="1"/>
  <c r="M52" i="9"/>
  <c r="L52" i="9" s="1"/>
  <c r="M55" i="9"/>
  <c r="B4" i="19"/>
  <c r="B7" i="19"/>
  <c r="B10" i="19"/>
  <c r="B13" i="19"/>
  <c r="B16" i="19"/>
  <c r="B19" i="19"/>
  <c r="B22" i="19"/>
  <c r="B25" i="19"/>
  <c r="B28" i="19"/>
  <c r="C25" i="19"/>
  <c r="D19" i="19" a="1"/>
  <c r="C4" i="19"/>
  <c r="C7" i="19"/>
  <c r="C10" i="19"/>
  <c r="C13" i="19"/>
  <c r="C16" i="19"/>
  <c r="C19" i="19"/>
  <c r="C22" i="19"/>
  <c r="C28" i="19"/>
  <c r="D4" i="19" a="1"/>
  <c r="D7" i="19" a="1"/>
  <c r="D10" i="19" a="1"/>
  <c r="D13" i="19" a="1"/>
  <c r="D22" i="19" a="1"/>
  <c r="B8" i="19"/>
  <c r="B14" i="19"/>
  <c r="B20" i="19"/>
  <c r="B26" i="19"/>
  <c r="C14" i="19"/>
  <c r="C23" i="19"/>
  <c r="D14" i="19" a="1"/>
  <c r="D26" i="19" a="1"/>
  <c r="D12" i="19" a="1"/>
  <c r="D27" i="19" a="1"/>
  <c r="B5" i="19"/>
  <c r="B11" i="19"/>
  <c r="B17" i="19"/>
  <c r="B23" i="19"/>
  <c r="C11" i="19"/>
  <c r="C20" i="19"/>
  <c r="D17" i="19" a="1"/>
  <c r="C27" i="19"/>
  <c r="D18" i="19" a="1"/>
  <c r="D25" i="19" a="1"/>
  <c r="C5" i="19"/>
  <c r="C8" i="19"/>
  <c r="C17" i="19"/>
  <c r="C26" i="19"/>
  <c r="D20" i="19" a="1"/>
  <c r="D6" i="19" a="1"/>
  <c r="D21" i="19" a="1"/>
  <c r="D28" i="19" a="1"/>
  <c r="D5" i="19" a="1"/>
  <c r="D8" i="19" a="1"/>
  <c r="D11" i="19" a="1"/>
  <c r="D23" i="19" a="1"/>
  <c r="D9" i="19" a="1"/>
  <c r="D24" i="19" a="1"/>
  <c r="B9" i="19"/>
  <c r="B24" i="19"/>
  <c r="C6" i="19"/>
  <c r="C12" i="19"/>
  <c r="C18" i="19"/>
  <c r="C24" i="19"/>
  <c r="D15" i="19" a="1"/>
  <c r="D16" i="19" a="1"/>
  <c r="B6" i="19"/>
  <c r="B12" i="19"/>
  <c r="B15" i="19"/>
  <c r="B18" i="19"/>
  <c r="B21" i="19"/>
  <c r="B27" i="19"/>
  <c r="C9" i="19"/>
  <c r="C15" i="19"/>
  <c r="C21" i="19"/>
  <c r="D3" i="19"/>
  <c r="C3" i="19"/>
  <c r="D16" i="19" l="1"/>
  <c r="E16" i="19" s="1"/>
  <c r="D15" i="19"/>
  <c r="D24" i="19"/>
  <c r="D9" i="19"/>
  <c r="E9" i="19" s="1"/>
  <c r="D23" i="19"/>
  <c r="D11" i="19"/>
  <c r="D8" i="19"/>
  <c r="E8" i="19" s="1"/>
  <c r="D5" i="19"/>
  <c r="E5" i="19" s="1"/>
  <c r="D28" i="19"/>
  <c r="D21" i="19"/>
  <c r="D6" i="19"/>
  <c r="E6" i="19" s="1"/>
  <c r="D20" i="19"/>
  <c r="E20" i="19" s="1"/>
  <c r="D25" i="19"/>
  <c r="E25" i="19" s="1"/>
  <c r="D18" i="19"/>
  <c r="E18" i="19" s="1"/>
  <c r="D17" i="19"/>
  <c r="D27" i="19"/>
  <c r="D12" i="19"/>
  <c r="D26" i="19"/>
  <c r="D14" i="19"/>
  <c r="D22" i="19"/>
  <c r="D13" i="19"/>
  <c r="D10" i="19"/>
  <c r="E10" i="19" s="1"/>
  <c r="D7" i="19"/>
  <c r="D4" i="19"/>
  <c r="E4" i="19" s="1"/>
  <c r="D19" i="19"/>
  <c r="E19" i="19" s="1"/>
  <c r="E21" i="19"/>
  <c r="E17" i="19"/>
  <c r="E12" i="19"/>
  <c r="E24" i="19"/>
  <c r="E7" i="19"/>
  <c r="E22" i="19"/>
  <c r="E26" i="19"/>
  <c r="E14" i="19"/>
  <c r="E23" i="19"/>
  <c r="E11" i="19"/>
  <c r="E28" i="19"/>
  <c r="E13" i="19"/>
  <c r="E27" i="19"/>
  <c r="E15" i="19"/>
  <c r="C37" i="9"/>
  <c r="C41" i="9" s="1"/>
  <c r="P37" i="9" s="1"/>
  <c r="L82" i="7"/>
  <c r="L47" i="9"/>
  <c r="P35" i="9" s="1"/>
  <c r="P38" i="9" s="1"/>
  <c r="L90" i="7"/>
  <c r="P64" i="7" s="1"/>
  <c r="I31" i="9"/>
  <c r="B3" i="19"/>
  <c r="E30" i="19"/>
  <c r="E3" i="19" l="1"/>
  <c r="E29" i="19"/>
  <c r="E31" i="19" s="1"/>
  <c r="E32" i="19" s="1"/>
  <c r="P63" i="7"/>
  <c r="P66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<sst xmlns="http://schemas.openxmlformats.org/spreadsheetml/2006/main" count="752" uniqueCount="310">
  <si>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</si>
  <si>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</si>
  <si>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</si>
  <si>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</si>
  <si>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</si>
  <si>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</si>
  <si>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</si>
  <si>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</si>
  <si>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</si>
  <si>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</si>
  <si>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</si>
  <si>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</si>
  <si>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</si>
  <si>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</si>
  <si>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</si>
  <si>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</si>
  <si>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</si>
  <si>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</si>
  <si>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</si>
  <si>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</si>
  <si>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</si>
  <si>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</si>
  <si>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</si>
  <si>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</si>
  <si>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</si>
  <si>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</si>
  <si>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</si>
  <si>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</si>
  <si>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</si>
  <si>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</si>
  <si>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</si>
  <si>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</si>
  <si>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</si>
  <si>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</si>
  <si>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</si>
  <si>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</si>
  <si>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</si>
  <si>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</si>
  <si>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</si>
  <si>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</si>
  <si>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</si>
  <si>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</si>
  <si>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</si>
  <si>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</si>
  <si>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</si>
  <si>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</si>
  <si>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</si>
  <si>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</si>
  <si>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</si>
  <si>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</si>
  <si>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</si>
  <si>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</si>
  <si>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</si>
  <si>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</si>
  <si>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</si>
  <si>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</si>
  <si>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</si>
  <si>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</si>
  <si>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</si>
  <si>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</si>
  <si>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</si>
  <si>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</si>
  <si>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</si>
  <si>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</si>
  <si>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</si>
  <si>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</si>
  <si>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</si>
  <si>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</si>
  <si>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</si>
  <si>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</si>
  <si>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</si>
  <si>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</si>
  <si>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</si>
  <si>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</si>
  <si>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</si>
  <si>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</si>
  <si>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</si>
  <si>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</si>
  <si>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</si>
  <si>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</si>
  <si>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</si>
  <si>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</si>
  <si>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</si>
  <si>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</si>
  <si>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</si>
  <si>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</si>
  <si>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</si>
  <si>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</si>
  <si>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</si>
  <si>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</si>
  <si>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</si>
  <si>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</si>
  <si>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</si>
  <si>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</si>
  <si>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</si>
  <si>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</si>
  <si>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</si>
  <si>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</si>
  <si>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</si>
  <si>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</si>
  <si>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</si>
  <si>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</si>
  <si>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</si>
  <si>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</si>
  <si>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</si>
  <si>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</si>
  <si>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</si>
  <si>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</si>
  <si>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</si>
  <si>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</si>
  <si>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</si>
  <si>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</si>
  <si>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</si>
  <si>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</si>
  <si>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</si>
  <si>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</si>
  <si>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</si>
  <si>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</si>
  <si>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</si>
  <si>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</si>
  <si>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</si>
  <si>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</si>
  <si>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</si>
  <si>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</si>
  <si>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</si>
  <si>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</si>
  <si>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</si>
  <si>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</si>
  <si>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</si>
  <si>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</si>
  <si>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</si>
  <si>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</si>
  <si>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</si>
  <si>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</si>
  <si>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</si>
  <si>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</si>
  <si>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</si>
  <si>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</si>
  <si>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</si>
  <si>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</si>
  <si>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</si>
  <si>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</si>
  <si>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</si>
  <si>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</si>
  <si>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</si>
  <si>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</si>
  <si>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</si>
  <si>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</si>
  <si>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</si>
  <si>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</si>
  <si>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</si>
  <si>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</si>
  <si>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</si>
  <si>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</si>
  <si>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</si>
  <si>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</si>
  <si>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</si>
  <si>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</si>
  <si>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</si>
  <si>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</si>
  <si>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</si>
  <si>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</si>
  <si>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</si>
  <si>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</si>
  <si>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</si>
  <si>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</si>
  <si>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</si>
  <si>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</si>
  <si>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</si>
  <si>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</si>
  <si>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</si>
  <si>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</si>
  <si>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</si>
  <si>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</si>
  <si>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</si>
  <si>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</si>
  <si>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</si>
  <si>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</si>
  <si>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</si>
  <si>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</si>
  <si>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</si>
  <si>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</si>
  <si>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</si>
  <si>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</si>
  <si>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</si>
  <si>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</si>
  <si>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</si>
  <si>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</si>
  <si>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</si>
  <si>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</si>
  <si>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</si>
  <si>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</si>
  <si>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</si>
  <si>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</si>
  <si>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</si>
  <si>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</si>
  <si>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</si>
  <si>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</si>
  <si>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</si>
  <si>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</si>
  <si>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</si>
  <si>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</si>
  <si>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</si>
  <si>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</si>
  <si>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</si>
  <si>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</si>
  <si>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</si>
  <si>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</si>
  <si>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</si>
  <si>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</si>
  <si>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</si>
  <si>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</si>
  <si>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</si>
  <si>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</si>
  <si>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</si>
  <si>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</si>
  <si>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</si>
  <si>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</si>
  <si>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</si>
  <si>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</si>
  <si>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</si>
  <si>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</si>
  <si>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_col17</t>
  </si>
  <si>
    <t>Uyên Trần</t>
  </si>
  <si>
    <t>HD024168</t>
  </si>
  <si>
    <t>137/84D âu dương lân - p2</t>
  </si>
  <si>
    <t>AT 28-05</t>
  </si>
  <si>
    <t>28-05-2026</t>
  </si>
  <si>
    <t>Thanh Vy</t>
  </si>
  <si>
    <t>HD024163</t>
  </si>
  <si>
    <t>20B Trần Văn Quang, Phường Bảy Hiền</t>
  </si>
  <si>
    <t>Thảo My</t>
  </si>
  <si>
    <t>HD024170</t>
  </si>
  <si>
    <t>91/12 nguyễn thanh tuyền p1</t>
  </si>
  <si>
    <t>khả trinh</t>
  </si>
  <si>
    <t>HD024033</t>
  </si>
  <si>
    <t>82/17/20đinh tiên hoàng p1</t>
  </si>
  <si>
    <t>Kelly Phan</t>
  </si>
  <si>
    <t>HD024129</t>
  </si>
  <si>
    <t>240/6A lê thánh tôn phường bến thành</t>
  </si>
  <si>
    <t>Tuệ Nhi</t>
  </si>
  <si>
    <t>HD024045</t>
  </si>
  <si>
    <t>92-94 nam kỳ khởi nghĩa- bến nghé</t>
  </si>
  <si>
    <t>Thương</t>
  </si>
  <si>
    <t>HD024006</t>
  </si>
  <si>
    <t>24 Lê Thánh Tôn (BIDV), P.Bến Nghé</t>
  </si>
  <si>
    <t>Thủy Heri</t>
  </si>
  <si>
    <t>HD024145</t>
  </si>
  <si>
    <t>184/17/35 bãi sậy phường bình tiên</t>
  </si>
  <si>
    <t>Linh fb Phan Thị Tuyết Nhung</t>
  </si>
  <si>
    <t>HD023982</t>
  </si>
  <si>
    <t>201 Đường Hoàng Hoa Thám, Phường 13</t>
  </si>
  <si>
    <t>Nguyễn Châu Tuệ Lâm</t>
  </si>
  <si>
    <t>HD024027</t>
  </si>
  <si>
    <t>74/1h ds9 linh trung</t>
  </si>
  <si>
    <t>Ngân</t>
  </si>
  <si>
    <t>HD023968</t>
  </si>
  <si>
    <t>Toà A2 Alnata diamond đường N1 Tân Sơn Nhì</t>
  </si>
  <si>
    <t>W24130 Miki (Chou)</t>
  </si>
  <si>
    <t>HD024142</t>
  </si>
  <si>
    <t>624 Lê thị riêng, thới an</t>
  </si>
  <si>
    <t>Nguyễn Trinh</t>
  </si>
  <si>
    <t>HD024157</t>
  </si>
  <si>
    <t>29/10c trần thái tông</t>
  </si>
  <si>
    <t>Phương Anna</t>
  </si>
  <si>
    <t>HD023918</t>
  </si>
  <si>
    <t>258/77/2 dương bá trạc, P2</t>
  </si>
  <si>
    <t>Minh Thư nhận hộ ( water) fb Thuỷ Vũ</t>
  </si>
  <si>
    <t>HD024179</t>
  </si>
  <si>
    <t>22, TÂN THỚI NHẤT 1B, Phường Tân Thới Nhất</t>
  </si>
  <si>
    <t>Tất Phú</t>
  </si>
  <si>
    <t>HD023941</t>
  </si>
  <si>
    <t>Bệnh viện Nhi đồng 1: 532 Lý Thái Tổ, P10</t>
  </si>
  <si>
    <t>Nguyễn Hà</t>
  </si>
  <si>
    <t>HD023972</t>
  </si>
  <si>
    <t>433/11, Lê Đức Thọ, Phường 17</t>
  </si>
  <si>
    <t>chị hương fb Kim Tien Pham</t>
  </si>
  <si>
    <t>HD24001</t>
  </si>
  <si>
    <t>328 đường số 8 thông tây hội</t>
  </si>
  <si>
    <t>Trần Lan</t>
  </si>
  <si>
    <t>HD024017</t>
  </si>
  <si>
    <t>190 võ văn ngân</t>
  </si>
  <si>
    <t>Cô Kiều Hương fb Vân Trần</t>
  </si>
  <si>
    <t>HD023954</t>
  </si>
  <si>
    <t>168A Trần Huy Liệu Phường 15</t>
  </si>
  <si>
    <t>phu nhuan</t>
  </si>
  <si>
    <t>Linh Anh</t>
  </si>
  <si>
    <t>HD023966</t>
  </si>
  <si>
    <t>12 nguyễn công trứ, thái bình</t>
  </si>
  <si>
    <t>phạm minh phi_F3: Theer To Lao</t>
  </si>
  <si>
    <t>HD024093</t>
  </si>
  <si>
    <t>33 đường số 6 p26</t>
  </si>
  <si>
    <t>Diễm Phúc</t>
  </si>
  <si>
    <t>HD024175</t>
  </si>
  <si>
    <t>314/138 đường âu dương lân, p3</t>
  </si>
  <si>
    <t>Đậu Đậu</t>
  </si>
  <si>
    <t>HD024181</t>
  </si>
  <si>
    <t>106/4 phan van tri phường 12</t>
  </si>
  <si>
    <t>HD024164</t>
  </si>
  <si>
    <t>Toà Aster - Urbun Green (đối diện Vạn Phúc)</t>
  </si>
  <si>
    <t>Linh Nga Anna</t>
  </si>
  <si>
    <t>Zy Ka</t>
  </si>
  <si>
    <t>HD023410</t>
  </si>
  <si>
    <t>9 nguyễn trường tộ, p12</t>
  </si>
  <si>
    <t>luu tra</t>
  </si>
  <si>
    <t>25-05-2026</t>
  </si>
  <si>
    <t>x</t>
  </si>
  <si>
    <t>xx</t>
  </si>
  <si>
    <t>at 28-05</t>
  </si>
  <si>
    <t>1 đơn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</si>
</sst>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6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28">
    <xf numFmtId="0" fontId="0" fillId="0" borderId="0" xfId="0"/>
    <xf numFmtId="0" fontId="4" fillId="5" borderId="0" xfId="0" applyFont="1" applyFill="1"/>
    <xf numFmtId="0" fontId="0" fillId="0" borderId="0" xfId="0"/>
    <xf numFmtId="0" fontId="5" fillId="0" borderId="0" xfId="0" applyFont="1"/>
    <xf numFmtId="0" fontId="0" fillId="5" borderId="0" xfId="0" applyFill="1"/>
    <xf numFmtId="0" fontId="4" fillId="0" borderId="0" xfId="0" applyFont="1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4" fillId="4" borderId="0" xfId="0" applyFont="1" applyFill="1"/>
    <xf numFmtId="0" fontId="5" fillId="0" borderId="0" xfId="0" applyFont="1" applyAlignment="1">
      <alignment horizontal="left"/>
    </xf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3" workbookViewId="0">
      <selection activeCell="E70" sqref="E70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18</v>
      </c>
      <c r="D3" s="20"/>
      <c r="E3" s="20" t="s">
        <v>19</v>
      </c>
      <c r="F3" s="21">
        <v>9</v>
      </c>
      <c r="G3" s="21">
        <v>895</v>
      </c>
      <c r="H3" s="21">
        <v>35</v>
      </c>
      <c r="I3" s="21">
        <f t="shared" ref="I3:I8" si="0">G3-H3</f>
        <v>860</v>
      </c>
      <c r="J3" s="20" t="s">
        <v>20</v>
      </c>
      <c r="K3" s="20" t="s">
        <v>21</v>
      </c>
      <c r="L3" s="20" t="s">
        <v>22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23</v>
      </c>
      <c r="D4" s="20" t="s">
        <v>24</v>
      </c>
      <c r="E4" s="20" t="s">
        <v>25</v>
      </c>
      <c r="F4" s="20" t="s">
        <v>26</v>
      </c>
      <c r="G4" s="21">
        <v>920</v>
      </c>
      <c r="H4" s="21">
        <v>30</v>
      </c>
      <c r="I4" s="21">
        <f t="shared" si="0"/>
        <v>890</v>
      </c>
      <c r="J4" s="20" t="s">
        <v>27</v>
      </c>
      <c r="K4" s="20" t="s">
        <v>21</v>
      </c>
      <c r="L4" s="20" t="s">
        <v>22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28</v>
      </c>
      <c r="D5" s="20" t="s">
        <v>29</v>
      </c>
      <c r="E5" s="20" t="s">
        <v>30</v>
      </c>
      <c r="F5" s="21">
        <v>12</v>
      </c>
      <c r="G5" s="21">
        <v>890</v>
      </c>
      <c r="H5" s="21">
        <v>30</v>
      </c>
      <c r="I5" s="21">
        <f t="shared" si="0"/>
        <v>860</v>
      </c>
      <c r="J5" s="20" t="s">
        <v>27</v>
      </c>
      <c r="K5" s="20" t="s">
        <v>21</v>
      </c>
      <c r="L5" s="20" t="s">
        <v>22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31</v>
      </c>
      <c r="D6" s="20" t="s">
        <v>32</v>
      </c>
      <c r="E6" s="20" t="s">
        <v>33</v>
      </c>
      <c r="F6" s="21">
        <v>12</v>
      </c>
      <c r="G6" s="21">
        <v>380</v>
      </c>
      <c r="H6" s="21">
        <v>30</v>
      </c>
      <c r="I6" s="21">
        <f t="shared" si="0"/>
        <v>350</v>
      </c>
      <c r="J6" s="20" t="s">
        <v>27</v>
      </c>
      <c r="K6" s="20" t="s">
        <v>21</v>
      </c>
      <c r="L6" s="20" t="s">
        <v>22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34</v>
      </c>
      <c r="D7" s="20" t="s">
        <v>35</v>
      </c>
      <c r="E7" s="20" t="s">
        <v>36</v>
      </c>
      <c r="F7" s="21">
        <v>8</v>
      </c>
      <c r="G7" s="21">
        <v>500</v>
      </c>
      <c r="H7" s="21">
        <v>30</v>
      </c>
      <c r="I7" s="21">
        <f t="shared" si="0"/>
        <v>470</v>
      </c>
      <c r="J7" s="20" t="s">
        <v>27</v>
      </c>
      <c r="K7" s="20" t="s">
        <v>21</v>
      </c>
      <c r="L7" s="20" t="s">
        <v>22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37</v>
      </c>
      <c r="D8" s="20" t="s">
        <v>38</v>
      </c>
      <c r="E8" s="20" t="s">
        <v>39</v>
      </c>
      <c r="F8" s="21">
        <v>8</v>
      </c>
      <c r="G8" s="21">
        <v>890</v>
      </c>
      <c r="H8" s="21">
        <v>30</v>
      </c>
      <c r="I8" s="21">
        <f t="shared" si="0"/>
        <v>860</v>
      </c>
      <c r="J8" s="20" t="s">
        <v>27</v>
      </c>
      <c r="K8" s="20" t="s">
        <v>21</v>
      </c>
      <c r="L8" s="20" t="s">
        <v>22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40</v>
      </c>
      <c r="D9" s="20" t="s">
        <v>41</v>
      </c>
      <c r="E9" s="20" t="s">
        <v>42</v>
      </c>
      <c r="F9" s="21">
        <v>12</v>
      </c>
      <c r="G9" s="21">
        <v>0</v>
      </c>
      <c r="H9" s="21">
        <v>30</v>
      </c>
      <c r="I9" s="21">
        <f>-H9</f>
        <v>-30</v>
      </c>
      <c r="J9" s="20" t="s">
        <v>27</v>
      </c>
      <c r="K9" s="20" t="s">
        <v>21</v>
      </c>
      <c r="L9" s="20" t="s">
        <v>22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43</v>
      </c>
      <c r="D10" s="20" t="s">
        <v>44</v>
      </c>
      <c r="E10" s="20" t="s">
        <v>45</v>
      </c>
      <c r="F10" s="20" t="s">
        <v>46</v>
      </c>
      <c r="G10" s="21">
        <v>785</v>
      </c>
      <c r="H10" s="21">
        <v>25</v>
      </c>
      <c r="I10" s="21">
        <f t="shared" ref="I10:I15" si="1">G10-H10</f>
        <v>760</v>
      </c>
      <c r="J10" s="20" t="s">
        <v>27</v>
      </c>
      <c r="K10" s="20" t="s">
        <v>21</v>
      </c>
      <c r="L10" s="20" t="s">
        <v>22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47</v>
      </c>
      <c r="D11" s="20" t="s">
        <v>48</v>
      </c>
      <c r="E11" s="20" t="s">
        <v>49</v>
      </c>
      <c r="F11" s="20" t="s">
        <v>26</v>
      </c>
      <c r="G11" s="21">
        <v>720</v>
      </c>
      <c r="H11" s="21">
        <v>30</v>
      </c>
      <c r="I11" s="21">
        <f t="shared" si="1"/>
        <v>690</v>
      </c>
      <c r="J11" s="20" t="s">
        <v>27</v>
      </c>
      <c r="K11" s="20" t="s">
        <v>21</v>
      </c>
      <c r="L11" s="20" t="s">
        <v>22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50</v>
      </c>
      <c r="D12" s="20" t="s">
        <v>51</v>
      </c>
      <c r="E12" s="20" t="s">
        <v>52</v>
      </c>
      <c r="F12" s="21">
        <v>8</v>
      </c>
      <c r="G12" s="21">
        <v>780</v>
      </c>
      <c r="H12" s="21">
        <v>30</v>
      </c>
      <c r="I12" s="21">
        <f t="shared" si="1"/>
        <v>750</v>
      </c>
      <c r="J12" s="20" t="s">
        <v>27</v>
      </c>
      <c r="K12" s="20" t="s">
        <v>21</v>
      </c>
      <c r="L12" s="20" t="s">
        <v>22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53</v>
      </c>
      <c r="D13" s="20" t="s">
        <v>54</v>
      </c>
      <c r="E13" s="20" t="s">
        <v>55</v>
      </c>
      <c r="F13" s="20" t="s">
        <v>26</v>
      </c>
      <c r="G13" s="21">
        <v>670</v>
      </c>
      <c r="H13" s="21">
        <v>30</v>
      </c>
      <c r="I13" s="21">
        <f t="shared" si="1"/>
        <v>640</v>
      </c>
      <c r="J13" s="20" t="s">
        <v>27</v>
      </c>
      <c r="K13" s="20" t="s">
        <v>21</v>
      </c>
      <c r="L13" s="20" t="s">
        <v>22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56</v>
      </c>
      <c r="D14" s="20" t="s">
        <v>57</v>
      </c>
      <c r="E14" s="20" t="s">
        <v>58</v>
      </c>
      <c r="F14" s="21">
        <v>6</v>
      </c>
      <c r="G14" s="21">
        <v>1445</v>
      </c>
      <c r="H14" s="21">
        <v>25</v>
      </c>
      <c r="I14" s="21">
        <f t="shared" si="1"/>
        <v>1420</v>
      </c>
      <c r="J14" s="20" t="s">
        <v>27</v>
      </c>
      <c r="K14" s="20" t="s">
        <v>21</v>
      </c>
      <c r="L14" s="20" t="s">
        <v>22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59</v>
      </c>
      <c r="D15" s="20" t="s">
        <v>60</v>
      </c>
      <c r="E15" s="20" t="s">
        <v>61</v>
      </c>
      <c r="F15" s="21">
        <v>9</v>
      </c>
      <c r="G15" s="21">
        <v>780</v>
      </c>
      <c r="H15" s="21">
        <v>30</v>
      </c>
      <c r="I15" s="21">
        <f t="shared" si="1"/>
        <v>750</v>
      </c>
      <c r="J15" s="20" t="s">
        <v>27</v>
      </c>
      <c r="K15" s="20" t="s">
        <v>21</v>
      </c>
      <c r="L15" s="20" t="s">
        <v>22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62</v>
      </c>
      <c r="D16" s="20" t="s">
        <v>63</v>
      </c>
      <c r="E16" s="20" t="s">
        <v>64</v>
      </c>
      <c r="F16" s="20" t="s">
        <v>26</v>
      </c>
      <c r="G16" s="21">
        <v>0</v>
      </c>
      <c r="H16" s="21">
        <v>30</v>
      </c>
      <c r="I16" s="21">
        <f>-H16</f>
        <v>-30</v>
      </c>
      <c r="J16" s="20" t="s">
        <v>27</v>
      </c>
      <c r="K16" s="20" t="s">
        <v>21</v>
      </c>
      <c r="L16" s="20" t="s">
        <v>22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65</v>
      </c>
      <c r="D17" s="20" t="s">
        <v>66</v>
      </c>
      <c r="E17" s="20" t="s">
        <v>67</v>
      </c>
      <c r="F17" s="21">
        <v>12</v>
      </c>
      <c r="G17" s="21">
        <v>690</v>
      </c>
      <c r="H17" s="21">
        <v>30</v>
      </c>
      <c r="I17" s="21">
        <f>G17-H17</f>
        <v>660</v>
      </c>
      <c r="J17" s="20" t="s">
        <v>27</v>
      </c>
      <c r="K17" s="20" t="s">
        <v>21</v>
      </c>
      <c r="L17" s="20" t="s">
        <v>22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68</v>
      </c>
      <c r="D18" s="20" t="s">
        <v>69</v>
      </c>
      <c r="E18" s="20" t="s">
        <v>70</v>
      </c>
      <c r="F18" s="21">
        <v>2</v>
      </c>
      <c r="G18" s="21">
        <v>820</v>
      </c>
      <c r="H18" s="21">
        <v>30</v>
      </c>
      <c r="I18" s="21">
        <f>G18-H18</f>
        <v>790</v>
      </c>
      <c r="J18" s="20" t="s">
        <v>21</v>
      </c>
      <c r="K18" s="20" t="s">
        <v>21</v>
      </c>
      <c r="L18" s="20" t="s">
        <v>22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71</v>
      </c>
      <c r="D19" s="20" t="s">
        <v>72</v>
      </c>
      <c r="E19" s="20" t="s">
        <v>73</v>
      </c>
      <c r="F19" s="21">
        <v>12</v>
      </c>
      <c r="G19" s="21">
        <v>0</v>
      </c>
      <c r="H19" s="21">
        <v>30</v>
      </c>
      <c r="I19" s="21">
        <f>-H19</f>
        <v>-30</v>
      </c>
      <c r="J19" s="20" t="s">
        <v>21</v>
      </c>
      <c r="K19" s="20" t="s">
        <v>21</v>
      </c>
      <c r="L19" s="20" t="s">
        <v>22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74</v>
      </c>
      <c r="D20" s="20" t="s">
        <v>75</v>
      </c>
      <c r="E20" s="20" t="s">
        <v>76</v>
      </c>
      <c r="F20" s="20" t="s">
        <v>77</v>
      </c>
      <c r="G20" s="21">
        <v>0</v>
      </c>
      <c r="H20" s="21">
        <v>40</v>
      </c>
      <c r="I20" s="21">
        <f>-H20</f>
        <v>-40</v>
      </c>
      <c r="J20" s="20" t="s">
        <v>21</v>
      </c>
      <c r="K20" s="20" t="s">
        <v>21</v>
      </c>
      <c r="L20" s="20" t="s">
        <v>22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78</v>
      </c>
      <c r="D21" s="20" t="s">
        <v>79</v>
      </c>
      <c r="E21" s="20" t="s">
        <v>80</v>
      </c>
      <c r="F21" s="20" t="s">
        <v>81</v>
      </c>
      <c r="G21" s="21">
        <v>690</v>
      </c>
      <c r="H21" s="21">
        <v>30</v>
      </c>
      <c r="I21" s="21">
        <f>G21-H21</f>
        <v>660</v>
      </c>
      <c r="J21" s="20" t="s">
        <v>21</v>
      </c>
      <c r="K21" s="20" t="s">
        <v>21</v>
      </c>
      <c r="L21" s="20" t="s">
        <v>22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82</v>
      </c>
      <c r="D22" s="20" t="s">
        <v>83</v>
      </c>
      <c r="E22" s="20" t="s">
        <v>84</v>
      </c>
      <c r="F22" s="20" t="s">
        <v>85</v>
      </c>
      <c r="G22" s="21">
        <v>660</v>
      </c>
      <c r="H22" s="21">
        <v>20</v>
      </c>
      <c r="I22" s="21">
        <f>G22-H22</f>
        <v>640</v>
      </c>
      <c r="J22" s="20" t="s">
        <v>21</v>
      </c>
      <c r="K22" s="20" t="s">
        <v>21</v>
      </c>
      <c r="L22" s="20" t="s">
        <v>22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86</v>
      </c>
      <c r="D23" s="20" t="s">
        <v>87</v>
      </c>
      <c r="E23" s="20" t="s">
        <v>88</v>
      </c>
      <c r="F23" s="20" t="s">
        <v>77</v>
      </c>
      <c r="G23" s="21">
        <v>375</v>
      </c>
      <c r="H23" s="21">
        <v>25</v>
      </c>
      <c r="I23" s="21">
        <f>G23-H23</f>
        <v>350</v>
      </c>
      <c r="J23" s="20" t="s">
        <v>21</v>
      </c>
      <c r="K23" s="20" t="s">
        <v>21</v>
      </c>
      <c r="L23" s="20" t="s">
        <v>22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89</v>
      </c>
      <c r="D24" s="20" t="s">
        <v>90</v>
      </c>
      <c r="E24" s="20" t="s">
        <v>91</v>
      </c>
      <c r="F24" s="20" t="s">
        <v>77</v>
      </c>
      <c r="G24" s="21">
        <v>0</v>
      </c>
      <c r="H24" s="21">
        <v>25</v>
      </c>
      <c r="I24" s="21">
        <f>-H24</f>
        <v>-25</v>
      </c>
      <c r="J24" s="20" t="s">
        <v>21</v>
      </c>
      <c r="K24" s="20" t="s">
        <v>21</v>
      </c>
      <c r="L24" s="20" t="s">
        <v>22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92</v>
      </c>
      <c r="D25" s="20" t="s">
        <v>93</v>
      </c>
      <c r="E25" s="20" t="s">
        <v>94</v>
      </c>
      <c r="F25" s="20" t="s">
        <v>95</v>
      </c>
      <c r="G25" s="21">
        <v>725</v>
      </c>
      <c r="H25" s="21">
        <v>25</v>
      </c>
      <c r="I25" s="21">
        <f>G25-H25</f>
        <v>700</v>
      </c>
      <c r="J25" s="20" t="s">
        <v>21</v>
      </c>
      <c r="K25" s="20" t="s">
        <v>21</v>
      </c>
      <c r="L25" s="20" t="s">
        <v>22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96</v>
      </c>
      <c r="D26" s="20" t="s">
        <v>97</v>
      </c>
      <c r="E26" s="20" t="s">
        <v>98</v>
      </c>
      <c r="F26" s="20" t="s">
        <v>77</v>
      </c>
      <c r="G26" s="21">
        <v>0</v>
      </c>
      <c r="H26" s="21">
        <v>25</v>
      </c>
      <c r="I26" s="21">
        <f>-H26</f>
        <v>-25</v>
      </c>
      <c r="J26" s="20" t="s">
        <v>21</v>
      </c>
      <c r="K26" s="20" t="s">
        <v>21</v>
      </c>
      <c r="L26" s="20" t="s">
        <v>22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99</v>
      </c>
      <c r="D27" s="20" t="s">
        <v>100</v>
      </c>
      <c r="E27" s="20" t="s">
        <v>101</v>
      </c>
      <c r="F27" s="20" t="s">
        <v>77</v>
      </c>
      <c r="G27" s="21">
        <v>1765</v>
      </c>
      <c r="H27" s="21">
        <v>25</v>
      </c>
      <c r="I27" s="21">
        <f>G27-H27</f>
        <v>1740</v>
      </c>
      <c r="J27" s="20" t="s">
        <v>21</v>
      </c>
      <c r="K27" s="20" t="s">
        <v>21</v>
      </c>
      <c r="L27" s="20" t="s">
        <v>22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102</v>
      </c>
      <c r="D28" s="20" t="s">
        <v>103</v>
      </c>
      <c r="E28" s="20" t="s">
        <v>104</v>
      </c>
      <c r="F28" s="20" t="s">
        <v>77</v>
      </c>
      <c r="G28" s="21">
        <v>0</v>
      </c>
      <c r="H28" s="21">
        <v>25</v>
      </c>
      <c r="I28" s="21">
        <f>-H28</f>
        <v>-25</v>
      </c>
      <c r="J28" s="20" t="s">
        <v>21</v>
      </c>
      <c r="K28" s="20" t="s">
        <v>21</v>
      </c>
      <c r="L28" s="20" t="s">
        <v>22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/>
      <c r="B29" s="20" t="s">
        <v>17</v>
      </c>
      <c r="C29" s="20" t="s">
        <v>105</v>
      </c>
      <c r="D29" s="20" t="s">
        <v>106</v>
      </c>
      <c r="E29" s="20" t="s">
        <v>107</v>
      </c>
      <c r="F29" s="20" t="s">
        <v>77</v>
      </c>
      <c r="G29" s="21">
        <v>765</v>
      </c>
      <c r="H29" s="21">
        <v>25</v>
      </c>
      <c r="I29" s="21">
        <f>G29-H29</f>
        <v>740</v>
      </c>
      <c r="J29" s="20" t="s">
        <v>21</v>
      </c>
      <c r="K29" s="20" t="s">
        <v>21</v>
      </c>
      <c r="L29" s="20" t="s">
        <v>22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108</v>
      </c>
      <c r="D30" s="20" t="s">
        <v>109</v>
      </c>
      <c r="E30" s="20" t="s">
        <v>110</v>
      </c>
      <c r="F30" s="20" t="s">
        <v>81</v>
      </c>
      <c r="G30" s="21">
        <v>820</v>
      </c>
      <c r="H30" s="21">
        <v>30</v>
      </c>
      <c r="I30" s="21">
        <f>G30-H30</f>
        <v>790</v>
      </c>
      <c r="J30" s="20" t="s">
        <v>21</v>
      </c>
      <c r="K30" s="20" t="s">
        <v>21</v>
      </c>
      <c r="L30" s="20" t="s">
        <v>22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</v>
      </c>
      <c r="D31" s="20" t="s">
        <v>112</v>
      </c>
      <c r="E31" s="20" t="s">
        <v>113</v>
      </c>
      <c r="F31" s="20" t="s">
        <v>85</v>
      </c>
      <c r="G31" s="21">
        <v>740</v>
      </c>
      <c r="H31" s="21">
        <v>20</v>
      </c>
      <c r="I31" s="21">
        <f>G31-H31</f>
        <v>720</v>
      </c>
      <c r="J31" s="20" t="s">
        <v>21</v>
      </c>
      <c r="K31" s="20" t="s">
        <v>21</v>
      </c>
      <c r="L31" s="20" t="s">
        <v>22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114</v>
      </c>
      <c r="D32" s="20" t="s">
        <v>115</v>
      </c>
      <c r="E32" s="20" t="s">
        <v>116</v>
      </c>
      <c r="F32" s="20" t="s">
        <v>85</v>
      </c>
      <c r="G32" s="21">
        <v>770</v>
      </c>
      <c r="H32" s="21">
        <v>20</v>
      </c>
      <c r="I32" s="21">
        <f>G32-H32</f>
        <v>750</v>
      </c>
      <c r="J32" s="20" t="s">
        <v>21</v>
      </c>
      <c r="K32" s="20" t="s">
        <v>21</v>
      </c>
      <c r="L32" s="20" t="s">
        <v>22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117</v>
      </c>
      <c r="D33" s="20" t="s">
        <v>118</v>
      </c>
      <c r="E33" s="20" t="s">
        <v>119</v>
      </c>
      <c r="F33" s="21">
        <v>2</v>
      </c>
      <c r="G33" s="21">
        <v>0</v>
      </c>
      <c r="H33" s="21">
        <v>30</v>
      </c>
      <c r="I33" s="21">
        <f>-H33</f>
        <v>-30</v>
      </c>
      <c r="J33" s="20" t="s">
        <v>21</v>
      </c>
      <c r="K33" s="20" t="s">
        <v>21</v>
      </c>
      <c r="L33" s="20" t="s">
        <v>22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/>
      <c r="B34" s="20" t="s">
        <v>17</v>
      </c>
      <c r="C34" s="20" t="s">
        <v>120</v>
      </c>
      <c r="D34" s="20" t="s">
        <v>121</v>
      </c>
      <c r="E34" s="20" t="s">
        <v>122</v>
      </c>
      <c r="F34" s="20" t="s">
        <v>85</v>
      </c>
      <c r="G34" s="21">
        <v>590</v>
      </c>
      <c r="H34" s="21">
        <v>20</v>
      </c>
      <c r="I34" s="21">
        <f t="shared" ref="I34:I41" si="2">G34-H34</f>
        <v>570</v>
      </c>
      <c r="J34" s="20" t="s">
        <v>21</v>
      </c>
      <c r="K34" s="20" t="s">
        <v>21</v>
      </c>
      <c r="L34" s="20" t="s">
        <v>22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123</v>
      </c>
      <c r="D35" s="22" t="s">
        <v>124</v>
      </c>
      <c r="E35" s="22" t="s">
        <v>125</v>
      </c>
      <c r="F35" s="23">
        <v>2</v>
      </c>
      <c r="G35" s="23">
        <v>110</v>
      </c>
      <c r="H35" s="23">
        <v>30</v>
      </c>
      <c r="I35" s="23">
        <f t="shared" si="2"/>
        <v>80</v>
      </c>
      <c r="J35" s="22" t="s">
        <v>21</v>
      </c>
      <c r="K35" s="22" t="s">
        <v>21</v>
      </c>
      <c r="L35" s="22" t="s">
        <v>22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 t="s">
        <v>16</v>
      </c>
      <c r="B36" s="20" t="s">
        <v>17</v>
      </c>
      <c r="C36" s="20" t="s">
        <v>127</v>
      </c>
      <c r="D36" s="20"/>
      <c r="E36" s="20" t="s">
        <v>128</v>
      </c>
      <c r="F36" s="20" t="s">
        <v>81</v>
      </c>
      <c r="G36" s="21">
        <v>1165</v>
      </c>
      <c r="H36" s="21">
        <v>35</v>
      </c>
      <c r="I36" s="21">
        <f t="shared" si="2"/>
        <v>1130</v>
      </c>
      <c r="J36" s="20" t="s">
        <v>21</v>
      </c>
      <c r="K36" s="20" t="s">
        <v>21</v>
      </c>
      <c r="L36" s="20" t="s">
        <v>22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16</v>
      </c>
      <c r="B37" s="20" t="s">
        <v>17</v>
      </c>
      <c r="C37" s="20" t="s">
        <v>129</v>
      </c>
      <c r="D37" s="20"/>
      <c r="E37" s="20" t="s">
        <v>130</v>
      </c>
      <c r="F37" s="20" t="s">
        <v>77</v>
      </c>
      <c r="G37" s="21">
        <v>2985</v>
      </c>
      <c r="H37" s="21">
        <v>35</v>
      </c>
      <c r="I37" s="21">
        <f t="shared" si="2"/>
        <v>2950</v>
      </c>
      <c r="J37" s="20" t="s">
        <v>21</v>
      </c>
      <c r="K37" s="20" t="s">
        <v>21</v>
      </c>
      <c r="L37" s="20" t="s">
        <v>22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17</v>
      </c>
      <c r="C38" s="20" t="s">
        <v>131</v>
      </c>
      <c r="D38" s="20" t="s">
        <v>132</v>
      </c>
      <c r="E38" s="20" t="s">
        <v>133</v>
      </c>
      <c r="F38" s="20" t="s">
        <v>134</v>
      </c>
      <c r="G38" s="21">
        <v>1145</v>
      </c>
      <c r="H38" s="21">
        <v>35</v>
      </c>
      <c r="I38" s="21">
        <f t="shared" si="2"/>
        <v>1110</v>
      </c>
      <c r="J38" s="20" t="s">
        <v>135</v>
      </c>
      <c r="K38" s="20" t="s">
        <v>21</v>
      </c>
      <c r="L38" s="20" t="s">
        <v>22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17</v>
      </c>
      <c r="C39" s="20" t="s">
        <v>136</v>
      </c>
      <c r="D39" s="20" t="s">
        <v>137</v>
      </c>
      <c r="E39" s="20" t="s">
        <v>138</v>
      </c>
      <c r="F39" s="20" t="s">
        <v>139</v>
      </c>
      <c r="G39" s="21">
        <v>675</v>
      </c>
      <c r="H39" s="21">
        <v>35</v>
      </c>
      <c r="I39" s="21">
        <f t="shared" si="2"/>
        <v>640</v>
      </c>
      <c r="J39" s="20" t="s">
        <v>135</v>
      </c>
      <c r="K39" s="20" t="s">
        <v>21</v>
      </c>
      <c r="L39" s="20" t="s">
        <v>22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140</v>
      </c>
      <c r="D40" s="20" t="s">
        <v>141</v>
      </c>
      <c r="E40" s="20" t="s">
        <v>142</v>
      </c>
      <c r="F40" s="21">
        <v>5</v>
      </c>
      <c r="G40" s="21">
        <v>785</v>
      </c>
      <c r="H40" s="21">
        <v>25</v>
      </c>
      <c r="I40" s="21">
        <f t="shared" si="2"/>
        <v>760</v>
      </c>
      <c r="J40" s="20" t="s">
        <v>135</v>
      </c>
      <c r="K40" s="20" t="s">
        <v>21</v>
      </c>
      <c r="L40" s="20" t="s">
        <v>22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143</v>
      </c>
      <c r="D41" s="20" t="s">
        <v>144</v>
      </c>
      <c r="E41" s="20" t="s">
        <v>145</v>
      </c>
      <c r="F41" s="21">
        <v>1</v>
      </c>
      <c r="G41" s="21">
        <v>725</v>
      </c>
      <c r="H41" s="21">
        <v>25</v>
      </c>
      <c r="I41" s="21">
        <f t="shared" si="2"/>
        <v>700</v>
      </c>
      <c r="J41" s="20" t="s">
        <v>135</v>
      </c>
      <c r="K41" s="20" t="s">
        <v>21</v>
      </c>
      <c r="L41" s="20" t="s">
        <v>22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17</v>
      </c>
      <c r="C42" s="20" t="s">
        <v>146</v>
      </c>
      <c r="D42" s="20" t="s">
        <v>147</v>
      </c>
      <c r="E42" s="20" t="s">
        <v>148</v>
      </c>
      <c r="F42" s="21">
        <v>5</v>
      </c>
      <c r="G42" s="21">
        <v>0</v>
      </c>
      <c r="H42" s="21">
        <v>25</v>
      </c>
      <c r="I42" s="21">
        <f>-H42</f>
        <v>-25</v>
      </c>
      <c r="J42" s="20" t="s">
        <v>135</v>
      </c>
      <c r="K42" s="20" t="s">
        <v>21</v>
      </c>
      <c r="L42" s="20" t="s">
        <v>22</v>
      </c>
      <c r="M42" s="20"/>
      <c r="N42" s="20"/>
      <c r="O42" s="20"/>
      <c r="P42" s="20"/>
      <c r="Q42" s="20">
        <v>1</v>
      </c>
      <c r="R42" s="15">
        <f>H42</f>
        <v>25</v>
      </c>
    </row>
    <row r="43" spans="1:18" x14ac:dyDescent="0.25">
      <c r="A43" s="20"/>
      <c r="B43" s="20" t="s">
        <v>17</v>
      </c>
      <c r="C43" s="20" t="s">
        <v>149</v>
      </c>
      <c r="D43" s="20" t="s">
        <v>150</v>
      </c>
      <c r="E43" s="20" t="s">
        <v>151</v>
      </c>
      <c r="F43" s="21">
        <v>3</v>
      </c>
      <c r="G43" s="21">
        <v>1585</v>
      </c>
      <c r="H43" s="21">
        <v>25</v>
      </c>
      <c r="I43" s="21">
        <f>G43-H43</f>
        <v>1560</v>
      </c>
      <c r="J43" s="20" t="s">
        <v>135</v>
      </c>
      <c r="K43" s="20" t="s">
        <v>21</v>
      </c>
      <c r="L43" s="20" t="s">
        <v>22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17</v>
      </c>
      <c r="C44" s="20" t="s">
        <v>152</v>
      </c>
      <c r="D44" s="20" t="s">
        <v>153</v>
      </c>
      <c r="E44" s="20" t="s">
        <v>154</v>
      </c>
      <c r="F44" s="21">
        <v>3</v>
      </c>
      <c r="G44" s="21">
        <v>815</v>
      </c>
      <c r="H44" s="21">
        <v>25</v>
      </c>
      <c r="I44" s="21">
        <f>G44-H44</f>
        <v>790</v>
      </c>
      <c r="J44" s="20" t="s">
        <v>135</v>
      </c>
      <c r="K44" s="20" t="s">
        <v>21</v>
      </c>
      <c r="L44" s="20" t="s">
        <v>22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17</v>
      </c>
      <c r="C45" s="20" t="s">
        <v>155</v>
      </c>
      <c r="D45" s="20" t="s">
        <v>156</v>
      </c>
      <c r="E45" s="20" t="s">
        <v>157</v>
      </c>
      <c r="F45" s="21">
        <v>7</v>
      </c>
      <c r="G45" s="21">
        <v>690</v>
      </c>
      <c r="H45" s="21">
        <v>30</v>
      </c>
      <c r="I45" s="21">
        <f>G45-H45</f>
        <v>660</v>
      </c>
      <c r="J45" s="20" t="s">
        <v>135</v>
      </c>
      <c r="K45" s="20" t="s">
        <v>21</v>
      </c>
      <c r="L45" s="20" t="s">
        <v>22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17</v>
      </c>
      <c r="C46" s="20" t="s">
        <v>158</v>
      </c>
      <c r="D46" s="20" t="s">
        <v>159</v>
      </c>
      <c r="E46" s="20" t="s">
        <v>160</v>
      </c>
      <c r="F46" s="20" t="s">
        <v>95</v>
      </c>
      <c r="G46" s="21">
        <v>0</v>
      </c>
      <c r="H46" s="21">
        <v>25</v>
      </c>
      <c r="I46" s="21">
        <f>-H46</f>
        <v>-25</v>
      </c>
      <c r="J46" s="20" t="s">
        <v>135</v>
      </c>
      <c r="K46" s="20" t="s">
        <v>21</v>
      </c>
      <c r="L46" s="20" t="s">
        <v>22</v>
      </c>
      <c r="M46" s="20"/>
      <c r="N46" s="20"/>
      <c r="O46" s="20"/>
      <c r="P46" s="20"/>
      <c r="Q46" s="20">
        <v>1</v>
      </c>
      <c r="R46" s="15">
        <f>H46</f>
        <v>25</v>
      </c>
    </row>
    <row r="47" spans="1:18" x14ac:dyDescent="0.25">
      <c r="A47" s="20"/>
      <c r="B47" s="20" t="s">
        <v>17</v>
      </c>
      <c r="C47" s="20" t="s">
        <v>161</v>
      </c>
      <c r="D47" s="20" t="s">
        <v>162</v>
      </c>
      <c r="E47" s="20" t="s">
        <v>163</v>
      </c>
      <c r="F47" s="21">
        <v>7</v>
      </c>
      <c r="G47" s="21">
        <v>720</v>
      </c>
      <c r="H47" s="21">
        <v>30</v>
      </c>
      <c r="I47" s="21">
        <f>G47-H47</f>
        <v>690</v>
      </c>
      <c r="J47" s="20" t="s">
        <v>135</v>
      </c>
      <c r="K47" s="20" t="s">
        <v>21</v>
      </c>
      <c r="L47" s="20" t="s">
        <v>22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17</v>
      </c>
      <c r="C48" s="20" t="s">
        <v>164</v>
      </c>
      <c r="D48" s="20" t="s">
        <v>165</v>
      </c>
      <c r="E48" s="20" t="s">
        <v>166</v>
      </c>
      <c r="F48" s="21">
        <v>1</v>
      </c>
      <c r="G48" s="21">
        <v>2040</v>
      </c>
      <c r="H48" s="21">
        <v>30</v>
      </c>
      <c r="I48" s="21">
        <f>G48-H48</f>
        <v>2010</v>
      </c>
      <c r="J48" s="20" t="s">
        <v>135</v>
      </c>
      <c r="K48" s="20" t="s">
        <v>21</v>
      </c>
      <c r="L48" s="20" t="s">
        <v>22</v>
      </c>
      <c r="M48" s="25" t="s">
        <v>167</v>
      </c>
      <c r="N48" s="20"/>
      <c r="O48" s="20"/>
      <c r="P48" s="20"/>
      <c r="Q48" s="20">
        <v>1</v>
      </c>
      <c r="R48" s="15">
        <f>H48</f>
        <v>30</v>
      </c>
    </row>
    <row r="49" spans="1:18" x14ac:dyDescent="0.25">
      <c r="A49" s="20"/>
      <c r="B49" s="20" t="s">
        <v>17</v>
      </c>
      <c r="C49" s="20" t="s">
        <v>168</v>
      </c>
      <c r="D49" s="20" t="s">
        <v>169</v>
      </c>
      <c r="E49" s="20" t="s">
        <v>170</v>
      </c>
      <c r="F49" s="21">
        <v>7</v>
      </c>
      <c r="G49" s="21">
        <v>1800</v>
      </c>
      <c r="H49" s="21">
        <v>30</v>
      </c>
      <c r="I49" s="21">
        <f>G49-H49</f>
        <v>1770</v>
      </c>
      <c r="J49" s="20" t="s">
        <v>135</v>
      </c>
      <c r="K49" s="20" t="s">
        <v>21</v>
      </c>
      <c r="L49" s="20" t="s">
        <v>22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17</v>
      </c>
      <c r="C50" s="20" t="s">
        <v>171</v>
      </c>
      <c r="D50" s="20" t="s">
        <v>172</v>
      </c>
      <c r="E50" s="20" t="s">
        <v>173</v>
      </c>
      <c r="F50" s="21">
        <v>7</v>
      </c>
      <c r="G50" s="21">
        <v>770</v>
      </c>
      <c r="H50" s="21">
        <v>30</v>
      </c>
      <c r="I50" s="21">
        <f>G50-H50</f>
        <v>740</v>
      </c>
      <c r="J50" s="20" t="s">
        <v>135</v>
      </c>
      <c r="K50" s="20" t="s">
        <v>21</v>
      </c>
      <c r="L50" s="20" t="s">
        <v>22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17</v>
      </c>
      <c r="C51" s="20" t="s">
        <v>174</v>
      </c>
      <c r="D51" s="20" t="s">
        <v>175</v>
      </c>
      <c r="E51" s="20" t="s">
        <v>176</v>
      </c>
      <c r="F51" s="21">
        <v>7</v>
      </c>
      <c r="G51" s="21">
        <v>770</v>
      </c>
      <c r="H51" s="21">
        <v>30</v>
      </c>
      <c r="I51" s="21">
        <f>G51-H51</f>
        <v>740</v>
      </c>
      <c r="J51" s="20" t="s">
        <v>135</v>
      </c>
      <c r="K51" s="20" t="s">
        <v>21</v>
      </c>
      <c r="L51" s="20" t="s">
        <v>22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17</v>
      </c>
      <c r="C52" s="20" t="s">
        <v>177</v>
      </c>
      <c r="D52" s="20" t="s">
        <v>178</v>
      </c>
      <c r="E52" s="20" t="s">
        <v>179</v>
      </c>
      <c r="F52" s="21">
        <v>8</v>
      </c>
      <c r="G52" s="21">
        <v>0</v>
      </c>
      <c r="H52" s="21">
        <v>25</v>
      </c>
      <c r="I52" s="21">
        <f>-H52</f>
        <v>-25</v>
      </c>
      <c r="J52" s="20" t="s">
        <v>135</v>
      </c>
      <c r="K52" s="20" t="s">
        <v>21</v>
      </c>
      <c r="L52" s="20" t="s">
        <v>22</v>
      </c>
      <c r="M52" s="20"/>
      <c r="N52" s="20"/>
      <c r="O52" s="20"/>
      <c r="P52" s="20"/>
      <c r="Q52" s="20">
        <v>1</v>
      </c>
      <c r="R52" s="15">
        <f>H52</f>
        <v>25</v>
      </c>
    </row>
    <row r="53" spans="1:18" x14ac:dyDescent="0.25">
      <c r="A53" s="20"/>
      <c r="B53" s="20" t="s">
        <v>17</v>
      </c>
      <c r="C53" s="20" t="s">
        <v>180</v>
      </c>
      <c r="D53" s="20" t="s">
        <v>181</v>
      </c>
      <c r="E53" s="20" t="s">
        <v>182</v>
      </c>
      <c r="F53" s="21">
        <v>3</v>
      </c>
      <c r="G53" s="21">
        <v>0</v>
      </c>
      <c r="H53" s="21">
        <v>25</v>
      </c>
      <c r="I53" s="21">
        <f>-H53</f>
        <v>-25</v>
      </c>
      <c r="J53" s="20" t="s">
        <v>135</v>
      </c>
      <c r="K53" s="20" t="s">
        <v>21</v>
      </c>
      <c r="L53" s="20" t="s">
        <v>22</v>
      </c>
      <c r="M53" s="20"/>
      <c r="N53" s="20"/>
      <c r="O53" s="20"/>
      <c r="P53" s="20"/>
      <c r="Q53" s="20">
        <v>1</v>
      </c>
      <c r="R53" s="15">
        <f>H53</f>
        <v>25</v>
      </c>
    </row>
    <row r="54" spans="1:18" x14ac:dyDescent="0.25">
      <c r="A54" s="20"/>
      <c r="B54" s="20" t="s">
        <v>17</v>
      </c>
      <c r="C54" s="20" t="s">
        <v>183</v>
      </c>
      <c r="D54" s="20" t="s">
        <v>184</v>
      </c>
      <c r="E54" s="20" t="s">
        <v>185</v>
      </c>
      <c r="F54" s="21">
        <v>4</v>
      </c>
      <c r="G54" s="21">
        <v>815</v>
      </c>
      <c r="H54" s="21">
        <v>25</v>
      </c>
      <c r="I54" s="21">
        <f>G54-H54</f>
        <v>790</v>
      </c>
      <c r="J54" s="20" t="s">
        <v>135</v>
      </c>
      <c r="K54" s="20" t="s">
        <v>21</v>
      </c>
      <c r="L54" s="20" t="s">
        <v>22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17</v>
      </c>
      <c r="C55" s="20" t="s">
        <v>186</v>
      </c>
      <c r="D55" s="20" t="s">
        <v>187</v>
      </c>
      <c r="E55" s="20" t="s">
        <v>188</v>
      </c>
      <c r="F55" s="21">
        <v>4</v>
      </c>
      <c r="G55" s="21">
        <v>815</v>
      </c>
      <c r="H55" s="21">
        <v>25</v>
      </c>
      <c r="I55" s="21">
        <f>G55-H55</f>
        <v>790</v>
      </c>
      <c r="J55" s="20" t="s">
        <v>135</v>
      </c>
      <c r="K55" s="20" t="s">
        <v>21</v>
      </c>
      <c r="L55" s="20" t="s">
        <v>22</v>
      </c>
      <c r="M55" s="20"/>
      <c r="N55" s="20"/>
      <c r="O55" s="20"/>
      <c r="P55" s="20"/>
      <c r="Q55" s="20">
        <v>1</v>
      </c>
    </row>
    <row r="56" spans="1:18" x14ac:dyDescent="0.25">
      <c r="A56" s="20" t="s">
        <v>16</v>
      </c>
      <c r="B56" s="20" t="s">
        <v>17</v>
      </c>
      <c r="C56" s="20" t="s">
        <v>189</v>
      </c>
      <c r="D56" s="20"/>
      <c r="E56" s="20" t="s">
        <v>190</v>
      </c>
      <c r="F56" s="21">
        <v>5</v>
      </c>
      <c r="G56" s="21">
        <v>0</v>
      </c>
      <c r="H56" s="21">
        <v>30</v>
      </c>
      <c r="I56" s="21">
        <f>-H56</f>
        <v>-30</v>
      </c>
      <c r="J56" s="20" t="s">
        <v>135</v>
      </c>
      <c r="K56" s="20" t="s">
        <v>21</v>
      </c>
      <c r="L56" s="20" t="s">
        <v>22</v>
      </c>
      <c r="M56" s="20"/>
      <c r="N56" s="20"/>
      <c r="O56" s="20"/>
      <c r="P56" s="20"/>
      <c r="Q56" s="20">
        <v>1</v>
      </c>
      <c r="R56" s="15">
        <f>H56</f>
        <v>30</v>
      </c>
    </row>
    <row r="58" spans="1:18" x14ac:dyDescent="0.25">
      <c r="D58" s="6">
        <f>COUNTA(D3:D56)</f>
        <v>50</v>
      </c>
      <c r="G58" s="6">
        <f t="shared" ref="G58:Q58" si="3">SUBTOTAL(9,G3:G56)</f>
        <v>37475</v>
      </c>
      <c r="H58" s="6">
        <f t="shared" si="3"/>
        <v>1520</v>
      </c>
      <c r="I58" s="6">
        <f t="shared" si="3"/>
        <v>35955</v>
      </c>
      <c r="J58" s="6">
        <f t="shared" si="3"/>
        <v>0</v>
      </c>
      <c r="K58" s="6">
        <f t="shared" si="3"/>
        <v>0</v>
      </c>
      <c r="L58" s="6">
        <f t="shared" si="3"/>
        <v>0</v>
      </c>
      <c r="M58" s="6">
        <f t="shared" si="3"/>
        <v>0</v>
      </c>
      <c r="N58" s="6">
        <f t="shared" si="3"/>
        <v>0</v>
      </c>
      <c r="O58" s="6">
        <f t="shared" si="3"/>
        <v>0</v>
      </c>
      <c r="P58" s="6">
        <f t="shared" si="3"/>
        <v>0</v>
      </c>
      <c r="Q58" s="6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6" t="s">
        <v>17</v>
      </c>
      <c r="C60" s="5" t="s">
        <v>191</v>
      </c>
      <c r="D60" s="5"/>
      <c r="E60" s="9" t="s">
        <v>192</v>
      </c>
      <c r="H60">
        <f>-9*25</f>
        <v>-225</v>
      </c>
      <c r="K60" s="16" t="s">
        <v>27</v>
      </c>
      <c r="L60" s="16" t="s">
        <v>193</v>
      </c>
      <c r="M60" s="16" t="s">
        <v>192</v>
      </c>
      <c r="O60" s="9" t="s">
        <v>194</v>
      </c>
    </row>
    <row r="61" spans="1:18" x14ac:dyDescent="0.25">
      <c r="A61" t="s">
        <v>22</v>
      </c>
      <c r="B61" s="8" t="s">
        <v>195</v>
      </c>
      <c r="C61" s="4">
        <f>SUMIFS(I$3:I$56,B$3:B$56,A$60,L$3:L$56,A$61)</f>
        <v>35955</v>
      </c>
      <c r="D61" s="4"/>
      <c r="E61" s="8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7" t="s">
        <v>199</v>
      </c>
      <c r="C62" s="3">
        <v>0</v>
      </c>
      <c r="D62" s="3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13715</v>
      </c>
    </row>
    <row r="63" spans="1:18" x14ac:dyDescent="0.25">
      <c r="B63" s="7" t="s">
        <v>201</v>
      </c>
      <c r="C63" s="3">
        <f>-SUMIFS(I$3:I$56,B$3:B$56,A$60,P$3:P$56,"xx",N$3:N$56,"x")</f>
        <v>0</v>
      </c>
      <c r="D63" s="3"/>
      <c r="E63" s="7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9" t="s">
        <v>203</v>
      </c>
      <c r="C64" s="5">
        <f>SUBTOTAL(9,C61:C63)</f>
        <v>35955</v>
      </c>
      <c r="D64" s="5"/>
      <c r="E64">
        <f>E61</f>
        <v>54</v>
      </c>
      <c r="K64" s="7" t="s">
        <v>204</v>
      </c>
      <c r="O64" t="s">
        <v>20</v>
      </c>
      <c r="P64">
        <f>L90</f>
        <v>865</v>
      </c>
    </row>
    <row r="65" spans="2:16" x14ac:dyDescent="0.25">
      <c r="B65" s="7" t="s">
        <v>205</v>
      </c>
      <c r="C65" s="2"/>
      <c r="D65" s="2"/>
      <c r="K65" s="7" t="s">
        <v>206</v>
      </c>
      <c r="O65" t="s">
        <v>207</v>
      </c>
      <c r="P65">
        <f>-C68</f>
        <v>-35955</v>
      </c>
    </row>
    <row r="66" spans="2:16" x14ac:dyDescent="0.25">
      <c r="B66" s="17" t="s">
        <v>208</v>
      </c>
      <c r="C66" s="2"/>
      <c r="D66" s="2"/>
      <c r="L66" s="18">
        <f>SUBTOTAL(9,L61:L65)</f>
        <v>9140</v>
      </c>
      <c r="M66" s="18">
        <f>M61</f>
        <v>14</v>
      </c>
      <c r="O66" s="9" t="s">
        <v>209</v>
      </c>
      <c r="P66" s="9">
        <f>SUBTOTAL(9,P61:P65)</f>
        <v>192</v>
      </c>
    </row>
    <row r="68" spans="2:16" x14ac:dyDescent="0.25">
      <c r="B68" s="6" t="s">
        <v>210</v>
      </c>
      <c r="C68" s="1">
        <f>C64+C65+C66</f>
        <v>35955</v>
      </c>
      <c r="D68" s="1"/>
      <c r="E68" s="6" t="s">
        <v>211</v>
      </c>
      <c r="K68" s="16" t="s">
        <v>135</v>
      </c>
      <c r="L68" s="16" t="s">
        <v>193</v>
      </c>
      <c r="M68" s="16" t="s">
        <v>192</v>
      </c>
    </row>
    <row r="69" spans="2:16" x14ac:dyDescent="0.25">
      <c r="K69" t="s">
        <v>197</v>
      </c>
      <c r="L69">
        <f>SUMIFS(G$3:G$56,J$3:J$56,K$68)</f>
        <v>14150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7" t="s">
        <v>204</v>
      </c>
    </row>
    <row r="73" spans="2:16" x14ac:dyDescent="0.25">
      <c r="K73" s="7" t="s">
        <v>206</v>
      </c>
    </row>
    <row r="74" spans="2:16" x14ac:dyDescent="0.25">
      <c r="L74" s="18">
        <f>SUBTOTAL(9,L69:L73)</f>
        <v>13715</v>
      </c>
      <c r="M74" s="18">
        <f>M69</f>
        <v>19</v>
      </c>
    </row>
    <row r="76" spans="2:16" x14ac:dyDescent="0.25">
      <c r="K76" s="16" t="s">
        <v>21</v>
      </c>
      <c r="L76" s="16" t="s">
        <v>193</v>
      </c>
      <c r="M76" s="16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7" t="s">
        <v>204</v>
      </c>
    </row>
    <row r="81" spans="11:13" x14ac:dyDescent="0.25">
      <c r="K81" s="7" t="s">
        <v>206</v>
      </c>
    </row>
    <row r="82" spans="11:13" x14ac:dyDescent="0.25">
      <c r="L82" s="18">
        <f>SUBTOTAL(9,L77:L81)</f>
        <v>12427</v>
      </c>
      <c r="M82" s="18">
        <f>M77</f>
        <v>20</v>
      </c>
    </row>
    <row r="84" spans="11:13" x14ac:dyDescent="0.25">
      <c r="K84" s="16" t="s">
        <v>20</v>
      </c>
      <c r="L84" s="16" t="s">
        <v>193</v>
      </c>
      <c r="M84" s="16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7" t="s">
        <v>204</v>
      </c>
    </row>
    <row r="89" spans="11:13" x14ac:dyDescent="0.25">
      <c r="K89" s="7" t="s">
        <v>206</v>
      </c>
    </row>
    <row r="90" spans="11:13" x14ac:dyDescent="0.25">
      <c r="L90" s="18">
        <f>SUBTOTAL(9,L85:L89)</f>
        <v>865</v>
      </c>
      <c r="M90" s="18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55"/>
  <sheetViews>
    <sheetView topLeftCell="A17" workbookViewId="0"/>
  </sheetViews>
  <sheetFormatPr defaultRowHeight="15" x14ac:dyDescent="0.25"/>
  <cols>
    <col min="1" max="1" width="12.7109375" customWidth="1"/>
    <col min="2" max="2" width="17.7109375" customWidth="1"/>
    <col min="3" max="3" width="35.140625" customWidth="1"/>
    <col min="4" max="4" width="9.85546875" customWidth="1"/>
    <col min="5" max="5" width="42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26" t="s">
        <v>0</v>
      </c>
      <c r="B2" s="26" t="s">
        <v>1</v>
      </c>
      <c r="C2" s="26" t="s">
        <v>2</v>
      </c>
      <c r="D2" s="26" t="s">
        <v>3</v>
      </c>
      <c r="E2" s="26" t="s">
        <v>4</v>
      </c>
      <c r="F2" s="26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222</v>
      </c>
    </row>
    <row r="3" spans="1:17" x14ac:dyDescent="0.25">
      <c r="B3" t="s">
        <v>17</v>
      </c>
      <c r="C3" t="s">
        <v>223</v>
      </c>
      <c r="D3" t="s">
        <v>224</v>
      </c>
      <c r="E3" t="s">
        <v>225</v>
      </c>
      <c r="F3" s="15">
        <v>8</v>
      </c>
      <c r="G3" s="15">
        <v>720</v>
      </c>
      <c r="H3" s="15">
        <v>30</v>
      </c>
      <c r="I3" s="15">
        <f t="shared" ref="I3:I29" si="0">G3-H3</f>
        <v>690</v>
      </c>
      <c r="J3" t="s">
        <v>226</v>
      </c>
      <c r="K3" t="s">
        <v>21</v>
      </c>
      <c r="L3" t="s">
        <v>227</v>
      </c>
      <c r="Q3">
        <v>1</v>
      </c>
    </row>
    <row r="4" spans="1:17" x14ac:dyDescent="0.25">
      <c r="B4" t="s">
        <v>17</v>
      </c>
      <c r="C4" t="s">
        <v>228</v>
      </c>
      <c r="D4" t="s">
        <v>229</v>
      </c>
      <c r="E4" t="s">
        <v>230</v>
      </c>
      <c r="F4" t="s">
        <v>95</v>
      </c>
      <c r="G4" s="15">
        <v>1165</v>
      </c>
      <c r="H4" s="15">
        <v>25</v>
      </c>
      <c r="I4" s="15">
        <f t="shared" si="0"/>
        <v>1140</v>
      </c>
      <c r="J4" t="s">
        <v>226</v>
      </c>
      <c r="K4" t="s">
        <v>21</v>
      </c>
      <c r="L4" t="s">
        <v>227</v>
      </c>
      <c r="Q4">
        <v>1</v>
      </c>
    </row>
    <row r="5" spans="1:17" x14ac:dyDescent="0.25">
      <c r="B5" t="s">
        <v>17</v>
      </c>
      <c r="C5" t="s">
        <v>231</v>
      </c>
      <c r="D5" t="s">
        <v>232</v>
      </c>
      <c r="E5" t="s">
        <v>233</v>
      </c>
      <c r="F5" t="s">
        <v>95</v>
      </c>
      <c r="G5" s="15">
        <v>915</v>
      </c>
      <c r="H5" s="15">
        <v>25</v>
      </c>
      <c r="I5" s="15">
        <f t="shared" si="0"/>
        <v>890</v>
      </c>
      <c r="J5" t="s">
        <v>135</v>
      </c>
      <c r="K5" t="s">
        <v>21</v>
      </c>
      <c r="L5" t="s">
        <v>227</v>
      </c>
      <c r="Q5">
        <v>1</v>
      </c>
    </row>
    <row r="6" spans="1:17" x14ac:dyDescent="0.25">
      <c r="B6" t="s">
        <v>17</v>
      </c>
      <c r="C6" t="s">
        <v>234</v>
      </c>
      <c r="D6" t="s">
        <v>235</v>
      </c>
      <c r="E6" t="s">
        <v>236</v>
      </c>
      <c r="F6" t="s">
        <v>85</v>
      </c>
      <c r="G6" s="15">
        <v>900</v>
      </c>
      <c r="H6" s="15">
        <v>20</v>
      </c>
      <c r="I6" s="15">
        <f t="shared" si="0"/>
        <v>880</v>
      </c>
      <c r="J6" t="s">
        <v>21</v>
      </c>
      <c r="K6" t="s">
        <v>21</v>
      </c>
      <c r="L6" t="s">
        <v>227</v>
      </c>
      <c r="Q6">
        <v>1</v>
      </c>
    </row>
    <row r="7" spans="1:17" x14ac:dyDescent="0.25">
      <c r="B7" t="s">
        <v>17</v>
      </c>
      <c r="C7" t="s">
        <v>237</v>
      </c>
      <c r="D7" t="s">
        <v>238</v>
      </c>
      <c r="E7" t="s">
        <v>239</v>
      </c>
      <c r="F7" s="15">
        <v>1</v>
      </c>
      <c r="G7" s="15">
        <v>0</v>
      </c>
      <c r="H7" s="15">
        <v>25</v>
      </c>
      <c r="I7" s="15">
        <f t="shared" si="0"/>
        <v>-25</v>
      </c>
      <c r="J7" t="s">
        <v>135</v>
      </c>
      <c r="K7" t="s">
        <v>21</v>
      </c>
      <c r="L7" t="s">
        <v>227</v>
      </c>
      <c r="Q7">
        <v>1</v>
      </c>
    </row>
    <row r="8" spans="1:17" x14ac:dyDescent="0.25">
      <c r="B8" t="s">
        <v>17</v>
      </c>
      <c r="C8" t="s">
        <v>240</v>
      </c>
      <c r="D8" t="s">
        <v>241</v>
      </c>
      <c r="E8" t="s">
        <v>242</v>
      </c>
      <c r="F8" s="15">
        <v>1</v>
      </c>
      <c r="G8" s="15">
        <v>0</v>
      </c>
      <c r="H8" s="15">
        <v>25</v>
      </c>
      <c r="I8" s="15">
        <f t="shared" si="0"/>
        <v>-25</v>
      </c>
      <c r="J8" t="s">
        <v>135</v>
      </c>
      <c r="K8" t="s">
        <v>21</v>
      </c>
      <c r="L8" t="s">
        <v>227</v>
      </c>
      <c r="Q8">
        <v>1</v>
      </c>
    </row>
    <row r="9" spans="1:17" x14ac:dyDescent="0.25">
      <c r="B9" t="s">
        <v>17</v>
      </c>
      <c r="C9" t="s">
        <v>243</v>
      </c>
      <c r="D9" t="s">
        <v>244</v>
      </c>
      <c r="E9" t="s">
        <v>245</v>
      </c>
      <c r="F9" s="15">
        <v>1</v>
      </c>
      <c r="G9" s="15">
        <v>0</v>
      </c>
      <c r="H9" s="15">
        <v>25</v>
      </c>
      <c r="I9" s="15">
        <f t="shared" si="0"/>
        <v>-25</v>
      </c>
      <c r="J9" t="s">
        <v>135</v>
      </c>
      <c r="K9" t="s">
        <v>21</v>
      </c>
      <c r="L9" t="s">
        <v>227</v>
      </c>
      <c r="Q9">
        <v>1</v>
      </c>
    </row>
    <row r="10" spans="1:17" x14ac:dyDescent="0.25">
      <c r="B10" t="s">
        <v>17</v>
      </c>
      <c r="C10" t="s">
        <v>246</v>
      </c>
      <c r="D10" t="s">
        <v>247</v>
      </c>
      <c r="E10" t="s">
        <v>248</v>
      </c>
      <c r="F10" s="15">
        <v>6</v>
      </c>
      <c r="G10" s="15">
        <v>0</v>
      </c>
      <c r="H10" s="15">
        <v>25</v>
      </c>
      <c r="I10" s="15">
        <f t="shared" si="0"/>
        <v>-25</v>
      </c>
      <c r="J10" t="s">
        <v>226</v>
      </c>
      <c r="K10" t="s">
        <v>21</v>
      </c>
      <c r="L10" t="s">
        <v>227</v>
      </c>
      <c r="Q10">
        <v>1</v>
      </c>
    </row>
    <row r="11" spans="1:17" x14ac:dyDescent="0.25">
      <c r="B11" t="s">
        <v>17</v>
      </c>
      <c r="C11" t="s">
        <v>249</v>
      </c>
      <c r="D11" t="s">
        <v>250</v>
      </c>
      <c r="E11" t="s">
        <v>251</v>
      </c>
      <c r="F11" t="s">
        <v>95</v>
      </c>
      <c r="G11" s="15">
        <v>0</v>
      </c>
      <c r="H11" s="15">
        <v>25</v>
      </c>
      <c r="I11" s="15">
        <f t="shared" si="0"/>
        <v>-25</v>
      </c>
      <c r="J11" t="s">
        <v>21</v>
      </c>
      <c r="K11" t="s">
        <v>21</v>
      </c>
      <c r="L11" t="s">
        <v>227</v>
      </c>
      <c r="Q11">
        <v>1</v>
      </c>
    </row>
    <row r="12" spans="1:17" x14ac:dyDescent="0.25">
      <c r="B12" t="s">
        <v>17</v>
      </c>
      <c r="C12" t="s">
        <v>252</v>
      </c>
      <c r="D12" t="s">
        <v>253</v>
      </c>
      <c r="E12" t="s">
        <v>254</v>
      </c>
      <c r="F12" t="s">
        <v>81</v>
      </c>
      <c r="G12" s="15">
        <v>3650</v>
      </c>
      <c r="H12" s="15">
        <v>40</v>
      </c>
      <c r="I12" s="15">
        <f t="shared" si="0"/>
        <v>3610</v>
      </c>
      <c r="J12" t="s">
        <v>21</v>
      </c>
      <c r="K12" t="s">
        <v>21</v>
      </c>
      <c r="L12" t="s">
        <v>227</v>
      </c>
      <c r="M12" t="s">
        <v>167</v>
      </c>
      <c r="Q12">
        <v>1</v>
      </c>
    </row>
    <row r="13" spans="1:17" x14ac:dyDescent="0.25">
      <c r="B13" t="s">
        <v>17</v>
      </c>
      <c r="C13" t="s">
        <v>255</v>
      </c>
      <c r="D13" t="s">
        <v>256</v>
      </c>
      <c r="E13" t="s">
        <v>257</v>
      </c>
      <c r="F13" t="s">
        <v>46</v>
      </c>
      <c r="G13" s="15">
        <v>845</v>
      </c>
      <c r="H13" s="15">
        <v>25</v>
      </c>
      <c r="I13" s="15">
        <f t="shared" si="0"/>
        <v>820</v>
      </c>
      <c r="J13" t="s">
        <v>226</v>
      </c>
      <c r="K13" t="s">
        <v>21</v>
      </c>
      <c r="L13" t="s">
        <v>227</v>
      </c>
      <c r="Q13">
        <v>1</v>
      </c>
    </row>
    <row r="14" spans="1:17" x14ac:dyDescent="0.25">
      <c r="B14" t="s">
        <v>17</v>
      </c>
      <c r="C14" t="s">
        <v>258</v>
      </c>
      <c r="D14" t="s">
        <v>259</v>
      </c>
      <c r="E14" t="s">
        <v>260</v>
      </c>
      <c r="F14" s="15">
        <v>12</v>
      </c>
      <c r="G14" s="15">
        <v>0</v>
      </c>
      <c r="H14" s="15">
        <v>30</v>
      </c>
      <c r="I14" s="15">
        <f t="shared" si="0"/>
        <v>-30</v>
      </c>
      <c r="J14" t="s">
        <v>21</v>
      </c>
      <c r="K14" t="s">
        <v>21</v>
      </c>
      <c r="L14" t="s">
        <v>227</v>
      </c>
      <c r="Q14">
        <v>1</v>
      </c>
    </row>
    <row r="15" spans="1:17" x14ac:dyDescent="0.25">
      <c r="B15" t="s">
        <v>17</v>
      </c>
      <c r="C15" t="s">
        <v>261</v>
      </c>
      <c r="D15" t="s">
        <v>262</v>
      </c>
      <c r="E15" t="s">
        <v>263</v>
      </c>
      <c r="F15" t="s">
        <v>95</v>
      </c>
      <c r="G15" s="15">
        <v>775</v>
      </c>
      <c r="H15" s="15">
        <v>25</v>
      </c>
      <c r="I15" s="15">
        <f t="shared" si="0"/>
        <v>750</v>
      </c>
      <c r="J15" t="s">
        <v>21</v>
      </c>
      <c r="K15" t="s">
        <v>21</v>
      </c>
      <c r="L15" t="s">
        <v>227</v>
      </c>
      <c r="Q15">
        <v>1</v>
      </c>
    </row>
    <row r="16" spans="1:17" x14ac:dyDescent="0.25">
      <c r="B16" t="s">
        <v>17</v>
      </c>
      <c r="C16" t="s">
        <v>264</v>
      </c>
      <c r="D16" t="s">
        <v>265</v>
      </c>
      <c r="E16" t="s">
        <v>266</v>
      </c>
      <c r="F16" s="15">
        <v>8</v>
      </c>
      <c r="G16" s="15">
        <v>850</v>
      </c>
      <c r="H16" s="15">
        <v>30</v>
      </c>
      <c r="I16" s="15">
        <f t="shared" si="0"/>
        <v>820</v>
      </c>
      <c r="J16" t="s">
        <v>226</v>
      </c>
      <c r="K16" t="s">
        <v>21</v>
      </c>
      <c r="L16" t="s">
        <v>227</v>
      </c>
      <c r="Q16">
        <v>1</v>
      </c>
    </row>
    <row r="17" spans="1:17" x14ac:dyDescent="0.25">
      <c r="B17" t="s">
        <v>17</v>
      </c>
      <c r="C17" t="s">
        <v>267</v>
      </c>
      <c r="D17" t="s">
        <v>268</v>
      </c>
      <c r="E17" t="s">
        <v>269</v>
      </c>
      <c r="F17" s="15">
        <v>12</v>
      </c>
      <c r="G17" s="15">
        <v>0</v>
      </c>
      <c r="H17" s="15">
        <v>30</v>
      </c>
      <c r="I17" s="15">
        <f t="shared" si="0"/>
        <v>-30</v>
      </c>
      <c r="J17" t="s">
        <v>21</v>
      </c>
      <c r="K17" t="s">
        <v>21</v>
      </c>
      <c r="L17" t="s">
        <v>227</v>
      </c>
      <c r="Q17">
        <v>1</v>
      </c>
    </row>
    <row r="18" spans="1:17" x14ac:dyDescent="0.25">
      <c r="B18" t="s">
        <v>17</v>
      </c>
      <c r="C18" t="s">
        <v>270</v>
      </c>
      <c r="D18" t="s">
        <v>271</v>
      </c>
      <c r="E18" t="s">
        <v>272</v>
      </c>
      <c r="F18" s="15">
        <v>10</v>
      </c>
      <c r="G18" s="15">
        <v>595</v>
      </c>
      <c r="H18" s="15">
        <v>25</v>
      </c>
      <c r="I18" s="15">
        <f t="shared" si="0"/>
        <v>570</v>
      </c>
      <c r="J18" t="s">
        <v>135</v>
      </c>
      <c r="K18" t="s">
        <v>21</v>
      </c>
      <c r="L18" t="s">
        <v>227</v>
      </c>
      <c r="Q18">
        <v>1</v>
      </c>
    </row>
    <row r="19" spans="1:17" x14ac:dyDescent="0.25">
      <c r="B19" t="s">
        <v>17</v>
      </c>
      <c r="C19" t="s">
        <v>273</v>
      </c>
      <c r="D19" t="s">
        <v>274</v>
      </c>
      <c r="E19" t="s">
        <v>275</v>
      </c>
      <c r="F19" t="s">
        <v>77</v>
      </c>
      <c r="G19" s="15">
        <v>1775</v>
      </c>
      <c r="H19" s="15">
        <v>25</v>
      </c>
      <c r="I19" s="15">
        <f t="shared" si="0"/>
        <v>1750</v>
      </c>
      <c r="J19" t="s">
        <v>21</v>
      </c>
      <c r="K19" t="s">
        <v>21</v>
      </c>
      <c r="L19" t="s">
        <v>227</v>
      </c>
      <c r="Q19">
        <v>1</v>
      </c>
    </row>
    <row r="20" spans="1:17" x14ac:dyDescent="0.25">
      <c r="B20" t="s">
        <v>17</v>
      </c>
      <c r="C20" t="s">
        <v>276</v>
      </c>
      <c r="D20" t="s">
        <v>277</v>
      </c>
      <c r="E20" t="s">
        <v>278</v>
      </c>
      <c r="F20" t="s">
        <v>77</v>
      </c>
      <c r="G20" s="15">
        <v>0</v>
      </c>
      <c r="H20" s="15">
        <v>25</v>
      </c>
      <c r="I20" s="15">
        <f t="shared" si="0"/>
        <v>-25</v>
      </c>
      <c r="J20" t="s">
        <v>21</v>
      </c>
      <c r="K20" t="s">
        <v>21</v>
      </c>
      <c r="L20" t="s">
        <v>227</v>
      </c>
      <c r="Q20">
        <v>1</v>
      </c>
    </row>
    <row r="21" spans="1:17" x14ac:dyDescent="0.25">
      <c r="B21" t="s">
        <v>17</v>
      </c>
      <c r="C21" t="s">
        <v>279</v>
      </c>
      <c r="D21" t="s">
        <v>280</v>
      </c>
      <c r="E21" t="s">
        <v>281</v>
      </c>
      <c r="F21" t="s">
        <v>81</v>
      </c>
      <c r="G21" s="15">
        <v>1120</v>
      </c>
      <c r="H21" s="15">
        <v>30</v>
      </c>
      <c r="I21" s="15">
        <f t="shared" si="0"/>
        <v>1090</v>
      </c>
      <c r="J21" t="s">
        <v>21</v>
      </c>
      <c r="K21" t="s">
        <v>21</v>
      </c>
      <c r="L21" t="s">
        <v>227</v>
      </c>
      <c r="Q21">
        <v>1</v>
      </c>
    </row>
    <row r="22" spans="1:17" x14ac:dyDescent="0.25">
      <c r="B22" t="s">
        <v>17</v>
      </c>
      <c r="C22" t="s">
        <v>282</v>
      </c>
      <c r="D22" t="s">
        <v>283</v>
      </c>
      <c r="E22" t="s">
        <v>284</v>
      </c>
      <c r="F22" t="s">
        <v>285</v>
      </c>
      <c r="G22" s="15">
        <v>970</v>
      </c>
      <c r="H22" s="15">
        <v>20</v>
      </c>
      <c r="I22" s="15">
        <f t="shared" si="0"/>
        <v>950</v>
      </c>
      <c r="J22" t="s">
        <v>135</v>
      </c>
      <c r="K22" t="s">
        <v>21</v>
      </c>
      <c r="L22" t="s">
        <v>227</v>
      </c>
      <c r="Q22">
        <v>1</v>
      </c>
    </row>
    <row r="23" spans="1:17" x14ac:dyDescent="0.25">
      <c r="B23" t="s">
        <v>17</v>
      </c>
      <c r="C23" t="s">
        <v>286</v>
      </c>
      <c r="D23" t="s">
        <v>287</v>
      </c>
      <c r="E23" t="s">
        <v>288</v>
      </c>
      <c r="F23" s="15">
        <v>1</v>
      </c>
      <c r="G23" s="15">
        <v>845</v>
      </c>
      <c r="H23" s="15">
        <v>25</v>
      </c>
      <c r="I23" s="15">
        <f t="shared" si="0"/>
        <v>820</v>
      </c>
      <c r="J23" t="s">
        <v>135</v>
      </c>
      <c r="K23" t="s">
        <v>21</v>
      </c>
      <c r="L23" t="s">
        <v>227</v>
      </c>
      <c r="Q23">
        <v>1</v>
      </c>
    </row>
    <row r="24" spans="1:17" x14ac:dyDescent="0.25">
      <c r="B24" t="s">
        <v>17</v>
      </c>
      <c r="C24" t="s">
        <v>289</v>
      </c>
      <c r="D24" t="s">
        <v>290</v>
      </c>
      <c r="E24" t="s">
        <v>291</v>
      </c>
      <c r="F24" t="s">
        <v>85</v>
      </c>
      <c r="G24" s="15">
        <v>1720</v>
      </c>
      <c r="H24" s="15">
        <v>20</v>
      </c>
      <c r="I24" s="15">
        <f t="shared" si="0"/>
        <v>1700</v>
      </c>
      <c r="J24" t="s">
        <v>21</v>
      </c>
      <c r="K24" t="s">
        <v>21</v>
      </c>
      <c r="L24" t="s">
        <v>227</v>
      </c>
      <c r="Q24">
        <v>1</v>
      </c>
    </row>
    <row r="25" spans="1:17" x14ac:dyDescent="0.25">
      <c r="B25" t="s">
        <v>17</v>
      </c>
      <c r="C25" t="s">
        <v>292</v>
      </c>
      <c r="D25" t="s">
        <v>293</v>
      </c>
      <c r="E25" t="s">
        <v>294</v>
      </c>
      <c r="F25" s="15">
        <v>8</v>
      </c>
      <c r="G25" s="15">
        <v>850</v>
      </c>
      <c r="H25" s="15">
        <v>30</v>
      </c>
      <c r="I25" s="15">
        <f t="shared" si="0"/>
        <v>820</v>
      </c>
      <c r="J25" t="s">
        <v>226</v>
      </c>
      <c r="K25" t="s">
        <v>21</v>
      </c>
      <c r="L25" t="s">
        <v>227</v>
      </c>
      <c r="Q25">
        <v>1</v>
      </c>
    </row>
    <row r="26" spans="1:17" x14ac:dyDescent="0.25">
      <c r="B26" t="s">
        <v>17</v>
      </c>
      <c r="C26" t="s">
        <v>295</v>
      </c>
      <c r="D26" t="s">
        <v>296</v>
      </c>
      <c r="E26" t="s">
        <v>297</v>
      </c>
      <c r="F26" t="s">
        <v>85</v>
      </c>
      <c r="G26" s="15">
        <v>0</v>
      </c>
      <c r="H26" s="15">
        <v>20</v>
      </c>
      <c r="I26" s="15">
        <f t="shared" si="0"/>
        <v>-20</v>
      </c>
      <c r="J26" t="s">
        <v>21</v>
      </c>
      <c r="K26" t="s">
        <v>21</v>
      </c>
      <c r="L26" t="s">
        <v>227</v>
      </c>
      <c r="M26" t="s">
        <v>167</v>
      </c>
      <c r="Q26">
        <v>1</v>
      </c>
    </row>
    <row r="27" spans="1:17" x14ac:dyDescent="0.25">
      <c r="B27" t="s">
        <v>17</v>
      </c>
      <c r="C27" t="s">
        <v>111</v>
      </c>
      <c r="D27" t="s">
        <v>298</v>
      </c>
      <c r="E27" t="s">
        <v>299</v>
      </c>
      <c r="F27" t="s">
        <v>81</v>
      </c>
      <c r="G27" s="15">
        <v>860</v>
      </c>
      <c r="H27" s="15">
        <v>30</v>
      </c>
      <c r="I27" s="15">
        <f t="shared" si="0"/>
        <v>830</v>
      </c>
      <c r="J27" t="s">
        <v>21</v>
      </c>
      <c r="K27" t="s">
        <v>21</v>
      </c>
      <c r="L27" t="s">
        <v>227</v>
      </c>
      <c r="Q27">
        <v>1</v>
      </c>
    </row>
    <row r="28" spans="1:17" x14ac:dyDescent="0.25">
      <c r="A28" t="s">
        <v>16</v>
      </c>
      <c r="B28" t="s">
        <v>17</v>
      </c>
      <c r="C28" t="s">
        <v>300</v>
      </c>
      <c r="E28" t="s">
        <v>260</v>
      </c>
      <c r="F28" s="15">
        <v>12</v>
      </c>
      <c r="G28" s="15">
        <v>0</v>
      </c>
      <c r="H28" s="15">
        <v>60</v>
      </c>
      <c r="I28" s="15">
        <f t="shared" si="0"/>
        <v>-60</v>
      </c>
      <c r="J28" t="s">
        <v>21</v>
      </c>
      <c r="K28" t="s">
        <v>21</v>
      </c>
      <c r="L28" t="s">
        <v>227</v>
      </c>
      <c r="Q28">
        <v>1</v>
      </c>
    </row>
    <row r="29" spans="1:17" x14ac:dyDescent="0.25">
      <c r="B29" t="s">
        <v>17</v>
      </c>
      <c r="C29" t="s">
        <v>301</v>
      </c>
      <c r="D29" t="s">
        <v>302</v>
      </c>
      <c r="E29" t="s">
        <v>303</v>
      </c>
      <c r="F29" s="15">
        <v>4</v>
      </c>
      <c r="G29" s="15">
        <v>845</v>
      </c>
      <c r="H29" s="15">
        <v>25</v>
      </c>
      <c r="I29" s="15">
        <f t="shared" si="0"/>
        <v>820</v>
      </c>
      <c r="J29" t="s">
        <v>304</v>
      </c>
      <c r="K29" t="s">
        <v>21</v>
      </c>
      <c r="L29" t="s">
        <v>305</v>
      </c>
      <c r="M29" t="s">
        <v>204</v>
      </c>
      <c r="N29" t="s">
        <v>306</v>
      </c>
      <c r="O29" t="s">
        <v>306</v>
      </c>
      <c r="P29" t="s">
        <v>307</v>
      </c>
      <c r="Q29" s="15">
        <v>1</v>
      </c>
    </row>
    <row r="31" spans="1:17" x14ac:dyDescent="0.25">
      <c r="D31" s="6">
        <f>COUNTA(D3:D29)</f>
        <v>26</v>
      </c>
      <c r="G31" s="6">
        <f t="shared" ref="G31:Q31" si="1">SUBTOTAL(9,G3:G29)</f>
        <v>19400</v>
      </c>
      <c r="H31" s="6">
        <f t="shared" si="1"/>
        <v>740</v>
      </c>
      <c r="I31" s="6">
        <f t="shared" si="1"/>
        <v>18660</v>
      </c>
      <c r="J31" s="6">
        <f t="shared" si="1"/>
        <v>0</v>
      </c>
      <c r="K31" s="6">
        <f t="shared" si="1"/>
        <v>0</v>
      </c>
      <c r="L31" s="6">
        <f t="shared" si="1"/>
        <v>0</v>
      </c>
      <c r="M31" s="6">
        <f t="shared" si="1"/>
        <v>0</v>
      </c>
      <c r="N31" s="6">
        <f t="shared" si="1"/>
        <v>0</v>
      </c>
      <c r="O31" s="6">
        <f t="shared" si="1"/>
        <v>0</v>
      </c>
      <c r="P31" s="6">
        <f t="shared" si="1"/>
        <v>0</v>
      </c>
      <c r="Q31" s="6">
        <f t="shared" si="1"/>
        <v>27</v>
      </c>
    </row>
    <row r="32" spans="1:17" x14ac:dyDescent="0.25">
      <c r="H32">
        <f>-6*17</f>
        <v>-102</v>
      </c>
    </row>
    <row r="33" spans="1:16" x14ac:dyDescent="0.25">
      <c r="A33" s="6" t="s">
        <v>17</v>
      </c>
      <c r="C33" s="5" t="s">
        <v>191</v>
      </c>
      <c r="D33" s="5"/>
      <c r="E33" s="9" t="s">
        <v>192</v>
      </c>
      <c r="K33" s="16" t="s">
        <v>226</v>
      </c>
      <c r="L33" s="16" t="s">
        <v>193</v>
      </c>
      <c r="M33" s="16" t="s">
        <v>192</v>
      </c>
      <c r="O33" s="9" t="s">
        <v>194</v>
      </c>
    </row>
    <row r="34" spans="1:16" x14ac:dyDescent="0.25">
      <c r="A34" t="s">
        <v>227</v>
      </c>
      <c r="B34" s="8" t="s">
        <v>195</v>
      </c>
      <c r="C34" s="4">
        <f>SUMIFS(I$3:I$29,B$3:B$29,A$33,L$3:L$29,A$34)</f>
        <v>17840</v>
      </c>
      <c r="D34" s="4"/>
      <c r="E34" s="8">
        <f>SUMIFS(Q$3:Q$29,B$3:B$29,A$33,L$3:L$29,A$34)</f>
        <v>26</v>
      </c>
      <c r="F34" t="s">
        <v>196</v>
      </c>
      <c r="K34" t="s">
        <v>197</v>
      </c>
      <c r="L34">
        <f>SUMIFS(G$3:G$29,J$3:J$29,K$33)</f>
        <v>4430</v>
      </c>
      <c r="M34">
        <f>SUMIFS(Q$3:Q$29,J$3:J$29,K$33)-INT(COUNTIFS(J$3:J$29,K$33,M$3:M$29,"*gộp*")/2)</f>
        <v>6</v>
      </c>
      <c r="O34" t="s">
        <v>308</v>
      </c>
      <c r="P34">
        <f>L39</f>
        <v>4328</v>
      </c>
    </row>
    <row r="35" spans="1:16" x14ac:dyDescent="0.25">
      <c r="B35" s="7" t="s">
        <v>199</v>
      </c>
      <c r="C35" s="3">
        <v>0</v>
      </c>
      <c r="D35" s="3"/>
      <c r="K35" t="s">
        <v>200</v>
      </c>
      <c r="L35">
        <f>SUM(H32:H32)</f>
        <v>-102</v>
      </c>
      <c r="M35">
        <f>SUMIFS(Q$3:Q$29,J$3:J$29,K$33)-INT(COUNTIFS(J$3:J$29,K$33,M$3:M$29,"*gộp*")/2)</f>
        <v>6</v>
      </c>
      <c r="O35" t="s">
        <v>135</v>
      </c>
      <c r="P35">
        <f>L47</f>
        <v>2365</v>
      </c>
    </row>
    <row r="36" spans="1:16" x14ac:dyDescent="0.25">
      <c r="B36" s="7" t="s">
        <v>201</v>
      </c>
      <c r="C36" s="3">
        <f>-SUMIFS(I$3:I$29,B$3:B$29,A$33,P$3:P$29,"xx",N$3:N$29,"x")</f>
        <v>-820</v>
      </c>
      <c r="D36" s="3"/>
      <c r="E36" s="7">
        <f>SUMIFS(Q$3:Q$29,B$3:B$29,A$33,P$3:P$29,"xx",N$3:N$29,"x")</f>
        <v>1</v>
      </c>
      <c r="K36" t="s">
        <v>202</v>
      </c>
      <c r="O36" t="s">
        <v>21</v>
      </c>
      <c r="P36">
        <f>L55</f>
        <v>10435</v>
      </c>
    </row>
    <row r="37" spans="1:16" x14ac:dyDescent="0.25">
      <c r="B37" s="9" t="s">
        <v>203</v>
      </c>
      <c r="C37" s="5">
        <f>SUBTOTAL(9,C34:C36)</f>
        <v>17020</v>
      </c>
      <c r="D37" s="5"/>
      <c r="E37">
        <f>E34</f>
        <v>26</v>
      </c>
      <c r="K37" s="27" t="s">
        <v>204</v>
      </c>
      <c r="O37" t="s">
        <v>207</v>
      </c>
      <c r="P37">
        <f>-C41</f>
        <v>-17020</v>
      </c>
    </row>
    <row r="38" spans="1:16" x14ac:dyDescent="0.25">
      <c r="B38" s="7" t="s">
        <v>205</v>
      </c>
      <c r="C38" s="2"/>
      <c r="D38" s="2"/>
      <c r="K38" s="7" t="s">
        <v>206</v>
      </c>
      <c r="O38" s="9" t="s">
        <v>209</v>
      </c>
      <c r="P38" s="9">
        <f>SUBTOTAL(9,P34:P37)</f>
        <v>108</v>
      </c>
    </row>
    <row r="39" spans="1:16" x14ac:dyDescent="0.25">
      <c r="B39" s="17" t="s">
        <v>208</v>
      </c>
      <c r="C39" s="2"/>
      <c r="D39" s="2"/>
      <c r="L39" s="18">
        <f>SUBTOTAL(9,L34:L38)</f>
        <v>4328</v>
      </c>
      <c r="M39" s="18">
        <f>M34</f>
        <v>6</v>
      </c>
    </row>
    <row r="41" spans="1:16" x14ac:dyDescent="0.25">
      <c r="B41" s="6" t="s">
        <v>210</v>
      </c>
      <c r="C41" s="1">
        <f>C37+C38+C39</f>
        <v>17020</v>
      </c>
      <c r="D41" s="1"/>
      <c r="E41" s="6" t="s">
        <v>211</v>
      </c>
      <c r="K41" s="16" t="s">
        <v>135</v>
      </c>
      <c r="L41" s="16" t="s">
        <v>193</v>
      </c>
      <c r="M41" s="16" t="s">
        <v>192</v>
      </c>
    </row>
    <row r="42" spans="1:16" x14ac:dyDescent="0.25">
      <c r="K42" t="s">
        <v>197</v>
      </c>
      <c r="L42">
        <f>SUMIFS(G$3:G$29,J$3:J$29,K$41)</f>
        <v>3325</v>
      </c>
      <c r="M42">
        <f>SUMIFS(Q$3:Q$29,J$3:J$29,K$41)-INT(COUNTIFS(J$3:J$29,K$41,M$3:M$29,"*gộp*")/2)</f>
        <v>7</v>
      </c>
    </row>
    <row r="43" spans="1:16" x14ac:dyDescent="0.25">
      <c r="K43" t="s">
        <v>200</v>
      </c>
      <c r="L43">
        <f>-SUMIFS(H$3:H$29,J$3:J$29,K$41)+M43*5</f>
        <v>-135</v>
      </c>
      <c r="M43">
        <f>SUMIFS(Q$3:Q$29,J$3:J$29,K$41)-INT(COUNTIFS(J$3:J$29,K$41,M$3:M$29,"*gộp*")/2)</f>
        <v>7</v>
      </c>
    </row>
    <row r="44" spans="1:16" x14ac:dyDescent="0.25">
      <c r="K44" t="s">
        <v>202</v>
      </c>
    </row>
    <row r="45" spans="1:16" x14ac:dyDescent="0.25">
      <c r="K45" s="27" t="s">
        <v>204</v>
      </c>
      <c r="L45" s="27">
        <v>-825</v>
      </c>
      <c r="M45" s="27" t="s">
        <v>309</v>
      </c>
    </row>
    <row r="46" spans="1:16" x14ac:dyDescent="0.25">
      <c r="K46" s="7" t="s">
        <v>206</v>
      </c>
    </row>
    <row r="47" spans="1:16" x14ac:dyDescent="0.25">
      <c r="L47" s="18">
        <f>SUBTOTAL(9,L42:L46)</f>
        <v>2365</v>
      </c>
      <c r="M47" s="18">
        <f>M42</f>
        <v>7</v>
      </c>
    </row>
    <row r="49" spans="11:13" x14ac:dyDescent="0.25">
      <c r="K49" s="16" t="s">
        <v>21</v>
      </c>
      <c r="L49" s="16" t="s">
        <v>193</v>
      </c>
      <c r="M49" s="16" t="s">
        <v>192</v>
      </c>
    </row>
    <row r="50" spans="11:13" x14ac:dyDescent="0.25">
      <c r="K50" t="s">
        <v>197</v>
      </c>
      <c r="L50">
        <f>SUMIFS(G$3:G$29,J$3:J$29,K$49)</f>
        <v>10800</v>
      </c>
      <c r="M50">
        <f>SUMIFS(Q$3:Q$29,J$3:J$29,K$49)-INT(COUNTIFS(J$3:J$29,K$49,M$3:M$29,"*gộp*")/2)</f>
        <v>13</v>
      </c>
    </row>
    <row r="51" spans="11:13" x14ac:dyDescent="0.25">
      <c r="K51" t="s">
        <v>200</v>
      </c>
      <c r="L51">
        <f>-SUMIFS(H$3:H$29,J$3:J$29,K$49)+M51*5</f>
        <v>-315</v>
      </c>
      <c r="M51">
        <f>SUMIFS(Q$3:Q$29,J$3:J$29,K$49)-INT(COUNTIFS(J$3:J$29,K$49,M$3:M$29,"*gộp*")/2)</f>
        <v>13</v>
      </c>
    </row>
    <row r="52" spans="11:13" x14ac:dyDescent="0.25">
      <c r="K52" t="s">
        <v>202</v>
      </c>
      <c r="L52">
        <f>-M52*2</f>
        <v>-50</v>
      </c>
      <c r="M52">
        <f>E37-(COUNTIFS(M$3:M$29,"*gộp*")/2)-COUNTIFS(M$3:M$29,"*đơn trả*")-COUNTIFS(M$3:M$29,"*hàng tỉnh*")</f>
        <v>25</v>
      </c>
    </row>
    <row r="53" spans="11:13" x14ac:dyDescent="0.25">
      <c r="K53" s="27" t="s">
        <v>204</v>
      </c>
    </row>
    <row r="54" spans="11:13" x14ac:dyDescent="0.25">
      <c r="K54" s="7" t="s">
        <v>206</v>
      </c>
    </row>
    <row r="55" spans="11:13" x14ac:dyDescent="0.25">
      <c r="L55" s="18">
        <f>SUBTOTAL(9,L50:L54)</f>
        <v>10435</v>
      </c>
      <c r="M55" s="18">
        <f>M50</f>
        <v>13</v>
      </c>
    </row>
  </sheetData>
  <autoFilter ref="A2:P29" xr:uid="{00000000-0009-0000-0000-000002000000}"/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tabSelected="1" workbookViewId="0">
      <selection activeCell="B3" sqref="B3:D28"/>
    </sheetView>
  </sheetViews>
  <sheetFormatPr defaultColWidth="9.140625" defaultRowHeight="15" x14ac:dyDescent="0.25"/>
  <cols>
    <col min="1" max="1" width="9.42578125" style="10" bestFit="1" customWidth="1"/>
    <col min="2" max="2" width="10.85546875" style="10" bestFit="1" customWidth="1"/>
    <col min="3" max="3" width="9.42578125" style="10" bestFit="1" customWidth="1"/>
    <col min="4" max="4" width="17.5703125" style="10" bestFit="1" customWidth="1"/>
    <col min="5" max="5" width="15.85546875" style="10" bestFit="1" customWidth="1"/>
    <col min="6" max="6" width="9.140625" style="10" customWidth="1"/>
    <col min="7" max="16384" width="9.140625" style="10"/>
  </cols>
  <sheetData>
    <row r="1" spans="1:5" x14ac:dyDescent="0.25">
      <c r="A1" s="10" t="s">
        <v>212</v>
      </c>
      <c r="B1" s="10">
        <v>2026</v>
      </c>
    </row>
    <row r="2" spans="1:5" x14ac:dyDescent="0.25">
      <c r="A2" s="11" t="s">
        <v>213</v>
      </c>
      <c r="B2" s="11" t="s">
        <v>214</v>
      </c>
      <c r="C2" s="11" t="s">
        <v>215</v>
      </c>
      <c r="D2" s="11" t="s">
        <v>216</v>
      </c>
      <c r="E2" s="11" t="s">
        <v>217</v>
      </c>
    </row>
    <row r="3" spans="1:5" x14ac:dyDescent="0.25">
      <c r="A3" s="12">
        <v>46143</v>
      </c>
      <c r="B3" s="13">
        <f ca="1">IFERROR(COUNTIF(INDIRECT("'"&amp;TEXT(A3,"dd-mm")&amp;"'!L3:L200"),TEXT(A3,"dd-mm")&amp;"-"&amp;B$1),0)</f>
        <v>54</v>
      </c>
      <c r="C3" s="13">
        <f ca="1">IFERROR(COUNTIF(INDIRECT("'"&amp;TEXT(A3,"DD-MM")&amp;"'!M3:M200"),"*gộp*")/2,0)</f>
        <v>0</v>
      </c>
      <c r="D3" s="13" cm="1">
        <f t="array" ref="D3" ca="1">IFERROR(SUM(COUNTIF(INDIRECT("'"&amp;TEXT(A3,"DD-MM")&amp;"'!M3:M200"),{"*đơn trả*","*hàng tỉnh*"})),0)</f>
        <v>0</v>
      </c>
      <c r="E3" s="13">
        <f t="shared" ref="E3:E28" ca="1" si="0">B3-C3-D3</f>
        <v>54</v>
      </c>
    </row>
    <row r="4" spans="1:5" x14ac:dyDescent="0.25">
      <c r="A4" s="12">
        <v>46144</v>
      </c>
      <c r="B4" s="13">
        <f t="shared" ref="B4:B28" ca="1" si="1">IFERROR(COUNTIF(INDIRECT("'"&amp;TEXT(A4,"dd-mm")&amp;"'!L3:L200"),TEXT(A4,"dd-mm")&amp;"-"&amp;B$1),0)</f>
        <v>0</v>
      </c>
      <c r="C4" s="13">
        <f t="shared" ref="C4:C28" ca="1" si="2">IFERROR(COUNTIF(INDIRECT("'"&amp;TEXT(A4,"DD-MM")&amp;"'!M3:M200"),"*gộp*")/2,0)</f>
        <v>0</v>
      </c>
      <c r="D4" s="13" cm="1">
        <f t="array" aca="1" ref="D4" ca="1">IFERROR(SUM(COUNTIF(INDIRECT("'"&amp;TEXT(A4,"DD-MM")&amp;"'!M3:M200"),{"*đơn trả*","*hàng tỉnh*"})),0)</f>
        <v>0</v>
      </c>
      <c r="E4" s="13">
        <f t="shared" ca="1" si="0"/>
        <v>0</v>
      </c>
    </row>
    <row r="5" spans="1:5" x14ac:dyDescent="0.25">
      <c r="A5" s="12">
        <v>46146</v>
      </c>
      <c r="B5" s="13">
        <f t="shared" ca="1" si="1"/>
        <v>0</v>
      </c>
      <c r="C5" s="13">
        <f t="shared" ca="1" si="2"/>
        <v>0</v>
      </c>
      <c r="D5" s="13" cm="1">
        <f t="array" aca="1" ref="D5" ca="1">IFERROR(SUM(COUNTIF(INDIRECT("'"&amp;TEXT(A5,"DD-MM")&amp;"'!M3:M200"),{"*đơn trả*","*hàng tỉnh*"})),0)</f>
        <v>0</v>
      </c>
      <c r="E5" s="13">
        <f t="shared" ca="1" si="0"/>
        <v>0</v>
      </c>
    </row>
    <row r="6" spans="1:5" x14ac:dyDescent="0.25">
      <c r="A6" s="12">
        <v>46147</v>
      </c>
      <c r="B6" s="13">
        <f t="shared" ca="1" si="1"/>
        <v>0</v>
      </c>
      <c r="C6" s="13">
        <f t="shared" ca="1" si="2"/>
        <v>0</v>
      </c>
      <c r="D6" s="13" cm="1">
        <f t="array" aca="1" ref="D6" ca="1">IFERROR(SUM(COUNTIF(INDIRECT("'"&amp;TEXT(A6,"DD-MM")&amp;"'!M3:M200"),{"*đơn trả*","*hàng tỉnh*"})),0)</f>
        <v>0</v>
      </c>
      <c r="E6" s="13">
        <f t="shared" ca="1" si="0"/>
        <v>0</v>
      </c>
    </row>
    <row r="7" spans="1:5" x14ac:dyDescent="0.25">
      <c r="A7" s="12">
        <v>46148</v>
      </c>
      <c r="B7" s="13">
        <f t="shared" ca="1" si="1"/>
        <v>0</v>
      </c>
      <c r="C7" s="13">
        <f t="shared" ca="1" si="2"/>
        <v>0</v>
      </c>
      <c r="D7" s="13" cm="1">
        <f t="array" aca="1" ref="D7" ca="1">IFERROR(SUM(COUNTIF(INDIRECT("'"&amp;TEXT(A7,"DD-MM")&amp;"'!M3:M200"),{"*đơn trả*","*hàng tỉnh*"})),0)</f>
        <v>0</v>
      </c>
      <c r="E7" s="13">
        <f t="shared" ca="1" si="0"/>
        <v>0</v>
      </c>
    </row>
    <row r="8" spans="1:5" x14ac:dyDescent="0.25">
      <c r="A8" s="12">
        <v>46149</v>
      </c>
      <c r="B8" s="13">
        <f t="shared" ca="1" si="1"/>
        <v>0</v>
      </c>
      <c r="C8" s="13">
        <f t="shared" ca="1" si="2"/>
        <v>0</v>
      </c>
      <c r="D8" s="13" cm="1">
        <f t="array" aca="1" ref="D8" ca="1">IFERROR(SUM(COUNTIF(INDIRECT("'"&amp;TEXT(A8,"DD-MM")&amp;"'!M3:M200"),{"*đơn trả*","*hàng tỉnh*"})),0)</f>
        <v>0</v>
      </c>
      <c r="E8" s="13">
        <f t="shared" ca="1" si="0"/>
        <v>0</v>
      </c>
    </row>
    <row r="9" spans="1:5" x14ac:dyDescent="0.25">
      <c r="A9" s="12">
        <v>46150</v>
      </c>
      <c r="B9" s="13">
        <f t="shared" ca="1" si="1"/>
        <v>0</v>
      </c>
      <c r="C9" s="13">
        <f t="shared" ca="1" si="2"/>
        <v>0</v>
      </c>
      <c r="D9" s="13" cm="1">
        <f t="array" aca="1" ref="D9" ca="1">IFERROR(SUM(COUNTIF(INDIRECT("'"&amp;TEXT(A9,"DD-MM")&amp;"'!M3:M200"),{"*đơn trả*","*hàng tỉnh*"})),0)</f>
        <v>0</v>
      </c>
      <c r="E9" s="13">
        <f t="shared" ca="1" si="0"/>
        <v>0</v>
      </c>
    </row>
    <row r="10" spans="1:5" x14ac:dyDescent="0.25">
      <c r="A10" s="12">
        <v>46151</v>
      </c>
      <c r="B10" s="13">
        <f t="shared" ca="1" si="1"/>
        <v>0</v>
      </c>
      <c r="C10" s="13">
        <f t="shared" ca="1" si="2"/>
        <v>0</v>
      </c>
      <c r="D10" s="13" cm="1">
        <f t="array" aca="1" ref="D10" ca="1">IFERROR(SUM(COUNTIF(INDIRECT("'"&amp;TEXT(A10,"DD-MM")&amp;"'!M3:M200"),{"*đơn trả*","*hàng tỉnh*"})),0)</f>
        <v>0</v>
      </c>
      <c r="E10" s="13">
        <f t="shared" ca="1" si="0"/>
        <v>0</v>
      </c>
    </row>
    <row r="11" spans="1:5" x14ac:dyDescent="0.25">
      <c r="A11" s="12">
        <v>46153</v>
      </c>
      <c r="B11" s="13">
        <f t="shared" ca="1" si="1"/>
        <v>0</v>
      </c>
      <c r="C11" s="13">
        <f t="shared" ca="1" si="2"/>
        <v>0</v>
      </c>
      <c r="D11" s="13" cm="1">
        <f t="array" aca="1" ref="D11" ca="1">IFERROR(SUM(COUNTIF(INDIRECT("'"&amp;TEXT(A11,"DD-MM")&amp;"'!M3:M200"),{"*đơn trả*","*hàng tỉnh*"})),0)</f>
        <v>0</v>
      </c>
      <c r="E11" s="13">
        <f t="shared" ca="1" si="0"/>
        <v>0</v>
      </c>
    </row>
    <row r="12" spans="1:5" x14ac:dyDescent="0.25">
      <c r="A12" s="12">
        <v>46154</v>
      </c>
      <c r="B12" s="13">
        <f t="shared" ca="1" si="1"/>
        <v>0</v>
      </c>
      <c r="C12" s="13">
        <f t="shared" ca="1" si="2"/>
        <v>0</v>
      </c>
      <c r="D12" s="13" cm="1">
        <f t="array" aca="1" ref="D12" ca="1">IFERROR(SUM(COUNTIF(INDIRECT("'"&amp;TEXT(A12,"DD-MM")&amp;"'!M3:M200"),{"*đơn trả*","*hàng tỉnh*"})),0)</f>
        <v>0</v>
      </c>
      <c r="E12" s="13">
        <f t="shared" ca="1" si="0"/>
        <v>0</v>
      </c>
    </row>
    <row r="13" spans="1:5" x14ac:dyDescent="0.25">
      <c r="A13" s="12">
        <v>46155</v>
      </c>
      <c r="B13" s="13">
        <f t="shared" ca="1" si="1"/>
        <v>0</v>
      </c>
      <c r="C13" s="13">
        <f t="shared" ca="1" si="2"/>
        <v>0</v>
      </c>
      <c r="D13" s="13" cm="1">
        <f t="array" aca="1" ref="D13" ca="1">IFERROR(SUM(COUNTIF(INDIRECT("'"&amp;TEXT(A13,"DD-MM")&amp;"'!M3:M200"),{"*đơn trả*","*hàng tỉnh*"})),0)</f>
        <v>0</v>
      </c>
      <c r="E13" s="13">
        <f t="shared" ca="1" si="0"/>
        <v>0</v>
      </c>
    </row>
    <row r="14" spans="1:5" x14ac:dyDescent="0.25">
      <c r="A14" s="12">
        <v>46156</v>
      </c>
      <c r="B14" s="13">
        <f t="shared" ca="1" si="1"/>
        <v>0</v>
      </c>
      <c r="C14" s="13">
        <f t="shared" ca="1" si="2"/>
        <v>0</v>
      </c>
      <c r="D14" s="13" cm="1">
        <f t="array" aca="1" ref="D14" ca="1">IFERROR(SUM(COUNTIF(INDIRECT("'"&amp;TEXT(A14,"DD-MM")&amp;"'!M3:M200"),{"*đơn trả*","*hàng tỉnh*"})),0)</f>
        <v>0</v>
      </c>
      <c r="E14" s="13">
        <f t="shared" ca="1" si="0"/>
        <v>0</v>
      </c>
    </row>
    <row r="15" spans="1:5" x14ac:dyDescent="0.25">
      <c r="A15" s="12">
        <v>46157</v>
      </c>
      <c r="B15" s="13">
        <f t="shared" ca="1" si="1"/>
        <v>0</v>
      </c>
      <c r="C15" s="13">
        <f t="shared" ca="1" si="2"/>
        <v>0</v>
      </c>
      <c r="D15" s="13" cm="1">
        <f t="array" aca="1" ref="D15" ca="1">IFERROR(SUM(COUNTIF(INDIRECT("'"&amp;TEXT(A15,"DD-MM")&amp;"'!M3:M200"),{"*đơn trả*","*hàng tỉnh*"})),0)</f>
        <v>0</v>
      </c>
      <c r="E15" s="13">
        <f t="shared" ca="1" si="0"/>
        <v>0</v>
      </c>
    </row>
    <row r="16" spans="1:5" x14ac:dyDescent="0.25">
      <c r="A16" s="12">
        <v>46158</v>
      </c>
      <c r="B16" s="13">
        <f t="shared" ca="1" si="1"/>
        <v>0</v>
      </c>
      <c r="C16" s="13">
        <f t="shared" ca="1" si="2"/>
        <v>0</v>
      </c>
      <c r="D16" s="13" cm="1">
        <f t="array" aca="1" ref="D16" ca="1">IFERROR(SUM(COUNTIF(INDIRECT("'"&amp;TEXT(A16,"DD-MM")&amp;"'!M3:M200"),{"*đơn trả*","*hàng tỉnh*"})),0)</f>
        <v>0</v>
      </c>
      <c r="E16" s="13">
        <f t="shared" ca="1" si="0"/>
        <v>0</v>
      </c>
    </row>
    <row r="17" spans="1:5" x14ac:dyDescent="0.25">
      <c r="A17" s="12">
        <v>46160</v>
      </c>
      <c r="B17" s="13">
        <f t="shared" ca="1" si="1"/>
        <v>0</v>
      </c>
      <c r="C17" s="13">
        <f t="shared" ca="1" si="2"/>
        <v>0</v>
      </c>
      <c r="D17" s="13" cm="1">
        <f t="array" aca="1" ref="D17" ca="1">IFERROR(SUM(COUNTIF(INDIRECT("'"&amp;TEXT(A17,"DD-MM")&amp;"'!M3:M200"),{"*đơn trả*","*hàng tỉnh*"})),0)</f>
        <v>0</v>
      </c>
      <c r="E17" s="13">
        <f t="shared" ca="1" si="0"/>
        <v>0</v>
      </c>
    </row>
    <row r="18" spans="1:5" x14ac:dyDescent="0.25">
      <c r="A18" s="12">
        <v>46161</v>
      </c>
      <c r="B18" s="13">
        <f t="shared" ca="1" si="1"/>
        <v>0</v>
      </c>
      <c r="C18" s="13">
        <f t="shared" ca="1" si="2"/>
        <v>0</v>
      </c>
      <c r="D18" s="13" cm="1">
        <f t="array" aca="1" ref="D18" ca="1">IFERROR(SUM(COUNTIF(INDIRECT("'"&amp;TEXT(A18,"DD-MM")&amp;"'!M3:M200"),{"*đơn trả*","*hàng tỉnh*"})),0)</f>
        <v>0</v>
      </c>
      <c r="E18" s="13">
        <f t="shared" ca="1" si="0"/>
        <v>0</v>
      </c>
    </row>
    <row r="19" spans="1:5" x14ac:dyDescent="0.25">
      <c r="A19" s="12">
        <v>46162</v>
      </c>
      <c r="B19" s="13">
        <f t="shared" ca="1" si="1"/>
        <v>0</v>
      </c>
      <c r="C19" s="13">
        <f t="shared" ca="1" si="2"/>
        <v>0</v>
      </c>
      <c r="D19" s="13" cm="1">
        <f t="array" aca="1" ref="D19" ca="1">IFERROR(SUM(COUNTIF(INDIRECT("'"&amp;TEXT(A19,"DD-MM")&amp;"'!M3:M200"),{"*đơn trả*","*hàng tỉnh*"})),0)</f>
        <v>0</v>
      </c>
      <c r="E19" s="13">
        <f t="shared" ca="1" si="0"/>
        <v>0</v>
      </c>
    </row>
    <row r="20" spans="1:5" x14ac:dyDescent="0.25">
      <c r="A20" s="12">
        <v>46163</v>
      </c>
      <c r="B20" s="13">
        <f t="shared" ca="1" si="1"/>
        <v>0</v>
      </c>
      <c r="C20" s="13">
        <f t="shared" ca="1" si="2"/>
        <v>0</v>
      </c>
      <c r="D20" s="13" cm="1">
        <f t="array" aca="1" ref="D20" ca="1">IFERROR(SUM(COUNTIF(INDIRECT("'"&amp;TEXT(A20,"DD-MM")&amp;"'!M3:M200"),{"*đơn trả*","*hàng tỉnh*"})),0)</f>
        <v>0</v>
      </c>
      <c r="E20" s="13">
        <f t="shared" ca="1" si="0"/>
        <v>0</v>
      </c>
    </row>
    <row r="21" spans="1:5" x14ac:dyDescent="0.25">
      <c r="A21" s="12">
        <v>46164</v>
      </c>
      <c r="B21" s="13">
        <f t="shared" ca="1" si="1"/>
        <v>0</v>
      </c>
      <c r="C21" s="13">
        <f t="shared" ca="1" si="2"/>
        <v>0</v>
      </c>
      <c r="D21" s="13" cm="1">
        <f t="array" aca="1" ref="D21" ca="1">IFERROR(SUM(COUNTIF(INDIRECT("'"&amp;TEXT(A21,"DD-MM")&amp;"'!M3:M200"),{"*đơn trả*","*hàng tỉnh*"})),0)</f>
        <v>0</v>
      </c>
      <c r="E21" s="13">
        <f t="shared" ca="1" si="0"/>
        <v>0</v>
      </c>
    </row>
    <row r="22" spans="1:5" x14ac:dyDescent="0.25">
      <c r="A22" s="12">
        <v>46165</v>
      </c>
      <c r="B22" s="13">
        <f t="shared" ca="1" si="1"/>
        <v>0</v>
      </c>
      <c r="C22" s="13">
        <f t="shared" ca="1" si="2"/>
        <v>0</v>
      </c>
      <c r="D22" s="13" cm="1">
        <f t="array" aca="1" ref="D22" ca="1">IFERROR(SUM(COUNTIF(INDIRECT("'"&amp;TEXT(A22,"DD-MM")&amp;"'!M3:M200"),{"*đơn trả*","*hàng tỉnh*"})),0)</f>
        <v>0</v>
      </c>
      <c r="E22" s="13">
        <f t="shared" ca="1" si="0"/>
        <v>0</v>
      </c>
    </row>
    <row r="23" spans="1:5" x14ac:dyDescent="0.25">
      <c r="A23" s="12">
        <v>46167</v>
      </c>
      <c r="B23" s="13">
        <f t="shared" ca="1" si="1"/>
        <v>0</v>
      </c>
      <c r="C23" s="13">
        <f t="shared" ca="1" si="2"/>
        <v>0</v>
      </c>
      <c r="D23" s="13" cm="1">
        <f t="array" aca="1" ref="D23" ca="1">IFERROR(SUM(COUNTIF(INDIRECT("'"&amp;TEXT(A23,"DD-MM")&amp;"'!M3:M200"),{"*đơn trả*","*hàng tỉnh*"})),0)</f>
        <v>0</v>
      </c>
      <c r="E23" s="13">
        <f t="shared" ca="1" si="0"/>
        <v>0</v>
      </c>
    </row>
    <row r="24" spans="1:5" x14ac:dyDescent="0.25">
      <c r="A24" s="12">
        <v>46168</v>
      </c>
      <c r="B24" s="13">
        <f t="shared" ca="1" si="1"/>
        <v>0</v>
      </c>
      <c r="C24" s="13">
        <f t="shared" ca="1" si="2"/>
        <v>0</v>
      </c>
      <c r="D24" s="13" cm="1">
        <f t="array" aca="1" ref="D24" ca="1">IFERROR(SUM(COUNTIF(INDIRECT("'"&amp;TEXT(A24,"DD-MM")&amp;"'!M3:M200"),{"*đơn trả*","*hàng tỉnh*"})),0)</f>
        <v>0</v>
      </c>
      <c r="E24" s="13">
        <f t="shared" ca="1" si="0"/>
        <v>0</v>
      </c>
    </row>
    <row r="25" spans="1:5" x14ac:dyDescent="0.25">
      <c r="A25" s="12">
        <v>46169</v>
      </c>
      <c r="B25" s="13">
        <f t="shared" ca="1" si="1"/>
        <v>0</v>
      </c>
      <c r="C25" s="13">
        <f t="shared" ca="1" si="2"/>
        <v>0</v>
      </c>
      <c r="D25" s="13" cm="1">
        <f t="array" aca="1" ref="D25" ca="1">IFERROR(SUM(COUNTIF(INDIRECT("'"&amp;TEXT(A25,"DD-MM")&amp;"'!M3:M200"),{"*đơn trả*","*hàng tỉnh*"})),0)</f>
        <v>0</v>
      </c>
      <c r="E25" s="13">
        <f t="shared" ca="1" si="0"/>
        <v>0</v>
      </c>
    </row>
    <row r="26" spans="1:5" x14ac:dyDescent="0.25">
      <c r="A26" s="12">
        <v>46170</v>
      </c>
      <c r="B26" s="13">
        <f t="shared" ca="1" si="1"/>
        <v>26</v>
      </c>
      <c r="C26" s="13">
        <f t="shared" ca="1" si="2"/>
        <v>0</v>
      </c>
      <c r="D26" s="13" cm="1">
        <f t="array" aca="1" ref="D26" ca="1">IFERROR(SUM(COUNTIF(INDIRECT("'"&amp;TEXT(A26,"DD-MM")&amp;"'!M3:M200"),{"*đơn trả*","*hàng tỉnh*"})),0)</f>
        <v>1</v>
      </c>
      <c r="E26" s="13">
        <f t="shared" ca="1" si="0"/>
        <v>25</v>
      </c>
    </row>
    <row r="27" spans="1:5" x14ac:dyDescent="0.25">
      <c r="A27" s="12">
        <v>46171</v>
      </c>
      <c r="B27" s="13">
        <f t="shared" ca="1" si="1"/>
        <v>0</v>
      </c>
      <c r="C27" s="13">
        <f t="shared" ca="1" si="2"/>
        <v>0</v>
      </c>
      <c r="D27" s="13" cm="1">
        <f t="array" aca="1" ref="D27" ca="1">IFERROR(SUM(COUNTIF(INDIRECT("'"&amp;TEXT(A27,"DD-MM")&amp;"'!M3:M200"),{"*đơn trả*","*hàng tỉnh*"})),0)</f>
        <v>0</v>
      </c>
      <c r="E27" s="13">
        <f t="shared" ca="1" si="0"/>
        <v>0</v>
      </c>
    </row>
    <row r="28" spans="1:5" x14ac:dyDescent="0.25">
      <c r="A28" s="12">
        <v>46172</v>
      </c>
      <c r="B28" s="13">
        <f t="shared" ca="1" si="1"/>
        <v>0</v>
      </c>
      <c r="C28" s="13">
        <f t="shared" ca="1" si="2"/>
        <v>0</v>
      </c>
      <c r="D28" s="13" cm="1">
        <f t="array" aca="1" ref="D28" ca="1">IFERROR(SUM(COUNTIF(INDIRECT("'"&amp;TEXT(A28,"DD-MM")&amp;"'!M3:M200"),{"*đơn trả*","*hàng tỉnh*"})),0)</f>
        <v>0</v>
      </c>
      <c r="E28" s="13">
        <f t="shared" ca="1" si="0"/>
        <v>0</v>
      </c>
    </row>
    <row r="29" spans="1:5" x14ac:dyDescent="0.25">
      <c r="D29" s="14" t="s">
        <v>218</v>
      </c>
      <c r="E29" s="14">
        <f ca="1">SUBTOTAL(9,E4:E28)</f>
        <v>25</v>
      </c>
    </row>
    <row r="30" spans="1:5" x14ac:dyDescent="0.25">
      <c r="D30" s="14" t="s">
        <v>219</v>
      </c>
      <c r="E30" s="14" cm="1">
        <f t="array" ref="E30" ca="1">SUMPRODUCT(
    IFERROR(
        SUMIF(
            INDIRECT("'"&amp;TEXT(A4:A28,"dd-mm")&amp;"'!O:O"),
            "tổng",
            INDIRECT("'"&amp;TEXT(A4:A28,"dd-mm")&amp;"'!P:P")
        ),
    0)
)</f>
        <v>108</v>
      </c>
    </row>
    <row r="31" spans="1:5" x14ac:dyDescent="0.25">
      <c r="D31" s="14" t="s">
        <v>220</v>
      </c>
      <c r="E31" s="14">
        <f ca="1">-E29*2</f>
        <v>-50</v>
      </c>
    </row>
    <row r="32" spans="1:5" x14ac:dyDescent="0.25">
      <c r="D32" s="14" t="s">
        <v>221</v>
      </c>
      <c r="E32" s="14">
        <f ca="1">SUBTOTAL(9,E30:E31)</f>
        <v>58</v>
      </c>
    </row>
  </sheetData>
  <autoFilter ref="A2:E28" xr:uid="{00000000-0009-0000-0000-000001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01-05</vt:lpstr>
      <vt:lpstr>28-05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2026-05-28T04:15:05Z</dcterms:modified>
</cp:coreProperties>
</file>