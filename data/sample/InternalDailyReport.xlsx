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2B08A2CF-0D78-4FBC-B3C7-0AFFC0A843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-05" sheetId="7" r:id="rId1"/>
    <sheet name="Sheet1" sheetId="19" r:id="rId2"/>
  </sheets>
  <definedNames>
    <definedName name="_xlnm._FilterDatabase" localSheetId="0" hidden="1">'01-05'!$A$2:$P$56</definedName>
    <definedName name="_xlnm._FilterDatabase" localSheetId="1" hidden="1">Sheet1!$A$2:$E$28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" i="7" l="1"/>
  <c r="R53" i="7"/>
  <c r="R52" i="7"/>
  <c r="R46" i="7"/>
  <c r="R42" i="7"/>
  <c r="R33" i="7"/>
  <c r="R28" i="7"/>
  <c r="R26" i="7"/>
  <c r="R24" i="7"/>
  <c r="R20" i="7"/>
  <c r="R19" i="7"/>
  <c r="R16" i="7"/>
  <c r="R9" i="7"/>
  <c r="R48" i="7"/>
  <c r="D3" i="19" a="1"/>
  <c r="E30" i="19" a="1"/>
  <c r="I4" i="7"/>
  <c r="I5" i="7"/>
  <c r="I6" i="7"/>
  <c r="I38" i="7"/>
  <c r="I7" i="7"/>
  <c r="I8" i="7"/>
  <c r="I18" i="7"/>
  <c r="I39" i="7"/>
  <c r="I9" i="7"/>
  <c r="I40" i="7"/>
  <c r="I41" i="7"/>
  <c r="I19" i="7"/>
  <c r="I20" i="7"/>
  <c r="I42" i="7"/>
  <c r="I21" i="7"/>
  <c r="I22" i="7"/>
  <c r="I10" i="7"/>
  <c r="I23" i="7"/>
  <c r="I11" i="7"/>
  <c r="I24" i="7"/>
  <c r="I43" i="7"/>
  <c r="I25" i="7"/>
  <c r="I26" i="7"/>
  <c r="I12" i="7"/>
  <c r="I44" i="7"/>
  <c r="I27" i="7"/>
  <c r="I13" i="7"/>
  <c r="I28" i="7"/>
  <c r="I29" i="7"/>
  <c r="I14" i="7"/>
  <c r="I45" i="7"/>
  <c r="I46" i="7"/>
  <c r="I47" i="7"/>
  <c r="I30" i="7"/>
  <c r="I48" i="7"/>
  <c r="I15" i="7"/>
  <c r="I31" i="7"/>
  <c r="I49" i="7"/>
  <c r="I16" i="7"/>
  <c r="I32" i="7"/>
  <c r="I50" i="7"/>
  <c r="I33" i="7"/>
  <c r="I51" i="7"/>
  <c r="I52" i="7"/>
  <c r="I17" i="7"/>
  <c r="I34" i="7"/>
  <c r="I53" i="7"/>
  <c r="I54" i="7"/>
  <c r="I35" i="7"/>
  <c r="I55" i="7"/>
  <c r="I3" i="7"/>
  <c r="I56" i="7"/>
  <c r="I36" i="7"/>
  <c r="I37" i="7"/>
  <c r="D58" i="7"/>
  <c r="G58" i="7"/>
  <c r="H58" i="7"/>
  <c r="J58" i="7"/>
  <c r="K58" i="7"/>
  <c r="L58" i="7"/>
  <c r="M58" i="7"/>
  <c r="N58" i="7"/>
  <c r="O58" i="7"/>
  <c r="P58" i="7"/>
  <c r="Q58" i="7"/>
  <c r="H59" i="7"/>
  <c r="L62" i="7" s="1"/>
  <c r="H60" i="7"/>
  <c r="C61" i="7"/>
  <c r="C64" i="7" s="1"/>
  <c r="C68" i="7" s="1"/>
  <c r="P65" i="7" s="1"/>
  <c r="E61" i="7"/>
  <c r="E64" i="7" s="1"/>
  <c r="M79" i="7" s="1"/>
  <c r="L79" i="7" s="1"/>
  <c r="L61" i="7"/>
  <c r="M61" i="7"/>
  <c r="M66" i="7" s="1"/>
  <c r="M62" i="7"/>
  <c r="C63" i="7"/>
  <c r="E63" i="7"/>
  <c r="L69" i="7"/>
  <c r="M69" i="7"/>
  <c r="M74" i="7" s="1"/>
  <c r="M70" i="7"/>
  <c r="L70" i="7" s="1"/>
  <c r="L77" i="7"/>
  <c r="M77" i="7"/>
  <c r="M82" i="7" s="1"/>
  <c r="M78" i="7"/>
  <c r="L78" i="7" s="1"/>
  <c r="L85" i="7"/>
  <c r="M85" i="7"/>
  <c r="M90" i="7" s="1"/>
  <c r="M86" i="7"/>
  <c r="L86" i="7" s="1"/>
  <c r="L90" i="7" s="1"/>
  <c r="P64" i="7" s="1"/>
  <c r="B4" i="19"/>
  <c r="D6" i="19" a="1"/>
  <c r="C11" i="19"/>
  <c r="B16" i="19"/>
  <c r="D18" i="19" a="1"/>
  <c r="C23" i="19"/>
  <c r="B28" i="19"/>
  <c r="C4" i="19"/>
  <c r="B9" i="19"/>
  <c r="D11" i="19" a="1"/>
  <c r="C16" i="19"/>
  <c r="B21" i="19"/>
  <c r="D23" i="19" a="1"/>
  <c r="C28" i="19"/>
  <c r="D4" i="19" a="1"/>
  <c r="C9" i="19"/>
  <c r="B14" i="19"/>
  <c r="D16" i="19" a="1"/>
  <c r="C21" i="19"/>
  <c r="B26" i="19"/>
  <c r="D28" i="19" a="1"/>
  <c r="B7" i="19"/>
  <c r="D9" i="19" a="1"/>
  <c r="C14" i="19"/>
  <c r="B19" i="19"/>
  <c r="D21" i="19" a="1"/>
  <c r="C26" i="19"/>
  <c r="C7" i="19"/>
  <c r="B12" i="19"/>
  <c r="D14" i="19" a="1"/>
  <c r="C19" i="19"/>
  <c r="B24" i="19"/>
  <c r="D26" i="19" a="1"/>
  <c r="C24" i="19"/>
  <c r="C18" i="19"/>
  <c r="B5" i="19"/>
  <c r="D7" i="19" a="1"/>
  <c r="C12" i="19"/>
  <c r="B17" i="19"/>
  <c r="D19" i="19" a="1"/>
  <c r="C6" i="19"/>
  <c r="C5" i="19"/>
  <c r="B10" i="19"/>
  <c r="D12" i="19" a="1"/>
  <c r="C17" i="19"/>
  <c r="B22" i="19"/>
  <c r="D24" i="19" a="1"/>
  <c r="B11" i="19"/>
  <c r="B23" i="19"/>
  <c r="D5" i="19" a="1"/>
  <c r="C10" i="19"/>
  <c r="B15" i="19"/>
  <c r="D17" i="19" a="1"/>
  <c r="C22" i="19"/>
  <c r="B27" i="19"/>
  <c r="D13" i="19" a="1"/>
  <c r="B8" i="19"/>
  <c r="D10" i="19" a="1"/>
  <c r="C15" i="19"/>
  <c r="B20" i="19"/>
  <c r="D22" i="19" a="1"/>
  <c r="C27" i="19"/>
  <c r="C8" i="19"/>
  <c r="B13" i="19"/>
  <c r="D15" i="19" a="1"/>
  <c r="C20" i="19"/>
  <c r="B25" i="19"/>
  <c r="D27" i="19" a="1"/>
  <c r="B6" i="19"/>
  <c r="D8" i="19" a="1"/>
  <c r="C13" i="19"/>
  <c r="B18" i="19"/>
  <c r="D20" i="19" a="1"/>
  <c r="C25" i="19"/>
  <c r="D25" i="19" a="1"/>
  <c r="D3" i="19"/>
  <c r="E30" i="19"/>
  <c r="C3" i="19"/>
  <c r="D25" i="19" l="1"/>
  <c r="E25" i="19" s="1"/>
  <c r="D20" i="19"/>
  <c r="D8" i="19"/>
  <c r="D27" i="19"/>
  <c r="D15" i="19"/>
  <c r="E13" i="19"/>
  <c r="D22" i="19"/>
  <c r="E20" i="19"/>
  <c r="D10" i="19"/>
  <c r="E8" i="19"/>
  <c r="D13" i="19"/>
  <c r="E27" i="19"/>
  <c r="D17" i="19"/>
  <c r="E17" i="19" s="1"/>
  <c r="E15" i="19"/>
  <c r="D5" i="19"/>
  <c r="E23" i="19"/>
  <c r="D24" i="19"/>
  <c r="E24" i="19" s="1"/>
  <c r="E22" i="19"/>
  <c r="D12" i="19"/>
  <c r="E12" i="19" s="1"/>
  <c r="E10" i="19"/>
  <c r="D19" i="19"/>
  <c r="E19" i="19" s="1"/>
  <c r="D7" i="19"/>
  <c r="E5" i="19"/>
  <c r="D26" i="19"/>
  <c r="E26" i="19" s="1"/>
  <c r="D14" i="19"/>
  <c r="D21" i="19"/>
  <c r="E21" i="19" s="1"/>
  <c r="D9" i="19"/>
  <c r="E9" i="19" s="1"/>
  <c r="E7" i="19"/>
  <c r="D28" i="19"/>
  <c r="E28" i="19" s="1"/>
  <c r="D16" i="19"/>
  <c r="E14" i="19"/>
  <c r="D4" i="19"/>
  <c r="E4" i="19" s="1"/>
  <c r="D23" i="19"/>
  <c r="D11" i="19"/>
  <c r="E11" i="19" s="1"/>
  <c r="D18" i="19"/>
  <c r="E18" i="19" s="1"/>
  <c r="E16" i="19"/>
  <c r="D6" i="19"/>
  <c r="E6" i="19" s="1"/>
  <c r="L66" i="7"/>
  <c r="P61" i="7" s="1"/>
  <c r="I58" i="7"/>
  <c r="L74" i="7"/>
  <c r="L82" i="7"/>
  <c r="P63" i="7" s="1"/>
  <c r="B3" i="19"/>
  <c r="E3" i="19" l="1"/>
  <c r="P62" i="7"/>
  <c r="P66" i="7" s="1"/>
  <c r="E29" i="19"/>
  <c r="E31" i="19" s="1"/>
  <c r="E32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<sst xmlns="http://schemas.openxmlformats.org/spreadsheetml/2006/main" count="482" uniqueCount="222">
  <si>
    <t>THÁNG 5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</si>
  <si>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</si>
  <si>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</si>
  <si>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</si>
  <si>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</si>
  <si>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</si>
  <si>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</si>
  <si>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</si>
  <si>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</si>
  <si>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</si>
  <si>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</si>
  <si>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</si>
  <si>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</si>
  <si>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</si>
  <si>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</si>
  <si>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</si>
  <si>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</si>
  <si>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</si>
  <si>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</si>
  <si>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</si>
  <si>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</si>
  <si>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</si>
  <si>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</si>
  <si>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</si>
  <si>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</si>
  <si>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</si>
  <si>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</si>
  <si>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Thu Lê</t>
  </si>
  <si>
    <t>HD017813</t>
  </si>
  <si>
    <t>293 vành đai trong, P.Bình trị đông B</t>
  </si>
  <si>
    <t>binh tan</t>
  </si>
  <si>
    <t>AT 01-05</t>
  </si>
  <si>
    <t>c.cuong</t>
  </si>
  <si>
    <t>01-05-2026</t>
  </si>
  <si>
    <t>Như Quỳnh</t>
  </si>
  <si>
    <t>HD017879</t>
  </si>
  <si>
    <t>56/13/18 huỳnh thị hai phường tân chánh hiệp</t>
  </si>
  <si>
    <t>C Thảo Thao Nguyen</t>
  </si>
  <si>
    <t>HD017906</t>
  </si>
  <si>
    <t>111/8B Trường Chinh, phường Đông Hưng Thuận</t>
  </si>
  <si>
    <t>Nguyễn Havy</t>
  </si>
  <si>
    <t>HD017867</t>
  </si>
  <si>
    <t>CC The Park Residence, 12 Nguyễn Hữu Thọ, Phước Kiển</t>
  </si>
  <si>
    <t>nha be</t>
  </si>
  <si>
    <t>c.hieu</t>
  </si>
  <si>
    <t>Kim Bình</t>
  </si>
  <si>
    <t>HD018057</t>
  </si>
  <si>
    <t>1253 phạm thế hiển p5</t>
  </si>
  <si>
    <t>Ánh Linh</t>
  </si>
  <si>
    <t>HD018056</t>
  </si>
  <si>
    <t>Toà A chung cư diamond 49C lê quang kim p8</t>
  </si>
  <si>
    <t>ng nhận Duyên Mai</t>
  </si>
  <si>
    <t>HD017665</t>
  </si>
  <si>
    <t>lexington residence block c67 Mai chí thọ An Phú</t>
  </si>
  <si>
    <t>Minơ fb Lê Tú</t>
  </si>
  <si>
    <t>HD017844</t>
  </si>
  <si>
    <t>chung cư Sài Gòn Mia - lock A ) 200 đường số 9A- xã bình hưng</t>
  </si>
  <si>
    <t>binh chanh</t>
  </si>
  <si>
    <t>W3235</t>
  </si>
  <si>
    <t>HD017713</t>
  </si>
  <si>
    <t>375 tân thới hiệp 21, Tổ 3,Kp3</t>
  </si>
  <si>
    <t>Phuong Thaoo</t>
  </si>
  <si>
    <t>HD018004</t>
  </si>
  <si>
    <t>12c trần phú p4</t>
  </si>
  <si>
    <t>Trang Lưu</t>
  </si>
  <si>
    <t>HD017868</t>
  </si>
  <si>
    <t>223/2G phạm viết chánh phường nguyễn cư trinh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</si>
  <si>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</si>
  <si>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</si>
  <si>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</si>
  <si>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</si>
  <si>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</si>
  <si>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</si>
  <si>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</si>
  <si>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Yun Sokhour D17386666</t>
  </si>
  <si>
    <t>HD017709</t>
  </si>
  <si>
    <t>nhà xe Khải nam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</si>
  <si>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</si>
  <si>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</si>
  <si>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</si>
  <si>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</si>
  <si>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</si>
  <si>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</si>
  <si>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</si>
  <si>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</si>
  <si>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Đỗ Nhi</t>
  </si>
  <si>
    <t>HD017976</t>
  </si>
  <si>
    <t>25/49/15/8 nguyễn minh châu</t>
  </si>
  <si>
    <t>tan phu</t>
  </si>
  <si>
    <t>Trần Thảo Na</t>
  </si>
  <si>
    <t>HD018101</t>
  </si>
  <si>
    <t>74/5/47A đường số 9 phường an hội đông</t>
  </si>
  <si>
    <t>Nguyễn Thị Khánh Ly</t>
  </si>
  <si>
    <t>HD017945</t>
  </si>
  <si>
    <t>Chung cư akari block 9</t>
  </si>
  <si>
    <t>Triệu Vy _ Cindy</t>
  </si>
  <si>
    <t>HD017806</t>
  </si>
  <si>
    <t>403 Tân Sơn, p12</t>
  </si>
  <si>
    <t>Uyên Thư</t>
  </si>
  <si>
    <t>HD017958</t>
  </si>
  <si>
    <t>Nguyễn Đình Chiêu Phường Bàn Cờ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</si>
  <si>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</si>
  <si>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</si>
  <si>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</si>
  <si>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</si>
  <si>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</si>
  <si>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</si>
  <si>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</si>
  <si>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Võ Thục Trinh</t>
  </si>
  <si>
    <t>HD017966</t>
  </si>
  <si>
    <t>Chung cư Topaz City block A1, 39 Cao Lỗ P4</t>
  </si>
  <si>
    <t>Mỹ Kiều</t>
  </si>
  <si>
    <t>HD017795</t>
  </si>
  <si>
    <t>51 lê quý đôn phường xuân hòa</t>
  </si>
  <si>
    <t>Thu Thảo</t>
  </si>
  <si>
    <t>HD018090</t>
  </si>
  <si>
    <t>401 /21 phường 8, Nguyễn văn khối</t>
  </si>
  <si>
    <t>Hang Nguyen fb Bella Nguyen</t>
  </si>
  <si>
    <t>HD018060</t>
  </si>
  <si>
    <t>10/23 chiến lược p bình trị đông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</si>
  <si>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</si>
  <si>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</si>
  <si>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</si>
  <si>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</si>
  <si>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</si>
  <si>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</si>
  <si>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Ruby Nguyễn</t>
  </si>
  <si>
    <t>HD018067</t>
  </si>
  <si>
    <t>M37/15 Cư Xá Phú Lâm A Phường 12</t>
  </si>
  <si>
    <t>Thu Thuỷ</t>
  </si>
  <si>
    <t>HD018074</t>
  </si>
  <si>
    <t>181 đường 79 tân quy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</si>
  <si>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</si>
  <si>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</si>
  <si>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</si>
  <si>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</si>
  <si>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</si>
  <si>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</si>
  <si>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Mộng Thuý Trảo</t>
  </si>
  <si>
    <t>HD017827</t>
  </si>
  <si>
    <t>53A kha vạn cân, kp1, hiệp bình chánh</t>
  </si>
  <si>
    <t>anh phước (đồ của chị yến)</t>
  </si>
  <si>
    <t>HD017832</t>
  </si>
  <si>
    <t>241 lê thánh tôn, p. bến thành</t>
  </si>
  <si>
    <t>shop chịu ship</t>
  </si>
  <si>
    <t>Diễn Phan</t>
  </si>
  <si>
    <t>HD017789</t>
  </si>
  <si>
    <t>11/26/14 đường nam cao, p tân phú</t>
  </si>
  <si>
    <t>Ngọc Ánh</t>
  </si>
  <si>
    <t>HD018053</t>
  </si>
  <si>
    <t>236/43/9 điện biên phủ</t>
  </si>
  <si>
    <t>Nhu Thanh</t>
  </si>
  <si>
    <t>HD017793</t>
  </si>
  <si>
    <t>99 D1 Hoàng Trọng Mậu, Him Lam, Tân Hưng</t>
  </si>
  <si>
    <t>fb Thuyên Quyên</t>
  </si>
  <si>
    <t>HD018007</t>
  </si>
  <si>
    <t>68B/23/1C hương lộ 2, phường bình trị đông A</t>
  </si>
  <si>
    <t>An An</t>
  </si>
  <si>
    <t>HD017441</t>
  </si>
  <si>
    <t>374 Xô viết nghệ tĩnh, P25</t>
  </si>
  <si>
    <t>Mone Ng</t>
  </si>
  <si>
    <t>HD017667</t>
  </si>
  <si>
    <t>Sky Garden 2 p tân phong PMH</t>
  </si>
  <si>
    <t>Ngân Phan</t>
  </si>
  <si>
    <t>HD017688</t>
  </si>
  <si>
    <t>Chung cư Sarina tháp B (Sarina 1B), đường B2, mặt sau đường Hoàng Thế Thiện, Phường An Khánh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</si>
  <si>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</si>
  <si>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</si>
  <si>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</si>
  <si>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</si>
  <si>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</si>
  <si>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</si>
  <si>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Hoa Tuyết</t>
  </si>
  <si>
    <t>HD017605</t>
  </si>
  <si>
    <t>126A/4 tổ 17 trung mỹ tây</t>
  </si>
  <si>
    <t>Mén HM</t>
  </si>
  <si>
    <t>HD017895</t>
  </si>
  <si>
    <t>Toà landmark 2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</si>
  <si>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</si>
  <si>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</si>
  <si>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</si>
  <si>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</si>
  <si>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</si>
  <si>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</si>
  <si>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Trúc Phương</t>
  </si>
  <si>
    <t>HD017982</t>
  </si>
  <si>
    <t>Chung cư citiesto, cát lái</t>
  </si>
  <si>
    <t>đổi hàng</t>
  </si>
  <si>
    <t>Thao My</t>
  </si>
  <si>
    <t>HD017676</t>
  </si>
  <si>
    <t>346 Bên Vân đồn f1 Chung cư Gold View</t>
  </si>
  <si>
    <t>hàng sỉ</t>
  </si>
  <si>
    <t>MAI CHI</t>
  </si>
  <si>
    <t>toa BS16 - The oasis - vinhome grand park</t>
  </si>
  <si>
    <t>a.quyen</t>
  </si>
  <si>
    <t>MAI TRẦN</t>
  </si>
  <si>
    <t>135 hải thượng lãn ông P10</t>
  </si>
  <si>
    <t>BOS BMB</t>
  </si>
  <si>
    <t>119 hoàng diệu 2 linh trung</t>
  </si>
  <si>
    <t>jenny bouti</t>
  </si>
  <si>
    <t>401 Quang trung f10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</si>
  <si>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</si>
  <si>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</si>
  <si>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</si>
  <si>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</si>
  <si>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</si>
  <si>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</si>
  <si>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</si>
  <si>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01-05</t>
  </si>
  <si>
    <t>Trừ Ship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</si>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</sst>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26">
    <xf numFmtId="0" fontId="0" fillId="0" borderId="0" xfId="0"/>
    <xf numFmtId="0" fontId="4" fillId="5" borderId="0" xfId="0" applyFont="1" applyFill="1"/>
    <xf numFmtId="0" fontId="5" fillId="0" borderId="0" xfId="0" applyFont="1"/>
    <xf numFmtId="0" fontId="0" fillId="5" borderId="0" xfId="0" applyFill="1"/>
    <xf numFmtId="0" fontId="4" fillId="0" borderId="0" xfId="0" applyFont="1"/>
    <xf numFmtId="0" fontId="1" fillId="0" borderId="0" xfId="1" applyFon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0" xfId="0" applyFont="1" applyFill="1"/>
    <xf numFmtId="3" fontId="0" fillId="0" borderId="0" xfId="0" applyNumberFormat="1"/>
    <xf numFmtId="0" fontId="4" fillId="6" borderId="0" xfId="0" applyFont="1" applyFill="1"/>
    <xf numFmtId="0" fontId="0" fillId="7" borderId="0" xfId="0" applyFill="1"/>
    <xf numFmtId="0" fontId="4" fillId="8" borderId="0" xfId="0" applyFont="1" applyFill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5" fillId="2" borderId="1" xfId="0" applyFont="1" applyFill="1" applyBorder="1"/>
    <xf numFmtId="0" fontId="0" fillId="0" borderId="0" xfId="0"/>
    <xf numFmtId="0" fontId="4" fillId="5" borderId="0" xfId="0" applyFont="1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90"/>
  <sheetViews>
    <sheetView topLeftCell="A43" zoomScaleNormal="100" workbookViewId="0">
      <selection activeCell="E70" sqref="E70"/>
    </sheetView>
  </sheetViews>
  <sheetFormatPr defaultRowHeight="15" x14ac:dyDescent="0.25"/>
  <cols>
    <col min="1" max="1" width="12.7109375" customWidth="1"/>
    <col min="2" max="2" width="17.7109375" customWidth="1"/>
    <col min="3" max="3" width="31.5703125" customWidth="1"/>
    <col min="4" max="4" width="9.85546875" customWidth="1"/>
    <col min="5" max="5" width="89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 t="s">
        <v>191</v>
      </c>
      <c r="B3" s="15" t="s">
        <v>26</v>
      </c>
      <c r="C3" s="15" t="s">
        <v>192</v>
      </c>
      <c r="D3" s="15"/>
      <c r="E3" s="15" t="s">
        <v>193</v>
      </c>
      <c r="F3" s="16">
        <v>9</v>
      </c>
      <c r="G3" s="16">
        <v>895</v>
      </c>
      <c r="H3" s="16">
        <v>35</v>
      </c>
      <c r="I3" s="16">
        <f t="shared" ref="I3:I8" si="0">G3-H3</f>
        <v>860</v>
      </c>
      <c r="J3" s="15" t="s">
        <v>194</v>
      </c>
      <c r="K3" s="15" t="s">
        <v>32</v>
      </c>
      <c r="L3" s="15" t="s">
        <v>33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27</v>
      </c>
      <c r="D4" s="15" t="s">
        <v>28</v>
      </c>
      <c r="E4" s="15" t="s">
        <v>29</v>
      </c>
      <c r="F4" s="15" t="s">
        <v>30</v>
      </c>
      <c r="G4" s="16">
        <v>920</v>
      </c>
      <c r="H4" s="16">
        <v>30</v>
      </c>
      <c r="I4" s="16">
        <f t="shared" si="0"/>
        <v>890</v>
      </c>
      <c r="J4" s="15" t="s">
        <v>31</v>
      </c>
      <c r="K4" s="15" t="s">
        <v>32</v>
      </c>
      <c r="L4" s="15" t="s">
        <v>33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34</v>
      </c>
      <c r="D5" s="15" t="s">
        <v>35</v>
      </c>
      <c r="E5" s="15" t="s">
        <v>36</v>
      </c>
      <c r="F5" s="16">
        <v>12</v>
      </c>
      <c r="G5" s="16">
        <v>890</v>
      </c>
      <c r="H5" s="16">
        <v>30</v>
      </c>
      <c r="I5" s="16">
        <f t="shared" si="0"/>
        <v>860</v>
      </c>
      <c r="J5" s="15" t="s">
        <v>31</v>
      </c>
      <c r="K5" s="15" t="s">
        <v>32</v>
      </c>
      <c r="L5" s="15" t="s">
        <v>33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37</v>
      </c>
      <c r="D6" s="15" t="s">
        <v>38</v>
      </c>
      <c r="E6" s="15" t="s">
        <v>39</v>
      </c>
      <c r="F6" s="16">
        <v>12</v>
      </c>
      <c r="G6" s="16">
        <v>380</v>
      </c>
      <c r="H6" s="16">
        <v>30</v>
      </c>
      <c r="I6" s="16">
        <f t="shared" si="0"/>
        <v>350</v>
      </c>
      <c r="J6" s="15" t="s">
        <v>31</v>
      </c>
      <c r="K6" s="15" t="s">
        <v>32</v>
      </c>
      <c r="L6" s="15" t="s">
        <v>33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45</v>
      </c>
      <c r="D7" s="15" t="s">
        <v>46</v>
      </c>
      <c r="E7" s="15" t="s">
        <v>47</v>
      </c>
      <c r="F7" s="16">
        <v>8</v>
      </c>
      <c r="G7" s="16">
        <v>500</v>
      </c>
      <c r="H7" s="16">
        <v>30</v>
      </c>
      <c r="I7" s="16">
        <f t="shared" si="0"/>
        <v>470</v>
      </c>
      <c r="J7" s="15" t="s">
        <v>31</v>
      </c>
      <c r="K7" s="15" t="s">
        <v>32</v>
      </c>
      <c r="L7" s="15" t="s">
        <v>33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48</v>
      </c>
      <c r="D8" s="15" t="s">
        <v>49</v>
      </c>
      <c r="E8" s="15" t="s">
        <v>50</v>
      </c>
      <c r="F8" s="16">
        <v>8</v>
      </c>
      <c r="G8" s="16">
        <v>890</v>
      </c>
      <c r="H8" s="16">
        <v>30</v>
      </c>
      <c r="I8" s="16">
        <f t="shared" si="0"/>
        <v>860</v>
      </c>
      <c r="J8" s="15" t="s">
        <v>31</v>
      </c>
      <c r="K8" s="15" t="s">
        <v>32</v>
      </c>
      <c r="L8" s="15" t="s">
        <v>33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58</v>
      </c>
      <c r="D9" s="15" t="s">
        <v>59</v>
      </c>
      <c r="E9" s="15" t="s">
        <v>60</v>
      </c>
      <c r="F9" s="16">
        <v>12</v>
      </c>
      <c r="G9" s="16">
        <v>0</v>
      </c>
      <c r="H9" s="16">
        <v>30</v>
      </c>
      <c r="I9" s="16">
        <f>-H9</f>
        <v>-30</v>
      </c>
      <c r="J9" s="15" t="s">
        <v>31</v>
      </c>
      <c r="K9" s="15" t="s">
        <v>32</v>
      </c>
      <c r="L9" s="15" t="s">
        <v>33</v>
      </c>
      <c r="M9" s="15"/>
      <c r="N9" s="15"/>
      <c r="O9" s="15"/>
      <c r="P9" s="15"/>
      <c r="Q9" s="15">
        <v>1</v>
      </c>
      <c r="R9" s="10">
        <f>H9</f>
        <v>30</v>
      </c>
    </row>
    <row r="10" spans="1:18" x14ac:dyDescent="0.25">
      <c r="A10" s="15"/>
      <c r="B10" s="15" t="s">
        <v>26</v>
      </c>
      <c r="C10" s="15" t="s">
        <v>85</v>
      </c>
      <c r="D10" s="15" t="s">
        <v>86</v>
      </c>
      <c r="E10" s="15" t="s">
        <v>87</v>
      </c>
      <c r="F10" s="15" t="s">
        <v>88</v>
      </c>
      <c r="G10" s="16">
        <v>785</v>
      </c>
      <c r="H10" s="16">
        <v>25</v>
      </c>
      <c r="I10" s="16">
        <f t="shared" ref="I10:I15" si="1">G10-H10</f>
        <v>760</v>
      </c>
      <c r="J10" s="15" t="s">
        <v>31</v>
      </c>
      <c r="K10" s="15" t="s">
        <v>32</v>
      </c>
      <c r="L10" s="15" t="s">
        <v>33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92</v>
      </c>
      <c r="D11" s="15" t="s">
        <v>93</v>
      </c>
      <c r="E11" s="15" t="s">
        <v>94</v>
      </c>
      <c r="F11" s="15" t="s">
        <v>30</v>
      </c>
      <c r="G11" s="16">
        <v>720</v>
      </c>
      <c r="H11" s="16">
        <v>30</v>
      </c>
      <c r="I11" s="16">
        <f t="shared" si="1"/>
        <v>690</v>
      </c>
      <c r="J11" s="15" t="s">
        <v>31</v>
      </c>
      <c r="K11" s="15" t="s">
        <v>32</v>
      </c>
      <c r="L11" s="15" t="s">
        <v>33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108</v>
      </c>
      <c r="D12" s="15" t="s">
        <v>109</v>
      </c>
      <c r="E12" s="15" t="s">
        <v>110</v>
      </c>
      <c r="F12" s="16">
        <v>8</v>
      </c>
      <c r="G12" s="16">
        <v>780</v>
      </c>
      <c r="H12" s="16">
        <v>30</v>
      </c>
      <c r="I12" s="16">
        <f t="shared" si="1"/>
        <v>750</v>
      </c>
      <c r="J12" s="15" t="s">
        <v>31</v>
      </c>
      <c r="K12" s="15" t="s">
        <v>32</v>
      </c>
      <c r="L12" s="15" t="s">
        <v>33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117</v>
      </c>
      <c r="D13" s="15" t="s">
        <v>118</v>
      </c>
      <c r="E13" s="15" t="s">
        <v>119</v>
      </c>
      <c r="F13" s="15" t="s">
        <v>30</v>
      </c>
      <c r="G13" s="16">
        <v>670</v>
      </c>
      <c r="H13" s="16">
        <v>30</v>
      </c>
      <c r="I13" s="16">
        <f t="shared" si="1"/>
        <v>640</v>
      </c>
      <c r="J13" s="15" t="s">
        <v>31</v>
      </c>
      <c r="K13" s="15" t="s">
        <v>32</v>
      </c>
      <c r="L13" s="15" t="s">
        <v>33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126</v>
      </c>
      <c r="D14" s="15" t="s">
        <v>127</v>
      </c>
      <c r="E14" s="15" t="s">
        <v>128</v>
      </c>
      <c r="F14" s="16">
        <v>6</v>
      </c>
      <c r="G14" s="16">
        <v>1445</v>
      </c>
      <c r="H14" s="16">
        <v>25</v>
      </c>
      <c r="I14" s="16">
        <f t="shared" si="1"/>
        <v>1420</v>
      </c>
      <c r="J14" s="15" t="s">
        <v>31</v>
      </c>
      <c r="K14" s="15" t="s">
        <v>32</v>
      </c>
      <c r="L14" s="15" t="s">
        <v>33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145</v>
      </c>
      <c r="D15" s="15" t="s">
        <v>146</v>
      </c>
      <c r="E15" s="15" t="s">
        <v>147</v>
      </c>
      <c r="F15" s="16">
        <v>9</v>
      </c>
      <c r="G15" s="16">
        <v>780</v>
      </c>
      <c r="H15" s="16">
        <v>30</v>
      </c>
      <c r="I15" s="16">
        <f t="shared" si="1"/>
        <v>750</v>
      </c>
      <c r="J15" s="15" t="s">
        <v>31</v>
      </c>
      <c r="K15" s="15" t="s">
        <v>32</v>
      </c>
      <c r="L15" s="15" t="s">
        <v>33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154</v>
      </c>
      <c r="D16" s="15" t="s">
        <v>155</v>
      </c>
      <c r="E16" s="15" t="s">
        <v>156</v>
      </c>
      <c r="F16" s="15" t="s">
        <v>30</v>
      </c>
      <c r="G16" s="16">
        <v>0</v>
      </c>
      <c r="H16" s="16">
        <v>30</v>
      </c>
      <c r="I16" s="16">
        <f>-H16</f>
        <v>-30</v>
      </c>
      <c r="J16" s="15" t="s">
        <v>31</v>
      </c>
      <c r="K16" s="15" t="s">
        <v>32</v>
      </c>
      <c r="L16" s="15" t="s">
        <v>33</v>
      </c>
      <c r="M16" s="15"/>
      <c r="N16" s="15"/>
      <c r="O16" s="15"/>
      <c r="P16" s="15"/>
      <c r="Q16" s="15">
        <v>1</v>
      </c>
      <c r="R16" s="10">
        <f>H16</f>
        <v>30</v>
      </c>
    </row>
    <row r="17" spans="1:18" x14ac:dyDescent="0.25">
      <c r="A17" s="15"/>
      <c r="B17" s="15" t="s">
        <v>26</v>
      </c>
      <c r="C17" s="15" t="s">
        <v>172</v>
      </c>
      <c r="D17" s="15" t="s">
        <v>173</v>
      </c>
      <c r="E17" s="15" t="s">
        <v>174</v>
      </c>
      <c r="F17" s="16">
        <v>12</v>
      </c>
      <c r="G17" s="16">
        <v>690</v>
      </c>
      <c r="H17" s="16">
        <v>30</v>
      </c>
      <c r="I17" s="16">
        <f>G17-H17</f>
        <v>660</v>
      </c>
      <c r="J17" s="15" t="s">
        <v>31</v>
      </c>
      <c r="K17" s="15" t="s">
        <v>32</v>
      </c>
      <c r="L17" s="15" t="s">
        <v>33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51</v>
      </c>
      <c r="D18" s="15" t="s">
        <v>52</v>
      </c>
      <c r="E18" s="15" t="s">
        <v>53</v>
      </c>
      <c r="F18" s="16">
        <v>2</v>
      </c>
      <c r="G18" s="16">
        <v>820</v>
      </c>
      <c r="H18" s="16">
        <v>30</v>
      </c>
      <c r="I18" s="16">
        <f>G18-H18</f>
        <v>790</v>
      </c>
      <c r="J18" s="15" t="s">
        <v>32</v>
      </c>
      <c r="K18" s="15" t="s">
        <v>32</v>
      </c>
      <c r="L18" s="15" t="s">
        <v>33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67</v>
      </c>
      <c r="D19" s="15" t="s">
        <v>68</v>
      </c>
      <c r="E19" s="15" t="s">
        <v>69</v>
      </c>
      <c r="F19" s="16">
        <v>12</v>
      </c>
      <c r="G19" s="16">
        <v>0</v>
      </c>
      <c r="H19" s="16">
        <v>30</v>
      </c>
      <c r="I19" s="16">
        <f>-H19</f>
        <v>-30</v>
      </c>
      <c r="J19" s="15" t="s">
        <v>32</v>
      </c>
      <c r="K19" s="15" t="s">
        <v>32</v>
      </c>
      <c r="L19" s="15" t="s">
        <v>33</v>
      </c>
      <c r="M19" s="15"/>
      <c r="N19" s="15"/>
      <c r="O19" s="15"/>
      <c r="P19" s="15"/>
      <c r="Q19" s="15">
        <v>1</v>
      </c>
      <c r="R19" s="10">
        <f t="shared" ref="R19:R20" si="2">H19</f>
        <v>30</v>
      </c>
    </row>
    <row r="20" spans="1:18" x14ac:dyDescent="0.25">
      <c r="A20" s="15"/>
      <c r="B20" s="15" t="s">
        <v>26</v>
      </c>
      <c r="C20" s="15" t="s">
        <v>70</v>
      </c>
      <c r="D20" s="15" t="s">
        <v>71</v>
      </c>
      <c r="E20" s="15" t="s">
        <v>72</v>
      </c>
      <c r="F20" s="15" t="s">
        <v>73</v>
      </c>
      <c r="G20" s="16">
        <v>0</v>
      </c>
      <c r="H20" s="16">
        <v>40</v>
      </c>
      <c r="I20" s="16">
        <f>-H20</f>
        <v>-40</v>
      </c>
      <c r="J20" s="15" t="s">
        <v>32</v>
      </c>
      <c r="K20" s="15" t="s">
        <v>32</v>
      </c>
      <c r="L20" s="15" t="s">
        <v>33</v>
      </c>
      <c r="M20" s="15"/>
      <c r="N20" s="15"/>
      <c r="O20" s="15"/>
      <c r="P20" s="15"/>
      <c r="Q20" s="15">
        <v>1</v>
      </c>
      <c r="R20" s="10">
        <f t="shared" si="2"/>
        <v>40</v>
      </c>
    </row>
    <row r="21" spans="1:18" x14ac:dyDescent="0.25">
      <c r="A21" s="15"/>
      <c r="B21" s="15" t="s">
        <v>26</v>
      </c>
      <c r="C21" s="15" t="s">
        <v>77</v>
      </c>
      <c r="D21" s="15" t="s">
        <v>78</v>
      </c>
      <c r="E21" s="15" t="s">
        <v>79</v>
      </c>
      <c r="F21" s="15" t="s">
        <v>80</v>
      </c>
      <c r="G21" s="16">
        <v>690</v>
      </c>
      <c r="H21" s="16">
        <v>30</v>
      </c>
      <c r="I21" s="16">
        <f>G21-H21</f>
        <v>660</v>
      </c>
      <c r="J21" s="15" t="s">
        <v>32</v>
      </c>
      <c r="K21" s="15" t="s">
        <v>32</v>
      </c>
      <c r="L21" s="15" t="s">
        <v>33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81</v>
      </c>
      <c r="D22" s="15" t="s">
        <v>82</v>
      </c>
      <c r="E22" s="15" t="s">
        <v>83</v>
      </c>
      <c r="F22" s="15" t="s">
        <v>84</v>
      </c>
      <c r="G22" s="16">
        <v>660</v>
      </c>
      <c r="H22" s="16">
        <v>20</v>
      </c>
      <c r="I22" s="16">
        <f>G22-H22</f>
        <v>640</v>
      </c>
      <c r="J22" s="15" t="s">
        <v>32</v>
      </c>
      <c r="K22" s="15" t="s">
        <v>32</v>
      </c>
      <c r="L22" s="15" t="s">
        <v>33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89</v>
      </c>
      <c r="D23" s="15" t="s">
        <v>90</v>
      </c>
      <c r="E23" s="15" t="s">
        <v>91</v>
      </c>
      <c r="F23" s="15" t="s">
        <v>73</v>
      </c>
      <c r="G23" s="16">
        <v>375</v>
      </c>
      <c r="H23" s="16">
        <v>25</v>
      </c>
      <c r="I23" s="16">
        <f>G23-H23</f>
        <v>350</v>
      </c>
      <c r="J23" s="15" t="s">
        <v>32</v>
      </c>
      <c r="K23" s="15" t="s">
        <v>32</v>
      </c>
      <c r="L23" s="15" t="s">
        <v>33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95</v>
      </c>
      <c r="D24" s="15" t="s">
        <v>96</v>
      </c>
      <c r="E24" s="15" t="s">
        <v>97</v>
      </c>
      <c r="F24" s="15" t="s">
        <v>73</v>
      </c>
      <c r="G24" s="16">
        <v>0</v>
      </c>
      <c r="H24" s="16">
        <v>25</v>
      </c>
      <c r="I24" s="16">
        <f>-H24</f>
        <v>-25</v>
      </c>
      <c r="J24" s="15" t="s">
        <v>32</v>
      </c>
      <c r="K24" s="15" t="s">
        <v>32</v>
      </c>
      <c r="L24" s="15" t="s">
        <v>33</v>
      </c>
      <c r="M24" s="15"/>
      <c r="N24" s="15"/>
      <c r="O24" s="15"/>
      <c r="P24" s="15"/>
      <c r="Q24" s="15">
        <v>1</v>
      </c>
      <c r="R24" s="10">
        <f>H24</f>
        <v>25</v>
      </c>
    </row>
    <row r="25" spans="1:18" x14ac:dyDescent="0.25">
      <c r="A25" s="15"/>
      <c r="B25" s="15" t="s">
        <v>26</v>
      </c>
      <c r="C25" s="15" t="s">
        <v>101</v>
      </c>
      <c r="D25" s="15" t="s">
        <v>102</v>
      </c>
      <c r="E25" s="15" t="s">
        <v>103</v>
      </c>
      <c r="F25" s="15" t="s">
        <v>104</v>
      </c>
      <c r="G25" s="16">
        <v>725</v>
      </c>
      <c r="H25" s="16">
        <v>25</v>
      </c>
      <c r="I25" s="16">
        <f>G25-H25</f>
        <v>700</v>
      </c>
      <c r="J25" s="15" t="s">
        <v>32</v>
      </c>
      <c r="K25" s="15" t="s">
        <v>32</v>
      </c>
      <c r="L25" s="15" t="s">
        <v>33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105</v>
      </c>
      <c r="D26" s="15" t="s">
        <v>106</v>
      </c>
      <c r="E26" s="15" t="s">
        <v>107</v>
      </c>
      <c r="F26" s="15" t="s">
        <v>73</v>
      </c>
      <c r="G26" s="16">
        <v>0</v>
      </c>
      <c r="H26" s="16">
        <v>25</v>
      </c>
      <c r="I26" s="16">
        <f>-H26</f>
        <v>-25</v>
      </c>
      <c r="J26" s="15" t="s">
        <v>32</v>
      </c>
      <c r="K26" s="15" t="s">
        <v>32</v>
      </c>
      <c r="L26" s="15" t="s">
        <v>33</v>
      </c>
      <c r="M26" s="15"/>
      <c r="N26" s="15"/>
      <c r="O26" s="15"/>
      <c r="P26" s="15"/>
      <c r="Q26" s="15">
        <v>1</v>
      </c>
      <c r="R26" s="10">
        <f>H26</f>
        <v>25</v>
      </c>
    </row>
    <row r="27" spans="1:18" x14ac:dyDescent="0.25">
      <c r="A27" s="15"/>
      <c r="B27" s="15" t="s">
        <v>26</v>
      </c>
      <c r="C27" s="15" t="s">
        <v>114</v>
      </c>
      <c r="D27" s="15" t="s">
        <v>115</v>
      </c>
      <c r="E27" s="15" t="s">
        <v>116</v>
      </c>
      <c r="F27" s="15" t="s">
        <v>73</v>
      </c>
      <c r="G27" s="16">
        <v>1765</v>
      </c>
      <c r="H27" s="16">
        <v>25</v>
      </c>
      <c r="I27" s="16">
        <f>G27-H27</f>
        <v>1740</v>
      </c>
      <c r="J27" s="15" t="s">
        <v>32</v>
      </c>
      <c r="K27" s="15" t="s">
        <v>32</v>
      </c>
      <c r="L27" s="15" t="s">
        <v>33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120</v>
      </c>
      <c r="D28" s="15" t="s">
        <v>121</v>
      </c>
      <c r="E28" s="15" t="s">
        <v>122</v>
      </c>
      <c r="F28" s="15" t="s">
        <v>73</v>
      </c>
      <c r="G28" s="16">
        <v>0</v>
      </c>
      <c r="H28" s="16">
        <v>25</v>
      </c>
      <c r="I28" s="16">
        <f>-H28</f>
        <v>-25</v>
      </c>
      <c r="J28" s="15" t="s">
        <v>32</v>
      </c>
      <c r="K28" s="15" t="s">
        <v>32</v>
      </c>
      <c r="L28" s="15" t="s">
        <v>33</v>
      </c>
      <c r="M28" s="15"/>
      <c r="N28" s="15"/>
      <c r="O28" s="15"/>
      <c r="P28" s="15"/>
      <c r="Q28" s="15">
        <v>1</v>
      </c>
      <c r="R28" s="10">
        <f>H28</f>
        <v>25</v>
      </c>
    </row>
    <row r="29" spans="1:18" x14ac:dyDescent="0.25">
      <c r="A29" s="15"/>
      <c r="B29" s="15" t="s">
        <v>26</v>
      </c>
      <c r="C29" s="15" t="s">
        <v>123</v>
      </c>
      <c r="D29" s="15" t="s">
        <v>124</v>
      </c>
      <c r="E29" s="15" t="s">
        <v>125</v>
      </c>
      <c r="F29" s="15" t="s">
        <v>73</v>
      </c>
      <c r="G29" s="16">
        <v>765</v>
      </c>
      <c r="H29" s="16">
        <v>25</v>
      </c>
      <c r="I29" s="16">
        <f>G29-H29</f>
        <v>740</v>
      </c>
      <c r="J29" s="15" t="s">
        <v>32</v>
      </c>
      <c r="K29" s="15" t="s">
        <v>32</v>
      </c>
      <c r="L29" s="15" t="s">
        <v>33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138</v>
      </c>
      <c r="D30" s="15" t="s">
        <v>139</v>
      </c>
      <c r="E30" s="15" t="s">
        <v>140</v>
      </c>
      <c r="F30" s="15" t="s">
        <v>80</v>
      </c>
      <c r="G30" s="16">
        <v>820</v>
      </c>
      <c r="H30" s="16">
        <v>30</v>
      </c>
      <c r="I30" s="16">
        <f>G30-H30</f>
        <v>790</v>
      </c>
      <c r="J30" s="15" t="s">
        <v>32</v>
      </c>
      <c r="K30" s="15" t="s">
        <v>32</v>
      </c>
      <c r="L30" s="15" t="s">
        <v>33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148</v>
      </c>
      <c r="D31" s="15" t="s">
        <v>149</v>
      </c>
      <c r="E31" s="15" t="s">
        <v>150</v>
      </c>
      <c r="F31" s="15" t="s">
        <v>84</v>
      </c>
      <c r="G31" s="16">
        <v>740</v>
      </c>
      <c r="H31" s="16">
        <v>20</v>
      </c>
      <c r="I31" s="16">
        <f>G31-H31</f>
        <v>720</v>
      </c>
      <c r="J31" s="15" t="s">
        <v>32</v>
      </c>
      <c r="K31" s="15" t="s">
        <v>32</v>
      </c>
      <c r="L31" s="15" t="s">
        <v>33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157</v>
      </c>
      <c r="D32" s="15" t="s">
        <v>158</v>
      </c>
      <c r="E32" s="15" t="s">
        <v>159</v>
      </c>
      <c r="F32" s="15" t="s">
        <v>84</v>
      </c>
      <c r="G32" s="16">
        <v>770</v>
      </c>
      <c r="H32" s="16">
        <v>20</v>
      </c>
      <c r="I32" s="16">
        <f>G32-H32</f>
        <v>750</v>
      </c>
      <c r="J32" s="15" t="s">
        <v>32</v>
      </c>
      <c r="K32" s="15" t="s">
        <v>32</v>
      </c>
      <c r="L32" s="15" t="s">
        <v>33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163</v>
      </c>
      <c r="D33" s="15" t="s">
        <v>164</v>
      </c>
      <c r="E33" s="15" t="s">
        <v>165</v>
      </c>
      <c r="F33" s="16">
        <v>2</v>
      </c>
      <c r="G33" s="16">
        <v>0</v>
      </c>
      <c r="H33" s="16">
        <v>30</v>
      </c>
      <c r="I33" s="16">
        <f>-H33</f>
        <v>-30</v>
      </c>
      <c r="J33" s="15" t="s">
        <v>32</v>
      </c>
      <c r="K33" s="15" t="s">
        <v>32</v>
      </c>
      <c r="L33" s="15" t="s">
        <v>33</v>
      </c>
      <c r="M33" s="15"/>
      <c r="N33" s="15"/>
      <c r="O33" s="15"/>
      <c r="P33" s="15"/>
      <c r="Q33" s="15">
        <v>1</v>
      </c>
      <c r="R33" s="10">
        <f>H33</f>
        <v>30</v>
      </c>
    </row>
    <row r="34" spans="1:18" x14ac:dyDescent="0.25">
      <c r="A34" s="15"/>
      <c r="B34" s="15" t="s">
        <v>26</v>
      </c>
      <c r="C34" s="15" t="s">
        <v>175</v>
      </c>
      <c r="D34" s="15" t="s">
        <v>176</v>
      </c>
      <c r="E34" s="15" t="s">
        <v>177</v>
      </c>
      <c r="F34" s="15" t="s">
        <v>84</v>
      </c>
      <c r="G34" s="16">
        <v>590</v>
      </c>
      <c r="H34" s="16">
        <v>20</v>
      </c>
      <c r="I34" s="16">
        <f t="shared" ref="I34:I41" si="3">G34-H34</f>
        <v>570</v>
      </c>
      <c r="J34" s="15" t="s">
        <v>32</v>
      </c>
      <c r="K34" s="15" t="s">
        <v>32</v>
      </c>
      <c r="L34" s="15" t="s">
        <v>33</v>
      </c>
      <c r="M34" s="15"/>
      <c r="N34" s="15"/>
      <c r="O34" s="15"/>
      <c r="P34" s="15"/>
      <c r="Q34" s="15">
        <v>1</v>
      </c>
    </row>
    <row r="35" spans="1:18" s="19" customFormat="1" x14ac:dyDescent="0.25">
      <c r="A35" s="17"/>
      <c r="B35" s="17" t="s">
        <v>26</v>
      </c>
      <c r="C35" s="17" t="s">
        <v>184</v>
      </c>
      <c r="D35" s="17" t="s">
        <v>185</v>
      </c>
      <c r="E35" s="17" t="s">
        <v>186</v>
      </c>
      <c r="F35" s="18">
        <v>2</v>
      </c>
      <c r="G35" s="18">
        <v>110</v>
      </c>
      <c r="H35" s="18">
        <v>30</v>
      </c>
      <c r="I35" s="18">
        <f t="shared" si="3"/>
        <v>80</v>
      </c>
      <c r="J35" s="17" t="s">
        <v>32</v>
      </c>
      <c r="K35" s="17" t="s">
        <v>32</v>
      </c>
      <c r="L35" s="17" t="s">
        <v>33</v>
      </c>
      <c r="M35" s="17" t="s">
        <v>187</v>
      </c>
      <c r="N35" s="17"/>
      <c r="O35" s="17"/>
      <c r="P35" s="17"/>
      <c r="Q35" s="17">
        <v>1</v>
      </c>
    </row>
    <row r="36" spans="1:18" x14ac:dyDescent="0.25">
      <c r="A36" s="15" t="s">
        <v>191</v>
      </c>
      <c r="B36" s="15" t="s">
        <v>26</v>
      </c>
      <c r="C36" s="15" t="s">
        <v>197</v>
      </c>
      <c r="D36" s="15"/>
      <c r="E36" s="15" t="s">
        <v>198</v>
      </c>
      <c r="F36" s="15" t="s">
        <v>80</v>
      </c>
      <c r="G36" s="16">
        <v>1165</v>
      </c>
      <c r="H36" s="16">
        <v>35</v>
      </c>
      <c r="I36" s="16">
        <f t="shared" si="3"/>
        <v>1130</v>
      </c>
      <c r="J36" s="15" t="s">
        <v>32</v>
      </c>
      <c r="K36" s="15" t="s">
        <v>32</v>
      </c>
      <c r="L36" s="15" t="s">
        <v>33</v>
      </c>
      <c r="M36" s="15"/>
      <c r="N36" s="15"/>
      <c r="O36" s="15"/>
      <c r="P36" s="15"/>
      <c r="Q36" s="15">
        <v>1</v>
      </c>
    </row>
    <row r="37" spans="1:18" x14ac:dyDescent="0.25">
      <c r="A37" s="15" t="s">
        <v>191</v>
      </c>
      <c r="B37" s="15" t="s">
        <v>26</v>
      </c>
      <c r="C37" s="15" t="s">
        <v>199</v>
      </c>
      <c r="D37" s="15"/>
      <c r="E37" s="15" t="s">
        <v>200</v>
      </c>
      <c r="F37" s="15" t="s">
        <v>73</v>
      </c>
      <c r="G37" s="16">
        <v>2985</v>
      </c>
      <c r="H37" s="16">
        <v>35</v>
      </c>
      <c r="I37" s="16">
        <f t="shared" si="3"/>
        <v>2950</v>
      </c>
      <c r="J37" s="15" t="s">
        <v>32</v>
      </c>
      <c r="K37" s="15" t="s">
        <v>32</v>
      </c>
      <c r="L37" s="15" t="s">
        <v>33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26</v>
      </c>
      <c r="C38" s="15" t="s">
        <v>40</v>
      </c>
      <c r="D38" s="15" t="s">
        <v>41</v>
      </c>
      <c r="E38" s="15" t="s">
        <v>42</v>
      </c>
      <c r="F38" s="15" t="s">
        <v>43</v>
      </c>
      <c r="G38" s="16">
        <v>1145</v>
      </c>
      <c r="H38" s="16">
        <v>35</v>
      </c>
      <c r="I38" s="16">
        <f t="shared" si="3"/>
        <v>1110</v>
      </c>
      <c r="J38" s="15" t="s">
        <v>44</v>
      </c>
      <c r="K38" s="15" t="s">
        <v>32</v>
      </c>
      <c r="L38" s="15" t="s">
        <v>33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54</v>
      </c>
      <c r="D39" s="15" t="s">
        <v>55</v>
      </c>
      <c r="E39" s="15" t="s">
        <v>56</v>
      </c>
      <c r="F39" s="15" t="s">
        <v>57</v>
      </c>
      <c r="G39" s="16">
        <v>675</v>
      </c>
      <c r="H39" s="16">
        <v>35</v>
      </c>
      <c r="I39" s="16">
        <f t="shared" si="3"/>
        <v>640</v>
      </c>
      <c r="J39" s="15" t="s">
        <v>44</v>
      </c>
      <c r="K39" s="15" t="s">
        <v>32</v>
      </c>
      <c r="L39" s="15" t="s">
        <v>33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61</v>
      </c>
      <c r="D40" s="15" t="s">
        <v>62</v>
      </c>
      <c r="E40" s="15" t="s">
        <v>63</v>
      </c>
      <c r="F40" s="16">
        <v>5</v>
      </c>
      <c r="G40" s="16">
        <v>785</v>
      </c>
      <c r="H40" s="16">
        <v>25</v>
      </c>
      <c r="I40" s="16">
        <f t="shared" si="3"/>
        <v>760</v>
      </c>
      <c r="J40" s="15" t="s">
        <v>44</v>
      </c>
      <c r="K40" s="15" t="s">
        <v>32</v>
      </c>
      <c r="L40" s="15" t="s">
        <v>33</v>
      </c>
      <c r="M40" s="15"/>
      <c r="N40" s="15"/>
      <c r="O40" s="15"/>
      <c r="P40" s="15"/>
      <c r="Q40" s="15">
        <v>1</v>
      </c>
    </row>
    <row r="41" spans="1:18" x14ac:dyDescent="0.25">
      <c r="A41" s="15"/>
      <c r="B41" s="15" t="s">
        <v>26</v>
      </c>
      <c r="C41" s="15" t="s">
        <v>64</v>
      </c>
      <c r="D41" s="15" t="s">
        <v>65</v>
      </c>
      <c r="E41" s="15" t="s">
        <v>66</v>
      </c>
      <c r="F41" s="16">
        <v>1</v>
      </c>
      <c r="G41" s="16">
        <v>725</v>
      </c>
      <c r="H41" s="16">
        <v>25</v>
      </c>
      <c r="I41" s="16">
        <f t="shared" si="3"/>
        <v>700</v>
      </c>
      <c r="J41" s="15" t="s">
        <v>44</v>
      </c>
      <c r="K41" s="15" t="s">
        <v>32</v>
      </c>
      <c r="L41" s="15" t="s">
        <v>33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26</v>
      </c>
      <c r="C42" s="15" t="s">
        <v>74</v>
      </c>
      <c r="D42" s="15" t="s">
        <v>75</v>
      </c>
      <c r="E42" s="15" t="s">
        <v>76</v>
      </c>
      <c r="F42" s="16">
        <v>5</v>
      </c>
      <c r="G42" s="16">
        <v>0</v>
      </c>
      <c r="H42" s="16">
        <v>25</v>
      </c>
      <c r="I42" s="16">
        <f>-H42</f>
        <v>-25</v>
      </c>
      <c r="J42" s="15" t="s">
        <v>44</v>
      </c>
      <c r="K42" s="15" t="s">
        <v>32</v>
      </c>
      <c r="L42" s="15" t="s">
        <v>33</v>
      </c>
      <c r="M42" s="15"/>
      <c r="N42" s="15"/>
      <c r="O42" s="15"/>
      <c r="P42" s="15"/>
      <c r="Q42" s="15">
        <v>1</v>
      </c>
      <c r="R42" s="10">
        <f>H42</f>
        <v>25</v>
      </c>
    </row>
    <row r="43" spans="1:18" x14ac:dyDescent="0.25">
      <c r="A43" s="15"/>
      <c r="B43" s="15" t="s">
        <v>26</v>
      </c>
      <c r="C43" s="15" t="s">
        <v>98</v>
      </c>
      <c r="D43" s="15" t="s">
        <v>99</v>
      </c>
      <c r="E43" s="15" t="s">
        <v>100</v>
      </c>
      <c r="F43" s="16">
        <v>3</v>
      </c>
      <c r="G43" s="16">
        <v>1585</v>
      </c>
      <c r="H43" s="16">
        <v>25</v>
      </c>
      <c r="I43" s="16">
        <f>G43-H43</f>
        <v>1560</v>
      </c>
      <c r="J43" s="15" t="s">
        <v>44</v>
      </c>
      <c r="K43" s="15" t="s">
        <v>32</v>
      </c>
      <c r="L43" s="15" t="s">
        <v>33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111</v>
      </c>
      <c r="D44" s="15" t="s">
        <v>112</v>
      </c>
      <c r="E44" s="15" t="s">
        <v>113</v>
      </c>
      <c r="F44" s="16">
        <v>3</v>
      </c>
      <c r="G44" s="16">
        <v>815</v>
      </c>
      <c r="H44" s="16">
        <v>25</v>
      </c>
      <c r="I44" s="16">
        <f>G44-H44</f>
        <v>790</v>
      </c>
      <c r="J44" s="15" t="s">
        <v>44</v>
      </c>
      <c r="K44" s="15" t="s">
        <v>32</v>
      </c>
      <c r="L44" s="15" t="s">
        <v>33</v>
      </c>
      <c r="M44" s="15"/>
      <c r="N44" s="15"/>
      <c r="O44" s="15"/>
      <c r="P44" s="15"/>
      <c r="Q44" s="15">
        <v>1</v>
      </c>
    </row>
    <row r="45" spans="1:18" x14ac:dyDescent="0.25">
      <c r="A45" s="15"/>
      <c r="B45" s="15" t="s">
        <v>26</v>
      </c>
      <c r="C45" s="15" t="s">
        <v>129</v>
      </c>
      <c r="D45" s="15" t="s">
        <v>130</v>
      </c>
      <c r="E45" s="15" t="s">
        <v>131</v>
      </c>
      <c r="F45" s="16">
        <v>7</v>
      </c>
      <c r="G45" s="16">
        <v>690</v>
      </c>
      <c r="H45" s="16">
        <v>30</v>
      </c>
      <c r="I45" s="16">
        <f>G45-H45</f>
        <v>660</v>
      </c>
      <c r="J45" s="15" t="s">
        <v>44</v>
      </c>
      <c r="K45" s="15" t="s">
        <v>32</v>
      </c>
      <c r="L45" s="15" t="s">
        <v>33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132</v>
      </c>
      <c r="D46" s="15" t="s">
        <v>133</v>
      </c>
      <c r="E46" s="15" t="s">
        <v>134</v>
      </c>
      <c r="F46" s="15" t="s">
        <v>104</v>
      </c>
      <c r="G46" s="16">
        <v>0</v>
      </c>
      <c r="H46" s="16">
        <v>25</v>
      </c>
      <c r="I46" s="16">
        <f>-H46</f>
        <v>-25</v>
      </c>
      <c r="J46" s="15" t="s">
        <v>44</v>
      </c>
      <c r="K46" s="15" t="s">
        <v>32</v>
      </c>
      <c r="L46" s="15" t="s">
        <v>33</v>
      </c>
      <c r="M46" s="15"/>
      <c r="N46" s="15"/>
      <c r="O46" s="15"/>
      <c r="P46" s="15"/>
      <c r="Q46" s="15">
        <v>1</v>
      </c>
      <c r="R46" s="10">
        <f>H46</f>
        <v>25</v>
      </c>
    </row>
    <row r="47" spans="1:18" x14ac:dyDescent="0.25">
      <c r="A47" s="15"/>
      <c r="B47" s="15" t="s">
        <v>26</v>
      </c>
      <c r="C47" s="15" t="s">
        <v>135</v>
      </c>
      <c r="D47" s="15" t="s">
        <v>136</v>
      </c>
      <c r="E47" s="15" t="s">
        <v>137</v>
      </c>
      <c r="F47" s="16">
        <v>7</v>
      </c>
      <c r="G47" s="16">
        <v>720</v>
      </c>
      <c r="H47" s="16">
        <v>30</v>
      </c>
      <c r="I47" s="16">
        <f>G47-H47</f>
        <v>690</v>
      </c>
      <c r="J47" s="15" t="s">
        <v>44</v>
      </c>
      <c r="K47" s="15" t="s">
        <v>32</v>
      </c>
      <c r="L47" s="15" t="s">
        <v>33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141</v>
      </c>
      <c r="D48" s="15" t="s">
        <v>142</v>
      </c>
      <c r="E48" s="15" t="s">
        <v>143</v>
      </c>
      <c r="F48" s="16">
        <v>1</v>
      </c>
      <c r="G48" s="16">
        <v>2040</v>
      </c>
      <c r="H48" s="16">
        <v>30</v>
      </c>
      <c r="I48" s="16">
        <f>G48-H48</f>
        <v>2010</v>
      </c>
      <c r="J48" s="15" t="s">
        <v>44</v>
      </c>
      <c r="K48" s="15" t="s">
        <v>32</v>
      </c>
      <c r="L48" s="15" t="s">
        <v>33</v>
      </c>
      <c r="M48" s="20" t="s">
        <v>144</v>
      </c>
      <c r="N48" s="15"/>
      <c r="O48" s="15"/>
      <c r="P48" s="15"/>
      <c r="Q48" s="15">
        <v>1</v>
      </c>
      <c r="R48" s="10">
        <f>H48</f>
        <v>30</v>
      </c>
    </row>
    <row r="49" spans="1:18" x14ac:dyDescent="0.25">
      <c r="A49" s="15"/>
      <c r="B49" s="15" t="s">
        <v>26</v>
      </c>
      <c r="C49" s="15" t="s">
        <v>151</v>
      </c>
      <c r="D49" s="15" t="s">
        <v>152</v>
      </c>
      <c r="E49" s="15" t="s">
        <v>153</v>
      </c>
      <c r="F49" s="16">
        <v>7</v>
      </c>
      <c r="G49" s="16">
        <v>1800</v>
      </c>
      <c r="H49" s="16">
        <v>30</v>
      </c>
      <c r="I49" s="16">
        <f>G49-H49</f>
        <v>1770</v>
      </c>
      <c r="J49" s="15" t="s">
        <v>44</v>
      </c>
      <c r="K49" s="15" t="s">
        <v>32</v>
      </c>
      <c r="L49" s="15" t="s">
        <v>33</v>
      </c>
      <c r="M49" s="15"/>
      <c r="N49" s="15"/>
      <c r="O49" s="15"/>
      <c r="P49" s="15"/>
      <c r="Q49" s="15">
        <v>1</v>
      </c>
    </row>
    <row r="50" spans="1:18" x14ac:dyDescent="0.25">
      <c r="A50" s="15"/>
      <c r="B50" s="15" t="s">
        <v>26</v>
      </c>
      <c r="C50" s="15" t="s">
        <v>160</v>
      </c>
      <c r="D50" s="15" t="s">
        <v>161</v>
      </c>
      <c r="E50" s="15" t="s">
        <v>162</v>
      </c>
      <c r="F50" s="16">
        <v>7</v>
      </c>
      <c r="G50" s="16">
        <v>770</v>
      </c>
      <c r="H50" s="16">
        <v>30</v>
      </c>
      <c r="I50" s="16">
        <f>G50-H50</f>
        <v>740</v>
      </c>
      <c r="J50" s="15" t="s">
        <v>44</v>
      </c>
      <c r="K50" s="15" t="s">
        <v>32</v>
      </c>
      <c r="L50" s="15" t="s">
        <v>33</v>
      </c>
      <c r="M50" s="15"/>
      <c r="N50" s="15"/>
      <c r="O50" s="15"/>
      <c r="P50" s="15"/>
      <c r="Q50" s="15">
        <v>1</v>
      </c>
    </row>
    <row r="51" spans="1:18" x14ac:dyDescent="0.25">
      <c r="A51" s="15"/>
      <c r="B51" s="15" t="s">
        <v>26</v>
      </c>
      <c r="C51" s="15" t="s">
        <v>166</v>
      </c>
      <c r="D51" s="15" t="s">
        <v>167</v>
      </c>
      <c r="E51" s="15" t="s">
        <v>168</v>
      </c>
      <c r="F51" s="16">
        <v>7</v>
      </c>
      <c r="G51" s="16">
        <v>770</v>
      </c>
      <c r="H51" s="16">
        <v>30</v>
      </c>
      <c r="I51" s="16">
        <f>G51-H51</f>
        <v>740</v>
      </c>
      <c r="J51" s="15" t="s">
        <v>44</v>
      </c>
      <c r="K51" s="15" t="s">
        <v>32</v>
      </c>
      <c r="L51" s="15" t="s">
        <v>33</v>
      </c>
      <c r="M51" s="15"/>
      <c r="N51" s="15"/>
      <c r="O51" s="15"/>
      <c r="P51" s="15"/>
      <c r="Q51" s="15">
        <v>1</v>
      </c>
    </row>
    <row r="52" spans="1:18" x14ac:dyDescent="0.25">
      <c r="A52" s="15"/>
      <c r="B52" s="15" t="s">
        <v>26</v>
      </c>
      <c r="C52" s="15" t="s">
        <v>169</v>
      </c>
      <c r="D52" s="15" t="s">
        <v>170</v>
      </c>
      <c r="E52" s="15" t="s">
        <v>171</v>
      </c>
      <c r="F52" s="16">
        <v>8</v>
      </c>
      <c r="G52" s="16">
        <v>0</v>
      </c>
      <c r="H52" s="16">
        <v>25</v>
      </c>
      <c r="I52" s="16">
        <f>-H52</f>
        <v>-25</v>
      </c>
      <c r="J52" s="15" t="s">
        <v>44</v>
      </c>
      <c r="K52" s="15" t="s">
        <v>32</v>
      </c>
      <c r="L52" s="15" t="s">
        <v>33</v>
      </c>
      <c r="M52" s="15"/>
      <c r="N52" s="15"/>
      <c r="O52" s="15"/>
      <c r="P52" s="15"/>
      <c r="Q52" s="15">
        <v>1</v>
      </c>
      <c r="R52" s="10">
        <f t="shared" ref="R52:R53" si="4">H52</f>
        <v>25</v>
      </c>
    </row>
    <row r="53" spans="1:18" x14ac:dyDescent="0.25">
      <c r="A53" s="15"/>
      <c r="B53" s="15" t="s">
        <v>26</v>
      </c>
      <c r="C53" s="15" t="s">
        <v>178</v>
      </c>
      <c r="D53" s="15" t="s">
        <v>179</v>
      </c>
      <c r="E53" s="15" t="s">
        <v>180</v>
      </c>
      <c r="F53" s="16">
        <v>3</v>
      </c>
      <c r="G53" s="16">
        <v>0</v>
      </c>
      <c r="H53" s="16">
        <v>25</v>
      </c>
      <c r="I53" s="16">
        <f>-H53</f>
        <v>-25</v>
      </c>
      <c r="J53" s="15" t="s">
        <v>44</v>
      </c>
      <c r="K53" s="15" t="s">
        <v>32</v>
      </c>
      <c r="L53" s="15" t="s">
        <v>33</v>
      </c>
      <c r="M53" s="15"/>
      <c r="N53" s="15"/>
      <c r="O53" s="15"/>
      <c r="P53" s="15"/>
      <c r="Q53" s="15">
        <v>1</v>
      </c>
      <c r="R53" s="10">
        <f t="shared" si="4"/>
        <v>25</v>
      </c>
    </row>
    <row r="54" spans="1:18" x14ac:dyDescent="0.25">
      <c r="A54" s="15"/>
      <c r="B54" s="15" t="s">
        <v>26</v>
      </c>
      <c r="C54" s="15" t="s">
        <v>181</v>
      </c>
      <c r="D54" s="15" t="s">
        <v>182</v>
      </c>
      <c r="E54" s="15" t="s">
        <v>183</v>
      </c>
      <c r="F54" s="16">
        <v>4</v>
      </c>
      <c r="G54" s="16">
        <v>815</v>
      </c>
      <c r="H54" s="16">
        <v>25</v>
      </c>
      <c r="I54" s="16">
        <f>G54-H54</f>
        <v>790</v>
      </c>
      <c r="J54" s="15" t="s">
        <v>44</v>
      </c>
      <c r="K54" s="15" t="s">
        <v>32</v>
      </c>
      <c r="L54" s="15" t="s">
        <v>33</v>
      </c>
      <c r="M54" s="15"/>
      <c r="N54" s="15"/>
      <c r="O54" s="15"/>
      <c r="P54" s="15"/>
      <c r="Q54" s="15">
        <v>1</v>
      </c>
    </row>
    <row r="55" spans="1:18" x14ac:dyDescent="0.25">
      <c r="A55" s="15"/>
      <c r="B55" s="15" t="s">
        <v>26</v>
      </c>
      <c r="C55" s="15" t="s">
        <v>188</v>
      </c>
      <c r="D55" s="15" t="s">
        <v>189</v>
      </c>
      <c r="E55" s="15" t="s">
        <v>190</v>
      </c>
      <c r="F55" s="16">
        <v>4</v>
      </c>
      <c r="G55" s="16">
        <v>815</v>
      </c>
      <c r="H55" s="16">
        <v>25</v>
      </c>
      <c r="I55" s="16">
        <f>G55-H55</f>
        <v>790</v>
      </c>
      <c r="J55" s="15" t="s">
        <v>44</v>
      </c>
      <c r="K55" s="15" t="s">
        <v>32</v>
      </c>
      <c r="L55" s="15" t="s">
        <v>33</v>
      </c>
      <c r="M55" s="15"/>
      <c r="N55" s="15"/>
      <c r="O55" s="15"/>
      <c r="P55" s="15"/>
      <c r="Q55" s="15">
        <v>1</v>
      </c>
    </row>
    <row r="56" spans="1:18" x14ac:dyDescent="0.25">
      <c r="A56" s="15" t="s">
        <v>191</v>
      </c>
      <c r="B56" s="15" t="s">
        <v>26</v>
      </c>
      <c r="C56" s="15" t="s">
        <v>195</v>
      </c>
      <c r="D56" s="15"/>
      <c r="E56" s="15" t="s">
        <v>196</v>
      </c>
      <c r="F56" s="16">
        <v>5</v>
      </c>
      <c r="G56" s="16">
        <v>0</v>
      </c>
      <c r="H56" s="16">
        <v>30</v>
      </c>
      <c r="I56" s="16">
        <f>-H56</f>
        <v>-30</v>
      </c>
      <c r="J56" s="15" t="s">
        <v>44</v>
      </c>
      <c r="K56" s="15" t="s">
        <v>32</v>
      </c>
      <c r="L56" s="15" t="s">
        <v>33</v>
      </c>
      <c r="M56" s="15"/>
      <c r="N56" s="15"/>
      <c r="O56" s="15"/>
      <c r="P56" s="15"/>
      <c r="Q56" s="15">
        <v>1</v>
      </c>
      <c r="R56" s="10">
        <f>H56</f>
        <v>30</v>
      </c>
    </row>
    <row r="58" spans="1:18" x14ac:dyDescent="0.25">
      <c r="D58" s="1">
        <f>COUNTA(D3:D56)</f>
        <v>50</v>
      </c>
      <c r="G58" s="1">
        <f t="shared" ref="G58:Q58" si="5">SUBTOTAL(9,G3:G56)</f>
        <v>37475</v>
      </c>
      <c r="H58" s="1">
        <f t="shared" si="5"/>
        <v>1520</v>
      </c>
      <c r="I58" s="1">
        <f t="shared" si="5"/>
        <v>35955</v>
      </c>
      <c r="J58" s="1">
        <f t="shared" si="5"/>
        <v>0</v>
      </c>
      <c r="K58" s="1">
        <f t="shared" si="5"/>
        <v>0</v>
      </c>
      <c r="L58" s="1">
        <f t="shared" si="5"/>
        <v>0</v>
      </c>
      <c r="M58" s="1">
        <f t="shared" si="5"/>
        <v>0</v>
      </c>
      <c r="N58" s="1">
        <f t="shared" si="5"/>
        <v>0</v>
      </c>
      <c r="O58" s="1">
        <f t="shared" si="5"/>
        <v>0</v>
      </c>
      <c r="P58" s="1">
        <f t="shared" si="5"/>
        <v>0</v>
      </c>
      <c r="Q58" s="1">
        <f t="shared" si="5"/>
        <v>54</v>
      </c>
    </row>
    <row r="59" spans="1:18" x14ac:dyDescent="0.25">
      <c r="H59">
        <f>-5*17</f>
        <v>-85</v>
      </c>
    </row>
    <row r="60" spans="1:18" x14ac:dyDescent="0.25">
      <c r="A60" s="1" t="s">
        <v>26</v>
      </c>
      <c r="C60" s="23" t="s">
        <v>201</v>
      </c>
      <c r="D60" s="23"/>
      <c r="E60" s="4" t="s">
        <v>202</v>
      </c>
      <c r="H60">
        <f>-9*25</f>
        <v>-225</v>
      </c>
      <c r="K60" s="11" t="s">
        <v>31</v>
      </c>
      <c r="L60" s="11" t="s">
        <v>203</v>
      </c>
      <c r="M60" s="11" t="s">
        <v>202</v>
      </c>
      <c r="O60" s="4" t="s">
        <v>204</v>
      </c>
    </row>
    <row r="61" spans="1:18" x14ac:dyDescent="0.25">
      <c r="A61" t="s">
        <v>33</v>
      </c>
      <c r="B61" s="3" t="s">
        <v>205</v>
      </c>
      <c r="C61" s="24">
        <f>SUMIFS(I$3:I$56,B$3:B$56,A$60,L$3:L$56,A$61)</f>
        <v>35955</v>
      </c>
      <c r="D61" s="24"/>
      <c r="E61" s="3">
        <f>SUMIFS(Q$3:Q$56,B$3:B$56,A$60,L$3:L$56,A$61)</f>
        <v>54</v>
      </c>
      <c r="F61" t="s">
        <v>206</v>
      </c>
      <c r="K61" t="s">
        <v>207</v>
      </c>
      <c r="L61">
        <f>SUMIFS(G$3:G$56,J$3:J$56,K$60)</f>
        <v>9450</v>
      </c>
      <c r="M61">
        <f>SUMIFS(Q$3:Q$56,J$3:J$56,K$60)-INT(COUNTIFS(J$3:J$56,K$60,M$3:M$56,"*gộp*")/2)</f>
        <v>14</v>
      </c>
      <c r="O61" t="s">
        <v>208</v>
      </c>
      <c r="P61">
        <f>L66</f>
        <v>9140</v>
      </c>
    </row>
    <row r="62" spans="1:18" x14ac:dyDescent="0.25">
      <c r="B62" s="2" t="s">
        <v>209</v>
      </c>
      <c r="C62" s="25">
        <v>0</v>
      </c>
      <c r="D62" s="25"/>
      <c r="K62" t="s">
        <v>210</v>
      </c>
      <c r="L62">
        <f>SUM(H59:H60)</f>
        <v>-310</v>
      </c>
      <c r="M62">
        <f>SUMIFS(Q$3:Q$56,J$3:J$56,K$60)</f>
        <v>14</v>
      </c>
      <c r="O62" t="s">
        <v>44</v>
      </c>
      <c r="P62">
        <f>L74</f>
        <v>13715</v>
      </c>
    </row>
    <row r="63" spans="1:18" x14ac:dyDescent="0.25">
      <c r="B63" s="2" t="s">
        <v>211</v>
      </c>
      <c r="C63" s="25">
        <f>-SUMIFS(I$3:I$56,B$3:B$56,A$60,P$3:P$56,"xx",N$3:N$56,"x")</f>
        <v>0</v>
      </c>
      <c r="D63" s="25"/>
      <c r="E63" s="2">
        <f>SUMIFS(Q$3:Q$56,B$3:B$56,A$60,P$3:P$56,"xx",N$3:N$56,"x")</f>
        <v>0</v>
      </c>
      <c r="K63" t="s">
        <v>212</v>
      </c>
      <c r="O63" t="s">
        <v>32</v>
      </c>
      <c r="P63">
        <f>L82</f>
        <v>12427</v>
      </c>
    </row>
    <row r="64" spans="1:18" x14ac:dyDescent="0.25">
      <c r="B64" s="4" t="s">
        <v>213</v>
      </c>
      <c r="C64" s="23">
        <f>SUBTOTAL(9,C61:C63)</f>
        <v>35955</v>
      </c>
      <c r="D64" s="23"/>
      <c r="E64">
        <f>E61</f>
        <v>54</v>
      </c>
      <c r="K64" s="2" t="s">
        <v>214</v>
      </c>
      <c r="O64" t="s">
        <v>194</v>
      </c>
      <c r="P64">
        <f>L90</f>
        <v>865</v>
      </c>
    </row>
    <row r="65" spans="2:16" x14ac:dyDescent="0.25">
      <c r="B65" s="2" t="s">
        <v>215</v>
      </c>
      <c r="C65" s="21"/>
      <c r="D65" s="21"/>
      <c r="K65" s="2" t="s">
        <v>216</v>
      </c>
      <c r="O65" t="s">
        <v>217</v>
      </c>
      <c r="P65">
        <f>-C68</f>
        <v>-35955</v>
      </c>
    </row>
    <row r="66" spans="2:16" x14ac:dyDescent="0.25">
      <c r="B66" s="12" t="s">
        <v>218</v>
      </c>
      <c r="C66" s="21"/>
      <c r="D66" s="21"/>
      <c r="L66" s="13">
        <f>SUBTOTAL(9,L61:L65)</f>
        <v>9140</v>
      </c>
      <c r="M66" s="13">
        <f>M61</f>
        <v>14</v>
      </c>
      <c r="O66" s="4" t="s">
        <v>219</v>
      </c>
      <c r="P66" s="4">
        <f>SUBTOTAL(9,P61:P65)</f>
        <v>192</v>
      </c>
    </row>
    <row r="68" spans="2:16" x14ac:dyDescent="0.25">
      <c r="B68" s="1" t="s">
        <v>220</v>
      </c>
      <c r="C68" s="22">
        <f>C64+C65+C66</f>
        <v>35955</v>
      </c>
      <c r="D68" s="22"/>
      <c r="E68" s="1" t="s">
        <v>221</v>
      </c>
      <c r="K68" s="11" t="s">
        <v>44</v>
      </c>
      <c r="L68" s="11" t="s">
        <v>203</v>
      </c>
      <c r="M68" s="11" t="s">
        <v>202</v>
      </c>
    </row>
    <row r="69" spans="2:16" x14ac:dyDescent="0.25">
      <c r="K69" t="s">
        <v>207</v>
      </c>
      <c r="L69">
        <f>SUMIFS(G$3:G$56,J$3:J$56,K$68)</f>
        <v>14150</v>
      </c>
      <c r="M69">
        <f>SUMIFS(Q$3:Q$56,J$3:J$56,K$68)-INT(COUNTIFS(J$3:J$56,K$68,M$3:M$56,"*gộp*")/2)</f>
        <v>19</v>
      </c>
    </row>
    <row r="70" spans="2:16" x14ac:dyDescent="0.25">
      <c r="K70" t="s">
        <v>210</v>
      </c>
      <c r="L70">
        <f>-SUMIFS(H$3:H$56,J$3:J$56,K$68)+M70*5</f>
        <v>-435</v>
      </c>
      <c r="M70">
        <f>SUMIFS(Q$3:Q$56,J$3:J$56,K$68)-INT(COUNTIFS(J$3:J$56,K$68,M$3:M$56,"*gộp*")/2)</f>
        <v>19</v>
      </c>
    </row>
    <row r="71" spans="2:16" x14ac:dyDescent="0.25">
      <c r="K71" t="s">
        <v>212</v>
      </c>
    </row>
    <row r="72" spans="2:16" x14ac:dyDescent="0.25">
      <c r="K72" s="2" t="s">
        <v>214</v>
      </c>
    </row>
    <row r="73" spans="2:16" x14ac:dyDescent="0.25">
      <c r="K73" s="2" t="s">
        <v>216</v>
      </c>
    </row>
    <row r="74" spans="2:16" x14ac:dyDescent="0.25">
      <c r="L74" s="13">
        <f>SUBTOTAL(9,L69:L73)</f>
        <v>13715</v>
      </c>
      <c r="M74" s="13">
        <f>M69</f>
        <v>19</v>
      </c>
    </row>
    <row r="76" spans="2:16" x14ac:dyDescent="0.25">
      <c r="K76" s="11" t="s">
        <v>32</v>
      </c>
      <c r="L76" s="11" t="s">
        <v>203</v>
      </c>
      <c r="M76" s="11" t="s">
        <v>202</v>
      </c>
    </row>
    <row r="77" spans="2:16" x14ac:dyDescent="0.25">
      <c r="K77" t="s">
        <v>207</v>
      </c>
      <c r="L77">
        <f>SUMIFS(G$3:G$56,J$3:J$56,K$76)</f>
        <v>12980</v>
      </c>
      <c r="M77">
        <f>SUMIFS(Q$3:Q$56,J$3:J$56,K$76)-INT(COUNTIFS(J$3:J$56,K$76,M$3:M$56,"*gộp*")/2)</f>
        <v>20</v>
      </c>
    </row>
    <row r="78" spans="2:16" x14ac:dyDescent="0.25">
      <c r="K78" t="s">
        <v>210</v>
      </c>
      <c r="L78">
        <f>-SUMIFS(H$3:H$56,J$3:J$56,K$76)+M78*5</f>
        <v>-445</v>
      </c>
      <c r="M78">
        <f>SUMIFS(Q$3:Q$56,J$3:J$56,K$76)-INT(COUNTIFS(J$3:J$56,K$76,M$3:M$56,"*gộp*")/2)</f>
        <v>20</v>
      </c>
    </row>
    <row r="79" spans="2:16" x14ac:dyDescent="0.25">
      <c r="K79" t="s">
        <v>212</v>
      </c>
      <c r="L79">
        <f>-M79*2</f>
        <v>-108</v>
      </c>
      <c r="M79">
        <f>E64-(COUNTIFS(M$3:M$56,"*gộp*")/2)-COUNTIFS(M$3:M$56,"*đơn trả*")-COUNTIFS(M$3:M$56,"*hàng tỉnh*")</f>
        <v>54</v>
      </c>
    </row>
    <row r="80" spans="2:16" x14ac:dyDescent="0.25">
      <c r="K80" s="2" t="s">
        <v>214</v>
      </c>
    </row>
    <row r="81" spans="11:13" x14ac:dyDescent="0.25">
      <c r="K81" s="2" t="s">
        <v>216</v>
      </c>
    </row>
    <row r="82" spans="11:13" x14ac:dyDescent="0.25">
      <c r="L82" s="13">
        <f>SUBTOTAL(9,L77:L81)</f>
        <v>12427</v>
      </c>
      <c r="M82" s="13">
        <f>M77</f>
        <v>20</v>
      </c>
    </row>
    <row r="84" spans="11:13" x14ac:dyDescent="0.25">
      <c r="K84" s="11" t="s">
        <v>194</v>
      </c>
      <c r="L84" s="11" t="s">
        <v>203</v>
      </c>
      <c r="M84" s="11" t="s">
        <v>202</v>
      </c>
    </row>
    <row r="85" spans="11:13" x14ac:dyDescent="0.25">
      <c r="K85" t="s">
        <v>207</v>
      </c>
      <c r="L85">
        <f>SUMIFS(G$3:G$56,J$3:J$56,K$84)</f>
        <v>895</v>
      </c>
      <c r="M85">
        <f>SUMIFS(Q$3:Q$56,J$3:J$56,K$84)-INT(COUNTIFS(J$3:J$56,K$84,M$3:M$56,"*gộp*")/2)</f>
        <v>1</v>
      </c>
    </row>
    <row r="86" spans="11:13" x14ac:dyDescent="0.25">
      <c r="K86" t="s">
        <v>210</v>
      </c>
      <c r="L86">
        <f>-SUMIFS(H$3:H$56,J$3:J$56,K$84)+M86*5</f>
        <v>-30</v>
      </c>
      <c r="M86">
        <f>SUMIFS(Q$3:Q$56,J$3:J$56,K$84)-INT(COUNTIFS(J$3:J$56,K$84,M$3:M$56,"*gộp*")/2)</f>
        <v>1</v>
      </c>
    </row>
    <row r="87" spans="11:13" x14ac:dyDescent="0.25">
      <c r="K87" t="s">
        <v>212</v>
      </c>
    </row>
    <row r="88" spans="11:13" x14ac:dyDescent="0.25">
      <c r="K88" s="2" t="s">
        <v>214</v>
      </c>
    </row>
    <row r="89" spans="11:13" x14ac:dyDescent="0.25">
      <c r="K89" s="2" t="s">
        <v>216</v>
      </c>
    </row>
    <row r="90" spans="11:13" x14ac:dyDescent="0.25">
      <c r="L90" s="13">
        <f>SUBTOTAL(9,L85:L89)</f>
        <v>865</v>
      </c>
      <c r="M90" s="13">
        <f>M85</f>
        <v>1</v>
      </c>
    </row>
  </sheetData>
  <autoFilter ref="A2:P56" xr:uid="{00000000-0009-0000-0000-000001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2"/>
  <sheetViews>
    <sheetView tabSelected="1" workbookViewId="0">
      <selection activeCell="B7" sqref="B7"/>
    </sheetView>
  </sheetViews>
  <sheetFormatPr defaultColWidth="9.140625" defaultRowHeight="15" x14ac:dyDescent="0.25"/>
  <cols>
    <col min="1" max="1" width="9.42578125" style="5" bestFit="1" customWidth="1"/>
    <col min="2" max="2" width="10.85546875" style="5" bestFit="1" customWidth="1"/>
    <col min="3" max="3" width="9.42578125" style="5" bestFit="1" customWidth="1"/>
    <col min="4" max="4" width="17.5703125" style="5" bestFit="1" customWidth="1"/>
    <col min="5" max="5" width="15.85546875" style="5" bestFit="1" customWidth="1"/>
    <col min="6" max="6" width="9.140625" style="5" customWidth="1"/>
    <col min="7" max="16384" width="9.140625" style="5"/>
  </cols>
  <sheetData>
    <row r="1" spans="1:5" x14ac:dyDescent="0.25">
      <c r="A1" s="5" t="s">
        <v>0</v>
      </c>
      <c r="B1" s="5">
        <v>2026</v>
      </c>
    </row>
    <row r="2" spans="1: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x14ac:dyDescent="0.25">
      <c r="A3" s="7">
        <v>46143</v>
      </c>
      <c r="B3" s="8">
        <f ca="1">IFERROR(COUNTIF(INDIRECT("'"&amp;TEXT(A3,"dd-mm")&amp;"'!L3:L200"),TEXT(A3,"dd-mm")&amp;"-"&amp;B$1),0)</f>
        <v>54</v>
      </c>
      <c r="C3" s="8">
        <f ca="1">IFERROR(COUNTIF(INDIRECT("'"&amp;TEXT(A3,"DD-MM")&amp;"'!M3:M200"),"*gộp*")/2,0)</f>
        <v>0</v>
      </c>
      <c r="D3" s="8" cm="1">
        <f t="array" ref="D3" ca="1">IFERROR(SUM(COUNTIF(INDIRECT("'"&amp;TEXT(A3,"DD-MM")&amp;"'!M3:M200"),{"*đơn trả*","*hàng tỉnh*"})),0)</f>
        <v>0</v>
      </c>
      <c r="E3" s="8">
        <f t="shared" ref="E3:E28" ca="1" si="0">B3-C3-D3</f>
        <v>54</v>
      </c>
    </row>
    <row r="4" spans="1:5" x14ac:dyDescent="0.25">
      <c r="A4" s="7">
        <v>46144</v>
      </c>
      <c r="B4" s="8">
        <f t="shared" ref="B4:B28" ca="1" si="1">IFERROR(COUNTIF(INDIRECT("'"&amp;TEXT(A4,"dd-mm")&amp;"'!L3:L200"),TEXT(A4,"dd-mm")&amp;"-"&amp;B$1),0)</f>
        <v>0</v>
      </c>
      <c r="C4" s="8">
        <f t="shared" ref="C4:C28" ca="1" si="2">IFERROR(COUNTIF(INDIRECT("'"&amp;TEXT(A4,"DD-MM")&amp;"'!M3:M200"),"*gộp*")/2,0)</f>
        <v>0</v>
      </c>
      <c r="D4" s="8" cm="1">
        <f t="array" aca="1" ref="D4" ca="1">IFERROR(SUM(COUNTIF(INDIRECT("'"&amp;TEXT(A4,"DD-MM")&amp;"'!M3:M200"),{"*đơn trả*","*hàng tỉnh*"})),0)</f>
        <v>0</v>
      </c>
      <c r="E4" s="8">
        <f t="shared" ref="E4:E28" ca="1" si="3">B4-C4-D4</f>
        <v>0</v>
      </c>
    </row>
    <row r="5" spans="1:5" x14ac:dyDescent="0.25">
      <c r="A5" s="7">
        <v>46146</v>
      </c>
      <c r="B5" s="8">
        <f t="shared" ca="1" si="1"/>
        <v>0</v>
      </c>
      <c r="C5" s="8">
        <f t="shared" ca="1" si="2"/>
        <v>0</v>
      </c>
      <c r="D5" s="8" cm="1">
        <f t="array" aca="1" ref="D5" ca="1">IFERROR(SUM(COUNTIF(INDIRECT("'"&amp;TEXT(A5,"DD-MM")&amp;"'!M3:M200"),{"*đơn trả*","*hàng tỉnh*"})),0)</f>
        <v>0</v>
      </c>
      <c r="E5" s="8">
        <f t="shared" ca="1" si="3"/>
        <v>0</v>
      </c>
    </row>
    <row r="6" spans="1:5" x14ac:dyDescent="0.25">
      <c r="A6" s="7">
        <v>46147</v>
      </c>
      <c r="B6" s="8">
        <f t="shared" ca="1" si="1"/>
        <v>0</v>
      </c>
      <c r="C6" s="8">
        <f t="shared" ca="1" si="2"/>
        <v>0</v>
      </c>
      <c r="D6" s="8" cm="1">
        <f t="array" aca="1" ref="D6" ca="1">IFERROR(SUM(COUNTIF(INDIRECT("'"&amp;TEXT(A6,"DD-MM")&amp;"'!M3:M200"),{"*đơn trả*","*hàng tỉnh*"})),0)</f>
        <v>0</v>
      </c>
      <c r="E6" s="8">
        <f t="shared" ca="1" si="3"/>
        <v>0</v>
      </c>
    </row>
    <row r="7" spans="1:5" x14ac:dyDescent="0.25">
      <c r="A7" s="7">
        <v>46148</v>
      </c>
      <c r="B7" s="8">
        <f t="shared" ca="1" si="1"/>
        <v>0</v>
      </c>
      <c r="C7" s="8">
        <f t="shared" ca="1" si="2"/>
        <v>0</v>
      </c>
      <c r="D7" s="8" cm="1">
        <f t="array" aca="1" ref="D7" ca="1">IFERROR(SUM(COUNTIF(INDIRECT("'"&amp;TEXT(A7,"DD-MM")&amp;"'!M3:M200"),{"*đơn trả*","*hàng tỉnh*"})),0)</f>
        <v>0</v>
      </c>
      <c r="E7" s="8">
        <f t="shared" ca="1" si="3"/>
        <v>0</v>
      </c>
    </row>
    <row r="8" spans="1:5" x14ac:dyDescent="0.25">
      <c r="A8" s="7">
        <v>46149</v>
      </c>
      <c r="B8" s="8">
        <f t="shared" ca="1" si="1"/>
        <v>0</v>
      </c>
      <c r="C8" s="8">
        <f t="shared" ca="1" si="2"/>
        <v>0</v>
      </c>
      <c r="D8" s="8" cm="1">
        <f t="array" aca="1" ref="D8" ca="1">IFERROR(SUM(COUNTIF(INDIRECT("'"&amp;TEXT(A8,"DD-MM")&amp;"'!M3:M200"),{"*đơn trả*","*hàng tỉnh*"})),0)</f>
        <v>0</v>
      </c>
      <c r="E8" s="8">
        <f t="shared" ca="1" si="3"/>
        <v>0</v>
      </c>
    </row>
    <row r="9" spans="1:5" x14ac:dyDescent="0.25">
      <c r="A9" s="7">
        <v>46150</v>
      </c>
      <c r="B9" s="8">
        <f t="shared" ca="1" si="1"/>
        <v>0</v>
      </c>
      <c r="C9" s="8">
        <f t="shared" ca="1" si="2"/>
        <v>0</v>
      </c>
      <c r="D9" s="8" cm="1">
        <f t="array" aca="1" ref="D9" ca="1">IFERROR(SUM(COUNTIF(INDIRECT("'"&amp;TEXT(A9,"DD-MM")&amp;"'!M3:M200"),{"*đơn trả*","*hàng tỉnh*"})),0)</f>
        <v>0</v>
      </c>
      <c r="E9" s="8">
        <f t="shared" ca="1" si="3"/>
        <v>0</v>
      </c>
    </row>
    <row r="10" spans="1:5" x14ac:dyDescent="0.25">
      <c r="A10" s="7">
        <v>46151</v>
      </c>
      <c r="B10" s="8">
        <f t="shared" ca="1" si="1"/>
        <v>0</v>
      </c>
      <c r="C10" s="8">
        <f t="shared" ca="1" si="2"/>
        <v>0</v>
      </c>
      <c r="D10" s="8" cm="1">
        <f t="array" aca="1" ref="D10" ca="1">IFERROR(SUM(COUNTIF(INDIRECT("'"&amp;TEXT(A10,"DD-MM")&amp;"'!M3:M200"),{"*đơn trả*","*hàng tỉnh*"})),0)</f>
        <v>0</v>
      </c>
      <c r="E10" s="8">
        <f t="shared" ca="1" si="3"/>
        <v>0</v>
      </c>
    </row>
    <row r="11" spans="1:5" x14ac:dyDescent="0.25">
      <c r="A11" s="7">
        <v>46153</v>
      </c>
      <c r="B11" s="8">
        <f t="shared" ca="1" si="1"/>
        <v>0</v>
      </c>
      <c r="C11" s="8">
        <f t="shared" ca="1" si="2"/>
        <v>0</v>
      </c>
      <c r="D11" s="8" cm="1">
        <f t="array" aca="1" ref="D11" ca="1">IFERROR(SUM(COUNTIF(INDIRECT("'"&amp;TEXT(A11,"DD-MM")&amp;"'!M3:M200"),{"*đơn trả*","*hàng tỉnh*"})),0)</f>
        <v>0</v>
      </c>
      <c r="E11" s="8">
        <f t="shared" ca="1" si="3"/>
        <v>0</v>
      </c>
    </row>
    <row r="12" spans="1:5" x14ac:dyDescent="0.25">
      <c r="A12" s="7">
        <v>46154</v>
      </c>
      <c r="B12" s="8">
        <f t="shared" ca="1" si="1"/>
        <v>0</v>
      </c>
      <c r="C12" s="8">
        <f t="shared" ca="1" si="2"/>
        <v>0</v>
      </c>
      <c r="D12" s="8" cm="1">
        <f t="array" aca="1" ref="D12" ca="1">IFERROR(SUM(COUNTIF(INDIRECT("'"&amp;TEXT(A12,"DD-MM")&amp;"'!M3:M200"),{"*đơn trả*","*hàng tỉnh*"})),0)</f>
        <v>0</v>
      </c>
      <c r="E12" s="8">
        <f t="shared" ca="1" si="3"/>
        <v>0</v>
      </c>
    </row>
    <row r="13" spans="1:5" x14ac:dyDescent="0.25">
      <c r="A13" s="7">
        <v>46155</v>
      </c>
      <c r="B13" s="8">
        <f t="shared" ca="1" si="1"/>
        <v>0</v>
      </c>
      <c r="C13" s="8">
        <f t="shared" ca="1" si="2"/>
        <v>0</v>
      </c>
      <c r="D13" s="8" cm="1">
        <f t="array" aca="1" ref="D13" ca="1">IFERROR(SUM(COUNTIF(INDIRECT("'"&amp;TEXT(A13,"DD-MM")&amp;"'!M3:M200"),{"*đơn trả*","*hàng tỉnh*"})),0)</f>
        <v>0</v>
      </c>
      <c r="E13" s="8">
        <f t="shared" ca="1" si="3"/>
        <v>0</v>
      </c>
    </row>
    <row r="14" spans="1:5" x14ac:dyDescent="0.25">
      <c r="A14" s="7">
        <v>46156</v>
      </c>
      <c r="B14" s="8">
        <f t="shared" ca="1" si="1"/>
        <v>0</v>
      </c>
      <c r="C14" s="8">
        <f t="shared" ca="1" si="2"/>
        <v>0</v>
      </c>
      <c r="D14" s="8" cm="1">
        <f t="array" aca="1" ref="D14" ca="1">IFERROR(SUM(COUNTIF(INDIRECT("'"&amp;TEXT(A14,"DD-MM")&amp;"'!M3:M200"),{"*đơn trả*","*hàng tỉnh*"})),0)</f>
        <v>0</v>
      </c>
      <c r="E14" s="8">
        <f t="shared" ca="1" si="3"/>
        <v>0</v>
      </c>
    </row>
    <row r="15" spans="1:5" x14ac:dyDescent="0.25">
      <c r="A15" s="7">
        <v>46157</v>
      </c>
      <c r="B15" s="8">
        <f t="shared" ca="1" si="1"/>
        <v>0</v>
      </c>
      <c r="C15" s="8">
        <f t="shared" ca="1" si="2"/>
        <v>0</v>
      </c>
      <c r="D15" s="8" cm="1">
        <f t="array" aca="1" ref="D15" ca="1">IFERROR(SUM(COUNTIF(INDIRECT("'"&amp;TEXT(A15,"DD-MM")&amp;"'!M3:M200"),{"*đơn trả*","*hàng tỉnh*"})),0)</f>
        <v>0</v>
      </c>
      <c r="E15" s="8">
        <f t="shared" ca="1" si="3"/>
        <v>0</v>
      </c>
    </row>
    <row r="16" spans="1:5" x14ac:dyDescent="0.25">
      <c r="A16" s="7">
        <v>46158</v>
      </c>
      <c r="B16" s="8">
        <f t="shared" ca="1" si="1"/>
        <v>0</v>
      </c>
      <c r="C16" s="8">
        <f t="shared" ca="1" si="2"/>
        <v>0</v>
      </c>
      <c r="D16" s="8" cm="1">
        <f t="array" aca="1" ref="D16" ca="1">IFERROR(SUM(COUNTIF(INDIRECT("'"&amp;TEXT(A16,"DD-MM")&amp;"'!M3:M200"),{"*đơn trả*","*hàng tỉnh*"})),0)</f>
        <v>0</v>
      </c>
      <c r="E16" s="8">
        <f t="shared" ca="1" si="3"/>
        <v>0</v>
      </c>
    </row>
    <row r="17" spans="1:5" x14ac:dyDescent="0.25">
      <c r="A17" s="7">
        <v>46160</v>
      </c>
      <c r="B17" s="8">
        <f t="shared" ca="1" si="1"/>
        <v>0</v>
      </c>
      <c r="C17" s="8">
        <f t="shared" ca="1" si="2"/>
        <v>0</v>
      </c>
      <c r="D17" s="8" cm="1">
        <f t="array" aca="1" ref="D17" ca="1">IFERROR(SUM(COUNTIF(INDIRECT("'"&amp;TEXT(A17,"DD-MM")&amp;"'!M3:M200"),{"*đơn trả*","*hàng tỉnh*"})),0)</f>
        <v>0</v>
      </c>
      <c r="E17" s="8">
        <f t="shared" ca="1" si="3"/>
        <v>0</v>
      </c>
    </row>
    <row r="18" spans="1:5" x14ac:dyDescent="0.25">
      <c r="A18" s="7">
        <v>46161</v>
      </c>
      <c r="B18" s="8">
        <f t="shared" ca="1" si="1"/>
        <v>0</v>
      </c>
      <c r="C18" s="8">
        <f t="shared" ca="1" si="2"/>
        <v>0</v>
      </c>
      <c r="D18" s="8" cm="1">
        <f t="array" aca="1" ref="D18" ca="1">IFERROR(SUM(COUNTIF(INDIRECT("'"&amp;TEXT(A18,"DD-MM")&amp;"'!M3:M200"),{"*đơn trả*","*hàng tỉnh*"})),0)</f>
        <v>0</v>
      </c>
      <c r="E18" s="8">
        <f t="shared" ca="1" si="3"/>
        <v>0</v>
      </c>
    </row>
    <row r="19" spans="1:5" x14ac:dyDescent="0.25">
      <c r="A19" s="7">
        <v>46162</v>
      </c>
      <c r="B19" s="8">
        <f t="shared" ca="1" si="1"/>
        <v>0</v>
      </c>
      <c r="C19" s="8">
        <f t="shared" ca="1" si="2"/>
        <v>0</v>
      </c>
      <c r="D19" s="8" cm="1">
        <f t="array" aca="1" ref="D19" ca="1">IFERROR(SUM(COUNTIF(INDIRECT("'"&amp;TEXT(A19,"DD-MM")&amp;"'!M3:M200"),{"*đơn trả*","*hàng tỉnh*"})),0)</f>
        <v>0</v>
      </c>
      <c r="E19" s="8">
        <f t="shared" ca="1" si="3"/>
        <v>0</v>
      </c>
    </row>
    <row r="20" spans="1:5" x14ac:dyDescent="0.25">
      <c r="A20" s="7">
        <v>46163</v>
      </c>
      <c r="B20" s="8">
        <f t="shared" ca="1" si="1"/>
        <v>0</v>
      </c>
      <c r="C20" s="8">
        <f t="shared" ca="1" si="2"/>
        <v>0</v>
      </c>
      <c r="D20" s="8" cm="1">
        <f t="array" aca="1" ref="D20" ca="1">IFERROR(SUM(COUNTIF(INDIRECT("'"&amp;TEXT(A20,"DD-MM")&amp;"'!M3:M200"),{"*đơn trả*","*hàng tỉnh*"})),0)</f>
        <v>0</v>
      </c>
      <c r="E20" s="8">
        <f t="shared" ca="1" si="3"/>
        <v>0</v>
      </c>
    </row>
    <row r="21" spans="1:5" x14ac:dyDescent="0.25">
      <c r="A21" s="7">
        <v>46164</v>
      </c>
      <c r="B21" s="8">
        <f t="shared" ca="1" si="1"/>
        <v>0</v>
      </c>
      <c r="C21" s="8">
        <f t="shared" ca="1" si="2"/>
        <v>0</v>
      </c>
      <c r="D21" s="8" cm="1">
        <f t="array" aca="1" ref="D21" ca="1">IFERROR(SUM(COUNTIF(INDIRECT("'"&amp;TEXT(A21,"DD-MM")&amp;"'!M3:M200"),{"*đơn trả*","*hàng tỉnh*"})),0)</f>
        <v>0</v>
      </c>
      <c r="E21" s="8">
        <f t="shared" ca="1" si="3"/>
        <v>0</v>
      </c>
    </row>
    <row r="22" spans="1:5" x14ac:dyDescent="0.25">
      <c r="A22" s="7">
        <v>46165</v>
      </c>
      <c r="B22" s="8">
        <f t="shared" ca="1" si="1"/>
        <v>0</v>
      </c>
      <c r="C22" s="8">
        <f t="shared" ca="1" si="2"/>
        <v>0</v>
      </c>
      <c r="D22" s="8" cm="1">
        <f t="array" aca="1" ref="D22" ca="1">IFERROR(SUM(COUNTIF(INDIRECT("'"&amp;TEXT(A22,"DD-MM")&amp;"'!M3:M200"),{"*đơn trả*","*hàng tỉnh*"})),0)</f>
        <v>0</v>
      </c>
      <c r="E22" s="8">
        <f t="shared" ca="1" si="3"/>
        <v>0</v>
      </c>
    </row>
    <row r="23" spans="1:5" x14ac:dyDescent="0.25">
      <c r="A23" s="7">
        <v>46167</v>
      </c>
      <c r="B23" s="8">
        <f t="shared" ca="1" si="1"/>
        <v>0</v>
      </c>
      <c r="C23" s="8">
        <f t="shared" ca="1" si="2"/>
        <v>0</v>
      </c>
      <c r="D23" s="8" cm="1">
        <f t="array" aca="1" ref="D23" ca="1">IFERROR(SUM(COUNTIF(INDIRECT("'"&amp;TEXT(A23,"DD-MM")&amp;"'!M3:M200"),{"*đơn trả*","*hàng tỉnh*"})),0)</f>
        <v>0</v>
      </c>
      <c r="E23" s="8">
        <f t="shared" ca="1" si="3"/>
        <v>0</v>
      </c>
    </row>
    <row r="24" spans="1:5" x14ac:dyDescent="0.25">
      <c r="A24" s="7">
        <v>46168</v>
      </c>
      <c r="B24" s="8">
        <f t="shared" ca="1" si="1"/>
        <v>0</v>
      </c>
      <c r="C24" s="8">
        <f t="shared" ca="1" si="2"/>
        <v>0</v>
      </c>
      <c r="D24" s="8" cm="1">
        <f t="array" aca="1" ref="D24" ca="1">IFERROR(SUM(COUNTIF(INDIRECT("'"&amp;TEXT(A24,"DD-MM")&amp;"'!M3:M200"),{"*đơn trả*","*hàng tỉnh*"})),0)</f>
        <v>0</v>
      </c>
      <c r="E24" s="8">
        <f t="shared" ca="1" si="3"/>
        <v>0</v>
      </c>
    </row>
    <row r="25" spans="1:5" x14ac:dyDescent="0.25">
      <c r="A25" s="7">
        <v>46169</v>
      </c>
      <c r="B25" s="8">
        <f t="shared" ca="1" si="1"/>
        <v>0</v>
      </c>
      <c r="C25" s="8">
        <f t="shared" ca="1" si="2"/>
        <v>0</v>
      </c>
      <c r="D25" s="8" cm="1">
        <f t="array" aca="1" ref="D25" ca="1">IFERROR(SUM(COUNTIF(INDIRECT("'"&amp;TEXT(A25,"DD-MM")&amp;"'!M3:M200"),{"*đơn trả*","*hàng tỉnh*"})),0)</f>
        <v>0</v>
      </c>
      <c r="E25" s="8">
        <f t="shared" ca="1" si="3"/>
        <v>0</v>
      </c>
    </row>
    <row r="26" spans="1:5" x14ac:dyDescent="0.25">
      <c r="A26" s="7">
        <v>46170</v>
      </c>
      <c r="B26" s="8">
        <f t="shared" ca="1" si="1"/>
        <v>0</v>
      </c>
      <c r="C26" s="8">
        <f t="shared" ca="1" si="2"/>
        <v>0</v>
      </c>
      <c r="D26" s="8" cm="1">
        <f t="array" aca="1" ref="D26" ca="1">IFERROR(SUM(COUNTIF(INDIRECT("'"&amp;TEXT(A26,"DD-MM")&amp;"'!M3:M200"),{"*đơn trả*","*hàng tỉnh*"})),0)</f>
        <v>0</v>
      </c>
      <c r="E26" s="8">
        <f t="shared" ca="1" si="3"/>
        <v>0</v>
      </c>
    </row>
    <row r="27" spans="1:5" x14ac:dyDescent="0.25">
      <c r="A27" s="7">
        <v>46171</v>
      </c>
      <c r="B27" s="8">
        <f t="shared" ca="1" si="1"/>
        <v>0</v>
      </c>
      <c r="C27" s="8">
        <f t="shared" ca="1" si="2"/>
        <v>0</v>
      </c>
      <c r="D27" s="8" cm="1">
        <f t="array" aca="1" ref="D27" ca="1">IFERROR(SUM(COUNTIF(INDIRECT("'"&amp;TEXT(A27,"DD-MM")&amp;"'!M3:M200"),{"*đơn trả*","*hàng tỉnh*"})),0)</f>
        <v>0</v>
      </c>
      <c r="E27" s="8">
        <f t="shared" ca="1" si="3"/>
        <v>0</v>
      </c>
    </row>
    <row r="28" spans="1:5" x14ac:dyDescent="0.25">
      <c r="A28" s="7">
        <v>46172</v>
      </c>
      <c r="B28" s="8">
        <f t="shared" ca="1" si="1"/>
        <v>0</v>
      </c>
      <c r="C28" s="8">
        <f t="shared" ca="1" si="2"/>
        <v>0</v>
      </c>
      <c r="D28" s="8" cm="1">
        <f t="array" aca="1" ref="D28" ca="1">IFERROR(SUM(COUNTIF(INDIRECT("'"&amp;TEXT(A28,"DD-MM")&amp;"'!M3:M200"),{"*đơn trả*","*hàng tỉnh*"})),0)</f>
        <v>0</v>
      </c>
      <c r="E28" s="8">
        <f t="shared" ca="1" si="3"/>
        <v>0</v>
      </c>
    </row>
    <row r="29" spans="1:5" x14ac:dyDescent="0.25">
      <c r="D29" s="9" t="s">
        <v>6</v>
      </c>
      <c r="E29" s="9">
        <f ca="1">SUBTOTAL(9,E4:E28)</f>
        <v>0</v>
      </c>
    </row>
    <row r="30" spans="1:5" x14ac:dyDescent="0.25">
      <c r="D30" s="9" t="s">
        <v>7</v>
      </c>
      <c r="E30" s="9" cm="1">
        <f t="array" ref="E30" ca="1">SUMPRODUCT(
    IFERROR(
        SUMIF(
            INDIRECT("'"&amp;TEXT(A4:A28,"dd-mm")&amp;"'!O:O"),
            "tổng",
            INDIRECT("'"&amp;TEXT(A4:A28,"dd-mm")&amp;"'!P:P")
        ),
    0)
)</f>
        <v>0</v>
      </c>
    </row>
    <row r="31" spans="1:5" x14ac:dyDescent="0.25">
      <c r="D31" s="9" t="s">
        <v>8</v>
      </c>
      <c r="E31" s="9">
        <f ca="1">-E29*2</f>
        <v>0</v>
      </c>
    </row>
    <row r="32" spans="1:5" x14ac:dyDescent="0.25">
      <c r="D32" s="9" t="s">
        <v>9</v>
      </c>
      <c r="E32" s="9">
        <f ca="1">SUBTOTAL(9,E30:E31)</f>
        <v>0</v>
      </c>
    </row>
  </sheetData>
  <autoFilter ref="A2:E28" xr:uid="{00000000-0009-0000-0000-000000000000}"/>
  <phoneticPr fontId="3" type="noConversion"/>
  <conditionalFormatting sqref="C3:D28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2026-05-02T04:02:50Z</dcterms:modified>
</cp:coreProperties>
</file>