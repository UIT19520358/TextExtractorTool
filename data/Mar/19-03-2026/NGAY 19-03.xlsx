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Mar\19-03-2026\"/>
    </mc:Choice>
  </mc:AlternateContent>
  <xr:revisionPtr revIDLastSave="0" documentId="13_ncr:1_{2C9F6F40-619A-4803-B7DC-AE854C602EF3}" xr6:coauthVersionLast="47" xr6:coauthVersionMax="47" xr10:uidLastSave="{00000000-0000-0000-0000-000000000000}"/>
  <bookViews>
    <workbookView xWindow="-120" yWindow="-120" windowWidth="29040" windowHeight="15720" xr2:uid="{6B6C9D35-2D77-4262-A067-18EED5C7F01A}"/>
  </bookViews>
  <sheets>
    <sheet name="Sheet1" sheetId="1" r:id="rId1"/>
  </sheets>
  <definedNames>
    <definedName name="_xlnm._FilterDatabase" localSheetId="0" hidden="1">Sheet1!$A$2:$Q$34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1" l="1"/>
  <c r="L59" i="1"/>
  <c r="H37" i="1"/>
  <c r="I12" i="1"/>
  <c r="M67" i="1"/>
  <c r="L67" i="1" s="1"/>
  <c r="M66" i="1"/>
  <c r="M71" i="1" s="1"/>
  <c r="L66" i="1"/>
  <c r="M59" i="1"/>
  <c r="M58" i="1"/>
  <c r="M63" i="1" s="1"/>
  <c r="L58" i="1"/>
  <c r="M51" i="1"/>
  <c r="L51" i="1" s="1"/>
  <c r="M50" i="1"/>
  <c r="M55" i="1" s="1"/>
  <c r="L50" i="1"/>
  <c r="E44" i="1"/>
  <c r="C44" i="1"/>
  <c r="M43" i="1"/>
  <c r="L43" i="1" s="1"/>
  <c r="M42" i="1"/>
  <c r="M47" i="1" s="1"/>
  <c r="L42" i="1"/>
  <c r="E42" i="1"/>
  <c r="E45" i="1" s="1"/>
  <c r="H39" i="1"/>
  <c r="H38" i="1"/>
  <c r="Q36" i="1"/>
  <c r="P36" i="1"/>
  <c r="O36" i="1"/>
  <c r="N36" i="1"/>
  <c r="M36" i="1"/>
  <c r="L36" i="1"/>
  <c r="K36" i="1"/>
  <c r="J36" i="1"/>
  <c r="H36" i="1"/>
  <c r="G36" i="1"/>
  <c r="D36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6" i="1"/>
  <c r="I19" i="1"/>
  <c r="I18" i="1"/>
  <c r="I17" i="1"/>
  <c r="I16" i="1"/>
  <c r="I15" i="1"/>
  <c r="I14" i="1"/>
  <c r="I13" i="1"/>
  <c r="I11" i="1"/>
  <c r="I10" i="1"/>
  <c r="I9" i="1"/>
  <c r="I8" i="1"/>
  <c r="I7" i="1"/>
  <c r="I5" i="1"/>
  <c r="I4" i="1"/>
  <c r="I3" i="1"/>
  <c r="C42" i="1" l="1"/>
  <c r="C45" i="1" s="1"/>
  <c r="C49" i="1" s="1"/>
  <c r="P46" i="1" s="1"/>
  <c r="I36" i="1"/>
  <c r="L71" i="1"/>
  <c r="P45" i="1" s="1"/>
  <c r="L63" i="1"/>
  <c r="P44" i="1" s="1"/>
  <c r="L55" i="1"/>
  <c r="P43" i="1" s="1"/>
  <c r="L47" i="1"/>
  <c r="P42" i="1" s="1"/>
  <c r="P47" i="1" l="1"/>
</calcChain>
</file>

<file path=xl/sharedStrings.xml><?xml version="1.0" encoding="utf-8"?>
<sst xmlns="http://schemas.openxmlformats.org/spreadsheetml/2006/main" count="310" uniqueCount="143">
  <si>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</si>
  <si>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</si>
  <si>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</si>
  <si>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</si>
  <si>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</si>
  <si>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</si>
  <si>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</si>
  <si>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</si>
  <si>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</si>
  <si>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</si>
  <si>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</si>
  <si>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</si>
  <si>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</si>
  <si>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</si>
  <si>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</si>
  <si>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</si>
  <si>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</si>
  <si>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ĐOÀN NGÂN CHÂU</t>
  </si>
  <si>
    <t>go vap</t>
  </si>
  <si>
    <t>c.cuong</t>
  </si>
  <si>
    <t>binh chanh</t>
  </si>
  <si>
    <t>tan binh</t>
  </si>
  <si>
    <t>c.hieu</t>
  </si>
  <si>
    <t>binh tan</t>
  </si>
  <si>
    <t>tan phu</t>
  </si>
  <si>
    <t>hàng sỉ</t>
  </si>
  <si>
    <t>NGUYÊN NGUYÊN</t>
  </si>
  <si>
    <t>đơn trả</t>
  </si>
  <si>
    <t>Tiền</t>
  </si>
  <si>
    <t>Số đơn</t>
  </si>
  <si>
    <t>Tiền Thu</t>
  </si>
  <si>
    <t>cod</t>
  </si>
  <si>
    <t>Sài Gòn</t>
  </si>
  <si>
    <t>TỔNG ĐƠN NHẬN</t>
  </si>
  <si>
    <t>tiền ship</t>
  </si>
  <si>
    <t>Đơn trả &amp; c.khoản</t>
  </si>
  <si>
    <t>tiền lấy</t>
  </si>
  <si>
    <t>Tiền Hàng Hcm</t>
  </si>
  <si>
    <t>đền đơn</t>
  </si>
  <si>
    <t>đơn cũ ck</t>
  </si>
  <si>
    <t>nợ cũ</t>
  </si>
  <si>
    <t>THANH TOÁN</t>
  </si>
  <si>
    <t>CK Đủ 100%</t>
  </si>
  <si>
    <t>Tiên</t>
  </si>
  <si>
    <t>HD002831</t>
  </si>
  <si>
    <t>Toà A2 chung cư gia hoà</t>
  </si>
  <si>
    <t>a.quyen</t>
  </si>
  <si>
    <t>19-03-2026</t>
  </si>
  <si>
    <t>NGÂN KIM</t>
  </si>
  <si>
    <t>T8-20 mahattan vinhomes Grand park, phường long bình</t>
  </si>
  <si>
    <t>MIE</t>
  </si>
  <si>
    <t>275/14B1 Đặng Nguyên Cẩn, Phường Phú Lâm</t>
  </si>
  <si>
    <t>AT 19-03</t>
  </si>
  <si>
    <t>Trinh</t>
  </si>
  <si>
    <t>HD003016</t>
  </si>
  <si>
    <t>105 lý phục man bình thuận</t>
  </si>
  <si>
    <t>Jang Milk</t>
  </si>
  <si>
    <t>HD003133</t>
  </si>
  <si>
    <t>118 Huỳnh Tấn Phát Tân Thuận Tây</t>
  </si>
  <si>
    <t>Pé Thỏ</t>
  </si>
  <si>
    <t>HD003156</t>
  </si>
  <si>
    <t>1002 tạ quang bừu f6 Chung cư the pegasuite1 (zone1)</t>
  </si>
  <si>
    <t>Thảo Ly Nguyễn</t>
  </si>
  <si>
    <t>HD002894</t>
  </si>
  <si>
    <t>35/4 đường Nguyễn thị búp phường hiệp thành</t>
  </si>
  <si>
    <t>Thanh Mây</t>
  </si>
  <si>
    <t>HD003139</t>
  </si>
  <si>
    <t>70G hẻm F1 xã Vĩnh Lộc A</t>
  </si>
  <si>
    <t>Bích Huyền</t>
  </si>
  <si>
    <t>HD003079</t>
  </si>
  <si>
    <t>Số 4 đường số 22 khu dân cư bình hưng xã binh hưng</t>
  </si>
  <si>
    <t>Vòng Hồng Tuyền</t>
  </si>
  <si>
    <t>HD002956</t>
  </si>
  <si>
    <t>125/34 tây lân, phường bình trị động a</t>
  </si>
  <si>
    <t>Ngọc Sương</t>
  </si>
  <si>
    <t>HD002909</t>
  </si>
  <si>
    <t>704/44 hương lộ 2, bình trị đông a</t>
  </si>
  <si>
    <t>Doan Sam</t>
  </si>
  <si>
    <t>HD002953</t>
  </si>
  <si>
    <t>170/9a đường Trưng Vương 3, Ấp 61, Xã Bà Điểm</t>
  </si>
  <si>
    <t>hoc mon</t>
  </si>
  <si>
    <t>Nhung Xuxy</t>
  </si>
  <si>
    <t>HD003018</t>
  </si>
  <si>
    <t>2/11 thiên phước phường 9</t>
  </si>
  <si>
    <t>Anh Nhi Phương hoa (ah ni )</t>
  </si>
  <si>
    <t>HD003092</t>
  </si>
  <si>
    <t>007 LÔ B, Đường Cô, C/C Tây Thanh, P. Tây Thạnh</t>
  </si>
  <si>
    <t>Kim Liên</t>
  </si>
  <si>
    <t>HD003047</t>
  </si>
  <si>
    <t>hẻm 10/4 tên quý</t>
  </si>
  <si>
    <t>Nuong Huynh</t>
  </si>
  <si>
    <t>HD002920</t>
  </si>
  <si>
    <t>67 mai chí thọ phường an phú Cc lexington block B</t>
  </si>
  <si>
    <t>Lâm Tiên</t>
  </si>
  <si>
    <t>HD003140</t>
  </si>
  <si>
    <t>961 Hậu Giang, Lô D, Chung Cư An Phú</t>
  </si>
  <si>
    <t>Bằng Bing</t>
  </si>
  <si>
    <t>HD002901</t>
  </si>
  <si>
    <t>Landmark 5, Vinhome central park, F22</t>
  </si>
  <si>
    <t>binh thanh</t>
  </si>
  <si>
    <t>Kim Anh</t>
  </si>
  <si>
    <t>HD002992</t>
  </si>
  <si>
    <t>124/83/1 xô viết nghệ tĩnh p21</t>
  </si>
  <si>
    <t>đổi hàng</t>
  </si>
  <si>
    <t>jenny bouti</t>
  </si>
  <si>
    <t>401 quang trung f10</t>
  </si>
  <si>
    <t>Võ Ngọc Tường Vy</t>
  </si>
  <si>
    <t>HD003121</t>
  </si>
  <si>
    <t>14/11 bàu bàng, p13</t>
  </si>
  <si>
    <t>Mr Thế</t>
  </si>
  <si>
    <t>27/5 Quách Văn Tuấn, F12</t>
  </si>
  <si>
    <t>Phương Trang</t>
  </si>
  <si>
    <t>HD003015</t>
  </si>
  <si>
    <t>189b/a29 cống quỳnh phường nguyễn cư trinh</t>
  </si>
  <si>
    <t>Danh Hồng</t>
  </si>
  <si>
    <t>HD003149</t>
  </si>
  <si>
    <t>33 nguyễn văn giai p đakao</t>
  </si>
  <si>
    <t>Lý Minh Đức - fb Jolies Le</t>
  </si>
  <si>
    <t>HD003157</t>
  </si>
  <si>
    <t>581 tran hung đạo</t>
  </si>
  <si>
    <t>Lien Thuy</t>
  </si>
  <si>
    <t>HD003107</t>
  </si>
  <si>
    <t>151 nguyễn định chiều p.xuân hoà</t>
  </si>
  <si>
    <t>Đào Minh Ánh</t>
  </si>
  <si>
    <t>HD003132</t>
  </si>
  <si>
    <t xml:space="preserve">91/2a, Nguyễn Khoái, Phường 1 </t>
  </si>
  <si>
    <t>Nguyễn LyNa</t>
  </si>
  <si>
    <t>HD003104</t>
  </si>
  <si>
    <t>Chung cư số 1 tôn thất thuyết p1</t>
  </si>
  <si>
    <t>12 TÔN ĐẢN P13</t>
  </si>
  <si>
    <t>kim ngân</t>
  </si>
  <si>
    <t>HD002974</t>
  </si>
  <si>
    <t>162 đường số 3 xã bình hưng</t>
  </si>
  <si>
    <t>Hoàng Kim</t>
  </si>
  <si>
    <t>HD002898</t>
  </si>
  <si>
    <t>162 đường số 3, Trung Sơn, Bình Hưng</t>
  </si>
  <si>
    <t>Linh</t>
  </si>
  <si>
    <t>B12-03 Block B, botanica premier, 112 hồng hà p2</t>
  </si>
  <si>
    <t>lợi nhuận</t>
  </si>
  <si>
    <t>Trừ Ship</t>
  </si>
  <si>
    <t>at 19-03</t>
  </si>
  <si>
    <t>shop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</si>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</sst>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  <xf numFmtId="0" fontId="1" fillId="7" borderId="0" xfId="0" applyFont="1" applyFill="1"/>
    <xf numFmtId="0" fontId="1" fillId="3" borderId="0" xfId="0" applyFont="1" applyFill="1"/>
    <xf numFmtId="0" fontId="0" fillId="0" borderId="0" xfId="0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0B7E-F45D-4050-BF8D-6CB3F460A815}">
  <dimension ref="A2:Q71"/>
  <sheetViews>
    <sheetView tabSelected="1" topLeftCell="B1" zoomScale="85" zoomScaleNormal="85" workbookViewId="0">
      <selection activeCell="L45" sqref="L45"/>
    </sheetView>
  </sheetViews>
  <sheetFormatPr defaultRowHeight="15" x14ac:dyDescent="0.25"/>
  <cols>
    <col min="1" max="1" width="12.28515625" customWidth="1"/>
    <col min="2" max="2" width="19.140625" customWidth="1"/>
    <col min="3" max="3" width="25.140625" customWidth="1"/>
    <col min="4" max="4" width="11.5703125" bestFit="1" customWidth="1"/>
    <col min="5" max="5" width="48.5703125" customWidth="1"/>
    <col min="6" max="7" width="10.140625" customWidth="1"/>
    <col min="8" max="8" width="10.5703125" customWidth="1"/>
    <col min="9" max="9" width="11.5703125" customWidth="1"/>
    <col min="10" max="10" width="9.85546875" customWidth="1"/>
    <col min="11" max="11" width="11.42578125" customWidth="1"/>
    <col min="12" max="12" width="10.7109375" customWidth="1"/>
    <col min="13" max="13" width="9.140625" customWidth="1"/>
    <col min="14" max="14" width="10.28515625" customWidth="1"/>
    <col min="15" max="15" width="11.140625" customWidth="1"/>
    <col min="16" max="16" width="8.5703125" bestFit="1" customWidth="1"/>
    <col min="17" max="17" width="6.42578125" customWidth="1"/>
  </cols>
  <sheetData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B3" t="s">
        <v>17</v>
      </c>
      <c r="C3" t="s">
        <v>43</v>
      </c>
      <c r="D3" t="s">
        <v>44</v>
      </c>
      <c r="E3" t="s">
        <v>45</v>
      </c>
      <c r="F3" s="2">
        <v>9</v>
      </c>
      <c r="G3" s="2">
        <v>870</v>
      </c>
      <c r="H3" s="2">
        <v>30</v>
      </c>
      <c r="I3" s="2">
        <f>G3-H3</f>
        <v>840</v>
      </c>
      <c r="J3" t="s">
        <v>46</v>
      </c>
      <c r="K3" t="s">
        <v>19</v>
      </c>
      <c r="L3" t="s">
        <v>47</v>
      </c>
      <c r="Q3" s="2">
        <v>1</v>
      </c>
    </row>
    <row r="4" spans="1:17" x14ac:dyDescent="0.25">
      <c r="A4" t="s">
        <v>25</v>
      </c>
      <c r="B4" t="s">
        <v>17</v>
      </c>
      <c r="C4" t="s">
        <v>48</v>
      </c>
      <c r="E4" t="s">
        <v>49</v>
      </c>
      <c r="F4" s="2">
        <v>9</v>
      </c>
      <c r="G4" s="2">
        <v>1625</v>
      </c>
      <c r="H4" s="2">
        <v>35</v>
      </c>
      <c r="I4" s="2">
        <f>G4-H4</f>
        <v>1590</v>
      </c>
      <c r="J4" t="s">
        <v>46</v>
      </c>
      <c r="K4" t="s">
        <v>19</v>
      </c>
      <c r="L4" t="s">
        <v>47</v>
      </c>
      <c r="Q4" s="2">
        <v>1</v>
      </c>
    </row>
    <row r="5" spans="1:17" x14ac:dyDescent="0.25">
      <c r="A5" t="s">
        <v>25</v>
      </c>
      <c r="B5" t="s">
        <v>17</v>
      </c>
      <c r="C5" t="s">
        <v>50</v>
      </c>
      <c r="E5" t="s">
        <v>51</v>
      </c>
      <c r="F5" s="2">
        <v>6</v>
      </c>
      <c r="G5" s="2">
        <v>0</v>
      </c>
      <c r="H5" s="2">
        <v>25</v>
      </c>
      <c r="I5" s="2">
        <f>-H5</f>
        <v>-25</v>
      </c>
      <c r="J5" t="s">
        <v>52</v>
      </c>
      <c r="K5" t="s">
        <v>19</v>
      </c>
      <c r="L5" t="s">
        <v>47</v>
      </c>
      <c r="Q5" s="2">
        <v>1</v>
      </c>
    </row>
    <row r="6" spans="1:17" x14ac:dyDescent="0.25">
      <c r="B6" t="s">
        <v>17</v>
      </c>
      <c r="C6" t="s">
        <v>93</v>
      </c>
      <c r="D6" t="s">
        <v>94</v>
      </c>
      <c r="E6" t="s">
        <v>95</v>
      </c>
      <c r="F6" s="2">
        <v>6</v>
      </c>
      <c r="G6" s="2">
        <v>735</v>
      </c>
      <c r="H6" s="2">
        <v>25</v>
      </c>
      <c r="I6" s="2">
        <f t="shared" ref="I6:I15" si="0">G6-H6</f>
        <v>710</v>
      </c>
      <c r="J6" t="s">
        <v>52</v>
      </c>
      <c r="K6" t="s">
        <v>19</v>
      </c>
      <c r="L6" t="s">
        <v>47</v>
      </c>
      <c r="Q6" s="2">
        <v>1</v>
      </c>
    </row>
    <row r="7" spans="1:17" x14ac:dyDescent="0.25">
      <c r="B7" t="s">
        <v>17</v>
      </c>
      <c r="C7" t="s">
        <v>53</v>
      </c>
      <c r="D7" t="s">
        <v>54</v>
      </c>
      <c r="E7" t="s">
        <v>55</v>
      </c>
      <c r="F7" s="2">
        <v>7</v>
      </c>
      <c r="G7" s="2">
        <v>510</v>
      </c>
      <c r="H7" s="2">
        <v>30</v>
      </c>
      <c r="I7" s="2">
        <f t="shared" si="0"/>
        <v>480</v>
      </c>
      <c r="J7" t="s">
        <v>52</v>
      </c>
      <c r="K7" t="s">
        <v>19</v>
      </c>
      <c r="L7" t="s">
        <v>47</v>
      </c>
      <c r="Q7" s="2">
        <v>1</v>
      </c>
    </row>
    <row r="8" spans="1:17" x14ac:dyDescent="0.25">
      <c r="B8" t="s">
        <v>17</v>
      </c>
      <c r="C8" t="s">
        <v>56</v>
      </c>
      <c r="D8" t="s">
        <v>57</v>
      </c>
      <c r="E8" t="s">
        <v>58</v>
      </c>
      <c r="F8" s="2">
        <v>7</v>
      </c>
      <c r="G8" s="2">
        <v>1610</v>
      </c>
      <c r="H8" s="2">
        <v>30</v>
      </c>
      <c r="I8" s="2">
        <f t="shared" si="0"/>
        <v>1580</v>
      </c>
      <c r="J8" t="s">
        <v>52</v>
      </c>
      <c r="K8" t="s">
        <v>19</v>
      </c>
      <c r="L8" t="s">
        <v>47</v>
      </c>
      <c r="Q8" s="2">
        <v>1</v>
      </c>
    </row>
    <row r="9" spans="1:17" x14ac:dyDescent="0.25">
      <c r="B9" t="s">
        <v>17</v>
      </c>
      <c r="C9" t="s">
        <v>59</v>
      </c>
      <c r="D9" t="s">
        <v>60</v>
      </c>
      <c r="E9" t="s">
        <v>61</v>
      </c>
      <c r="F9" s="2">
        <v>8</v>
      </c>
      <c r="G9" s="2">
        <v>850</v>
      </c>
      <c r="H9" s="2">
        <v>30</v>
      </c>
      <c r="I9" s="2">
        <f t="shared" si="0"/>
        <v>820</v>
      </c>
      <c r="J9" t="s">
        <v>52</v>
      </c>
      <c r="K9" t="s">
        <v>19</v>
      </c>
      <c r="L9" t="s">
        <v>47</v>
      </c>
      <c r="Q9" s="2">
        <v>1</v>
      </c>
    </row>
    <row r="10" spans="1:17" x14ac:dyDescent="0.25">
      <c r="B10" t="s">
        <v>17</v>
      </c>
      <c r="C10" t="s">
        <v>62</v>
      </c>
      <c r="D10" t="s">
        <v>63</v>
      </c>
      <c r="E10" t="s">
        <v>64</v>
      </c>
      <c r="F10" s="2">
        <v>12</v>
      </c>
      <c r="G10" s="2">
        <v>820</v>
      </c>
      <c r="H10" s="2">
        <v>30</v>
      </c>
      <c r="I10" s="2">
        <f t="shared" si="0"/>
        <v>790</v>
      </c>
      <c r="J10" t="s">
        <v>52</v>
      </c>
      <c r="K10" t="s">
        <v>19</v>
      </c>
      <c r="L10" t="s">
        <v>47</v>
      </c>
      <c r="Q10" s="2">
        <v>1</v>
      </c>
    </row>
    <row r="11" spans="1:17" x14ac:dyDescent="0.25">
      <c r="B11" t="s">
        <v>17</v>
      </c>
      <c r="C11" t="s">
        <v>65</v>
      </c>
      <c r="D11" t="s">
        <v>66</v>
      </c>
      <c r="E11" t="s">
        <v>67</v>
      </c>
      <c r="F11" t="s">
        <v>20</v>
      </c>
      <c r="G11" s="2">
        <v>745</v>
      </c>
      <c r="H11" s="2">
        <v>35</v>
      </c>
      <c r="I11" s="2">
        <f t="shared" si="0"/>
        <v>710</v>
      </c>
      <c r="J11" t="s">
        <v>52</v>
      </c>
      <c r="K11" t="s">
        <v>19</v>
      </c>
      <c r="L11" t="s">
        <v>47</v>
      </c>
      <c r="Q11" s="2">
        <v>1</v>
      </c>
    </row>
    <row r="12" spans="1:17" x14ac:dyDescent="0.25">
      <c r="B12" t="s">
        <v>17</v>
      </c>
      <c r="C12" t="s">
        <v>68</v>
      </c>
      <c r="D12" t="s">
        <v>69</v>
      </c>
      <c r="E12" t="s">
        <v>70</v>
      </c>
      <c r="F12" t="s">
        <v>20</v>
      </c>
      <c r="G12" s="2">
        <v>35</v>
      </c>
      <c r="H12" s="2">
        <v>35</v>
      </c>
      <c r="I12" s="2">
        <f t="shared" si="0"/>
        <v>0</v>
      </c>
      <c r="J12" t="s">
        <v>52</v>
      </c>
      <c r="K12" t="s">
        <v>19</v>
      </c>
      <c r="L12" t="s">
        <v>47</v>
      </c>
      <c r="Q12" s="2">
        <v>1</v>
      </c>
    </row>
    <row r="13" spans="1:17" x14ac:dyDescent="0.25">
      <c r="B13" t="s">
        <v>17</v>
      </c>
      <c r="C13" t="s">
        <v>71</v>
      </c>
      <c r="D13" t="s">
        <v>72</v>
      </c>
      <c r="E13" t="s">
        <v>73</v>
      </c>
      <c r="F13" t="s">
        <v>23</v>
      </c>
      <c r="G13" s="2">
        <v>1760</v>
      </c>
      <c r="H13" s="2">
        <v>30</v>
      </c>
      <c r="I13" s="2">
        <f t="shared" si="0"/>
        <v>1730</v>
      </c>
      <c r="J13" t="s">
        <v>52</v>
      </c>
      <c r="K13" t="s">
        <v>19</v>
      </c>
      <c r="L13" t="s">
        <v>47</v>
      </c>
      <c r="Q13" s="2">
        <v>1</v>
      </c>
    </row>
    <row r="14" spans="1:17" x14ac:dyDescent="0.25">
      <c r="B14" t="s">
        <v>17</v>
      </c>
      <c r="C14" t="s">
        <v>74</v>
      </c>
      <c r="D14" t="s">
        <v>75</v>
      </c>
      <c r="E14" t="s">
        <v>76</v>
      </c>
      <c r="F14" t="s">
        <v>23</v>
      </c>
      <c r="G14" s="2">
        <v>670</v>
      </c>
      <c r="H14" s="2">
        <v>30</v>
      </c>
      <c r="I14" s="2">
        <f t="shared" si="0"/>
        <v>640</v>
      </c>
      <c r="J14" t="s">
        <v>52</v>
      </c>
      <c r="K14" t="s">
        <v>19</v>
      </c>
      <c r="L14" t="s">
        <v>47</v>
      </c>
      <c r="Q14" s="2">
        <v>1</v>
      </c>
    </row>
    <row r="15" spans="1:17" x14ac:dyDescent="0.25">
      <c r="B15" t="s">
        <v>17</v>
      </c>
      <c r="C15" t="s">
        <v>77</v>
      </c>
      <c r="D15" t="s">
        <v>78</v>
      </c>
      <c r="E15" t="s">
        <v>79</v>
      </c>
      <c r="F15" t="s">
        <v>80</v>
      </c>
      <c r="G15" s="2">
        <v>115</v>
      </c>
      <c r="H15" s="2">
        <v>35</v>
      </c>
      <c r="I15" s="2">
        <f t="shared" si="0"/>
        <v>80</v>
      </c>
      <c r="J15" t="s">
        <v>52</v>
      </c>
      <c r="K15" t="s">
        <v>19</v>
      </c>
      <c r="L15" t="s">
        <v>47</v>
      </c>
      <c r="Q15" s="2">
        <v>1</v>
      </c>
    </row>
    <row r="16" spans="1:17" x14ac:dyDescent="0.25">
      <c r="B16" t="s">
        <v>17</v>
      </c>
      <c r="C16" t="s">
        <v>81</v>
      </c>
      <c r="D16" t="s">
        <v>82</v>
      </c>
      <c r="E16" t="s">
        <v>83</v>
      </c>
      <c r="F16" t="s">
        <v>21</v>
      </c>
      <c r="G16" s="2">
        <v>0</v>
      </c>
      <c r="H16" s="2">
        <v>25</v>
      </c>
      <c r="I16" s="2">
        <f>-H16</f>
        <v>-25</v>
      </c>
      <c r="J16" t="s">
        <v>52</v>
      </c>
      <c r="K16" t="s">
        <v>19</v>
      </c>
      <c r="L16" t="s">
        <v>47</v>
      </c>
      <c r="Q16" s="2">
        <v>1</v>
      </c>
    </row>
    <row r="17" spans="1:17" x14ac:dyDescent="0.25">
      <c r="B17" t="s">
        <v>17</v>
      </c>
      <c r="C17" t="s">
        <v>84</v>
      </c>
      <c r="D17" t="s">
        <v>85</v>
      </c>
      <c r="E17" t="s">
        <v>86</v>
      </c>
      <c r="F17" t="s">
        <v>24</v>
      </c>
      <c r="G17" s="2">
        <v>885</v>
      </c>
      <c r="H17" s="2">
        <v>25</v>
      </c>
      <c r="I17" s="2">
        <f>G17-H17</f>
        <v>860</v>
      </c>
      <c r="J17" t="s">
        <v>52</v>
      </c>
      <c r="K17" t="s">
        <v>19</v>
      </c>
      <c r="L17" t="s">
        <v>47</v>
      </c>
      <c r="Q17" s="2">
        <v>1</v>
      </c>
    </row>
    <row r="18" spans="1:17" x14ac:dyDescent="0.25">
      <c r="B18" t="s">
        <v>17</v>
      </c>
      <c r="C18" t="s">
        <v>87</v>
      </c>
      <c r="D18" t="s">
        <v>88</v>
      </c>
      <c r="E18" t="s">
        <v>89</v>
      </c>
      <c r="F18" t="s">
        <v>24</v>
      </c>
      <c r="G18" s="2">
        <v>745</v>
      </c>
      <c r="H18" s="2">
        <v>25</v>
      </c>
      <c r="I18" s="2">
        <f>G18-H18</f>
        <v>720</v>
      </c>
      <c r="J18" t="s">
        <v>52</v>
      </c>
      <c r="K18" t="s">
        <v>19</v>
      </c>
      <c r="L18" t="s">
        <v>47</v>
      </c>
      <c r="Q18" s="2">
        <v>1</v>
      </c>
    </row>
    <row r="19" spans="1:17" x14ac:dyDescent="0.25">
      <c r="B19" t="s">
        <v>17</v>
      </c>
      <c r="C19" t="s">
        <v>90</v>
      </c>
      <c r="D19" t="s">
        <v>91</v>
      </c>
      <c r="E19" t="s">
        <v>92</v>
      </c>
      <c r="F19" s="2">
        <v>2</v>
      </c>
      <c r="G19" s="2">
        <v>890</v>
      </c>
      <c r="H19" s="2">
        <v>30</v>
      </c>
      <c r="I19" s="2">
        <f t="shared" ref="I19:I33" si="1">G19-H19</f>
        <v>860</v>
      </c>
      <c r="J19" t="s">
        <v>19</v>
      </c>
      <c r="K19" t="s">
        <v>19</v>
      </c>
      <c r="L19" t="s">
        <v>47</v>
      </c>
      <c r="Q19" s="2">
        <v>1</v>
      </c>
    </row>
    <row r="20" spans="1:17" x14ac:dyDescent="0.25">
      <c r="B20" t="s">
        <v>17</v>
      </c>
      <c r="C20" t="s">
        <v>96</v>
      </c>
      <c r="D20" t="s">
        <v>97</v>
      </c>
      <c r="E20" t="s">
        <v>98</v>
      </c>
      <c r="F20" t="s">
        <v>99</v>
      </c>
      <c r="G20" s="2">
        <v>1450</v>
      </c>
      <c r="H20" s="2">
        <v>20</v>
      </c>
      <c r="I20" s="2">
        <f t="shared" si="1"/>
        <v>1430</v>
      </c>
      <c r="J20" t="s">
        <v>19</v>
      </c>
      <c r="K20" t="s">
        <v>19</v>
      </c>
      <c r="L20" t="s">
        <v>47</v>
      </c>
      <c r="Q20" s="2">
        <v>1</v>
      </c>
    </row>
    <row r="21" spans="1:17" x14ac:dyDescent="0.25">
      <c r="B21" t="s">
        <v>17</v>
      </c>
      <c r="C21" t="s">
        <v>100</v>
      </c>
      <c r="D21" t="s">
        <v>101</v>
      </c>
      <c r="E21" t="s">
        <v>102</v>
      </c>
      <c r="F21" t="s">
        <v>99</v>
      </c>
      <c r="G21" s="2">
        <v>20</v>
      </c>
      <c r="H21" s="2">
        <v>20</v>
      </c>
      <c r="I21" s="2">
        <f t="shared" si="1"/>
        <v>0</v>
      </c>
      <c r="J21" t="s">
        <v>19</v>
      </c>
      <c r="K21" t="s">
        <v>19</v>
      </c>
      <c r="L21" t="s">
        <v>47</v>
      </c>
      <c r="M21" t="s">
        <v>103</v>
      </c>
      <c r="Q21" s="2">
        <v>1</v>
      </c>
    </row>
    <row r="22" spans="1:17" x14ac:dyDescent="0.25">
      <c r="A22" t="s">
        <v>25</v>
      </c>
      <c r="B22" t="s">
        <v>17</v>
      </c>
      <c r="C22" t="s">
        <v>104</v>
      </c>
      <c r="E22" t="s">
        <v>105</v>
      </c>
      <c r="F22" t="s">
        <v>18</v>
      </c>
      <c r="G22" s="2">
        <v>1530</v>
      </c>
      <c r="H22" s="2">
        <v>30</v>
      </c>
      <c r="I22" s="2">
        <f t="shared" si="1"/>
        <v>1500</v>
      </c>
      <c r="J22" t="s">
        <v>19</v>
      </c>
      <c r="K22" t="s">
        <v>19</v>
      </c>
      <c r="L22" t="s">
        <v>47</v>
      </c>
      <c r="Q22" s="2">
        <v>1</v>
      </c>
    </row>
    <row r="23" spans="1:17" x14ac:dyDescent="0.25">
      <c r="B23" t="s">
        <v>17</v>
      </c>
      <c r="C23" t="s">
        <v>106</v>
      </c>
      <c r="D23" t="s">
        <v>107</v>
      </c>
      <c r="E23" t="s">
        <v>108</v>
      </c>
      <c r="F23" t="s">
        <v>21</v>
      </c>
      <c r="G23" s="2">
        <v>765</v>
      </c>
      <c r="H23" s="2">
        <v>25</v>
      </c>
      <c r="I23" s="2">
        <f t="shared" si="1"/>
        <v>740</v>
      </c>
      <c r="J23" t="s">
        <v>19</v>
      </c>
      <c r="K23" t="s">
        <v>19</v>
      </c>
      <c r="L23" t="s">
        <v>47</v>
      </c>
      <c r="Q23" s="2">
        <v>1</v>
      </c>
    </row>
    <row r="24" spans="1:17" x14ac:dyDescent="0.25">
      <c r="A24" t="s">
        <v>25</v>
      </c>
      <c r="B24" t="s">
        <v>17</v>
      </c>
      <c r="C24" t="s">
        <v>109</v>
      </c>
      <c r="E24" t="s">
        <v>110</v>
      </c>
      <c r="F24" t="s">
        <v>21</v>
      </c>
      <c r="G24" s="2">
        <v>30</v>
      </c>
      <c r="H24" s="2">
        <v>30</v>
      </c>
      <c r="I24" s="2">
        <f t="shared" si="1"/>
        <v>0</v>
      </c>
      <c r="J24" t="s">
        <v>19</v>
      </c>
      <c r="K24" t="s">
        <v>19</v>
      </c>
      <c r="L24" t="s">
        <v>47</v>
      </c>
      <c r="Q24" s="2">
        <v>1</v>
      </c>
    </row>
    <row r="25" spans="1:17" x14ac:dyDescent="0.25">
      <c r="B25" t="s">
        <v>17</v>
      </c>
      <c r="C25" t="s">
        <v>111</v>
      </c>
      <c r="D25" t="s">
        <v>112</v>
      </c>
      <c r="E25" t="s">
        <v>113</v>
      </c>
      <c r="F25" s="2">
        <v>1</v>
      </c>
      <c r="G25" s="2">
        <v>945</v>
      </c>
      <c r="H25" s="2">
        <v>25</v>
      </c>
      <c r="I25" s="2">
        <f t="shared" si="1"/>
        <v>920</v>
      </c>
      <c r="J25" t="s">
        <v>22</v>
      </c>
      <c r="K25" t="s">
        <v>19</v>
      </c>
      <c r="L25" t="s">
        <v>47</v>
      </c>
      <c r="Q25" s="2">
        <v>1</v>
      </c>
    </row>
    <row r="26" spans="1:17" x14ac:dyDescent="0.25">
      <c r="B26" t="s">
        <v>17</v>
      </c>
      <c r="C26" t="s">
        <v>114</v>
      </c>
      <c r="D26" t="s">
        <v>115</v>
      </c>
      <c r="E26" t="s">
        <v>116</v>
      </c>
      <c r="F26" s="2">
        <v>1</v>
      </c>
      <c r="G26" s="2">
        <v>1015</v>
      </c>
      <c r="H26" s="2">
        <v>25</v>
      </c>
      <c r="I26" s="2">
        <f t="shared" si="1"/>
        <v>990</v>
      </c>
      <c r="J26" t="s">
        <v>22</v>
      </c>
      <c r="K26" t="s">
        <v>19</v>
      </c>
      <c r="L26" t="s">
        <v>47</v>
      </c>
      <c r="Q26" s="2">
        <v>1</v>
      </c>
    </row>
    <row r="27" spans="1:17" x14ac:dyDescent="0.25">
      <c r="B27" t="s">
        <v>17</v>
      </c>
      <c r="C27" t="s">
        <v>117</v>
      </c>
      <c r="D27" t="s">
        <v>118</v>
      </c>
      <c r="E27" t="s">
        <v>119</v>
      </c>
      <c r="F27" s="2">
        <v>1</v>
      </c>
      <c r="G27" s="2">
        <v>1155</v>
      </c>
      <c r="H27" s="2">
        <v>25</v>
      </c>
      <c r="I27" s="2">
        <f t="shared" si="1"/>
        <v>1130</v>
      </c>
      <c r="J27" t="s">
        <v>22</v>
      </c>
      <c r="K27" t="s">
        <v>19</v>
      </c>
      <c r="L27" t="s">
        <v>47</v>
      </c>
      <c r="Q27" s="2">
        <v>1</v>
      </c>
    </row>
    <row r="28" spans="1:17" x14ac:dyDescent="0.25">
      <c r="B28" t="s">
        <v>17</v>
      </c>
      <c r="C28" t="s">
        <v>120</v>
      </c>
      <c r="D28" t="s">
        <v>121</v>
      </c>
      <c r="E28" t="s">
        <v>122</v>
      </c>
      <c r="F28" s="2">
        <v>3</v>
      </c>
      <c r="G28" s="2">
        <v>1455</v>
      </c>
      <c r="H28" s="2">
        <v>25</v>
      </c>
      <c r="I28" s="2">
        <f t="shared" si="1"/>
        <v>1430</v>
      </c>
      <c r="J28" t="s">
        <v>22</v>
      </c>
      <c r="K28" t="s">
        <v>19</v>
      </c>
      <c r="L28" t="s">
        <v>47</v>
      </c>
      <c r="Q28" s="2">
        <v>1</v>
      </c>
    </row>
    <row r="29" spans="1:17" x14ac:dyDescent="0.25">
      <c r="B29" t="s">
        <v>17</v>
      </c>
      <c r="C29" t="s">
        <v>123</v>
      </c>
      <c r="D29" t="s">
        <v>124</v>
      </c>
      <c r="E29" t="s">
        <v>125</v>
      </c>
      <c r="F29" s="2">
        <v>4</v>
      </c>
      <c r="G29" s="2">
        <v>885</v>
      </c>
      <c r="H29" s="2">
        <v>25</v>
      </c>
      <c r="I29" s="2">
        <f t="shared" si="1"/>
        <v>860</v>
      </c>
      <c r="J29" t="s">
        <v>22</v>
      </c>
      <c r="K29" t="s">
        <v>19</v>
      </c>
      <c r="L29" t="s">
        <v>47</v>
      </c>
      <c r="Q29" s="2">
        <v>1</v>
      </c>
    </row>
    <row r="30" spans="1:17" x14ac:dyDescent="0.25">
      <c r="B30" t="s">
        <v>17</v>
      </c>
      <c r="C30" t="s">
        <v>126</v>
      </c>
      <c r="D30" t="s">
        <v>127</v>
      </c>
      <c r="E30" t="s">
        <v>128</v>
      </c>
      <c r="F30" s="2">
        <v>4</v>
      </c>
      <c r="G30" s="2">
        <v>1525</v>
      </c>
      <c r="H30" s="2">
        <v>25</v>
      </c>
      <c r="I30" s="2">
        <f t="shared" si="1"/>
        <v>1500</v>
      </c>
      <c r="J30" t="s">
        <v>22</v>
      </c>
      <c r="K30" t="s">
        <v>19</v>
      </c>
      <c r="L30" t="s">
        <v>47</v>
      </c>
      <c r="Q30" s="2">
        <v>1</v>
      </c>
    </row>
    <row r="31" spans="1:17" x14ac:dyDescent="0.25">
      <c r="A31" t="s">
        <v>25</v>
      </c>
      <c r="B31" t="s">
        <v>17</v>
      </c>
      <c r="C31" t="s">
        <v>26</v>
      </c>
      <c r="E31" t="s">
        <v>129</v>
      </c>
      <c r="F31" s="2">
        <v>4</v>
      </c>
      <c r="G31" s="2">
        <v>30</v>
      </c>
      <c r="H31" s="2">
        <v>30</v>
      </c>
      <c r="I31" s="2">
        <f t="shared" si="1"/>
        <v>0</v>
      </c>
      <c r="J31" t="s">
        <v>22</v>
      </c>
      <c r="K31" t="s">
        <v>19</v>
      </c>
      <c r="L31" t="s">
        <v>47</v>
      </c>
      <c r="Q31" s="2">
        <v>1</v>
      </c>
    </row>
    <row r="32" spans="1:17" x14ac:dyDescent="0.25">
      <c r="B32" t="s">
        <v>17</v>
      </c>
      <c r="C32" t="s">
        <v>130</v>
      </c>
      <c r="D32" t="s">
        <v>131</v>
      </c>
      <c r="E32" t="s">
        <v>132</v>
      </c>
      <c r="F32" t="s">
        <v>20</v>
      </c>
      <c r="G32" s="2">
        <v>765</v>
      </c>
      <c r="H32" s="2">
        <v>35</v>
      </c>
      <c r="I32" s="2">
        <f t="shared" si="1"/>
        <v>730</v>
      </c>
      <c r="J32" t="s">
        <v>22</v>
      </c>
      <c r="K32" t="s">
        <v>19</v>
      </c>
      <c r="L32" t="s">
        <v>47</v>
      </c>
      <c r="Q32" s="2">
        <v>1</v>
      </c>
    </row>
    <row r="33" spans="1:17" x14ac:dyDescent="0.25">
      <c r="B33" t="s">
        <v>17</v>
      </c>
      <c r="C33" t="s">
        <v>133</v>
      </c>
      <c r="D33" t="s">
        <v>134</v>
      </c>
      <c r="E33" t="s">
        <v>135</v>
      </c>
      <c r="F33" t="s">
        <v>20</v>
      </c>
      <c r="G33" s="2">
        <v>415</v>
      </c>
      <c r="H33" s="2">
        <v>35</v>
      </c>
      <c r="I33" s="2">
        <f t="shared" si="1"/>
        <v>380</v>
      </c>
      <c r="J33" t="s">
        <v>22</v>
      </c>
      <c r="K33" t="s">
        <v>19</v>
      </c>
      <c r="L33" t="s">
        <v>47</v>
      </c>
      <c r="Q33" s="2">
        <v>1</v>
      </c>
    </row>
    <row r="34" spans="1:17" x14ac:dyDescent="0.25">
      <c r="A34" t="s">
        <v>25</v>
      </c>
      <c r="B34" t="s">
        <v>17</v>
      </c>
      <c r="C34" t="s">
        <v>136</v>
      </c>
      <c r="E34" t="s">
        <v>137</v>
      </c>
      <c r="F34" t="s">
        <v>21</v>
      </c>
      <c r="G34" s="2">
        <v>0</v>
      </c>
      <c r="H34" s="2">
        <v>30</v>
      </c>
      <c r="I34" s="2">
        <f>-H34</f>
        <v>-30</v>
      </c>
      <c r="J34" t="s">
        <v>22</v>
      </c>
      <c r="K34" t="s">
        <v>19</v>
      </c>
      <c r="L34" t="s">
        <v>47</v>
      </c>
      <c r="Q34" s="2">
        <v>1</v>
      </c>
    </row>
    <row r="36" spans="1:17" x14ac:dyDescent="0.25">
      <c r="D36" s="3">
        <f>COUNTA(D3:D34)</f>
        <v>26</v>
      </c>
      <c r="G36" s="3">
        <f t="shared" ref="G36:Q36" si="2">SUBTOTAL(9,G3:G34)</f>
        <v>24850</v>
      </c>
      <c r="H36" s="3">
        <f t="shared" si="2"/>
        <v>910</v>
      </c>
      <c r="I36" s="3">
        <f t="shared" si="2"/>
        <v>23940</v>
      </c>
      <c r="J36" s="3">
        <f t="shared" si="2"/>
        <v>0</v>
      </c>
      <c r="K36" s="3">
        <f t="shared" si="2"/>
        <v>0</v>
      </c>
      <c r="L36" s="3">
        <f t="shared" si="2"/>
        <v>0</v>
      </c>
      <c r="M36" s="3">
        <f t="shared" si="2"/>
        <v>0</v>
      </c>
      <c r="N36" s="3">
        <f t="shared" si="2"/>
        <v>0</v>
      </c>
      <c r="O36" s="3">
        <f t="shared" si="2"/>
        <v>0</v>
      </c>
      <c r="P36" s="3">
        <f t="shared" si="2"/>
        <v>0</v>
      </c>
      <c r="Q36" s="3">
        <f t="shared" si="2"/>
        <v>32</v>
      </c>
    </row>
    <row r="37" spans="1:17" x14ac:dyDescent="0.25">
      <c r="H37">
        <f>-8*17</f>
        <v>-136</v>
      </c>
    </row>
    <row r="38" spans="1:17" x14ac:dyDescent="0.25">
      <c r="H38">
        <f>-3*25</f>
        <v>-75</v>
      </c>
    </row>
    <row r="39" spans="1:17" x14ac:dyDescent="0.25">
      <c r="H39">
        <f>-3*30</f>
        <v>-90</v>
      </c>
    </row>
    <row r="41" spans="1:17" x14ac:dyDescent="0.25">
      <c r="A41" s="3" t="s">
        <v>17</v>
      </c>
      <c r="C41" s="13" t="s">
        <v>28</v>
      </c>
      <c r="D41" s="13"/>
      <c r="E41" s="4" t="s">
        <v>29</v>
      </c>
      <c r="K41" s="5" t="s">
        <v>19</v>
      </c>
      <c r="L41" s="5" t="s">
        <v>30</v>
      </c>
      <c r="M41" s="5" t="s">
        <v>29</v>
      </c>
      <c r="O41" s="4" t="s">
        <v>138</v>
      </c>
    </row>
    <row r="42" spans="1:17" x14ac:dyDescent="0.25">
      <c r="A42" t="s">
        <v>47</v>
      </c>
      <c r="B42" s="6" t="s">
        <v>31</v>
      </c>
      <c r="C42" s="14">
        <f>SUMIFS(I$3:I$34,B$3:B$34,A$41,L$3:L$34,A$42)</f>
        <v>23940</v>
      </c>
      <c r="D42" s="14"/>
      <c r="E42" s="6">
        <f>SUMIFS(Q$3:Q$34,B$3:B$34,A$41,L$3:L$34,A$42)</f>
        <v>32</v>
      </c>
      <c r="F42" t="s">
        <v>32</v>
      </c>
      <c r="K42" t="s">
        <v>33</v>
      </c>
      <c r="L42">
        <f>SUMIFS(G$3:G$34,J$3:J$34,K$41)</f>
        <v>4685</v>
      </c>
      <c r="M42">
        <f>SUMIFS(Q$3:Q$34,J$3:J$34,K$41)</f>
        <v>6</v>
      </c>
      <c r="O42" t="s">
        <v>19</v>
      </c>
      <c r="P42">
        <f>L47</f>
        <v>4496</v>
      </c>
    </row>
    <row r="43" spans="1:17" x14ac:dyDescent="0.25">
      <c r="B43" s="7" t="s">
        <v>139</v>
      </c>
      <c r="C43" s="15">
        <v>0</v>
      </c>
      <c r="D43" s="15"/>
      <c r="K43" t="s">
        <v>34</v>
      </c>
      <c r="L43">
        <f>-SUMIFS(H$3:H$34,J$3:J$34,K$41)+M43*5</f>
        <v>-125</v>
      </c>
      <c r="M43">
        <f>SUMIFS(Q$3:Q$34,J$3:J$34,K$41)-COUNTIFS(J$3:J$34,K$41,M$3:M$34,"*gộp*")</f>
        <v>6</v>
      </c>
      <c r="O43" t="s">
        <v>22</v>
      </c>
      <c r="P43">
        <f>L55</f>
        <v>7960</v>
      </c>
    </row>
    <row r="44" spans="1:17" x14ac:dyDescent="0.25">
      <c r="B44" s="7" t="s">
        <v>35</v>
      </c>
      <c r="C44" s="15">
        <f>-SUMIFS(I$3:I$34,B$3:B$34,A$41,P$3:P$34,"xx",N$3:N$34,"x")</f>
        <v>0</v>
      </c>
      <c r="D44" s="15"/>
      <c r="E44" s="7">
        <f>SUMIFS(Q$3:Q$34,B$3:B$34,A$41,P$3:P$34,"xx",N$3:N$34,"x")</f>
        <v>0</v>
      </c>
      <c r="K44" t="s">
        <v>36</v>
      </c>
      <c r="L44">
        <f>-32*2</f>
        <v>-64</v>
      </c>
      <c r="O44" t="s">
        <v>140</v>
      </c>
      <c r="P44">
        <f>L63</f>
        <v>9179</v>
      </c>
    </row>
    <row r="45" spans="1:17" x14ac:dyDescent="0.25">
      <c r="B45" s="4" t="s">
        <v>37</v>
      </c>
      <c r="C45" s="13">
        <f>SUBTOTAL(9,C42:C44)</f>
        <v>23940</v>
      </c>
      <c r="D45" s="13"/>
      <c r="E45">
        <f>E42</f>
        <v>32</v>
      </c>
      <c r="K45" s="7" t="s">
        <v>27</v>
      </c>
      <c r="O45" t="s">
        <v>46</v>
      </c>
      <c r="P45">
        <f>L71</f>
        <v>2440</v>
      </c>
    </row>
    <row r="46" spans="1:17" x14ac:dyDescent="0.25">
      <c r="B46" s="7" t="s">
        <v>38</v>
      </c>
      <c r="C46" s="12"/>
      <c r="D46" s="12"/>
      <c r="K46" s="7" t="s">
        <v>39</v>
      </c>
      <c r="O46" t="s">
        <v>141</v>
      </c>
      <c r="P46">
        <f>-C49</f>
        <v>-23940</v>
      </c>
    </row>
    <row r="47" spans="1:17" x14ac:dyDescent="0.25">
      <c r="B47" s="8" t="s">
        <v>40</v>
      </c>
      <c r="C47" s="12"/>
      <c r="D47" s="12"/>
      <c r="L47" s="10">
        <f>SUBTOTAL(9,L42:L46)</f>
        <v>4496</v>
      </c>
      <c r="M47" s="10">
        <f>M42</f>
        <v>6</v>
      </c>
      <c r="O47" s="4" t="s">
        <v>142</v>
      </c>
      <c r="P47" s="4">
        <f>SUBTOTAL(9,P42:P46)</f>
        <v>135</v>
      </c>
    </row>
    <row r="49" spans="2:13" x14ac:dyDescent="0.25">
      <c r="B49" s="3" t="s">
        <v>41</v>
      </c>
      <c r="C49" s="11">
        <f>C45+C46+C47</f>
        <v>23940</v>
      </c>
      <c r="D49" s="11"/>
      <c r="E49" s="3" t="s">
        <v>42</v>
      </c>
      <c r="K49" s="5" t="s">
        <v>22</v>
      </c>
      <c r="L49" s="5" t="s">
        <v>30</v>
      </c>
      <c r="M49" s="5" t="s">
        <v>29</v>
      </c>
    </row>
    <row r="50" spans="2:13" x14ac:dyDescent="0.25">
      <c r="K50" t="s">
        <v>33</v>
      </c>
      <c r="L50">
        <f>SUMIFS(G$3:G$34,J$3:J$34,K$49)</f>
        <v>8190</v>
      </c>
      <c r="M50">
        <f>SUMIFS(Q$3:Q$34,J$3:J$34,K$49)</f>
        <v>10</v>
      </c>
    </row>
    <row r="51" spans="2:13" x14ac:dyDescent="0.25">
      <c r="K51" t="s">
        <v>34</v>
      </c>
      <c r="L51">
        <f>-SUMIFS(H$3:H$34,J$3:J$34,K$49)+M51*5</f>
        <v>-230</v>
      </c>
      <c r="M51">
        <f>SUMIFS(Q$3:Q$34,J$3:J$34,K$49)-COUNTIFS(J$3:J$34,K$49,M$3:M$34,"*gộp*")</f>
        <v>10</v>
      </c>
    </row>
    <row r="52" spans="2:13" x14ac:dyDescent="0.25">
      <c r="K52" t="s">
        <v>36</v>
      </c>
    </row>
    <row r="53" spans="2:13" x14ac:dyDescent="0.25">
      <c r="K53" s="7" t="s">
        <v>27</v>
      </c>
    </row>
    <row r="54" spans="2:13" x14ac:dyDescent="0.25">
      <c r="K54" s="7" t="s">
        <v>39</v>
      </c>
    </row>
    <row r="55" spans="2:13" x14ac:dyDescent="0.25">
      <c r="L55" s="10">
        <f>SUBTOTAL(9,L50:L54)</f>
        <v>7960</v>
      </c>
      <c r="M55" s="10">
        <f>M50</f>
        <v>10</v>
      </c>
    </row>
    <row r="57" spans="2:13" x14ac:dyDescent="0.25">
      <c r="K57" s="5" t="s">
        <v>52</v>
      </c>
      <c r="L57" s="5" t="s">
        <v>30</v>
      </c>
      <c r="M57" s="5" t="s">
        <v>29</v>
      </c>
    </row>
    <row r="58" spans="2:13" x14ac:dyDescent="0.25">
      <c r="K58" t="s">
        <v>33</v>
      </c>
      <c r="L58">
        <f>SUMIFS(G$3:G$34,J$3:J$34,K$57)</f>
        <v>9480</v>
      </c>
      <c r="M58">
        <f>SUMIFS(Q$3:Q$34,J$3:J$34,K$57)</f>
        <v>14</v>
      </c>
    </row>
    <row r="59" spans="2:13" x14ac:dyDescent="0.25">
      <c r="K59" t="s">
        <v>34</v>
      </c>
      <c r="L59">
        <f>SUM(H37:H39)</f>
        <v>-301</v>
      </c>
      <c r="M59">
        <f>SUMIFS(Q$3:Q$34,J$3:J$34,K$57)-COUNTIFS(J$3:J$34,K$57,M$3:M$34,"*gộp*")</f>
        <v>14</v>
      </c>
    </row>
    <row r="60" spans="2:13" x14ac:dyDescent="0.25">
      <c r="K60" t="s">
        <v>36</v>
      </c>
    </row>
    <row r="61" spans="2:13" x14ac:dyDescent="0.25">
      <c r="K61" s="7" t="s">
        <v>27</v>
      </c>
    </row>
    <row r="62" spans="2:13" x14ac:dyDescent="0.25">
      <c r="K62" s="7" t="s">
        <v>39</v>
      </c>
    </row>
    <row r="63" spans="2:13" x14ac:dyDescent="0.25">
      <c r="L63" s="9">
        <f>SUBTOTAL(9,L58:L62)</f>
        <v>9179</v>
      </c>
      <c r="M63" s="9">
        <f>M58</f>
        <v>14</v>
      </c>
    </row>
    <row r="65" spans="11:13" x14ac:dyDescent="0.25">
      <c r="K65" s="5" t="s">
        <v>46</v>
      </c>
      <c r="L65" s="5" t="s">
        <v>30</v>
      </c>
      <c r="M65" s="5" t="s">
        <v>29</v>
      </c>
    </row>
    <row r="66" spans="11:13" x14ac:dyDescent="0.25">
      <c r="K66" t="s">
        <v>33</v>
      </c>
      <c r="L66">
        <f>SUMIFS(G$3:G$34,J$3:J$34,K$65)</f>
        <v>2495</v>
      </c>
      <c r="M66">
        <f>SUMIFS(Q$3:Q$34,J$3:J$34,K$65)</f>
        <v>2</v>
      </c>
    </row>
    <row r="67" spans="11:13" x14ac:dyDescent="0.25">
      <c r="K67" t="s">
        <v>34</v>
      </c>
      <c r="L67">
        <f>-SUMIFS(H$3:H$34,J$3:J$34,K$65)+M67*5</f>
        <v>-55</v>
      </c>
      <c r="M67">
        <f>SUMIFS(Q$3:Q$34,J$3:J$34,K$65)-COUNTIFS(J$3:J$34,K$65,M$3:M$34,"*gộp*")</f>
        <v>2</v>
      </c>
    </row>
    <row r="68" spans="11:13" x14ac:dyDescent="0.25">
      <c r="K68" t="s">
        <v>36</v>
      </c>
    </row>
    <row r="69" spans="11:13" x14ac:dyDescent="0.25">
      <c r="K69" s="7" t="s">
        <v>27</v>
      </c>
    </row>
    <row r="70" spans="11:13" x14ac:dyDescent="0.25">
      <c r="K70" s="7" t="s">
        <v>39</v>
      </c>
    </row>
    <row r="71" spans="11:13" x14ac:dyDescent="0.25">
      <c r="L71" s="9">
        <f>SUBTOTAL(9,L66:L70)</f>
        <v>2440</v>
      </c>
      <c r="M71" s="9">
        <f>M66</f>
        <v>2</v>
      </c>
    </row>
  </sheetData>
  <autoFilter ref="A2:Q34" xr:uid="{2B630B7E-F45D-4050-BF8D-6CB3F460A815}">
    <sortState xmlns:xlrd2="http://schemas.microsoft.com/office/spreadsheetml/2017/richdata2" ref="A5:Q18">
      <sortCondition ref="F2:F34"/>
    </sortState>
  </autoFilter>
  <mergeCells count="8">
    <mergeCell ref="C49:D49"/>
    <mergeCell ref="C46:D46"/>
    <mergeCell ref="C47:D47"/>
    <mergeCell ref="C41:D41"/>
    <mergeCell ref="C42:D42"/>
    <mergeCell ref="C43:D43"/>
    <mergeCell ref="C44:D44"/>
    <mergeCell ref="C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 Pham</dc:creator>
  <cp:lastModifiedBy>Sei Pham</cp:lastModifiedBy>
  <dcterms:created xsi:type="dcterms:W3CDTF">2026-03-13T17:39:53Z</dcterms:created>
  <dcterms:modified xsi:type="dcterms:W3CDTF">2026-03-20T08:17:05Z</dcterms:modified>
</cp:coreProperties>
</file>