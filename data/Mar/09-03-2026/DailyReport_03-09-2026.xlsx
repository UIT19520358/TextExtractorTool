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3c95572f8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d71c6cf2ea4cb6bf40461772a38711.psmdcp" Id="R2065a5f536b247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9-03" sheetId="2" r:id="rId2"/>
  </x:sheets>
  <x:definedNames>
    <x:definedName name="_xlnm._FilterDatabase" localSheetId="0" hidden="1">'09-03'!$A$2:$P$66</x:definedName>
  </x:definedNames>
  <x:calcPr calcId="125725"/>
</x:workbook>
</file>

<file path=xl/calcChain.xml><?xml version="1.0" encoding="utf-8"?>
<x:calcChain xmlns:x="http://schemas.openxmlformats.org/spreadsheetml/2006/main">
  <x:c r="I3" i="2"/>
  <x:c r="I4" i="2"/>
  <x:c r="I5" i="2"/>
  <x:c r="I6" i="2"/>
  <x:c r="I7" i="2"/>
  <x:c r="I8" i="2"/>
  <x:c r="I9" i="2"/>
  <x:c r="I10" i="2"/>
  <x:c r="I11" i="2"/>
  <x:c r="I12" i="2"/>
  <x:c r="I13" i="2"/>
  <x:c r="I14" i="2"/>
  <x:c r="I15" i="2"/>
  <x:c r="I16" i="2"/>
  <x:c r="I17" i="2"/>
  <x:c r="I18" i="2"/>
  <x:c r="I19" i="2"/>
  <x:c r="I20" i="2"/>
  <x:c r="I21" i="2"/>
  <x:c r="I22" i="2"/>
  <x:c r="I23" i="2"/>
  <x:c r="I24" i="2"/>
  <x:c r="I25" i="2"/>
  <x:c r="I26" i="2"/>
  <x:c r="I27" i="2"/>
  <x:c r="I28" i="2"/>
  <x:c r="I29" i="2"/>
  <x:c r="I30" i="2"/>
  <x:c r="I31" i="2"/>
  <x:c r="I32" i="2"/>
  <x:c r="I33" i="2"/>
  <x:c r="I34" i="2"/>
  <x:c r="I35" i="2"/>
  <x:c r="I36" i="2"/>
  <x:c r="I37" i="2"/>
  <x:c r="I38" i="2"/>
  <x:c r="I39" i="2"/>
  <x:c r="I40" i="2"/>
  <x:c r="I41" i="2"/>
  <x:c r="I42" i="2"/>
  <x:c r="I43" i="2"/>
  <x:c r="I44" i="2"/>
  <x:c r="I45" i="2"/>
  <x:c r="I46" i="2"/>
  <x:c r="I47" i="2"/>
  <x:c r="I48" i="2"/>
  <x:c r="I49" i="2"/>
  <x:c r="I50" i="2"/>
  <x:c r="I51" i="2"/>
  <x:c r="I52" i="2"/>
  <x:c r="I53" i="2"/>
  <x:c r="I54" i="2"/>
  <x:c r="I55" i="2"/>
  <x:c r="I56" i="2"/>
  <x:c r="I57" i="2"/>
  <x:c r="I58" i="2"/>
  <x:c r="I59" i="2"/>
  <x:c r="I60" i="2"/>
  <x:c r="I61" i="2"/>
  <x:c r="I62" i="2"/>
  <x:c r="I63" i="2"/>
  <x:c r="I64" i="2"/>
  <x:c r="I65" i="2"/>
  <x:c r="I66" i="2"/>
  <x:c r="D68" i="2"/>
  <x:c r="G68" i="2"/>
  <x:c r="H68" i="2"/>
  <x:c r="I68" i="2"/>
  <x:c r="J68" i="2"/>
  <x:c r="K68" i="2"/>
  <x:c r="L68" i="2"/>
  <x:c r="M68" i="2"/>
  <x:c r="N68" i="2"/>
  <x:c r="O68" i="2"/>
  <x:c r="P68" i="2"/>
  <x:c r="Q68" i="2"/>
  <x:c r="R68" i="2"/>
  <x:c r="S68" i="2"/>
  <x:c r="C71" i="2"/>
  <x:c r="E71" i="2"/>
  <x:c r="K71" i="2"/>
  <x:c r="L71" i="2"/>
  <x:c r="C72" i="2"/>
  <x:c r="E72" i="2"/>
  <x:c r="K72" i="2"/>
  <x:c r="C73" i="2"/>
  <x:c r="E73" i="2"/>
  <x:c r="C74" i="2"/>
  <x:c r="E74" i="2"/>
  <x:c r="K76" i="2"/>
  <x:c r="L76" i="2"/>
  <x:c r="C78" i="2"/>
  <x:c r="K79" i="2"/>
  <x:c r="L79" i="2"/>
  <x:c r="K80" i="2"/>
  <x:c r="K84" i="2"/>
  <x:c r="L84" i="2"/>
  <x:c r="K87" i="2"/>
  <x:c r="L87" i="2"/>
  <x:c r="K88" i="2"/>
  <x:c r="K92" i="2"/>
  <x:c r="L92" i="2"/>
  <x:c r="K95" i="2"/>
  <x:c r="L95" i="2"/>
  <x:c r="K96" i="2"/>
  <x:c r="K100" i="2"/>
  <x:c r="L100" i="2"/>
  <x:c r="K103" i="2"/>
  <x:c r="L103" i="2"/>
  <x:c r="K104" i="2"/>
  <x:c r="K108" i="2"/>
  <x:c r="L108" i="2"/>
</x:calcChain>
</file>

<file path=xl/sharedStrings.xml><?xml version="1.0" encoding="utf-8"?>
<x:sst xmlns:x="http://schemas.openxmlformats.org/spreadsheetml/2006/main">
  <x:si>
    <x:t>Tình trạng TT</x:t>
  </x:si>
  <x:si>
    <x:t>SHOP</x:t>
  </x:si>
  <x:si>
    <x:t>TÊN KH</x:t>
  </x:si>
  <x:si>
    <x:t>MÃ</x:t>
  </x:si>
  <x:si>
    <x:t>ĐỊA CHỈ</x:t>
  </x:si>
  <x:si>
    <x:t>QUẬN</x:t>
  </x:si>
  <x:si>
    <x:t>TIỀN THU</x:t>
  </x:si>
  <x:si>
    <x:t>TIỀN SHIP</x:t>
  </x:si>
  <x:si>
    <x:t>TIỀN HÀNG</x:t>
  </x:si>
  <x:si>
    <x:t>NGƯỜI ĐI</x:t>
  </x:si>
  <x:si>
    <x:t>NGƯỜI LẤY</x:t>
  </x:si>
  <x:si>
    <x:t>NGÀY LẤY</x:t>
  </x:si>
  <x:si>
    <x:t>GHI CHÚ</x:t>
  </x:si>
  <x:si>
    <x:t>ỨNG TIỀN</x:t>
  </x:si>
  <x:si>
    <x:t>HÀNG TỒN</x:t>
  </x:si>
  <x:si>
    <x:t>FAIL</x:t>
  </x:si>
  <x:si>
    <x:t>_col17</x:t>
  </x:si>
  <x:si>
    <x:t>ĐOÀN NGÂN CHÂU</x:t>
  </x:si>
  <x:si>
    <x:t>Bích Huyền</x:t>
  </x:si>
  <x:si>
    <x:t>HD135961</x:t>
  </x:si>
  <x:si>
    <x:t>453/120/49A, Lê Văn Khương, Hiệp Thành</x:t>
  </x:si>
  <x:si>
    <x:t>AT 9-3</x:t>
  </x:si>
  <x:si>
    <x:t>c.cuong</x:t>
  </x:si>
  <x:si>
    <x:t>09-03-2026</x:t>
  </x:si>
  <x:si>
    <x:t>duyen my</x:t>
  </x:si>
  <x:si>
    <x:t>HD136089</x:t>
  </x:si>
  <x:si>
    <x:t>268/18a le van viet</x:t>
  </x:si>
  <x:si>
    <x:t>07-03-2026</x:t>
  </x:si>
  <x:si>
    <x:t>chuyển an tâm</x:t>
  </x:si>
  <x:si>
    <x:t>x</x:t>
  </x:si>
  <x:si>
    <x:t>Tô Hà Vi</x:t>
  </x:si>
  <x:si>
    <x:t>HD136128</x:t>
  </x:si>
  <x:si>
    <x:t>k04,05 chung cư kingston 223 Đ. Hoàng Văn Thụ, Ward 8</x:t>
  </x:si>
  <x:si>
    <x:t>phu nhuan</x:t>
  </x:si>
  <x:si>
    <x:t>c.hieu</x:t>
  </x:si>
  <x:si>
    <x:t>Trang Nguyễn</x:t>
  </x:si>
  <x:si>
    <x:t>HD136214</x:t>
  </x:si>
  <x:si>
    <x:t>310 phạm văn chiêu, p9, gvap</x:t>
  </x:si>
  <x:si>
    <x:t>go vap</x:t>
  </x:si>
  <x:si>
    <x:t>Amy VD Tran</x:t>
  </x:si>
  <x:si>
    <x:t>HD136240</x:t>
  </x:si>
  <x:si>
    <x:t>85/8 Nguyễn Hồng Đào phường 14</x:t>
  </x:si>
  <x:si>
    <x:t>tan binh</x:t>
  </x:si>
  <x:si>
    <x:t>Giáng Hương</x:t>
  </x:si>
  <x:si>
    <x:t>HD136247</x:t>
  </x:si>
  <x:si>
    <x:t>111 đường số 10 phường 13</x:t>
  </x:si>
  <x:si>
    <x:t>Trần Thị Kim Ngân</x:t>
  </x:si>
  <x:si>
    <x:t>HD136248</x:t>
  </x:si>
  <x:si>
    <x:t>K3.37 số 36 đường D15A KDC Hưng Phú P. Phước Long B</x:t>
  </x:si>
  <x:si>
    <x:t>a.quyen</x:t>
  </x:si>
  <x:si>
    <x:t>Jerry Lai</x:t>
  </x:si>
  <x:si>
    <x:t>HD136264</x:t>
  </x:si>
  <x:si>
    <x:t>341/18 xvnt p24 binh thanh</x:t>
  </x:si>
  <x:si>
    <x:t>binh thanh</x:t>
  </x:si>
  <x:si>
    <x:t>Bảo Trân</x:t>
  </x:si>
  <x:si>
    <x:t>HD136277</x:t>
  </x:si>
  <x:si>
    <x:t>44/1 yên đỗ</x:t>
  </x:si>
  <x:si>
    <x:t>Phẩm Huỳnh</x:t>
  </x:si>
  <x:si>
    <x:t>HD136278</x:t>
  </x:si>
  <x:si>
    <x:t>84 phạm Hồng thái phường bến thành</x:t>
  </x:si>
  <x:si>
    <x:t>đổi hàng</x:t>
  </x:si>
  <x:si>
    <x:t>Thy Hồng</x:t>
  </x:si>
  <x:si>
    <x:t>HD136295</x:t>
  </x:si>
  <x:si>
    <x:t>361/23/3 phan huy ích p14</x:t>
  </x:si>
  <x:si>
    <x:t>W3227</x:t>
  </x:si>
  <x:si>
    <x:t>HD136306</x:t>
  </x:si>
  <x:si>
    <x:t>375 tân thời hiệp 21, Tổ 3 Kp3 ( nhớ gõ đủ)</x:t>
  </x:si>
  <x:si>
    <x:t>parichat jaiduang</x:t>
  </x:si>
  <x:si>
    <x:t>HD136313</x:t>
  </x:si>
  <x:si>
    <x:t>Central 2 Building (C2), Vinhomes Central Park, 208 Nguyen H</x:t>
  </x:si>
  <x:si>
    <x:t>gộp, shop chịu ship</x:t>
  </x:si>
  <x:si>
    <x:t>Trần Lê Bích Ngọc</x:t>
  </x:si>
  <x:si>
    <x:t>HD136314</x:t>
  </x:si>
  <x:si>
    <x:t>324/9/4 Lý Thường Kiệt, F14</x:t>
  </x:si>
  <x:si>
    <x:t>Lê Thị Mỹ Quyên</x:t>
  </x:si>
  <x:si>
    <x:t>HD136315</x:t>
  </x:si>
  <x:si>
    <x:t>Địa chỉ: 334 tô hiến thành p14 Chung cư kingdom block A</x:t>
  </x:si>
  <x:si>
    <x:t>Lữ Duyên</x:t>
  </x:si>
  <x:si>
    <x:t>HD136323</x:t>
  </x:si>
  <x:si>
    <x:t>76 Quang Trung Tăng nhơn phú B</x:t>
  </x:si>
  <x:si>
    <x:t>Anh Nhi Phương hoa (ah ni )</x:t>
  </x:si>
  <x:si>
    <x:t>HD136332</x:t>
  </x:si>
  <x:si>
    <x:t>007 Lô B, Đường C6, C/c Tây Thạnh, P. Tây Thạnh</x:t>
  </x:si>
  <x:si>
    <x:t>tan phu</x:t>
  </x:si>
  <x:si>
    <x:t>Emily</x:t>
  </x:si>
  <x:si>
    <x:t>HD136336</x:t>
  </x:si>
  <x:si>
    <x:t>36/15 yên thế p2</x:t>
  </x:si>
  <x:si>
    <x:t>Mẫn Dương</x:t>
  </x:si>
  <x:si>
    <x:t>HD136342</x:t>
  </x:si>
  <x:si>
    <x:t>55 đường 39 kdc Vạn Phúc hiệp bình</x:t>
  </x:si>
  <x:si>
    <x:t>Thuy Tien Le</x:t>
  </x:si>
  <x:si>
    <x:t>HD136343</x:t>
  </x:si>
  <x:si>
    <x:t>Chung cư Safira Khang điền 454 võ chí công</x:t>
  </x:si>
  <x:si>
    <x:t>Vinh Phạm</x:t>
  </x:si>
  <x:si>
    <x:t>HD136346</x:t>
  </x:si>
  <x:si>
    <x:t>Chung Cư Sadora, C - 06.02 C - 06.02, Khu Phố 1</x:t>
  </x:si>
  <x:si>
    <x:t>Thơm Thơm</x:t>
  </x:si>
  <x:si>
    <x:t>HD136355</x:t>
  </x:si>
  <x:si>
    <x:t>119 nguyễn văn công p. Hạnh thông</x:t>
  </x:si>
  <x:si>
    <x:t>Trần Lan</x:t>
  </x:si>
  <x:si>
    <x:t>HD136367</x:t>
  </x:si>
  <x:si>
    <x:t>545/16/35A nguyễn xiển, p.long thạnh mỹ</x:t>
  </x:si>
  <x:si>
    <x:t>Yến Linh</x:t>
  </x:si>
  <x:si>
    <x:t>HD136385</x:t>
  </x:si>
  <x:si>
    <x:t>183/50 đường số 28</x:t>
  </x:si>
  <x:si>
    <x:t>gộp</x:t>
  </x:si>
  <x:si>
    <x:t>HD136387</x:t>
  </x:si>
  <x:si>
    <x:t>183/50 đường số 28 phường an nhơn</x:t>
  </x:si>
  <x:si>
    <x:t>Nabee2530</x:t>
  </x:si>
  <x:si>
    <x:t>HD136392</x:t>
  </x:si>
  <x:si>
    <x:t>275/14b1, Đ. Đặng Nguyên Cẩn, Phường 14</x:t>
  </x:si>
  <x:si>
    <x:t>Thu Thương</x:t>
  </x:si>
  <x:si>
    <x:t>HD136397</x:t>
  </x:si>
  <x:si>
    <x:t>554/11 p13 cộng hoà</x:t>
  </x:si>
  <x:si>
    <x:t>Nhi Le</x:t>
  </x:si>
  <x:si>
    <x:t>HD136404</x:t>
  </x:si>
  <x:si>
    <x:t>743/11/10 Hồng Bàng P6</x:t>
  </x:si>
  <x:si>
    <x:t>HD136405</x:t>
  </x:si>
  <x:si>
    <x:t>HD136406</x:t>
  </x:si>
  <x:si>
    <x:t>Note : Bống Kẹo</x:t>
  </x:si>
  <x:si>
    <x:t>HD136424</x:t>
  </x:si>
  <x:si>
    <x:t>124 đường 24b bình trị đông binh tân</x:t>
  </x:si>
  <x:si>
    <x:t>binh tan</x:t>
  </x:si>
  <x:si>
    <x:t>Hi Ha</x:t>
  </x:si>
  <x:si>
    <x:t>HD136438</x:t>
  </x:si>
  <x:si>
    <x:t>căn hộ florita - tòa A đường c4, phường Tân Hưng</x:t>
  </x:si>
  <x:si>
    <x:t>Nhận hộ 15 Nguyễn Hà</x:t>
  </x:si>
  <x:si>
    <x:t>HD136448</x:t>
  </x:si>
  <x:si>
    <x:t>433/11/2 LÊ ĐỨC THỌ, Phường 17</x:t>
  </x:si>
  <x:si>
    <x:t>Hiếu Nguyễn</x:t>
  </x:si>
  <x:si>
    <x:t>HD136453</x:t>
  </x:si>
  <x:si>
    <x:t>495/18 tô hiến thành, phường 14</x:t>
  </x:si>
  <x:si>
    <x:t>Su Su</x:t>
  </x:si>
  <x:si>
    <x:t>HD136478</x:t>
  </x:si>
  <x:si>
    <x:t>26/33 đường số 59-p14</x:t>
  </x:si>
  <x:si>
    <x:t>Hằng</x:t>
  </x:si>
  <x:si>
    <x:t>HD136492</x:t>
  </x:si>
  <x:si>
    <x:t>86/22 thống nhất p10</x:t>
  </x:si>
  <x:si>
    <x:t>Trang Hồ Vĩnh Như</x:t>
  </x:si>
  <x:si>
    <x:t>HD136495</x:t>
  </x:si>
  <x:si>
    <x:t>35 đặng đức thuật, chung cư RIVERPARK PREMIER Block A, p.Tân Phong ( kế bên tiệm bánh tour les jours)</x:t>
  </x:si>
  <x:si>
    <x:t>Nguyễn Thị Như Ý</x:t>
  </x:si>
  <x:si>
    <x:t>HD136498</x:t>
  </x:si>
  <x:si>
    <x:t>48 Cô Bắc</x:t>
  </x:si>
  <x:si>
    <x:t>việt hoàng - fb Ly Ly</x:t>
  </x:si>
  <x:si>
    <x:t>HD136507</x:t>
  </x:si>
  <x:si>
    <x:t>62 đường số 4 cư xá đô thành</x:t>
  </x:si>
  <x:si>
    <x:t>đã ck</x:t>
  </x:si>
  <x:si>
    <x:t>Lý Ngọc Phương</x:t>
  </x:si>
  <x:si>
    <x:t>HD136509</x:t>
  </x:si>
  <x:si>
    <x:t>50 lê trực phường 7</x:t>
  </x:si>
  <x:si>
    <x:t>Tuyết Nguyễn</x:t>
  </x:si>
  <x:si>
    <x:t>HD136516</x:t>
  </x:si>
  <x:si>
    <x:t>91/5/17 đường 8 linh trung</x:t>
  </x:si>
  <x:si>
    <x:t>thu duc</x:t>
  </x:si>
  <x:si>
    <x:t>Hồng Phương</x:t>
  </x:si>
  <x:si>
    <x:t>HD136530</x:t>
  </x:si>
  <x:si>
    <x:t>Dc: Empire city - Toà Linden 283 Mai Chí Thọ, Phường Thủ Thiêm</x:t>
  </x:si>
  <x:si>
    <x:t>LêNguyễn Hải Đăng</x:t>
  </x:si>
  <x:si>
    <x:t>HD136561</x:t>
  </x:si>
  <x:si>
    <x:t>17 Mai Chí Thọ, P An Khánh, chung cư Newcity toà venice 2</x:t>
  </x:si>
  <x:si>
    <x:t>Đồ của Ánh hồ</x:t>
  </x:si>
  <x:si>
    <x:t>HD136563</x:t>
  </x:si>
  <x:si>
    <x:t>146 tên lửa bình trị đông b</x:t>
  </x:si>
  <x:si>
    <x:t>Nguyễn Trang</x:t>
  </x:si>
  <x:si>
    <x:t>HD136565</x:t>
  </x:si>
  <x:si>
    <x:t>132 đường 39 tân quy</x:t>
  </x:si>
  <x:si>
    <x:t>Nguyễn Quỳnh Nhi</x:t>
  </x:si>
  <x:si>
    <x:t>HD136597</x:t>
  </x:si>
  <x:si>
    <x:t>147 đường số An Miên spa an khánh spa an miên</x:t>
  </x:si>
  <x:si>
    <x:t>Ny-069 294154</x:t>
  </x:si>
  <x:si>
    <x:t>HD136604</x:t>
  </x:si>
  <x:si>
    <x:t>301 Phuong Pham Ngu Lao Street, District 1, Ho</x:t>
  </x:si>
  <x:si>
    <x:t>san san</x:t>
  </x:si>
  <x:si>
    <x:t>HD136606</x:t>
  </x:si>
  <x:si>
    <x:t>d/c 357/3 Trần Phú Phường 7</x:t>
  </x:si>
  <x:si>
    <x:t>Loan Nguyễn</x:t>
  </x:si>
  <x:si>
    <x:t>HD136612</x:t>
  </x:si>
  <x:si>
    <x:t>74 Trường Sa, P.17</x:t>
  </x:si>
  <x:si>
    <x:t>Phạm Thị Thanh Hà</x:t>
  </x:si>
  <x:si>
    <x:t>HD136620</x:t>
  </x:si>
  <x:si>
    <x:t>18/7 thanh đa</x:t>
  </x:si>
  <x:si>
    <x:t>Quyen Nguyễn</x:t>
  </x:si>
  <x:si>
    <x:t>HD136621</x:t>
  </x:si>
  <x:si>
    <x:t>Địa chỉ: 220/36/33 Nguyễn Văn khối p9</x:t>
  </x:si>
  <x:si>
    <x:t>Thuy Tien</x:t>
  </x:si>
  <x:si>
    <x:t>HD136659</x:t>
  </x:si>
  <x:si>
    <x:t>132 bến vân đồn f6</x:t>
  </x:si>
  <x:si>
    <x:t>Kiều fb Alula Phạm</x:t>
  </x:si>
  <x:si>
    <x:t>HD136668</x:t>
  </x:si>
  <x:si>
    <x:t>140B phan văn khoẻ p2</x:t>
  </x:si>
  <x:si>
    <x:t>Trinh @gpt107</x:t>
  </x:si>
  <x:si>
    <x:t>HD136672</x:t>
  </x:si>
  <x:si>
    <x:t>162A/1 Tiên Quang Diệu, KP., Phường An Phú</x:t>
  </x:si>
  <x:si>
    <x:t>luu tra</x:t>
  </x:si>
  <x:si>
    <x:t>hàng tỉnh</x:t>
  </x:si>
  <x:si>
    <x:t>xx</x:t>
  </x:si>
  <x:si>
    <x:t>boramey 015738168</x:t>
  </x:si>
  <x:si>
    <x:t>HD136676</x:t>
  </x:si>
  <x:si>
    <x:t>nhà xe khải nam 365 hùng vương</x:t>
  </x:si>
  <x:si>
    <x:t>Quyên Trần</x:t>
  </x:si>
  <x:si>
    <x:t>HD136680</x:t>
  </x:si>
  <x:si>
    <x:t>184 trần văn kiều p10</x:t>
  </x:si>
  <x:si>
    <x:t>BN182 miki</x:t>
  </x:si>
  <x:si>
    <x:t>HD136703</x:t>
  </x:si>
  <x:si>
    <x:t>163 Đường Trương Thị Hoa, phường Tân Thới Hiệp</x:t>
  </x:si>
  <x:si>
    <x:t>hàng sỉ</x:t>
  </x:si>
  <x:si>
    <x:t>VIVI</x:t>
  </x:si>
  <x:si>
    <x:t>279 Đường 3/2 phường Vườn Lài</x:t>
  </x:si>
  <x:si>
    <x:t>darin</x:t>
  </x:si>
  <x:si>
    <x:t>375 tân thới hiệp 21, Tổ 3, Kp3</x:t>
  </x:si>
  <x:si>
    <x:t>Ly Clara Selena</x:t>
  </x:si>
  <x:si>
    <x:t>403 tân sơn p12</x:t>
  </x:si>
  <x:si>
    <x:t>SU ANH</x:t>
  </x:si>
  <x:si>
    <x:t>22/40 Yên Thế, P2</x:t>
  </x:si>
  <x:si>
    <x:t>Name-May Oo(Isabella) Lavita Charm</x:t>
  </x:si>
  <x:si>
    <x:t>58 Đường Số 1, Trường Thọ</x:t>
  </x:si>
  <x:si>
    <x:t>Mie</x:t>
  </x:si>
  <x:si>
    <x:t>275/14B1 Đặng Nguyễn Cẩn, Phường Phú Lâm</x:t>
  </x:si>
  <x:si>
    <x:t>Ari Boutique Hotel</x:t>
  </x:si>
  <x:si>
    <x:t>16-18 đường số 5, P. Hạnh Thông: Phòng 001</x:t>
  </x:si>
  <x:si>
    <x:t>T2.9.3</x:t>
  </x:si>
  <x:si>
    <x:t>Tiền</x:t>
  </x:si>
  <x:si>
    <x:t>Số đơn</x:t>
  </x:si>
  <x:si>
    <x:t>Tiền Thu</x:t>
  </x:si>
  <x:si>
    <x:t>cod</x:t>
  </x:si>
  <x:si>
    <x:t>TỔNG ĐƠN NHẬN</x:t>
  </x:si>
  <x:si>
    <x:t>Trừ Tiền Ship</x:t>
  </x:si>
  <x:si>
    <x:t>tiền ship</x:t>
  </x:si>
  <x:si>
    <x:t>giao 19 (2 gộp)</x:t>
  </x:si>
  <x:si>
    <x:t>Đơn trả &amp; c.khoản</x:t>
  </x:si>
  <x:si>
    <x:t>tiền lấy</x:t>
  </x:si>
  <x:si>
    <x:t>19 đơn</x:t>
  </x:si>
  <x:si>
    <x:t>Tiền Hàng</x:t>
  </x:si>
  <x:si>
    <x:t>đơn trả</x:t>
  </x:si>
  <x:si>
    <x:t>đền đơn</x:t>
  </x:si>
  <x:si>
    <x:t>đơn cũ ck</x:t>
  </x:si>
  <x:si>
    <x:t>nợ cũ</x:t>
  </x:si>
  <x:si>
    <x:t>THANH TOÁN</x:t>
  </x:si>
  <x:si>
    <x:t>CK Đủ 100%</x:t>
  </x:si>
  <x:si>
    <x:t>giao 15</x:t>
  </x:si>
  <x:si>
    <x:t>15 đơn</x:t>
  </x:si>
  <x:si>
    <x:t>giao 23</x:t>
  </x:si>
  <x:si>
    <x:t>23 đơn</x:t>
  </x:si>
  <x:si>
    <x:t>giao 4</x:t>
  </x:si>
  <x:si>
    <x:t>4 đơn</x:t>
  </x:si>
  <x:si>
    <x:t>giao 1</x:t>
  </x:si>
  <x:si>
    <x:t>0 đơn</x:t>
  </x:si>
  <x:si>
    <x:t>1 đơn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</x:si>
</x:sst>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  <x:fill>
      <x:patternFill patternType="solid">
        <x:fgColor rgb="FFB0C4DE"/>
      </x:patternFill>
    </x:fill>
    <x:fill>
      <x:patternFill patternType="solid">
        <x:fgColor rgb="FFFFC87C"/>
      </x:patternFill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66"/>
  <x:sheetViews>
    <x:sheetView workbookViewId="0"/>
  </x:sheetViews>
  <x:sheetFormatPr defaultRowHeight="15"/>
  <x:cols>
    <x:col min="1" max="1" width="12.710625" style="0" customWidth="1"/>
    <x:col min="2" max="2" width="17.710625" style="0" customWidth="1"/>
    <x:col min="3" max="3" width="34.282054" style="0" customWidth="1"/>
    <x:col min="4" max="4" width="9.853482" style="0" customWidth="1"/>
    <x:col min="5" max="5" width="95.853482" style="0" customWidth="1"/>
    <x:col min="6" max="6" width="10.710625" style="0" customWidth="1"/>
    <x:col min="7" max="7" width="9.139196" style="0" customWidth="1"/>
    <x:col min="8" max="8" width="9.567768" style="0" customWidth="1"/>
    <x:col min="9" max="9" width="10.567768" style="0" customWidth="1"/>
    <x:col min="10" max="10" width="9.710625" style="0" customWidth="1"/>
    <x:col min="11" max="11" width="10.853482" style="0" customWidth="1"/>
    <x:col min="12" max="12" width="10.424911" style="0" customWidth="1"/>
    <x:col min="13" max="13" width="18.424911" style="0" customWidth="1"/>
    <x:col min="14" max="14" width="9.710625" style="0" customWidth="1"/>
    <x:col min="15" max="15" width="10.424911" style="0" customWidth="1"/>
    <x:col min="16" max="16" width="4.567768" style="0" customWidth="1"/>
    <x:col min="17" max="17" width="6.424911" style="0" customWidth="1"/>
  </x:cols>
  <x:sheetData>
    <x:row r="2" spans="1:19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1" t="s">
        <x:v>12</x:v>
      </x:c>
      <x:c r="N2" s="1" t="s">
        <x:v>13</x:v>
      </x:c>
      <x:c r="O2" s="1" t="s">
        <x:v>14</x:v>
      </x:c>
      <x:c r="P2" s="1" t="s">
        <x:v>15</x:v>
      </x:c>
      <x:c r="Q2" s="1" t="s">
        <x:v>16</x:v>
      </x:c>
    </x:row>
    <x:row r="3" spans="1:19"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2">
        <x:v>12</x:v>
      </x:c>
      <x:c r="G3" s="2">
        <x:v>0</x:v>
      </x:c>
      <x:c r="H3" s="2">
        <x:v>30</x:v>
      </x:c>
      <x:c r="I3" s="2">
        <x:f>-H3</x:f>
      </x:c>
      <x:c r="J3" s="0" t="s">
        <x:v>21</x:v>
      </x:c>
      <x:c r="K3" s="0" t="s">
        <x:v>22</x:v>
      </x:c>
      <x:c r="L3" s="0" t="s">
        <x:v>23</x:v>
      </x:c>
      <x:c r="Q3" s="2">
        <x:v>1</x:v>
      </x:c>
    </x:row>
    <x:row r="4" spans="1:19">
      <x:c r="B4" s="0" t="s">
        <x:v>17</x:v>
      </x:c>
      <x:c r="C4" s="0" t="s">
        <x:v>24</x:v>
      </x:c>
      <x:c r="D4" s="0" t="s">
        <x:v>25</x:v>
      </x:c>
      <x:c r="E4" s="0" t="s">
        <x:v>26</x:v>
      </x:c>
      <x:c r="F4" s="2">
        <x:v>9</x:v>
      </x:c>
      <x:c r="G4" s="2">
        <x:v>850</x:v>
      </x:c>
      <x:c r="H4" s="2">
        <x:v>30</x:v>
      </x:c>
      <x:c r="I4" s="2">
        <x:f>G4-H4</x:f>
      </x:c>
      <x:c r="J4" s="0" t="s">
        <x:v>21</x:v>
      </x:c>
      <x:c r="K4" s="0" t="s">
        <x:v>22</x:v>
      </x:c>
      <x:c r="L4" s="0" t="s">
        <x:v>27</x:v>
      </x:c>
      <x:c r="M4" s="0" t="s">
        <x:v>28</x:v>
      </x:c>
      <x:c r="O4" s="0" t="s">
        <x:v>29</x:v>
      </x:c>
      <x:c r="Q4" s="2">
        <x:v>1</x:v>
      </x:c>
    </x:row>
    <x:row r="5" spans="1:19">
      <x:c r="B5" s="0" t="s">
        <x:v>17</x:v>
      </x:c>
      <x:c r="C5" s="0" t="s">
        <x:v>30</x:v>
      </x:c>
      <x:c r="D5" s="0" t="s">
        <x:v>31</x:v>
      </x:c>
      <x:c r="E5" s="0" t="s">
        <x:v>32</x:v>
      </x:c>
      <x:c r="F5" s="0" t="s">
        <x:v>33</x:v>
      </x:c>
      <x:c r="G5" s="2">
        <x:v>840</x:v>
      </x:c>
      <x:c r="H5" s="2">
        <x:v>20</x:v>
      </x:c>
      <x:c r="I5" s="2">
        <x:f>G5-H5</x:f>
      </x:c>
      <x:c r="J5" s="0" t="s">
        <x:v>34</x:v>
      </x:c>
      <x:c r="K5" s="0" t="s">
        <x:v>22</x:v>
      </x:c>
      <x:c r="L5" s="0" t="s">
        <x:v>23</x:v>
      </x:c>
      <x:c r="Q5" s="2">
        <x:v>1</x:v>
      </x:c>
    </x:row>
    <x:row r="6" spans="1:19">
      <x:c r="B6" s="0" t="s">
        <x:v>17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2">
        <x:v>845</x:v>
      </x:c>
      <x:c r="H6" s="2">
        <x:v>25</x:v>
      </x:c>
      <x:c r="I6" s="2">
        <x:f>G6-H6</x:f>
      </x:c>
      <x:c r="J6" s="0" t="s">
        <x:v>22</x:v>
      </x:c>
      <x:c r="K6" s="0" t="s">
        <x:v>22</x:v>
      </x:c>
      <x:c r="L6" s="0" t="s">
        <x:v>23</x:v>
      </x:c>
      <x:c r="Q6" s="2">
        <x:v>1</x:v>
      </x:c>
    </x:row>
    <x:row r="7" spans="1:19">
      <x:c r="B7" s="0" t="s">
        <x:v>17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2">
        <x:v>845</x:v>
      </x:c>
      <x:c r="H7" s="2">
        <x:v>25</x:v>
      </x:c>
      <x:c r="I7" s="2">
        <x:f>G7-H7</x:f>
      </x:c>
      <x:c r="J7" s="0" t="s">
        <x:v>21</x:v>
      </x:c>
      <x:c r="K7" s="0" t="s">
        <x:v>22</x:v>
      </x:c>
      <x:c r="L7" s="0" t="s">
        <x:v>23</x:v>
      </x:c>
      <x:c r="Q7" s="2">
        <x:v>1</x:v>
      </x:c>
    </x:row>
    <x:row r="8" spans="1:19">
      <x:c r="B8" s="0" t="s">
        <x:v>17</x:v>
      </x:c>
      <x:c r="C8" s="0" t="s">
        <x:v>43</x:v>
      </x:c>
      <x:c r="D8" s="0" t="s">
        <x:v>44</x:v>
      </x:c>
      <x:c r="E8" s="0" t="s">
        <x:v>45</x:v>
      </x:c>
      <x:c r="F8" s="2">
        <x:v>6</x:v>
      </x:c>
      <x:c r="G8" s="2">
        <x:v>845</x:v>
      </x:c>
      <x:c r="H8" s="2">
        <x:v>25</x:v>
      </x:c>
      <x:c r="I8" s="2">
        <x:f>G8-H8</x:f>
      </x:c>
      <x:c r="J8" s="0" t="s">
        <x:v>21</x:v>
      </x:c>
      <x:c r="K8" s="0" t="s">
        <x:v>22</x:v>
      </x:c>
      <x:c r="L8" s="0" t="s">
        <x:v>23</x:v>
      </x:c>
      <x:c r="Q8" s="2">
        <x:v>1</x:v>
      </x:c>
    </x:row>
    <x:row r="9" spans="1:19">
      <x:c r="B9" s="0" t="s">
        <x:v>17</x:v>
      </x:c>
      <x:c r="C9" s="0" t="s">
        <x:v>46</x:v>
      </x:c>
      <x:c r="D9" s="0" t="s">
        <x:v>47</x:v>
      </x:c>
      <x:c r="E9" s="0" t="s">
        <x:v>48</x:v>
      </x:c>
      <x:c r="F9" s="2">
        <x:v>9</x:v>
      </x:c>
      <x:c r="G9" s="2">
        <x:v>410</x:v>
      </x:c>
      <x:c r="H9" s="2">
        <x:v>30</x:v>
      </x:c>
      <x:c r="I9" s="2">
        <x:f>G9-H9</x:f>
      </x:c>
      <x:c r="J9" s="0" t="s">
        <x:v>49</x:v>
      </x:c>
      <x:c r="K9" s="0" t="s">
        <x:v>22</x:v>
      </x:c>
      <x:c r="L9" s="0" t="s">
        <x:v>23</x:v>
      </x:c>
      <x:c r="Q9" s="2">
        <x:v>1</x:v>
      </x:c>
    </x:row>
    <x:row r="10" spans="1:19">
      <x:c r="B10" s="0" t="s">
        <x:v>17</x:v>
      </x:c>
      <x:c r="C10" s="0" t="s">
        <x:v>50</x:v>
      </x:c>
      <x:c r="D10" s="0" t="s">
        <x:v>51</x:v>
      </x:c>
      <x:c r="E10" s="0" t="s">
        <x:v>52</x:v>
      </x:c>
      <x:c r="F10" s="0" t="s">
        <x:v>53</x:v>
      </x:c>
      <x:c r="G10" s="2">
        <x:v>600</x:v>
      </x:c>
      <x:c r="H10" s="2">
        <x:v>20</x:v>
      </x:c>
      <x:c r="I10" s="2">
        <x:f>G10-H10</x:f>
      </x:c>
      <x:c r="J10" s="0" t="s">
        <x:v>22</x:v>
      </x:c>
      <x:c r="K10" s="0" t="s">
        <x:v>22</x:v>
      </x:c>
      <x:c r="L10" s="0" t="s">
        <x:v>23</x:v>
      </x:c>
      <x:c r="Q10" s="2">
        <x:v>1</x:v>
      </x:c>
    </x:row>
    <x:row r="11" spans="1:19">
      <x:c r="B11" s="0" t="s">
        <x:v>17</x:v>
      </x:c>
      <x:c r="C11" s="0" t="s">
        <x:v>54</x:v>
      </x:c>
      <x:c r="D11" s="0" t="s">
        <x:v>55</x:v>
      </x:c>
      <x:c r="E11" s="0" t="s">
        <x:v>56</x:v>
      </x:c>
      <x:c r="F11" s="0" t="s">
        <x:v>53</x:v>
      </x:c>
      <x:c r="G11" s="2">
        <x:v>980</x:v>
      </x:c>
      <x:c r="H11" s="2">
        <x:v>20</x:v>
      </x:c>
      <x:c r="I11" s="2">
        <x:f>G11-H11</x:f>
      </x:c>
      <x:c r="J11" s="0" t="s">
        <x:v>22</x:v>
      </x:c>
      <x:c r="K11" s="0" t="s">
        <x:v>22</x:v>
      </x:c>
      <x:c r="L11" s="0" t="s">
        <x:v>23</x:v>
      </x:c>
      <x:c r="Q11" s="2">
        <x:v>1</x:v>
      </x:c>
    </x:row>
    <x:row r="12" spans="1:19">
      <x:c r="B12" s="0" t="s">
        <x:v>17</x:v>
      </x:c>
      <x:c r="C12" s="0" t="s">
        <x:v>57</x:v>
      </x:c>
      <x:c r="D12" s="0" t="s">
        <x:v>58</x:v>
      </x:c>
      <x:c r="E12" s="0" t="s">
        <x:v>59</x:v>
      </x:c>
      <x:c r="F12" s="2">
        <x:v>1</x:v>
      </x:c>
      <x:c r="G12" s="2">
        <x:v>0</x:v>
      </x:c>
      <x:c r="H12" s="2">
        <x:v>25</x:v>
      </x:c>
      <x:c r="I12" s="2">
        <x:f>-H12</x:f>
      </x:c>
      <x:c r="J12" s="0" t="s">
        <x:v>34</x:v>
      </x:c>
      <x:c r="K12" s="0" t="s">
        <x:v>22</x:v>
      </x:c>
      <x:c r="L12" s="0" t="s">
        <x:v>23</x:v>
      </x:c>
      <x:c r="M12" s="0" t="s">
        <x:v>60</x:v>
      </x:c>
      <x:c r="Q12" s="2">
        <x:v>1</x:v>
      </x:c>
    </x:row>
    <x:row r="13" spans="1:19">
      <x:c r="B13" s="0" t="s">
        <x:v>17</x:v>
      </x:c>
      <x:c r="C13" s="0" t="s">
        <x:v>61</x:v>
      </x:c>
      <x:c r="D13" s="0" t="s">
        <x:v>62</x:v>
      </x:c>
      <x:c r="E13" s="0" t="s">
        <x:v>63</x:v>
      </x:c>
      <x:c r="F13" s="0" t="s">
        <x:v>38</x:v>
      </x:c>
      <x:c r="G13" s="2">
        <x:v>855</x:v>
      </x:c>
      <x:c r="H13" s="2">
        <x:v>25</x:v>
      </x:c>
      <x:c r="I13" s="2">
        <x:f>G13-H13</x:f>
      </x:c>
      <x:c r="J13" s="0" t="s">
        <x:v>22</x:v>
      </x:c>
      <x:c r="K13" s="0" t="s">
        <x:v>22</x:v>
      </x:c>
      <x:c r="L13" s="0" t="s">
        <x:v>23</x:v>
      </x:c>
      <x:c r="Q13" s="2">
        <x:v>1</x:v>
      </x:c>
    </x:row>
    <x:row r="14" spans="1:19">
      <x:c r="B14" s="0" t="s">
        <x:v>17</x:v>
      </x:c>
      <x:c r="C14" s="0" t="s">
        <x:v>64</x:v>
      </x:c>
      <x:c r="D14" s="0" t="s">
        <x:v>65</x:v>
      </x:c>
      <x:c r="E14" s="0" t="s">
        <x:v>66</x:v>
      </x:c>
      <x:c r="F14" s="2">
        <x:v>12</x:v>
      </x:c>
      <x:c r="G14" s="2">
        <x:v>0</x:v>
      </x:c>
      <x:c r="H14" s="2">
        <x:v>30</x:v>
      </x:c>
      <x:c r="I14" s="2">
        <x:f>-H14</x:f>
      </x:c>
      <x:c r="J14" s="0" t="s">
        <x:v>21</x:v>
      </x:c>
      <x:c r="K14" s="0" t="s">
        <x:v>22</x:v>
      </x:c>
      <x:c r="L14" s="0" t="s">
        <x:v>23</x:v>
      </x:c>
      <x:c r="Q14" s="2">
        <x:v>1</x:v>
      </x:c>
    </x:row>
    <x:row r="15" spans="1:19">
      <x:c r="B15" s="0" t="s">
        <x:v>17</x:v>
      </x:c>
      <x:c r="C15" s="0" t="s">
        <x:v>67</x:v>
      </x:c>
      <x:c r="D15" s="0" t="s">
        <x:v>68</x:v>
      </x:c>
      <x:c r="E15" s="0" t="s">
        <x:v>69</x:v>
      </x:c>
      <x:c r="F15" s="0" t="s">
        <x:v>53</x:v>
      </x:c>
      <x:c r="G15" s="2">
        <x:v>2600</x:v>
      </x:c>
      <x:c r="H15" s="2">
        <x:v>25</x:v>
      </x:c>
      <x:c r="I15" s="2">
        <x:f>G15-H15</x:f>
      </x:c>
      <x:c r="J15" s="0" t="s">
        <x:v>22</x:v>
      </x:c>
      <x:c r="K15" s="0" t="s">
        <x:v>22</x:v>
      </x:c>
      <x:c r="L15" s="0" t="s">
        <x:v>23</x:v>
      </x:c>
      <x:c r="M15" s="0" t="s">
        <x:v>70</x:v>
      </x:c>
      <x:c r="Q15" s="2">
        <x:v>1</x:v>
      </x:c>
    </x:row>
    <x:row r="16" spans="1:19">
      <x:c r="B16" s="0" t="s">
        <x:v>17</x:v>
      </x:c>
      <x:c r="C16" s="0" t="s">
        <x:v>71</x:v>
      </x:c>
      <x:c r="D16" s="0" t="s">
        <x:v>72</x:v>
      </x:c>
      <x:c r="E16" s="0" t="s">
        <x:v>73</x:v>
      </x:c>
      <x:c r="F16" s="2">
        <x:v>10</x:v>
      </x:c>
      <x:c r="G16" s="2">
        <x:v>865</x:v>
      </x:c>
      <x:c r="H16" s="2">
        <x:v>25</x:v>
      </x:c>
      <x:c r="I16" s="2">
        <x:f>G16-H16</x:f>
      </x:c>
      <x:c r="J16" s="0" t="s">
        <x:v>34</x:v>
      </x:c>
      <x:c r="K16" s="0" t="s">
        <x:v>22</x:v>
      </x:c>
      <x:c r="L16" s="0" t="s">
        <x:v>23</x:v>
      </x:c>
      <x:c r="Q16" s="2">
        <x:v>1</x:v>
      </x:c>
    </x:row>
    <x:row r="17" spans="1:19">
      <x:c r="B17" s="0" t="s">
        <x:v>17</x:v>
      </x:c>
      <x:c r="C17" s="0" t="s">
        <x:v>74</x:v>
      </x:c>
      <x:c r="D17" s="0" t="s">
        <x:v>75</x:v>
      </x:c>
      <x:c r="E17" s="0" t="s">
        <x:v>76</x:v>
      </x:c>
      <x:c r="F17" s="2">
        <x:v>10</x:v>
      </x:c>
      <x:c r="G17" s="2">
        <x:v>25</x:v>
      </x:c>
      <x:c r="H17" s="2">
        <x:v>25</x:v>
      </x:c>
      <x:c r="I17" s="2">
        <x:f>G17-H17</x:f>
      </x:c>
      <x:c r="J17" s="0" t="s">
        <x:v>34</x:v>
      </x:c>
      <x:c r="K17" s="0" t="s">
        <x:v>22</x:v>
      </x:c>
      <x:c r="L17" s="0" t="s">
        <x:v>23</x:v>
      </x:c>
      <x:c r="M17" s="0" t="s">
        <x:v>60</x:v>
      </x:c>
      <x:c r="Q17" s="2">
        <x:v>1</x:v>
      </x:c>
    </x:row>
    <x:row r="18" spans="1:19">
      <x:c r="B18" s="0" t="s">
        <x:v>17</x:v>
      </x:c>
      <x:c r="C18" s="0" t="s">
        <x:v>77</x:v>
      </x:c>
      <x:c r="D18" s="0" t="s">
        <x:v>78</x:v>
      </x:c>
      <x:c r="E18" s="0" t="s">
        <x:v>79</x:v>
      </x:c>
      <x:c r="F18" s="2">
        <x:v>9</x:v>
      </x:c>
      <x:c r="G18" s="2">
        <x:v>870</x:v>
      </x:c>
      <x:c r="H18" s="2">
        <x:v>30</x:v>
      </x:c>
      <x:c r="I18" s="2">
        <x:f>G18-H18</x:f>
      </x:c>
      <x:c r="J18" s="0" t="s">
        <x:v>49</x:v>
      </x:c>
      <x:c r="K18" s="0" t="s">
        <x:v>22</x:v>
      </x:c>
      <x:c r="L18" s="0" t="s">
        <x:v>23</x:v>
      </x:c>
      <x:c r="Q18" s="2">
        <x:v>1</x:v>
      </x:c>
    </x:row>
    <x:row r="19" spans="1:19">
      <x:c r="B19" s="0" t="s">
        <x:v>17</x:v>
      </x:c>
      <x:c r="C19" s="0" t="s">
        <x:v>80</x:v>
      </x:c>
      <x:c r="D19" s="0" t="s">
        <x:v>81</x:v>
      </x:c>
      <x:c r="E19" s="0" t="s">
        <x:v>82</x:v>
      </x:c>
      <x:c r="F19" s="0" t="s">
        <x:v>83</x:v>
      </x:c>
      <x:c r="G19" s="2">
        <x:v>1075</x:v>
      </x:c>
      <x:c r="H19" s="2">
        <x:v>25</x:v>
      </x:c>
      <x:c r="I19" s="2">
        <x:f>G19-H19</x:f>
      </x:c>
      <x:c r="J19" s="0" t="s">
        <x:v>21</x:v>
      </x:c>
      <x:c r="K19" s="0" t="s">
        <x:v>22</x:v>
      </x:c>
      <x:c r="L19" s="0" t="s">
        <x:v>23</x:v>
      </x:c>
      <x:c r="Q19" s="2">
        <x:v>1</x:v>
      </x:c>
    </x:row>
    <x:row r="20" spans="1:19">
      <x:c r="B20" s="0" t="s">
        <x:v>17</x:v>
      </x:c>
      <x:c r="C20" s="0" t="s">
        <x:v>84</x:v>
      </x:c>
      <x:c r="D20" s="0" t="s">
        <x:v>85</x:v>
      </x:c>
      <x:c r="E20" s="0" t="s">
        <x:v>86</x:v>
      </x:c>
      <x:c r="F20" s="0" t="s">
        <x:v>42</x:v>
      </x:c>
      <x:c r="G20" s="2">
        <x:v>845</x:v>
      </x:c>
      <x:c r="H20" s="2">
        <x:v>25</x:v>
      </x:c>
      <x:c r="I20" s="2">
        <x:f>G20-H20</x:f>
      </x:c>
      <x:c r="J20" s="0" t="s">
        <x:v>34</x:v>
      </x:c>
      <x:c r="K20" s="0" t="s">
        <x:v>22</x:v>
      </x:c>
      <x:c r="L20" s="0" t="s">
        <x:v>23</x:v>
      </x:c>
      <x:c r="Q20" s="2">
        <x:v>1</x:v>
      </x:c>
    </x:row>
    <x:row r="21" spans="1:19">
      <x:c r="B21" s="0" t="s">
        <x:v>17</x:v>
      </x:c>
      <x:c r="C21" s="0" t="s">
        <x:v>87</x:v>
      </x:c>
      <x:c r="D21" s="0" t="s">
        <x:v>88</x:v>
      </x:c>
      <x:c r="E21" s="0" t="s">
        <x:v>89</x:v>
      </x:c>
      <x:c r="F21" s="0" t="s">
        <x:v>53</x:v>
      </x:c>
      <x:c r="G21" s="2">
        <x:v>850</x:v>
      </x:c>
      <x:c r="H21" s="2">
        <x:v>30</x:v>
      </x:c>
      <x:c r="I21" s="2">
        <x:f>G21-H21</x:f>
      </x:c>
      <x:c r="J21" s="0" t="s">
        <x:v>22</x:v>
      </x:c>
      <x:c r="K21" s="0" t="s">
        <x:v>22</x:v>
      </x:c>
      <x:c r="L21" s="0" t="s">
        <x:v>23</x:v>
      </x:c>
      <x:c r="Q21" s="2">
        <x:v>1</x:v>
      </x:c>
    </x:row>
    <x:row r="22" spans="1:19">
      <x:c r="B22" s="0" t="s">
        <x:v>17</x:v>
      </x:c>
      <x:c r="C22" s="0" t="s">
        <x:v>90</x:v>
      </x:c>
      <x:c r="D22" s="0" t="s">
        <x:v>91</x:v>
      </x:c>
      <x:c r="E22" s="0" t="s">
        <x:v>92</x:v>
      </x:c>
      <x:c r="F22" s="2">
        <x:v>9</x:v>
      </x:c>
      <x:c r="G22" s="2">
        <x:v>470</x:v>
      </x:c>
      <x:c r="H22" s="2">
        <x:v>30</x:v>
      </x:c>
      <x:c r="I22" s="2">
        <x:f>G22-H22</x:f>
      </x:c>
      <x:c r="J22" s="0" t="s">
        <x:v>49</x:v>
      </x:c>
      <x:c r="K22" s="0" t="s">
        <x:v>22</x:v>
      </x:c>
      <x:c r="L22" s="0" t="s">
        <x:v>23</x:v>
      </x:c>
      <x:c r="Q22" s="2">
        <x:v>1</x:v>
      </x:c>
    </x:row>
    <x:row r="23" spans="1:19">
      <x:c r="B23" s="0" t="s">
        <x:v>17</x:v>
      </x:c>
      <x:c r="C23" s="0" t="s">
        <x:v>93</x:v>
      </x:c>
      <x:c r="D23" s="0" t="s">
        <x:v>94</x:v>
      </x:c>
      <x:c r="E23" s="0" t="s">
        <x:v>95</x:v>
      </x:c>
      <x:c r="F23" s="2">
        <x:v>2</x:v>
      </x:c>
      <x:c r="G23" s="2">
        <x:v>0</x:v>
      </x:c>
      <x:c r="H23" s="2">
        <x:v>30</x:v>
      </x:c>
      <x:c r="I23" s="2">
        <x:f>-H23</x:f>
      </x:c>
      <x:c r="J23" s="0" t="s">
        <x:v>22</x:v>
      </x:c>
      <x:c r="K23" s="0" t="s">
        <x:v>22</x:v>
      </x:c>
      <x:c r="L23" s="0" t="s">
        <x:v>23</x:v>
      </x:c>
      <x:c r="Q23" s="2">
        <x:v>1</x:v>
      </x:c>
    </x:row>
    <x:row r="24" spans="1:19">
      <x:c r="B24" s="0" t="s">
        <x:v>17</x:v>
      </x:c>
      <x:c r="C24" s="0" t="s">
        <x:v>96</x:v>
      </x:c>
      <x:c r="D24" s="0" t="s">
        <x:v>97</x:v>
      </x:c>
      <x:c r="E24" s="0" t="s">
        <x:v>98</x:v>
      </x:c>
      <x:c r="F24" s="0" t="s">
        <x:v>38</x:v>
      </x:c>
      <x:c r="G24" s="2">
        <x:v>855</x:v>
      </x:c>
      <x:c r="H24" s="2">
        <x:v>25</x:v>
      </x:c>
      <x:c r="I24" s="2">
        <x:f>G24-H24</x:f>
      </x:c>
      <x:c r="J24" s="0" t="s">
        <x:v>22</x:v>
      </x:c>
      <x:c r="K24" s="0" t="s">
        <x:v>22</x:v>
      </x:c>
      <x:c r="L24" s="0" t="s">
        <x:v>23</x:v>
      </x:c>
      <x:c r="Q24" s="2">
        <x:v>1</x:v>
      </x:c>
    </x:row>
    <x:row r="25" spans="1:19">
      <x:c r="B25" s="0" t="s">
        <x:v>17</x:v>
      </x:c>
      <x:c r="C25" s="0" t="s">
        <x:v>99</x:v>
      </x:c>
      <x:c r="D25" s="0" t="s">
        <x:v>100</x:v>
      </x:c>
      <x:c r="E25" s="0" t="s">
        <x:v>101</x:v>
      </x:c>
      <x:c r="F25" s="2">
        <x:v>9</x:v>
      </x:c>
      <x:c r="G25" s="2">
        <x:v>520</x:v>
      </x:c>
      <x:c r="H25" s="2">
        <x:v>30</x:v>
      </x:c>
      <x:c r="I25" s="2">
        <x:f>G25-H25</x:f>
      </x:c>
      <x:c r="J25" s="0" t="s">
        <x:v>49</x:v>
      </x:c>
      <x:c r="K25" s="0" t="s">
        <x:v>22</x:v>
      </x:c>
      <x:c r="L25" s="0" t="s">
        <x:v>23</x:v>
      </x:c>
      <x:c r="Q25" s="2">
        <x:v>1</x:v>
      </x:c>
    </x:row>
    <x:row r="26" spans="1:19">
      <x:c r="B26" s="0" t="s">
        <x:v>17</x:v>
      </x:c>
      <x:c r="C26" s="0" t="s">
        <x:v>102</x:v>
      </x:c>
      <x:c r="D26" s="0" t="s">
        <x:v>103</x:v>
      </x:c>
      <x:c r="E26" s="0" t="s">
        <x:v>104</x:v>
      </x:c>
      <x:c r="F26" s="0" t="s">
        <x:v>38</x:v>
      </x:c>
      <x:c r="G26" s="2">
        <x:v>735</x:v>
      </x:c>
      <x:c r="H26" s="2">
        <x:v>25</x:v>
      </x:c>
      <x:c r="I26" s="2">
        <x:f>G26-H26</x:f>
      </x:c>
      <x:c r="J26" s="0" t="s">
        <x:v>22</x:v>
      </x:c>
      <x:c r="K26" s="0" t="s">
        <x:v>22</x:v>
      </x:c>
      <x:c r="L26" s="0" t="s">
        <x:v>23</x:v>
      </x:c>
      <x:c r="M26" s="0" t="s">
        <x:v>105</x:v>
      </x:c>
      <x:c r="Q26" s="2">
        <x:v>1</x:v>
      </x:c>
    </x:row>
    <x:row r="27" spans="1:19">
      <x:c r="B27" s="0" t="s">
        <x:v>17</x:v>
      </x:c>
      <x:c r="C27" s="0" t="s">
        <x:v>102</x:v>
      </x:c>
      <x:c r="D27" s="0" t="s">
        <x:v>106</x:v>
      </x:c>
      <x:c r="E27" s="0" t="s">
        <x:v>107</x:v>
      </x:c>
      <x:c r="F27" s="0" t="s">
        <x:v>38</x:v>
      </x:c>
      <x:c r="G27" s="2">
        <x:v>580</x:v>
      </x:c>
      <x:c r="H27" s="2">
        <x:v>0</x:v>
      </x:c>
      <x:c r="I27" s="2">
        <x:f>G27-H27</x:f>
      </x:c>
      <x:c r="J27" s="0" t="s">
        <x:v>21</x:v>
      </x:c>
      <x:c r="K27" s="0" t="s">
        <x:v>22</x:v>
      </x:c>
      <x:c r="L27" s="0" t="s">
        <x:v>23</x:v>
      </x:c>
      <x:c r="M27" s="0" t="s">
        <x:v>105</x:v>
      </x:c>
      <x:c r="Q27" s="2">
        <x:v>1</x:v>
      </x:c>
    </x:row>
    <x:row r="28" spans="1:19">
      <x:c r="B28" s="0" t="s">
        <x:v>17</x:v>
      </x:c>
      <x:c r="C28" s="0" t="s">
        <x:v>108</x:v>
      </x:c>
      <x:c r="D28" s="0" t="s">
        <x:v>109</x:v>
      </x:c>
      <x:c r="E28" s="0" t="s">
        <x:v>110</x:v>
      </x:c>
      <x:c r="F28" s="2">
        <x:v>6</x:v>
      </x:c>
      <x:c r="G28" s="2">
        <x:v>0</x:v>
      </x:c>
      <x:c r="H28" s="2">
        <x:v>25</x:v>
      </x:c>
      <x:c r="I28" s="2">
        <x:f>-H28</x:f>
      </x:c>
      <x:c r="J28" s="0" t="s">
        <x:v>21</x:v>
      </x:c>
      <x:c r="K28" s="0" t="s">
        <x:v>22</x:v>
      </x:c>
      <x:c r="L28" s="0" t="s">
        <x:v>23</x:v>
      </x:c>
      <x:c r="Q28" s="2">
        <x:v>1</x:v>
      </x:c>
    </x:row>
    <x:row r="29" spans="1:19">
      <x:c r="B29" s="0" t="s">
        <x:v>17</x:v>
      </x:c>
      <x:c r="C29" s="0" t="s">
        <x:v>111</x:v>
      </x:c>
      <x:c r="D29" s="0" t="s">
        <x:v>112</x:v>
      </x:c>
      <x:c r="E29" s="0" t="s">
        <x:v>113</x:v>
      </x:c>
      <x:c r="F29" s="0" t="s">
        <x:v>42</x:v>
      </x:c>
      <x:c r="G29" s="2">
        <x:v>815</x:v>
      </x:c>
      <x:c r="H29" s="2">
        <x:v>25</x:v>
      </x:c>
      <x:c r="I29" s="2">
        <x:f>G29-H29</x:f>
      </x:c>
      <x:c r="J29" s="0" t="s">
        <x:v>34</x:v>
      </x:c>
      <x:c r="K29" s="0" t="s">
        <x:v>22</x:v>
      </x:c>
      <x:c r="L29" s="0" t="s">
        <x:v>23</x:v>
      </x:c>
      <x:c r="Q29" s="2">
        <x:v>1</x:v>
      </x:c>
    </x:row>
    <x:row r="30" spans="1:19">
      <x:c r="B30" s="0" t="s">
        <x:v>17</x:v>
      </x:c>
      <x:c r="C30" s="0" t="s">
        <x:v>114</x:v>
      </x:c>
      <x:c r="D30" s="0" t="s">
        <x:v>115</x:v>
      </x:c>
      <x:c r="E30" s="0" t="s">
        <x:v>116</x:v>
      </x:c>
      <x:c r="F30" s="2">
        <x:v>6</x:v>
      </x:c>
      <x:c r="G30" s="2">
        <x:v>710</x:v>
      </x:c>
      <x:c r="H30" s="2">
        <x:v>0</x:v>
      </x:c>
      <x:c r="I30" s="2">
        <x:f>G30-H30</x:f>
      </x:c>
      <x:c r="J30" s="0" t="s">
        <x:v>21</x:v>
      </x:c>
      <x:c r="K30" s="0" t="s">
        <x:v>22</x:v>
      </x:c>
      <x:c r="L30" s="0" t="s">
        <x:v>23</x:v>
      </x:c>
      <x:c r="M30" s="0" t="s">
        <x:v>105</x:v>
      </x:c>
      <x:c r="Q30" s="2">
        <x:v>1</x:v>
      </x:c>
    </x:row>
    <x:row r="31" spans="1:19">
      <x:c r="B31" s="0" t="s">
        <x:v>17</x:v>
      </x:c>
      <x:c r="C31" s="0" t="s">
        <x:v>114</x:v>
      </x:c>
      <x:c r="D31" s="0" t="s">
        <x:v>117</x:v>
      </x:c>
      <x:c r="E31" s="0" t="s">
        <x:v>116</x:v>
      </x:c>
      <x:c r="F31" s="2">
        <x:v>6</x:v>
      </x:c>
      <x:c r="G31" s="2">
        <x:v>820</x:v>
      </x:c>
      <x:c r="H31" s="2">
        <x:v>0</x:v>
      </x:c>
      <x:c r="I31" s="2">
        <x:f>G31-H31</x:f>
      </x:c>
      <x:c r="J31" s="0" t="s">
        <x:v>21</x:v>
      </x:c>
      <x:c r="K31" s="0" t="s">
        <x:v>22</x:v>
      </x:c>
      <x:c r="L31" s="0" t="s">
        <x:v>23</x:v>
      </x:c>
      <x:c r="M31" s="0" t="s">
        <x:v>105</x:v>
      </x:c>
      <x:c r="Q31" s="2">
        <x:v>1</x:v>
      </x:c>
    </x:row>
    <x:row r="32" spans="1:19">
      <x:c r="B32" s="0" t="s">
        <x:v>17</x:v>
      </x:c>
      <x:c r="C32" s="0" t="s">
        <x:v>114</x:v>
      </x:c>
      <x:c r="D32" s="0" t="s">
        <x:v>118</x:v>
      </x:c>
      <x:c r="E32" s="0" t="s">
        <x:v>116</x:v>
      </x:c>
      <x:c r="F32" s="2">
        <x:v>6</x:v>
      </x:c>
      <x:c r="G32" s="2">
        <x:v>1040</x:v>
      </x:c>
      <x:c r="H32" s="2">
        <x:v>30</x:v>
      </x:c>
      <x:c r="I32" s="2">
        <x:f>G32-H32</x:f>
      </x:c>
      <x:c r="J32" s="0" t="s">
        <x:v>21</x:v>
      </x:c>
      <x:c r="K32" s="0" t="s">
        <x:v>22</x:v>
      </x:c>
      <x:c r="L32" s="0" t="s">
        <x:v>23</x:v>
      </x:c>
      <x:c r="M32" s="0" t="s">
        <x:v>105</x:v>
      </x:c>
      <x:c r="Q32" s="2">
        <x:v>1</x:v>
      </x:c>
    </x:row>
    <x:row r="33" spans="1:19">
      <x:c r="B33" s="0" t="s">
        <x:v>17</x:v>
      </x:c>
      <x:c r="C33" s="0" t="s">
        <x:v>119</x:v>
      </x:c>
      <x:c r="D33" s="0" t="s">
        <x:v>120</x:v>
      </x:c>
      <x:c r="E33" s="0" t="s">
        <x:v>121</x:v>
      </x:c>
      <x:c r="F33" s="0" t="s">
        <x:v>122</x:v>
      </x:c>
      <x:c r="G33" s="2">
        <x:v>850</x:v>
      </x:c>
      <x:c r="H33" s="2">
        <x:v>30</x:v>
      </x:c>
      <x:c r="I33" s="2">
        <x:f>G33-H33</x:f>
      </x:c>
      <x:c r="J33" s="0" t="s">
        <x:v>21</x:v>
      </x:c>
      <x:c r="K33" s="0" t="s">
        <x:v>22</x:v>
      </x:c>
      <x:c r="L33" s="0" t="s">
        <x:v>23</x:v>
      </x:c>
      <x:c r="Q33" s="2">
        <x:v>1</x:v>
      </x:c>
    </x:row>
    <x:row r="34" spans="1:19">
      <x:c r="B34" s="0" t="s">
        <x:v>17</x:v>
      </x:c>
      <x:c r="C34" s="0" t="s">
        <x:v>123</x:v>
      </x:c>
      <x:c r="D34" s="0" t="s">
        <x:v>124</x:v>
      </x:c>
      <x:c r="E34" s="0" t="s">
        <x:v>125</x:v>
      </x:c>
      <x:c r="F34" s="2">
        <x:v>7</x:v>
      </x:c>
      <x:c r="G34" s="2">
        <x:v>590</x:v>
      </x:c>
      <x:c r="H34" s="2">
        <x:v>30</x:v>
      </x:c>
      <x:c r="I34" s="2">
        <x:f>G34-H34</x:f>
      </x:c>
      <x:c r="J34" s="0" t="s">
        <x:v>21</x:v>
      </x:c>
      <x:c r="K34" s="0" t="s">
        <x:v>22</x:v>
      </x:c>
      <x:c r="L34" s="0" t="s">
        <x:v>23</x:v>
      </x:c>
      <x:c r="Q34" s="2">
        <x:v>1</x:v>
      </x:c>
    </x:row>
    <x:row r="35" spans="1:19">
      <x:c r="B35" s="0" t="s">
        <x:v>17</x:v>
      </x:c>
      <x:c r="C35" s="0" t="s">
        <x:v>126</x:v>
      </x:c>
      <x:c r="D35" s="0" t="s">
        <x:v>127</x:v>
      </x:c>
      <x:c r="E35" s="0" t="s">
        <x:v>128</x:v>
      </x:c>
      <x:c r="F35" s="0" t="s">
        <x:v>38</x:v>
      </x:c>
      <x:c r="G35" s="2">
        <x:v>605</x:v>
      </x:c>
      <x:c r="H35" s="2">
        <x:v>25</x:v>
      </x:c>
      <x:c r="I35" s="2">
        <x:f>G35-H35</x:f>
      </x:c>
      <x:c r="J35" s="0" t="s">
        <x:v>22</x:v>
      </x:c>
      <x:c r="K35" s="0" t="s">
        <x:v>22</x:v>
      </x:c>
      <x:c r="L35" s="0" t="s">
        <x:v>23</x:v>
      </x:c>
      <x:c r="Q35" s="2">
        <x:v>1</x:v>
      </x:c>
    </x:row>
    <x:row r="36" spans="1:19">
      <x:c r="B36" s="0" t="s">
        <x:v>17</x:v>
      </x:c>
      <x:c r="C36" s="0" t="s">
        <x:v>129</x:v>
      </x:c>
      <x:c r="D36" s="0" t="s">
        <x:v>130</x:v>
      </x:c>
      <x:c r="E36" s="0" t="s">
        <x:v>131</x:v>
      </x:c>
      <x:c r="F36" s="2">
        <x:v>10</x:v>
      </x:c>
      <x:c r="G36" s="2">
        <x:v>715</x:v>
      </x:c>
      <x:c r="H36" s="2">
        <x:v>25</x:v>
      </x:c>
      <x:c r="I36" s="2">
        <x:f>G36-H36</x:f>
      </x:c>
      <x:c r="J36" s="0" t="s">
        <x:v>34</x:v>
      </x:c>
      <x:c r="K36" s="0" t="s">
        <x:v>22</x:v>
      </x:c>
      <x:c r="L36" s="0" t="s">
        <x:v>23</x:v>
      </x:c>
      <x:c r="Q36" s="2">
        <x:v>1</x:v>
      </x:c>
    </x:row>
    <x:row r="37" spans="1:19">
      <x:c r="B37" s="0" t="s">
        <x:v>17</x:v>
      </x:c>
      <x:c r="C37" s="0" t="s">
        <x:v>132</x:v>
      </x:c>
      <x:c r="D37" s="0" t="s">
        <x:v>133</x:v>
      </x:c>
      <x:c r="E37" s="0" t="s">
        <x:v>134</x:v>
      </x:c>
      <x:c r="F37" s="0" t="s">
        <x:v>38</x:v>
      </x:c>
      <x:c r="G37" s="2">
        <x:v>405</x:v>
      </x:c>
      <x:c r="H37" s="2">
        <x:v>25</x:v>
      </x:c>
      <x:c r="I37" s="2">
        <x:f>G37-H37</x:f>
      </x:c>
      <x:c r="J37" s="0" t="s">
        <x:v>22</x:v>
      </x:c>
      <x:c r="K37" s="0" t="s">
        <x:v>22</x:v>
      </x:c>
      <x:c r="L37" s="0" t="s">
        <x:v>23</x:v>
      </x:c>
      <x:c r="Q37" s="2">
        <x:v>1</x:v>
      </x:c>
    </x:row>
    <x:row r="38" spans="1:19">
      <x:c r="B38" s="0" t="s">
        <x:v>17</x:v>
      </x:c>
      <x:c r="C38" s="0" t="s">
        <x:v>135</x:v>
      </x:c>
      <x:c r="D38" s="0" t="s">
        <x:v>136</x:v>
      </x:c>
      <x:c r="E38" s="0" t="s">
        <x:v>137</x:v>
      </x:c>
      <x:c r="F38" s="0" t="s">
        <x:v>38</x:v>
      </x:c>
      <x:c r="G38" s="2">
        <x:v>0</x:v>
      </x:c>
      <x:c r="H38" s="2">
        <x:v>25</x:v>
      </x:c>
      <x:c r="I38" s="2">
        <x:f>-H38</x:f>
      </x:c>
      <x:c r="J38" s="0" t="s">
        <x:v>22</x:v>
      </x:c>
      <x:c r="K38" s="0" t="s">
        <x:v>22</x:v>
      </x:c>
      <x:c r="L38" s="0" t="s">
        <x:v>23</x:v>
      </x:c>
      <x:c r="Q38" s="2">
        <x:v>1</x:v>
      </x:c>
    </x:row>
    <x:row r="39" spans="1:19">
      <x:c r="B39" s="0" t="s">
        <x:v>17</x:v>
      </x:c>
      <x:c r="C39" s="0" t="s">
        <x:v>138</x:v>
      </x:c>
      <x:c r="D39" s="0" t="s">
        <x:v>139</x:v>
      </x:c>
      <x:c r="E39" s="0" t="s">
        <x:v>140</x:v>
      </x:c>
      <x:c r="F39" s="2">
        <x:v>7</x:v>
      </x:c>
      <x:c r="G39" s="2">
        <x:v>850</x:v>
      </x:c>
      <x:c r="H39" s="2">
        <x:v>30</x:v>
      </x:c>
      <x:c r="I39" s="2">
        <x:f>G39-H39</x:f>
      </x:c>
      <x:c r="J39" s="0" t="s">
        <x:v>21</x:v>
      </x:c>
      <x:c r="K39" s="0" t="s">
        <x:v>22</x:v>
      </x:c>
      <x:c r="L39" s="0" t="s">
        <x:v>23</x:v>
      </x:c>
      <x:c r="Q39" s="2">
        <x:v>1</x:v>
      </x:c>
    </x:row>
    <x:row r="40" spans="1:19">
      <x:c r="B40" s="0" t="s">
        <x:v>17</x:v>
      </x:c>
      <x:c r="C40" s="0" t="s">
        <x:v>141</x:v>
      </x:c>
      <x:c r="D40" s="0" t="s">
        <x:v>142</x:v>
      </x:c>
      <x:c r="E40" s="0" t="s">
        <x:v>143</x:v>
      </x:c>
      <x:c r="F40" s="2">
        <x:v>1</x:v>
      </x:c>
      <x:c r="G40" s="2">
        <x:v>765</x:v>
      </x:c>
      <x:c r="H40" s="2">
        <x:v>25</x:v>
      </x:c>
      <x:c r="I40" s="2">
        <x:f>G40-H40</x:f>
      </x:c>
      <x:c r="J40" s="0" t="s">
        <x:v>34</x:v>
      </x:c>
      <x:c r="K40" s="0" t="s">
        <x:v>22</x:v>
      </x:c>
      <x:c r="L40" s="0" t="s">
        <x:v>23</x:v>
      </x:c>
      <x:c r="Q40" s="2">
        <x:v>1</x:v>
      </x:c>
    </x:row>
    <x:row r="41" spans="1:19">
      <x:c r="B41" s="0" t="s">
        <x:v>17</x:v>
      </x:c>
      <x:c r="C41" s="0" t="s">
        <x:v>144</x:v>
      </x:c>
      <x:c r="D41" s="0" t="s">
        <x:v>145</x:v>
      </x:c>
      <x:c r="E41" s="0" t="s">
        <x:v>146</x:v>
      </x:c>
      <x:c r="F41" s="2">
        <x:v>3</x:v>
      </x:c>
      <x:c r="G41" s="2">
        <x:v>0</x:v>
      </x:c>
      <x:c r="H41" s="2">
        <x:v>25</x:v>
      </x:c>
      <x:c r="I41" s="2">
        <x:f>-H41</x:f>
      </x:c>
      <x:c r="J41" s="0" t="s">
        <x:v>34</x:v>
      </x:c>
      <x:c r="K41" s="0" t="s">
        <x:v>22</x:v>
      </x:c>
      <x:c r="L41" s="0" t="s">
        <x:v>23</x:v>
      </x:c>
      <x:c r="M41" s="0" t="s">
        <x:v>147</x:v>
      </x:c>
      <x:c r="Q41" s="2">
        <x:v>1</x:v>
      </x:c>
    </x:row>
    <x:row r="42" spans="1:19">
      <x:c r="B42" s="0" t="s">
        <x:v>17</x:v>
      </x:c>
      <x:c r="C42" s="0" t="s">
        <x:v>148</x:v>
      </x:c>
      <x:c r="D42" s="0" t="s">
        <x:v>149</x:v>
      </x:c>
      <x:c r="E42" s="0" t="s">
        <x:v>150</x:v>
      </x:c>
      <x:c r="F42" s="0" t="s">
        <x:v>53</x:v>
      </x:c>
      <x:c r="G42" s="2">
        <x:v>600</x:v>
      </x:c>
      <x:c r="H42" s="2">
        <x:v>20</x:v>
      </x:c>
      <x:c r="I42" s="2">
        <x:f>G42-H42</x:f>
      </x:c>
      <x:c r="J42" s="0" t="s">
        <x:v>22</x:v>
      </x:c>
      <x:c r="K42" s="0" t="s">
        <x:v>22</x:v>
      </x:c>
      <x:c r="L42" s="0" t="s">
        <x:v>23</x:v>
      </x:c>
      <x:c r="Q42" s="2">
        <x:v>1</x:v>
      </x:c>
    </x:row>
    <x:row r="43" spans="1:19">
      <x:c r="B43" s="0" t="s">
        <x:v>17</x:v>
      </x:c>
      <x:c r="C43" s="0" t="s">
        <x:v>151</x:v>
      </x:c>
      <x:c r="D43" s="0" t="s">
        <x:v>152</x:v>
      </x:c>
      <x:c r="E43" s="0" t="s">
        <x:v>153</x:v>
      </x:c>
      <x:c r="F43" s="0" t="s">
        <x:v>154</x:v>
      </x:c>
      <x:c r="G43" s="2">
        <x:v>470</x:v>
      </x:c>
      <x:c r="H43" s="2">
        <x:v>30</x:v>
      </x:c>
      <x:c r="I43" s="2">
        <x:f>G43-H43</x:f>
      </x:c>
      <x:c r="J43" s="0" t="s">
        <x:v>22</x:v>
      </x:c>
      <x:c r="K43" s="0" t="s">
        <x:v>22</x:v>
      </x:c>
      <x:c r="L43" s="0" t="s">
        <x:v>23</x:v>
      </x:c>
      <x:c r="Q43" s="2">
        <x:v>1</x:v>
      </x:c>
    </x:row>
    <x:row r="44" spans="1:19">
      <x:c r="B44" s="0" t="s">
        <x:v>17</x:v>
      </x:c>
      <x:c r="C44" s="0" t="s">
        <x:v>155</x:v>
      </x:c>
      <x:c r="D44" s="0" t="s">
        <x:v>156</x:v>
      </x:c>
      <x:c r="E44" s="0" t="s">
        <x:v>157</x:v>
      </x:c>
      <x:c r="F44" s="2">
        <x:v>2</x:v>
      </x:c>
      <x:c r="G44" s="2">
        <x:v>470</x:v>
      </x:c>
      <x:c r="H44" s="2">
        <x:v>30</x:v>
      </x:c>
      <x:c r="I44" s="2">
        <x:f>G44-H44</x:f>
      </x:c>
      <x:c r="J44" s="0" t="s">
        <x:v>22</x:v>
      </x:c>
      <x:c r="K44" s="0" t="s">
        <x:v>22</x:v>
      </x:c>
      <x:c r="L44" s="0" t="s">
        <x:v>23</x:v>
      </x:c>
      <x:c r="Q44" s="2">
        <x:v>1</x:v>
      </x:c>
    </x:row>
    <x:row r="45" spans="1:19">
      <x:c r="B45" s="0" t="s">
        <x:v>17</x:v>
      </x:c>
      <x:c r="C45" s="0" t="s">
        <x:v>158</x:v>
      </x:c>
      <x:c r="D45" s="0" t="s">
        <x:v>159</x:v>
      </x:c>
      <x:c r="E45" s="0" t="s">
        <x:v>160</x:v>
      </x:c>
      <x:c r="F45" s="2">
        <x:v>2</x:v>
      </x:c>
      <x:c r="G45" s="2">
        <x:v>870</x:v>
      </x:c>
      <x:c r="H45" s="2">
        <x:v>30</x:v>
      </x:c>
      <x:c r="I45" s="2">
        <x:f>G45-H45</x:f>
      </x:c>
      <x:c r="J45" s="0" t="s">
        <x:v>22</x:v>
      </x:c>
      <x:c r="K45" s="0" t="s">
        <x:v>22</x:v>
      </x:c>
      <x:c r="L45" s="0" t="s">
        <x:v>23</x:v>
      </x:c>
      <x:c r="Q45" s="2">
        <x:v>1</x:v>
      </x:c>
    </x:row>
    <x:row r="46" spans="1:19">
      <x:c r="B46" s="0" t="s">
        <x:v>17</x:v>
      </x:c>
      <x:c r="C46" s="0" t="s">
        <x:v>161</x:v>
      </x:c>
      <x:c r="D46" s="0" t="s">
        <x:v>162</x:v>
      </x:c>
      <x:c r="E46" s="0" t="s">
        <x:v>163</x:v>
      </x:c>
      <x:c r="F46" s="0" t="s">
        <x:v>122</x:v>
      </x:c>
      <x:c r="G46" s="2">
        <x:v>860</x:v>
      </x:c>
      <x:c r="H46" s="2">
        <x:v>30</x:v>
      </x:c>
      <x:c r="I46" s="2">
        <x:f>G46-H46</x:f>
      </x:c>
      <x:c r="J46" s="0" t="s">
        <x:v>21</x:v>
      </x:c>
      <x:c r="K46" s="0" t="s">
        <x:v>22</x:v>
      </x:c>
      <x:c r="L46" s="0" t="s">
        <x:v>23</x:v>
      </x:c>
      <x:c r="Q46" s="2">
        <x:v>1</x:v>
      </x:c>
    </x:row>
    <x:row r="47" spans="1:19">
      <x:c r="B47" s="0" t="s">
        <x:v>17</x:v>
      </x:c>
      <x:c r="C47" s="0" t="s">
        <x:v>164</x:v>
      </x:c>
      <x:c r="D47" s="0" t="s">
        <x:v>165</x:v>
      </x:c>
      <x:c r="E47" s="0" t="s">
        <x:v>166</x:v>
      </x:c>
      <x:c r="F47" s="2">
        <x:v>7</x:v>
      </x:c>
      <x:c r="G47" s="2">
        <x:v>850</x:v>
      </x:c>
      <x:c r="H47" s="2">
        <x:v>30</x:v>
      </x:c>
      <x:c r="I47" s="2">
        <x:f>G47-H47</x:f>
      </x:c>
      <x:c r="J47" s="0" t="s">
        <x:v>21</x:v>
      </x:c>
      <x:c r="K47" s="0" t="s">
        <x:v>22</x:v>
      </x:c>
      <x:c r="L47" s="0" t="s">
        <x:v>23</x:v>
      </x:c>
      <x:c r="Q47" s="2">
        <x:v>1</x:v>
      </x:c>
    </x:row>
    <x:row r="48" spans="1:19">
      <x:c r="B48" s="0" t="s">
        <x:v>17</x:v>
      </x:c>
      <x:c r="C48" s="0" t="s">
        <x:v>167</x:v>
      </x:c>
      <x:c r="D48" s="0" t="s">
        <x:v>168</x:v>
      </x:c>
      <x:c r="E48" s="0" t="s">
        <x:v>169</x:v>
      </x:c>
      <x:c r="F48" s="2">
        <x:v>2</x:v>
      </x:c>
      <x:c r="G48" s="2">
        <x:v>0</x:v>
      </x:c>
      <x:c r="H48" s="2">
        <x:v>30</x:v>
      </x:c>
      <x:c r="I48" s="2">
        <x:f>-H48</x:f>
      </x:c>
      <x:c r="J48" s="0" t="s">
        <x:v>22</x:v>
      </x:c>
      <x:c r="K48" s="0" t="s">
        <x:v>22</x:v>
      </x:c>
      <x:c r="L48" s="0" t="s">
        <x:v>23</x:v>
      </x:c>
      <x:c r="M48" s="0" t="s">
        <x:v>60</x:v>
      </x:c>
      <x:c r="Q48" s="2">
        <x:v>1</x:v>
      </x:c>
    </x:row>
    <x:row r="49" spans="1:19">
      <x:c r="B49" s="0" t="s">
        <x:v>17</x:v>
      </x:c>
      <x:c r="C49" s="0" t="s">
        <x:v>170</x:v>
      </x:c>
      <x:c r="D49" s="0" t="s">
        <x:v>171</x:v>
      </x:c>
      <x:c r="E49" s="0" t="s">
        <x:v>172</x:v>
      </x:c>
      <x:c r="F49" s="2">
        <x:v>1</x:v>
      </x:c>
      <x:c r="G49" s="2">
        <x:v>0</x:v>
      </x:c>
      <x:c r="H49" s="2">
        <x:v>25</x:v>
      </x:c>
      <x:c r="I49" s="2">
        <x:f>-H49</x:f>
      </x:c>
      <x:c r="J49" s="0" t="s">
        <x:v>34</x:v>
      </x:c>
      <x:c r="K49" s="0" t="s">
        <x:v>22</x:v>
      </x:c>
      <x:c r="L49" s="0" t="s">
        <x:v>23</x:v>
      </x:c>
      <x:c r="Q49" s="2">
        <x:v>1</x:v>
      </x:c>
    </x:row>
    <x:row r="50" spans="1:19">
      <x:c r="B50" s="0" t="s">
        <x:v>17</x:v>
      </x:c>
      <x:c r="C50" s="0" t="s">
        <x:v>173</x:v>
      </x:c>
      <x:c r="D50" s="0" t="s">
        <x:v>174</x:v>
      </x:c>
      <x:c r="E50" s="0" t="s">
        <x:v>175</x:v>
      </x:c>
      <x:c r="F50" s="2">
        <x:v>5</x:v>
      </x:c>
      <x:c r="G50" s="2">
        <x:v>865</x:v>
      </x:c>
      <x:c r="H50" s="2">
        <x:v>25</x:v>
      </x:c>
      <x:c r="I50" s="2">
        <x:f>G50-H50</x:f>
      </x:c>
      <x:c r="J50" s="0" t="s">
        <x:v>34</x:v>
      </x:c>
      <x:c r="K50" s="0" t="s">
        <x:v>22</x:v>
      </x:c>
      <x:c r="L50" s="0" t="s">
        <x:v>23</x:v>
      </x:c>
      <x:c r="Q50" s="2">
        <x:v>1</x:v>
      </x:c>
    </x:row>
    <x:row r="51" spans="1:19">
      <x:c r="B51" s="0" t="s">
        <x:v>17</x:v>
      </x:c>
      <x:c r="C51" s="0" t="s">
        <x:v>176</x:v>
      </x:c>
      <x:c r="D51" s="0" t="s">
        <x:v>177</x:v>
      </x:c>
      <x:c r="E51" s="0" t="s">
        <x:v>178</x:v>
      </x:c>
      <x:c r="F51" s="0" t="s">
        <x:v>53</x:v>
      </x:c>
      <x:c r="G51" s="2">
        <x:v>400</x:v>
      </x:c>
      <x:c r="H51" s="2">
        <x:v>20</x:v>
      </x:c>
      <x:c r="I51" s="2">
        <x:f>G51-H51</x:f>
      </x:c>
      <x:c r="J51" s="0" t="s">
        <x:v>22</x:v>
      </x:c>
      <x:c r="K51" s="0" t="s">
        <x:v>22</x:v>
      </x:c>
      <x:c r="L51" s="0" t="s">
        <x:v>23</x:v>
      </x:c>
      <x:c r="Q51" s="2">
        <x:v>1</x:v>
      </x:c>
    </x:row>
    <x:row r="52" spans="1:19">
      <x:c r="B52" s="0" t="s">
        <x:v>17</x:v>
      </x:c>
      <x:c r="C52" s="0" t="s">
        <x:v>179</x:v>
      </x:c>
      <x:c r="D52" s="0" t="s">
        <x:v>180</x:v>
      </x:c>
      <x:c r="E52" s="0" t="s">
        <x:v>181</x:v>
      </x:c>
      <x:c r="F52" s="0" t="s">
        <x:v>53</x:v>
      </x:c>
      <x:c r="G52" s="2">
        <x:v>510</x:v>
      </x:c>
      <x:c r="H52" s="2">
        <x:v>20</x:v>
      </x:c>
      <x:c r="I52" s="2">
        <x:f>G52-H52</x:f>
      </x:c>
      <x:c r="J52" s="0" t="s">
        <x:v>22</x:v>
      </x:c>
      <x:c r="K52" s="0" t="s">
        <x:v>22</x:v>
      </x:c>
      <x:c r="L52" s="0" t="s">
        <x:v>23</x:v>
      </x:c>
      <x:c r="Q52" s="2">
        <x:v>1</x:v>
      </x:c>
    </x:row>
    <x:row r="53" spans="1:19">
      <x:c r="B53" s="0" t="s">
        <x:v>17</x:v>
      </x:c>
      <x:c r="C53" s="0" t="s">
        <x:v>182</x:v>
      </x:c>
      <x:c r="D53" s="0" t="s">
        <x:v>183</x:v>
      </x:c>
      <x:c r="E53" s="0" t="s">
        <x:v>184</x:v>
      </x:c>
      <x:c r="F53" s="0" t="s">
        <x:v>38</x:v>
      </x:c>
      <x:c r="G53" s="2">
        <x:v>1555</x:v>
      </x:c>
      <x:c r="H53" s="2">
        <x:v>25</x:v>
      </x:c>
      <x:c r="I53" s="2">
        <x:f>G53-H53</x:f>
      </x:c>
      <x:c r="J53" s="0" t="s">
        <x:v>22</x:v>
      </x:c>
      <x:c r="K53" s="0" t="s">
        <x:v>22</x:v>
      </x:c>
      <x:c r="L53" s="0" t="s">
        <x:v>23</x:v>
      </x:c>
      <x:c r="Q53" s="2">
        <x:v>1</x:v>
      </x:c>
    </x:row>
    <x:row r="54" spans="1:19">
      <x:c r="B54" s="0" t="s">
        <x:v>17</x:v>
      </x:c>
      <x:c r="C54" s="0" t="s">
        <x:v>185</x:v>
      </x:c>
      <x:c r="D54" s="0" t="s">
        <x:v>186</x:v>
      </x:c>
      <x:c r="E54" s="0" t="s">
        <x:v>187</x:v>
      </x:c>
      <x:c r="F54" s="2">
        <x:v>4</x:v>
      </x:c>
      <x:c r="G54" s="2">
        <x:v>515</x:v>
      </x:c>
      <x:c r="H54" s="2">
        <x:v>25</x:v>
      </x:c>
      <x:c r="I54" s="2">
        <x:f>G54-H54</x:f>
      </x:c>
      <x:c r="J54" s="0" t="s">
        <x:v>34</x:v>
      </x:c>
      <x:c r="K54" s="0" t="s">
        <x:v>22</x:v>
      </x:c>
      <x:c r="L54" s="0" t="s">
        <x:v>23</x:v>
      </x:c>
      <x:c r="Q54" s="2">
        <x:v>1</x:v>
      </x:c>
    </x:row>
    <x:row r="55" spans="1:19">
      <x:c r="B55" s="0" t="s">
        <x:v>17</x:v>
      </x:c>
      <x:c r="C55" s="0" t="s">
        <x:v>188</x:v>
      </x:c>
      <x:c r="D55" s="0" t="s">
        <x:v>189</x:v>
      </x:c>
      <x:c r="E55" s="0" t="s">
        <x:v>190</x:v>
      </x:c>
      <x:c r="F55" s="2">
        <x:v>6</x:v>
      </x:c>
      <x:c r="G55" s="2">
        <x:v>605</x:v>
      </x:c>
      <x:c r="H55" s="2">
        <x:v>25</x:v>
      </x:c>
      <x:c r="I55" s="2">
        <x:f>G55-H55</x:f>
      </x:c>
      <x:c r="J55" s="0" t="s">
        <x:v>21</x:v>
      </x:c>
      <x:c r="K55" s="0" t="s">
        <x:v>22</x:v>
      </x:c>
      <x:c r="L55" s="0" t="s">
        <x:v>23</x:v>
      </x:c>
      <x:c r="Q55" s="2">
        <x:v>1</x:v>
      </x:c>
    </x:row>
    <x:row r="56" spans="1:19">
      <x:c r="B56" s="0" t="s">
        <x:v>17</x:v>
      </x:c>
      <x:c r="C56" s="0" t="s">
        <x:v>191</x:v>
      </x:c>
      <x:c r="D56" s="0" t="s">
        <x:v>192</x:v>
      </x:c>
      <x:c r="E56" s="0" t="s">
        <x:v>193</x:v>
      </x:c>
      <x:c r="F56" s="2">
        <x:v>2</x:v>
      </x:c>
      <x:c r="G56" s="2">
        <x:v>870</x:v>
      </x:c>
      <x:c r="H56" s="2">
        <x:v>30</x:v>
      </x:c>
      <x:c r="I56" s="2">
        <x:f>G56-H56</x:f>
      </x:c>
      <x:c r="J56" s="0" t="s">
        <x:v>194</x:v>
      </x:c>
      <x:c r="K56" s="0" t="s">
        <x:v>22</x:v>
      </x:c>
      <x:c r="L56" s="0" t="s">
        <x:v>23</x:v>
      </x:c>
      <x:c r="M56" s="0" t="s">
        <x:v>195</x:v>
      </x:c>
      <x:c r="N56" s="0" t="s">
        <x:v>29</x:v>
      </x:c>
      <x:c r="P56" s="0" t="s">
        <x:v>196</x:v>
      </x:c>
      <x:c r="Q56" s="2">
        <x:v>1</x:v>
      </x:c>
    </x:row>
    <x:row r="57" spans="1:19">
      <x:c r="B57" s="0" t="s">
        <x:v>17</x:v>
      </x:c>
      <x:c r="C57" s="0" t="s">
        <x:v>197</x:v>
      </x:c>
      <x:c r="D57" s="0" t="s">
        <x:v>198</x:v>
      </x:c>
      <x:c r="E57" s="0" t="s">
        <x:v>199</x:v>
      </x:c>
      <x:c r="F57" s="2">
        <x:v>5</x:v>
      </x:c>
      <x:c r="G57" s="2">
        <x:v>0</x:v>
      </x:c>
      <x:c r="H57" s="2">
        <x:v>25</x:v>
      </x:c>
      <x:c r="I57" s="2">
        <x:f>-H57</x:f>
      </x:c>
      <x:c r="J57" s="0" t="s">
        <x:v>34</x:v>
      </x:c>
      <x:c r="K57" s="0" t="s">
        <x:v>22</x:v>
      </x:c>
      <x:c r="L57" s="0" t="s">
        <x:v>23</x:v>
      </x:c>
      <x:c r="Q57" s="2">
        <x:v>1</x:v>
      </x:c>
    </x:row>
    <x:row r="58" spans="1:19">
      <x:c r="B58" s="0" t="s">
        <x:v>17</x:v>
      </x:c>
      <x:c r="C58" s="0" t="s">
        <x:v>200</x:v>
      </x:c>
      <x:c r="D58" s="0" t="s">
        <x:v>201</x:v>
      </x:c>
      <x:c r="E58" s="0" t="s">
        <x:v>202</x:v>
      </x:c>
      <x:c r="F58" s="2">
        <x:v>6</x:v>
      </x:c>
      <x:c r="G58" s="2">
        <x:v>815</x:v>
      </x:c>
      <x:c r="H58" s="2">
        <x:v>25</x:v>
      </x:c>
      <x:c r="I58" s="2">
        <x:f>G58-H58</x:f>
      </x:c>
      <x:c r="J58" s="0" t="s">
        <x:v>21</x:v>
      </x:c>
      <x:c r="K58" s="0" t="s">
        <x:v>22</x:v>
      </x:c>
      <x:c r="L58" s="0" t="s">
        <x:v>23</x:v>
      </x:c>
      <x:c r="Q58" s="2">
        <x:v>1</x:v>
      </x:c>
    </x:row>
    <x:row r="59" spans="1:19">
      <x:c r="B59" s="0" t="s">
        <x:v>17</x:v>
      </x:c>
      <x:c r="C59" s="0" t="s">
        <x:v>203</x:v>
      </x:c>
      <x:c r="D59" s="0" t="s">
        <x:v>204</x:v>
      </x:c>
      <x:c r="E59" s="0" t="s">
        <x:v>205</x:v>
      </x:c>
      <x:c r="F59" s="2">
        <x:v>12</x:v>
      </x:c>
      <x:c r="G59" s="2">
        <x:v>0</x:v>
      </x:c>
      <x:c r="H59" s="2">
        <x:v>30</x:v>
      </x:c>
      <x:c r="I59" s="2">
        <x:f>-H59</x:f>
      </x:c>
      <x:c r="J59" s="0" t="s">
        <x:v>21</x:v>
      </x:c>
      <x:c r="K59" s="0" t="s">
        <x:v>22</x:v>
      </x:c>
      <x:c r="L59" s="0" t="s">
        <x:v>23</x:v>
      </x:c>
      <x:c r="Q59" s="2">
        <x:v>1</x:v>
      </x:c>
    </x:row>
    <x:row r="60" spans="1:19">
      <x:c r="A60" s="0" t="s">
        <x:v>206</x:v>
      </x:c>
      <x:c r="B60" s="0" t="s">
        <x:v>17</x:v>
      </x:c>
      <x:c r="C60" s="0" t="s">
        <x:v>207</x:v>
      </x:c>
      <x:c r="E60" s="0" t="s">
        <x:v>208</x:v>
      </x:c>
      <x:c r="F60" s="2">
        <x:v>6</x:v>
      </x:c>
      <x:c r="G60" s="2">
        <x:v>35</x:v>
      </x:c>
      <x:c r="H60" s="2">
        <x:v>35</x:v>
      </x:c>
      <x:c r="I60" s="2">
        <x:f>G60-H60</x:f>
      </x:c>
      <x:c r="J60" s="0" t="s">
        <x:v>34</x:v>
      </x:c>
      <x:c r="K60" s="0" t="s">
        <x:v>22</x:v>
      </x:c>
      <x:c r="L60" s="0" t="s">
        <x:v>23</x:v>
      </x:c>
      <x:c r="Q60" s="2">
        <x:v>1</x:v>
      </x:c>
    </x:row>
    <x:row r="61" spans="1:19">
      <x:c r="A61" s="0" t="s">
        <x:v>206</x:v>
      </x:c>
      <x:c r="B61" s="0" t="s">
        <x:v>17</x:v>
      </x:c>
      <x:c r="C61" s="0" t="s">
        <x:v>209</x:v>
      </x:c>
      <x:c r="E61" s="0" t="s">
        <x:v>210</x:v>
      </x:c>
      <x:c r="F61" s="2">
        <x:v>12</x:v>
      </x:c>
      <x:c r="G61" s="2">
        <x:v>0</x:v>
      </x:c>
      <x:c r="H61" s="2">
        <x:v>35</x:v>
      </x:c>
      <x:c r="I61" s="2">
        <x:f>-H61</x:f>
      </x:c>
      <x:c r="J61" s="0" t="s">
        <x:v>21</x:v>
      </x:c>
      <x:c r="K61" s="0" t="s">
        <x:v>22</x:v>
      </x:c>
      <x:c r="L61" s="0" t="s">
        <x:v>23</x:v>
      </x:c>
      <x:c r="Q61" s="2">
        <x:v>1</x:v>
      </x:c>
    </x:row>
    <x:row r="62" spans="1:19">
      <x:c r="A62" s="0" t="s">
        <x:v>206</x:v>
      </x:c>
      <x:c r="B62" s="0" t="s">
        <x:v>17</x:v>
      </x:c>
      <x:c r="C62" s="0" t="s">
        <x:v>211</x:v>
      </x:c>
      <x:c r="E62" s="0" t="s">
        <x:v>212</x:v>
      </x:c>
      <x:c r="F62" s="0" t="s">
        <x:v>38</x:v>
      </x:c>
      <x:c r="G62" s="2">
        <x:v>30</x:v>
      </x:c>
      <x:c r="H62" s="2">
        <x:v>30</x:v>
      </x:c>
      <x:c r="I62" s="2">
        <x:f>G62-H62</x:f>
      </x:c>
      <x:c r="J62" s="0" t="s">
        <x:v>22</x:v>
      </x:c>
      <x:c r="K62" s="0" t="s">
        <x:v>22</x:v>
      </x:c>
      <x:c r="L62" s="0" t="s">
        <x:v>23</x:v>
      </x:c>
      <x:c r="Q62" s="2">
        <x:v>1</x:v>
      </x:c>
    </x:row>
    <x:row r="63" spans="1:19">
      <x:c r="A63" s="0" t="s">
        <x:v>206</x:v>
      </x:c>
      <x:c r="B63" s="0" t="s">
        <x:v>17</x:v>
      </x:c>
      <x:c r="C63" s="0" t="s">
        <x:v>213</x:v>
      </x:c>
      <x:c r="E63" s="0" t="s">
        <x:v>214</x:v>
      </x:c>
      <x:c r="F63" s="0" t="s">
        <x:v>42</x:v>
      </x:c>
      <x:c r="G63" s="2">
        <x:v>0</x:v>
      </x:c>
      <x:c r="H63" s="2">
        <x:v>25</x:v>
      </x:c>
      <x:c r="I63" s="2">
        <x:f>H63</x:f>
      </x:c>
      <x:c r="J63" s="0" t="s">
        <x:v>34</x:v>
      </x:c>
      <x:c r="K63" s="0" t="s">
        <x:v>22</x:v>
      </x:c>
      <x:c r="L63" s="0" t="s">
        <x:v>23</x:v>
      </x:c>
      <x:c r="Q63" s="2">
        <x:v>1</x:v>
      </x:c>
    </x:row>
    <x:row r="64" spans="1:19">
      <x:c r="A64" s="0" t="s">
        <x:v>206</x:v>
      </x:c>
      <x:c r="B64" s="0" t="s">
        <x:v>17</x:v>
      </x:c>
      <x:c r="C64" s="0" t="s">
        <x:v>215</x:v>
      </x:c>
      <x:c r="E64" s="0" t="s">
        <x:v>216</x:v>
      </x:c>
      <x:c r="F64" s="0" t="s">
        <x:v>154</x:v>
      </x:c>
      <x:c r="G64" s="2">
        <x:v>35</x:v>
      </x:c>
      <x:c r="H64" s="2">
        <x:v>35</x:v>
      </x:c>
      <x:c r="I64" s="2">
        <x:f>G64-H64</x:f>
      </x:c>
      <x:c r="J64" s="0" t="s">
        <x:v>22</x:v>
      </x:c>
      <x:c r="K64" s="0" t="s">
        <x:v>22</x:v>
      </x:c>
      <x:c r="L64" s="0" t="s">
        <x:v>23</x:v>
      </x:c>
      <x:c r="Q64" s="2">
        <x:v>1</x:v>
      </x:c>
    </x:row>
    <x:row r="65" spans="1:19">
      <x:c r="A65" s="0" t="s">
        <x:v>206</x:v>
      </x:c>
      <x:c r="B65" s="0" t="s">
        <x:v>17</x:v>
      </x:c>
      <x:c r="C65" s="0" t="s">
        <x:v>217</x:v>
      </x:c>
      <x:c r="E65" s="0" t="s">
        <x:v>218</x:v>
      </x:c>
      <x:c r="F65" s="2">
        <x:v>6</x:v>
      </x:c>
      <x:c r="G65" s="2">
        <x:v>0</x:v>
      </x:c>
      <x:c r="H65" s="2">
        <x:v>30</x:v>
      </x:c>
      <x:c r="I65" s="2">
        <x:f>-H65</x:f>
      </x:c>
      <x:c r="J65" s="0" t="s">
        <x:v>21</x:v>
      </x:c>
      <x:c r="K65" s="0" t="s">
        <x:v>22</x:v>
      </x:c>
      <x:c r="L65" s="0" t="s">
        <x:v>23</x:v>
      </x:c>
      <x:c r="Q65" s="2">
        <x:v>1</x:v>
      </x:c>
    </x:row>
    <x:row r="66" spans="1:19">
      <x:c r="A66" s="0" t="s">
        <x:v>206</x:v>
      </x:c>
      <x:c r="B66" s="0" t="s">
        <x:v>17</x:v>
      </x:c>
      <x:c r="C66" s="0" t="s">
        <x:v>219</x:v>
      </x:c>
      <x:c r="E66" s="0" t="s">
        <x:v>220</x:v>
      </x:c>
      <x:c r="F66" s="0" t="s">
        <x:v>38</x:v>
      </x:c>
      <x:c r="G66" s="2">
        <x:v>30</x:v>
      </x:c>
      <x:c r="H66" s="2">
        <x:v>30</x:v>
      </x:c>
      <x:c r="I66" s="2">
        <x:f>G66-H66</x:f>
      </x:c>
      <x:c r="J66" s="0" t="s">
        <x:v>22</x:v>
      </x:c>
      <x:c r="K66" s="0" t="s">
        <x:v>22</x:v>
      </x:c>
      <x:c r="L66" s="0" t="s">
        <x:v>23</x:v>
      </x:c>
      <x:c r="Q66" s="2">
        <x:v>1</x:v>
      </x:c>
    </x:row>
    <x:row r="68" spans="1:19">
      <x:c r="D68" s="3">
        <x:f>COUNTA(D3:D66)</x:f>
      </x:c>
      <x:c r="G68" s="3">
        <x:f>SUBTOTAL(9,G3:G66)</x:f>
      </x:c>
      <x:c r="H68" s="3">
        <x:f>SUBTOTAL(9,H3:H66)</x:f>
      </x:c>
      <x:c r="I68" s="3">
        <x:f>SUBTOTAL(9,I3:I66)</x:f>
      </x:c>
      <x:c r="J68" s="3">
        <x:f>SUBTOTAL(9,J3:J66)</x:f>
      </x:c>
      <x:c r="K68" s="3">
        <x:f>SUBTOTAL(9,K3:K66)</x:f>
      </x:c>
      <x:c r="L68" s="3">
        <x:f>SUBTOTAL(9,L3:L66)</x:f>
      </x:c>
      <x:c r="M68" s="3">
        <x:f>SUBTOTAL(9,M3:M66)</x:f>
      </x:c>
      <x:c r="N68" s="3">
        <x:f>SUBTOTAL(9,N3:N66)</x:f>
      </x:c>
      <x:c r="O68" s="3">
        <x:f>SUBTOTAL(9,O3:O66)</x:f>
      </x:c>
      <x:c r="P68" s="3">
        <x:f>SUBTOTAL(9,P3:P66)</x:f>
      </x:c>
      <x:c r="Q68" s="3">
        <x:f>SUBTOTAL(9,Q3:Q66)</x:f>
      </x:c>
      <x:c r="R68" s="3">
        <x:f>SUBTOTAL(9,R3:R66)</x:f>
      </x:c>
      <x:c r="S68" s="3">
        <x:f>SUBTOTAL(9,S3:S66)</x:f>
      </x:c>
    </x:row>
    <x:row r="70" spans="1:19">
      <x:c r="A70" s="3" t="s">
        <x:v>221</x:v>
      </x:c>
      <x:c r="B70" s="0" t="s">
        <x:v>17</x:v>
      </x:c>
      <x:c r="C70" s="4" t="s">
        <x:v>222</x:v>
      </x:c>
      <x:c r="E70" s="4" t="s">
        <x:v>223</x:v>
      </x:c>
      <x:c r="J70" s="5" t="s">
        <x:v>21</x:v>
      </x:c>
      <x:c r="K70" s="5" t="s">
        <x:v>224</x:v>
      </x:c>
      <x:c r="L70" s="5" t="s">
        <x:v>223</x:v>
      </x:c>
    </x:row>
    <x:row r="71" spans="1:19">
      <x:c r="A71" s="0" t="s">
        <x:v>23</x:v>
      </x:c>
      <x:c r="B71" s="6" t="s">
        <x:v>225</x:v>
      </x:c>
      <x:c r="C71" s="6">
        <x:f>SUMIFS(G$3:G$66,B$3:B$66,B$70,L$3:L$66,A$71)</x:f>
      </x:c>
      <x:c r="E71" s="6">
        <x:f>COUNTIFS(B$3:B$66,B$70,L$3:L$66,A$71)</x:f>
      </x:c>
      <x:c r="J71" s="0" t="s">
        <x:v>226</x:v>
      </x:c>
      <x:c r="K71" s="0">
        <x:f>SUMIFS(G$3:G$66,J$3:J$66,"AT 9-3")</x:f>
      </x:c>
      <x:c r="L71" s="0">
        <x:f>COUNTIFS(B$3:B$66,"&lt;&gt;",J$3:J$66,"AT 9-3")</x:f>
      </x:c>
    </x:row>
    <x:row r="72" spans="1:19">
      <x:c r="B72" s="7" t="s">
        <x:v>227</x:v>
      </x:c>
      <x:c r="C72" s="7">
        <x:f>-SUMIFS(H$3:H$66,B$3:B$66,B$70,L$3:L$66,A$71)</x:f>
      </x:c>
      <x:c r="E72" s="0">
        <x:f>E71</x:f>
      </x:c>
      <x:c r="J72" s="0" t="s">
        <x:v>228</x:v>
      </x:c>
      <x:c r="K72" s="0">
        <x:f>-SUMIFS(H$3:H$66,J$3:J$66,"AT 9-3")+19*5</x:f>
      </x:c>
      <x:c r="L72" s="0" t="s">
        <x:v>229</x:v>
      </x:c>
    </x:row>
    <x:row r="73" spans="1:19">
      <x:c r="B73" s="7" t="s">
        <x:v>230</x:v>
      </x:c>
      <x:c r="C73" s="7">
        <x:f>-SUMIFS(G$3:G$66,B$3:B$66,B$70,L$3:L$66,A$71,P$3:P$66,"xx")</x:f>
      </x:c>
      <x:c r="E73" s="7">
        <x:f>COUNTIFS(B$3:B$66,B$70,L$3:L$66,A$71,P$3:P$66,"xx")</x:f>
      </x:c>
      <x:c r="J73" s="0" t="s">
        <x:v>231</x:v>
      </x:c>
      <x:c r="K73" s="0">
        <x:v>-38</x:v>
      </x:c>
      <x:c r="L73" s="0" t="s">
        <x:v>232</x:v>
      </x:c>
    </x:row>
    <x:row r="74" spans="1:19">
      <x:c r="B74" s="4" t="s">
        <x:v>233</x:v>
      </x:c>
      <x:c r="C74" s="4">
        <x:f>SUM(C71:C73)</x:f>
      </x:c>
      <x:c r="E74" s="0">
        <x:f>E71</x:f>
      </x:c>
      <x:c r="J74" s="7" t="s">
        <x:v>234</x:v>
      </x:c>
    </x:row>
    <x:row r="75" spans="1:19">
      <x:c r="B75" s="7" t="s">
        <x:v>235</x:v>
      </x:c>
      <x:c r="J75" s="7" t="s">
        <x:v>236</x:v>
      </x:c>
    </x:row>
    <x:row r="76" spans="1:19">
      <x:c r="B76" s="8" t="s">
        <x:v>237</x:v>
      </x:c>
      <x:c r="K76" s="9">
        <x:f>SUBTOTAL(9,K71:K75)</x:f>
      </x:c>
      <x:c r="L76" s="9">
        <x:f>L71</x:f>
      </x:c>
    </x:row>
    <x:row r="78" spans="1:19">
      <x:c r="B78" s="3" t="s">
        <x:v>238</x:v>
      </x:c>
      <x:c r="C78" s="3">
        <x:f>SUM(C74:C76)</x:f>
      </x:c>
      <x:c r="E78" s="3" t="s">
        <x:v>239</x:v>
      </x:c>
      <x:c r="J78" s="5" t="s">
        <x:v>34</x:v>
      </x:c>
      <x:c r="K78" s="5" t="s">
        <x:v>224</x:v>
      </x:c>
      <x:c r="L78" s="5" t="s">
        <x:v>223</x:v>
      </x:c>
    </x:row>
    <x:row r="79" spans="1:19">
      <x:c r="J79" s="0" t="s">
        <x:v>226</x:v>
      </x:c>
      <x:c r="K79" s="0">
        <x:f>SUMIFS(G$3:G$66,J$3:J$66,"c.hieu")</x:f>
      </x:c>
      <x:c r="L79" s="0">
        <x:f>COUNTIFS(B$3:B$66,"&lt;&gt;",J$3:J$66,"c.hieu")</x:f>
      </x:c>
    </x:row>
    <x:row r="80" spans="1:19">
      <x:c r="J80" s="0" t="s">
        <x:v>228</x:v>
      </x:c>
      <x:c r="K80" s="0">
        <x:f>-SUMIFS(H$3:H$66,J$3:J$66,"c.hieu")+15*5</x:f>
      </x:c>
      <x:c r="L80" s="0" t="s">
        <x:v>240</x:v>
      </x:c>
    </x:row>
    <x:row r="81" spans="1:19">
      <x:c r="J81" s="0" t="s">
        <x:v>231</x:v>
      </x:c>
      <x:c r="K81" s="0">
        <x:v>-30</x:v>
      </x:c>
      <x:c r="L81" s="0" t="s">
        <x:v>241</x:v>
      </x:c>
    </x:row>
    <x:row r="82" spans="1:19">
      <x:c r="J82" s="7" t="s">
        <x:v>234</x:v>
      </x:c>
    </x:row>
    <x:row r="83" spans="1:19">
      <x:c r="J83" s="7" t="s">
        <x:v>236</x:v>
      </x:c>
    </x:row>
    <x:row r="84" spans="1:19">
      <x:c r="K84" s="9">
        <x:f>SUBTOTAL(9,K79:K83)</x:f>
      </x:c>
      <x:c r="L84" s="9">
        <x:f>L79</x:f>
      </x:c>
    </x:row>
    <x:row r="86" spans="1:19">
      <x:c r="J86" s="5" t="s">
        <x:v>22</x:v>
      </x:c>
      <x:c r="K86" s="5" t="s">
        <x:v>224</x:v>
      </x:c>
      <x:c r="L86" s="5" t="s">
        <x:v>223</x:v>
      </x:c>
    </x:row>
    <x:row r="87" spans="1:19">
      <x:c r="J87" s="0" t="s">
        <x:v>226</x:v>
      </x:c>
      <x:c r="K87" s="0">
        <x:f>SUMIFS(G$3:G$66,J$3:J$66,"c.cuong")</x:f>
      </x:c>
      <x:c r="L87" s="0">
        <x:f>COUNTIFS(B$3:B$66,"&lt;&gt;",J$3:J$66,"c.cuong")</x:f>
      </x:c>
    </x:row>
    <x:row r="88" spans="1:19">
      <x:c r="J88" s="0" t="s">
        <x:v>228</x:v>
      </x:c>
      <x:c r="K88" s="0">
        <x:f>-SUMIFS(H$3:H$66,J$3:J$66,"c.cuong")+23*5</x:f>
      </x:c>
      <x:c r="L88" s="0" t="s">
        <x:v>242</x:v>
      </x:c>
    </x:row>
    <x:row r="89" spans="1:19">
      <x:c r="J89" s="0" t="s">
        <x:v>231</x:v>
      </x:c>
      <x:c r="K89" s="0">
        <x:v>-46</x:v>
      </x:c>
      <x:c r="L89" s="0" t="s">
        <x:v>243</x:v>
      </x:c>
    </x:row>
    <x:row r="90" spans="1:19">
      <x:c r="J90" s="7" t="s">
        <x:v>234</x:v>
      </x:c>
    </x:row>
    <x:row r="91" spans="1:19">
      <x:c r="J91" s="7" t="s">
        <x:v>236</x:v>
      </x:c>
    </x:row>
    <x:row r="92" spans="1:19">
      <x:c r="K92" s="9">
        <x:f>SUBTOTAL(9,K87:K91)</x:f>
      </x:c>
      <x:c r="L92" s="9">
        <x:f>L87</x:f>
      </x:c>
    </x:row>
    <x:row r="94" spans="1:19">
      <x:c r="J94" s="5" t="s">
        <x:v>49</x:v>
      </x:c>
      <x:c r="K94" s="5" t="s">
        <x:v>224</x:v>
      </x:c>
      <x:c r="L94" s="5" t="s">
        <x:v>223</x:v>
      </x:c>
    </x:row>
    <x:row r="95" spans="1:19">
      <x:c r="J95" s="0" t="s">
        <x:v>226</x:v>
      </x:c>
      <x:c r="K95" s="0">
        <x:f>SUMIFS(G$3:G$66,J$3:J$66,"a.quyen")</x:f>
      </x:c>
      <x:c r="L95" s="0">
        <x:f>COUNTIFS(B$3:B$66,"&lt;&gt;",J$3:J$66,"a.quyen")</x:f>
      </x:c>
    </x:row>
    <x:row r="96" spans="1:19">
      <x:c r="J96" s="0" t="s">
        <x:v>228</x:v>
      </x:c>
      <x:c r="K96" s="0">
        <x:f>-SUMIFS(H$3:H$66,J$3:J$66,"a.quyen")+4*5</x:f>
      </x:c>
      <x:c r="L96" s="0" t="s">
        <x:v>244</x:v>
      </x:c>
    </x:row>
    <x:row r="97" spans="1:19">
      <x:c r="J97" s="0" t="s">
        <x:v>231</x:v>
      </x:c>
      <x:c r="K97" s="0">
        <x:v>-8</x:v>
      </x:c>
      <x:c r="L97" s="0" t="s">
        <x:v>245</x:v>
      </x:c>
    </x:row>
    <x:row r="98" spans="1:19">
      <x:c r="J98" s="7" t="s">
        <x:v>234</x:v>
      </x:c>
    </x:row>
    <x:row r="99" spans="1:19">
      <x:c r="J99" s="7" t="s">
        <x:v>236</x:v>
      </x:c>
    </x:row>
    <x:row r="100" spans="1:19">
      <x:c r="K100" s="9">
        <x:f>SUBTOTAL(9,K95:K99)</x:f>
      </x:c>
      <x:c r="L100" s="9">
        <x:f>L95</x:f>
      </x:c>
    </x:row>
    <x:row r="102" spans="1:19">
      <x:c r="J102" s="5" t="s">
        <x:v>194</x:v>
      </x:c>
      <x:c r="K102" s="5" t="s">
        <x:v>224</x:v>
      </x:c>
      <x:c r="L102" s="5" t="s">
        <x:v>223</x:v>
      </x:c>
    </x:row>
    <x:row r="103" spans="1:19">
      <x:c r="J103" s="0" t="s">
        <x:v>226</x:v>
      </x:c>
      <x:c r="K103" s="0">
        <x:f>SUMIFS(G$3:G$66,J$3:J$66,"luu tra")</x:f>
      </x:c>
      <x:c r="L103" s="0">
        <x:f>COUNTIFS(B$3:B$66,"&lt;&gt;",J$3:J$66,"luu tra")</x:f>
      </x:c>
    </x:row>
    <x:row r="104" spans="1:19">
      <x:c r="J104" s="0" t="s">
        <x:v>228</x:v>
      </x:c>
      <x:c r="K104" s="0">
        <x:f>-SUMIFS(H$3:H$66,J$3:J$66,"luu tra")+1*5</x:f>
      </x:c>
      <x:c r="L104" s="0" t="s">
        <x:v>246</x:v>
      </x:c>
    </x:row>
    <x:row r="105" spans="1:19">
      <x:c r="J105" s="0" t="s">
        <x:v>231</x:v>
      </x:c>
      <x:c r="K105" s="0">
        <x:v>-0</x:v>
      </x:c>
      <x:c r="L105" s="0" t="s">
        <x:v>247</x:v>
      </x:c>
    </x:row>
    <x:row r="106" spans="1:19">
      <x:c r="J106" s="7" t="s">
        <x:v>234</x:v>
      </x:c>
      <x:c r="K106" s="7">
        <x:v>-845</x:v>
      </x:c>
      <x:c r="L106" s="0" t="s">
        <x:v>248</x:v>
      </x:c>
    </x:row>
    <x:row r="107" spans="1:19">
      <x:c r="J107" s="7" t="s">
        <x:v>236</x:v>
      </x:c>
    </x:row>
    <x:row r="108" spans="1:19">
      <x:c r="K108" s="9">
        <x:f>SUBTOTAL(9,K103:K107)</x:f>
      </x:c>
      <x:c r="L108" s="9">
        <x:f>L103</x:f>
      </x:c>
    </x:row>
  </x:sheetData>
  <x:autoFilter ref="A2:P6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09-03</vt:lpstr>
      <vt:lpstr>09-03!Print_Area</vt:lpstr>
      <vt:lpstr>09-03!Print_Titles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