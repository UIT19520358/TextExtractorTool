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T-GN\Desktop\PGH\Trí\"/>
    </mc:Choice>
  </mc:AlternateContent>
  <xr:revisionPtr revIDLastSave="0" documentId="13_ncr:1_{C9354BC9-050B-4A1E-811A-A402E974BA11}" xr6:coauthVersionLast="47" xr6:coauthVersionMax="47" xr10:uidLastSave="{00000000-0000-0000-0000-000000000000}"/>
  <bookViews>
    <workbookView xWindow="-120" yWindow="-120" windowWidth="24240" windowHeight="13140" xr2:uid="{71C05EAB-372E-4558-9B67-2A0333D33C4F}"/>
  </bookViews>
  <sheets>
    <sheet name="Sheet1" sheetId="1" r:id="rId1"/>
    <sheet name="Sheet2" sheetId="2" r:id="rId2"/>
  </sheets>
  <definedNames>
    <definedName name="_xlnm._FilterDatabase" localSheetId="0" hidden="1">Sheet1!$A$2:$Q$66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0" i="1" l="1"/>
  <c r="I69" i="1"/>
  <c r="J30" i="1"/>
  <c r="E73" i="1" l="1"/>
  <c r="E72" i="1"/>
  <c r="C72" i="1"/>
  <c r="E71" i="1"/>
  <c r="E74" i="1" s="1"/>
  <c r="C71" i="1"/>
  <c r="I68" i="1" l="1"/>
  <c r="K68" i="1"/>
  <c r="L68" i="1"/>
  <c r="M68" i="1"/>
  <c r="N68" i="1"/>
  <c r="O68" i="1"/>
  <c r="P68" i="1"/>
  <c r="Q68" i="1"/>
  <c r="R68" i="1"/>
  <c r="H68" i="1"/>
  <c r="B14" i="2"/>
  <c r="J51" i="1"/>
  <c r="J20" i="1"/>
  <c r="J60" i="1"/>
  <c r="J17" i="1"/>
  <c r="J58" i="1"/>
  <c r="J33" i="1"/>
  <c r="J49" i="1"/>
  <c r="J41" i="1"/>
  <c r="J59" i="1"/>
  <c r="J55" i="1"/>
  <c r="J7" i="1"/>
  <c r="J8" i="1"/>
  <c r="J32" i="1"/>
  <c r="J29" i="1"/>
  <c r="J3" i="1"/>
  <c r="C73" i="1" s="1"/>
  <c r="C74" i="1" s="1"/>
  <c r="C77" i="1" s="1"/>
  <c r="Q75" i="1" s="1"/>
  <c r="Q76" i="1" s="1"/>
  <c r="J38" i="1"/>
  <c r="J6" i="1"/>
  <c r="J47" i="1"/>
  <c r="J53" i="1"/>
  <c r="J52" i="1"/>
  <c r="J9" i="1"/>
  <c r="J19" i="1"/>
  <c r="J50" i="1"/>
  <c r="J48" i="1"/>
  <c r="J13" i="1"/>
  <c r="J27" i="1"/>
  <c r="J39" i="1"/>
  <c r="J15" i="1"/>
  <c r="J61" i="1"/>
  <c r="J25" i="1"/>
  <c r="J31" i="1"/>
  <c r="J22" i="1"/>
  <c r="J37" i="1"/>
  <c r="J54" i="1"/>
  <c r="J63" i="1"/>
  <c r="J5" i="1"/>
  <c r="J62" i="1"/>
  <c r="J23" i="1"/>
  <c r="J43" i="1"/>
  <c r="J4" i="1"/>
  <c r="J16" i="1"/>
  <c r="J26" i="1"/>
  <c r="J57" i="1"/>
  <c r="J10" i="1"/>
  <c r="J42" i="1"/>
  <c r="J66" i="1"/>
  <c r="J40" i="1"/>
  <c r="J56" i="1"/>
  <c r="J21" i="1"/>
  <c r="J12" i="1"/>
  <c r="J45" i="1"/>
  <c r="J14" i="1"/>
  <c r="J36" i="1"/>
  <c r="J44" i="1"/>
  <c r="J28" i="1"/>
  <c r="J34" i="1"/>
  <c r="J24" i="1"/>
  <c r="J46" i="1"/>
  <c r="J18" i="1"/>
  <c r="J35" i="1"/>
  <c r="J64" i="1"/>
  <c r="J11" i="1"/>
  <c r="J65" i="1"/>
  <c r="N71" i="1" l="1"/>
  <c r="N76" i="1" s="1"/>
  <c r="M71" i="1"/>
  <c r="M76" i="1" s="1"/>
  <c r="J68" i="1"/>
</calcChain>
</file>

<file path=xl/sharedStrings.xml><?xml version="1.0" encoding="utf-8"?>
<sst xmlns="http://schemas.openxmlformats.org/spreadsheetml/2006/main" count="573" uniqueCount="273">
  <si>
    <t>Tình trạng TT</t>
  </si>
  <si>
    <t>SHOP</t>
  </si>
  <si>
    <t>TÊN KH</t>
  </si>
  <si>
    <t>MÃ</t>
  </si>
  <si>
    <t>SỐ NHÀ</t>
  </si>
  <si>
    <t>TÊN ĐƯỜNG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</si>
  <si>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</si>
  <si>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</si>
  <si>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</si>
  <si>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</si>
  <si>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</si>
  <si>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</si>
  <si>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</si>
  <si>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</si>
  <si>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</si>
  <si>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</si>
  <si>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</si>
  <si>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THU 2</t>
  </si>
  <si>
    <t>NGAY 9-3</t>
  </si>
  <si>
    <t>hang si</t>
  </si>
  <si>
    <t>chau ngan</t>
  </si>
  <si>
    <t>lu duyen</t>
  </si>
  <si>
    <t>hd136323</t>
  </si>
  <si>
    <t>quang trung</t>
  </si>
  <si>
    <t>go vap</t>
  </si>
  <si>
    <t>yen linh</t>
  </si>
  <si>
    <t>hd136385</t>
  </si>
  <si>
    <t>183/50</t>
  </si>
  <si>
    <t>ds28</t>
  </si>
  <si>
    <t>le nguyen hai dang</t>
  </si>
  <si>
    <t>hd136561</t>
  </si>
  <si>
    <t>mai chi tho</t>
  </si>
  <si>
    <t>hang</t>
  </si>
  <si>
    <t>hd136492</t>
  </si>
  <si>
    <t>86/22,</t>
  </si>
  <si>
    <t>thong nhat</t>
  </si>
  <si>
    <t>quyen nguyen</t>
  </si>
  <si>
    <t>hd136621</t>
  </si>
  <si>
    <t>220/36/33,</t>
  </si>
  <si>
    <t>nguyen van khoi</t>
  </si>
  <si>
    <t>hd136507</t>
  </si>
  <si>
    <t>ds4</t>
  </si>
  <si>
    <t>viet hoang- ly ly</t>
  </si>
  <si>
    <t>thuy tien</t>
  </si>
  <si>
    <t>hd136659</t>
  </si>
  <si>
    <t>ben van don</t>
  </si>
  <si>
    <t>w3227</t>
  </si>
  <si>
    <t>hd136306</t>
  </si>
  <si>
    <t>tan thoi hiep 21</t>
  </si>
  <si>
    <t>hi na</t>
  </si>
  <si>
    <t>hd136438</t>
  </si>
  <si>
    <t>can ho florita</t>
  </si>
  <si>
    <t>duong D4</t>
  </si>
  <si>
    <t>trinh</t>
  </si>
  <si>
    <t>hd136672</t>
  </si>
  <si>
    <t>162A/1,</t>
  </si>
  <si>
    <t>tran quang dieu</t>
  </si>
  <si>
    <t>tinh</t>
  </si>
  <si>
    <t>luu tra</t>
  </si>
  <si>
    <t>hàng tỉnh</t>
  </si>
  <si>
    <t>x</t>
  </si>
  <si>
    <t>xx</t>
  </si>
  <si>
    <t>anh nhi phuong hoa</t>
  </si>
  <si>
    <t>hd136332</t>
  </si>
  <si>
    <t>lo B</t>
  </si>
  <si>
    <t>cc tay thanh</t>
  </si>
  <si>
    <t>tphu</t>
  </si>
  <si>
    <t>ny</t>
  </si>
  <si>
    <t>hd136604</t>
  </si>
  <si>
    <t>pham ngu lao</t>
  </si>
  <si>
    <t>jerry lai</t>
  </si>
  <si>
    <t>hd136264</t>
  </si>
  <si>
    <t>341/18,</t>
  </si>
  <si>
    <t>xvnt</t>
  </si>
  <si>
    <t>binh thanh</t>
  </si>
  <si>
    <t>nguyen ha</t>
  </si>
  <si>
    <t>hd136448</t>
  </si>
  <si>
    <t>433/11/2,</t>
  </si>
  <si>
    <t>le duc tho</t>
  </si>
  <si>
    <t>su su</t>
  </si>
  <si>
    <t>hd136478</t>
  </si>
  <si>
    <t>26/33,</t>
  </si>
  <si>
    <t>ds59</t>
  </si>
  <si>
    <t>boramey</t>
  </si>
  <si>
    <t>hd136676</t>
  </si>
  <si>
    <t>xe khai nam</t>
  </si>
  <si>
    <t>cambodia</t>
  </si>
  <si>
    <t>nabee2530</t>
  </si>
  <si>
    <t>hd136392</t>
  </si>
  <si>
    <t>275/14B1</t>
  </si>
  <si>
    <t>dang nguyen can</t>
  </si>
  <si>
    <t>hd136387</t>
  </si>
  <si>
    <t>183/50,</t>
  </si>
  <si>
    <t>gộp</t>
  </si>
  <si>
    <t>bao tran</t>
  </si>
  <si>
    <t>hd136277</t>
  </si>
  <si>
    <t>44/1,</t>
  </si>
  <si>
    <t>yen do</t>
  </si>
  <si>
    <t>le thi my quyen</t>
  </si>
  <si>
    <t>hd136315</t>
  </si>
  <si>
    <t>to hien thanh</t>
  </si>
  <si>
    <t>đổi hàng</t>
  </si>
  <si>
    <t>trang ho vinh nhu</t>
  </si>
  <si>
    <t>hd136495</t>
  </si>
  <si>
    <t>dang duc thaut</t>
  </si>
  <si>
    <t>nguyen quynh nhi</t>
  </si>
  <si>
    <t>hd136597</t>
  </si>
  <si>
    <t>an mien spa</t>
  </si>
  <si>
    <t>to ha vi</t>
  </si>
  <si>
    <t>hd136128</t>
  </si>
  <si>
    <t>hoang van thu</t>
  </si>
  <si>
    <t>phu nhuan</t>
  </si>
  <si>
    <t>man duong</t>
  </si>
  <si>
    <t>hd136342</t>
  </si>
  <si>
    <t>ds39</t>
  </si>
  <si>
    <t>thu duc</t>
  </si>
  <si>
    <t>kieu</t>
  </si>
  <si>
    <t>hd136668</t>
  </si>
  <si>
    <t>140b</t>
  </si>
  <si>
    <t>phan van khoe</t>
  </si>
  <si>
    <t>bich huyen</t>
  </si>
  <si>
    <t>hd135961</t>
  </si>
  <si>
    <t>453/120/49A</t>
  </si>
  <si>
    <t>le van khuong</t>
  </si>
  <si>
    <t>nhi le</t>
  </si>
  <si>
    <t>hd136404</t>
  </si>
  <si>
    <t>743/11/10,</t>
  </si>
  <si>
    <t>hong bang</t>
  </si>
  <si>
    <t>amy d tran</t>
  </si>
  <si>
    <t>hd136240</t>
  </si>
  <si>
    <t>85/8,</t>
  </si>
  <si>
    <t>nguyen hong dao</t>
  </si>
  <si>
    <t>tan binh</t>
  </si>
  <si>
    <t>thom thom</t>
  </si>
  <si>
    <t>hd136355</t>
  </si>
  <si>
    <t>nguyen van cong</t>
  </si>
  <si>
    <t>tran thi kim ngan</t>
  </si>
  <si>
    <t>hd136248</t>
  </si>
  <si>
    <t>duong D15A</t>
  </si>
  <si>
    <t>pham huynh</t>
  </si>
  <si>
    <t>hd136278</t>
  </si>
  <si>
    <t>pham hong thai</t>
  </si>
  <si>
    <t>tuyet nguyen</t>
  </si>
  <si>
    <t>hd136516</t>
  </si>
  <si>
    <t>91/5/17,</t>
  </si>
  <si>
    <t>ds8</t>
  </si>
  <si>
    <t>hd136405</t>
  </si>
  <si>
    <t>ly ngoc phuong</t>
  </si>
  <si>
    <t>hd136509</t>
  </si>
  <si>
    <t>le truc</t>
  </si>
  <si>
    <t>nguyen thi nhu y</t>
  </si>
  <si>
    <t>hd136498</t>
  </si>
  <si>
    <t>co bac</t>
  </si>
  <si>
    <t>thu thuong</t>
  </si>
  <si>
    <t>hd136397</t>
  </si>
  <si>
    <t>554/11</t>
  </si>
  <si>
    <t>cong hoa</t>
  </si>
  <si>
    <t>quyen tran</t>
  </si>
  <si>
    <t>hd136680</t>
  </si>
  <si>
    <t>tran van kieu</t>
  </si>
  <si>
    <t>thy hong</t>
  </si>
  <si>
    <t>hd136295</t>
  </si>
  <si>
    <t>361/23/3,</t>
  </si>
  <si>
    <t>phan huy ich</t>
  </si>
  <si>
    <t>san san</t>
  </si>
  <si>
    <t>hd136606</t>
  </si>
  <si>
    <t>357/3,</t>
  </si>
  <si>
    <t>tran phu</t>
  </si>
  <si>
    <t>hong phuongg</t>
  </si>
  <si>
    <t>hd136530</t>
  </si>
  <si>
    <t>2b</t>
  </si>
  <si>
    <t>thuy tien le</t>
  </si>
  <si>
    <t>hd136343</t>
  </si>
  <si>
    <t>cc safira</t>
  </si>
  <si>
    <t>vo chi tong</t>
  </si>
  <si>
    <t>vinh pham</t>
  </si>
  <si>
    <t>hd136346</t>
  </si>
  <si>
    <t>cc sadora</t>
  </si>
  <si>
    <t>C0602</t>
  </si>
  <si>
    <t>trang nguyen</t>
  </si>
  <si>
    <t>hd136214</t>
  </si>
  <si>
    <t>pham van chieu</t>
  </si>
  <si>
    <t>giang huong</t>
  </si>
  <si>
    <t>hd136247</t>
  </si>
  <si>
    <t>ds10</t>
  </si>
  <si>
    <t>tran le bich ngoc</t>
  </si>
  <si>
    <t>hd136314</t>
  </si>
  <si>
    <t>324/9/4,</t>
  </si>
  <si>
    <t>ly thuong kiet</t>
  </si>
  <si>
    <t>loan nguyen</t>
  </si>
  <si>
    <t>hd136612</t>
  </si>
  <si>
    <t>truong sa</t>
  </si>
  <si>
    <t>hieu nguyen</t>
  </si>
  <si>
    <t>hd136453</t>
  </si>
  <si>
    <t>495/18,</t>
  </si>
  <si>
    <t>anh ho</t>
  </si>
  <si>
    <t>hd136563</t>
  </si>
  <si>
    <t>ten lua</t>
  </si>
  <si>
    <t>btan</t>
  </si>
  <si>
    <t>pham thi thanh ha</t>
  </si>
  <si>
    <t>hd136620</t>
  </si>
  <si>
    <t>18/7,</t>
  </si>
  <si>
    <t>thanh da</t>
  </si>
  <si>
    <t>nguyen trang</t>
  </si>
  <si>
    <t>hd136565</t>
  </si>
  <si>
    <t>miki</t>
  </si>
  <si>
    <t>hd136703</t>
  </si>
  <si>
    <t>truong thi hoa</t>
  </si>
  <si>
    <t>hd136406</t>
  </si>
  <si>
    <t>parichat</t>
  </si>
  <si>
    <t>hd136313</t>
  </si>
  <si>
    <t>central 2</t>
  </si>
  <si>
    <t>vinhome</t>
  </si>
  <si>
    <t>shop chiu ship</t>
  </si>
  <si>
    <t>emily</t>
  </si>
  <si>
    <t>hd136336</t>
  </si>
  <si>
    <t>36/15,</t>
  </si>
  <si>
    <t>yen the</t>
  </si>
  <si>
    <t>bong keo</t>
  </si>
  <si>
    <t>hd136424</t>
  </si>
  <si>
    <t>ds24b</t>
  </si>
  <si>
    <t>tran lan</t>
  </si>
  <si>
    <t>hd136367</t>
  </si>
  <si>
    <t>545/16/35A</t>
  </si>
  <si>
    <t>nguyen xien</t>
  </si>
  <si>
    <t>vivi</t>
  </si>
  <si>
    <t>duong 3/2</t>
  </si>
  <si>
    <t>darin</t>
  </si>
  <si>
    <t>ly clara</t>
  </si>
  <si>
    <t>tan son</t>
  </si>
  <si>
    <t>su anh</t>
  </si>
  <si>
    <t>22/40,</t>
  </si>
  <si>
    <t>may00</t>
  </si>
  <si>
    <t>ds1</t>
  </si>
  <si>
    <t>mie</t>
  </si>
  <si>
    <t>air boutique</t>
  </si>
  <si>
    <t>ds5</t>
  </si>
  <si>
    <t>c.cuong</t>
  </si>
  <si>
    <t>09-03-2026.</t>
  </si>
  <si>
    <t>quyen</t>
  </si>
  <si>
    <t>a hieu</t>
  </si>
  <si>
    <t>AT 9-3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</si>
  <si>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</si>
  <si>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</si>
  <si>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</si>
  <si>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</si>
  <si>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</si>
  <si>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</si>
  <si>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</si>
  <si>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an tâm</t>
  </si>
  <si>
    <t xml:space="preserve">Trừ Tiền Ship  </t>
  </si>
  <si>
    <t>tiền ship</t>
  </si>
  <si>
    <t>quyền</t>
  </si>
  <si>
    <t>Đơn trả &amp; c.khoản</t>
  </si>
  <si>
    <t>tiền lấy</t>
  </si>
  <si>
    <t>chú cường</t>
  </si>
  <si>
    <t>Tiền Hàng Hcm</t>
  </si>
  <si>
    <t>đơn trả</t>
  </si>
  <si>
    <t>a hiếu</t>
  </si>
  <si>
    <t>đền đơn</t>
  </si>
  <si>
    <t>đơn cũ ck</t>
  </si>
  <si>
    <t>shop</t>
  </si>
  <si>
    <t>nợ cũ</t>
  </si>
  <si>
    <t>tổng</t>
  </si>
  <si>
    <t>THANH TOÁN</t>
  </si>
  <si>
    <t>CK ĐỦ 100%</t>
  </si>
  <si>
    <t>9-3</t>
  </si>
  <si>
    <t>duyen my</t>
  </si>
  <si>
    <t>hd136089</t>
  </si>
  <si>
    <t>268/18a</t>
  </si>
  <si>
    <t>le van viet</t>
  </si>
  <si>
    <t>07-03-2026.</t>
  </si>
  <si>
    <t>chuyển an tâm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</si>
</sst>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General"/>
  </numFmts>
  <fonts count="10" x14ac:knownFonts="1">
    <font>
      <sz val="11"/>
      <color theme="1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164" fontId="3" fillId="4" borderId="1" xfId="0" applyNumberFormat="1" applyFont="1" applyFill="1" applyBorder="1" applyAlignment="1">
      <alignment horizontal="right"/>
    </xf>
    <xf numFmtId="164" fontId="4" fillId="0" borderId="0" xfId="0" applyNumberFormat="1" applyFont="1"/>
    <xf numFmtId="0" fontId="4" fillId="0" borderId="0" xfId="0" applyFont="1"/>
    <xf numFmtId="164" fontId="5" fillId="4" borderId="4" xfId="0" applyNumberFormat="1" applyFont="1" applyFill="1" applyBorder="1"/>
    <xf numFmtId="164" fontId="4" fillId="0" borderId="0" xfId="0" quotePrefix="1" applyNumberFormat="1" applyFont="1"/>
    <xf numFmtId="164" fontId="5" fillId="0" borderId="1" xfId="0" applyNumberFormat="1" applyFont="1" applyBorder="1" applyAlignment="1">
      <alignment horizontal="right"/>
    </xf>
    <xf numFmtId="164" fontId="3" fillId="0" borderId="0" xfId="0" applyNumberFormat="1" applyFont="1"/>
    <xf numFmtId="164" fontId="3" fillId="0" borderId="4" xfId="0" applyNumberFormat="1" applyFont="1" applyBorder="1"/>
    <xf numFmtId="164" fontId="3" fillId="0" borderId="4" xfId="0" applyNumberFormat="1" applyFont="1" applyBorder="1" applyAlignment="1">
      <alignment horizontal="right"/>
    </xf>
    <xf numFmtId="164" fontId="4" fillId="0" borderId="1" xfId="0" applyNumberFormat="1" applyFont="1" applyBorder="1"/>
    <xf numFmtId="164" fontId="5" fillId="0" borderId="5" xfId="0" applyNumberFormat="1" applyFont="1" applyBorder="1"/>
    <xf numFmtId="164" fontId="5" fillId="0" borderId="5" xfId="0" applyNumberFormat="1" applyFont="1" applyBorder="1" applyAlignment="1">
      <alignment horizontal="right"/>
    </xf>
    <xf numFmtId="164" fontId="4" fillId="0" borderId="4" xfId="0" applyNumberFormat="1" applyFont="1" applyBorder="1"/>
    <xf numFmtId="164" fontId="7" fillId="0" borderId="4" xfId="0" applyNumberFormat="1" applyFont="1" applyBorder="1" applyAlignment="1">
      <alignment horizontal="right"/>
    </xf>
    <xf numFmtId="164" fontId="8" fillId="0" borderId="4" xfId="0" applyNumberFormat="1" applyFont="1" applyBorder="1"/>
    <xf numFmtId="164" fontId="8" fillId="0" borderId="4" xfId="0" applyNumberFormat="1" applyFont="1" applyBorder="1" applyAlignment="1">
      <alignment horizontal="right"/>
    </xf>
    <xf numFmtId="164" fontId="3" fillId="5" borderId="4" xfId="0" applyNumberFormat="1" applyFont="1" applyFill="1" applyBorder="1"/>
    <xf numFmtId="164" fontId="3" fillId="5" borderId="4" xfId="0" applyNumberFormat="1" applyFont="1" applyFill="1" applyBorder="1" applyAlignment="1">
      <alignment horizontal="right"/>
    </xf>
    <xf numFmtId="164" fontId="6" fillId="0" borderId="4" xfId="0" applyNumberFormat="1" applyFont="1" applyBorder="1"/>
    <xf numFmtId="164" fontId="9" fillId="0" borderId="4" xfId="0" applyNumberFormat="1" applyFont="1" applyBorder="1"/>
    <xf numFmtId="164" fontId="3" fillId="6" borderId="4" xfId="0" applyNumberFormat="1" applyFont="1" applyFill="1" applyBorder="1"/>
    <xf numFmtId="164" fontId="6" fillId="7" borderId="4" xfId="0" applyNumberFormat="1" applyFont="1" applyFill="1" applyBorder="1"/>
    <xf numFmtId="164" fontId="9" fillId="7" borderId="4" xfId="0" applyNumberFormat="1" applyFont="1" applyFill="1" applyBorder="1"/>
    <xf numFmtId="164" fontId="5" fillId="5" borderId="4" xfId="0" applyNumberFormat="1" applyFont="1" applyFill="1" applyBorder="1"/>
    <xf numFmtId="164" fontId="4" fillId="5" borderId="4" xfId="0" applyNumberFormat="1" applyFont="1" applyFill="1" applyBorder="1"/>
    <xf numFmtId="164" fontId="4" fillId="7" borderId="4" xfId="0" applyNumberFormat="1" applyFont="1" applyFill="1" applyBorder="1"/>
    <xf numFmtId="164" fontId="5" fillId="7" borderId="4" xfId="0" applyNumberFormat="1" applyFont="1" applyFill="1" applyBorder="1" applyAlignment="1">
      <alignment horizontal="right"/>
    </xf>
    <xf numFmtId="164" fontId="4" fillId="2" borderId="1" xfId="0" applyNumberFormat="1" applyFont="1" applyFill="1" applyBorder="1"/>
    <xf numFmtId="164" fontId="5" fillId="0" borderId="4" xfId="0" applyNumberFormat="1" applyFont="1" applyBorder="1" applyAlignment="1">
      <alignment horizontal="right"/>
    </xf>
    <xf numFmtId="0" fontId="4" fillId="0" borderId="8" xfId="0" applyFont="1" applyBorder="1"/>
    <xf numFmtId="0" fontId="4" fillId="0" borderId="9" xfId="0" applyFont="1" applyBorder="1"/>
    <xf numFmtId="164" fontId="5" fillId="0" borderId="8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164" fontId="3" fillId="5" borderId="8" xfId="0" applyNumberFormat="1" applyFont="1" applyFill="1" applyBorder="1" applyAlignment="1">
      <alignment horizontal="center"/>
    </xf>
    <xf numFmtId="164" fontId="3" fillId="5" borderId="9" xfId="0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04F7-D21B-4533-8AD0-8E4BB48433FE}">
  <dimension ref="A1:Z77"/>
  <sheetViews>
    <sheetView tabSelected="1" zoomScaleNormal="100" workbookViewId="0">
      <selection activeCell="M75" sqref="M75"/>
    </sheetView>
  </sheetViews>
  <sheetFormatPr defaultRowHeight="14.25" x14ac:dyDescent="0.2"/>
  <sheetData>
    <row r="1" spans="1:18" x14ac:dyDescent="0.2">
      <c r="B1" t="s">
        <v>17</v>
      </c>
      <c r="C1" t="s">
        <v>18</v>
      </c>
    </row>
    <row r="2" spans="1:18" ht="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8" s="4" customFormat="1" x14ac:dyDescent="0.2">
      <c r="A3" s="3"/>
      <c r="B3" s="3" t="s">
        <v>20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>
        <v>840</v>
      </c>
      <c r="I3" s="3">
        <v>0</v>
      </c>
      <c r="J3" s="3">
        <f t="shared" ref="J3:J35" si="0">H3-I3</f>
        <v>840</v>
      </c>
      <c r="K3" s="3" t="s">
        <v>58</v>
      </c>
      <c r="L3" s="3" t="s">
        <v>237</v>
      </c>
      <c r="M3" s="3" t="s">
        <v>238</v>
      </c>
      <c r="N3" s="5" t="s">
        <v>59</v>
      </c>
      <c r="O3" s="3" t="s">
        <v>60</v>
      </c>
      <c r="P3" s="3"/>
      <c r="Q3" s="3" t="s">
        <v>61</v>
      </c>
      <c r="R3" s="4">
        <v>1</v>
      </c>
    </row>
    <row r="4" spans="1:18" x14ac:dyDescent="0.2">
      <c r="A4" s="2"/>
      <c r="B4" s="2" t="s">
        <v>20</v>
      </c>
      <c r="C4" s="2" t="s">
        <v>150</v>
      </c>
      <c r="D4" s="2" t="s">
        <v>151</v>
      </c>
      <c r="E4" s="2">
        <v>48</v>
      </c>
      <c r="F4" s="2" t="s">
        <v>152</v>
      </c>
      <c r="G4" s="2">
        <v>1</v>
      </c>
      <c r="H4" s="2">
        <v>765</v>
      </c>
      <c r="I4" s="2">
        <v>25</v>
      </c>
      <c r="J4" s="2">
        <f t="shared" si="0"/>
        <v>740</v>
      </c>
      <c r="K4" s="2" t="s">
        <v>240</v>
      </c>
      <c r="L4" s="2" t="s">
        <v>237</v>
      </c>
      <c r="M4" s="2" t="s">
        <v>238</v>
      </c>
      <c r="N4" s="2"/>
      <c r="O4" s="2"/>
      <c r="P4" s="2"/>
      <c r="Q4" s="2"/>
      <c r="R4">
        <v>1</v>
      </c>
    </row>
    <row r="5" spans="1:18" x14ac:dyDescent="0.2">
      <c r="A5" s="7"/>
      <c r="B5" s="7" t="s">
        <v>20</v>
      </c>
      <c r="C5" s="7" t="s">
        <v>139</v>
      </c>
      <c r="D5" s="7" t="s">
        <v>140</v>
      </c>
      <c r="E5" s="7">
        <v>84</v>
      </c>
      <c r="F5" s="7" t="s">
        <v>141</v>
      </c>
      <c r="G5" s="7">
        <v>1</v>
      </c>
      <c r="H5" s="7">
        <v>0</v>
      </c>
      <c r="I5" s="7">
        <v>25</v>
      </c>
      <c r="J5" s="7">
        <f t="shared" si="0"/>
        <v>-25</v>
      </c>
      <c r="K5" s="7" t="s">
        <v>240</v>
      </c>
      <c r="L5" s="7" t="s">
        <v>237</v>
      </c>
      <c r="M5" s="7" t="s">
        <v>238</v>
      </c>
      <c r="N5" s="7" t="s">
        <v>101</v>
      </c>
      <c r="O5" s="7"/>
      <c r="P5" s="7"/>
      <c r="Q5" s="7"/>
      <c r="R5">
        <v>1</v>
      </c>
    </row>
    <row r="6" spans="1:18" x14ac:dyDescent="0.2">
      <c r="A6" s="2"/>
      <c r="B6" s="2" t="s">
        <v>20</v>
      </c>
      <c r="C6" s="2" t="s">
        <v>67</v>
      </c>
      <c r="D6" s="2" t="s">
        <v>68</v>
      </c>
      <c r="E6" s="2">
        <v>301</v>
      </c>
      <c r="F6" s="2" t="s">
        <v>69</v>
      </c>
      <c r="G6" s="2">
        <v>1</v>
      </c>
      <c r="H6" s="2">
        <v>0</v>
      </c>
      <c r="I6" s="2">
        <v>25</v>
      </c>
      <c r="J6" s="2">
        <f t="shared" si="0"/>
        <v>-25</v>
      </c>
      <c r="K6" s="2" t="s">
        <v>240</v>
      </c>
      <c r="L6" s="2" t="s">
        <v>237</v>
      </c>
      <c r="M6" s="2" t="s">
        <v>238</v>
      </c>
      <c r="N6" s="2"/>
      <c r="O6" s="2"/>
      <c r="P6" s="2"/>
      <c r="Q6" s="2"/>
      <c r="R6">
        <v>1</v>
      </c>
    </row>
    <row r="7" spans="1:18" x14ac:dyDescent="0.2">
      <c r="A7" s="2"/>
      <c r="B7" s="2" t="s">
        <v>20</v>
      </c>
      <c r="C7" s="2" t="s">
        <v>42</v>
      </c>
      <c r="D7" s="2" t="s">
        <v>40</v>
      </c>
      <c r="E7" s="2">
        <v>62</v>
      </c>
      <c r="F7" s="2" t="s">
        <v>41</v>
      </c>
      <c r="G7" s="2">
        <v>3</v>
      </c>
      <c r="H7" s="2">
        <v>0</v>
      </c>
      <c r="I7" s="2">
        <v>25</v>
      </c>
      <c r="J7" s="2">
        <f t="shared" si="0"/>
        <v>-25</v>
      </c>
      <c r="K7" s="2" t="s">
        <v>240</v>
      </c>
      <c r="L7" s="2" t="s">
        <v>237</v>
      </c>
      <c r="M7" s="2" t="s">
        <v>238</v>
      </c>
      <c r="N7" s="2"/>
      <c r="O7" s="2"/>
      <c r="P7" s="2"/>
      <c r="Q7" s="2"/>
      <c r="R7">
        <v>1</v>
      </c>
    </row>
    <row r="8" spans="1:18" x14ac:dyDescent="0.2">
      <c r="A8" s="2"/>
      <c r="B8" s="2" t="s">
        <v>20</v>
      </c>
      <c r="C8" s="2" t="s">
        <v>43</v>
      </c>
      <c r="D8" s="2" t="s">
        <v>44</v>
      </c>
      <c r="E8" s="2">
        <v>132</v>
      </c>
      <c r="F8" s="2" t="s">
        <v>45</v>
      </c>
      <c r="G8" s="2">
        <v>4</v>
      </c>
      <c r="H8" s="2">
        <v>515</v>
      </c>
      <c r="I8" s="2">
        <v>25</v>
      </c>
      <c r="J8" s="2">
        <f t="shared" si="0"/>
        <v>490</v>
      </c>
      <c r="K8" s="2" t="s">
        <v>240</v>
      </c>
      <c r="L8" s="2" t="s">
        <v>237</v>
      </c>
      <c r="M8" s="2" t="s">
        <v>238</v>
      </c>
      <c r="N8" s="2"/>
      <c r="O8" s="2"/>
      <c r="P8" s="2"/>
      <c r="Q8" s="2"/>
      <c r="R8">
        <v>1</v>
      </c>
    </row>
    <row r="9" spans="1:18" x14ac:dyDescent="0.2">
      <c r="A9" s="2"/>
      <c r="B9" s="2" t="s">
        <v>20</v>
      </c>
      <c r="C9" s="2" t="s">
        <v>83</v>
      </c>
      <c r="D9" s="2" t="s">
        <v>84</v>
      </c>
      <c r="E9" s="2" t="s">
        <v>85</v>
      </c>
      <c r="F9" s="2" t="s">
        <v>86</v>
      </c>
      <c r="G9" s="2">
        <v>5</v>
      </c>
      <c r="H9" s="2">
        <v>0</v>
      </c>
      <c r="I9" s="2">
        <v>25</v>
      </c>
      <c r="J9" s="2">
        <f t="shared" si="0"/>
        <v>-25</v>
      </c>
      <c r="K9" s="2" t="s">
        <v>240</v>
      </c>
      <c r="L9" s="2" t="s">
        <v>237</v>
      </c>
      <c r="M9" s="2" t="s">
        <v>238</v>
      </c>
      <c r="N9" s="2"/>
      <c r="O9" s="2"/>
      <c r="P9" s="2"/>
      <c r="Q9" s="2"/>
      <c r="R9">
        <v>1</v>
      </c>
    </row>
    <row r="10" spans="1:18" x14ac:dyDescent="0.2">
      <c r="A10" s="2"/>
      <c r="B10" s="2" t="s">
        <v>20</v>
      </c>
      <c r="C10" s="2" t="s">
        <v>164</v>
      </c>
      <c r="D10" s="2" t="s">
        <v>165</v>
      </c>
      <c r="E10" s="2" t="s">
        <v>166</v>
      </c>
      <c r="F10" s="2" t="s">
        <v>167</v>
      </c>
      <c r="G10" s="2">
        <v>5</v>
      </c>
      <c r="H10" s="2">
        <v>865</v>
      </c>
      <c r="I10" s="2">
        <v>25</v>
      </c>
      <c r="J10" s="2">
        <f t="shared" si="0"/>
        <v>840</v>
      </c>
      <c r="K10" s="2" t="s">
        <v>240</v>
      </c>
      <c r="L10" s="2" t="s">
        <v>237</v>
      </c>
      <c r="M10" s="2" t="s">
        <v>238</v>
      </c>
      <c r="N10" s="2"/>
      <c r="O10" s="2"/>
      <c r="P10" s="2"/>
      <c r="Q10" s="2"/>
      <c r="R10">
        <v>1</v>
      </c>
    </row>
    <row r="11" spans="1:18" x14ac:dyDescent="0.2">
      <c r="A11" s="2" t="s">
        <v>19</v>
      </c>
      <c r="B11" s="2" t="s">
        <v>20</v>
      </c>
      <c r="C11" s="2" t="s">
        <v>225</v>
      </c>
      <c r="D11" s="2"/>
      <c r="E11" s="2">
        <v>279</v>
      </c>
      <c r="F11" s="2" t="s">
        <v>226</v>
      </c>
      <c r="G11" s="2">
        <v>10</v>
      </c>
      <c r="H11" s="2">
        <v>35</v>
      </c>
      <c r="I11" s="2">
        <v>35</v>
      </c>
      <c r="J11" s="2">
        <f t="shared" si="0"/>
        <v>0</v>
      </c>
      <c r="K11" s="2" t="s">
        <v>240</v>
      </c>
      <c r="L11" s="2" t="s">
        <v>237</v>
      </c>
      <c r="M11" s="2" t="s">
        <v>238</v>
      </c>
      <c r="N11" s="2"/>
      <c r="O11" s="2"/>
      <c r="P11" s="2"/>
      <c r="Q11" s="2"/>
      <c r="R11">
        <v>1</v>
      </c>
    </row>
    <row r="12" spans="1:18" x14ac:dyDescent="0.2">
      <c r="A12" s="2"/>
      <c r="B12" s="2" t="s">
        <v>20</v>
      </c>
      <c r="C12" s="2" t="s">
        <v>185</v>
      </c>
      <c r="D12" s="2" t="s">
        <v>186</v>
      </c>
      <c r="E12" s="2" t="s">
        <v>187</v>
      </c>
      <c r="F12" s="2" t="s">
        <v>188</v>
      </c>
      <c r="G12" s="2">
        <v>10</v>
      </c>
      <c r="H12" s="2">
        <v>865</v>
      </c>
      <c r="I12" s="2">
        <v>25</v>
      </c>
      <c r="J12" s="2">
        <f t="shared" si="0"/>
        <v>840</v>
      </c>
      <c r="K12" s="2" t="s">
        <v>240</v>
      </c>
      <c r="L12" s="2" t="s">
        <v>237</v>
      </c>
      <c r="M12" s="2" t="s">
        <v>238</v>
      </c>
      <c r="N12" s="2"/>
      <c r="O12" s="2"/>
      <c r="P12" s="2"/>
      <c r="Q12" s="2"/>
      <c r="R12">
        <v>1</v>
      </c>
    </row>
    <row r="13" spans="1:18" x14ac:dyDescent="0.2">
      <c r="A13" s="7"/>
      <c r="B13" s="7" t="s">
        <v>20</v>
      </c>
      <c r="C13" s="7" t="s">
        <v>98</v>
      </c>
      <c r="D13" s="7" t="s">
        <v>99</v>
      </c>
      <c r="E13" s="7">
        <v>334</v>
      </c>
      <c r="F13" s="7" t="s">
        <v>100</v>
      </c>
      <c r="G13" s="7">
        <v>10</v>
      </c>
      <c r="H13" s="7">
        <v>25</v>
      </c>
      <c r="I13" s="7">
        <v>25</v>
      </c>
      <c r="J13" s="7">
        <f t="shared" si="0"/>
        <v>0</v>
      </c>
      <c r="K13" s="7" t="s">
        <v>240</v>
      </c>
      <c r="L13" s="7" t="s">
        <v>237</v>
      </c>
      <c r="M13" s="7" t="s">
        <v>238</v>
      </c>
      <c r="N13" s="7" t="s">
        <v>101</v>
      </c>
      <c r="O13" s="7"/>
      <c r="P13" s="7"/>
      <c r="Q13" s="7"/>
      <c r="R13">
        <v>1</v>
      </c>
    </row>
    <row r="14" spans="1:18" x14ac:dyDescent="0.2">
      <c r="A14" s="2"/>
      <c r="B14" s="2" t="s">
        <v>20</v>
      </c>
      <c r="C14" s="2" t="s">
        <v>192</v>
      </c>
      <c r="D14" s="2" t="s">
        <v>193</v>
      </c>
      <c r="E14" s="2" t="s">
        <v>194</v>
      </c>
      <c r="F14" s="2" t="s">
        <v>100</v>
      </c>
      <c r="G14" s="2">
        <v>10</v>
      </c>
      <c r="H14" s="2">
        <v>715</v>
      </c>
      <c r="I14" s="2">
        <v>25</v>
      </c>
      <c r="J14" s="2">
        <f t="shared" si="0"/>
        <v>690</v>
      </c>
      <c r="K14" s="2" t="s">
        <v>240</v>
      </c>
      <c r="L14" s="2" t="s">
        <v>237</v>
      </c>
      <c r="M14" s="2" t="s">
        <v>238</v>
      </c>
      <c r="N14" s="2"/>
      <c r="O14" s="2"/>
      <c r="P14" s="2"/>
      <c r="Q14" s="2"/>
      <c r="R14">
        <v>1</v>
      </c>
    </row>
    <row r="15" spans="1:18" x14ac:dyDescent="0.2">
      <c r="A15" s="2"/>
      <c r="B15" s="2" t="s">
        <v>20</v>
      </c>
      <c r="C15" s="2" t="s">
        <v>108</v>
      </c>
      <c r="D15" s="2" t="s">
        <v>109</v>
      </c>
      <c r="E15" s="2">
        <v>223</v>
      </c>
      <c r="F15" s="2" t="s">
        <v>110</v>
      </c>
      <c r="G15" s="2" t="s">
        <v>111</v>
      </c>
      <c r="H15" s="2">
        <v>840</v>
      </c>
      <c r="I15" s="2">
        <v>20</v>
      </c>
      <c r="J15" s="2">
        <f t="shared" si="0"/>
        <v>820</v>
      </c>
      <c r="K15" s="2" t="s">
        <v>240</v>
      </c>
      <c r="L15" s="2" t="s">
        <v>237</v>
      </c>
      <c r="M15" s="2" t="s">
        <v>238</v>
      </c>
      <c r="N15" s="2"/>
      <c r="O15" s="2"/>
      <c r="P15" s="2"/>
      <c r="Q15" s="2"/>
      <c r="R15">
        <v>1</v>
      </c>
    </row>
    <row r="16" spans="1:18" x14ac:dyDescent="0.2">
      <c r="A16" s="2"/>
      <c r="B16" s="2" t="s">
        <v>20</v>
      </c>
      <c r="C16" s="2" t="s">
        <v>153</v>
      </c>
      <c r="D16" s="2" t="s">
        <v>154</v>
      </c>
      <c r="E16" s="2" t="s">
        <v>155</v>
      </c>
      <c r="F16" s="2" t="s">
        <v>156</v>
      </c>
      <c r="G16" s="2" t="s">
        <v>132</v>
      </c>
      <c r="H16" s="2">
        <v>815</v>
      </c>
      <c r="I16" s="2">
        <v>25</v>
      </c>
      <c r="J16" s="2">
        <f t="shared" si="0"/>
        <v>790</v>
      </c>
      <c r="K16" s="2" t="s">
        <v>240</v>
      </c>
      <c r="L16" s="2" t="s">
        <v>237</v>
      </c>
      <c r="M16" s="2" t="s">
        <v>238</v>
      </c>
      <c r="N16" s="2"/>
      <c r="O16" s="2"/>
      <c r="P16" s="2"/>
      <c r="Q16" s="2"/>
      <c r="R16">
        <v>1</v>
      </c>
    </row>
    <row r="17" spans="1:18" x14ac:dyDescent="0.2">
      <c r="A17" s="2" t="s">
        <v>19</v>
      </c>
      <c r="B17" s="2" t="s">
        <v>20</v>
      </c>
      <c r="C17" s="2" t="s">
        <v>230</v>
      </c>
      <c r="D17" s="2"/>
      <c r="E17" s="2" t="s">
        <v>231</v>
      </c>
      <c r="F17" s="2" t="s">
        <v>217</v>
      </c>
      <c r="G17" s="2" t="s">
        <v>132</v>
      </c>
      <c r="H17" s="2">
        <v>25</v>
      </c>
      <c r="I17" s="2">
        <v>25</v>
      </c>
      <c r="J17" s="2">
        <f t="shared" si="0"/>
        <v>0</v>
      </c>
      <c r="K17" s="2" t="s">
        <v>240</v>
      </c>
      <c r="L17" s="2" t="s">
        <v>237</v>
      </c>
      <c r="M17" s="2" t="s">
        <v>238</v>
      </c>
      <c r="N17" s="2"/>
      <c r="O17" s="2"/>
      <c r="P17" s="2"/>
      <c r="Q17" s="2"/>
      <c r="R17">
        <v>1</v>
      </c>
    </row>
    <row r="18" spans="1:18" x14ac:dyDescent="0.2">
      <c r="A18" s="2"/>
      <c r="B18" s="2" t="s">
        <v>20</v>
      </c>
      <c r="C18" s="2" t="s">
        <v>214</v>
      </c>
      <c r="D18" s="2" t="s">
        <v>215</v>
      </c>
      <c r="E18" s="2" t="s">
        <v>216</v>
      </c>
      <c r="F18" s="2" t="s">
        <v>217</v>
      </c>
      <c r="G18" s="2" t="s">
        <v>132</v>
      </c>
      <c r="H18" s="2">
        <v>845</v>
      </c>
      <c r="I18" s="2">
        <v>25</v>
      </c>
      <c r="J18" s="2">
        <f t="shared" si="0"/>
        <v>820</v>
      </c>
      <c r="K18" s="2" t="s">
        <v>240</v>
      </c>
      <c r="L18" s="2" t="s">
        <v>237</v>
      </c>
      <c r="M18" s="2" t="s">
        <v>238</v>
      </c>
      <c r="N18" s="2"/>
      <c r="O18" s="2"/>
      <c r="P18" s="2"/>
      <c r="Q18" s="2"/>
      <c r="R18">
        <v>1</v>
      </c>
    </row>
    <row r="19" spans="1:18" x14ac:dyDescent="0.2">
      <c r="A19" s="2"/>
      <c r="B19" s="2" t="s">
        <v>20</v>
      </c>
      <c r="C19" s="2" t="s">
        <v>87</v>
      </c>
      <c r="D19" s="2" t="s">
        <v>88</v>
      </c>
      <c r="E19" s="2" t="s">
        <v>89</v>
      </c>
      <c r="F19" s="2" t="s">
        <v>90</v>
      </c>
      <c r="G19" s="2">
        <v>6</v>
      </c>
      <c r="H19" s="2">
        <v>0</v>
      </c>
      <c r="I19" s="2">
        <v>25</v>
      </c>
      <c r="J19" s="2">
        <f t="shared" si="0"/>
        <v>-25</v>
      </c>
      <c r="K19" s="2" t="s">
        <v>241</v>
      </c>
      <c r="L19" s="2" t="s">
        <v>237</v>
      </c>
      <c r="M19" s="2" t="s">
        <v>238</v>
      </c>
      <c r="N19" s="2"/>
      <c r="O19" s="2"/>
      <c r="P19" s="2"/>
      <c r="Q19" s="2"/>
      <c r="R19">
        <v>1</v>
      </c>
    </row>
    <row r="20" spans="1:18" x14ac:dyDescent="0.2">
      <c r="A20" s="2" t="s">
        <v>19</v>
      </c>
      <c r="B20" s="2" t="s">
        <v>20</v>
      </c>
      <c r="C20" s="2" t="s">
        <v>234</v>
      </c>
      <c r="D20" s="2"/>
      <c r="E20" s="2" t="s">
        <v>89</v>
      </c>
      <c r="F20" s="2" t="s">
        <v>90</v>
      </c>
      <c r="G20" s="2">
        <v>6</v>
      </c>
      <c r="H20" s="2">
        <v>0</v>
      </c>
      <c r="I20" s="2">
        <v>30</v>
      </c>
      <c r="J20" s="2">
        <f t="shared" si="0"/>
        <v>-30</v>
      </c>
      <c r="K20" s="2" t="s">
        <v>241</v>
      </c>
      <c r="L20" s="2" t="s">
        <v>237</v>
      </c>
      <c r="M20" s="2" t="s">
        <v>238</v>
      </c>
      <c r="N20" s="2"/>
      <c r="O20" s="2"/>
      <c r="P20" s="2"/>
      <c r="Q20" s="2"/>
      <c r="R20">
        <v>1</v>
      </c>
    </row>
    <row r="21" spans="1:18" x14ac:dyDescent="0.2">
      <c r="A21" s="2"/>
      <c r="B21" s="2" t="s">
        <v>20</v>
      </c>
      <c r="C21" s="2" t="s">
        <v>182</v>
      </c>
      <c r="D21" s="2" t="s">
        <v>183</v>
      </c>
      <c r="E21" s="2">
        <v>111</v>
      </c>
      <c r="F21" s="2" t="s">
        <v>184</v>
      </c>
      <c r="G21" s="2">
        <v>6</v>
      </c>
      <c r="H21" s="2">
        <v>845</v>
      </c>
      <c r="I21" s="2">
        <v>25</v>
      </c>
      <c r="J21" s="2">
        <f t="shared" si="0"/>
        <v>820</v>
      </c>
      <c r="K21" s="2" t="s">
        <v>241</v>
      </c>
      <c r="L21" s="2" t="s">
        <v>237</v>
      </c>
      <c r="M21" s="2" t="s">
        <v>238</v>
      </c>
      <c r="N21" s="2"/>
      <c r="O21" s="2"/>
      <c r="P21" s="2"/>
      <c r="Q21" s="2"/>
      <c r="R21">
        <v>1</v>
      </c>
    </row>
    <row r="22" spans="1:18" x14ac:dyDescent="0.2">
      <c r="A22" s="2"/>
      <c r="B22" s="2" t="s">
        <v>20</v>
      </c>
      <c r="C22" s="2" t="s">
        <v>124</v>
      </c>
      <c r="D22" s="2" t="s">
        <v>125</v>
      </c>
      <c r="E22" s="2" t="s">
        <v>126</v>
      </c>
      <c r="F22" s="2" t="s">
        <v>127</v>
      </c>
      <c r="G22" s="2">
        <v>6</v>
      </c>
      <c r="H22" s="2">
        <v>710</v>
      </c>
      <c r="I22" s="2">
        <v>0</v>
      </c>
      <c r="J22" s="2">
        <f t="shared" si="0"/>
        <v>710</v>
      </c>
      <c r="K22" s="2" t="s">
        <v>241</v>
      </c>
      <c r="L22" s="2" t="s">
        <v>237</v>
      </c>
      <c r="M22" s="2" t="s">
        <v>238</v>
      </c>
      <c r="N22" s="6" t="s">
        <v>93</v>
      </c>
      <c r="O22" s="2"/>
      <c r="P22" s="2"/>
      <c r="Q22" s="2"/>
      <c r="R22">
        <v>1</v>
      </c>
    </row>
    <row r="23" spans="1:18" x14ac:dyDescent="0.2">
      <c r="A23" s="2"/>
      <c r="B23" s="2" t="s">
        <v>20</v>
      </c>
      <c r="C23" s="2" t="s">
        <v>124</v>
      </c>
      <c r="D23" s="2" t="s">
        <v>146</v>
      </c>
      <c r="E23" s="2" t="s">
        <v>126</v>
      </c>
      <c r="F23" s="2" t="s">
        <v>127</v>
      </c>
      <c r="G23" s="2">
        <v>6</v>
      </c>
      <c r="H23" s="2">
        <v>820</v>
      </c>
      <c r="I23" s="2">
        <v>0</v>
      </c>
      <c r="J23" s="2">
        <f t="shared" si="0"/>
        <v>820</v>
      </c>
      <c r="K23" s="2" t="s">
        <v>241</v>
      </c>
      <c r="L23" s="2" t="s">
        <v>237</v>
      </c>
      <c r="M23" s="2" t="s">
        <v>238</v>
      </c>
      <c r="N23" s="6" t="s">
        <v>93</v>
      </c>
      <c r="O23" s="2"/>
      <c r="P23" s="2"/>
      <c r="Q23" s="2"/>
      <c r="R23">
        <v>1</v>
      </c>
    </row>
    <row r="24" spans="1:18" x14ac:dyDescent="0.2">
      <c r="A24" s="7"/>
      <c r="B24" s="7" t="s">
        <v>20</v>
      </c>
      <c r="C24" s="7" t="s">
        <v>124</v>
      </c>
      <c r="D24" s="7" t="s">
        <v>208</v>
      </c>
      <c r="E24" s="7" t="s">
        <v>126</v>
      </c>
      <c r="F24" s="7" t="s">
        <v>127</v>
      </c>
      <c r="G24" s="7">
        <v>6</v>
      </c>
      <c r="H24" s="7">
        <v>1040</v>
      </c>
      <c r="I24" s="7">
        <v>30</v>
      </c>
      <c r="J24" s="7">
        <f t="shared" si="0"/>
        <v>1010</v>
      </c>
      <c r="K24" s="7" t="s">
        <v>241</v>
      </c>
      <c r="L24" s="7" t="s">
        <v>237</v>
      </c>
      <c r="M24" s="7" t="s">
        <v>238</v>
      </c>
      <c r="N24" s="7" t="s">
        <v>213</v>
      </c>
      <c r="O24" s="7"/>
      <c r="P24" s="7"/>
      <c r="Q24" s="7"/>
      <c r="R24">
        <v>1</v>
      </c>
    </row>
    <row r="25" spans="1:18" x14ac:dyDescent="0.2">
      <c r="A25" s="2"/>
      <c r="B25" s="2" t="s">
        <v>20</v>
      </c>
      <c r="C25" s="2" t="s">
        <v>116</v>
      </c>
      <c r="D25" s="2" t="s">
        <v>117</v>
      </c>
      <c r="E25" s="2" t="s">
        <v>118</v>
      </c>
      <c r="F25" s="2" t="s">
        <v>119</v>
      </c>
      <c r="G25" s="2">
        <v>6</v>
      </c>
      <c r="H25" s="2">
        <v>605</v>
      </c>
      <c r="I25" s="2">
        <v>25</v>
      </c>
      <c r="J25" s="2">
        <f t="shared" si="0"/>
        <v>580</v>
      </c>
      <c r="K25" s="2" t="s">
        <v>241</v>
      </c>
      <c r="L25" s="2" t="s">
        <v>237</v>
      </c>
      <c r="M25" s="2" t="s">
        <v>238</v>
      </c>
      <c r="N25" s="2"/>
      <c r="O25" s="2"/>
      <c r="P25" s="2"/>
      <c r="Q25" s="2"/>
      <c r="R25">
        <v>1</v>
      </c>
    </row>
    <row r="26" spans="1:18" x14ac:dyDescent="0.2">
      <c r="A26" s="2"/>
      <c r="B26" s="2" t="s">
        <v>20</v>
      </c>
      <c r="C26" s="2" t="s">
        <v>157</v>
      </c>
      <c r="D26" s="2" t="s">
        <v>158</v>
      </c>
      <c r="E26" s="2">
        <v>184</v>
      </c>
      <c r="F26" s="2" t="s">
        <v>159</v>
      </c>
      <c r="G26" s="2">
        <v>6</v>
      </c>
      <c r="H26" s="2">
        <v>815</v>
      </c>
      <c r="I26" s="2">
        <v>25</v>
      </c>
      <c r="J26" s="2">
        <f t="shared" si="0"/>
        <v>790</v>
      </c>
      <c r="K26" s="2" t="s">
        <v>241</v>
      </c>
      <c r="L26" s="2" t="s">
        <v>237</v>
      </c>
      <c r="M26" s="2" t="s">
        <v>238</v>
      </c>
      <c r="N26" s="2"/>
      <c r="O26" s="2"/>
      <c r="P26" s="2"/>
      <c r="Q26" s="2"/>
      <c r="R26">
        <v>1</v>
      </c>
    </row>
    <row r="27" spans="1:18" x14ac:dyDescent="0.2">
      <c r="A27" s="2"/>
      <c r="B27" s="2" t="s">
        <v>20</v>
      </c>
      <c r="C27" s="2" t="s">
        <v>102</v>
      </c>
      <c r="D27" s="2" t="s">
        <v>103</v>
      </c>
      <c r="E27" s="2">
        <v>35</v>
      </c>
      <c r="F27" s="2" t="s">
        <v>104</v>
      </c>
      <c r="G27" s="2">
        <v>7</v>
      </c>
      <c r="H27" s="2">
        <v>850</v>
      </c>
      <c r="I27" s="2">
        <v>30</v>
      </c>
      <c r="J27" s="2">
        <f t="shared" si="0"/>
        <v>820</v>
      </c>
      <c r="K27" s="2" t="s">
        <v>241</v>
      </c>
      <c r="L27" s="2" t="s">
        <v>237</v>
      </c>
      <c r="M27" s="2" t="s">
        <v>238</v>
      </c>
      <c r="N27" s="2"/>
      <c r="O27" s="2"/>
      <c r="P27" s="2"/>
      <c r="Q27" s="2"/>
      <c r="R27">
        <v>1</v>
      </c>
    </row>
    <row r="28" spans="1:18" x14ac:dyDescent="0.2">
      <c r="A28" s="2"/>
      <c r="B28" s="2" t="s">
        <v>20</v>
      </c>
      <c r="C28" s="2" t="s">
        <v>203</v>
      </c>
      <c r="D28" s="2" t="s">
        <v>204</v>
      </c>
      <c r="E28" s="2">
        <v>132</v>
      </c>
      <c r="F28" s="2" t="s">
        <v>114</v>
      </c>
      <c r="G28" s="2">
        <v>7</v>
      </c>
      <c r="H28" s="2">
        <v>850</v>
      </c>
      <c r="I28" s="2">
        <v>30</v>
      </c>
      <c r="J28" s="2">
        <f t="shared" si="0"/>
        <v>820</v>
      </c>
      <c r="K28" s="2" t="s">
        <v>241</v>
      </c>
      <c r="L28" s="2" t="s">
        <v>237</v>
      </c>
      <c r="M28" s="2" t="s">
        <v>238</v>
      </c>
      <c r="N28" s="2"/>
      <c r="O28" s="2"/>
      <c r="P28" s="2"/>
      <c r="Q28" s="2"/>
      <c r="R28">
        <v>1</v>
      </c>
    </row>
    <row r="29" spans="1:18" x14ac:dyDescent="0.2">
      <c r="A29" s="2"/>
      <c r="B29" s="2" t="s">
        <v>20</v>
      </c>
      <c r="C29" s="2" t="s">
        <v>49</v>
      </c>
      <c r="D29" s="2" t="s">
        <v>50</v>
      </c>
      <c r="E29" s="2" t="s">
        <v>51</v>
      </c>
      <c r="F29" s="2" t="s">
        <v>52</v>
      </c>
      <c r="G29" s="2">
        <v>7</v>
      </c>
      <c r="H29" s="2">
        <v>590</v>
      </c>
      <c r="I29" s="2">
        <v>30</v>
      </c>
      <c r="J29" s="2">
        <f t="shared" si="0"/>
        <v>560</v>
      </c>
      <c r="K29" s="2" t="s">
        <v>241</v>
      </c>
      <c r="L29" s="2" t="s">
        <v>237</v>
      </c>
      <c r="M29" s="2" t="s">
        <v>238</v>
      </c>
      <c r="N29" s="2"/>
      <c r="O29" s="2"/>
      <c r="P29" s="2"/>
      <c r="Q29" s="2"/>
      <c r="R29">
        <v>1</v>
      </c>
    </row>
    <row r="30" spans="1:18" x14ac:dyDescent="0.2">
      <c r="A30" s="2"/>
      <c r="B30" s="2" t="s">
        <v>20</v>
      </c>
      <c r="C30" s="2" t="s">
        <v>267</v>
      </c>
      <c r="D30" s="2" t="s">
        <v>268</v>
      </c>
      <c r="E30" s="2" t="s">
        <v>269</v>
      </c>
      <c r="F30" s="2" t="s">
        <v>270</v>
      </c>
      <c r="G30" s="2">
        <v>9</v>
      </c>
      <c r="H30" s="2">
        <v>850</v>
      </c>
      <c r="I30" s="2">
        <v>30</v>
      </c>
      <c r="J30" s="2">
        <f t="shared" si="0"/>
        <v>820</v>
      </c>
      <c r="K30" s="2" t="s">
        <v>241</v>
      </c>
      <c r="L30" s="2" t="s">
        <v>237</v>
      </c>
      <c r="M30" s="2" t="s">
        <v>271</v>
      </c>
      <c r="N30" s="6" t="s">
        <v>272</v>
      </c>
      <c r="O30" s="2"/>
      <c r="P30" s="2" t="s">
        <v>60</v>
      </c>
      <c r="Q30" s="2"/>
      <c r="R30">
        <v>1</v>
      </c>
    </row>
    <row r="31" spans="1:18" x14ac:dyDescent="0.2">
      <c r="A31" s="2"/>
      <c r="B31" s="2" t="s">
        <v>20</v>
      </c>
      <c r="C31" s="2" t="s">
        <v>120</v>
      </c>
      <c r="D31" s="2" t="s">
        <v>121</v>
      </c>
      <c r="E31" s="2" t="s">
        <v>122</v>
      </c>
      <c r="F31" s="2" t="s">
        <v>123</v>
      </c>
      <c r="G31" s="2">
        <v>12</v>
      </c>
      <c r="H31" s="2">
        <v>0</v>
      </c>
      <c r="I31" s="2">
        <v>30</v>
      </c>
      <c r="J31" s="2">
        <f t="shared" si="0"/>
        <v>-30</v>
      </c>
      <c r="K31" s="2" t="s">
        <v>241</v>
      </c>
      <c r="L31" s="2" t="s">
        <v>237</v>
      </c>
      <c r="M31" s="2" t="s">
        <v>238</v>
      </c>
      <c r="N31" s="2"/>
      <c r="O31" s="2"/>
      <c r="P31" s="2"/>
      <c r="Q31" s="2"/>
      <c r="R31">
        <v>1</v>
      </c>
    </row>
    <row r="32" spans="1:18" x14ac:dyDescent="0.2">
      <c r="A32" s="2"/>
      <c r="B32" s="2" t="s">
        <v>20</v>
      </c>
      <c r="C32" s="2" t="s">
        <v>46</v>
      </c>
      <c r="D32" s="2" t="s">
        <v>47</v>
      </c>
      <c r="E32" s="2">
        <v>375</v>
      </c>
      <c r="F32" s="2" t="s">
        <v>48</v>
      </c>
      <c r="G32" s="2">
        <v>12</v>
      </c>
      <c r="H32" s="2">
        <v>0</v>
      </c>
      <c r="I32" s="2">
        <v>30</v>
      </c>
      <c r="J32" s="2">
        <f t="shared" si="0"/>
        <v>-30</v>
      </c>
      <c r="K32" s="2" t="s">
        <v>241</v>
      </c>
      <c r="L32" s="2" t="s">
        <v>237</v>
      </c>
      <c r="M32" s="2" t="s">
        <v>238</v>
      </c>
      <c r="N32" s="2"/>
      <c r="O32" s="2"/>
      <c r="P32" s="2"/>
      <c r="Q32" s="2"/>
      <c r="R32">
        <v>1</v>
      </c>
    </row>
    <row r="33" spans="1:18" x14ac:dyDescent="0.2">
      <c r="A33" s="2" t="s">
        <v>19</v>
      </c>
      <c r="B33" s="2" t="s">
        <v>20</v>
      </c>
      <c r="C33" s="2" t="s">
        <v>227</v>
      </c>
      <c r="D33" s="2"/>
      <c r="E33" s="2">
        <v>375</v>
      </c>
      <c r="F33" s="2" t="s">
        <v>48</v>
      </c>
      <c r="G33" s="2">
        <v>12</v>
      </c>
      <c r="H33" s="2">
        <v>0</v>
      </c>
      <c r="I33" s="2">
        <v>35</v>
      </c>
      <c r="J33" s="2">
        <f t="shared" si="0"/>
        <v>-35</v>
      </c>
      <c r="K33" s="2" t="s">
        <v>241</v>
      </c>
      <c r="L33" s="2" t="s">
        <v>237</v>
      </c>
      <c r="M33" s="2" t="s">
        <v>238</v>
      </c>
      <c r="N33" s="2"/>
      <c r="O33" s="2"/>
      <c r="P33" s="2"/>
      <c r="Q33" s="2"/>
      <c r="R33">
        <v>1</v>
      </c>
    </row>
    <row r="34" spans="1:18" x14ac:dyDescent="0.2">
      <c r="A34" s="2"/>
      <c r="B34" s="2" t="s">
        <v>20</v>
      </c>
      <c r="C34" s="2" t="s">
        <v>205</v>
      </c>
      <c r="D34" s="2" t="s">
        <v>206</v>
      </c>
      <c r="E34" s="2">
        <v>163</v>
      </c>
      <c r="F34" s="2" t="s">
        <v>207</v>
      </c>
      <c r="G34" s="2">
        <v>12</v>
      </c>
      <c r="H34" s="2">
        <v>0</v>
      </c>
      <c r="I34" s="2">
        <v>30</v>
      </c>
      <c r="J34" s="2">
        <f t="shared" si="0"/>
        <v>-30</v>
      </c>
      <c r="K34" s="2" t="s">
        <v>241</v>
      </c>
      <c r="L34" s="2" t="s">
        <v>237</v>
      </c>
      <c r="M34" s="2" t="s">
        <v>238</v>
      </c>
      <c r="N34" s="2"/>
      <c r="O34" s="2"/>
      <c r="P34" s="2"/>
      <c r="Q34" s="2"/>
      <c r="R34">
        <v>1</v>
      </c>
    </row>
    <row r="35" spans="1:18" x14ac:dyDescent="0.2">
      <c r="A35" s="2"/>
      <c r="B35" s="2" t="s">
        <v>20</v>
      </c>
      <c r="C35" s="2" t="s">
        <v>218</v>
      </c>
      <c r="D35" s="2" t="s">
        <v>219</v>
      </c>
      <c r="E35" s="2">
        <v>124</v>
      </c>
      <c r="F35" s="2" t="s">
        <v>220</v>
      </c>
      <c r="G35" s="2" t="s">
        <v>198</v>
      </c>
      <c r="H35" s="2">
        <v>850</v>
      </c>
      <c r="I35" s="2">
        <v>30</v>
      </c>
      <c r="J35" s="2">
        <f t="shared" si="0"/>
        <v>820</v>
      </c>
      <c r="K35" s="2" t="s">
        <v>241</v>
      </c>
      <c r="L35" s="2" t="s">
        <v>237</v>
      </c>
      <c r="M35" s="2" t="s">
        <v>238</v>
      </c>
      <c r="N35" s="2"/>
      <c r="O35" s="2"/>
      <c r="P35" s="2"/>
      <c r="Q35" s="2"/>
      <c r="R35">
        <v>1</v>
      </c>
    </row>
    <row r="36" spans="1:18" x14ac:dyDescent="0.2">
      <c r="A36" s="2"/>
      <c r="B36" s="2" t="s">
        <v>20</v>
      </c>
      <c r="C36" s="2" t="s">
        <v>195</v>
      </c>
      <c r="D36" s="2" t="s">
        <v>196</v>
      </c>
      <c r="E36" s="2">
        <v>146</v>
      </c>
      <c r="F36" s="2" t="s">
        <v>197</v>
      </c>
      <c r="G36" s="2" t="s">
        <v>198</v>
      </c>
      <c r="H36" s="2">
        <v>860</v>
      </c>
      <c r="I36" s="2">
        <v>30</v>
      </c>
      <c r="J36" s="2">
        <f t="shared" ref="J36:J66" si="1">H36-I36</f>
        <v>830</v>
      </c>
      <c r="K36" s="2" t="s">
        <v>241</v>
      </c>
      <c r="L36" s="2" t="s">
        <v>237</v>
      </c>
      <c r="M36" s="2" t="s">
        <v>238</v>
      </c>
      <c r="N36" s="2"/>
      <c r="O36" s="2"/>
      <c r="P36" s="2"/>
      <c r="Q36" s="2"/>
      <c r="R36">
        <v>1</v>
      </c>
    </row>
    <row r="37" spans="1:18" x14ac:dyDescent="0.2">
      <c r="A37" s="2"/>
      <c r="B37" s="2" t="s">
        <v>20</v>
      </c>
      <c r="C37" s="2" t="s">
        <v>128</v>
      </c>
      <c r="D37" s="2" t="s">
        <v>129</v>
      </c>
      <c r="E37" s="2" t="s">
        <v>130</v>
      </c>
      <c r="F37" s="2" t="s">
        <v>131</v>
      </c>
      <c r="G37" s="2" t="s">
        <v>132</v>
      </c>
      <c r="H37" s="2">
        <v>845</v>
      </c>
      <c r="I37" s="2">
        <v>25</v>
      </c>
      <c r="J37" s="2">
        <f t="shared" si="1"/>
        <v>820</v>
      </c>
      <c r="K37" s="2" t="s">
        <v>241</v>
      </c>
      <c r="L37" s="2" t="s">
        <v>237</v>
      </c>
      <c r="M37" s="2" t="s">
        <v>238</v>
      </c>
      <c r="N37" s="2"/>
      <c r="O37" s="2"/>
      <c r="P37" s="2"/>
      <c r="Q37" s="2"/>
      <c r="R37">
        <v>1</v>
      </c>
    </row>
    <row r="38" spans="1:18" x14ac:dyDescent="0.2">
      <c r="A38" s="2"/>
      <c r="B38" s="2" t="s">
        <v>20</v>
      </c>
      <c r="C38" s="2" t="s">
        <v>62</v>
      </c>
      <c r="D38" s="2" t="s">
        <v>63</v>
      </c>
      <c r="E38" s="2" t="s">
        <v>64</v>
      </c>
      <c r="F38" s="2" t="s">
        <v>65</v>
      </c>
      <c r="G38" s="2" t="s">
        <v>66</v>
      </c>
      <c r="H38" s="2">
        <v>1075</v>
      </c>
      <c r="I38" s="2">
        <v>25</v>
      </c>
      <c r="J38" s="2">
        <f t="shared" si="1"/>
        <v>1050</v>
      </c>
      <c r="K38" s="2" t="s">
        <v>241</v>
      </c>
      <c r="L38" s="2" t="s">
        <v>237</v>
      </c>
      <c r="M38" s="2" t="s">
        <v>238</v>
      </c>
      <c r="N38" s="2"/>
      <c r="O38" s="2"/>
      <c r="P38" s="2"/>
      <c r="Q38" s="2"/>
      <c r="R38">
        <v>1</v>
      </c>
    </row>
    <row r="39" spans="1:18" x14ac:dyDescent="0.2">
      <c r="A39" s="7"/>
      <c r="B39" s="7" t="s">
        <v>20</v>
      </c>
      <c r="C39" s="7" t="s">
        <v>105</v>
      </c>
      <c r="D39" s="7" t="s">
        <v>106</v>
      </c>
      <c r="E39" s="7">
        <v>147</v>
      </c>
      <c r="F39" s="7" t="s">
        <v>107</v>
      </c>
      <c r="G39" s="7">
        <v>2</v>
      </c>
      <c r="H39" s="7">
        <v>0</v>
      </c>
      <c r="I39" s="7">
        <v>30</v>
      </c>
      <c r="J39" s="7">
        <f t="shared" si="1"/>
        <v>-30</v>
      </c>
      <c r="K39" s="7" t="s">
        <v>237</v>
      </c>
      <c r="L39" s="7" t="s">
        <v>237</v>
      </c>
      <c r="M39" s="7" t="s">
        <v>238</v>
      </c>
      <c r="N39" s="7" t="s">
        <v>101</v>
      </c>
      <c r="O39" s="7"/>
      <c r="P39" s="7"/>
      <c r="Q39" s="7"/>
      <c r="R39">
        <v>1</v>
      </c>
    </row>
    <row r="40" spans="1:18" x14ac:dyDescent="0.2">
      <c r="A40" s="2"/>
      <c r="B40" s="2" t="s">
        <v>20</v>
      </c>
      <c r="C40" s="2" t="s">
        <v>175</v>
      </c>
      <c r="D40" s="2" t="s">
        <v>176</v>
      </c>
      <c r="E40" s="2" t="s">
        <v>177</v>
      </c>
      <c r="F40" s="2" t="s">
        <v>178</v>
      </c>
      <c r="G40" s="2">
        <v>2</v>
      </c>
      <c r="H40" s="2">
        <v>0</v>
      </c>
      <c r="I40" s="2">
        <v>30</v>
      </c>
      <c r="J40" s="2">
        <f t="shared" si="1"/>
        <v>-30</v>
      </c>
      <c r="K40" s="2" t="s">
        <v>237</v>
      </c>
      <c r="L40" s="2" t="s">
        <v>237</v>
      </c>
      <c r="M40" s="2" t="s">
        <v>238</v>
      </c>
      <c r="N40" s="2"/>
      <c r="O40" s="2"/>
      <c r="P40" s="2"/>
      <c r="Q40" s="2"/>
      <c r="R40">
        <v>1</v>
      </c>
    </row>
    <row r="41" spans="1:18" x14ac:dyDescent="0.2">
      <c r="A41" s="2"/>
      <c r="B41" s="2" t="s">
        <v>20</v>
      </c>
      <c r="C41" s="2" t="s">
        <v>29</v>
      </c>
      <c r="D41" s="2" t="s">
        <v>30</v>
      </c>
      <c r="E41" s="2">
        <v>17</v>
      </c>
      <c r="F41" s="2" t="s">
        <v>31</v>
      </c>
      <c r="G41" s="2">
        <v>2</v>
      </c>
      <c r="H41" s="2">
        <v>870</v>
      </c>
      <c r="I41" s="2">
        <v>30</v>
      </c>
      <c r="J41" s="2">
        <f t="shared" si="1"/>
        <v>840</v>
      </c>
      <c r="K41" s="2" t="s">
        <v>237</v>
      </c>
      <c r="L41" s="2" t="s">
        <v>237</v>
      </c>
      <c r="M41" s="2" t="s">
        <v>238</v>
      </c>
      <c r="N41" s="2"/>
      <c r="O41" s="2"/>
      <c r="P41" s="2"/>
      <c r="Q41" s="2"/>
      <c r="R41">
        <v>1</v>
      </c>
    </row>
    <row r="42" spans="1:18" x14ac:dyDescent="0.2">
      <c r="A42" s="2"/>
      <c r="B42" s="2" t="s">
        <v>20</v>
      </c>
      <c r="C42" s="2" t="s">
        <v>168</v>
      </c>
      <c r="D42" s="2" t="s">
        <v>169</v>
      </c>
      <c r="E42" s="2" t="s">
        <v>170</v>
      </c>
      <c r="F42" s="2" t="s">
        <v>31</v>
      </c>
      <c r="G42" s="2">
        <v>2</v>
      </c>
      <c r="H42" s="2">
        <v>470</v>
      </c>
      <c r="I42" s="2">
        <v>30</v>
      </c>
      <c r="J42" s="2">
        <f t="shared" si="1"/>
        <v>440</v>
      </c>
      <c r="K42" s="2" t="s">
        <v>237</v>
      </c>
      <c r="L42" s="2" t="s">
        <v>237</v>
      </c>
      <c r="M42" s="2" t="s">
        <v>238</v>
      </c>
      <c r="N42" s="2"/>
      <c r="O42" s="2"/>
      <c r="P42" s="2"/>
      <c r="Q42" s="2"/>
      <c r="R42">
        <v>1</v>
      </c>
    </row>
    <row r="43" spans="1:18" x14ac:dyDescent="0.2">
      <c r="A43" s="2"/>
      <c r="B43" s="2" t="s">
        <v>20</v>
      </c>
      <c r="C43" s="2" t="s">
        <v>147</v>
      </c>
      <c r="D43" s="2" t="s">
        <v>148</v>
      </c>
      <c r="E43" s="2">
        <v>50</v>
      </c>
      <c r="F43" s="2" t="s">
        <v>149</v>
      </c>
      <c r="G43" s="2" t="s">
        <v>74</v>
      </c>
      <c r="H43" s="2">
        <v>600</v>
      </c>
      <c r="I43" s="2">
        <v>20</v>
      </c>
      <c r="J43" s="2">
        <f t="shared" si="1"/>
        <v>580</v>
      </c>
      <c r="K43" s="2" t="s">
        <v>237</v>
      </c>
      <c r="L43" s="2" t="s">
        <v>237</v>
      </c>
      <c r="M43" s="2" t="s">
        <v>238</v>
      </c>
      <c r="N43" s="2"/>
      <c r="O43" s="2"/>
      <c r="P43" s="2"/>
      <c r="Q43" s="2"/>
      <c r="R43">
        <v>1</v>
      </c>
    </row>
    <row r="44" spans="1:18" x14ac:dyDescent="0.2">
      <c r="A44" s="2"/>
      <c r="B44" s="2" t="s">
        <v>20</v>
      </c>
      <c r="C44" s="2" t="s">
        <v>199</v>
      </c>
      <c r="D44" s="2" t="s">
        <v>200</v>
      </c>
      <c r="E44" s="2" t="s">
        <v>201</v>
      </c>
      <c r="F44" s="2" t="s">
        <v>202</v>
      </c>
      <c r="G44" s="2" t="s">
        <v>74</v>
      </c>
      <c r="H44" s="2">
        <v>510</v>
      </c>
      <c r="I44" s="2">
        <v>20</v>
      </c>
      <c r="J44" s="2">
        <f t="shared" si="1"/>
        <v>490</v>
      </c>
      <c r="K44" s="2" t="s">
        <v>237</v>
      </c>
      <c r="L44" s="2" t="s">
        <v>237</v>
      </c>
      <c r="M44" s="2" t="s">
        <v>238</v>
      </c>
      <c r="N44" s="2"/>
      <c r="O44" s="2"/>
      <c r="P44" s="2"/>
      <c r="Q44" s="2"/>
      <c r="R44">
        <v>1</v>
      </c>
    </row>
    <row r="45" spans="1:18" x14ac:dyDescent="0.2">
      <c r="A45" s="2"/>
      <c r="B45" s="2" t="s">
        <v>20</v>
      </c>
      <c r="C45" s="2" t="s">
        <v>189</v>
      </c>
      <c r="D45" s="2" t="s">
        <v>190</v>
      </c>
      <c r="E45" s="2">
        <v>74</v>
      </c>
      <c r="F45" s="2" t="s">
        <v>191</v>
      </c>
      <c r="G45" s="2" t="s">
        <v>74</v>
      </c>
      <c r="H45" s="2">
        <v>400</v>
      </c>
      <c r="I45" s="2">
        <v>20</v>
      </c>
      <c r="J45" s="2">
        <f t="shared" si="1"/>
        <v>380</v>
      </c>
      <c r="K45" s="2" t="s">
        <v>237</v>
      </c>
      <c r="L45" s="2" t="s">
        <v>237</v>
      </c>
      <c r="M45" s="2" t="s">
        <v>238</v>
      </c>
      <c r="N45" s="2"/>
      <c r="O45" s="2"/>
      <c r="P45" s="2"/>
      <c r="Q45" s="2"/>
      <c r="R45">
        <v>1</v>
      </c>
    </row>
    <row r="46" spans="1:18" x14ac:dyDescent="0.2">
      <c r="A46" s="7"/>
      <c r="B46" s="7" t="s">
        <v>20</v>
      </c>
      <c r="C46" s="7" t="s">
        <v>209</v>
      </c>
      <c r="D46" s="7" t="s">
        <v>210</v>
      </c>
      <c r="E46" s="7" t="s">
        <v>211</v>
      </c>
      <c r="F46" s="7" t="s">
        <v>212</v>
      </c>
      <c r="G46" s="7" t="s">
        <v>74</v>
      </c>
      <c r="H46" s="7">
        <v>2600</v>
      </c>
      <c r="I46" s="7">
        <v>25</v>
      </c>
      <c r="J46" s="7">
        <f t="shared" si="1"/>
        <v>2575</v>
      </c>
      <c r="K46" s="7" t="s">
        <v>237</v>
      </c>
      <c r="L46" s="7" t="s">
        <v>237</v>
      </c>
      <c r="M46" s="7" t="s">
        <v>238</v>
      </c>
      <c r="N46" s="7" t="s">
        <v>213</v>
      </c>
      <c r="O46" s="7"/>
      <c r="P46" s="7"/>
      <c r="Q46" s="7"/>
      <c r="R46">
        <v>1</v>
      </c>
    </row>
    <row r="47" spans="1:18" x14ac:dyDescent="0.2">
      <c r="A47" s="2"/>
      <c r="B47" s="2" t="s">
        <v>20</v>
      </c>
      <c r="C47" s="2" t="s">
        <v>70</v>
      </c>
      <c r="D47" s="2" t="s">
        <v>71</v>
      </c>
      <c r="E47" s="2" t="s">
        <v>72</v>
      </c>
      <c r="F47" s="2" t="s">
        <v>73</v>
      </c>
      <c r="G47" s="2" t="s">
        <v>74</v>
      </c>
      <c r="H47" s="2">
        <v>600</v>
      </c>
      <c r="I47" s="2">
        <v>20</v>
      </c>
      <c r="J47" s="2">
        <f t="shared" si="1"/>
        <v>580</v>
      </c>
      <c r="K47" s="2" t="s">
        <v>237</v>
      </c>
      <c r="L47" s="2" t="s">
        <v>237</v>
      </c>
      <c r="M47" s="2" t="s">
        <v>238</v>
      </c>
      <c r="N47" s="2"/>
      <c r="O47" s="2"/>
      <c r="P47" s="2"/>
      <c r="Q47" s="2"/>
      <c r="R47">
        <v>1</v>
      </c>
    </row>
    <row r="48" spans="1:18" x14ac:dyDescent="0.2">
      <c r="A48" s="2"/>
      <c r="B48" s="2" t="s">
        <v>20</v>
      </c>
      <c r="C48" s="2" t="s">
        <v>94</v>
      </c>
      <c r="D48" s="2" t="s">
        <v>95</v>
      </c>
      <c r="E48" s="2" t="s">
        <v>96</v>
      </c>
      <c r="F48" s="2" t="s">
        <v>97</v>
      </c>
      <c r="G48" s="2" t="s">
        <v>74</v>
      </c>
      <c r="H48" s="2">
        <v>980</v>
      </c>
      <c r="I48" s="2">
        <v>20</v>
      </c>
      <c r="J48" s="2">
        <f t="shared" si="1"/>
        <v>960</v>
      </c>
      <c r="K48" s="2" t="s">
        <v>237</v>
      </c>
      <c r="L48" s="2" t="s">
        <v>237</v>
      </c>
      <c r="M48" s="2" t="s">
        <v>238</v>
      </c>
      <c r="N48" s="2"/>
      <c r="O48" s="2"/>
      <c r="P48" s="2"/>
      <c r="Q48" s="2"/>
      <c r="R48">
        <v>1</v>
      </c>
    </row>
    <row r="49" spans="1:18" x14ac:dyDescent="0.2">
      <c r="A49" s="2"/>
      <c r="B49" s="2" t="s">
        <v>20</v>
      </c>
      <c r="C49" s="2" t="s">
        <v>25</v>
      </c>
      <c r="D49" s="2" t="s">
        <v>26</v>
      </c>
      <c r="E49" s="2" t="s">
        <v>27</v>
      </c>
      <c r="F49" s="2" t="s">
        <v>28</v>
      </c>
      <c r="G49" s="2" t="s">
        <v>24</v>
      </c>
      <c r="H49" s="2">
        <v>735</v>
      </c>
      <c r="I49" s="2">
        <v>25</v>
      </c>
      <c r="J49" s="2">
        <f t="shared" si="1"/>
        <v>710</v>
      </c>
      <c r="K49" s="2" t="s">
        <v>237</v>
      </c>
      <c r="L49" s="2" t="s">
        <v>237</v>
      </c>
      <c r="M49" s="2" t="s">
        <v>238</v>
      </c>
      <c r="N49" s="2"/>
      <c r="O49" s="2"/>
      <c r="P49" s="2"/>
      <c r="Q49" s="2"/>
      <c r="R49">
        <v>1</v>
      </c>
    </row>
    <row r="50" spans="1:18" x14ac:dyDescent="0.2">
      <c r="A50" s="2"/>
      <c r="B50" s="2" t="s">
        <v>20</v>
      </c>
      <c r="C50" s="2" t="s">
        <v>25</v>
      </c>
      <c r="D50" s="2" t="s">
        <v>91</v>
      </c>
      <c r="E50" s="2" t="s">
        <v>92</v>
      </c>
      <c r="F50" s="2" t="s">
        <v>28</v>
      </c>
      <c r="G50" s="2" t="s">
        <v>24</v>
      </c>
      <c r="H50" s="2">
        <v>580</v>
      </c>
      <c r="I50" s="2">
        <v>0</v>
      </c>
      <c r="J50" s="2">
        <f t="shared" si="1"/>
        <v>580</v>
      </c>
      <c r="K50" s="2" t="s">
        <v>237</v>
      </c>
      <c r="L50" s="2" t="s">
        <v>237</v>
      </c>
      <c r="M50" s="2" t="s">
        <v>238</v>
      </c>
      <c r="N50" s="6" t="s">
        <v>93</v>
      </c>
      <c r="O50" s="2"/>
      <c r="P50" s="2"/>
      <c r="Q50" s="2"/>
      <c r="R50">
        <v>1</v>
      </c>
    </row>
    <row r="51" spans="1:18" x14ac:dyDescent="0.2">
      <c r="A51" s="2" t="s">
        <v>19</v>
      </c>
      <c r="B51" s="2" t="s">
        <v>20</v>
      </c>
      <c r="C51" s="2" t="s">
        <v>235</v>
      </c>
      <c r="D51" s="2"/>
      <c r="E51" s="2">
        <v>16</v>
      </c>
      <c r="F51" s="2" t="s">
        <v>236</v>
      </c>
      <c r="G51" s="2" t="s">
        <v>24</v>
      </c>
      <c r="H51" s="2">
        <v>30</v>
      </c>
      <c r="I51" s="2">
        <v>30</v>
      </c>
      <c r="J51" s="2">
        <f t="shared" si="1"/>
        <v>0</v>
      </c>
      <c r="K51" s="2" t="s">
        <v>237</v>
      </c>
      <c r="L51" s="2" t="s">
        <v>237</v>
      </c>
      <c r="M51" s="2" t="s">
        <v>238</v>
      </c>
      <c r="N51" s="2"/>
      <c r="O51" s="2"/>
      <c r="P51" s="2"/>
      <c r="Q51" s="2"/>
      <c r="R51">
        <v>1</v>
      </c>
    </row>
    <row r="52" spans="1:18" x14ac:dyDescent="0.2">
      <c r="A52" s="2"/>
      <c r="B52" s="2" t="s">
        <v>20</v>
      </c>
      <c r="C52" s="2" t="s">
        <v>79</v>
      </c>
      <c r="D52" s="2" t="s">
        <v>80</v>
      </c>
      <c r="E52" s="2" t="s">
        <v>81</v>
      </c>
      <c r="F52" s="2" t="s">
        <v>82</v>
      </c>
      <c r="G52" s="2" t="s">
        <v>24</v>
      </c>
      <c r="H52" s="2">
        <v>405</v>
      </c>
      <c r="I52" s="2">
        <v>25</v>
      </c>
      <c r="J52" s="2">
        <f t="shared" si="1"/>
        <v>380</v>
      </c>
      <c r="K52" s="2" t="s">
        <v>237</v>
      </c>
      <c r="L52" s="2" t="s">
        <v>237</v>
      </c>
      <c r="M52" s="2" t="s">
        <v>238</v>
      </c>
      <c r="N52" s="2"/>
      <c r="O52" s="2"/>
      <c r="P52" s="2"/>
      <c r="Q52" s="2"/>
      <c r="R52">
        <v>1</v>
      </c>
    </row>
    <row r="53" spans="1:18" x14ac:dyDescent="0.2">
      <c r="A53" s="2"/>
      <c r="B53" s="2" t="s">
        <v>20</v>
      </c>
      <c r="C53" s="2" t="s">
        <v>75</v>
      </c>
      <c r="D53" s="2" t="s">
        <v>76</v>
      </c>
      <c r="E53" s="2" t="s">
        <v>77</v>
      </c>
      <c r="F53" s="2" t="s">
        <v>78</v>
      </c>
      <c r="G53" s="2" t="s">
        <v>24</v>
      </c>
      <c r="H53" s="2">
        <v>605</v>
      </c>
      <c r="I53" s="2">
        <v>25</v>
      </c>
      <c r="J53" s="2">
        <f t="shared" si="1"/>
        <v>580</v>
      </c>
      <c r="K53" s="2" t="s">
        <v>237</v>
      </c>
      <c r="L53" s="2" t="s">
        <v>237</v>
      </c>
      <c r="M53" s="2" t="s">
        <v>238</v>
      </c>
      <c r="N53" s="2"/>
      <c r="O53" s="2"/>
      <c r="P53" s="2"/>
      <c r="Q53" s="2"/>
      <c r="R53">
        <v>1</v>
      </c>
    </row>
    <row r="54" spans="1:18" x14ac:dyDescent="0.2">
      <c r="A54" s="2"/>
      <c r="B54" s="2" t="s">
        <v>20</v>
      </c>
      <c r="C54" s="2" t="s">
        <v>133</v>
      </c>
      <c r="D54" s="2" t="s">
        <v>134</v>
      </c>
      <c r="E54" s="2">
        <v>119</v>
      </c>
      <c r="F54" s="2" t="s">
        <v>135</v>
      </c>
      <c r="G54" s="2" t="s">
        <v>24</v>
      </c>
      <c r="H54" s="2">
        <v>855</v>
      </c>
      <c r="I54" s="2">
        <v>25</v>
      </c>
      <c r="J54" s="2">
        <f t="shared" si="1"/>
        <v>830</v>
      </c>
      <c r="K54" s="2" t="s">
        <v>237</v>
      </c>
      <c r="L54" s="2" t="s">
        <v>237</v>
      </c>
      <c r="M54" s="2" t="s">
        <v>238</v>
      </c>
      <c r="N54" s="2"/>
      <c r="O54" s="2"/>
      <c r="P54" s="2"/>
      <c r="Q54" s="2"/>
      <c r="R54">
        <v>1</v>
      </c>
    </row>
    <row r="55" spans="1:18" x14ac:dyDescent="0.2">
      <c r="A55" s="2"/>
      <c r="B55" s="2" t="s">
        <v>20</v>
      </c>
      <c r="C55" s="2" t="s">
        <v>36</v>
      </c>
      <c r="D55" s="2" t="s">
        <v>37</v>
      </c>
      <c r="E55" s="2" t="s">
        <v>38</v>
      </c>
      <c r="F55" s="2" t="s">
        <v>39</v>
      </c>
      <c r="G55" s="2" t="s">
        <v>24</v>
      </c>
      <c r="H55" s="2">
        <v>1555</v>
      </c>
      <c r="I55" s="2">
        <v>25</v>
      </c>
      <c r="J55" s="2">
        <f t="shared" si="1"/>
        <v>1530</v>
      </c>
      <c r="K55" s="2" t="s">
        <v>237</v>
      </c>
      <c r="L55" s="2" t="s">
        <v>237</v>
      </c>
      <c r="M55" s="2" t="s">
        <v>238</v>
      </c>
      <c r="N55" s="2"/>
      <c r="O55" s="2"/>
      <c r="P55" s="2"/>
      <c r="Q55" s="2"/>
      <c r="R55">
        <v>1</v>
      </c>
    </row>
    <row r="56" spans="1:18" x14ac:dyDescent="0.2">
      <c r="A56" s="2"/>
      <c r="B56" s="2" t="s">
        <v>20</v>
      </c>
      <c r="C56" s="2" t="s">
        <v>179</v>
      </c>
      <c r="D56" s="2" t="s">
        <v>180</v>
      </c>
      <c r="E56" s="2">
        <v>310</v>
      </c>
      <c r="F56" s="2" t="s">
        <v>181</v>
      </c>
      <c r="G56" s="2" t="s">
        <v>24</v>
      </c>
      <c r="H56" s="2">
        <v>845</v>
      </c>
      <c r="I56" s="2">
        <v>25</v>
      </c>
      <c r="J56" s="2">
        <f t="shared" si="1"/>
        <v>820</v>
      </c>
      <c r="K56" s="2" t="s">
        <v>237</v>
      </c>
      <c r="L56" s="2" t="s">
        <v>237</v>
      </c>
      <c r="M56" s="2" t="s">
        <v>238</v>
      </c>
      <c r="N56" s="2"/>
      <c r="O56" s="2"/>
      <c r="P56" s="2"/>
      <c r="Q56" s="2"/>
      <c r="R56">
        <v>1</v>
      </c>
    </row>
    <row r="57" spans="1:18" x14ac:dyDescent="0.2">
      <c r="A57" s="2"/>
      <c r="B57" s="2" t="s">
        <v>20</v>
      </c>
      <c r="C57" s="2" t="s">
        <v>160</v>
      </c>
      <c r="D57" s="2" t="s">
        <v>161</v>
      </c>
      <c r="E57" s="2" t="s">
        <v>162</v>
      </c>
      <c r="F57" s="2" t="s">
        <v>163</v>
      </c>
      <c r="G57" s="2" t="s">
        <v>24</v>
      </c>
      <c r="H57" s="2">
        <v>855</v>
      </c>
      <c r="I57" s="2">
        <v>25</v>
      </c>
      <c r="J57" s="2">
        <f t="shared" si="1"/>
        <v>830</v>
      </c>
      <c r="K57" s="2" t="s">
        <v>237</v>
      </c>
      <c r="L57" s="2" t="s">
        <v>237</v>
      </c>
      <c r="M57" s="2" t="s">
        <v>238</v>
      </c>
      <c r="N57" s="2"/>
      <c r="O57" s="2"/>
      <c r="P57" s="2"/>
      <c r="Q57" s="2"/>
      <c r="R57">
        <v>1</v>
      </c>
    </row>
    <row r="58" spans="1:18" x14ac:dyDescent="0.2">
      <c r="A58" s="2" t="s">
        <v>19</v>
      </c>
      <c r="B58" s="2" t="s">
        <v>20</v>
      </c>
      <c r="C58" s="2" t="s">
        <v>228</v>
      </c>
      <c r="D58" s="2"/>
      <c r="E58" s="2">
        <v>403</v>
      </c>
      <c r="F58" s="2" t="s">
        <v>229</v>
      </c>
      <c r="G58" s="2" t="s">
        <v>24</v>
      </c>
      <c r="H58" s="2">
        <v>30</v>
      </c>
      <c r="I58" s="2">
        <v>30</v>
      </c>
      <c r="J58" s="2">
        <f t="shared" si="1"/>
        <v>0</v>
      </c>
      <c r="K58" s="2" t="s">
        <v>237</v>
      </c>
      <c r="L58" s="2" t="s">
        <v>237</v>
      </c>
      <c r="M58" s="2" t="s">
        <v>238</v>
      </c>
      <c r="N58" s="2"/>
      <c r="O58" s="2"/>
      <c r="P58" s="2"/>
      <c r="Q58" s="2"/>
      <c r="R58">
        <v>1</v>
      </c>
    </row>
    <row r="59" spans="1:18" x14ac:dyDescent="0.2">
      <c r="A59" s="2"/>
      <c r="B59" s="2" t="s">
        <v>20</v>
      </c>
      <c r="C59" s="2" t="s">
        <v>32</v>
      </c>
      <c r="D59" s="2" t="s">
        <v>33</v>
      </c>
      <c r="E59" s="2" t="s">
        <v>34</v>
      </c>
      <c r="F59" s="2" t="s">
        <v>35</v>
      </c>
      <c r="G59" s="2" t="s">
        <v>24</v>
      </c>
      <c r="H59" s="2">
        <v>0</v>
      </c>
      <c r="I59" s="2">
        <v>25</v>
      </c>
      <c r="J59" s="2">
        <f t="shared" si="1"/>
        <v>-25</v>
      </c>
      <c r="K59" s="2" t="s">
        <v>237</v>
      </c>
      <c r="L59" s="2" t="s">
        <v>237</v>
      </c>
      <c r="M59" s="2" t="s">
        <v>238</v>
      </c>
      <c r="N59" s="2"/>
      <c r="O59" s="2"/>
      <c r="P59" s="2"/>
      <c r="Q59" s="2"/>
      <c r="R59">
        <v>1</v>
      </c>
    </row>
    <row r="60" spans="1:18" x14ac:dyDescent="0.2">
      <c r="A60" s="2" t="s">
        <v>19</v>
      </c>
      <c r="B60" s="2" t="s">
        <v>20</v>
      </c>
      <c r="C60" s="2" t="s">
        <v>232</v>
      </c>
      <c r="D60" s="2"/>
      <c r="E60" s="2">
        <v>58</v>
      </c>
      <c r="F60" s="2" t="s">
        <v>233</v>
      </c>
      <c r="G60" s="2" t="s">
        <v>115</v>
      </c>
      <c r="H60" s="2">
        <v>35</v>
      </c>
      <c r="I60" s="2">
        <v>35</v>
      </c>
      <c r="J60" s="2">
        <f t="shared" si="1"/>
        <v>0</v>
      </c>
      <c r="K60" s="2" t="s">
        <v>237</v>
      </c>
      <c r="L60" s="2" t="s">
        <v>237</v>
      </c>
      <c r="M60" s="2" t="s">
        <v>238</v>
      </c>
      <c r="N60" s="2"/>
      <c r="O60" s="2"/>
      <c r="P60" s="2"/>
      <c r="Q60" s="2"/>
      <c r="R60">
        <v>1</v>
      </c>
    </row>
    <row r="61" spans="1:18" x14ac:dyDescent="0.2">
      <c r="A61" s="2"/>
      <c r="B61" s="2" t="s">
        <v>20</v>
      </c>
      <c r="C61" s="2" t="s">
        <v>112</v>
      </c>
      <c r="D61" s="2" t="s">
        <v>113</v>
      </c>
      <c r="E61" s="2">
        <v>55</v>
      </c>
      <c r="F61" s="2" t="s">
        <v>114</v>
      </c>
      <c r="G61" s="2" t="s">
        <v>115</v>
      </c>
      <c r="H61" s="2">
        <v>850</v>
      </c>
      <c r="I61" s="2">
        <v>30</v>
      </c>
      <c r="J61" s="2">
        <f t="shared" si="1"/>
        <v>820</v>
      </c>
      <c r="K61" s="2" t="s">
        <v>237</v>
      </c>
      <c r="L61" s="2" t="s">
        <v>237</v>
      </c>
      <c r="M61" s="2" t="s">
        <v>238</v>
      </c>
      <c r="N61" s="2"/>
      <c r="O61" s="2"/>
      <c r="P61" s="2"/>
      <c r="Q61" s="2"/>
      <c r="R61">
        <v>1</v>
      </c>
    </row>
    <row r="62" spans="1:18" x14ac:dyDescent="0.2">
      <c r="A62" s="2"/>
      <c r="B62" s="2" t="s">
        <v>20</v>
      </c>
      <c r="C62" s="2" t="s">
        <v>142</v>
      </c>
      <c r="D62" s="2" t="s">
        <v>143</v>
      </c>
      <c r="E62" s="2" t="s">
        <v>144</v>
      </c>
      <c r="F62" s="2" t="s">
        <v>145</v>
      </c>
      <c r="G62" s="2" t="s">
        <v>115</v>
      </c>
      <c r="H62" s="2">
        <v>470</v>
      </c>
      <c r="I62" s="2">
        <v>30</v>
      </c>
      <c r="J62" s="2">
        <f t="shared" si="1"/>
        <v>440</v>
      </c>
      <c r="K62" s="2" t="s">
        <v>237</v>
      </c>
      <c r="L62" s="2" t="s">
        <v>237</v>
      </c>
      <c r="M62" s="2" t="s">
        <v>238</v>
      </c>
      <c r="N62" s="2"/>
      <c r="O62" s="2"/>
      <c r="P62" s="2"/>
      <c r="Q62" s="2"/>
      <c r="R62">
        <v>1</v>
      </c>
    </row>
    <row r="63" spans="1:18" x14ac:dyDescent="0.2">
      <c r="A63" s="2"/>
      <c r="B63" s="2" t="s">
        <v>20</v>
      </c>
      <c r="C63" s="2" t="s">
        <v>136</v>
      </c>
      <c r="D63" s="2" t="s">
        <v>137</v>
      </c>
      <c r="E63" s="2">
        <v>36</v>
      </c>
      <c r="F63" s="2" t="s">
        <v>138</v>
      </c>
      <c r="G63" s="2">
        <v>9</v>
      </c>
      <c r="H63" s="2">
        <v>410</v>
      </c>
      <c r="I63" s="2">
        <v>30</v>
      </c>
      <c r="J63" s="2">
        <f t="shared" si="1"/>
        <v>380</v>
      </c>
      <c r="K63" s="2" t="s">
        <v>239</v>
      </c>
      <c r="L63" s="2" t="s">
        <v>237</v>
      </c>
      <c r="M63" s="2" t="s">
        <v>238</v>
      </c>
      <c r="N63" s="2"/>
      <c r="O63" s="2"/>
      <c r="P63" s="2"/>
      <c r="Q63" s="2"/>
      <c r="R63">
        <v>1</v>
      </c>
    </row>
    <row r="64" spans="1:18" x14ac:dyDescent="0.2">
      <c r="A64" s="2"/>
      <c r="B64" s="2" t="s">
        <v>20</v>
      </c>
      <c r="C64" s="2" t="s">
        <v>221</v>
      </c>
      <c r="D64" s="2" t="s">
        <v>222</v>
      </c>
      <c r="E64" s="2" t="s">
        <v>223</v>
      </c>
      <c r="F64" s="2" t="s">
        <v>224</v>
      </c>
      <c r="G64" s="2">
        <v>9</v>
      </c>
      <c r="H64" s="2">
        <v>520</v>
      </c>
      <c r="I64" s="2">
        <v>30</v>
      </c>
      <c r="J64" s="2">
        <f t="shared" si="1"/>
        <v>490</v>
      </c>
      <c r="K64" s="2" t="s">
        <v>239</v>
      </c>
      <c r="L64" s="2" t="s">
        <v>237</v>
      </c>
      <c r="M64" s="2" t="s">
        <v>238</v>
      </c>
      <c r="N64" s="2"/>
      <c r="O64" s="2"/>
      <c r="P64" s="2"/>
      <c r="Q64" s="2"/>
      <c r="R64">
        <v>1</v>
      </c>
    </row>
    <row r="65" spans="1:26" x14ac:dyDescent="0.2">
      <c r="A65" s="2"/>
      <c r="B65" s="2" t="s">
        <v>20</v>
      </c>
      <c r="C65" s="2" t="s">
        <v>21</v>
      </c>
      <c r="D65" s="2" t="s">
        <v>22</v>
      </c>
      <c r="E65" s="2">
        <v>76</v>
      </c>
      <c r="F65" s="2" t="s">
        <v>23</v>
      </c>
      <c r="G65" s="2">
        <v>9</v>
      </c>
      <c r="H65" s="2">
        <v>870</v>
      </c>
      <c r="I65" s="2">
        <v>30</v>
      </c>
      <c r="J65" s="2">
        <f t="shared" si="1"/>
        <v>840</v>
      </c>
      <c r="K65" s="2" t="s">
        <v>239</v>
      </c>
      <c r="L65" s="2" t="s">
        <v>237</v>
      </c>
      <c r="M65" s="2" t="s">
        <v>238</v>
      </c>
      <c r="N65" s="2"/>
      <c r="O65" s="2"/>
      <c r="P65" s="2"/>
      <c r="Q65" s="2"/>
      <c r="R65">
        <v>1</v>
      </c>
    </row>
    <row r="66" spans="1:26" x14ac:dyDescent="0.2">
      <c r="A66" s="2"/>
      <c r="B66" s="2" t="s">
        <v>20</v>
      </c>
      <c r="C66" s="2" t="s">
        <v>171</v>
      </c>
      <c r="D66" s="2" t="s">
        <v>172</v>
      </c>
      <c r="E66" s="2" t="s">
        <v>173</v>
      </c>
      <c r="F66" s="2" t="s">
        <v>174</v>
      </c>
      <c r="G66" s="2">
        <v>9</v>
      </c>
      <c r="H66" s="2">
        <v>470</v>
      </c>
      <c r="I66" s="2">
        <v>30</v>
      </c>
      <c r="J66" s="2">
        <f t="shared" si="1"/>
        <v>440</v>
      </c>
      <c r="K66" s="2" t="s">
        <v>239</v>
      </c>
      <c r="L66" s="2" t="s">
        <v>237</v>
      </c>
      <c r="M66" s="2" t="s">
        <v>238</v>
      </c>
      <c r="N66" s="2"/>
      <c r="O66" s="2"/>
      <c r="P66" s="2"/>
      <c r="Q66" s="2"/>
      <c r="R66">
        <v>1</v>
      </c>
    </row>
    <row r="68" spans="1:26" x14ac:dyDescent="0.2">
      <c r="H68">
        <f>SUBTOTAL(9,H3:H67)</f>
        <v>35905</v>
      </c>
      <c r="I68">
        <f t="shared" ref="I68:R68" si="2">SUBTOTAL(9,I3:I67)</f>
        <v>1615</v>
      </c>
      <c r="J68">
        <f t="shared" si="2"/>
        <v>34290</v>
      </c>
      <c r="K68">
        <f t="shared" si="2"/>
        <v>0</v>
      </c>
      <c r="L68">
        <f t="shared" si="2"/>
        <v>0</v>
      </c>
      <c r="M68">
        <f t="shared" si="2"/>
        <v>0</v>
      </c>
      <c r="N68">
        <f t="shared" si="2"/>
        <v>0</v>
      </c>
      <c r="O68">
        <f t="shared" si="2"/>
        <v>0</v>
      </c>
      <c r="P68">
        <f t="shared" si="2"/>
        <v>0</v>
      </c>
      <c r="Q68">
        <f t="shared" si="2"/>
        <v>0</v>
      </c>
      <c r="R68">
        <f t="shared" si="2"/>
        <v>64</v>
      </c>
    </row>
    <row r="69" spans="1:26" x14ac:dyDescent="0.2">
      <c r="I69">
        <f>-11*17</f>
        <v>-187</v>
      </c>
      <c r="J69">
        <v>11</v>
      </c>
    </row>
    <row r="70" spans="1:26" ht="15" x14ac:dyDescent="0.25">
      <c r="A70" s="2" t="s">
        <v>20</v>
      </c>
      <c r="B70" s="2"/>
      <c r="C70" s="41" t="s">
        <v>242</v>
      </c>
      <c r="D70" s="42"/>
      <c r="E70" s="8" t="s">
        <v>243</v>
      </c>
      <c r="F70" s="9"/>
      <c r="G70" s="9"/>
      <c r="H70" s="9"/>
      <c r="I70" s="10">
        <f>-7*25</f>
        <v>-175</v>
      </c>
      <c r="J70" s="9">
        <v>7</v>
      </c>
      <c r="K70" s="9"/>
      <c r="L70" s="2" t="s">
        <v>239</v>
      </c>
      <c r="M70" s="11" t="s">
        <v>244</v>
      </c>
      <c r="N70" s="11" t="s">
        <v>243</v>
      </c>
      <c r="O70" s="9"/>
      <c r="P70" s="9" t="s">
        <v>245</v>
      </c>
      <c r="Q70" s="12" t="s">
        <v>266</v>
      </c>
      <c r="R70" s="9"/>
      <c r="S70" s="9"/>
      <c r="T70" s="9"/>
      <c r="U70" s="9"/>
      <c r="V70" s="9"/>
      <c r="W70" s="10"/>
      <c r="X70" s="10"/>
      <c r="Y70" s="10"/>
      <c r="Z70" s="10"/>
    </row>
    <row r="71" spans="1:26" ht="15" x14ac:dyDescent="0.25">
      <c r="A71" s="2" t="s">
        <v>238</v>
      </c>
      <c r="B71" s="2" t="s">
        <v>246</v>
      </c>
      <c r="C71" s="43">
        <f>SUMIFS(H$3:H$93,$B$3:$B$93,$A70,$M$3:$M$93,$A71)</f>
        <v>35055</v>
      </c>
      <c r="D71" s="44"/>
      <c r="E71" s="13">
        <f>SUMIFS(R$3:R$93,$B$3:$B$93,$A70,$M$3:$M$93,$A71)</f>
        <v>63</v>
      </c>
      <c r="F71" s="14" t="s">
        <v>247</v>
      </c>
      <c r="G71" s="9"/>
      <c r="H71" s="9"/>
      <c r="I71" s="10"/>
      <c r="J71" s="9"/>
      <c r="K71" s="9"/>
      <c r="L71" s="15" t="s">
        <v>248</v>
      </c>
      <c r="M71" s="16">
        <f>SUMIFS(H$3:H$93,$K$3:$K$93,$L70)</f>
        <v>2270</v>
      </c>
      <c r="N71" s="16">
        <f>SUMIFS($R$3:$R$93,$K$3:$K$93,$L70)</f>
        <v>4</v>
      </c>
      <c r="O71" s="9"/>
      <c r="P71" s="17" t="s">
        <v>249</v>
      </c>
      <c r="Q71" s="17">
        <v>11243</v>
      </c>
      <c r="R71" s="9"/>
      <c r="S71" s="9"/>
      <c r="T71" s="9"/>
      <c r="U71" s="9"/>
      <c r="V71" s="9"/>
      <c r="W71" s="10"/>
      <c r="X71" s="10"/>
      <c r="Y71" s="10"/>
      <c r="Z71" s="10"/>
    </row>
    <row r="72" spans="1:26" ht="15" x14ac:dyDescent="0.25">
      <c r="A72" s="9"/>
      <c r="B72" s="18" t="s">
        <v>250</v>
      </c>
      <c r="C72" s="45">
        <f>-SUMIFS(I$3:I$93,$B$3:$B$93,$A70,$M$3:$M$93,$A71)</f>
        <v>-1585</v>
      </c>
      <c r="D72" s="46"/>
      <c r="E72" s="19">
        <f>SUMIFS(R$3:R$93,$B$3:$B$93,$A70,$M$3:$M$93,$A71)</f>
        <v>63</v>
      </c>
      <c r="F72" s="9"/>
      <c r="G72" s="9"/>
      <c r="H72" s="9"/>
      <c r="I72" s="9"/>
      <c r="J72" s="9"/>
      <c r="K72" s="9"/>
      <c r="L72" s="15" t="s">
        <v>251</v>
      </c>
      <c r="M72" s="16">
        <v>-100</v>
      </c>
      <c r="N72" s="20"/>
      <c r="O72" s="9"/>
      <c r="P72" s="17" t="s">
        <v>252</v>
      </c>
      <c r="Q72" s="17">
        <v>1345</v>
      </c>
      <c r="R72" s="9"/>
      <c r="S72" s="9"/>
      <c r="T72" s="9"/>
      <c r="U72" s="9"/>
      <c r="V72" s="9"/>
      <c r="W72" s="10"/>
      <c r="X72" s="10"/>
      <c r="Y72" s="10"/>
      <c r="Z72" s="10"/>
    </row>
    <row r="73" spans="1:26" ht="15" x14ac:dyDescent="0.25">
      <c r="A73" s="9"/>
      <c r="B73" s="15" t="s">
        <v>253</v>
      </c>
      <c r="C73" s="47">
        <f>-SUMIFS(J$3:J$69,$B$3:$B$69,$A70,$Q$3:$Q$69,"xx",$O$3:$O$69,"x")</f>
        <v>-840</v>
      </c>
      <c r="D73" s="48"/>
      <c r="E73" s="21">
        <f>SUMIFS($R$3:$R$106,$B$3:$B$106,$A70,$Q$3:$Q$106,"xx",$O$3:$O$106,"x")</f>
        <v>1</v>
      </c>
      <c r="F73" s="9"/>
      <c r="G73" s="10"/>
      <c r="H73" s="9"/>
      <c r="I73" s="9"/>
      <c r="J73" s="9"/>
      <c r="K73" s="9"/>
      <c r="L73" s="22" t="s">
        <v>254</v>
      </c>
      <c r="M73" s="23"/>
      <c r="N73" s="20"/>
      <c r="O73" s="9"/>
      <c r="P73" s="17" t="s">
        <v>255</v>
      </c>
      <c r="Q73" s="17">
        <v>14282</v>
      </c>
      <c r="R73" s="9"/>
      <c r="S73" s="9"/>
      <c r="T73" s="9"/>
      <c r="U73" s="9"/>
      <c r="V73" s="9"/>
      <c r="W73" s="10"/>
      <c r="X73" s="10"/>
      <c r="Y73" s="10"/>
      <c r="Z73" s="10"/>
    </row>
    <row r="74" spans="1:26" ht="15" x14ac:dyDescent="0.25">
      <c r="A74" s="9"/>
      <c r="B74" s="24" t="s">
        <v>256</v>
      </c>
      <c r="C74" s="49">
        <f>SUBTOTAL(9,C70:C73)</f>
        <v>32630</v>
      </c>
      <c r="D74" s="50"/>
      <c r="E74" s="25">
        <f>E71</f>
        <v>63</v>
      </c>
      <c r="F74" s="9"/>
      <c r="G74" s="9"/>
      <c r="H74" s="9"/>
      <c r="I74" s="9"/>
      <c r="J74" s="9"/>
      <c r="K74" s="9"/>
      <c r="L74" s="26" t="s">
        <v>257</v>
      </c>
      <c r="M74" s="27">
        <v>-825</v>
      </c>
      <c r="N74" s="27"/>
      <c r="O74" s="9"/>
      <c r="P74" s="17" t="s">
        <v>258</v>
      </c>
      <c r="Q74" s="17">
        <v>6005</v>
      </c>
      <c r="R74" s="9"/>
      <c r="S74" s="9"/>
      <c r="T74" s="9"/>
      <c r="U74" s="9"/>
      <c r="V74" s="9"/>
      <c r="W74" s="10"/>
      <c r="X74" s="10"/>
      <c r="Y74" s="10"/>
      <c r="Z74" s="10"/>
    </row>
    <row r="75" spans="1:26" ht="15" x14ac:dyDescent="0.25">
      <c r="A75" s="9"/>
      <c r="B75" s="28" t="s">
        <v>259</v>
      </c>
      <c r="C75" s="51"/>
      <c r="D75" s="52"/>
      <c r="E75" s="20"/>
      <c r="F75" s="9"/>
      <c r="G75" s="9"/>
      <c r="J75" s="9"/>
      <c r="K75" s="9"/>
      <c r="L75" s="29" t="s">
        <v>260</v>
      </c>
      <c r="M75" s="30"/>
      <c r="N75" s="30"/>
      <c r="O75" s="9"/>
      <c r="P75" s="17" t="s">
        <v>261</v>
      </c>
      <c r="Q75" s="17">
        <f>-C77</f>
        <v>-32630</v>
      </c>
      <c r="R75" s="9"/>
      <c r="S75" s="9"/>
      <c r="T75" s="9"/>
      <c r="U75" s="9"/>
      <c r="V75" s="9"/>
      <c r="W75" s="10"/>
      <c r="X75" s="10"/>
      <c r="Y75" s="10"/>
      <c r="Z75" s="10"/>
    </row>
    <row r="76" spans="1:26" ht="15" x14ac:dyDescent="0.25">
      <c r="A76" s="9"/>
      <c r="B76" s="31" t="s">
        <v>262</v>
      </c>
      <c r="C76" s="37"/>
      <c r="D76" s="38"/>
      <c r="E76" s="32"/>
      <c r="F76" s="9"/>
      <c r="G76" s="9"/>
      <c r="J76" s="9"/>
      <c r="K76" s="9"/>
      <c r="L76" s="33"/>
      <c r="M76" s="34">
        <f>SUBTOTAL(9,M71:M75)</f>
        <v>1345</v>
      </c>
      <c r="N76" s="34">
        <f t="shared" ref="N76" si="3">SUBTOTAL(9,N71:N75)</f>
        <v>4</v>
      </c>
      <c r="P76" s="35" t="s">
        <v>263</v>
      </c>
      <c r="Q76" s="6">
        <f>SUBTOTAL(9,Q71:Q75)</f>
        <v>245</v>
      </c>
      <c r="R76" s="9"/>
      <c r="S76" s="9"/>
      <c r="T76" s="9"/>
      <c r="U76" s="9"/>
      <c r="V76" s="9"/>
      <c r="W76" s="9"/>
      <c r="X76" s="9"/>
      <c r="Y76" s="9"/>
      <c r="Z76" s="9"/>
    </row>
    <row r="77" spans="1:26" ht="15" x14ac:dyDescent="0.25">
      <c r="A77" s="9"/>
      <c r="B77" s="15" t="s">
        <v>264</v>
      </c>
      <c r="C77" s="39">
        <f>C74+C75+C76</f>
        <v>32630</v>
      </c>
      <c r="D77" s="40"/>
      <c r="E77" s="36" t="s">
        <v>265</v>
      </c>
      <c r="F77" s="9"/>
      <c r="G77" s="9"/>
      <c r="J77" s="9"/>
      <c r="K77" s="9"/>
      <c r="L77" s="32"/>
      <c r="M77" s="32"/>
      <c r="N77" s="32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</sheetData>
  <autoFilter ref="A2:Q66" xr:uid="{F28604F7-D21B-4533-8AD0-8E4BB48433FE}">
    <sortState xmlns:xlrd2="http://schemas.microsoft.com/office/spreadsheetml/2017/richdata2" ref="A3:Q66">
      <sortCondition descending="1" ref="Q2:Q66"/>
    </sortState>
  </autoFilter>
  <mergeCells count="8">
    <mergeCell ref="C76:D76"/>
    <mergeCell ref="C77:D77"/>
    <mergeCell ref="C70:D70"/>
    <mergeCell ref="C71:D71"/>
    <mergeCell ref="C72:D72"/>
    <mergeCell ref="C73:D73"/>
    <mergeCell ref="C74:D74"/>
    <mergeCell ref="C75:D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CEA2-FA47-4FA9-8504-C878998B6583}">
  <dimension ref="B3:B14"/>
  <sheetViews>
    <sheetView workbookViewId="0">
      <selection activeCell="C14" sqref="C14"/>
    </sheetView>
  </sheetViews>
  <sheetFormatPr defaultRowHeight="14.25" x14ac:dyDescent="0.2"/>
  <sheetData>
    <row r="3" spans="2:2" x14ac:dyDescent="0.2">
      <c r="B3">
        <v>845</v>
      </c>
    </row>
    <row r="4" spans="2:2" x14ac:dyDescent="0.2">
      <c r="B4">
        <v>845</v>
      </c>
    </row>
    <row r="5" spans="2:2" x14ac:dyDescent="0.2">
      <c r="B5">
        <v>815</v>
      </c>
    </row>
    <row r="6" spans="2:2" x14ac:dyDescent="0.2">
      <c r="B6">
        <v>860</v>
      </c>
    </row>
    <row r="7" spans="2:2" x14ac:dyDescent="0.2">
      <c r="B7">
        <v>850</v>
      </c>
    </row>
    <row r="8" spans="2:2" x14ac:dyDescent="0.2">
      <c r="B8">
        <v>605</v>
      </c>
    </row>
    <row r="9" spans="2:2" x14ac:dyDescent="0.2">
      <c r="B9">
        <v>590</v>
      </c>
    </row>
    <row r="10" spans="2:2" x14ac:dyDescent="0.2">
      <c r="B10">
        <v>1075</v>
      </c>
    </row>
    <row r="11" spans="2:2" x14ac:dyDescent="0.2">
      <c r="B11">
        <v>850</v>
      </c>
    </row>
    <row r="12" spans="2:2" x14ac:dyDescent="0.2">
      <c r="B12">
        <v>850</v>
      </c>
    </row>
    <row r="13" spans="2:2" x14ac:dyDescent="0.2">
      <c r="B13">
        <v>2570</v>
      </c>
    </row>
    <row r="14" spans="2:2" x14ac:dyDescent="0.2">
      <c r="B14">
        <f>SUM(B3:B13)</f>
        <v>10755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BTT-GN</dc:creator>
  <cp:lastModifiedBy>BTT-GN</cp:lastModifiedBy>
  <dcterms:created xsi:type="dcterms:W3CDTF">2026-03-09T05:26:15Z</dcterms:created>
  <dcterms:modified xsi:type="dcterms:W3CDTF">2026-03-10T02:10:14Z</dcterms:modified>
</cp:coreProperties>
</file>