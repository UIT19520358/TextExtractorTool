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TextExtractorTool\data\Mar\11-03-2026\"/>
    </mc:Choice>
  </mc:AlternateContent>
  <xr:revisionPtr revIDLastSave="0" documentId="13_ncr:1_{21505C34-0AD2-4515-B52A-A6DE85FFD916}" xr6:coauthVersionLast="47" xr6:coauthVersionMax="47" xr10:uidLastSave="{00000000-0000-0000-0000-000000000000}"/>
  <bookViews>
    <workbookView xWindow="-120" yWindow="-120" windowWidth="29040" windowHeight="15720" xr2:uid="{F8E69482-8B29-4E28-ACA9-4E97307A0D99}"/>
  </bookViews>
  <sheets>
    <sheet name="Sheet1" sheetId="1" r:id="rId1"/>
    <sheet name="Sheet2" sheetId="2" r:id="rId2"/>
  </sheets>
  <definedNames>
    <definedName name="_xlnm._FilterDatabase" localSheetId="0" hidden="1">Sheet1!$A$2:$Q$25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E31" i="1"/>
  <c r="C31" i="1"/>
  <c r="E30" i="1"/>
  <c r="E33" i="1" s="1"/>
  <c r="C30" i="1"/>
  <c r="I27" i="1"/>
  <c r="K27" i="1"/>
  <c r="N30" i="1" s="1"/>
  <c r="N35" i="1" s="1"/>
  <c r="L27" i="1"/>
  <c r="M27" i="1"/>
  <c r="N27" i="1"/>
  <c r="O27" i="1"/>
  <c r="P27" i="1"/>
  <c r="Q27" i="1"/>
  <c r="R27" i="1"/>
  <c r="H27" i="1"/>
  <c r="J3" i="1"/>
  <c r="M30" i="1" l="1"/>
  <c r="M35" i="1" s="1"/>
  <c r="A5" i="2" l="1"/>
  <c r="J24" i="1"/>
  <c r="J17" i="1"/>
  <c r="J6" i="1"/>
  <c r="J7" i="1"/>
  <c r="J10" i="1"/>
  <c r="J8" i="1"/>
  <c r="J25" i="1"/>
  <c r="J9" i="1"/>
  <c r="J18" i="1"/>
  <c r="J21" i="1"/>
  <c r="J20" i="1"/>
  <c r="J22" i="1"/>
  <c r="J12" i="1"/>
  <c r="J19" i="1"/>
  <c r="J5" i="1"/>
  <c r="J16" i="1"/>
  <c r="J13" i="1"/>
  <c r="J11" i="1"/>
  <c r="J14" i="1"/>
  <c r="J4" i="1"/>
  <c r="C32" i="1" s="1"/>
  <c r="C33" i="1" s="1"/>
  <c r="C36" i="1" s="1"/>
  <c r="Q34" i="1" s="1"/>
  <c r="Q35" i="1" s="1"/>
  <c r="J15" i="1"/>
  <c r="J23" i="1"/>
  <c r="J27" i="1" l="1"/>
</calcChain>
</file>

<file path=xl/sharedStrings.xml><?xml version="1.0" encoding="utf-8"?>
<sst xmlns="http://schemas.openxmlformats.org/spreadsheetml/2006/main" count="248" uniqueCount="149">
  <si>
    <t>Tình trạng TT</t>
  </si>
  <si>
    <t>SHOP</t>
  </si>
  <si>
    <t>TÊN KH</t>
  </si>
  <si>
    <t>MÃ</t>
  </si>
  <si>
    <t>SỐ NHÀ</t>
  </si>
  <si>
    <t>TÊN ĐƯỜNG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</si>
  <si>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</si>
  <si>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</si>
  <si>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</si>
  <si>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</si>
  <si>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</si>
  <si>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</si>
  <si>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</si>
  <si>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</si>
  <si>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</si>
  <si>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</si>
  <si>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</si>
  <si>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THU 4</t>
  </si>
  <si>
    <t>NGAY 11-3</t>
  </si>
  <si>
    <t>chau ngan</t>
  </si>
  <si>
    <t>kokoro hat</t>
  </si>
  <si>
    <t>hd000331</t>
  </si>
  <si>
    <t>cc hope</t>
  </si>
  <si>
    <t>phan huy ich</t>
  </si>
  <si>
    <t>tan binh</t>
  </si>
  <si>
    <t>hi ha</t>
  </si>
  <si>
    <t>hd000630</t>
  </si>
  <si>
    <t>can ho florita</t>
  </si>
  <si>
    <t>duong D4</t>
  </si>
  <si>
    <t>đổi hàng</t>
  </si>
  <si>
    <t>hy hy</t>
  </si>
  <si>
    <t>hd000681</t>
  </si>
  <si>
    <t>662/4,</t>
  </si>
  <si>
    <t>su vna hanh</t>
  </si>
  <si>
    <t>khanh linh</t>
  </si>
  <si>
    <t>hd000495</t>
  </si>
  <si>
    <t>ben van don</t>
  </si>
  <si>
    <t>ngoc elly</t>
  </si>
  <si>
    <t>hd000655</t>
  </si>
  <si>
    <t>54b</t>
  </si>
  <si>
    <t>nguyen van troi</t>
  </si>
  <si>
    <t>phu nhuan</t>
  </si>
  <si>
    <t>yen nhu</t>
  </si>
  <si>
    <t>hd000674</t>
  </si>
  <si>
    <t>bung ong thoan</t>
  </si>
  <si>
    <t>sang pham</t>
  </si>
  <si>
    <t>hd000606</t>
  </si>
  <si>
    <t>221/7/2,</t>
  </si>
  <si>
    <t>dat thanh</t>
  </si>
  <si>
    <t>yen yen</t>
  </si>
  <si>
    <t>hd000278</t>
  </si>
  <si>
    <t>toa t5</t>
  </si>
  <si>
    <t>masteri</t>
  </si>
  <si>
    <t>ngoc trang</t>
  </si>
  <si>
    <t>hd000367</t>
  </si>
  <si>
    <t>le van duyet</t>
  </si>
  <si>
    <t>binh thanh</t>
  </si>
  <si>
    <t>le tuong vy</t>
  </si>
  <si>
    <t>hd000535</t>
  </si>
  <si>
    <t>194/4/5,</t>
  </si>
  <si>
    <t>bui dinh tuy</t>
  </si>
  <si>
    <t>pham huong</t>
  </si>
  <si>
    <t>hd000519</t>
  </si>
  <si>
    <t>764/50/41,</t>
  </si>
  <si>
    <t>pham van chieu</t>
  </si>
  <si>
    <t>go vap</t>
  </si>
  <si>
    <t>khoa le dang</t>
  </si>
  <si>
    <t>hd000626</t>
  </si>
  <si>
    <t>cc A2</t>
  </si>
  <si>
    <t>phan xich long</t>
  </si>
  <si>
    <t>cam tu</t>
  </si>
  <si>
    <t>hd000609</t>
  </si>
  <si>
    <t>cc q2</t>
  </si>
  <si>
    <t>vo truong toan</t>
  </si>
  <si>
    <t>jj huy dang</t>
  </si>
  <si>
    <t>hd000613</t>
  </si>
  <si>
    <t>423/21,</t>
  </si>
  <si>
    <t>doan van bo</t>
  </si>
  <si>
    <t>nguyen thu thao</t>
  </si>
  <si>
    <t>hd000621</t>
  </si>
  <si>
    <t>A5/16Q</t>
  </si>
  <si>
    <t>ql1a</t>
  </si>
  <si>
    <t>btan</t>
  </si>
  <si>
    <t>hoa tran</t>
  </si>
  <si>
    <t>hd000603</t>
  </si>
  <si>
    <t>ds8</t>
  </si>
  <si>
    <t>anh thu nguyen</t>
  </si>
  <si>
    <t>hd000173</t>
  </si>
  <si>
    <t>cao thang</t>
  </si>
  <si>
    <t>kim anh pham</t>
  </si>
  <si>
    <t>hd000426</t>
  </si>
  <si>
    <t>16 cx binh minh</t>
  </si>
  <si>
    <t>duong ba trac</t>
  </si>
  <si>
    <t>tran quynh giao</t>
  </si>
  <si>
    <t>hd000620</t>
  </si>
  <si>
    <t>26/22,</t>
  </si>
  <si>
    <t>ds7</t>
  </si>
  <si>
    <t>heng roza</t>
  </si>
  <si>
    <t>hd000386</t>
  </si>
  <si>
    <t>315/18/6,</t>
  </si>
  <si>
    <t>nguyen thi tu</t>
  </si>
  <si>
    <t>lily kim</t>
  </si>
  <si>
    <t>hd000640</t>
  </si>
  <si>
    <t>tran van du</t>
  </si>
  <si>
    <t>hang si</t>
  </si>
  <si>
    <t>naby 22</t>
  </si>
  <si>
    <t>90/35,</t>
  </si>
  <si>
    <t>tran van on</t>
  </si>
  <si>
    <t>tphu</t>
  </si>
  <si>
    <t>c.cuong</t>
  </si>
  <si>
    <t>11-03-2026.</t>
  </si>
  <si>
    <t>tuyet nguyen</t>
  </si>
  <si>
    <t>hd136516</t>
  </si>
  <si>
    <t>91/5/17,</t>
  </si>
  <si>
    <t>thu duc</t>
  </si>
  <si>
    <t>09-03-2026.</t>
  </si>
  <si>
    <t>luu tra</t>
  </si>
  <si>
    <t>ko lấy</t>
  </si>
  <si>
    <t>x</t>
  </si>
  <si>
    <t>xx</t>
  </si>
  <si>
    <t>a hieu</t>
  </si>
  <si>
    <t>quyen</t>
  </si>
  <si>
    <t>AT 11-3</t>
  </si>
  <si>
    <t>Tiền</t>
  </si>
  <si>
    <t>Số đơn</t>
  </si>
  <si>
    <t>Tiền Thu</t>
  </si>
  <si>
    <t>lợi nhuận</t>
  </si>
  <si>
    <t>10-3</t>
  </si>
  <si>
    <t>cod</t>
  </si>
  <si>
    <t>Sài Gòn</t>
  </si>
  <si>
    <t>TỔNG ĐƠN NHẬN</t>
  </si>
  <si>
    <t>an tâm</t>
  </si>
  <si>
    <t xml:space="preserve">Trừ Tiền Ship  </t>
  </si>
  <si>
    <t>tiền ship</t>
  </si>
  <si>
    <t>quyền</t>
  </si>
  <si>
    <t>Đơn trả &amp; c.khoản</t>
  </si>
  <si>
    <t>tiền lấy</t>
  </si>
  <si>
    <t>chú cường</t>
  </si>
  <si>
    <t>Tiền Hàng Hcm</t>
  </si>
  <si>
    <t>đơn trả</t>
  </si>
  <si>
    <t>a hiếu</t>
  </si>
  <si>
    <t>đền đơn</t>
  </si>
  <si>
    <t>đơn cũ ck</t>
  </si>
  <si>
    <t>shop</t>
  </si>
  <si>
    <t>nợ cũ</t>
  </si>
  <si>
    <t>tổng</t>
  </si>
  <si>
    <t>THANH TOÁN</t>
  </si>
  <si>
    <t>CK ĐỦ 100%</t>
  </si>
  <si>
    <t>trả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</si>
</sst>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General"/>
  </numFmts>
  <fonts count="10" x14ac:knownFonts="1">
    <font>
      <sz val="11"/>
      <color theme="1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164" fontId="3" fillId="3" borderId="1" xfId="0" applyNumberFormat="1" applyFont="1" applyFill="1" applyBorder="1" applyAlignment="1">
      <alignment horizontal="right"/>
    </xf>
    <xf numFmtId="164" fontId="4" fillId="0" borderId="0" xfId="0" applyNumberFormat="1" applyFont="1"/>
    <xf numFmtId="0" fontId="4" fillId="0" borderId="0" xfId="0" applyFont="1"/>
    <xf numFmtId="164" fontId="5" fillId="3" borderId="4" xfId="0" applyNumberFormat="1" applyFont="1" applyFill="1" applyBorder="1"/>
    <xf numFmtId="164" fontId="4" fillId="0" borderId="0" xfId="0" quotePrefix="1" applyNumberFormat="1" applyFont="1"/>
    <xf numFmtId="164" fontId="5" fillId="0" borderId="1" xfId="0" applyNumberFormat="1" applyFont="1" applyBorder="1" applyAlignment="1">
      <alignment horizontal="right"/>
    </xf>
    <xf numFmtId="164" fontId="3" fillId="0" borderId="0" xfId="0" applyNumberFormat="1" applyFont="1"/>
    <xf numFmtId="164" fontId="3" fillId="0" borderId="4" xfId="0" applyNumberFormat="1" applyFont="1" applyBorder="1"/>
    <xf numFmtId="164" fontId="3" fillId="0" borderId="4" xfId="0" applyNumberFormat="1" applyFont="1" applyBorder="1" applyAlignment="1">
      <alignment horizontal="right"/>
    </xf>
    <xf numFmtId="164" fontId="4" fillId="0" borderId="1" xfId="0" applyNumberFormat="1" applyFont="1" applyBorder="1"/>
    <xf numFmtId="164" fontId="5" fillId="0" borderId="5" xfId="0" applyNumberFormat="1" applyFont="1" applyBorder="1"/>
    <xf numFmtId="164" fontId="5" fillId="0" borderId="5" xfId="0" applyNumberFormat="1" applyFont="1" applyBorder="1" applyAlignment="1">
      <alignment horizontal="right"/>
    </xf>
    <xf numFmtId="164" fontId="4" fillId="0" borderId="4" xfId="0" applyNumberFormat="1" applyFont="1" applyBorder="1"/>
    <xf numFmtId="164" fontId="7" fillId="0" borderId="4" xfId="0" applyNumberFormat="1" applyFont="1" applyBorder="1" applyAlignment="1">
      <alignment horizontal="right"/>
    </xf>
    <xf numFmtId="164" fontId="8" fillId="0" borderId="4" xfId="0" applyNumberFormat="1" applyFont="1" applyBorder="1"/>
    <xf numFmtId="164" fontId="8" fillId="0" borderId="4" xfId="0" applyNumberFormat="1" applyFont="1" applyBorder="1" applyAlignment="1">
      <alignment horizontal="right"/>
    </xf>
    <xf numFmtId="164" fontId="3" fillId="4" borderId="4" xfId="0" applyNumberFormat="1" applyFont="1" applyFill="1" applyBorder="1"/>
    <xf numFmtId="164" fontId="3" fillId="4" borderId="4" xfId="0" applyNumberFormat="1" applyFont="1" applyFill="1" applyBorder="1" applyAlignment="1">
      <alignment horizontal="right"/>
    </xf>
    <xf numFmtId="164" fontId="6" fillId="0" borderId="4" xfId="0" applyNumberFormat="1" applyFont="1" applyBorder="1"/>
    <xf numFmtId="164" fontId="9" fillId="0" borderId="4" xfId="0" applyNumberFormat="1" applyFont="1" applyBorder="1"/>
    <xf numFmtId="164" fontId="3" fillId="5" borderId="4" xfId="0" applyNumberFormat="1" applyFont="1" applyFill="1" applyBorder="1"/>
    <xf numFmtId="164" fontId="6" fillId="6" borderId="4" xfId="0" applyNumberFormat="1" applyFont="1" applyFill="1" applyBorder="1"/>
    <xf numFmtId="164" fontId="9" fillId="6" borderId="4" xfId="0" applyNumberFormat="1" applyFont="1" applyFill="1" applyBorder="1"/>
    <xf numFmtId="164" fontId="5" fillId="4" borderId="4" xfId="0" applyNumberFormat="1" applyFont="1" applyFill="1" applyBorder="1"/>
    <xf numFmtId="164" fontId="4" fillId="4" borderId="4" xfId="0" applyNumberFormat="1" applyFont="1" applyFill="1" applyBorder="1"/>
    <xf numFmtId="164" fontId="4" fillId="6" borderId="4" xfId="0" applyNumberFormat="1" applyFont="1" applyFill="1" applyBorder="1"/>
    <xf numFmtId="164" fontId="5" fillId="6" borderId="4" xfId="0" applyNumberFormat="1" applyFont="1" applyFill="1" applyBorder="1" applyAlignment="1">
      <alignment horizontal="right"/>
    </xf>
    <xf numFmtId="164" fontId="4" fillId="2" borderId="1" xfId="0" applyNumberFormat="1" applyFont="1" applyFill="1" applyBorder="1"/>
    <xf numFmtId="0" fontId="0" fillId="2" borderId="1" xfId="0" applyFill="1" applyBorder="1"/>
    <xf numFmtId="164" fontId="5" fillId="0" borderId="4" xfId="0" applyNumberFormat="1" applyFont="1" applyBorder="1" applyAlignment="1">
      <alignment horizontal="right"/>
    </xf>
    <xf numFmtId="0" fontId="0" fillId="7" borderId="1" xfId="0" applyFill="1" applyBorder="1"/>
    <xf numFmtId="0" fontId="1" fillId="2" borderId="1" xfId="0" applyFont="1" applyFill="1" applyBorder="1"/>
    <xf numFmtId="0" fontId="4" fillId="0" borderId="8" xfId="0" applyFont="1" applyBorder="1"/>
    <xf numFmtId="0" fontId="4" fillId="0" borderId="9" xfId="0" applyFont="1" applyBorder="1"/>
    <xf numFmtId="164" fontId="5" fillId="0" borderId="8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164" fontId="3" fillId="4" borderId="8" xfId="0" applyNumberFormat="1" applyFont="1" applyFill="1" applyBorder="1" applyAlignment="1">
      <alignment horizontal="center"/>
    </xf>
    <xf numFmtId="164" fontId="3" fillId="4" borderId="9" xfId="0" applyNumberFormat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E0929-AC05-4652-819E-FA7F40E9021D}">
  <dimension ref="A1:Z36"/>
  <sheetViews>
    <sheetView tabSelected="1" workbookViewId="0">
      <selection activeCell="A16" sqref="A16:XFD16"/>
    </sheetView>
  </sheetViews>
  <sheetFormatPr defaultRowHeight="15" x14ac:dyDescent="0.25"/>
  <sheetData>
    <row r="1" spans="1:18" x14ac:dyDescent="0.25">
      <c r="B1" t="s">
        <v>17</v>
      </c>
      <c r="C1" t="s">
        <v>18</v>
      </c>
    </row>
    <row r="2" spans="1: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8" x14ac:dyDescent="0.25">
      <c r="A3" s="3"/>
      <c r="B3" s="3" t="s">
        <v>19</v>
      </c>
      <c r="C3" s="3" t="s">
        <v>111</v>
      </c>
      <c r="D3" s="3" t="s">
        <v>112</v>
      </c>
      <c r="E3" s="3" t="s">
        <v>113</v>
      </c>
      <c r="F3" s="3" t="s">
        <v>85</v>
      </c>
      <c r="G3" s="3" t="s">
        <v>114</v>
      </c>
      <c r="H3" s="3">
        <v>440</v>
      </c>
      <c r="I3" s="3">
        <v>0</v>
      </c>
      <c r="J3" s="3">
        <f>H3-I3</f>
        <v>440</v>
      </c>
      <c r="K3" s="3" t="s">
        <v>116</v>
      </c>
      <c r="L3" s="3" t="s">
        <v>109</v>
      </c>
      <c r="M3" s="3" t="s">
        <v>115</v>
      </c>
      <c r="N3" s="36" t="s">
        <v>117</v>
      </c>
      <c r="O3" s="3" t="s">
        <v>118</v>
      </c>
      <c r="P3" s="3" t="s">
        <v>118</v>
      </c>
      <c r="Q3" s="3" t="s">
        <v>119</v>
      </c>
      <c r="R3">
        <v>1</v>
      </c>
    </row>
    <row r="4" spans="1:18" s="4" customFormat="1" x14ac:dyDescent="0.25">
      <c r="A4" s="3"/>
      <c r="B4" s="3" t="s">
        <v>19</v>
      </c>
      <c r="C4" s="3" t="s">
        <v>93</v>
      </c>
      <c r="D4" s="3" t="s">
        <v>94</v>
      </c>
      <c r="E4" s="3" t="s">
        <v>95</v>
      </c>
      <c r="F4" s="3" t="s">
        <v>96</v>
      </c>
      <c r="G4" s="3" t="s">
        <v>65</v>
      </c>
      <c r="H4" s="3">
        <v>490</v>
      </c>
      <c r="I4" s="3">
        <v>0</v>
      </c>
      <c r="J4" s="3">
        <f>H4-I4</f>
        <v>490</v>
      </c>
      <c r="K4" s="3" t="s">
        <v>116</v>
      </c>
      <c r="L4" s="3" t="s">
        <v>109</v>
      </c>
      <c r="M4" s="3" t="s">
        <v>110</v>
      </c>
      <c r="N4" s="36" t="s">
        <v>148</v>
      </c>
      <c r="O4" s="3" t="s">
        <v>118</v>
      </c>
      <c r="P4" s="3"/>
      <c r="Q4" s="3" t="s">
        <v>119</v>
      </c>
      <c r="R4" s="4">
        <v>1</v>
      </c>
    </row>
    <row r="5" spans="1:18" x14ac:dyDescent="0.25">
      <c r="A5" s="2"/>
      <c r="B5" s="2" t="s">
        <v>19</v>
      </c>
      <c r="C5" s="2" t="s">
        <v>74</v>
      </c>
      <c r="D5" s="2" t="s">
        <v>75</v>
      </c>
      <c r="E5" s="2" t="s">
        <v>76</v>
      </c>
      <c r="F5" s="2" t="s">
        <v>77</v>
      </c>
      <c r="G5" s="2">
        <v>4</v>
      </c>
      <c r="H5" s="2">
        <v>0</v>
      </c>
      <c r="I5" s="2">
        <v>25</v>
      </c>
      <c r="J5" s="2">
        <f>H5-I5</f>
        <v>-25</v>
      </c>
      <c r="K5" s="2" t="s">
        <v>120</v>
      </c>
      <c r="L5" s="2" t="s">
        <v>109</v>
      </c>
      <c r="M5" s="2" t="s">
        <v>110</v>
      </c>
      <c r="N5" s="2"/>
      <c r="O5" s="2"/>
      <c r="P5" s="2"/>
      <c r="Q5" s="2"/>
      <c r="R5">
        <v>1</v>
      </c>
    </row>
    <row r="6" spans="1:18" x14ac:dyDescent="0.25">
      <c r="A6" s="35"/>
      <c r="B6" s="35" t="s">
        <v>19</v>
      </c>
      <c r="C6" s="35" t="s">
        <v>25</v>
      </c>
      <c r="D6" s="35" t="s">
        <v>26</v>
      </c>
      <c r="E6" s="35" t="s">
        <v>27</v>
      </c>
      <c r="F6" s="35" t="s">
        <v>28</v>
      </c>
      <c r="G6" s="35">
        <v>7</v>
      </c>
      <c r="H6" s="35">
        <v>130</v>
      </c>
      <c r="I6" s="35">
        <v>30</v>
      </c>
      <c r="J6" s="35">
        <f>H6-I6</f>
        <v>100</v>
      </c>
      <c r="K6" s="35" t="s">
        <v>120</v>
      </c>
      <c r="L6" s="35" t="s">
        <v>109</v>
      </c>
      <c r="M6" s="35" t="s">
        <v>110</v>
      </c>
      <c r="N6" s="35" t="s">
        <v>29</v>
      </c>
      <c r="O6" s="35"/>
      <c r="P6" s="35"/>
      <c r="Q6" s="35"/>
      <c r="R6">
        <v>1</v>
      </c>
    </row>
    <row r="7" spans="1:18" x14ac:dyDescent="0.25">
      <c r="A7" s="2"/>
      <c r="B7" s="2" t="s">
        <v>19</v>
      </c>
      <c r="C7" s="2" t="s">
        <v>30</v>
      </c>
      <c r="D7" s="2" t="s">
        <v>31</v>
      </c>
      <c r="E7" s="2" t="s">
        <v>32</v>
      </c>
      <c r="F7" s="2" t="s">
        <v>33</v>
      </c>
      <c r="G7" s="2">
        <v>10</v>
      </c>
      <c r="H7" s="2">
        <v>385</v>
      </c>
      <c r="I7" s="2">
        <v>25</v>
      </c>
      <c r="J7" s="2">
        <f>H7-I7</f>
        <v>360</v>
      </c>
      <c r="K7" s="2" t="s">
        <v>120</v>
      </c>
      <c r="L7" s="2" t="s">
        <v>109</v>
      </c>
      <c r="M7" s="2" t="s">
        <v>110</v>
      </c>
      <c r="N7" s="2"/>
      <c r="O7" s="2"/>
      <c r="P7" s="2"/>
      <c r="Q7" s="2"/>
      <c r="R7">
        <v>1</v>
      </c>
    </row>
    <row r="8" spans="1:18" x14ac:dyDescent="0.25">
      <c r="A8" s="2"/>
      <c r="B8" s="2" t="s">
        <v>19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  <c r="H8" s="2">
        <v>390</v>
      </c>
      <c r="I8" s="2">
        <v>20</v>
      </c>
      <c r="J8" s="2">
        <f>H8-I8</f>
        <v>370</v>
      </c>
      <c r="K8" s="2" t="s">
        <v>120</v>
      </c>
      <c r="L8" s="2" t="s">
        <v>109</v>
      </c>
      <c r="M8" s="2" t="s">
        <v>110</v>
      </c>
      <c r="N8" s="2"/>
      <c r="O8" s="2"/>
      <c r="P8" s="2"/>
      <c r="Q8" s="2"/>
      <c r="R8">
        <v>1</v>
      </c>
    </row>
    <row r="9" spans="1:18" x14ac:dyDescent="0.25">
      <c r="A9" s="2"/>
      <c r="B9" s="2" t="s">
        <v>19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24</v>
      </c>
      <c r="H9" s="2">
        <v>395</v>
      </c>
      <c r="I9" s="2">
        <v>25</v>
      </c>
      <c r="J9" s="2">
        <f>H9-I9</f>
        <v>370</v>
      </c>
      <c r="K9" s="2" t="s">
        <v>120</v>
      </c>
      <c r="L9" s="2" t="s">
        <v>109</v>
      </c>
      <c r="M9" s="2" t="s">
        <v>110</v>
      </c>
      <c r="N9" s="2"/>
      <c r="O9" s="2"/>
      <c r="P9" s="2"/>
      <c r="Q9" s="2"/>
      <c r="R9">
        <v>1</v>
      </c>
    </row>
    <row r="10" spans="1:18" x14ac:dyDescent="0.25">
      <c r="A10" s="2"/>
      <c r="B10" s="2" t="s">
        <v>19</v>
      </c>
      <c r="C10" s="2" t="s">
        <v>34</v>
      </c>
      <c r="D10" s="2" t="s">
        <v>35</v>
      </c>
      <c r="E10" s="2">
        <v>346</v>
      </c>
      <c r="F10" s="2" t="s">
        <v>36</v>
      </c>
      <c r="G10" s="2">
        <v>4</v>
      </c>
      <c r="H10" s="2">
        <v>605</v>
      </c>
      <c r="I10" s="2">
        <v>25</v>
      </c>
      <c r="J10" s="2">
        <f>H10-I10</f>
        <v>580</v>
      </c>
      <c r="K10" s="2" t="s">
        <v>120</v>
      </c>
      <c r="L10" s="2" t="s">
        <v>109</v>
      </c>
      <c r="M10" s="2" t="s">
        <v>110</v>
      </c>
      <c r="N10" s="2"/>
      <c r="O10" s="2"/>
      <c r="P10" s="2"/>
      <c r="Q10" s="2"/>
      <c r="R10">
        <v>1</v>
      </c>
    </row>
    <row r="11" spans="1:18" x14ac:dyDescent="0.25">
      <c r="A11" s="2"/>
      <c r="B11" s="2" t="s">
        <v>19</v>
      </c>
      <c r="C11" s="2" t="s">
        <v>86</v>
      </c>
      <c r="D11" s="2" t="s">
        <v>87</v>
      </c>
      <c r="E11" s="2">
        <v>230</v>
      </c>
      <c r="F11" s="2" t="s">
        <v>88</v>
      </c>
      <c r="G11" s="2">
        <v>10</v>
      </c>
      <c r="H11" s="2">
        <v>715</v>
      </c>
      <c r="I11" s="2">
        <v>25</v>
      </c>
      <c r="J11" s="2">
        <f>H11-I11</f>
        <v>690</v>
      </c>
      <c r="K11" s="2" t="s">
        <v>120</v>
      </c>
      <c r="L11" s="2" t="s">
        <v>109</v>
      </c>
      <c r="M11" s="2" t="s">
        <v>110</v>
      </c>
      <c r="N11" s="2"/>
      <c r="O11" s="2"/>
      <c r="P11" s="2"/>
      <c r="Q11" s="2"/>
      <c r="R11">
        <v>1</v>
      </c>
    </row>
    <row r="12" spans="1:18" x14ac:dyDescent="0.25">
      <c r="A12" s="2"/>
      <c r="B12" s="2" t="s">
        <v>19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41</v>
      </c>
      <c r="H12" s="2">
        <v>840</v>
      </c>
      <c r="I12" s="2">
        <v>20</v>
      </c>
      <c r="J12" s="2">
        <f>H12-I12</f>
        <v>820</v>
      </c>
      <c r="K12" s="2" t="s">
        <v>120</v>
      </c>
      <c r="L12" s="2" t="s">
        <v>109</v>
      </c>
      <c r="M12" s="2" t="s">
        <v>110</v>
      </c>
      <c r="N12" s="2"/>
      <c r="O12" s="2"/>
      <c r="P12" s="2"/>
      <c r="Q12" s="2"/>
      <c r="R12">
        <v>1</v>
      </c>
    </row>
    <row r="13" spans="1:18" x14ac:dyDescent="0.25">
      <c r="A13" s="2"/>
      <c r="B13" s="2" t="s">
        <v>19</v>
      </c>
      <c r="C13" s="2" t="s">
        <v>83</v>
      </c>
      <c r="D13" s="2" t="s">
        <v>84</v>
      </c>
      <c r="E13" s="2">
        <v>23</v>
      </c>
      <c r="F13" s="2" t="s">
        <v>85</v>
      </c>
      <c r="G13" s="2">
        <v>7</v>
      </c>
      <c r="H13" s="2">
        <v>760</v>
      </c>
      <c r="I13" s="2">
        <v>30</v>
      </c>
      <c r="J13" s="2">
        <f>H13-I13</f>
        <v>730</v>
      </c>
      <c r="K13" s="2" t="s">
        <v>122</v>
      </c>
      <c r="L13" s="2" t="s">
        <v>109</v>
      </c>
      <c r="M13" s="2" t="s">
        <v>110</v>
      </c>
      <c r="N13" s="2"/>
      <c r="O13" s="2"/>
      <c r="P13" s="2"/>
      <c r="Q13" s="2"/>
      <c r="R13">
        <v>1</v>
      </c>
    </row>
    <row r="14" spans="1:18" x14ac:dyDescent="0.25">
      <c r="A14" s="2"/>
      <c r="B14" s="2" t="s">
        <v>19</v>
      </c>
      <c r="C14" s="2" t="s">
        <v>89</v>
      </c>
      <c r="D14" s="2" t="s">
        <v>90</v>
      </c>
      <c r="E14" s="2" t="s">
        <v>91</v>
      </c>
      <c r="F14" s="2" t="s">
        <v>92</v>
      </c>
      <c r="G14" s="2">
        <v>8</v>
      </c>
      <c r="H14" s="2">
        <v>365</v>
      </c>
      <c r="I14" s="2">
        <v>25</v>
      </c>
      <c r="J14" s="2">
        <f>H14-I14</f>
        <v>340</v>
      </c>
      <c r="K14" s="2" t="s">
        <v>122</v>
      </c>
      <c r="L14" s="2" t="s">
        <v>109</v>
      </c>
      <c r="M14" s="2" t="s">
        <v>110</v>
      </c>
      <c r="N14" s="2"/>
      <c r="O14" s="2"/>
      <c r="P14" s="2"/>
      <c r="Q14" s="2"/>
      <c r="R14">
        <v>1</v>
      </c>
    </row>
    <row r="15" spans="1:18" x14ac:dyDescent="0.25">
      <c r="A15" s="2"/>
      <c r="B15" s="2" t="s">
        <v>19</v>
      </c>
      <c r="C15" s="2" t="s">
        <v>97</v>
      </c>
      <c r="D15" s="2" t="s">
        <v>98</v>
      </c>
      <c r="E15" s="2" t="s">
        <v>99</v>
      </c>
      <c r="F15" s="2" t="s">
        <v>100</v>
      </c>
      <c r="G15" s="2" t="s">
        <v>82</v>
      </c>
      <c r="H15" s="2">
        <v>0</v>
      </c>
      <c r="I15" s="2">
        <v>30</v>
      </c>
      <c r="J15" s="2">
        <f>H15-I15</f>
        <v>-30</v>
      </c>
      <c r="K15" s="2" t="s">
        <v>122</v>
      </c>
      <c r="L15" s="2" t="s">
        <v>109</v>
      </c>
      <c r="M15" s="2" t="s">
        <v>110</v>
      </c>
      <c r="N15" s="2"/>
      <c r="O15" s="2"/>
      <c r="P15" s="2"/>
      <c r="Q15" s="2"/>
      <c r="R15">
        <v>1</v>
      </c>
    </row>
    <row r="16" spans="1:18" s="4" customFormat="1" x14ac:dyDescent="0.25">
      <c r="A16" s="2"/>
      <c r="B16" s="2" t="s">
        <v>19</v>
      </c>
      <c r="C16" s="2" t="s">
        <v>78</v>
      </c>
      <c r="D16" s="2" t="s">
        <v>79</v>
      </c>
      <c r="E16" s="2" t="s">
        <v>80</v>
      </c>
      <c r="F16" s="2" t="s">
        <v>81</v>
      </c>
      <c r="G16" s="2" t="s">
        <v>82</v>
      </c>
      <c r="H16" s="2">
        <v>710</v>
      </c>
      <c r="I16" s="2">
        <v>30</v>
      </c>
      <c r="J16" s="2">
        <f>H16-I16</f>
        <v>680</v>
      </c>
      <c r="K16" s="2" t="s">
        <v>122</v>
      </c>
      <c r="L16" s="2" t="s">
        <v>109</v>
      </c>
      <c r="M16" s="2" t="s">
        <v>110</v>
      </c>
      <c r="N16" s="2"/>
      <c r="O16" s="2"/>
      <c r="P16" s="2"/>
      <c r="Q16" s="2"/>
      <c r="R16" s="4">
        <v>1</v>
      </c>
    </row>
    <row r="17" spans="1:26" x14ac:dyDescent="0.25">
      <c r="A17" s="2" t="s">
        <v>104</v>
      </c>
      <c r="B17" s="2" t="s">
        <v>19</v>
      </c>
      <c r="C17" s="2" t="s">
        <v>105</v>
      </c>
      <c r="D17" s="2"/>
      <c r="E17" s="2" t="s">
        <v>106</v>
      </c>
      <c r="F17" s="2" t="s">
        <v>107</v>
      </c>
      <c r="G17" s="2" t="s">
        <v>108</v>
      </c>
      <c r="H17" s="2">
        <v>7850</v>
      </c>
      <c r="I17" s="2">
        <v>50</v>
      </c>
      <c r="J17" s="2">
        <f>H17-I17</f>
        <v>7800</v>
      </c>
      <c r="K17" s="2" t="s">
        <v>122</v>
      </c>
      <c r="L17" s="2" t="s">
        <v>109</v>
      </c>
      <c r="M17" s="2" t="s">
        <v>110</v>
      </c>
      <c r="N17" s="2"/>
      <c r="O17" s="2"/>
      <c r="P17" s="2"/>
      <c r="Q17" s="2"/>
      <c r="R17">
        <v>1</v>
      </c>
    </row>
    <row r="18" spans="1:26" x14ac:dyDescent="0.25">
      <c r="A18" s="2"/>
      <c r="B18" s="2" t="s">
        <v>19</v>
      </c>
      <c r="C18" s="2" t="s">
        <v>49</v>
      </c>
      <c r="D18" s="2" t="s">
        <v>50</v>
      </c>
      <c r="E18" s="2" t="s">
        <v>51</v>
      </c>
      <c r="F18" s="2" t="s">
        <v>52</v>
      </c>
      <c r="G18" s="2">
        <v>2</v>
      </c>
      <c r="H18" s="2">
        <v>1690</v>
      </c>
      <c r="I18" s="2">
        <v>30</v>
      </c>
      <c r="J18" s="2">
        <f>H18-I18</f>
        <v>1660</v>
      </c>
      <c r="K18" s="2" t="s">
        <v>109</v>
      </c>
      <c r="L18" s="2" t="s">
        <v>109</v>
      </c>
      <c r="M18" s="2" t="s">
        <v>110</v>
      </c>
      <c r="N18" s="2"/>
      <c r="O18" s="2"/>
      <c r="P18" s="2"/>
      <c r="Q18" s="2"/>
      <c r="R18">
        <v>1</v>
      </c>
    </row>
    <row r="19" spans="1:26" x14ac:dyDescent="0.25">
      <c r="A19" s="35"/>
      <c r="B19" s="35" t="s">
        <v>19</v>
      </c>
      <c r="C19" s="35" t="s">
        <v>70</v>
      </c>
      <c r="D19" s="35" t="s">
        <v>71</v>
      </c>
      <c r="E19" s="35" t="s">
        <v>72</v>
      </c>
      <c r="F19" s="35" t="s">
        <v>73</v>
      </c>
      <c r="G19" s="35">
        <v>2</v>
      </c>
      <c r="H19" s="35">
        <v>30</v>
      </c>
      <c r="I19" s="35">
        <v>30</v>
      </c>
      <c r="J19" s="35">
        <f>H19-I19</f>
        <v>0</v>
      </c>
      <c r="K19" s="35" t="s">
        <v>109</v>
      </c>
      <c r="L19" s="35" t="s">
        <v>109</v>
      </c>
      <c r="M19" s="35" t="s">
        <v>110</v>
      </c>
      <c r="N19" s="35" t="s">
        <v>29</v>
      </c>
      <c r="O19" s="35"/>
      <c r="P19" s="35"/>
      <c r="Q19" s="35"/>
      <c r="R19">
        <v>1</v>
      </c>
    </row>
    <row r="20" spans="1:26" x14ac:dyDescent="0.25">
      <c r="A20" s="2"/>
      <c r="B20" s="2" t="s">
        <v>19</v>
      </c>
      <c r="C20" s="2" t="s">
        <v>57</v>
      </c>
      <c r="D20" s="2" t="s">
        <v>58</v>
      </c>
      <c r="E20" s="2" t="s">
        <v>59</v>
      </c>
      <c r="F20" s="2" t="s">
        <v>60</v>
      </c>
      <c r="G20" s="2" t="s">
        <v>56</v>
      </c>
      <c r="H20" s="2">
        <v>0</v>
      </c>
      <c r="I20" s="2">
        <v>20</v>
      </c>
      <c r="J20" s="2">
        <f>H20-I20</f>
        <v>-20</v>
      </c>
      <c r="K20" s="2" t="s">
        <v>109</v>
      </c>
      <c r="L20" s="2" t="s">
        <v>109</v>
      </c>
      <c r="M20" s="2" t="s">
        <v>110</v>
      </c>
      <c r="N20" s="2"/>
      <c r="O20" s="2"/>
      <c r="P20" s="2"/>
      <c r="Q20" s="2"/>
      <c r="R20">
        <v>1</v>
      </c>
    </row>
    <row r="21" spans="1:26" x14ac:dyDescent="0.25">
      <c r="A21" s="2"/>
      <c r="B21" s="2" t="s">
        <v>19</v>
      </c>
      <c r="C21" s="2" t="s">
        <v>53</v>
      </c>
      <c r="D21" s="2" t="s">
        <v>54</v>
      </c>
      <c r="E21" s="2">
        <v>28</v>
      </c>
      <c r="F21" s="2" t="s">
        <v>55</v>
      </c>
      <c r="G21" s="2" t="s">
        <v>56</v>
      </c>
      <c r="H21" s="2">
        <v>740</v>
      </c>
      <c r="I21" s="2">
        <v>20</v>
      </c>
      <c r="J21" s="2">
        <f>H21-I21</f>
        <v>720</v>
      </c>
      <c r="K21" s="2" t="s">
        <v>109</v>
      </c>
      <c r="L21" s="2" t="s">
        <v>109</v>
      </c>
      <c r="M21" s="2" t="s">
        <v>110</v>
      </c>
      <c r="N21" s="2"/>
      <c r="O21" s="2"/>
      <c r="P21" s="2"/>
      <c r="Q21" s="2"/>
      <c r="R21">
        <v>1</v>
      </c>
    </row>
    <row r="22" spans="1:26" x14ac:dyDescent="0.25">
      <c r="A22" s="2"/>
      <c r="B22" s="2" t="s">
        <v>19</v>
      </c>
      <c r="C22" s="2" t="s">
        <v>61</v>
      </c>
      <c r="D22" s="2" t="s">
        <v>62</v>
      </c>
      <c r="E22" s="2" t="s">
        <v>63</v>
      </c>
      <c r="F22" s="2" t="s">
        <v>64</v>
      </c>
      <c r="G22" s="2" t="s">
        <v>65</v>
      </c>
      <c r="H22" s="2">
        <v>815</v>
      </c>
      <c r="I22" s="2">
        <v>25</v>
      </c>
      <c r="J22" s="2">
        <f>H22-I22</f>
        <v>790</v>
      </c>
      <c r="K22" s="2" t="s">
        <v>109</v>
      </c>
      <c r="L22" s="2" t="s">
        <v>109</v>
      </c>
      <c r="M22" s="2" t="s">
        <v>110</v>
      </c>
      <c r="N22" s="2"/>
      <c r="O22" s="2"/>
      <c r="P22" s="2"/>
      <c r="Q22" s="2"/>
      <c r="R22">
        <v>1</v>
      </c>
    </row>
    <row r="23" spans="1:26" x14ac:dyDescent="0.25">
      <c r="A23" s="2"/>
      <c r="B23" s="2" t="s">
        <v>19</v>
      </c>
      <c r="C23" s="2" t="s">
        <v>20</v>
      </c>
      <c r="D23" s="2" t="s">
        <v>21</v>
      </c>
      <c r="E23" s="2" t="s">
        <v>22</v>
      </c>
      <c r="F23" s="2" t="s">
        <v>23</v>
      </c>
      <c r="G23" s="2" t="s">
        <v>24</v>
      </c>
      <c r="H23" s="2">
        <v>385</v>
      </c>
      <c r="I23" s="2">
        <v>25</v>
      </c>
      <c r="J23" s="2">
        <f>H23-I23</f>
        <v>360</v>
      </c>
      <c r="K23" s="2" t="s">
        <v>109</v>
      </c>
      <c r="L23" s="2" t="s">
        <v>109</v>
      </c>
      <c r="M23" s="2" t="s">
        <v>110</v>
      </c>
      <c r="N23" s="2"/>
      <c r="O23" s="2"/>
      <c r="P23" s="2"/>
      <c r="Q23" s="2"/>
      <c r="R23">
        <v>1</v>
      </c>
    </row>
    <row r="24" spans="1:26" x14ac:dyDescent="0.25">
      <c r="A24" s="2"/>
      <c r="B24" s="2" t="s">
        <v>19</v>
      </c>
      <c r="C24" s="2" t="s">
        <v>101</v>
      </c>
      <c r="D24" s="2" t="s">
        <v>102</v>
      </c>
      <c r="E24" s="2">
        <v>49</v>
      </c>
      <c r="F24" s="2" t="s">
        <v>103</v>
      </c>
      <c r="G24" s="2" t="s">
        <v>24</v>
      </c>
      <c r="H24" s="2">
        <v>1565</v>
      </c>
      <c r="I24" s="2">
        <v>25</v>
      </c>
      <c r="J24" s="2">
        <f>H24-I24</f>
        <v>1540</v>
      </c>
      <c r="K24" s="2" t="s">
        <v>109</v>
      </c>
      <c r="L24" s="2" t="s">
        <v>109</v>
      </c>
      <c r="M24" s="2" t="s">
        <v>110</v>
      </c>
      <c r="N24" s="2"/>
      <c r="O24" s="2"/>
      <c r="P24" s="2"/>
      <c r="Q24" s="2"/>
      <c r="R24">
        <v>1</v>
      </c>
    </row>
    <row r="25" spans="1:26" x14ac:dyDescent="0.25">
      <c r="A25" s="2"/>
      <c r="B25" s="2" t="s">
        <v>19</v>
      </c>
      <c r="C25" s="2" t="s">
        <v>42</v>
      </c>
      <c r="D25" s="2" t="s">
        <v>43</v>
      </c>
      <c r="E25" s="2">
        <v>213</v>
      </c>
      <c r="F25" s="2" t="s">
        <v>44</v>
      </c>
      <c r="G25" s="2">
        <v>9</v>
      </c>
      <c r="H25" s="2">
        <v>820</v>
      </c>
      <c r="I25" s="2">
        <v>30</v>
      </c>
      <c r="J25" s="2">
        <f>H25-I25</f>
        <v>790</v>
      </c>
      <c r="K25" s="2" t="s">
        <v>121</v>
      </c>
      <c r="L25" s="2" t="s">
        <v>109</v>
      </c>
      <c r="M25" s="2" t="s">
        <v>110</v>
      </c>
      <c r="N25" s="2"/>
      <c r="O25" s="2"/>
      <c r="P25" s="2"/>
      <c r="Q25" s="2"/>
      <c r="R25">
        <v>1</v>
      </c>
    </row>
    <row r="27" spans="1:26" x14ac:dyDescent="0.25">
      <c r="H27">
        <f>SUBTOTAL(9,H3:H26)</f>
        <v>20120</v>
      </c>
      <c r="I27">
        <f t="shared" ref="I27:R27" si="0">SUBTOTAL(9,I3:I26)</f>
        <v>565</v>
      </c>
      <c r="J27">
        <f t="shared" si="0"/>
        <v>19555</v>
      </c>
      <c r="K27">
        <f t="shared" si="0"/>
        <v>0</v>
      </c>
      <c r="L27">
        <f t="shared" si="0"/>
        <v>0</v>
      </c>
      <c r="M27">
        <f t="shared" si="0"/>
        <v>0</v>
      </c>
      <c r="N27">
        <f t="shared" si="0"/>
        <v>0</v>
      </c>
      <c r="O27">
        <f t="shared" si="0"/>
        <v>0</v>
      </c>
      <c r="P27">
        <f t="shared" si="0"/>
        <v>0</v>
      </c>
      <c r="Q27">
        <f t="shared" si="0"/>
        <v>0</v>
      </c>
      <c r="R27">
        <f t="shared" si="0"/>
        <v>23</v>
      </c>
    </row>
    <row r="29" spans="1:26" x14ac:dyDescent="0.25">
      <c r="A29" s="2" t="s">
        <v>19</v>
      </c>
      <c r="B29" s="2"/>
      <c r="C29" s="41" t="s">
        <v>123</v>
      </c>
      <c r="D29" s="42"/>
      <c r="E29" s="5" t="s">
        <v>124</v>
      </c>
      <c r="F29" s="6"/>
      <c r="G29" s="6"/>
      <c r="H29" s="6"/>
      <c r="I29" s="7"/>
      <c r="J29" s="6"/>
      <c r="K29" s="6"/>
      <c r="L29" s="2" t="s">
        <v>109</v>
      </c>
      <c r="M29" s="8" t="s">
        <v>125</v>
      </c>
      <c r="N29" s="8" t="s">
        <v>124</v>
      </c>
      <c r="O29" s="6"/>
      <c r="P29" s="6" t="s">
        <v>126</v>
      </c>
      <c r="Q29" s="9" t="s">
        <v>127</v>
      </c>
      <c r="R29" s="6"/>
      <c r="S29" s="6"/>
      <c r="T29" s="6"/>
      <c r="U29" s="6"/>
      <c r="V29" s="6"/>
      <c r="W29" s="7"/>
      <c r="X29" s="7"/>
      <c r="Y29" s="7"/>
      <c r="Z29" s="7"/>
    </row>
    <row r="30" spans="1:26" x14ac:dyDescent="0.25">
      <c r="A30" s="2" t="s">
        <v>110</v>
      </c>
      <c r="B30" s="2" t="s">
        <v>128</v>
      </c>
      <c r="C30" s="43">
        <f>SUMIFS(H$3:H$52,$B$3:$B$52,$A29,$M$3:$M$52,$A30)</f>
        <v>19680</v>
      </c>
      <c r="D30" s="44"/>
      <c r="E30" s="10">
        <f>SUMIFS(R$3:R$52,$B$3:$B$52,$A29,$M$3:$M$52,$A30)</f>
        <v>22</v>
      </c>
      <c r="F30" s="11" t="s">
        <v>129</v>
      </c>
      <c r="G30" s="6"/>
      <c r="H30" s="6"/>
      <c r="I30" s="7"/>
      <c r="J30" s="6"/>
      <c r="K30" s="6"/>
      <c r="L30" s="12" t="s">
        <v>130</v>
      </c>
      <c r="M30" s="13">
        <f>SUMIFS(H$3:H$52,$K$3:$K$52,$L29)</f>
        <v>5225</v>
      </c>
      <c r="N30" s="13">
        <f>SUMIFS($R$3:$R$52,$K$3:$K$52,$L29)</f>
        <v>7</v>
      </c>
      <c r="O30" s="6"/>
      <c r="P30" s="14" t="s">
        <v>131</v>
      </c>
      <c r="Q30" s="14">
        <v>9584</v>
      </c>
      <c r="R30" s="6"/>
      <c r="S30" s="6"/>
      <c r="T30" s="6"/>
      <c r="U30" s="6"/>
      <c r="V30" s="6"/>
      <c r="W30" s="7"/>
      <c r="X30" s="7"/>
      <c r="Y30" s="7"/>
      <c r="Z30" s="7"/>
    </row>
    <row r="31" spans="1:26" x14ac:dyDescent="0.25">
      <c r="A31" s="6"/>
      <c r="B31" s="15" t="s">
        <v>132</v>
      </c>
      <c r="C31" s="45">
        <f>-SUMIFS(I$3:I$52,$B$3:$B$52,$A29,$M$3:$M$52,$A30)</f>
        <v>-565</v>
      </c>
      <c r="D31" s="46"/>
      <c r="E31" s="16">
        <f>SUMIFS(R$3:R$52,$B$3:$B$52,$A29,$M$3:$M$52,$A30)</f>
        <v>22</v>
      </c>
      <c r="F31" s="6"/>
      <c r="G31" s="6"/>
      <c r="H31" s="6"/>
      <c r="I31" s="6"/>
      <c r="J31" s="6"/>
      <c r="K31" s="6"/>
      <c r="L31" s="12" t="s">
        <v>133</v>
      </c>
      <c r="M31" s="13">
        <v>-140</v>
      </c>
      <c r="N31" s="17"/>
      <c r="O31" s="6"/>
      <c r="P31" s="14" t="s">
        <v>134</v>
      </c>
      <c r="Q31" s="14">
        <v>795</v>
      </c>
      <c r="R31" s="6"/>
      <c r="S31" s="6"/>
      <c r="T31" s="6"/>
      <c r="U31" s="6"/>
      <c r="V31" s="6"/>
      <c r="W31" s="7"/>
      <c r="X31" s="7"/>
      <c r="Y31" s="7"/>
      <c r="Z31" s="7"/>
    </row>
    <row r="32" spans="1:26" x14ac:dyDescent="0.25">
      <c r="A32" s="6"/>
      <c r="B32" s="12" t="s">
        <v>135</v>
      </c>
      <c r="C32" s="47">
        <f>-SUMIFS(J$3:J$28,$B$3:$B$28,$A29,$Q$3:$Q$28,"xx",$O$3:$O$28,"x")</f>
        <v>-930</v>
      </c>
      <c r="D32" s="48"/>
      <c r="E32" s="18">
        <f>SUMIFS($R$3:$R$65,$B$3:$B$65,$A29,$Q$3:$Q$65,"xx",$O$3:$O$65,"x")</f>
        <v>2</v>
      </c>
      <c r="F32" s="6"/>
      <c r="G32" s="7"/>
      <c r="H32" s="6"/>
      <c r="I32" s="6"/>
      <c r="J32" s="6"/>
      <c r="K32" s="6"/>
      <c r="L32" s="19" t="s">
        <v>136</v>
      </c>
      <c r="M32" s="20">
        <v>-40</v>
      </c>
      <c r="N32" s="17"/>
      <c r="O32" s="6"/>
      <c r="P32" s="14" t="s">
        <v>137</v>
      </c>
      <c r="Q32" s="14">
        <v>4600</v>
      </c>
      <c r="R32" s="6"/>
      <c r="S32" s="6"/>
      <c r="T32" s="6"/>
      <c r="U32" s="6"/>
      <c r="V32" s="6"/>
      <c r="W32" s="7"/>
      <c r="X32" s="7"/>
      <c r="Y32" s="7"/>
      <c r="Z32" s="7"/>
    </row>
    <row r="33" spans="1:26" x14ac:dyDescent="0.25">
      <c r="A33" s="6"/>
      <c r="B33" s="21" t="s">
        <v>138</v>
      </c>
      <c r="C33" s="49">
        <f>SUBTOTAL(9,C29:C32)</f>
        <v>18185</v>
      </c>
      <c r="D33" s="50"/>
      <c r="E33" s="22">
        <f>E30</f>
        <v>22</v>
      </c>
      <c r="F33" s="6"/>
      <c r="G33" s="6"/>
      <c r="H33" s="6"/>
      <c r="I33" s="6"/>
      <c r="J33" s="6"/>
      <c r="K33" s="6"/>
      <c r="L33" s="23" t="s">
        <v>139</v>
      </c>
      <c r="M33" s="24">
        <v>-445</v>
      </c>
      <c r="N33" s="24"/>
      <c r="O33" s="6"/>
      <c r="P33" s="14" t="s">
        <v>140</v>
      </c>
      <c r="Q33" s="14">
        <v>3305</v>
      </c>
      <c r="R33" s="6"/>
      <c r="S33" s="6"/>
      <c r="T33" s="6"/>
      <c r="U33" s="6"/>
      <c r="V33" s="6"/>
      <c r="W33" s="7"/>
      <c r="X33" s="7"/>
      <c r="Y33" s="7"/>
      <c r="Z33" s="7"/>
    </row>
    <row r="34" spans="1:26" x14ac:dyDescent="0.25">
      <c r="A34" s="6"/>
      <c r="B34" s="25" t="s">
        <v>141</v>
      </c>
      <c r="C34" s="51"/>
      <c r="D34" s="52"/>
      <c r="E34" s="17"/>
      <c r="F34" s="6"/>
      <c r="G34" s="6"/>
      <c r="J34" s="6"/>
      <c r="K34" s="6"/>
      <c r="L34" s="26" t="s">
        <v>142</v>
      </c>
      <c r="M34" s="27"/>
      <c r="N34" s="27"/>
      <c r="O34" s="6"/>
      <c r="P34" s="14" t="s">
        <v>143</v>
      </c>
      <c r="Q34" s="14">
        <f>-C36</f>
        <v>-18185</v>
      </c>
      <c r="R34" s="6"/>
      <c r="S34" s="6"/>
      <c r="T34" s="6"/>
      <c r="U34" s="6"/>
      <c r="V34" s="6"/>
      <c r="W34" s="7"/>
      <c r="X34" s="7"/>
      <c r="Y34" s="7"/>
      <c r="Z34" s="7"/>
    </row>
    <row r="35" spans="1:26" x14ac:dyDescent="0.25">
      <c r="A35" s="6"/>
      <c r="B35" s="28" t="s">
        <v>144</v>
      </c>
      <c r="C35" s="37"/>
      <c r="D35" s="38"/>
      <c r="E35" s="29"/>
      <c r="F35" s="6"/>
      <c r="G35" s="6"/>
      <c r="J35" s="6"/>
      <c r="K35" s="6"/>
      <c r="L35" s="30"/>
      <c r="M35" s="31">
        <f>SUBTOTAL(9,M30:M34)</f>
        <v>4600</v>
      </c>
      <c r="N35" s="31">
        <f t="shared" ref="N35" si="1">SUBTOTAL(9,N30:N34)</f>
        <v>7</v>
      </c>
      <c r="P35" s="32" t="s">
        <v>145</v>
      </c>
      <c r="Q35" s="33">
        <f>SUBTOTAL(9,Q30:Q34)</f>
        <v>99</v>
      </c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12" t="s">
        <v>146</v>
      </c>
      <c r="C36" s="39">
        <f>C33+C34+C35</f>
        <v>18185</v>
      </c>
      <c r="D36" s="40"/>
      <c r="E36" s="34" t="s">
        <v>147</v>
      </c>
      <c r="F36" s="6"/>
      <c r="G36" s="6"/>
      <c r="J36" s="6"/>
      <c r="K36" s="6"/>
      <c r="L36" s="29"/>
      <c r="M36" s="29"/>
      <c r="N36" s="29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</sheetData>
  <autoFilter ref="A2:Q25" xr:uid="{171E0929-AC05-4652-819E-FA7F40E9021D}">
    <sortState xmlns:xlrd2="http://schemas.microsoft.com/office/spreadsheetml/2017/richdata2" ref="A5:Q12">
      <sortCondition ref="H2:H25"/>
    </sortState>
  </autoFilter>
  <mergeCells count="8">
    <mergeCell ref="C35:D35"/>
    <mergeCell ref="C36:D36"/>
    <mergeCell ref="C29:D29"/>
    <mergeCell ref="C30:D30"/>
    <mergeCell ref="C31:D31"/>
    <mergeCell ref="C32:D32"/>
    <mergeCell ref="C33:D33"/>
    <mergeCell ref="C34:D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0BD51-6194-4D4F-83E6-7056A0ACAE53}">
  <dimension ref="A1:A5"/>
  <sheetViews>
    <sheetView workbookViewId="0">
      <selection activeCell="B5" sqref="B5"/>
    </sheetView>
  </sheetViews>
  <sheetFormatPr defaultRowHeight="15" x14ac:dyDescent="0.25"/>
  <sheetData>
    <row r="1" spans="1:1" x14ac:dyDescent="0.25">
      <c r="A1">
        <v>7850</v>
      </c>
    </row>
    <row r="2" spans="1:1" x14ac:dyDescent="0.25">
      <c r="A2">
        <v>365</v>
      </c>
    </row>
    <row r="3" spans="1:1" x14ac:dyDescent="0.25">
      <c r="A3">
        <v>760</v>
      </c>
    </row>
    <row r="4" spans="1:1" x14ac:dyDescent="0.25">
      <c r="A4">
        <v>710</v>
      </c>
    </row>
    <row r="5" spans="1:1" x14ac:dyDescent="0.25">
      <c r="A5">
        <f>SUM(A1:A4)</f>
        <v>9685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BTT-GN</dc:creator>
  <cp:lastModifiedBy>Sei Pham</cp:lastModifiedBy>
  <dcterms:created xsi:type="dcterms:W3CDTF">2026-03-11T05:26:18Z</dcterms:created>
  <dcterms:modified xsi:type="dcterms:W3CDTF">2026-03-13T01:31:28Z</dcterms:modified>
</cp:coreProperties>
</file>