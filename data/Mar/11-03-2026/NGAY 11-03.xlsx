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Freelance\TextInputter\data\Mar\11-03-2026\"/>
    </mc:Choice>
  </mc:AlternateContent>
  <xr:revisionPtr revIDLastSave="0" documentId="13_ncr:1_{141F817E-8C37-45A5-8CCF-7C4632F60751}" xr6:coauthVersionLast="47" xr6:coauthVersionMax="47" xr10:uidLastSave="{00000000-0000-0000-0000-000000000000}"/>
  <bookViews>
    <workbookView xWindow="-120" yWindow="-120" windowWidth="29040" windowHeight="15720" xr2:uid="{5607DF0A-F891-461E-AAB6-50F0C2506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5" i="1" l="1"/>
  <c r="L55" i="1" s="1"/>
  <c r="M54" i="1"/>
  <c r="M59" i="1" s="1"/>
  <c r="L54" i="1"/>
  <c r="M47" i="1"/>
  <c r="L47" i="1" s="1"/>
  <c r="M46" i="1"/>
  <c r="M51" i="1" s="1"/>
  <c r="L46" i="1"/>
  <c r="M39" i="1"/>
  <c r="L39" i="1" s="1"/>
  <c r="M38" i="1"/>
  <c r="M43" i="1" s="1"/>
  <c r="L38" i="1"/>
  <c r="E32" i="1"/>
  <c r="C32" i="1"/>
  <c r="M31" i="1"/>
  <c r="L31" i="1" s="1"/>
  <c r="E31" i="1"/>
  <c r="C31" i="1"/>
  <c r="M30" i="1"/>
  <c r="M35" i="1" s="1"/>
  <c r="L30" i="1"/>
  <c r="E30" i="1"/>
  <c r="E33" i="1" s="1"/>
  <c r="C30" i="1"/>
  <c r="C33" i="1" s="1"/>
  <c r="C37" i="1" s="1"/>
  <c r="P34" i="1" s="1"/>
  <c r="Q27" i="1"/>
  <c r="P27" i="1"/>
  <c r="O27" i="1"/>
  <c r="N27" i="1"/>
  <c r="M27" i="1"/>
  <c r="L27" i="1"/>
  <c r="K27" i="1"/>
  <c r="J27" i="1"/>
  <c r="I27" i="1"/>
  <c r="H27" i="1"/>
  <c r="G27" i="1"/>
  <c r="D27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L35" i="1" l="1"/>
  <c r="P30" i="1" s="1"/>
  <c r="L59" i="1"/>
  <c r="P33" i="1" s="1"/>
  <c r="L51" i="1"/>
  <c r="P32" i="1" s="1"/>
  <c r="L43" i="1"/>
  <c r="P31" i="1" s="1"/>
  <c r="P35" i="1" l="1"/>
</calcChain>
</file>

<file path=xl/sharedStrings.xml><?xml version="1.0" encoding="utf-8"?>
<sst xmlns="http://schemas.openxmlformats.org/spreadsheetml/2006/main" count="253" uniqueCount="128">
  <si>
    <t>THU 4</t>
  </si>
  <si>
    <t>NGAY 11-3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</si>
  <si>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</si>
  <si>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</si>
  <si>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</si>
  <si>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</si>
  <si>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</si>
  <si>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</si>
  <si>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</si>
  <si>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</si>
  <si>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</si>
  <si>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</si>
  <si>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</si>
  <si>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</si>
  <si>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</si>
  <si>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</si>
  <si>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</si>
  <si>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</si>
  <si>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</si>
  <si>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ĐOÀN NGÂN CHÂU</t>
  </si>
  <si>
    <t>Kokoro Hat</t>
  </si>
  <si>
    <t>HD000331</t>
  </si>
  <si>
    <t>Cc Hope Garden hẻm 102 Phan Huy Ích, P15</t>
  </si>
  <si>
    <t>tan binh</t>
  </si>
  <si>
    <t>c.cuong</t>
  </si>
  <si>
    <t>11-03-2026</t>
  </si>
  <si>
    <t>Hi Hà</t>
  </si>
  <si>
    <t>HD000630</t>
  </si>
  <si>
    <t>ăn hộ florita - tòa A đường 14, phường Tân tưng, TP +CM</t>
  </si>
  <si>
    <t>c.hieu</t>
  </si>
  <si>
    <t>Ý Mỹ</t>
  </si>
  <si>
    <t>HD000581</t>
  </si>
  <si>
    <t>662/4 sư vạn hạnh p12</t>
  </si>
  <si>
    <t>Khánh Linh</t>
  </si>
  <si>
    <t>HD000495</t>
  </si>
  <si>
    <t>346 bến vân đồn, Block A2 the gold view</t>
  </si>
  <si>
    <t>Ngọc Elly</t>
  </si>
  <si>
    <t>HD000655</t>
  </si>
  <si>
    <t>54B nguyễn văn trỗi phường 15</t>
  </si>
  <si>
    <t>phu nhuan</t>
  </si>
  <si>
    <t>Yến Như</t>
  </si>
  <si>
    <t>HD000674</t>
  </si>
  <si>
    <t>213 Bưng Ông Thoàn, Tăng Nhơn Phú B</t>
  </si>
  <si>
    <t>a.quyen</t>
  </si>
  <si>
    <t>Sang phạm</t>
  </si>
  <si>
    <t>HD000606</t>
  </si>
  <si>
    <t>3, Địa chỉ: 221/7/2 đường Đất Thánh p6</t>
  </si>
  <si>
    <t>Ngọc Trang</t>
  </si>
  <si>
    <t>HD000367</t>
  </si>
  <si>
    <t>Foxshop 28 Lê Văn Duyệt, P1, Binh Thạnh</t>
  </si>
  <si>
    <t>binh thanh</t>
  </si>
  <si>
    <t>Yến Yến</t>
  </si>
  <si>
    <t>HD000278</t>
  </si>
  <si>
    <t>Toà 15 masteti thảo điền</t>
  </si>
  <si>
    <t>Lê Tường Vy</t>
  </si>
  <si>
    <t>HD000535</t>
  </si>
  <si>
    <t>194/4/5 bùi đình tuý phường 14</t>
  </si>
  <si>
    <t>Pham Huong</t>
  </si>
  <si>
    <t>HD000519</t>
  </si>
  <si>
    <t>764/50/41 phạm văn chiêu p15</t>
  </si>
  <si>
    <t>go vap</t>
  </si>
  <si>
    <t>Khoa Lê Đăng</t>
  </si>
  <si>
    <t>HD000626</t>
  </si>
  <si>
    <t>Chung Cư A2, Phim Xích Long, Cầu Kiệu</t>
  </si>
  <si>
    <t>Cẩm Tú</t>
  </si>
  <si>
    <t>HD000609</t>
  </si>
  <si>
    <t>chung cư terrace 21 võ trường toản</t>
  </si>
  <si>
    <t>đổi hàng</t>
  </si>
  <si>
    <t>JJ Huy Đặng</t>
  </si>
  <si>
    <t>HD000613</t>
  </si>
  <si>
    <t>423/21 đoàn văn bơ, phường 13</t>
  </si>
  <si>
    <t>Nguyễn Thu Thảo</t>
  </si>
  <si>
    <t>HD000621</t>
  </si>
  <si>
    <t>a5/16q quốc lộ 1A- tân tạo a- bình tân( sửa xe hữu toàn)</t>
  </si>
  <si>
    <t>binh tan</t>
  </si>
  <si>
    <t>AT  11-03</t>
  </si>
  <si>
    <t>Hoa tran</t>
  </si>
  <si>
    <t>HD000603</t>
  </si>
  <si>
    <t>23 duong so 8, Tan quy</t>
  </si>
  <si>
    <t>Anh Thu Nguyen</t>
  </si>
  <si>
    <t>HD000173</t>
  </si>
  <si>
    <t>230 ca thắng, p12</t>
  </si>
  <si>
    <t>Kim Anh Phạm</t>
  </si>
  <si>
    <t>HD000426</t>
  </si>
  <si>
    <t>16 cư xá bình minh,đường dương bá trạc,phường 1</t>
  </si>
  <si>
    <t>Tran Quynh Giao</t>
  </si>
  <si>
    <t>HD000620</t>
  </si>
  <si>
    <t>26/22 đường số 7 phường 3</t>
  </si>
  <si>
    <t>luu tra</t>
  </si>
  <si>
    <t>x</t>
  </si>
  <si>
    <t>xx</t>
  </si>
  <si>
    <t>Heng Roza (EV38382)</t>
  </si>
  <si>
    <t>HD000386</t>
  </si>
  <si>
    <t>315/18/6 Nhuyễn Thị Tú, Phường Bình Hưng Hòa B</t>
  </si>
  <si>
    <t>Lily Lim</t>
  </si>
  <si>
    <t>HD000640</t>
  </si>
  <si>
    <t>Địa chỉ nhà: 49 Trần Văn Dư - Phường 13</t>
  </si>
  <si>
    <t>hàng sỉ</t>
  </si>
  <si>
    <t>NABY 22</t>
  </si>
  <si>
    <t>90/35 Trần Văn Ơn, Phường Tân Sơn Nhì</t>
  </si>
  <si>
    <t>tan phu</t>
  </si>
  <si>
    <t>Thu 7800 + ship 50</t>
  </si>
  <si>
    <t>Tuyết Nguyễn</t>
  </si>
  <si>
    <t>HD136516</t>
  </si>
  <si>
    <t>91/5/17 đường 8 linh trung</t>
  </si>
  <si>
    <t>thu duc</t>
  </si>
  <si>
    <t>09-03-2026</t>
  </si>
  <si>
    <t>đơn trả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</si>
  <si>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</si>
  <si>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</si>
  <si>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</si>
  <si>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</si>
  <si>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</si>
  <si>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</si>
  <si>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</si>
  <si>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 xml:space="preserve">Trừ Tiền Ship  </t>
  </si>
  <si>
    <t>tiền ship</t>
  </si>
  <si>
    <t>Đơn trả &amp; c.khoản</t>
  </si>
  <si>
    <t>tiền lấy</t>
  </si>
  <si>
    <t>Tiền Hàng Hcm</t>
  </si>
  <si>
    <t>at  11-03</t>
  </si>
  <si>
    <t>đền đơn</t>
  </si>
  <si>
    <t>đơn cũ ck</t>
  </si>
  <si>
    <t>shop</t>
  </si>
  <si>
    <t>nợ cũ</t>
  </si>
  <si>
    <t>tổng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</si>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</sst>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0" fillId="3" borderId="0" xfId="0" applyFill="1"/>
    <xf numFmtId="0" fontId="2" fillId="0" borderId="0" xfId="0" applyFont="1"/>
    <xf numFmtId="0" fontId="0" fillId="5" borderId="0" xfId="0" applyFill="1"/>
    <xf numFmtId="0" fontId="1" fillId="6" borderId="0" xfId="0" applyFont="1" applyFill="1"/>
    <xf numFmtId="0" fontId="0" fillId="0" borderId="0" xfId="0"/>
    <xf numFmtId="0" fontId="1" fillId="3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D471-D3B9-4F2F-A69B-404D6A67F7AC}">
  <dimension ref="A1:Q59"/>
  <sheetViews>
    <sheetView tabSelected="1" topLeftCell="A28" workbookViewId="0">
      <selection activeCell="A2" sqref="A2:Q59"/>
    </sheetView>
  </sheetViews>
  <sheetFormatPr defaultRowHeight="15" x14ac:dyDescent="0.25"/>
  <cols>
    <col min="1" max="1" width="18.28515625" bestFit="1" customWidth="1"/>
    <col min="2" max="2" width="17.5703125" bestFit="1" customWidth="1"/>
    <col min="3" max="3" width="19.42578125" bestFit="1" customWidth="1"/>
    <col min="4" max="4" width="9.5703125" bestFit="1" customWidth="1"/>
    <col min="5" max="5" width="51" bestFit="1" customWidth="1"/>
    <col min="6" max="6" width="10.5703125" bestFit="1" customWidth="1"/>
    <col min="7" max="7" width="11.5703125" bestFit="1" customWidth="1"/>
    <col min="8" max="8" width="12.140625" bestFit="1" customWidth="1"/>
    <col min="9" max="9" width="13.28515625" bestFit="1" customWidth="1"/>
    <col min="10" max="10" width="12.28515625" bestFit="1" customWidth="1"/>
    <col min="11" max="11" width="16.5703125" bestFit="1" customWidth="1"/>
    <col min="12" max="12" width="12.140625" bestFit="1" customWidth="1"/>
    <col min="13" max="13" width="17" bestFit="1" customWidth="1"/>
    <col min="14" max="14" width="12.28515625" bestFit="1" customWidth="1"/>
    <col min="15" max="15" width="13" bestFit="1" customWidth="1"/>
    <col min="16" max="16" width="7" bestFit="1" customWidth="1"/>
    <col min="17" max="17" width="6.5703125" bestFit="1" customWidth="1"/>
  </cols>
  <sheetData>
    <row r="1" spans="1:17" x14ac:dyDescent="0.25">
      <c r="B1" t="s">
        <v>0</v>
      </c>
      <c r="C1" t="s">
        <v>1</v>
      </c>
    </row>
    <row r="2" spans="1:17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7" x14ac:dyDescent="0.25"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2">
        <v>385</v>
      </c>
      <c r="H3" s="2">
        <v>25</v>
      </c>
      <c r="I3" s="2">
        <f t="shared" ref="I3:I11" si="0">G3-H3</f>
        <v>360</v>
      </c>
      <c r="J3" t="s">
        <v>24</v>
      </c>
      <c r="K3" t="s">
        <v>24</v>
      </c>
      <c r="L3" t="s">
        <v>25</v>
      </c>
      <c r="Q3" s="2">
        <v>1</v>
      </c>
    </row>
    <row r="4" spans="1:17" x14ac:dyDescent="0.25">
      <c r="B4" t="s">
        <v>19</v>
      </c>
      <c r="C4" t="s">
        <v>26</v>
      </c>
      <c r="D4" t="s">
        <v>27</v>
      </c>
      <c r="E4" t="s">
        <v>28</v>
      </c>
      <c r="F4" s="2">
        <v>7</v>
      </c>
      <c r="G4" s="2">
        <v>130</v>
      </c>
      <c r="H4" s="2">
        <v>30</v>
      </c>
      <c r="I4" s="2">
        <f t="shared" si="0"/>
        <v>100</v>
      </c>
      <c r="J4" t="s">
        <v>29</v>
      </c>
      <c r="K4" t="s">
        <v>24</v>
      </c>
      <c r="L4" t="s">
        <v>25</v>
      </c>
      <c r="Q4" s="2">
        <v>1</v>
      </c>
    </row>
    <row r="5" spans="1:17" x14ac:dyDescent="0.25">
      <c r="B5" t="s">
        <v>19</v>
      </c>
      <c r="C5" t="s">
        <v>30</v>
      </c>
      <c r="D5" t="s">
        <v>31</v>
      </c>
      <c r="E5" t="s">
        <v>32</v>
      </c>
      <c r="F5" s="2">
        <v>10</v>
      </c>
      <c r="G5" s="2">
        <v>385</v>
      </c>
      <c r="H5" s="2">
        <v>25</v>
      </c>
      <c r="I5" s="2">
        <f t="shared" si="0"/>
        <v>360</v>
      </c>
      <c r="J5" t="s">
        <v>29</v>
      </c>
      <c r="K5" t="s">
        <v>24</v>
      </c>
      <c r="L5" t="s">
        <v>25</v>
      </c>
      <c r="Q5" s="2">
        <v>1</v>
      </c>
    </row>
    <row r="6" spans="1:17" x14ac:dyDescent="0.25">
      <c r="B6" t="s">
        <v>19</v>
      </c>
      <c r="C6" t="s">
        <v>33</v>
      </c>
      <c r="D6" t="s">
        <v>34</v>
      </c>
      <c r="E6" t="s">
        <v>35</v>
      </c>
      <c r="F6" s="2">
        <v>4</v>
      </c>
      <c r="G6" s="2">
        <v>605</v>
      </c>
      <c r="H6" s="2">
        <v>25</v>
      </c>
      <c r="I6" s="2">
        <f t="shared" si="0"/>
        <v>580</v>
      </c>
      <c r="J6" t="s">
        <v>29</v>
      </c>
      <c r="K6" t="s">
        <v>24</v>
      </c>
      <c r="L6" t="s">
        <v>25</v>
      </c>
      <c r="Q6" s="2">
        <v>1</v>
      </c>
    </row>
    <row r="7" spans="1:17" x14ac:dyDescent="0.25">
      <c r="B7" t="s">
        <v>19</v>
      </c>
      <c r="C7" t="s">
        <v>36</v>
      </c>
      <c r="D7" t="s">
        <v>37</v>
      </c>
      <c r="E7" t="s">
        <v>38</v>
      </c>
      <c r="F7" t="s">
        <v>39</v>
      </c>
      <c r="G7" s="2">
        <v>390</v>
      </c>
      <c r="H7" s="2">
        <v>20</v>
      </c>
      <c r="I7" s="2">
        <f t="shared" si="0"/>
        <v>370</v>
      </c>
      <c r="J7" t="s">
        <v>29</v>
      </c>
      <c r="K7" t="s">
        <v>24</v>
      </c>
      <c r="L7" t="s">
        <v>25</v>
      </c>
      <c r="Q7" s="2">
        <v>1</v>
      </c>
    </row>
    <row r="8" spans="1:17" x14ac:dyDescent="0.25">
      <c r="B8" t="s">
        <v>19</v>
      </c>
      <c r="C8" t="s">
        <v>40</v>
      </c>
      <c r="D8" t="s">
        <v>41</v>
      </c>
      <c r="E8" t="s">
        <v>42</v>
      </c>
      <c r="F8" s="2">
        <v>9</v>
      </c>
      <c r="G8" s="2">
        <v>820</v>
      </c>
      <c r="H8" s="2">
        <v>30</v>
      </c>
      <c r="I8" s="2">
        <f t="shared" si="0"/>
        <v>790</v>
      </c>
      <c r="J8" t="s">
        <v>43</v>
      </c>
      <c r="K8" t="s">
        <v>24</v>
      </c>
      <c r="L8" t="s">
        <v>25</v>
      </c>
      <c r="Q8" s="2">
        <v>1</v>
      </c>
    </row>
    <row r="9" spans="1:17" x14ac:dyDescent="0.25">
      <c r="B9" t="s">
        <v>19</v>
      </c>
      <c r="C9" t="s">
        <v>44</v>
      </c>
      <c r="D9" t="s">
        <v>45</v>
      </c>
      <c r="E9" t="s">
        <v>46</v>
      </c>
      <c r="F9" t="s">
        <v>23</v>
      </c>
      <c r="G9" s="2">
        <v>395</v>
      </c>
      <c r="H9" s="2">
        <v>25</v>
      </c>
      <c r="I9" s="2">
        <f t="shared" si="0"/>
        <v>370</v>
      </c>
      <c r="J9" t="s">
        <v>29</v>
      </c>
      <c r="K9" t="s">
        <v>24</v>
      </c>
      <c r="L9" t="s">
        <v>25</v>
      </c>
      <c r="Q9" s="2">
        <v>1</v>
      </c>
    </row>
    <row r="10" spans="1:17" x14ac:dyDescent="0.25">
      <c r="B10" t="s">
        <v>19</v>
      </c>
      <c r="C10" t="s">
        <v>47</v>
      </c>
      <c r="D10" t="s">
        <v>48</v>
      </c>
      <c r="E10" t="s">
        <v>49</v>
      </c>
      <c r="F10" t="s">
        <v>50</v>
      </c>
      <c r="G10" s="2">
        <v>740</v>
      </c>
      <c r="H10" s="2">
        <v>20</v>
      </c>
      <c r="I10" s="2">
        <f t="shared" si="0"/>
        <v>720</v>
      </c>
      <c r="J10" t="s">
        <v>24</v>
      </c>
      <c r="K10" t="s">
        <v>24</v>
      </c>
      <c r="L10" t="s">
        <v>25</v>
      </c>
      <c r="Q10" s="2">
        <v>1</v>
      </c>
    </row>
    <row r="11" spans="1:17" x14ac:dyDescent="0.25">
      <c r="B11" t="s">
        <v>19</v>
      </c>
      <c r="C11" t="s">
        <v>51</v>
      </c>
      <c r="D11" t="s">
        <v>52</v>
      </c>
      <c r="E11" t="s">
        <v>53</v>
      </c>
      <c r="F11" s="2">
        <v>2</v>
      </c>
      <c r="G11" s="2">
        <v>1690</v>
      </c>
      <c r="H11" s="2">
        <v>30</v>
      </c>
      <c r="I11" s="2">
        <f t="shared" si="0"/>
        <v>1660</v>
      </c>
      <c r="J11" t="s">
        <v>24</v>
      </c>
      <c r="K11" t="s">
        <v>24</v>
      </c>
      <c r="L11" t="s">
        <v>25</v>
      </c>
      <c r="Q11" s="2">
        <v>1</v>
      </c>
    </row>
    <row r="12" spans="1:17" x14ac:dyDescent="0.25">
      <c r="B12" t="s">
        <v>19</v>
      </c>
      <c r="C12" t="s">
        <v>54</v>
      </c>
      <c r="D12" t="s">
        <v>55</v>
      </c>
      <c r="E12" t="s">
        <v>56</v>
      </c>
      <c r="F12" t="s">
        <v>50</v>
      </c>
      <c r="G12" s="2">
        <v>0</v>
      </c>
      <c r="H12" s="2">
        <v>20</v>
      </c>
      <c r="I12" s="2">
        <f>-H12</f>
        <v>-20</v>
      </c>
      <c r="J12" t="s">
        <v>24</v>
      </c>
      <c r="K12" t="s">
        <v>24</v>
      </c>
      <c r="L12" t="s">
        <v>25</v>
      </c>
      <c r="Q12" s="2">
        <v>1</v>
      </c>
    </row>
    <row r="13" spans="1:17" x14ac:dyDescent="0.25">
      <c r="B13" t="s">
        <v>19</v>
      </c>
      <c r="C13" t="s">
        <v>57</v>
      </c>
      <c r="D13" t="s">
        <v>58</v>
      </c>
      <c r="E13" t="s">
        <v>59</v>
      </c>
      <c r="F13" t="s">
        <v>60</v>
      </c>
      <c r="G13" s="2">
        <v>815</v>
      </c>
      <c r="H13" s="2">
        <v>25</v>
      </c>
      <c r="I13" s="2">
        <f>G13-H13</f>
        <v>790</v>
      </c>
      <c r="J13" t="s">
        <v>24</v>
      </c>
      <c r="K13" t="s">
        <v>24</v>
      </c>
      <c r="L13" t="s">
        <v>25</v>
      </c>
      <c r="Q13" s="2">
        <v>1</v>
      </c>
    </row>
    <row r="14" spans="1:17" x14ac:dyDescent="0.25">
      <c r="B14" t="s">
        <v>19</v>
      </c>
      <c r="C14" t="s">
        <v>61</v>
      </c>
      <c r="D14" t="s">
        <v>62</v>
      </c>
      <c r="E14" t="s">
        <v>63</v>
      </c>
      <c r="F14" t="s">
        <v>39</v>
      </c>
      <c r="G14" s="2">
        <v>840</v>
      </c>
      <c r="H14" s="2">
        <v>20</v>
      </c>
      <c r="I14" s="2">
        <f>G14-H14</f>
        <v>820</v>
      </c>
      <c r="J14" t="s">
        <v>29</v>
      </c>
      <c r="K14" t="s">
        <v>24</v>
      </c>
      <c r="L14" t="s">
        <v>25</v>
      </c>
      <c r="Q14" s="2">
        <v>1</v>
      </c>
    </row>
    <row r="15" spans="1:17" x14ac:dyDescent="0.25">
      <c r="B15" t="s">
        <v>19</v>
      </c>
      <c r="C15" t="s">
        <v>64</v>
      </c>
      <c r="D15" t="s">
        <v>65</v>
      </c>
      <c r="E15" t="s">
        <v>66</v>
      </c>
      <c r="F15" s="2">
        <v>2</v>
      </c>
      <c r="G15" s="2">
        <v>0</v>
      </c>
      <c r="H15" s="2">
        <v>30</v>
      </c>
      <c r="I15" s="2">
        <f>-H15</f>
        <v>-30</v>
      </c>
      <c r="J15" t="s">
        <v>24</v>
      </c>
      <c r="K15" t="s">
        <v>24</v>
      </c>
      <c r="L15" t="s">
        <v>25</v>
      </c>
      <c r="M15" t="s">
        <v>67</v>
      </c>
      <c r="Q15" s="2">
        <v>1</v>
      </c>
    </row>
    <row r="16" spans="1:17" x14ac:dyDescent="0.25">
      <c r="B16" t="s">
        <v>19</v>
      </c>
      <c r="C16" t="s">
        <v>68</v>
      </c>
      <c r="D16" t="s">
        <v>69</v>
      </c>
      <c r="E16" t="s">
        <v>70</v>
      </c>
      <c r="F16" s="2">
        <v>4</v>
      </c>
      <c r="G16" s="2">
        <v>0</v>
      </c>
      <c r="H16" s="2">
        <v>25</v>
      </c>
      <c r="I16" s="2">
        <f>-H16</f>
        <v>-25</v>
      </c>
      <c r="J16" t="s">
        <v>29</v>
      </c>
      <c r="K16" t="s">
        <v>24</v>
      </c>
      <c r="L16" t="s">
        <v>25</v>
      </c>
      <c r="Q16" s="2">
        <v>1</v>
      </c>
    </row>
    <row r="17" spans="1:17" x14ac:dyDescent="0.25">
      <c r="B17" t="s">
        <v>19</v>
      </c>
      <c r="C17" t="s">
        <v>71</v>
      </c>
      <c r="D17" t="s">
        <v>72</v>
      </c>
      <c r="E17" t="s">
        <v>73</v>
      </c>
      <c r="F17" t="s">
        <v>74</v>
      </c>
      <c r="G17" s="2">
        <v>705</v>
      </c>
      <c r="H17" s="2">
        <v>25</v>
      </c>
      <c r="I17" s="2">
        <f>G17-H17</f>
        <v>680</v>
      </c>
      <c r="J17" t="s">
        <v>75</v>
      </c>
      <c r="K17" t="s">
        <v>24</v>
      </c>
      <c r="L17" t="s">
        <v>25</v>
      </c>
      <c r="Q17" s="2">
        <v>1</v>
      </c>
    </row>
    <row r="18" spans="1:17" x14ac:dyDescent="0.25">
      <c r="B18" t="s">
        <v>19</v>
      </c>
      <c r="C18" t="s">
        <v>76</v>
      </c>
      <c r="D18" t="s">
        <v>77</v>
      </c>
      <c r="E18" t="s">
        <v>78</v>
      </c>
      <c r="F18" s="2">
        <v>7</v>
      </c>
      <c r="G18" s="2">
        <v>747</v>
      </c>
      <c r="H18" s="2">
        <v>17</v>
      </c>
      <c r="I18" s="2">
        <f>G18-H18</f>
        <v>730</v>
      </c>
      <c r="J18" t="s">
        <v>75</v>
      </c>
      <c r="K18" t="s">
        <v>24</v>
      </c>
      <c r="L18" t="s">
        <v>25</v>
      </c>
      <c r="Q18" s="2">
        <v>1</v>
      </c>
    </row>
    <row r="19" spans="1:17" x14ac:dyDescent="0.25">
      <c r="B19" t="s">
        <v>19</v>
      </c>
      <c r="C19" t="s">
        <v>79</v>
      </c>
      <c r="D19" t="s">
        <v>80</v>
      </c>
      <c r="E19" t="s">
        <v>81</v>
      </c>
      <c r="F19" s="2">
        <v>10</v>
      </c>
      <c r="G19" s="2">
        <v>715</v>
      </c>
      <c r="H19" s="2">
        <v>25</v>
      </c>
      <c r="I19" s="2">
        <f>G19-H19</f>
        <v>690</v>
      </c>
      <c r="J19" t="s">
        <v>29</v>
      </c>
      <c r="K19" t="s">
        <v>24</v>
      </c>
      <c r="L19" t="s">
        <v>25</v>
      </c>
      <c r="Q19" s="2">
        <v>1</v>
      </c>
    </row>
    <row r="20" spans="1:17" x14ac:dyDescent="0.25">
      <c r="B20" t="s">
        <v>19</v>
      </c>
      <c r="C20" t="s">
        <v>82</v>
      </c>
      <c r="D20" t="s">
        <v>83</v>
      </c>
      <c r="E20" t="s">
        <v>84</v>
      </c>
      <c r="F20" s="2">
        <v>8</v>
      </c>
      <c r="G20" s="2">
        <v>357</v>
      </c>
      <c r="H20" s="2">
        <v>17</v>
      </c>
      <c r="I20" s="2">
        <f>G20-H20</f>
        <v>340</v>
      </c>
      <c r="J20" t="s">
        <v>75</v>
      </c>
      <c r="K20" t="s">
        <v>24</v>
      </c>
      <c r="L20" t="s">
        <v>25</v>
      </c>
      <c r="Q20" s="2">
        <v>1</v>
      </c>
    </row>
    <row r="21" spans="1:17" x14ac:dyDescent="0.25">
      <c r="B21" t="s">
        <v>19</v>
      </c>
      <c r="C21" t="s">
        <v>85</v>
      </c>
      <c r="D21" t="s">
        <v>86</v>
      </c>
      <c r="E21" t="s">
        <v>87</v>
      </c>
      <c r="F21" t="s">
        <v>60</v>
      </c>
      <c r="G21" s="2">
        <v>515</v>
      </c>
      <c r="H21" s="2">
        <v>25</v>
      </c>
      <c r="I21" s="2">
        <f>G21-H21</f>
        <v>490</v>
      </c>
      <c r="J21" t="s">
        <v>88</v>
      </c>
      <c r="K21" t="s">
        <v>24</v>
      </c>
      <c r="L21" t="s">
        <v>25</v>
      </c>
      <c r="N21" t="s">
        <v>89</v>
      </c>
      <c r="P21" t="s">
        <v>90</v>
      </c>
      <c r="Q21" s="2">
        <v>1</v>
      </c>
    </row>
    <row r="22" spans="1:17" x14ac:dyDescent="0.25">
      <c r="B22" t="s">
        <v>19</v>
      </c>
      <c r="C22" t="s">
        <v>91</v>
      </c>
      <c r="D22" t="s">
        <v>92</v>
      </c>
      <c r="E22" t="s">
        <v>93</v>
      </c>
      <c r="F22" t="s">
        <v>74</v>
      </c>
      <c r="G22" s="2">
        <v>0</v>
      </c>
      <c r="H22" s="2">
        <v>25</v>
      </c>
      <c r="I22" s="2">
        <f>-H22</f>
        <v>-25</v>
      </c>
      <c r="J22" t="s">
        <v>75</v>
      </c>
      <c r="K22" t="s">
        <v>24</v>
      </c>
      <c r="L22" t="s">
        <v>25</v>
      </c>
      <c r="Q22" s="2">
        <v>1</v>
      </c>
    </row>
    <row r="23" spans="1:17" x14ac:dyDescent="0.25">
      <c r="B23" t="s">
        <v>19</v>
      </c>
      <c r="C23" t="s">
        <v>94</v>
      </c>
      <c r="D23" t="s">
        <v>95</v>
      </c>
      <c r="E23" t="s">
        <v>96</v>
      </c>
      <c r="F23" t="s">
        <v>23</v>
      </c>
      <c r="G23" s="2">
        <v>1565</v>
      </c>
      <c r="H23" s="2">
        <v>25</v>
      </c>
      <c r="I23" s="2">
        <f>G23-H23</f>
        <v>1540</v>
      </c>
      <c r="J23" t="s">
        <v>24</v>
      </c>
      <c r="K23" t="s">
        <v>24</v>
      </c>
      <c r="L23" t="s">
        <v>25</v>
      </c>
      <c r="Q23" s="2">
        <v>1</v>
      </c>
    </row>
    <row r="24" spans="1:17" x14ac:dyDescent="0.25">
      <c r="A24" t="s">
        <v>97</v>
      </c>
      <c r="B24" t="s">
        <v>19</v>
      </c>
      <c r="C24" t="s">
        <v>98</v>
      </c>
      <c r="E24" t="s">
        <v>99</v>
      </c>
      <c r="F24" t="s">
        <v>100</v>
      </c>
      <c r="G24" s="2">
        <v>7817</v>
      </c>
      <c r="H24" s="2">
        <v>17</v>
      </c>
      <c r="I24" s="2">
        <f>G24-H24</f>
        <v>7800</v>
      </c>
      <c r="J24" t="s">
        <v>75</v>
      </c>
      <c r="K24" t="s">
        <v>24</v>
      </c>
      <c r="L24" t="s">
        <v>25</v>
      </c>
      <c r="M24" t="s">
        <v>101</v>
      </c>
      <c r="Q24" s="2">
        <v>1</v>
      </c>
    </row>
    <row r="25" spans="1:17" x14ac:dyDescent="0.25">
      <c r="B25" t="s">
        <v>19</v>
      </c>
      <c r="C25" t="s">
        <v>102</v>
      </c>
      <c r="D25" t="s">
        <v>103</v>
      </c>
      <c r="E25" t="s">
        <v>104</v>
      </c>
      <c r="F25" t="s">
        <v>105</v>
      </c>
      <c r="G25" s="2">
        <v>470</v>
      </c>
      <c r="H25" s="2">
        <v>30</v>
      </c>
      <c r="I25" s="2">
        <f>G25-H25</f>
        <v>440</v>
      </c>
      <c r="J25" t="s">
        <v>88</v>
      </c>
      <c r="K25" t="s">
        <v>24</v>
      </c>
      <c r="L25" t="s">
        <v>106</v>
      </c>
      <c r="M25" t="s">
        <v>107</v>
      </c>
      <c r="N25" t="s">
        <v>89</v>
      </c>
      <c r="O25" t="s">
        <v>89</v>
      </c>
      <c r="P25" t="s">
        <v>90</v>
      </c>
      <c r="Q25" s="2">
        <v>1</v>
      </c>
    </row>
    <row r="27" spans="1:17" x14ac:dyDescent="0.25">
      <c r="D27" s="3">
        <f>COUNTA(D3:D25)</f>
        <v>22</v>
      </c>
      <c r="G27" s="3">
        <f t="shared" ref="G27:Q27" si="1">SUBTOTAL(9,G3:G25)</f>
        <v>20086</v>
      </c>
      <c r="H27" s="3">
        <f t="shared" si="1"/>
        <v>556</v>
      </c>
      <c r="I27" s="3">
        <f t="shared" si="1"/>
        <v>19530</v>
      </c>
      <c r="J27" s="3">
        <f t="shared" si="1"/>
        <v>0</v>
      </c>
      <c r="K27" s="3">
        <f t="shared" si="1"/>
        <v>0</v>
      </c>
      <c r="L27" s="3">
        <f t="shared" si="1"/>
        <v>0</v>
      </c>
      <c r="M27" s="3">
        <f t="shared" si="1"/>
        <v>0</v>
      </c>
      <c r="N27" s="3">
        <f t="shared" si="1"/>
        <v>0</v>
      </c>
      <c r="O27" s="3">
        <f t="shared" si="1"/>
        <v>0</v>
      </c>
      <c r="P27" s="3">
        <f t="shared" si="1"/>
        <v>0</v>
      </c>
      <c r="Q27" s="3">
        <f t="shared" si="1"/>
        <v>23</v>
      </c>
    </row>
    <row r="29" spans="1:17" x14ac:dyDescent="0.25">
      <c r="A29" s="3" t="s">
        <v>19</v>
      </c>
      <c r="C29" s="12" t="s">
        <v>108</v>
      </c>
      <c r="D29" s="12"/>
      <c r="E29" s="4" t="s">
        <v>109</v>
      </c>
      <c r="K29" s="5" t="s">
        <v>24</v>
      </c>
      <c r="L29" s="5" t="s">
        <v>110</v>
      </c>
      <c r="M29" s="5" t="s">
        <v>109</v>
      </c>
      <c r="O29" s="4" t="s">
        <v>111</v>
      </c>
    </row>
    <row r="30" spans="1:17" x14ac:dyDescent="0.25">
      <c r="A30" t="s">
        <v>25</v>
      </c>
      <c r="B30" s="6" t="s">
        <v>112</v>
      </c>
      <c r="C30" s="13">
        <f>SUMIFS(G$3:G$25,B$3:B$25,A$29,L$3:L$25,A$30)</f>
        <v>19616</v>
      </c>
      <c r="D30" s="13"/>
      <c r="E30" s="6">
        <f>SUMIFS(Q$3:Q$25,B$3:B$25,A$29,L$3:L$25,A$30)</f>
        <v>22</v>
      </c>
      <c r="F30" t="s">
        <v>113</v>
      </c>
      <c r="K30" t="s">
        <v>114</v>
      </c>
      <c r="L30">
        <f>SUMIFS(G$3:G$25,J$3:J$25,K$29)</f>
        <v>5195</v>
      </c>
      <c r="M30">
        <f>SUMIFS(Q$3:Q$25,J$3:J$25,K$29)</f>
        <v>7</v>
      </c>
      <c r="O30" t="s">
        <v>24</v>
      </c>
      <c r="P30">
        <f>L35</f>
        <v>5055</v>
      </c>
    </row>
    <row r="31" spans="1:17" x14ac:dyDescent="0.25">
      <c r="B31" s="7" t="s">
        <v>115</v>
      </c>
      <c r="C31" s="14">
        <f>-SUMIFS(H$3:H$25,B$3:B$25,A$29,L$3:L$25,A$30)</f>
        <v>-526</v>
      </c>
      <c r="D31" s="14"/>
      <c r="E31">
        <f>SUMIFS(Q$3:Q$25,B$3:B$25,A$29,L$3:L$25,A$30)</f>
        <v>22</v>
      </c>
      <c r="K31" t="s">
        <v>116</v>
      </c>
      <c r="L31">
        <f>-SUMIFS(H$3:H$25,J$3:J$25,K$29)+M31*5</f>
        <v>-140</v>
      </c>
      <c r="M31">
        <f>SUMIFS(Q$3:Q$25,J$3:J$25,K$29)-COUNTIFS(J$3:J$25,K$29,M$3:M$25,"*gộp*")</f>
        <v>7</v>
      </c>
      <c r="O31" t="s">
        <v>29</v>
      </c>
      <c r="P31">
        <f>L43</f>
        <v>3305</v>
      </c>
    </row>
    <row r="32" spans="1:17" x14ac:dyDescent="0.25">
      <c r="B32" s="7" t="s">
        <v>117</v>
      </c>
      <c r="C32" s="14">
        <f>-SUMIFS(I$3:I$25,B$3:B$25,A$29,P$3:P$25,"xx",N$3:N$25,"x")</f>
        <v>-930</v>
      </c>
      <c r="D32" s="14"/>
      <c r="E32" s="7">
        <f>SUMIFS(Q$3:Q$25,B$3:B$25,A$29,P$3:P$25,"xx",N$3:N$25,"x")</f>
        <v>2</v>
      </c>
      <c r="K32" t="s">
        <v>118</v>
      </c>
      <c r="O32" t="s">
        <v>43</v>
      </c>
      <c r="P32">
        <f>L51</f>
        <v>795</v>
      </c>
    </row>
    <row r="33" spans="2:16" x14ac:dyDescent="0.25">
      <c r="B33" s="4" t="s">
        <v>119</v>
      </c>
      <c r="C33" s="12">
        <f>SUBTOTAL(9,C30:C32)</f>
        <v>18160</v>
      </c>
      <c r="D33" s="12"/>
      <c r="E33">
        <f>E30</f>
        <v>22</v>
      </c>
      <c r="K33" s="7" t="s">
        <v>107</v>
      </c>
      <c r="O33" t="s">
        <v>120</v>
      </c>
      <c r="P33">
        <f>L59</f>
        <v>9550</v>
      </c>
    </row>
    <row r="34" spans="2:16" x14ac:dyDescent="0.25">
      <c r="B34" s="7" t="s">
        <v>121</v>
      </c>
      <c r="C34" s="10"/>
      <c r="D34" s="10"/>
      <c r="K34" s="7" t="s">
        <v>122</v>
      </c>
      <c r="O34" t="s">
        <v>123</v>
      </c>
      <c r="P34">
        <f>-C37</f>
        <v>-18160</v>
      </c>
    </row>
    <row r="35" spans="2:16" x14ac:dyDescent="0.25">
      <c r="B35" s="8" t="s">
        <v>124</v>
      </c>
      <c r="C35" s="10"/>
      <c r="D35" s="10"/>
      <c r="L35" s="9">
        <f>SUBTOTAL(9,L30:L34)</f>
        <v>5055</v>
      </c>
      <c r="M35" s="9">
        <f>M30</f>
        <v>7</v>
      </c>
      <c r="O35" s="4" t="s">
        <v>125</v>
      </c>
      <c r="P35" s="4">
        <f>SUBTOTAL(9,P30:P34)</f>
        <v>545</v>
      </c>
    </row>
    <row r="37" spans="2:16" x14ac:dyDescent="0.25">
      <c r="B37" s="3" t="s">
        <v>126</v>
      </c>
      <c r="C37" s="11">
        <f>C33+C34+C35</f>
        <v>18160</v>
      </c>
      <c r="D37" s="11"/>
      <c r="E37" s="3" t="s">
        <v>127</v>
      </c>
      <c r="K37" s="5" t="s">
        <v>29</v>
      </c>
      <c r="L37" s="5" t="s">
        <v>110</v>
      </c>
      <c r="M37" s="5" t="s">
        <v>109</v>
      </c>
    </row>
    <row r="38" spans="2:16" x14ac:dyDescent="0.25">
      <c r="K38" t="s">
        <v>114</v>
      </c>
      <c r="L38">
        <f>SUMIFS(G$3:G$25,J$3:J$25,K$37)</f>
        <v>3460</v>
      </c>
      <c r="M38">
        <f>SUMIFS(Q$3:Q$25,J$3:J$25,K$37)</f>
        <v>8</v>
      </c>
    </row>
    <row r="39" spans="2:16" x14ac:dyDescent="0.25">
      <c r="K39" t="s">
        <v>116</v>
      </c>
      <c r="L39">
        <f>-SUMIFS(H$3:H$25,J$3:J$25,K$37)+M39*5</f>
        <v>-155</v>
      </c>
      <c r="M39">
        <f>SUMIFS(Q$3:Q$25,J$3:J$25,K$37)-COUNTIFS(J$3:J$25,K$37,M$3:M$25,"*gộp*")</f>
        <v>8</v>
      </c>
    </row>
    <row r="40" spans="2:16" x14ac:dyDescent="0.25">
      <c r="K40" t="s">
        <v>118</v>
      </c>
    </row>
    <row r="41" spans="2:16" x14ac:dyDescent="0.25">
      <c r="K41" s="7" t="s">
        <v>107</v>
      </c>
    </row>
    <row r="42" spans="2:16" x14ac:dyDescent="0.25">
      <c r="K42" s="7" t="s">
        <v>122</v>
      </c>
    </row>
    <row r="43" spans="2:16" x14ac:dyDescent="0.25">
      <c r="L43" s="9">
        <f>SUBTOTAL(9,L38:L42)</f>
        <v>3305</v>
      </c>
      <c r="M43" s="9">
        <f>M38</f>
        <v>8</v>
      </c>
    </row>
    <row r="45" spans="2:16" x14ac:dyDescent="0.25">
      <c r="K45" s="5" t="s">
        <v>43</v>
      </c>
      <c r="L45" s="5" t="s">
        <v>110</v>
      </c>
      <c r="M45" s="5" t="s">
        <v>109</v>
      </c>
    </row>
    <row r="46" spans="2:16" x14ac:dyDescent="0.25">
      <c r="K46" t="s">
        <v>114</v>
      </c>
      <c r="L46">
        <f>SUMIFS(G$3:G$25,J$3:J$25,K$45)</f>
        <v>820</v>
      </c>
      <c r="M46">
        <f>SUMIFS(Q$3:Q$25,J$3:J$25,K$45)</f>
        <v>1</v>
      </c>
    </row>
    <row r="47" spans="2:16" x14ac:dyDescent="0.25">
      <c r="K47" t="s">
        <v>116</v>
      </c>
      <c r="L47">
        <f>-SUMIFS(H$3:H$25,J$3:J$25,K$45)+M47*5</f>
        <v>-25</v>
      </c>
      <c r="M47">
        <f>SUMIFS(Q$3:Q$25,J$3:J$25,K$45)-COUNTIFS(J$3:J$25,K$45,M$3:M$25,"*gộp*")</f>
        <v>1</v>
      </c>
    </row>
    <row r="48" spans="2:16" x14ac:dyDescent="0.25">
      <c r="K48" t="s">
        <v>118</v>
      </c>
    </row>
    <row r="49" spans="11:13" x14ac:dyDescent="0.25">
      <c r="K49" s="7" t="s">
        <v>107</v>
      </c>
    </row>
    <row r="50" spans="11:13" x14ac:dyDescent="0.25">
      <c r="K50" s="7" t="s">
        <v>122</v>
      </c>
    </row>
    <row r="51" spans="11:13" x14ac:dyDescent="0.25">
      <c r="L51" s="9">
        <f>SUBTOTAL(9,L46:L50)</f>
        <v>795</v>
      </c>
      <c r="M51" s="9">
        <f>M46</f>
        <v>1</v>
      </c>
    </row>
    <row r="53" spans="11:13" x14ac:dyDescent="0.25">
      <c r="K53" s="5" t="s">
        <v>75</v>
      </c>
      <c r="L53" s="5" t="s">
        <v>110</v>
      </c>
      <c r="M53" s="5" t="s">
        <v>109</v>
      </c>
    </row>
    <row r="54" spans="11:13" x14ac:dyDescent="0.25">
      <c r="K54" t="s">
        <v>114</v>
      </c>
      <c r="L54">
        <f>SUMIFS(G$3:G$25,J$3:J$25,K$53)</f>
        <v>9626</v>
      </c>
      <c r="M54">
        <f>SUMIFS(Q$3:Q$25,J$3:J$25,K$53)</f>
        <v>5</v>
      </c>
    </row>
    <row r="55" spans="11:13" x14ac:dyDescent="0.25">
      <c r="K55" t="s">
        <v>116</v>
      </c>
      <c r="L55">
        <f>-SUMIFS(H$3:H$25,J$3:J$25,K$53)+M55*5</f>
        <v>-76</v>
      </c>
      <c r="M55">
        <f>SUMIFS(Q$3:Q$25,J$3:J$25,K$53)-COUNTIFS(J$3:J$25,K$53,M$3:M$25,"*gộp*")</f>
        <v>5</v>
      </c>
    </row>
    <row r="56" spans="11:13" x14ac:dyDescent="0.25">
      <c r="K56" t="s">
        <v>118</v>
      </c>
    </row>
    <row r="57" spans="11:13" x14ac:dyDescent="0.25">
      <c r="K57" s="7" t="s">
        <v>107</v>
      </c>
    </row>
    <row r="58" spans="11:13" x14ac:dyDescent="0.25">
      <c r="K58" s="7" t="s">
        <v>122</v>
      </c>
    </row>
    <row r="59" spans="11:13" x14ac:dyDescent="0.25">
      <c r="L59" s="9">
        <f>SUBTOTAL(9,L54:L58)</f>
        <v>9550</v>
      </c>
      <c r="M59" s="9">
        <f>M54</f>
        <v>5</v>
      </c>
    </row>
  </sheetData>
  <mergeCells count="8">
    <mergeCell ref="C35:D35"/>
    <mergeCell ref="C37:D37"/>
    <mergeCell ref="C29:D29"/>
    <mergeCell ref="C30:D30"/>
    <mergeCell ref="C31:D31"/>
    <mergeCell ref="C32:D32"/>
    <mergeCell ref="C33:D33"/>
    <mergeCell ref="C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 Pham</dc:creator>
  <cp:lastModifiedBy>Sei Pham</cp:lastModifiedBy>
  <dcterms:created xsi:type="dcterms:W3CDTF">2026-03-11T06:04:19Z</dcterms:created>
  <dcterms:modified xsi:type="dcterms:W3CDTF">2026-03-11T10:15:26Z</dcterms:modified>
</cp:coreProperties>
</file>