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28-03-2026\"/>
    </mc:Choice>
  </mc:AlternateContent>
  <xr:revisionPtr revIDLastSave="0" documentId="13_ncr:1_{025D0B2B-C9D4-4938-80C3-CEE5FC83E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8-03" sheetId="2" r:id="rId1"/>
  </sheets>
  <definedNames>
    <definedName name="_xlnm._FilterDatabase" localSheetId="0" hidden="1">'28-03'!$A$2:$P$29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  <c r="L51" i="2"/>
  <c r="I3" i="2"/>
  <c r="I21" i="2"/>
  <c r="I4" i="2"/>
  <c r="I5" i="2"/>
  <c r="I6" i="2"/>
  <c r="I22" i="2"/>
  <c r="I16" i="2"/>
  <c r="I7" i="2"/>
  <c r="I23" i="2"/>
  <c r="I17" i="2"/>
  <c r="I24" i="2"/>
  <c r="I25" i="2"/>
  <c r="I18" i="2"/>
  <c r="I26" i="2"/>
  <c r="I27" i="2"/>
  <c r="I19" i="2"/>
  <c r="I8" i="2"/>
  <c r="I9" i="2"/>
  <c r="I10" i="2"/>
  <c r="I28" i="2"/>
  <c r="I11" i="2"/>
  <c r="I12" i="2"/>
  <c r="I13" i="2"/>
  <c r="I14" i="2"/>
  <c r="I15" i="2"/>
  <c r="I29" i="2"/>
  <c r="I20" i="2"/>
  <c r="D31" i="2"/>
  <c r="G31" i="2"/>
  <c r="H31" i="2"/>
  <c r="I31" i="2"/>
  <c r="J31" i="2"/>
  <c r="K31" i="2"/>
  <c r="L31" i="2"/>
  <c r="M31" i="2"/>
  <c r="N31" i="2"/>
  <c r="O31" i="2"/>
  <c r="P31" i="2"/>
  <c r="Q31" i="2"/>
  <c r="H32" i="2"/>
  <c r="H33" i="2"/>
  <c r="C34" i="2"/>
  <c r="E34" i="2"/>
  <c r="E37" i="2" s="1"/>
  <c r="H34" i="2"/>
  <c r="L34" i="2"/>
  <c r="M34" i="2"/>
  <c r="M39" i="2" s="1"/>
  <c r="M35" i="2"/>
  <c r="C36" i="2"/>
  <c r="E36" i="2"/>
  <c r="L42" i="2"/>
  <c r="M42" i="2"/>
  <c r="M47" i="2" s="1"/>
  <c r="M43" i="2"/>
  <c r="L43" i="2" s="1"/>
  <c r="L50" i="2"/>
  <c r="M50" i="2"/>
  <c r="M55" i="2" s="1"/>
  <c r="M51" i="2"/>
  <c r="M52" i="2"/>
  <c r="L52" i="2" s="1"/>
  <c r="L55" i="2" l="1"/>
  <c r="P36" i="2" s="1"/>
  <c r="C37" i="2"/>
  <c r="C41" i="2" s="1"/>
  <c r="P37" i="2" s="1"/>
  <c r="L39" i="2"/>
  <c r="P34" i="2" s="1"/>
  <c r="L47" i="2"/>
  <c r="P35" i="2" s="1"/>
  <c r="P38" i="2" l="1"/>
</calcChain>
</file>

<file path=xl/sharedStrings.xml><?xml version="1.0" encoding="utf-8"?>
<sst xmlns="http://schemas.openxmlformats.org/spreadsheetml/2006/main" count="259" uniqueCount="130">
  <si>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</si>
  <si>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</si>
  <si>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</si>
  <si>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</si>
  <si>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</si>
  <si>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</si>
  <si>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</si>
  <si>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</si>
  <si>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</si>
  <si>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</si>
  <si>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</si>
  <si>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</si>
  <si>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</si>
  <si>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</si>
  <si>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</si>
  <si>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</si>
  <si>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</si>
  <si>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hàng sỉ</t>
  </si>
  <si>
    <t>ĐOÀN NGÂN CHÂU</t>
  </si>
  <si>
    <t>TUYẾT NHI</t>
  </si>
  <si>
    <t>170F Tân Hòa Đông f14</t>
  </si>
  <si>
    <t>AT 28-03</t>
  </si>
  <si>
    <t>c.cuong</t>
  </si>
  <si>
    <t>28-03-2026</t>
  </si>
  <si>
    <t>Rann Visetha</t>
  </si>
  <si>
    <t>HD005457</t>
  </si>
  <si>
    <t>nx khải nam</t>
  </si>
  <si>
    <t>c.hieu</t>
  </si>
  <si>
    <t>nguyễn kiều diễm</t>
  </si>
  <si>
    <t>HD005386</t>
  </si>
  <si>
    <t>437 Đào Sư Tích, Xã Phước Lộc</t>
  </si>
  <si>
    <t>nha be</t>
  </si>
  <si>
    <t>Phuong Thao</t>
  </si>
  <si>
    <t>HD005695</t>
  </si>
  <si>
    <t>137/18 âu dương lân</t>
  </si>
  <si>
    <t>Thảo Trần</t>
  </si>
  <si>
    <t>HD005630</t>
  </si>
  <si>
    <t>sunrise w1, 25 nguyễn hữu thọ, tân hưng</t>
  </si>
  <si>
    <t>Thuỷ Tờ Rần</t>
  </si>
  <si>
    <t>HD005661</t>
  </si>
  <si>
    <t>68 nguyễn lâm f6</t>
  </si>
  <si>
    <t>Thuy Nga</t>
  </si>
  <si>
    <t>HD005472</t>
  </si>
  <si>
    <t>56 bình phú phường tam phú</t>
  </si>
  <si>
    <t>thu duc</t>
  </si>
  <si>
    <t>Cao Huyền Anh</t>
  </si>
  <si>
    <t>HD005421</t>
  </si>
  <si>
    <t>765 hồng bàng p bình tây</t>
  </si>
  <si>
    <t>Yen Thi Kim Le</t>
  </si>
  <si>
    <t>HD005338</t>
  </si>
  <si>
    <t>549 Điện Biên Phủ bàn cờ</t>
  </si>
  <si>
    <t>Thao Doan</t>
  </si>
  <si>
    <t>HD005490</t>
  </si>
  <si>
    <t>81/64 Nguyễn Cửu Vân, p17</t>
  </si>
  <si>
    <t>binh thanh</t>
  </si>
  <si>
    <t>Ngọc Diễm</t>
  </si>
  <si>
    <t>HD005541</t>
  </si>
  <si>
    <t>Chung cư Central Plaza, 91 Phạm Văn Hai, phường Tân Sơn Hoà</t>
  </si>
  <si>
    <t>tan binh</t>
  </si>
  <si>
    <t>Huyền Võ</t>
  </si>
  <si>
    <t>HD005532</t>
  </si>
  <si>
    <t>83 triệu quang phục, phường 10</t>
  </si>
  <si>
    <t>Phước Ngọc</t>
  </si>
  <si>
    <t>HD005146</t>
  </si>
  <si>
    <t>landmark 3 vinhomes center park</t>
  </si>
  <si>
    <t>Thư Thư</t>
  </si>
  <si>
    <t>HD005678</t>
  </si>
  <si>
    <t>314 Trần Hưng Đạo, P Nguyễn Cư Trinh</t>
  </si>
  <si>
    <t>MAI DUNG</t>
  </si>
  <si>
    <t>HD005500</t>
  </si>
  <si>
    <t>block c chung cư bontanica premier 108 hồng hà p2</t>
  </si>
  <si>
    <t>Mai Đỗ Phi Phụng</t>
  </si>
  <si>
    <t>HD005478</t>
  </si>
  <si>
    <t>Empire city, toà tilia D12, đại lộ vòng cung, thủ thiêm</t>
  </si>
  <si>
    <t>Nga Hong Cornee</t>
  </si>
  <si>
    <t>HD005363</t>
  </si>
  <si>
    <t>24/5F, Áp Đông Lân, Bà Điểm, Hạ Môn (T2–CN, nghi lễ)</t>
  </si>
  <si>
    <t>hoc mon</t>
  </si>
  <si>
    <t>Nic Nic</t>
  </si>
  <si>
    <t>HD005390</t>
  </si>
  <si>
    <t>108 đường 85 tân hưng</t>
  </si>
  <si>
    <t>miko fb Giàu Ngọc</t>
  </si>
  <si>
    <t>HD005382</t>
  </si>
  <si>
    <t>85/6 bình tây phường 1</t>
  </si>
  <si>
    <t>Ngọc Hương</t>
  </si>
  <si>
    <t>HD005685</t>
  </si>
  <si>
    <t>19 Hoàng dư Khương phường 12</t>
  </si>
  <si>
    <t>Nhung Dang</t>
  </si>
  <si>
    <t>HD005671</t>
  </si>
  <si>
    <t>17 Hưng gia3 Tân phong</t>
  </si>
  <si>
    <t>Nguyễn Thị Tú</t>
  </si>
  <si>
    <t>HD001437</t>
  </si>
  <si>
    <t>315/18/6 Nguyễn Thị Tú</t>
  </si>
  <si>
    <t>binh tan</t>
  </si>
  <si>
    <t>Ngoc Venus</t>
  </si>
  <si>
    <t>HD005666</t>
  </si>
  <si>
    <t>69 phố tiểu nam, P Tân Phú</t>
  </si>
  <si>
    <t>Họ Mi</t>
  </si>
  <si>
    <t>HD005566</t>
  </si>
  <si>
    <t>Sunrise Riverside block C Phước Kiển</t>
  </si>
  <si>
    <t>Nguyễn Nhung</t>
  </si>
  <si>
    <t>HD005384</t>
  </si>
  <si>
    <t>688/2/1/28 huơng lộ 2- p. bình trị đông A</t>
  </si>
  <si>
    <t>Châu Bui</t>
  </si>
  <si>
    <t>HD005467</t>
  </si>
  <si>
    <t>20-22 phạm ngọc thạch</t>
  </si>
  <si>
    <t>Huỳnh Thanh Thanh</t>
  </si>
  <si>
    <t>HD005533</t>
  </si>
  <si>
    <t>26/2 đường 36 phường bình trưng tây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</si>
  <si>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</si>
  <si>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</si>
  <si>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</si>
  <si>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</si>
  <si>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</si>
  <si>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</si>
  <si>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</si>
  <si>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28-03</t>
  </si>
  <si>
    <t>Trừ Ship</t>
  </si>
  <si>
    <t>tiền ship</t>
  </si>
  <si>
    <t>Đơn trả &amp; c.khoản</t>
  </si>
  <si>
    <t>tiền lấy</t>
  </si>
  <si>
    <t>Tiền Hàng Hcm</t>
  </si>
  <si>
    <t>đơn trả</t>
  </si>
  <si>
    <t>shop</t>
  </si>
  <si>
    <t>đền đơn</t>
  </si>
  <si>
    <t>đơn cũ ck</t>
  </si>
  <si>
    <t>tổng</t>
  </si>
  <si>
    <t>nợ cũ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</si>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</sst>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3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5"/>
  <sheetViews>
    <sheetView tabSelected="1" workbookViewId="0">
      <selection activeCell="G28" sqref="G28"/>
    </sheetView>
  </sheetViews>
  <sheetFormatPr defaultRowHeight="15" x14ac:dyDescent="0.25"/>
  <cols>
    <col min="1" max="1" width="12.7109375" customWidth="1"/>
    <col min="2" max="2" width="17.7109375" customWidth="1"/>
    <col min="3" max="3" width="19.28515625" customWidth="1"/>
    <col min="4" max="4" width="9.85546875" customWidth="1"/>
    <col min="5" max="5" width="58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</row>
    <row r="3" spans="1:17" x14ac:dyDescent="0.25">
      <c r="A3" t="s">
        <v>17</v>
      </c>
      <c r="B3" t="s">
        <v>18</v>
      </c>
      <c r="C3" t="s">
        <v>19</v>
      </c>
      <c r="E3" t="s">
        <v>20</v>
      </c>
      <c r="F3" s="6">
        <v>6</v>
      </c>
      <c r="G3" s="6">
        <v>720</v>
      </c>
      <c r="H3" s="6">
        <v>30</v>
      </c>
      <c r="I3" s="6">
        <f>G3-H3</f>
        <v>690</v>
      </c>
      <c r="J3" t="s">
        <v>21</v>
      </c>
      <c r="K3" t="s">
        <v>22</v>
      </c>
      <c r="L3" t="s">
        <v>23</v>
      </c>
      <c r="Q3" s="6">
        <v>1</v>
      </c>
    </row>
    <row r="4" spans="1:17" x14ac:dyDescent="0.25">
      <c r="B4" t="s">
        <v>18</v>
      </c>
      <c r="C4" t="s">
        <v>28</v>
      </c>
      <c r="D4" t="s">
        <v>29</v>
      </c>
      <c r="E4" t="s">
        <v>30</v>
      </c>
      <c r="F4" t="s">
        <v>31</v>
      </c>
      <c r="G4" s="6">
        <v>925</v>
      </c>
      <c r="H4" s="6">
        <v>35</v>
      </c>
      <c r="I4" s="6">
        <f>G4-H4</f>
        <v>890</v>
      </c>
      <c r="J4" t="s">
        <v>21</v>
      </c>
      <c r="K4" t="s">
        <v>22</v>
      </c>
      <c r="L4" t="s">
        <v>23</v>
      </c>
      <c r="Q4" s="6">
        <v>1</v>
      </c>
    </row>
    <row r="5" spans="1:17" x14ac:dyDescent="0.25">
      <c r="B5" t="s">
        <v>18</v>
      </c>
      <c r="C5" t="s">
        <v>32</v>
      </c>
      <c r="D5" t="s">
        <v>33</v>
      </c>
      <c r="E5" t="s">
        <v>34</v>
      </c>
      <c r="F5" s="6">
        <v>8</v>
      </c>
      <c r="G5" s="6">
        <v>745</v>
      </c>
      <c r="H5" s="6">
        <v>25</v>
      </c>
      <c r="I5" s="6">
        <f>G5-H5</f>
        <v>720</v>
      </c>
      <c r="J5" t="s">
        <v>21</v>
      </c>
      <c r="K5" t="s">
        <v>22</v>
      </c>
      <c r="L5" t="s">
        <v>23</v>
      </c>
      <c r="Q5" s="6">
        <v>1</v>
      </c>
    </row>
    <row r="6" spans="1:17" x14ac:dyDescent="0.25">
      <c r="B6" t="s">
        <v>18</v>
      </c>
      <c r="C6" t="s">
        <v>35</v>
      </c>
      <c r="D6" t="s">
        <v>36</v>
      </c>
      <c r="E6" t="s">
        <v>37</v>
      </c>
      <c r="F6" s="6">
        <v>7</v>
      </c>
      <c r="G6" s="6">
        <v>700</v>
      </c>
      <c r="H6" s="6">
        <v>30</v>
      </c>
      <c r="I6" s="6">
        <f>G6-H6</f>
        <v>670</v>
      </c>
      <c r="J6" t="s">
        <v>21</v>
      </c>
      <c r="K6" t="s">
        <v>22</v>
      </c>
      <c r="L6" t="s">
        <v>23</v>
      </c>
      <c r="Q6" s="6">
        <v>1</v>
      </c>
    </row>
    <row r="7" spans="1:17" x14ac:dyDescent="0.25">
      <c r="B7" t="s">
        <v>18</v>
      </c>
      <c r="C7" t="s">
        <v>45</v>
      </c>
      <c r="D7" t="s">
        <v>46</v>
      </c>
      <c r="E7" t="s">
        <v>47</v>
      </c>
      <c r="F7" s="6">
        <v>6</v>
      </c>
      <c r="G7" s="6">
        <v>845</v>
      </c>
      <c r="H7" s="6">
        <v>25</v>
      </c>
      <c r="I7" s="6">
        <f>G7-H7</f>
        <v>820</v>
      </c>
      <c r="J7" t="s">
        <v>21</v>
      </c>
      <c r="K7" t="s">
        <v>22</v>
      </c>
      <c r="L7" t="s">
        <v>23</v>
      </c>
      <c r="Q7" s="6">
        <v>1</v>
      </c>
    </row>
    <row r="8" spans="1:17" x14ac:dyDescent="0.25">
      <c r="B8" t="s">
        <v>18</v>
      </c>
      <c r="C8" t="s">
        <v>74</v>
      </c>
      <c r="D8" t="s">
        <v>75</v>
      </c>
      <c r="E8" t="s">
        <v>76</v>
      </c>
      <c r="F8" t="s">
        <v>77</v>
      </c>
      <c r="G8" s="6">
        <v>0</v>
      </c>
      <c r="H8" s="6">
        <v>35</v>
      </c>
      <c r="I8" s="6">
        <f>-H8</f>
        <v>-35</v>
      </c>
      <c r="J8" t="s">
        <v>21</v>
      </c>
      <c r="K8" t="s">
        <v>22</v>
      </c>
      <c r="L8" t="s">
        <v>23</v>
      </c>
      <c r="Q8" s="6">
        <v>1</v>
      </c>
    </row>
    <row r="9" spans="1:17" x14ac:dyDescent="0.25">
      <c r="B9" t="s">
        <v>18</v>
      </c>
      <c r="C9" t="s">
        <v>78</v>
      </c>
      <c r="D9" t="s">
        <v>79</v>
      </c>
      <c r="E9" t="s">
        <v>80</v>
      </c>
      <c r="F9" s="6">
        <v>7</v>
      </c>
      <c r="G9" s="6">
        <v>410</v>
      </c>
      <c r="H9" s="6">
        <v>30</v>
      </c>
      <c r="I9" s="6">
        <f>G9-H9</f>
        <v>380</v>
      </c>
      <c r="J9" t="s">
        <v>21</v>
      </c>
      <c r="K9" t="s">
        <v>22</v>
      </c>
      <c r="L9" t="s">
        <v>23</v>
      </c>
      <c r="Q9" s="6">
        <v>1</v>
      </c>
    </row>
    <row r="10" spans="1:17" x14ac:dyDescent="0.25">
      <c r="B10" t="s">
        <v>18</v>
      </c>
      <c r="C10" t="s">
        <v>81</v>
      </c>
      <c r="D10" t="s">
        <v>82</v>
      </c>
      <c r="E10" t="s">
        <v>83</v>
      </c>
      <c r="F10" s="6">
        <v>6</v>
      </c>
      <c r="G10" s="6">
        <v>0</v>
      </c>
      <c r="H10" s="6">
        <v>25</v>
      </c>
      <c r="I10" s="6">
        <f>-H10</f>
        <v>-25</v>
      </c>
      <c r="J10" t="s">
        <v>21</v>
      </c>
      <c r="K10" t="s">
        <v>22</v>
      </c>
      <c r="L10" t="s">
        <v>23</v>
      </c>
      <c r="Q10" s="6">
        <v>1</v>
      </c>
    </row>
    <row r="11" spans="1:17" x14ac:dyDescent="0.25">
      <c r="B11" t="s">
        <v>18</v>
      </c>
      <c r="C11" t="s">
        <v>87</v>
      </c>
      <c r="D11" t="s">
        <v>88</v>
      </c>
      <c r="E11" t="s">
        <v>89</v>
      </c>
      <c r="F11" s="6">
        <v>7</v>
      </c>
      <c r="G11" s="6">
        <v>750</v>
      </c>
      <c r="H11" s="6">
        <v>30</v>
      </c>
      <c r="I11" s="6">
        <f>G11-H11</f>
        <v>720</v>
      </c>
      <c r="J11" t="s">
        <v>21</v>
      </c>
      <c r="K11" t="s">
        <v>22</v>
      </c>
      <c r="L11" t="s">
        <v>23</v>
      </c>
      <c r="Q11" s="6">
        <v>1</v>
      </c>
    </row>
    <row r="12" spans="1:17" x14ac:dyDescent="0.25">
      <c r="B12" t="s">
        <v>18</v>
      </c>
      <c r="C12" t="s">
        <v>90</v>
      </c>
      <c r="D12" t="s">
        <v>91</v>
      </c>
      <c r="E12" t="s">
        <v>92</v>
      </c>
      <c r="F12" t="s">
        <v>93</v>
      </c>
      <c r="G12" s="6">
        <v>0</v>
      </c>
      <c r="H12" s="6">
        <v>30</v>
      </c>
      <c r="I12" s="6">
        <f>-H12</f>
        <v>-30</v>
      </c>
      <c r="J12" t="s">
        <v>21</v>
      </c>
      <c r="K12" t="s">
        <v>22</v>
      </c>
      <c r="L12" t="s">
        <v>23</v>
      </c>
      <c r="Q12" s="6">
        <v>1</v>
      </c>
    </row>
    <row r="13" spans="1:17" x14ac:dyDescent="0.25">
      <c r="B13" t="s">
        <v>18</v>
      </c>
      <c r="C13" t="s">
        <v>94</v>
      </c>
      <c r="D13" t="s">
        <v>95</v>
      </c>
      <c r="E13" t="s">
        <v>96</v>
      </c>
      <c r="F13" s="6">
        <v>7</v>
      </c>
      <c r="G13" s="6">
        <v>700</v>
      </c>
      <c r="H13" s="6">
        <v>30</v>
      </c>
      <c r="I13" s="6">
        <f t="shared" ref="I13:I20" si="0">G13-H13</f>
        <v>670</v>
      </c>
      <c r="J13" t="s">
        <v>21</v>
      </c>
      <c r="K13" t="s">
        <v>22</v>
      </c>
      <c r="L13" t="s">
        <v>23</v>
      </c>
      <c r="Q13" s="6">
        <v>1</v>
      </c>
    </row>
    <row r="14" spans="1:17" x14ac:dyDescent="0.25">
      <c r="B14" t="s">
        <v>18</v>
      </c>
      <c r="C14" t="s">
        <v>97</v>
      </c>
      <c r="D14" t="s">
        <v>98</v>
      </c>
      <c r="E14" t="s">
        <v>99</v>
      </c>
      <c r="F14" t="s">
        <v>31</v>
      </c>
      <c r="G14" s="6">
        <v>855</v>
      </c>
      <c r="H14" s="6">
        <v>35</v>
      </c>
      <c r="I14" s="6">
        <f t="shared" si="0"/>
        <v>820</v>
      </c>
      <c r="J14" t="s">
        <v>21</v>
      </c>
      <c r="K14" t="s">
        <v>22</v>
      </c>
      <c r="L14" t="s">
        <v>23</v>
      </c>
      <c r="Q14" s="6">
        <v>1</v>
      </c>
    </row>
    <row r="15" spans="1:17" x14ac:dyDescent="0.25">
      <c r="B15" t="s">
        <v>18</v>
      </c>
      <c r="C15" t="s">
        <v>100</v>
      </c>
      <c r="D15" t="s">
        <v>101</v>
      </c>
      <c r="E15" t="s">
        <v>102</v>
      </c>
      <c r="F15" t="s">
        <v>93</v>
      </c>
      <c r="G15" s="6">
        <v>920</v>
      </c>
      <c r="H15" s="6">
        <v>30</v>
      </c>
      <c r="I15" s="6">
        <f t="shared" si="0"/>
        <v>890</v>
      </c>
      <c r="J15" t="s">
        <v>21</v>
      </c>
      <c r="K15" t="s">
        <v>22</v>
      </c>
      <c r="L15" t="s">
        <v>23</v>
      </c>
      <c r="Q15" s="6">
        <v>1</v>
      </c>
    </row>
    <row r="16" spans="1:17" x14ac:dyDescent="0.25">
      <c r="B16" t="s">
        <v>18</v>
      </c>
      <c r="C16" t="s">
        <v>41</v>
      </c>
      <c r="D16" t="s">
        <v>42</v>
      </c>
      <c r="E16" t="s">
        <v>43</v>
      </c>
      <c r="F16" t="s">
        <v>44</v>
      </c>
      <c r="G16" s="6">
        <v>900</v>
      </c>
      <c r="H16" s="6">
        <v>30</v>
      </c>
      <c r="I16" s="6">
        <f t="shared" si="0"/>
        <v>870</v>
      </c>
      <c r="J16" t="s">
        <v>22</v>
      </c>
      <c r="K16" t="s">
        <v>22</v>
      </c>
      <c r="L16" t="s">
        <v>23</v>
      </c>
      <c r="Q16" s="6">
        <v>1</v>
      </c>
    </row>
    <row r="17" spans="2:17" x14ac:dyDescent="0.25">
      <c r="B17" t="s">
        <v>18</v>
      </c>
      <c r="C17" t="s">
        <v>51</v>
      </c>
      <c r="D17" t="s">
        <v>52</v>
      </c>
      <c r="E17" t="s">
        <v>53</v>
      </c>
      <c r="F17" t="s">
        <v>54</v>
      </c>
      <c r="G17" s="6">
        <v>840</v>
      </c>
      <c r="H17" s="6">
        <v>20</v>
      </c>
      <c r="I17" s="6">
        <f t="shared" si="0"/>
        <v>820</v>
      </c>
      <c r="J17" t="s">
        <v>22</v>
      </c>
      <c r="K17" t="s">
        <v>22</v>
      </c>
      <c r="L17" t="s">
        <v>23</v>
      </c>
      <c r="Q17" s="6">
        <v>1</v>
      </c>
    </row>
    <row r="18" spans="2:17" x14ac:dyDescent="0.25">
      <c r="B18" t="s">
        <v>18</v>
      </c>
      <c r="C18" t="s">
        <v>62</v>
      </c>
      <c r="D18" t="s">
        <v>63</v>
      </c>
      <c r="E18" t="s">
        <v>64</v>
      </c>
      <c r="F18" t="s">
        <v>54</v>
      </c>
      <c r="G18" s="6">
        <v>1670</v>
      </c>
      <c r="H18" s="6">
        <v>20</v>
      </c>
      <c r="I18" s="6">
        <f t="shared" si="0"/>
        <v>1650</v>
      </c>
      <c r="J18" t="s">
        <v>22</v>
      </c>
      <c r="K18" t="s">
        <v>22</v>
      </c>
      <c r="L18" t="s">
        <v>23</v>
      </c>
      <c r="Q18" s="6">
        <v>1</v>
      </c>
    </row>
    <row r="19" spans="2:17" x14ac:dyDescent="0.25">
      <c r="B19" t="s">
        <v>18</v>
      </c>
      <c r="C19" t="s">
        <v>71</v>
      </c>
      <c r="D19" t="s">
        <v>72</v>
      </c>
      <c r="E19" t="s">
        <v>73</v>
      </c>
      <c r="F19" s="6">
        <v>2</v>
      </c>
      <c r="G19" s="6">
        <v>700</v>
      </c>
      <c r="H19" s="6">
        <v>30</v>
      </c>
      <c r="I19" s="6">
        <f t="shared" si="0"/>
        <v>670</v>
      </c>
      <c r="J19" t="s">
        <v>22</v>
      </c>
      <c r="K19" t="s">
        <v>22</v>
      </c>
      <c r="L19" t="s">
        <v>23</v>
      </c>
      <c r="Q19" s="6">
        <v>1</v>
      </c>
    </row>
    <row r="20" spans="2:17" x14ac:dyDescent="0.25">
      <c r="B20" t="s">
        <v>18</v>
      </c>
      <c r="C20" t="s">
        <v>106</v>
      </c>
      <c r="D20" t="s">
        <v>107</v>
      </c>
      <c r="E20" t="s">
        <v>108</v>
      </c>
      <c r="F20" s="6">
        <v>2</v>
      </c>
      <c r="G20" s="6">
        <v>1770</v>
      </c>
      <c r="H20" s="6">
        <v>30</v>
      </c>
      <c r="I20" s="6">
        <f t="shared" si="0"/>
        <v>1740</v>
      </c>
      <c r="J20" t="s">
        <v>22</v>
      </c>
      <c r="K20" t="s">
        <v>22</v>
      </c>
      <c r="L20" t="s">
        <v>23</v>
      </c>
      <c r="Q20" s="6">
        <v>1</v>
      </c>
    </row>
    <row r="21" spans="2:17" x14ac:dyDescent="0.25">
      <c r="B21" t="s">
        <v>18</v>
      </c>
      <c r="C21" t="s">
        <v>24</v>
      </c>
      <c r="D21" t="s">
        <v>25</v>
      </c>
      <c r="E21" t="s">
        <v>26</v>
      </c>
      <c r="F21" s="6">
        <v>5</v>
      </c>
      <c r="G21" s="6">
        <v>0</v>
      </c>
      <c r="H21" s="6">
        <v>25</v>
      </c>
      <c r="I21" s="6">
        <f>-H21</f>
        <v>-25</v>
      </c>
      <c r="J21" t="s">
        <v>27</v>
      </c>
      <c r="K21" t="s">
        <v>22</v>
      </c>
      <c r="L21" t="s">
        <v>23</v>
      </c>
      <c r="Q21" s="6">
        <v>1</v>
      </c>
    </row>
    <row r="22" spans="2:17" x14ac:dyDescent="0.25">
      <c r="B22" t="s">
        <v>18</v>
      </c>
      <c r="C22" t="s">
        <v>38</v>
      </c>
      <c r="D22" t="s">
        <v>39</v>
      </c>
      <c r="E22" t="s">
        <v>40</v>
      </c>
      <c r="F22" s="6">
        <v>10</v>
      </c>
      <c r="G22" s="6">
        <v>845</v>
      </c>
      <c r="H22" s="6">
        <v>25</v>
      </c>
      <c r="I22" s="6">
        <f>G22-H22</f>
        <v>820</v>
      </c>
      <c r="J22" t="s">
        <v>27</v>
      </c>
      <c r="K22" t="s">
        <v>22</v>
      </c>
      <c r="L22" t="s">
        <v>23</v>
      </c>
      <c r="Q22" s="6">
        <v>1</v>
      </c>
    </row>
    <row r="23" spans="2:17" x14ac:dyDescent="0.25">
      <c r="B23" t="s">
        <v>18</v>
      </c>
      <c r="C23" t="s">
        <v>48</v>
      </c>
      <c r="D23" t="s">
        <v>49</v>
      </c>
      <c r="E23" t="s">
        <v>50</v>
      </c>
      <c r="F23" s="6">
        <v>3</v>
      </c>
      <c r="G23" s="6">
        <v>845</v>
      </c>
      <c r="H23" s="6">
        <v>25</v>
      </c>
      <c r="I23" s="6">
        <f>G23-H23</f>
        <v>820</v>
      </c>
      <c r="J23" t="s">
        <v>27</v>
      </c>
      <c r="K23" t="s">
        <v>22</v>
      </c>
      <c r="L23" t="s">
        <v>23</v>
      </c>
      <c r="Q23" s="6">
        <v>1</v>
      </c>
    </row>
    <row r="24" spans="2:17" x14ac:dyDescent="0.25">
      <c r="B24" t="s">
        <v>18</v>
      </c>
      <c r="C24" t="s">
        <v>55</v>
      </c>
      <c r="D24" t="s">
        <v>56</v>
      </c>
      <c r="E24" t="s">
        <v>57</v>
      </c>
      <c r="F24" t="s">
        <v>58</v>
      </c>
      <c r="G24" s="6">
        <v>0</v>
      </c>
      <c r="H24" s="6">
        <v>25</v>
      </c>
      <c r="I24" s="6">
        <f>-H24</f>
        <v>-25</v>
      </c>
      <c r="J24" t="s">
        <v>27</v>
      </c>
      <c r="K24" t="s">
        <v>22</v>
      </c>
      <c r="L24" t="s">
        <v>23</v>
      </c>
      <c r="Q24" s="6">
        <v>1</v>
      </c>
    </row>
    <row r="25" spans="2:17" x14ac:dyDescent="0.25">
      <c r="B25" t="s">
        <v>18</v>
      </c>
      <c r="C25" t="s">
        <v>59</v>
      </c>
      <c r="D25" t="s">
        <v>60</v>
      </c>
      <c r="E25" t="s">
        <v>61</v>
      </c>
      <c r="F25" s="6">
        <v>5</v>
      </c>
      <c r="G25" s="6">
        <v>0</v>
      </c>
      <c r="H25" s="6">
        <v>25</v>
      </c>
      <c r="I25" s="6">
        <f>-H25</f>
        <v>-25</v>
      </c>
      <c r="J25" t="s">
        <v>27</v>
      </c>
      <c r="K25" t="s">
        <v>22</v>
      </c>
      <c r="L25" t="s">
        <v>23</v>
      </c>
      <c r="Q25" s="6">
        <v>1</v>
      </c>
    </row>
    <row r="26" spans="2:17" x14ac:dyDescent="0.25">
      <c r="B26" t="s">
        <v>18</v>
      </c>
      <c r="C26" t="s">
        <v>65</v>
      </c>
      <c r="D26" t="s">
        <v>66</v>
      </c>
      <c r="E26" t="s">
        <v>67</v>
      </c>
      <c r="F26" s="6">
        <v>1</v>
      </c>
      <c r="G26" s="6">
        <v>0</v>
      </c>
      <c r="H26" s="6">
        <v>25</v>
      </c>
      <c r="I26" s="6">
        <f>-H26</f>
        <v>-25</v>
      </c>
      <c r="J26" t="s">
        <v>27</v>
      </c>
      <c r="K26" t="s">
        <v>22</v>
      </c>
      <c r="L26" t="s">
        <v>23</v>
      </c>
      <c r="Q26" s="6">
        <v>1</v>
      </c>
    </row>
    <row r="27" spans="2:17" x14ac:dyDescent="0.25">
      <c r="B27" t="s">
        <v>18</v>
      </c>
      <c r="C27" t="s">
        <v>68</v>
      </c>
      <c r="D27" t="s">
        <v>69</v>
      </c>
      <c r="E27" t="s">
        <v>70</v>
      </c>
      <c r="F27" t="s">
        <v>58</v>
      </c>
      <c r="G27" s="6">
        <v>1595</v>
      </c>
      <c r="H27" s="6">
        <v>25</v>
      </c>
      <c r="I27" s="6">
        <f>G27-H27</f>
        <v>1570</v>
      </c>
      <c r="J27" t="s">
        <v>27</v>
      </c>
      <c r="K27" t="s">
        <v>22</v>
      </c>
      <c r="L27" t="s">
        <v>23</v>
      </c>
      <c r="Q27" s="6">
        <v>1</v>
      </c>
    </row>
    <row r="28" spans="2:17" x14ac:dyDescent="0.25">
      <c r="B28" t="s">
        <v>18</v>
      </c>
      <c r="C28" t="s">
        <v>84</v>
      </c>
      <c r="D28" t="s">
        <v>85</v>
      </c>
      <c r="E28" t="s">
        <v>86</v>
      </c>
      <c r="F28" s="6">
        <v>10</v>
      </c>
      <c r="G28" s="6">
        <v>915</v>
      </c>
      <c r="H28" s="6">
        <v>25</v>
      </c>
      <c r="I28" s="6">
        <f>G28-H28</f>
        <v>890</v>
      </c>
      <c r="J28" t="s">
        <v>27</v>
      </c>
      <c r="K28" t="s">
        <v>22</v>
      </c>
      <c r="L28" t="s">
        <v>23</v>
      </c>
      <c r="Q28" s="6">
        <v>1</v>
      </c>
    </row>
    <row r="29" spans="2:17" x14ac:dyDescent="0.25">
      <c r="B29" t="s">
        <v>18</v>
      </c>
      <c r="C29" t="s">
        <v>103</v>
      </c>
      <c r="D29" t="s">
        <v>104</v>
      </c>
      <c r="E29" t="s">
        <v>105</v>
      </c>
      <c r="F29" s="6">
        <v>3</v>
      </c>
      <c r="G29" s="6">
        <v>845</v>
      </c>
      <c r="H29" s="6">
        <v>25</v>
      </c>
      <c r="I29" s="6">
        <f>G29-H29</f>
        <v>820</v>
      </c>
      <c r="J29" t="s">
        <v>27</v>
      </c>
      <c r="K29" t="s">
        <v>22</v>
      </c>
      <c r="L29" t="s">
        <v>23</v>
      </c>
      <c r="Q29" s="6">
        <v>1</v>
      </c>
    </row>
    <row r="31" spans="2:17" x14ac:dyDescent="0.25">
      <c r="D31" s="1">
        <f>COUNTA(D3:D29)</f>
        <v>26</v>
      </c>
      <c r="G31" s="1">
        <f t="shared" ref="G31:Q31" si="1">SUBTOTAL(9,G3:G29)</f>
        <v>18495</v>
      </c>
      <c r="H31" s="1">
        <f t="shared" si="1"/>
        <v>745</v>
      </c>
      <c r="I31" s="1">
        <f t="shared" si="1"/>
        <v>17750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1"/>
        <v>0</v>
      </c>
      <c r="O31" s="1">
        <f t="shared" si="1"/>
        <v>0</v>
      </c>
      <c r="P31" s="1">
        <f t="shared" si="1"/>
        <v>0</v>
      </c>
      <c r="Q31" s="1">
        <f t="shared" si="1"/>
        <v>27</v>
      </c>
    </row>
    <row r="32" spans="2:17" x14ac:dyDescent="0.25">
      <c r="H32">
        <f>-8*17</f>
        <v>-136</v>
      </c>
    </row>
    <row r="33" spans="1:16" x14ac:dyDescent="0.25">
      <c r="A33" s="1" t="s">
        <v>18</v>
      </c>
      <c r="C33" s="12" t="s">
        <v>109</v>
      </c>
      <c r="D33" s="12"/>
      <c r="E33" s="4" t="s">
        <v>110</v>
      </c>
      <c r="H33">
        <f>-2*25</f>
        <v>-50</v>
      </c>
      <c r="K33" s="7" t="s">
        <v>21</v>
      </c>
      <c r="L33" s="7" t="s">
        <v>111</v>
      </c>
      <c r="M33" s="7" t="s">
        <v>110</v>
      </c>
      <c r="O33" s="4" t="s">
        <v>112</v>
      </c>
    </row>
    <row r="34" spans="1:16" x14ac:dyDescent="0.25">
      <c r="A34" t="s">
        <v>23</v>
      </c>
      <c r="B34" s="3" t="s">
        <v>113</v>
      </c>
      <c r="C34" s="13">
        <f>SUMIFS(I$3:I$29,B$3:B$29,A$33,L$3:L$29,A$34)</f>
        <v>17750</v>
      </c>
      <c r="D34" s="13"/>
      <c r="E34" s="3">
        <f>SUMIFS(Q$3:Q$29,B$3:B$29,A$33,L$3:L$29,A$34)</f>
        <v>27</v>
      </c>
      <c r="F34" t="s">
        <v>114</v>
      </c>
      <c r="H34">
        <f>-3*30</f>
        <v>-90</v>
      </c>
      <c r="K34" t="s">
        <v>115</v>
      </c>
      <c r="L34">
        <f>SUMIFS(G$3:G$29,J$3:J$29,K$33)</f>
        <v>7570</v>
      </c>
      <c r="M34">
        <f>SUMIFS(Q$3:Q$29,J$3:J$29,K$33)</f>
        <v>13</v>
      </c>
      <c r="O34" t="s">
        <v>116</v>
      </c>
      <c r="P34">
        <f>L39</f>
        <v>7294</v>
      </c>
    </row>
    <row r="35" spans="1:16" x14ac:dyDescent="0.25">
      <c r="B35" s="2" t="s">
        <v>117</v>
      </c>
      <c r="C35" s="14">
        <v>0</v>
      </c>
      <c r="D35" s="14"/>
      <c r="K35" t="s">
        <v>118</v>
      </c>
      <c r="L35">
        <f>SUM(H32:H34)</f>
        <v>-276</v>
      </c>
      <c r="M35">
        <f>SUMIFS(Q$3:Q$29,J$3:J$29,K$33)</f>
        <v>13</v>
      </c>
      <c r="O35" t="s">
        <v>27</v>
      </c>
      <c r="P35">
        <f>L47</f>
        <v>4865</v>
      </c>
    </row>
    <row r="36" spans="1:16" x14ac:dyDescent="0.25">
      <c r="B36" s="2" t="s">
        <v>119</v>
      </c>
      <c r="C36" s="14">
        <f>-SUMIFS(I$3:I$29,B$3:B$29,A$33,P$3:P$29,"xx",N$3:N$29,"x")</f>
        <v>0</v>
      </c>
      <c r="D36" s="14"/>
      <c r="E36" s="2">
        <f>SUMIFS(Q$3:Q$29,B$3:B$29,A$33,P$3:P$29,"xx",N$3:N$29,"x")</f>
        <v>0</v>
      </c>
      <c r="K36" t="s">
        <v>120</v>
      </c>
      <c r="O36" t="s">
        <v>22</v>
      </c>
      <c r="P36">
        <f>L55</f>
        <v>5721</v>
      </c>
    </row>
    <row r="37" spans="1:16" x14ac:dyDescent="0.25">
      <c r="B37" s="4" t="s">
        <v>121</v>
      </c>
      <c r="C37" s="12">
        <f>SUBTOTAL(9,C34:C36)</f>
        <v>17750</v>
      </c>
      <c r="D37" s="12"/>
      <c r="E37">
        <f>E34</f>
        <v>27</v>
      </c>
      <c r="K37" s="2" t="s">
        <v>122</v>
      </c>
      <c r="O37" t="s">
        <v>123</v>
      </c>
      <c r="P37">
        <f>-C41</f>
        <v>-17750</v>
      </c>
    </row>
    <row r="38" spans="1:16" x14ac:dyDescent="0.25">
      <c r="B38" s="2" t="s">
        <v>124</v>
      </c>
      <c r="C38" s="10"/>
      <c r="D38" s="10"/>
      <c r="K38" s="2" t="s">
        <v>125</v>
      </c>
      <c r="O38" s="4" t="s">
        <v>126</v>
      </c>
      <c r="P38" s="4">
        <f>SUBTOTAL(9,P34:P37)</f>
        <v>130</v>
      </c>
    </row>
    <row r="39" spans="1:16" x14ac:dyDescent="0.25">
      <c r="B39" s="8" t="s">
        <v>127</v>
      </c>
      <c r="C39" s="10"/>
      <c r="D39" s="10"/>
      <c r="L39" s="9">
        <f>SUBTOTAL(9,L34:L38)</f>
        <v>7294</v>
      </c>
      <c r="M39" s="9">
        <f>M34</f>
        <v>13</v>
      </c>
    </row>
    <row r="41" spans="1:16" x14ac:dyDescent="0.25">
      <c r="B41" s="1" t="s">
        <v>128</v>
      </c>
      <c r="C41" s="11">
        <f>C37+C38+C39</f>
        <v>17750</v>
      </c>
      <c r="D41" s="11"/>
      <c r="E41" s="1" t="s">
        <v>129</v>
      </c>
      <c r="K41" s="7" t="s">
        <v>27</v>
      </c>
      <c r="L41" s="7" t="s">
        <v>111</v>
      </c>
      <c r="M41" s="7" t="s">
        <v>110</v>
      </c>
    </row>
    <row r="42" spans="1:16" x14ac:dyDescent="0.25">
      <c r="K42" t="s">
        <v>115</v>
      </c>
      <c r="L42">
        <f>SUMIFS(G$3:G$29,J$3:J$29,K$41)</f>
        <v>5045</v>
      </c>
      <c r="M42">
        <f>SUMIFS(Q$3:Q$29,J$3:J$29,K$41)</f>
        <v>9</v>
      </c>
    </row>
    <row r="43" spans="1:16" x14ac:dyDescent="0.25">
      <c r="K43" t="s">
        <v>118</v>
      </c>
      <c r="L43">
        <f>-SUMIFS(H$3:H$29,J$3:J$29,K$41)+M43*5</f>
        <v>-180</v>
      </c>
      <c r="M43">
        <f>SUMIFS(Q$3:Q$29,J$3:J$29,K$41)-COUNTIFS(J$3:J$29,K$41,M$3:M$29,"*gộp*")</f>
        <v>9</v>
      </c>
    </row>
    <row r="44" spans="1:16" x14ac:dyDescent="0.25">
      <c r="K44" t="s">
        <v>120</v>
      </c>
    </row>
    <row r="45" spans="1:16" x14ac:dyDescent="0.25">
      <c r="K45" s="2" t="s">
        <v>122</v>
      </c>
    </row>
    <row r="46" spans="1:16" x14ac:dyDescent="0.25">
      <c r="K46" s="2" t="s">
        <v>125</v>
      </c>
    </row>
    <row r="47" spans="1:16" x14ac:dyDescent="0.25">
      <c r="L47" s="9">
        <f>SUBTOTAL(9,L42:L46)</f>
        <v>4865</v>
      </c>
      <c r="M47" s="9">
        <f>M42</f>
        <v>9</v>
      </c>
    </row>
    <row r="49" spans="11:13" x14ac:dyDescent="0.25">
      <c r="K49" s="7" t="s">
        <v>22</v>
      </c>
      <c r="L49" s="7" t="s">
        <v>111</v>
      </c>
      <c r="M49" s="7" t="s">
        <v>110</v>
      </c>
    </row>
    <row r="50" spans="11:13" x14ac:dyDescent="0.25">
      <c r="K50" t="s">
        <v>115</v>
      </c>
      <c r="L50">
        <f>SUMIFS(G$3:G$29,J$3:J$29,K$49)</f>
        <v>5880</v>
      </c>
      <c r="M50">
        <f>SUMIFS(Q$3:Q$29,J$3:J$29,K$49)</f>
        <v>5</v>
      </c>
    </row>
    <row r="51" spans="11:13" x14ac:dyDescent="0.25">
      <c r="K51" t="s">
        <v>118</v>
      </c>
      <c r="L51">
        <f>-SUMIFS(H$3:H$29,J$3:J$29,K$49)+M51*5</f>
        <v>-105</v>
      </c>
      <c r="M51">
        <f>SUMIFS(Q$3:Q$29,J$3:J$29,K$49)-COUNTIFS(J$3:J$29,K$49,M$3:M$29,"*gộp*")</f>
        <v>5</v>
      </c>
    </row>
    <row r="52" spans="11:13" x14ac:dyDescent="0.25">
      <c r="K52" t="s">
        <v>120</v>
      </c>
      <c r="L52">
        <f>-M52*2</f>
        <v>-54</v>
      </c>
      <c r="M52">
        <f>Q31-(COUNTIFS(M$3:M$29,"*gộp*")/2)</f>
        <v>27</v>
      </c>
    </row>
    <row r="53" spans="11:13" x14ac:dyDescent="0.25">
      <c r="K53" s="2" t="s">
        <v>122</v>
      </c>
    </row>
    <row r="54" spans="11:13" x14ac:dyDescent="0.25">
      <c r="K54" s="2" t="s">
        <v>125</v>
      </c>
    </row>
    <row r="55" spans="11:13" x14ac:dyDescent="0.25">
      <c r="L55" s="9">
        <f>SUBTOTAL(9,L50:L54)</f>
        <v>5721</v>
      </c>
      <c r="M55" s="9">
        <f>M50</f>
        <v>5</v>
      </c>
    </row>
  </sheetData>
  <autoFilter ref="A2:P29" xr:uid="{00000000-0009-0000-0000-000000000000}">
    <sortState xmlns:xlrd2="http://schemas.microsoft.com/office/spreadsheetml/2017/richdata2" ref="A3:P29">
      <sortCondition ref="J2:J29"/>
    </sortState>
  </autoFilter>
  <mergeCells count="8">
    <mergeCell ref="C38:D38"/>
    <mergeCell ref="C39:D39"/>
    <mergeCell ref="C41:D41"/>
    <mergeCell ref="C33:D33"/>
    <mergeCell ref="C34:D34"/>
    <mergeCell ref="C35:D35"/>
    <mergeCell ref="C36:D36"/>
    <mergeCell ref="C37:D37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2026-03-28T05:50:38Z</dcterms:created>
  <dcterms:modified xsi:type="dcterms:W3CDTF">2026-03-28T15:25:23Z</dcterms:modified>
</cp:coreProperties>
</file>