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A6496EE2-B504-4281-96DE-2C52B8DB003A}" xr6:coauthVersionLast="47" xr6:coauthVersionMax="47" xr10:uidLastSave="{00000000-0000-0000-0000-000000000000}"/>
  <bookViews>
    <workbookView xWindow="-120" yWindow="-120" windowWidth="29040" windowHeight="15720" activeTab="10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0" hidden="1">'2-3'!$A$2:$Q$78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8" i="11" l="1"/>
  <c r="J52" i="11"/>
  <c r="J51" i="11"/>
  <c r="J50" i="11"/>
  <c r="J49" i="11"/>
  <c r="K48" i="11"/>
  <c r="K55" i="11" s="1"/>
  <c r="J55" i="11"/>
  <c r="I43" i="11"/>
  <c r="K43" i="11"/>
  <c r="L43" i="11"/>
  <c r="M43" i="11"/>
  <c r="N43" i="11"/>
  <c r="O43" i="11"/>
  <c r="P43" i="11"/>
  <c r="Q43" i="11"/>
  <c r="R43" i="11"/>
  <c r="S43" i="11"/>
  <c r="H43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43" i="11" s="1"/>
  <c r="K58" i="10"/>
  <c r="J55" i="10"/>
  <c r="J54" i="10"/>
  <c r="J53" i="10"/>
  <c r="J52" i="10"/>
  <c r="K51" i="10"/>
  <c r="J51" i="10"/>
  <c r="I46" i="10"/>
  <c r="K46" i="10"/>
  <c r="L46" i="10"/>
  <c r="M46" i="10"/>
  <c r="N46" i="10"/>
  <c r="O46" i="10"/>
  <c r="P46" i="10"/>
  <c r="Q46" i="10"/>
  <c r="R46" i="10"/>
  <c r="S46" i="10"/>
  <c r="H46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46" i="10" s="1"/>
  <c r="K38" i="9"/>
  <c r="J35" i="9"/>
  <c r="J34" i="9"/>
  <c r="J33" i="9"/>
  <c r="J32" i="9"/>
  <c r="K31" i="9"/>
  <c r="J31" i="9"/>
  <c r="J38" i="9" s="1"/>
  <c r="I26" i="9"/>
  <c r="K26" i="9"/>
  <c r="L26" i="9"/>
  <c r="M26" i="9"/>
  <c r="N26" i="9"/>
  <c r="O26" i="9"/>
  <c r="P26" i="9"/>
  <c r="Q26" i="9"/>
  <c r="R26" i="9"/>
  <c r="S26" i="9"/>
  <c r="H26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6" i="9" s="1"/>
  <c r="I54" i="8"/>
  <c r="J48" i="8"/>
  <c r="J47" i="8"/>
  <c r="J46" i="8"/>
  <c r="J45" i="8"/>
  <c r="K44" i="8"/>
  <c r="K51" i="8" s="1"/>
  <c r="J44" i="8"/>
  <c r="J51" i="8" s="1"/>
  <c r="I39" i="8"/>
  <c r="K39" i="8"/>
  <c r="L39" i="8"/>
  <c r="M39" i="8"/>
  <c r="N39" i="8"/>
  <c r="O39" i="8"/>
  <c r="P39" i="8"/>
  <c r="Q39" i="8"/>
  <c r="R39" i="8"/>
  <c r="S39" i="8"/>
  <c r="H39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39" i="8" s="1"/>
  <c r="J76" i="7"/>
  <c r="J75" i="7"/>
  <c r="J74" i="7"/>
  <c r="J73" i="7"/>
  <c r="K72" i="7"/>
  <c r="K79" i="7" s="1"/>
  <c r="J72" i="7"/>
  <c r="J79" i="7" s="1"/>
  <c r="I67" i="7"/>
  <c r="K67" i="7"/>
  <c r="L67" i="7"/>
  <c r="M67" i="7"/>
  <c r="N67" i="7"/>
  <c r="O67" i="7"/>
  <c r="P67" i="7"/>
  <c r="Q67" i="7"/>
  <c r="R67" i="7"/>
  <c r="S67" i="7"/>
  <c r="H67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67" i="7" s="1"/>
  <c r="I80" i="6"/>
  <c r="I77" i="6"/>
  <c r="J71" i="6"/>
  <c r="J70" i="6"/>
  <c r="J69" i="6"/>
  <c r="J68" i="6"/>
  <c r="K67" i="6"/>
  <c r="K74" i="6" s="1"/>
  <c r="J67" i="6"/>
  <c r="J74" i="6" s="1"/>
  <c r="I62" i="6"/>
  <c r="K62" i="6"/>
  <c r="L62" i="6"/>
  <c r="M62" i="6"/>
  <c r="N62" i="6"/>
  <c r="O62" i="6"/>
  <c r="P62" i="6"/>
  <c r="Q62" i="6"/>
  <c r="R62" i="6"/>
  <c r="S62" i="6"/>
  <c r="H62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62" i="6" s="1"/>
  <c r="I79" i="5"/>
  <c r="I76" i="5"/>
  <c r="K73" i="5"/>
  <c r="J70" i="5"/>
  <c r="J69" i="5"/>
  <c r="J68" i="5"/>
  <c r="J67" i="5"/>
  <c r="K66" i="5"/>
  <c r="J66" i="5"/>
  <c r="I61" i="5"/>
  <c r="K61" i="5"/>
  <c r="L61" i="5"/>
  <c r="M61" i="5"/>
  <c r="N61" i="5"/>
  <c r="O61" i="5"/>
  <c r="P61" i="5"/>
  <c r="Q61" i="5"/>
  <c r="R61" i="5"/>
  <c r="S61" i="5"/>
  <c r="T61" i="5"/>
  <c r="H61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61" i="5" s="1"/>
  <c r="J58" i="10" l="1"/>
  <c r="J73" i="5"/>
  <c r="I52" i="4" l="1"/>
  <c r="I51" i="4"/>
  <c r="J45" i="4"/>
  <c r="J44" i="4"/>
  <c r="J43" i="4"/>
  <c r="J42" i="4"/>
  <c r="K41" i="4"/>
  <c r="K48" i="4" s="1"/>
  <c r="J41" i="4"/>
  <c r="J48" i="4" s="1"/>
  <c r="I36" i="4"/>
  <c r="K36" i="4"/>
  <c r="L36" i="4"/>
  <c r="M36" i="4"/>
  <c r="N36" i="4"/>
  <c r="O36" i="4"/>
  <c r="P36" i="4"/>
  <c r="Q36" i="4"/>
  <c r="R36" i="4"/>
  <c r="S36" i="4"/>
  <c r="T36" i="4"/>
  <c r="H36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36" i="4" s="1"/>
  <c r="I63" i="3"/>
  <c r="K61" i="3"/>
  <c r="J58" i="3"/>
  <c r="J57" i="3"/>
  <c r="J56" i="3"/>
  <c r="J55" i="3"/>
  <c r="J61" i="3" s="1"/>
  <c r="K54" i="3"/>
  <c r="J54" i="3"/>
  <c r="I49" i="3"/>
  <c r="K49" i="3"/>
  <c r="L49" i="3"/>
  <c r="M49" i="3"/>
  <c r="N49" i="3"/>
  <c r="O49" i="3"/>
  <c r="P49" i="3"/>
  <c r="Q49" i="3"/>
  <c r="R49" i="3"/>
  <c r="S49" i="3"/>
  <c r="T49" i="3"/>
  <c r="H49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49" i="3" s="1"/>
  <c r="I63" i="2"/>
  <c r="K61" i="2"/>
  <c r="J58" i="2"/>
  <c r="J57" i="2"/>
  <c r="J56" i="2"/>
  <c r="J55" i="2"/>
  <c r="J61" i="2" s="1"/>
  <c r="K54" i="2"/>
  <c r="J54" i="2"/>
  <c r="I49" i="2"/>
  <c r="K49" i="2"/>
  <c r="L49" i="2"/>
  <c r="M49" i="2"/>
  <c r="N49" i="2"/>
  <c r="O49" i="2"/>
  <c r="P49" i="2"/>
  <c r="Q49" i="2"/>
  <c r="R49" i="2"/>
  <c r="S49" i="2"/>
  <c r="H49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49" i="2" s="1"/>
  <c r="J5" i="2"/>
  <c r="J4" i="2"/>
  <c r="J3" i="2"/>
  <c r="I101" i="1"/>
  <c r="I96" i="1"/>
  <c r="I97" i="1"/>
  <c r="I98" i="1"/>
  <c r="I95" i="1"/>
  <c r="J89" i="1" l="1"/>
  <c r="J88" i="1"/>
  <c r="J87" i="1"/>
  <c r="J86" i="1"/>
  <c r="I80" i="1"/>
  <c r="K80" i="1"/>
  <c r="L80" i="1"/>
  <c r="M80" i="1"/>
  <c r="N80" i="1"/>
  <c r="O80" i="1"/>
  <c r="P80" i="1"/>
  <c r="Q80" i="1"/>
  <c r="R80" i="1"/>
  <c r="K85" i="1" s="1"/>
  <c r="K92" i="1" s="1"/>
  <c r="S80" i="1"/>
  <c r="H80" i="1"/>
  <c r="J78" i="1" l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80" i="1" l="1"/>
  <c r="J85" i="1" s="1"/>
  <c r="J92" i="1" s="1"/>
</calcChain>
</file>

<file path=xl/sharedStrings.xml><?xml version="1.0" encoding="utf-8"?>
<sst xmlns="http://schemas.openxmlformats.org/spreadsheetml/2006/main" count="4679" uniqueCount="1567">
  <si>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</si>
  <si>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</si>
  <si>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</si>
  <si>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</si>
  <si>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</si>
  <si>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</si>
  <si>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</si>
  <si>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</si>
  <si>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</si>
  <si>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</si>
  <si>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</si>
  <si>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</si>
  <si>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</si>
  <si>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</si>
  <si>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</si>
  <si>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</si>
  <si>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</si>
  <si>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</si>
  <si>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</si>
  <si>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</si>
  <si>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</si>
  <si>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</si>
  <si>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</si>
  <si>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</si>
  <si>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</si>
  <si>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</si>
  <si>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</si>
  <si>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</si>
  <si>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</si>
  <si>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</si>
  <si>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28-02-2026.</t>
  </si>
  <si>
    <t>giang donna</t>
  </si>
  <si>
    <t>hd133288</t>
  </si>
  <si>
    <t>saigon</t>
  </si>
  <si>
    <t>phu thuan</t>
  </si>
  <si>
    <t>giảm 100k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</si>
  <si>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</si>
  <si>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</si>
  <si>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</si>
  <si>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</si>
  <si>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</si>
  <si>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</si>
  <si>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</si>
  <si>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</si>
  <si>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</si>
  <si>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</si>
  <si>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</si>
  <si>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</si>
  <si>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</si>
  <si>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</si>
  <si>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</si>
  <si>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</si>
  <si>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</si>
  <si>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</si>
  <si>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</si>
  <si>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</si>
  <si>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</si>
  <si>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</si>
  <si>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</si>
  <si>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</si>
  <si>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</si>
  <si>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</si>
  <si>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</si>
  <si>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</si>
  <si>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</si>
  <si>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</si>
  <si>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</si>
  <si>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</si>
  <si>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</si>
  <si>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</si>
  <si>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</si>
  <si>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</si>
  <si>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</si>
  <si>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</si>
  <si>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</si>
  <si>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</si>
  <si>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</si>
  <si>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</si>
  <si>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</si>
  <si>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</si>
  <si>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</si>
  <si>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</si>
  <si>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</si>
  <si>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</si>
  <si>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</si>
  <si>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</si>
  <si>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</si>
  <si>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</si>
  <si>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</si>
  <si>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</si>
  <si>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</si>
  <si>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</si>
  <si>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</si>
  <si>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</si>
  <si>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</si>
  <si>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</si>
  <si>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</si>
  <si>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</si>
  <si>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</si>
  <si>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</si>
  <si>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</si>
  <si>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</si>
  <si>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</si>
  <si>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</si>
  <si>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</si>
  <si>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</si>
  <si>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</si>
  <si>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</si>
  <si>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</si>
  <si>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</si>
  <si>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</si>
  <si>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</si>
  <si>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</si>
  <si>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</si>
  <si>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</si>
  <si>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</si>
  <si>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</si>
  <si>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</si>
  <si>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</si>
  <si>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</si>
  <si>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</si>
  <si>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</si>
  <si>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</si>
  <si>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</si>
  <si>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</si>
  <si>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</si>
  <si>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</si>
  <si>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</si>
  <si>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</si>
  <si>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</si>
  <si>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</si>
  <si>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</si>
  <si>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</si>
  <si>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</si>
  <si>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</si>
  <si>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</si>
  <si>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</si>
  <si>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</si>
  <si>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</si>
  <si>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</si>
  <si>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</si>
  <si>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</si>
  <si>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</si>
  <si>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</si>
  <si>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</si>
  <si>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</si>
  <si>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</si>
  <si>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</si>
  <si>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</si>
  <si>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</si>
  <si>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</si>
  <si>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</si>
  <si>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</si>
  <si>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</si>
  <si>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</si>
  <si>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</si>
  <si>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</si>
  <si>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</si>
  <si>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</si>
  <si>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</si>
  <si>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</si>
  <si>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</si>
  <si>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</si>
  <si>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</si>
  <si>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</si>
  <si>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</si>
  <si>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</si>
  <si>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</si>
  <si>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</si>
  <si>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</si>
  <si>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</si>
  <si>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</si>
  <si>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</si>
  <si>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</si>
  <si>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</si>
  <si>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</si>
  <si>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</si>
  <si>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</si>
  <si>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</si>
  <si>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</si>
  <si>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</si>
  <si>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</si>
  <si>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</si>
  <si>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</si>
  <si>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</si>
  <si>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</si>
  <si>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</si>
  <si>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</si>
  <si>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</si>
  <si>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</si>
  <si>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</si>
  <si>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</si>
  <si>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</si>
  <si>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</si>
  <si>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</si>
  <si>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</si>
  <si>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</si>
  <si>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</si>
  <si>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</si>
  <si>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</si>
  <si>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</si>
  <si>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</si>
  <si>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</si>
  <si>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</si>
  <si>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</si>
  <si>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</si>
  <si>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</si>
  <si>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</si>
  <si>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</si>
  <si>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</si>
  <si>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</si>
  <si>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</si>
  <si>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</si>
  <si>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</si>
  <si>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</si>
  <si>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</si>
  <si>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</si>
  <si>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</si>
  <si>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</si>
  <si>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</si>
  <si>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</si>
  <si>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</si>
  <si>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</si>
  <si>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</si>
  <si>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</si>
  <si>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</si>
  <si>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</si>
  <si>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</si>
  <si>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</si>
  <si>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</si>
  <si>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</si>
  <si>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</si>
  <si>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</si>
  <si>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</si>
  <si>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</si>
  <si>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</si>
  <si>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</si>
  <si>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</si>
  <si>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</si>
  <si>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</si>
  <si>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</si>
  <si>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</si>
  <si>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</si>
  <si>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</si>
  <si>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</si>
  <si>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</si>
  <si>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</si>
  <si>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</si>
  <si>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</si>
  <si>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</si>
  <si>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</si>
  <si>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</si>
  <si>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</si>
  <si>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</si>
  <si>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</si>
  <si>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</si>
  <si>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</si>
  <si>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</si>
  <si>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</si>
  <si>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</si>
  <si>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</si>
  <si>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</si>
  <si>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</si>
  <si>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</si>
  <si>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</si>
  <si>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</si>
  <si>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</si>
  <si>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</si>
  <si>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</si>
  <si>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</si>
  <si>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</si>
  <si>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</si>
  <si>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</si>
  <si>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</si>
  <si>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</si>
  <si>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</si>
  <si>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</si>
  <si>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</si>
  <si>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</si>
  <si>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</si>
  <si>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</si>
  <si>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</si>
  <si>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</si>
  <si>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</si>
  <si>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</si>
  <si>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</si>
  <si>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</si>
  <si>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</si>
  <si>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</si>
  <si>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</si>
  <si>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</si>
  <si>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</si>
  <si>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</si>
  <si>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</si>
  <si>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</si>
  <si>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</si>
  <si>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</si>
  <si>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</si>
  <si>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</si>
  <si>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</si>
  <si>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</si>
  <si>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</si>
  <si>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</si>
  <si>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</si>
  <si>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</si>
  <si>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</si>
  <si>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</si>
  <si>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</si>
  <si>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</si>
  <si>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</si>
  <si>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</si>
  <si>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</si>
  <si>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</si>
  <si>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</si>
  <si>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</si>
  <si>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</si>
  <si>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</si>
  <si>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</si>
  <si>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</si>
  <si>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</si>
  <si>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</si>
  <si>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</si>
  <si>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</si>
  <si>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</si>
  <si>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</si>
  <si>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</si>
  <si>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T2.2.3.2026</t>
  </si>
  <si>
    <t>ĐƠN CK</t>
  </si>
  <si>
    <t>đơn trả 3-3</t>
  </si>
  <si>
    <t>đơn cũ ck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</si>
  <si>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</si>
  <si>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</si>
  <si>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</si>
  <si>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</si>
  <si>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</si>
  <si>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</si>
  <si>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</si>
  <si>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</si>
  <si>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</si>
  <si>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</si>
  <si>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</si>
  <si>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</si>
  <si>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</si>
  <si>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</si>
  <si>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</si>
  <si>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</si>
  <si>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</si>
  <si>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</si>
  <si>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</si>
  <si>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</si>
  <si>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</si>
  <si>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</si>
  <si>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</si>
  <si>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</si>
  <si>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</si>
  <si>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</si>
  <si>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</si>
  <si>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</si>
  <si>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</si>
  <si>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</si>
  <si>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</si>
  <si>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</si>
  <si>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</si>
  <si>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</si>
  <si>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</si>
  <si>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</si>
  <si>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</si>
  <si>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</si>
  <si>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</si>
  <si>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</si>
  <si>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</si>
  <si>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</si>
  <si>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</si>
  <si>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</si>
  <si>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</si>
  <si>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</si>
  <si>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</si>
  <si>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</si>
  <si>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</si>
  <si>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</si>
  <si>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</si>
  <si>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</si>
  <si>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</si>
  <si>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</si>
  <si>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</si>
  <si>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</si>
  <si>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</si>
  <si>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</si>
  <si>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</si>
  <si>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</si>
  <si>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</si>
  <si>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</si>
  <si>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</si>
  <si>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</si>
  <si>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</si>
  <si>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</si>
  <si>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</si>
  <si>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</si>
  <si>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</si>
  <si>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</si>
  <si>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</si>
  <si>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</si>
  <si>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</si>
  <si>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</si>
  <si>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</si>
  <si>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</si>
  <si>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</si>
  <si>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</si>
  <si>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</si>
  <si>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</si>
  <si>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</si>
  <si>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</si>
  <si>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</si>
  <si>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</si>
  <si>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</si>
  <si>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</si>
  <si>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</si>
  <si>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</si>
  <si>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</si>
  <si>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</si>
  <si>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</si>
  <si>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</si>
  <si>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</si>
  <si>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</si>
  <si>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</si>
  <si>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</si>
  <si>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</si>
  <si>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</si>
  <si>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</si>
  <si>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</si>
  <si>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</si>
  <si>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</si>
  <si>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</si>
  <si>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</si>
  <si>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</si>
  <si>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</si>
  <si>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</si>
  <si>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</si>
  <si>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</si>
  <si>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</si>
  <si>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</si>
  <si>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</si>
  <si>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</si>
  <si>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</si>
  <si>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</si>
  <si>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</si>
  <si>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</si>
  <si>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</si>
  <si>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</si>
  <si>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</si>
  <si>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</si>
  <si>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</si>
  <si>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</si>
  <si>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</si>
  <si>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</si>
  <si>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</si>
  <si>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</si>
  <si>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</si>
  <si>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</si>
  <si>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</si>
  <si>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</si>
  <si>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</si>
  <si>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</si>
  <si>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</si>
  <si>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</si>
  <si>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</si>
  <si>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</si>
  <si>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</si>
  <si>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</si>
  <si>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</si>
  <si>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</si>
  <si>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</si>
  <si>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</si>
  <si>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</si>
  <si>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</si>
  <si>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</si>
  <si>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</si>
  <si>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</si>
  <si>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</si>
  <si>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</si>
  <si>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</si>
  <si>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</si>
  <si>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</si>
  <si>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</si>
  <si>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</si>
  <si>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</si>
  <si>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</si>
  <si>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</si>
  <si>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</si>
  <si>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</si>
  <si>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</si>
  <si>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</si>
  <si>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</si>
  <si>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</si>
  <si>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</si>
  <si>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</si>
  <si>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</si>
  <si>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</si>
  <si>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</si>
  <si>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</si>
  <si>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</si>
  <si>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</si>
  <si>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</si>
  <si>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</si>
  <si>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</si>
  <si>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</si>
  <si>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</si>
  <si>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</si>
  <si>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</si>
  <si>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</si>
  <si>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</si>
  <si>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</si>
  <si>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</si>
  <si>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</si>
  <si>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</si>
  <si>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</si>
  <si>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</si>
  <si>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</si>
  <si>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</si>
  <si>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</si>
  <si>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</si>
  <si>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</si>
  <si>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</si>
  <si>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</si>
  <si>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</si>
  <si>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</si>
  <si>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</si>
  <si>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</si>
  <si>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</si>
  <si>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</si>
  <si>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</si>
  <si>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</si>
  <si>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</si>
  <si>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</si>
  <si>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</si>
  <si>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</si>
  <si>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</si>
  <si>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</si>
  <si>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</si>
  <si>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</si>
  <si>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</si>
  <si>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</si>
  <si>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</si>
  <si>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</si>
  <si>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</si>
  <si>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</si>
  <si>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</si>
  <si>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</si>
  <si>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</si>
  <si>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</si>
  <si>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</si>
  <si>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</si>
  <si>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</si>
  <si>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</si>
  <si>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</si>
  <si>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</si>
  <si>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</si>
  <si>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</si>
  <si>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</si>
  <si>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</si>
  <si>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</si>
  <si>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</si>
  <si>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</si>
  <si>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</si>
  <si>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</si>
  <si>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</si>
  <si>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</si>
  <si>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</si>
  <si>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</si>
  <si>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</si>
  <si>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</si>
  <si>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</si>
  <si>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</si>
  <si>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</si>
  <si>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</si>
  <si>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</si>
  <si>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</si>
  <si>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</si>
  <si>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</si>
  <si>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</si>
  <si>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</si>
  <si>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</si>
  <si>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</si>
  <si>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</si>
  <si>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</si>
  <si>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</si>
  <si>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</si>
  <si>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</si>
  <si>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</si>
  <si>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</si>
  <si>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</si>
  <si>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</si>
  <si>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</si>
  <si>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</si>
  <si>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</si>
  <si>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</si>
  <si>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</si>
  <si>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</si>
  <si>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</si>
  <si>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</si>
  <si>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</si>
  <si>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</si>
  <si>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</si>
  <si>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</si>
  <si>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</si>
  <si>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</si>
  <si>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</si>
  <si>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</si>
  <si>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</si>
  <si>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</si>
  <si>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</si>
  <si>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</si>
  <si>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</si>
  <si>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</si>
  <si>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</si>
  <si>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</si>
  <si>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</si>
  <si>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</si>
  <si>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</si>
  <si>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</si>
  <si>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</si>
  <si>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</si>
  <si>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</si>
  <si>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</si>
  <si>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</si>
  <si>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</si>
  <si>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</si>
  <si>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</si>
  <si>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</si>
  <si>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</si>
  <si>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</si>
  <si>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</si>
  <si>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</si>
  <si>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</si>
  <si>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</si>
  <si>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</si>
  <si>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</si>
  <si>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</si>
  <si>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</si>
  <si>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</si>
  <si>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</si>
  <si>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ds6</t>
  </si>
  <si>
    <t>dao tri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</si>
  <si>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</si>
  <si>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</si>
  <si>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</si>
  <si>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</si>
  <si>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</si>
  <si>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</si>
  <si>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</si>
  <si>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</si>
  <si>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</si>
  <si>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</si>
  <si>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</si>
  <si>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</si>
  <si>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</si>
  <si>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</si>
  <si>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</si>
  <si>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</si>
  <si>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</si>
  <si>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</si>
  <si>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</si>
  <si>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</si>
  <si>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</si>
  <si>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</si>
  <si>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</si>
  <si>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</si>
  <si>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</si>
  <si>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</si>
  <si>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</si>
  <si>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</si>
  <si>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</si>
  <si>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</si>
  <si>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</si>
  <si>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</si>
  <si>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</si>
  <si>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</si>
  <si>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</si>
  <si>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</si>
  <si>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</si>
  <si>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</si>
  <si>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</si>
  <si>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</si>
  <si>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</si>
  <si>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</si>
  <si>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</si>
  <si>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</si>
  <si>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</si>
  <si>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</si>
  <si>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</si>
  <si>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</si>
  <si>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</si>
  <si>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</si>
  <si>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</si>
  <si>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</si>
  <si>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</si>
  <si>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</si>
  <si>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</si>
  <si>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</si>
  <si>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</si>
  <si>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</si>
  <si>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</si>
  <si>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</si>
  <si>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</si>
  <si>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</si>
  <si>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</si>
  <si>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</si>
  <si>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</si>
  <si>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</si>
  <si>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</si>
  <si>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</si>
  <si>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</si>
  <si>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</si>
  <si>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</si>
  <si>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</si>
  <si>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</si>
  <si>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</si>
  <si>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</si>
  <si>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</si>
  <si>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</si>
  <si>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</si>
  <si>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</si>
  <si>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</si>
  <si>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</si>
  <si>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</si>
  <si>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</si>
  <si>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</si>
  <si>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</si>
  <si>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</si>
  <si>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</si>
  <si>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</si>
  <si>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</si>
  <si>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</si>
  <si>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</si>
  <si>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T5.5.3.2026</t>
  </si>
  <si>
    <t>đơn trả 6-3</t>
  </si>
  <si>
    <t>THU 6</t>
  </si>
  <si>
    <t>NGAY 6-3</t>
  </si>
  <si>
    <t>kh ck 695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</si>
  <si>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</si>
  <si>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</si>
  <si>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</si>
  <si>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</si>
  <si>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</si>
  <si>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</si>
  <si>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</si>
  <si>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</si>
  <si>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</si>
  <si>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</si>
  <si>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</si>
  <si>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</si>
  <si>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</si>
  <si>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</si>
  <si>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</si>
  <si>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</si>
  <si>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</si>
  <si>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</si>
  <si>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</si>
  <si>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</si>
  <si>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</si>
  <si>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</si>
  <si>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</si>
  <si>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</si>
  <si>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</si>
  <si>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</si>
  <si>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</si>
  <si>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</si>
  <si>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</si>
  <si>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</si>
  <si>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</si>
  <si>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</si>
  <si>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</si>
  <si>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</si>
  <si>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</si>
  <si>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</si>
  <si>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</si>
  <si>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</si>
  <si>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</si>
  <si>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</si>
  <si>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</si>
  <si>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</si>
  <si>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</si>
  <si>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</si>
  <si>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</si>
  <si>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</si>
  <si>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</si>
  <si>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</si>
  <si>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</si>
  <si>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</si>
  <si>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</si>
  <si>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</si>
  <si>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</si>
  <si>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</si>
  <si>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</si>
  <si>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</si>
  <si>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</si>
  <si>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</si>
  <si>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</si>
  <si>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</si>
  <si>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</si>
  <si>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</si>
  <si>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</si>
  <si>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</si>
  <si>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</si>
  <si>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</si>
  <si>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</si>
  <si>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</si>
  <si>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</si>
  <si>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</si>
  <si>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</si>
  <si>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</si>
  <si>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</si>
  <si>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</si>
  <si>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</si>
  <si>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</si>
  <si>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</si>
  <si>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</si>
  <si>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</si>
  <si>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</si>
  <si>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</si>
  <si>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</si>
  <si>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</si>
  <si>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</si>
  <si>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</si>
  <si>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</si>
  <si>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</si>
  <si>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</si>
  <si>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</si>
  <si>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</si>
  <si>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</si>
  <si>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</si>
  <si>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</si>
  <si>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</si>
  <si>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</si>
  <si>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</si>
  <si>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</si>
  <si>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</si>
  <si>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</si>
  <si>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</si>
  <si>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</si>
  <si>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</si>
  <si>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</si>
  <si>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</si>
  <si>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</si>
  <si>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</si>
  <si>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</si>
  <si>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</si>
  <si>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</si>
  <si>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</si>
  <si>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</si>
  <si>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</si>
  <si>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</si>
  <si>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</si>
  <si>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</si>
  <si>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</si>
  <si>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</si>
  <si>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</si>
  <si>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</si>
  <si>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</si>
  <si>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</si>
  <si>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</si>
  <si>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</si>
  <si>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</si>
  <si>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</si>
  <si>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</si>
  <si>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</si>
  <si>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</si>
  <si>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</si>
  <si>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</si>
  <si>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</si>
  <si>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</si>
  <si>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</si>
  <si>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</si>
  <si>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</si>
  <si>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</si>
  <si>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</si>
  <si>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</si>
  <si>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</si>
  <si>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</si>
  <si>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</si>
  <si>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</si>
  <si>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</si>
  <si>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</si>
  <si>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</si>
  <si>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</si>
  <si>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</si>
  <si>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</si>
  <si>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</si>
  <si>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</si>
  <si>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</si>
  <si>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T6.6.3.2026</t>
  </si>
  <si>
    <t>đơn trả 7-3</t>
  </si>
  <si>
    <t>THU 7</t>
  </si>
  <si>
    <t>NGAY 7-3</t>
  </si>
  <si>
    <t>kh ck 1765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</si>
  <si>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</si>
  <si>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</si>
  <si>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</si>
  <si>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</si>
  <si>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</si>
  <si>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</si>
  <si>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</si>
  <si>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</si>
  <si>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</si>
  <si>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</si>
  <si>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</si>
  <si>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</si>
  <si>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</si>
  <si>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</si>
  <si>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</si>
  <si>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</si>
  <si>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</si>
  <si>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</si>
  <si>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</si>
  <si>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</si>
  <si>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</si>
  <si>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</si>
  <si>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</si>
  <si>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</si>
  <si>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</si>
  <si>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</si>
  <si>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</si>
  <si>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</si>
  <si>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</si>
  <si>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</si>
  <si>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</si>
  <si>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</si>
  <si>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</si>
  <si>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</si>
  <si>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</si>
  <si>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</si>
  <si>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</si>
  <si>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</si>
  <si>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</si>
  <si>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</si>
  <si>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</si>
  <si>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</si>
  <si>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</si>
  <si>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</si>
  <si>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</si>
  <si>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</si>
  <si>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</si>
  <si>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</si>
  <si>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</si>
  <si>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</si>
  <si>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</si>
  <si>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</si>
  <si>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</si>
  <si>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</si>
  <si>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</si>
  <si>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</si>
  <si>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</si>
  <si>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</si>
  <si>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</si>
  <si>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</si>
  <si>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</si>
  <si>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</si>
  <si>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</si>
  <si>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</si>
  <si>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</si>
  <si>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</si>
  <si>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</si>
  <si>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</si>
  <si>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</si>
  <si>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</si>
  <si>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</si>
  <si>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</si>
  <si>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</si>
  <si>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</si>
  <si>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</si>
  <si>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</si>
  <si>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</si>
  <si>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</si>
  <si>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</si>
  <si>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</si>
  <si>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</si>
  <si>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</si>
  <si>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</si>
  <si>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</si>
  <si>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</si>
  <si>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</si>
  <si>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</si>
  <si>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</si>
  <si>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</si>
  <si>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</si>
  <si>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</si>
  <si>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</si>
  <si>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</si>
  <si>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</si>
  <si>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</si>
  <si>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</si>
  <si>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</si>
  <si>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</si>
  <si>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</si>
  <si>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</si>
  <si>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</si>
  <si>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</si>
  <si>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</si>
  <si>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</si>
  <si>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</si>
  <si>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</si>
  <si>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</si>
  <si>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</si>
  <si>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</si>
  <si>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</si>
  <si>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</si>
  <si>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</si>
  <si>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</si>
  <si>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</si>
  <si>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</si>
  <si>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</si>
  <si>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</si>
  <si>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</si>
  <si>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</si>
  <si>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</si>
  <si>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</si>
  <si>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</si>
  <si>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</si>
  <si>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</si>
  <si>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</si>
  <si>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</si>
  <si>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</si>
  <si>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</si>
  <si>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</si>
  <si>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</si>
  <si>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</si>
  <si>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</si>
  <si>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</si>
  <si>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</si>
  <si>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</si>
  <si>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</si>
  <si>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</si>
  <si>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</si>
  <si>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</si>
  <si>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</si>
  <si>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</si>
  <si>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</si>
  <si>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</si>
  <si>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</si>
  <si>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</si>
  <si>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</si>
  <si>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</si>
  <si>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</si>
  <si>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</si>
  <si>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</si>
  <si>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</si>
  <si>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</si>
  <si>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</si>
  <si>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</si>
  <si>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</si>
  <si>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</si>
  <si>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</si>
  <si>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</si>
  <si>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</si>
  <si>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</si>
  <si>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</si>
  <si>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</si>
  <si>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</si>
  <si>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</si>
  <si>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</si>
  <si>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</si>
  <si>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</si>
  <si>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</si>
  <si>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</si>
  <si>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</si>
  <si>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</si>
  <si>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</si>
  <si>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</si>
  <si>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</si>
  <si>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</si>
  <si>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</si>
  <si>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</si>
  <si>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</si>
  <si>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</si>
  <si>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</si>
  <si>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</si>
  <si>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</si>
  <si>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</si>
  <si>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</si>
  <si>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</si>
  <si>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</si>
  <si>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</si>
  <si>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</si>
  <si>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</si>
  <si>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</si>
  <si>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</si>
  <si>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</si>
  <si>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</si>
  <si>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</si>
  <si>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</si>
  <si>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</si>
  <si>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</si>
  <si>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</si>
  <si>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</si>
  <si>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</si>
  <si>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</si>
  <si>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</si>
  <si>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</si>
  <si>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</si>
  <si>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</si>
  <si>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</si>
  <si>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</si>
  <si>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</si>
  <si>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</si>
  <si>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</si>
  <si>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</si>
  <si>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</si>
  <si>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</si>
  <si>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</si>
  <si>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</si>
  <si>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</si>
  <si>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</si>
  <si>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</si>
  <si>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</si>
  <si>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</si>
  <si>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</si>
  <si>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</si>
  <si>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</si>
  <si>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</si>
  <si>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</si>
  <si>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</si>
  <si>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</si>
  <si>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</si>
  <si>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</si>
  <si>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</si>
  <si>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</si>
  <si>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</si>
  <si>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</si>
  <si>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</si>
  <si>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</si>
  <si>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</si>
  <si>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</si>
  <si>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</si>
  <si>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</si>
  <si>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</si>
  <si>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</si>
  <si>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</si>
  <si>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</si>
  <si>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</si>
  <si>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</si>
  <si>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</si>
  <si>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</si>
  <si>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</si>
  <si>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</si>
  <si>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</si>
  <si>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</si>
  <si>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</si>
  <si>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</si>
  <si>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</si>
  <si>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</si>
  <si>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</si>
  <si>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</si>
  <si>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</si>
  <si>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</si>
  <si>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</si>
  <si>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</si>
  <si>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</si>
  <si>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</si>
  <si>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</si>
  <si>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</si>
  <si>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</si>
  <si>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</si>
  <si>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</si>
  <si>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</si>
  <si>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</si>
  <si>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</si>
  <si>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</si>
  <si>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</si>
  <si>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</si>
  <si>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</si>
  <si>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</si>
  <si>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</si>
  <si>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</si>
  <si>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</si>
  <si>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</si>
  <si>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</si>
  <si>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</si>
  <si>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</si>
  <si>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</si>
  <si>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</si>
  <si>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</si>
  <si>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</si>
  <si>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</si>
  <si>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</si>
  <si>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</si>
  <si>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</si>
  <si>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</si>
  <si>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</si>
  <si>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</si>
  <si>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</si>
  <si>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</si>
  <si>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</si>
  <si>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</si>
  <si>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</si>
  <si>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</si>
  <si>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T2.9.3.2026</t>
  </si>
  <si>
    <t>đơn trả 10-3</t>
  </si>
  <si>
    <t>NGAY 10-3</t>
  </si>
  <si>
    <t>kh ck 510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</si>
  <si>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</si>
  <si>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</si>
  <si>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</si>
  <si>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</si>
  <si>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</si>
  <si>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</si>
  <si>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</si>
  <si>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</si>
  <si>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</si>
  <si>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</si>
  <si>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</si>
  <si>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</si>
  <si>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</si>
  <si>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</si>
  <si>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</si>
  <si>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</si>
  <si>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</si>
  <si>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</si>
  <si>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</si>
  <si>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</si>
  <si>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</si>
  <si>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</si>
  <si>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</si>
  <si>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</si>
  <si>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</si>
  <si>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</si>
  <si>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</si>
  <si>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</si>
  <si>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</si>
  <si>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</si>
  <si>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</si>
  <si>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</si>
  <si>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</si>
  <si>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</si>
  <si>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</si>
  <si>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</si>
  <si>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</si>
  <si>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</si>
  <si>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</si>
  <si>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</si>
  <si>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</si>
  <si>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</si>
  <si>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</si>
  <si>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</si>
  <si>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</si>
  <si>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</si>
  <si>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</si>
  <si>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</si>
  <si>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</si>
  <si>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</si>
  <si>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</si>
  <si>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</si>
  <si>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</si>
  <si>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</si>
  <si>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</si>
  <si>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</si>
  <si>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</si>
  <si>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</si>
  <si>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</si>
  <si>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</si>
  <si>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</si>
  <si>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</si>
  <si>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</si>
  <si>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</si>
  <si>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</si>
  <si>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</si>
  <si>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</si>
  <si>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</si>
  <si>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</si>
  <si>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</si>
  <si>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</si>
  <si>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</si>
  <si>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</si>
  <si>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</si>
  <si>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</si>
  <si>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</si>
  <si>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</si>
  <si>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</si>
  <si>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</si>
  <si>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</si>
  <si>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</si>
  <si>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</si>
  <si>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</si>
  <si>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</si>
  <si>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</si>
  <si>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</si>
  <si>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</si>
  <si>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</si>
  <si>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</si>
  <si>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</si>
  <si>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</si>
  <si>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T3.10.3.2026</t>
  </si>
  <si>
    <t>đơn trả 11-3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</si>
  <si>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</si>
  <si>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</si>
  <si>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</si>
  <si>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</si>
  <si>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</si>
  <si>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</si>
  <si>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</si>
  <si>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</si>
  <si>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</si>
  <si>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</si>
  <si>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</si>
  <si>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</si>
  <si>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</si>
  <si>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</si>
  <si>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</si>
  <si>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</si>
  <si>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</si>
  <si>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</si>
  <si>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</si>
  <si>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</si>
  <si>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</si>
  <si>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</si>
  <si>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</si>
  <si>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</si>
  <si>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</si>
  <si>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</si>
  <si>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</si>
  <si>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</si>
  <si>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</si>
  <si>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</si>
  <si>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</si>
  <si>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</si>
  <si>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</si>
  <si>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</si>
  <si>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</si>
  <si>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</si>
  <si>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</si>
  <si>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</si>
  <si>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</si>
  <si>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</si>
  <si>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</si>
  <si>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</si>
  <si>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</si>
  <si>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</si>
  <si>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</si>
  <si>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</si>
  <si>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</si>
  <si>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</si>
  <si>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</si>
  <si>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</si>
  <si>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</si>
  <si>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</si>
  <si>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</si>
  <si>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</si>
  <si>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</si>
  <si>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</si>
  <si>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</si>
  <si>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</si>
  <si>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</si>
  <si>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</si>
  <si>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</si>
  <si>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</si>
  <si>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</si>
  <si>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</si>
  <si>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T4.11.3.2026</t>
  </si>
  <si>
    <t>đơn trả 12-3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</si>
  <si>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</si>
  <si>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</si>
  <si>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</si>
  <si>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</si>
  <si>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</si>
  <si>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</si>
  <si>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</si>
  <si>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</si>
  <si>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</si>
  <si>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</si>
  <si>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</si>
  <si>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</si>
  <si>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</si>
  <si>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</si>
  <si>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</si>
  <si>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</si>
  <si>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</si>
  <si>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</si>
  <si>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</si>
  <si>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</si>
  <si>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</si>
  <si>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</si>
  <si>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</si>
  <si>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</si>
  <si>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</si>
  <si>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</si>
  <si>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</si>
  <si>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</si>
  <si>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</si>
  <si>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</si>
  <si>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</si>
  <si>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</si>
  <si>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</si>
  <si>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</si>
  <si>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</si>
  <si>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</si>
  <si>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</si>
  <si>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</si>
  <si>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</si>
  <si>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</si>
  <si>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</si>
  <si>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</si>
  <si>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</si>
  <si>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</si>
  <si>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</si>
  <si>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</si>
  <si>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</si>
  <si>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</si>
  <si>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</si>
  <si>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</si>
  <si>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</si>
  <si>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</si>
  <si>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</si>
  <si>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</si>
  <si>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</si>
  <si>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</si>
  <si>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</si>
  <si>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</si>
  <si>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</si>
  <si>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</si>
  <si>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</si>
  <si>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</si>
  <si>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</si>
  <si>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</si>
  <si>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</si>
  <si>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</si>
  <si>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</si>
  <si>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</si>
  <si>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</si>
  <si>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</si>
  <si>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</si>
  <si>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</si>
  <si>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</si>
  <si>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</si>
  <si>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</si>
  <si>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</si>
  <si>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</si>
  <si>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</si>
  <si>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</si>
  <si>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</si>
  <si>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</si>
  <si>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</si>
  <si>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</si>
  <si>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</si>
  <si>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</si>
  <si>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</si>
  <si>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</si>
  <si>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</si>
  <si>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</si>
  <si>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</si>
  <si>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</si>
  <si>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</si>
  <si>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</si>
  <si>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</si>
  <si>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</si>
  <si>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</si>
  <si>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</si>
  <si>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</si>
  <si>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</si>
  <si>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</si>
  <si>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</si>
  <si>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</si>
  <si>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</si>
  <si>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</si>
  <si>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</si>
  <si>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</si>
  <si>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</si>
  <si>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</si>
  <si>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</si>
  <si>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</si>
  <si>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T5.12.3.2026</t>
  </si>
  <si>
    <t>đơn trả 13-3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</si>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</sst>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topLeftCell="A76" workbookViewId="0">
      <selection activeCell="A84" sqref="A84:XFD92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6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36</v>
      </c>
      <c r="D4" s="5" t="s">
        <v>37</v>
      </c>
      <c r="E4" s="5">
        <v>19</v>
      </c>
      <c r="F4" s="5" t="s">
        <v>38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39</v>
      </c>
      <c r="D5" s="5" t="s">
        <v>40</v>
      </c>
      <c r="E5" s="5" t="s">
        <v>41</v>
      </c>
      <c r="F5" s="5" t="s">
        <v>42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43</v>
      </c>
      <c r="D6" s="5" t="s">
        <v>44</v>
      </c>
      <c r="E6" s="5" t="s">
        <v>45</v>
      </c>
      <c r="F6" s="5" t="s">
        <v>46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47</v>
      </c>
      <c r="D7" s="5" t="s">
        <v>48</v>
      </c>
      <c r="E7" s="5" t="s">
        <v>49</v>
      </c>
      <c r="F7" s="5" t="s">
        <v>50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51</v>
      </c>
      <c r="D8" s="5" t="s">
        <v>52</v>
      </c>
      <c r="E8" s="5">
        <v>159</v>
      </c>
      <c r="F8" s="5" t="s">
        <v>53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54</v>
      </c>
      <c r="D9" s="5" t="s">
        <v>55</v>
      </c>
      <c r="E9" s="5" t="s">
        <v>56</v>
      </c>
      <c r="F9" s="5" t="s">
        <v>53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</v>
      </c>
      <c r="D10" s="5" t="s">
        <v>58</v>
      </c>
      <c r="E10" s="5" t="s">
        <v>59</v>
      </c>
      <c r="F10" s="5" t="s">
        <v>53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60</v>
      </c>
      <c r="D11" s="5" t="s">
        <v>61</v>
      </c>
      <c r="E11" s="5" t="s">
        <v>62</v>
      </c>
      <c r="F11" s="5" t="s">
        <v>63</v>
      </c>
      <c r="G11" s="5" t="s">
        <v>64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65</v>
      </c>
      <c r="D12" s="5" t="s">
        <v>66</v>
      </c>
      <c r="E12" s="5" t="s">
        <v>67</v>
      </c>
      <c r="F12" s="5" t="s">
        <v>68</v>
      </c>
      <c r="G12" s="5" t="s">
        <v>64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69</v>
      </c>
      <c r="D13" s="5" t="s">
        <v>70</v>
      </c>
      <c r="E13" s="5">
        <v>778</v>
      </c>
      <c r="F13" s="5" t="s">
        <v>71</v>
      </c>
      <c r="G13" s="5" t="s">
        <v>64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72</v>
      </c>
      <c r="D14" s="5" t="s">
        <v>73</v>
      </c>
      <c r="E14" s="5" t="s">
        <v>74</v>
      </c>
      <c r="F14" s="5" t="s">
        <v>75</v>
      </c>
      <c r="G14" s="5" t="s">
        <v>76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77</v>
      </c>
      <c r="D15" s="5" t="s">
        <v>78</v>
      </c>
      <c r="E15" s="5" t="s">
        <v>79</v>
      </c>
      <c r="F15" s="5" t="s">
        <v>80</v>
      </c>
      <c r="G15" s="5" t="s">
        <v>76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81</v>
      </c>
      <c r="D16" s="5" t="s">
        <v>82</v>
      </c>
      <c r="E16" s="5" t="s">
        <v>83</v>
      </c>
      <c r="F16" s="5" t="s">
        <v>84</v>
      </c>
      <c r="G16" s="5" t="s">
        <v>76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85</v>
      </c>
      <c r="D17" s="5" t="s">
        <v>86</v>
      </c>
      <c r="E17" s="5" t="s">
        <v>87</v>
      </c>
      <c r="F17" s="5" t="s">
        <v>88</v>
      </c>
      <c r="G17" s="5" t="s">
        <v>76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89</v>
      </c>
      <c r="D18" s="5" t="s">
        <v>90</v>
      </c>
      <c r="E18" s="5" t="s">
        <v>91</v>
      </c>
      <c r="F18" s="5" t="s">
        <v>92</v>
      </c>
      <c r="G18" s="5" t="s">
        <v>76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93</v>
      </c>
      <c r="D19" s="5" t="s">
        <v>94</v>
      </c>
      <c r="E19" s="5" t="s">
        <v>95</v>
      </c>
      <c r="F19" s="5" t="s">
        <v>96</v>
      </c>
      <c r="G19" s="5" t="s">
        <v>76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97</v>
      </c>
      <c r="B20" s="5" t="s">
        <v>19</v>
      </c>
      <c r="C20" s="5" t="s">
        <v>98</v>
      </c>
      <c r="D20" s="5"/>
      <c r="E20" s="5">
        <v>403</v>
      </c>
      <c r="F20" s="5" t="s">
        <v>99</v>
      </c>
      <c r="G20" s="5" t="s">
        <v>76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101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105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106</v>
      </c>
      <c r="D22" s="5" t="s">
        <v>107</v>
      </c>
      <c r="E22" s="5">
        <v>9</v>
      </c>
      <c r="F22" s="5" t="s">
        <v>108</v>
      </c>
      <c r="G22" s="5" t="s">
        <v>109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110</v>
      </c>
      <c r="D23" s="5" t="s">
        <v>111</v>
      </c>
      <c r="E23" s="5" t="s">
        <v>112</v>
      </c>
      <c r="F23" s="5" t="s">
        <v>113</v>
      </c>
      <c r="G23" s="5" t="s">
        <v>109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114</v>
      </c>
      <c r="D24" s="5" t="s">
        <v>115</v>
      </c>
      <c r="E24" s="5" t="s">
        <v>116</v>
      </c>
      <c r="F24" s="5" t="s">
        <v>117</v>
      </c>
      <c r="G24" s="5" t="s">
        <v>109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118</v>
      </c>
      <c r="D25" s="5" t="s">
        <v>119</v>
      </c>
      <c r="E25" s="5" t="s">
        <v>120</v>
      </c>
      <c r="F25" s="5" t="s">
        <v>121</v>
      </c>
      <c r="G25" s="5" t="s">
        <v>109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122</v>
      </c>
      <c r="D26" s="5" t="s">
        <v>123</v>
      </c>
      <c r="E26" s="5" t="s">
        <v>124</v>
      </c>
      <c r="F26" s="5" t="s">
        <v>125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126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127</v>
      </c>
      <c r="D27" s="5" t="s">
        <v>128</v>
      </c>
      <c r="E27" s="5" t="s">
        <v>129</v>
      </c>
      <c r="F27" s="5" t="s">
        <v>130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131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132</v>
      </c>
      <c r="D28" s="5" t="s">
        <v>133</v>
      </c>
      <c r="E28" s="5">
        <v>51</v>
      </c>
      <c r="F28" s="5" t="s">
        <v>134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131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135</v>
      </c>
      <c r="D29" s="5" t="s">
        <v>136</v>
      </c>
      <c r="E29" s="5">
        <v>56</v>
      </c>
      <c r="F29" s="5" t="s">
        <v>137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131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138</v>
      </c>
      <c r="D30" s="5" t="s">
        <v>139</v>
      </c>
      <c r="E30" s="5">
        <v>230</v>
      </c>
      <c r="F30" s="5" t="s">
        <v>140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131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141</v>
      </c>
      <c r="D31" s="5" t="s">
        <v>142</v>
      </c>
      <c r="E31" s="5" t="s">
        <v>143</v>
      </c>
      <c r="F31" s="5" t="s">
        <v>140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131</v>
      </c>
      <c r="L31" s="5" t="s">
        <v>25</v>
      </c>
      <c r="M31" s="5" t="s">
        <v>26</v>
      </c>
      <c r="N31" s="6" t="s">
        <v>144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145</v>
      </c>
      <c r="D32" s="5" t="s">
        <v>146</v>
      </c>
      <c r="E32" s="5" t="s">
        <v>147</v>
      </c>
      <c r="F32" s="5" t="s">
        <v>148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131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149</v>
      </c>
      <c r="D33" s="5" t="s">
        <v>150</v>
      </c>
      <c r="E33" s="5" t="s">
        <v>151</v>
      </c>
      <c r="F33" s="5" t="s">
        <v>152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131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153</v>
      </c>
      <c r="D34" s="5" t="s">
        <v>154</v>
      </c>
      <c r="E34" s="5" t="s">
        <v>155</v>
      </c>
      <c r="F34" s="5" t="s">
        <v>156</v>
      </c>
      <c r="G34" s="5" t="s">
        <v>157</v>
      </c>
      <c r="H34" s="5">
        <v>690</v>
      </c>
      <c r="I34" s="5">
        <v>20</v>
      </c>
      <c r="J34" s="5">
        <f t="shared" si="0"/>
        <v>670</v>
      </c>
      <c r="K34" s="5" t="s">
        <v>131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158</v>
      </c>
      <c r="D35" s="5" t="s">
        <v>159</v>
      </c>
      <c r="E35" s="5" t="s">
        <v>160</v>
      </c>
      <c r="F35" s="5" t="s">
        <v>161</v>
      </c>
      <c r="G35" s="5" t="s">
        <v>157</v>
      </c>
      <c r="H35" s="5">
        <v>690</v>
      </c>
      <c r="I35" s="5">
        <v>20</v>
      </c>
      <c r="J35" s="5">
        <f t="shared" si="0"/>
        <v>670</v>
      </c>
      <c r="K35" s="5" t="s">
        <v>131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162</v>
      </c>
      <c r="D36" s="5" t="s">
        <v>163</v>
      </c>
      <c r="E36" s="5" t="s">
        <v>164</v>
      </c>
      <c r="F36" s="5" t="s">
        <v>165</v>
      </c>
      <c r="G36" s="5" t="s">
        <v>157</v>
      </c>
      <c r="H36" s="5">
        <v>690</v>
      </c>
      <c r="I36" s="5">
        <v>20</v>
      </c>
      <c r="J36" s="5">
        <f t="shared" si="0"/>
        <v>670</v>
      </c>
      <c r="K36" s="5" t="s">
        <v>131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166</v>
      </c>
      <c r="D37" s="5" t="s">
        <v>167</v>
      </c>
      <c r="E37" s="5" t="s">
        <v>168</v>
      </c>
      <c r="F37" s="5" t="s">
        <v>169</v>
      </c>
      <c r="G37" s="5" t="s">
        <v>104</v>
      </c>
      <c r="H37" s="5">
        <v>695</v>
      </c>
      <c r="I37" s="5">
        <v>25</v>
      </c>
      <c r="J37" s="5">
        <f t="shared" si="0"/>
        <v>670</v>
      </c>
      <c r="K37" s="5" t="s">
        <v>131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170</v>
      </c>
      <c r="D38" s="5" t="s">
        <v>171</v>
      </c>
      <c r="E38" s="5" t="s">
        <v>172</v>
      </c>
      <c r="F38" s="5" t="s">
        <v>173</v>
      </c>
      <c r="G38" s="5" t="s">
        <v>104</v>
      </c>
      <c r="H38" s="5">
        <v>695</v>
      </c>
      <c r="I38" s="5">
        <v>25</v>
      </c>
      <c r="J38" s="5">
        <f t="shared" si="0"/>
        <v>670</v>
      </c>
      <c r="K38" s="5" t="s">
        <v>131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174</v>
      </c>
      <c r="D39" s="5" t="s">
        <v>175</v>
      </c>
      <c r="E39" s="5" t="s">
        <v>176</v>
      </c>
      <c r="F39" s="5" t="s">
        <v>173</v>
      </c>
      <c r="G39" s="5" t="s">
        <v>104</v>
      </c>
      <c r="H39" s="5">
        <v>1655</v>
      </c>
      <c r="I39" s="5">
        <v>25</v>
      </c>
      <c r="J39" s="5">
        <f t="shared" si="0"/>
        <v>1630</v>
      </c>
      <c r="K39" s="5" t="s">
        <v>131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97</v>
      </c>
      <c r="B40" s="5" t="s">
        <v>19</v>
      </c>
      <c r="C40" s="5" t="s">
        <v>177</v>
      </c>
      <c r="D40" s="5"/>
      <c r="E40" s="5" t="s">
        <v>178</v>
      </c>
      <c r="F40" s="5" t="s">
        <v>179</v>
      </c>
      <c r="G40" s="5" t="s">
        <v>104</v>
      </c>
      <c r="H40" s="5">
        <v>0</v>
      </c>
      <c r="I40" s="5">
        <v>30</v>
      </c>
      <c r="J40" s="5">
        <f t="shared" si="0"/>
        <v>-30</v>
      </c>
      <c r="K40" s="5" t="s">
        <v>131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180</v>
      </c>
      <c r="D41" s="5" t="s">
        <v>181</v>
      </c>
      <c r="E41" s="5" t="s">
        <v>182</v>
      </c>
      <c r="F41" s="5" t="s">
        <v>183</v>
      </c>
      <c r="G41" s="5">
        <v>6</v>
      </c>
      <c r="H41" s="5">
        <v>0</v>
      </c>
      <c r="I41" s="5">
        <v>25</v>
      </c>
      <c r="J41" s="5">
        <f t="shared" si="0"/>
        <v>-25</v>
      </c>
      <c r="K41" s="5" t="s">
        <v>184</v>
      </c>
      <c r="L41" s="5" t="s">
        <v>25</v>
      </c>
      <c r="M41" s="5" t="s">
        <v>26</v>
      </c>
      <c r="N41" s="6" t="s">
        <v>105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97</v>
      </c>
      <c r="B42" s="5" t="s">
        <v>19</v>
      </c>
      <c r="C42" s="5" t="s">
        <v>185</v>
      </c>
      <c r="D42" s="5"/>
      <c r="E42" s="5" t="s">
        <v>186</v>
      </c>
      <c r="F42" s="5" t="s">
        <v>187</v>
      </c>
      <c r="G42" s="5">
        <v>6</v>
      </c>
      <c r="H42" s="5">
        <v>0</v>
      </c>
      <c r="I42" s="5">
        <v>30</v>
      </c>
      <c r="J42" s="5">
        <f t="shared" si="0"/>
        <v>-30</v>
      </c>
      <c r="K42" s="5" t="s">
        <v>184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188</v>
      </c>
      <c r="D43" s="5" t="s">
        <v>189</v>
      </c>
      <c r="E43" s="5" t="s">
        <v>190</v>
      </c>
      <c r="F43" s="5" t="s">
        <v>191</v>
      </c>
      <c r="G43" s="5">
        <v>6</v>
      </c>
      <c r="H43" s="5">
        <v>435</v>
      </c>
      <c r="I43" s="5">
        <v>25</v>
      </c>
      <c r="J43" s="5">
        <f t="shared" si="0"/>
        <v>410</v>
      </c>
      <c r="K43" s="5" t="s">
        <v>184</v>
      </c>
      <c r="L43" s="5" t="s">
        <v>25</v>
      </c>
      <c r="M43" s="5" t="s">
        <v>26</v>
      </c>
      <c r="N43" s="6" t="s">
        <v>192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193</v>
      </c>
      <c r="D44" s="5" t="s">
        <v>194</v>
      </c>
      <c r="E44" s="5" t="s">
        <v>195</v>
      </c>
      <c r="F44" s="5" t="s">
        <v>196</v>
      </c>
      <c r="G44" s="5">
        <v>6</v>
      </c>
      <c r="H44" s="5">
        <v>1705</v>
      </c>
      <c r="I44" s="5">
        <v>25</v>
      </c>
      <c r="J44" s="5">
        <f t="shared" si="0"/>
        <v>1680</v>
      </c>
      <c r="K44" s="5" t="s">
        <v>184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197</v>
      </c>
      <c r="D45" s="5"/>
      <c r="E45" s="5" t="s">
        <v>198</v>
      </c>
      <c r="F45" s="5" t="s">
        <v>199</v>
      </c>
      <c r="G45" s="5">
        <v>6</v>
      </c>
      <c r="H45" s="5">
        <v>2050</v>
      </c>
      <c r="I45" s="5">
        <v>30</v>
      </c>
      <c r="J45" s="5">
        <f t="shared" si="0"/>
        <v>2020</v>
      </c>
      <c r="K45" s="5" t="s">
        <v>184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200</v>
      </c>
      <c r="D46" s="5" t="s">
        <v>201</v>
      </c>
      <c r="E46" s="5">
        <v>76</v>
      </c>
      <c r="F46" s="5" t="s">
        <v>202</v>
      </c>
      <c r="G46" s="5">
        <v>7</v>
      </c>
      <c r="H46" s="5">
        <v>820</v>
      </c>
      <c r="I46" s="5">
        <v>30</v>
      </c>
      <c r="J46" s="5">
        <f t="shared" si="0"/>
        <v>790</v>
      </c>
      <c r="K46" s="5" t="s">
        <v>184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203</v>
      </c>
      <c r="D47" s="5" t="s">
        <v>204</v>
      </c>
      <c r="E47" s="5" t="s">
        <v>205</v>
      </c>
      <c r="F47" s="5" t="s">
        <v>206</v>
      </c>
      <c r="G47" s="5">
        <v>7</v>
      </c>
      <c r="H47" s="5">
        <v>0</v>
      </c>
      <c r="I47" s="5">
        <v>30</v>
      </c>
      <c r="J47" s="5">
        <f t="shared" si="0"/>
        <v>-30</v>
      </c>
      <c r="K47" s="5" t="s">
        <v>184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207</v>
      </c>
      <c r="D48" s="5" t="s">
        <v>208</v>
      </c>
      <c r="E48" s="5">
        <v>19</v>
      </c>
      <c r="F48" s="5" t="s">
        <v>209</v>
      </c>
      <c r="G48" s="5">
        <v>7</v>
      </c>
      <c r="H48" s="5">
        <v>820</v>
      </c>
      <c r="I48" s="5">
        <v>30</v>
      </c>
      <c r="J48" s="5">
        <f t="shared" si="0"/>
        <v>790</v>
      </c>
      <c r="K48" s="5" t="s">
        <v>184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210</v>
      </c>
      <c r="D49" s="5" t="s">
        <v>211</v>
      </c>
      <c r="E49" s="5">
        <v>813</v>
      </c>
      <c r="F49" s="5" t="s">
        <v>212</v>
      </c>
      <c r="G49" s="5">
        <v>7</v>
      </c>
      <c r="H49" s="5">
        <v>810</v>
      </c>
      <c r="I49" s="5">
        <v>30</v>
      </c>
      <c r="J49" s="5">
        <f t="shared" si="0"/>
        <v>780</v>
      </c>
      <c r="K49" s="5" t="s">
        <v>184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213</v>
      </c>
      <c r="D50" s="5" t="s">
        <v>214</v>
      </c>
      <c r="E50" s="5">
        <v>21</v>
      </c>
      <c r="F50" s="5" t="s">
        <v>215</v>
      </c>
      <c r="G50" s="5">
        <v>8</v>
      </c>
      <c r="H50" s="5">
        <v>0</v>
      </c>
      <c r="I50" s="5">
        <v>30</v>
      </c>
      <c r="J50" s="5">
        <f t="shared" si="0"/>
        <v>-30</v>
      </c>
      <c r="K50" s="5" t="s">
        <v>184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216</v>
      </c>
      <c r="D51" s="5" t="s">
        <v>217</v>
      </c>
      <c r="E51" s="5">
        <v>1002</v>
      </c>
      <c r="F51" s="5" t="s">
        <v>218</v>
      </c>
      <c r="G51" s="5">
        <v>8</v>
      </c>
      <c r="H51" s="5">
        <v>700</v>
      </c>
      <c r="I51" s="5">
        <v>30</v>
      </c>
      <c r="J51" s="5">
        <f t="shared" si="0"/>
        <v>670</v>
      </c>
      <c r="K51" s="5" t="s">
        <v>184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219</v>
      </c>
      <c r="D52" s="5" t="s">
        <v>220</v>
      </c>
      <c r="E52" s="5">
        <v>30</v>
      </c>
      <c r="F52" s="5" t="s">
        <v>221</v>
      </c>
      <c r="G52" s="5">
        <v>8</v>
      </c>
      <c r="H52" s="5">
        <v>695</v>
      </c>
      <c r="I52" s="5">
        <v>25</v>
      </c>
      <c r="J52" s="5">
        <f t="shared" si="0"/>
        <v>670</v>
      </c>
      <c r="K52" s="5" t="s">
        <v>184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222</v>
      </c>
      <c r="D53" s="5" t="s">
        <v>223</v>
      </c>
      <c r="E53" s="5"/>
      <c r="F53" s="5" t="s">
        <v>224</v>
      </c>
      <c r="G53" s="5">
        <v>9</v>
      </c>
      <c r="H53" s="5">
        <v>0</v>
      </c>
      <c r="I53" s="5">
        <v>30</v>
      </c>
      <c r="J53" s="5">
        <f t="shared" si="0"/>
        <v>-30</v>
      </c>
      <c r="K53" s="5" t="s">
        <v>184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225</v>
      </c>
      <c r="D54" s="5" t="s">
        <v>226</v>
      </c>
      <c r="E54" s="5">
        <v>910</v>
      </c>
      <c r="F54" s="5" t="s">
        <v>227</v>
      </c>
      <c r="G54" s="5">
        <v>11</v>
      </c>
      <c r="H54" s="5">
        <v>695</v>
      </c>
      <c r="I54" s="5">
        <v>25</v>
      </c>
      <c r="J54" s="5">
        <f t="shared" si="0"/>
        <v>670</v>
      </c>
      <c r="K54" s="5" t="s">
        <v>184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228</v>
      </c>
      <c r="D55" s="5" t="s">
        <v>229</v>
      </c>
      <c r="E55" s="5" t="s">
        <v>230</v>
      </c>
      <c r="F55" s="5" t="s">
        <v>231</v>
      </c>
      <c r="G55" s="5">
        <v>12</v>
      </c>
      <c r="H55" s="5">
        <v>786</v>
      </c>
      <c r="I55" s="5">
        <v>30</v>
      </c>
      <c r="J55" s="5">
        <f t="shared" si="0"/>
        <v>756</v>
      </c>
      <c r="K55" s="5" t="s">
        <v>184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232</v>
      </c>
      <c r="D56" s="5" t="s">
        <v>233</v>
      </c>
      <c r="E56" s="5">
        <v>375</v>
      </c>
      <c r="F56" s="5" t="s">
        <v>234</v>
      </c>
      <c r="G56" s="5">
        <v>12</v>
      </c>
      <c r="H56" s="5">
        <v>0</v>
      </c>
      <c r="I56" s="5">
        <v>30</v>
      </c>
      <c r="J56" s="5">
        <f t="shared" si="0"/>
        <v>-30</v>
      </c>
      <c r="K56" s="5" t="s">
        <v>184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235</v>
      </c>
      <c r="D57" s="5" t="s">
        <v>236</v>
      </c>
      <c r="E57" s="5">
        <v>67</v>
      </c>
      <c r="F57" s="5" t="s">
        <v>237</v>
      </c>
      <c r="G57" s="5" t="s">
        <v>238</v>
      </c>
      <c r="H57" s="5">
        <v>825</v>
      </c>
      <c r="I57" s="5">
        <v>35</v>
      </c>
      <c r="J57" s="5">
        <f t="shared" si="0"/>
        <v>790</v>
      </c>
      <c r="K57" s="5" t="s">
        <v>184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239</v>
      </c>
      <c r="D58" s="5" t="s">
        <v>240</v>
      </c>
      <c r="E58" s="5" t="s">
        <v>241</v>
      </c>
      <c r="F58" s="5" t="s">
        <v>242</v>
      </c>
      <c r="G58" s="5" t="s">
        <v>238</v>
      </c>
      <c r="H58" s="5">
        <v>705</v>
      </c>
      <c r="I58" s="5">
        <v>35</v>
      </c>
      <c r="J58" s="5">
        <f t="shared" si="0"/>
        <v>670</v>
      </c>
      <c r="K58" s="5" t="s">
        <v>184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243</v>
      </c>
      <c r="D59" s="5" t="s">
        <v>244</v>
      </c>
      <c r="E59" s="5">
        <v>321</v>
      </c>
      <c r="F59" s="5" t="s">
        <v>245</v>
      </c>
      <c r="G59" s="5" t="s">
        <v>246</v>
      </c>
      <c r="H59" s="5">
        <v>810</v>
      </c>
      <c r="I59" s="5">
        <v>30</v>
      </c>
      <c r="J59" s="5">
        <f t="shared" si="0"/>
        <v>780</v>
      </c>
      <c r="K59" s="5" t="s">
        <v>184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247</v>
      </c>
      <c r="D60" s="5" t="s">
        <v>248</v>
      </c>
      <c r="E60" s="5">
        <v>27</v>
      </c>
      <c r="F60" s="5" t="s">
        <v>249</v>
      </c>
      <c r="G60" s="5" t="s">
        <v>246</v>
      </c>
      <c r="H60" s="5">
        <v>1230</v>
      </c>
      <c r="I60" s="5">
        <v>30</v>
      </c>
      <c r="J60" s="5">
        <f t="shared" si="0"/>
        <v>1200</v>
      </c>
      <c r="K60" s="5" t="s">
        <v>184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250</v>
      </c>
      <c r="D61" s="5" t="s">
        <v>251</v>
      </c>
      <c r="E61" s="5">
        <v>17</v>
      </c>
      <c r="F61" s="5" t="s">
        <v>252</v>
      </c>
      <c r="G61" s="5" t="s">
        <v>246</v>
      </c>
      <c r="H61" s="5">
        <v>0</v>
      </c>
      <c r="I61" s="5">
        <v>30</v>
      </c>
      <c r="J61" s="5">
        <f t="shared" si="0"/>
        <v>-30</v>
      </c>
      <c r="K61" s="5" t="s">
        <v>184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253</v>
      </c>
      <c r="D62" s="5" t="s">
        <v>254</v>
      </c>
      <c r="E62" s="5">
        <v>17</v>
      </c>
      <c r="F62" s="5" t="s">
        <v>252</v>
      </c>
      <c r="G62" s="5" t="s">
        <v>246</v>
      </c>
      <c r="H62" s="5">
        <v>700</v>
      </c>
      <c r="I62" s="5">
        <v>30</v>
      </c>
      <c r="J62" s="5">
        <f t="shared" si="0"/>
        <v>670</v>
      </c>
      <c r="K62" s="5" t="s">
        <v>184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255</v>
      </c>
      <c r="D63" s="5" t="s">
        <v>256</v>
      </c>
      <c r="E63" s="5">
        <v>2</v>
      </c>
      <c r="F63" s="5" t="s">
        <v>257</v>
      </c>
      <c r="G63" s="5" t="s">
        <v>246</v>
      </c>
      <c r="H63" s="5">
        <v>840</v>
      </c>
      <c r="I63" s="5">
        <v>30</v>
      </c>
      <c r="J63" s="5">
        <f t="shared" si="0"/>
        <v>810</v>
      </c>
      <c r="K63" s="5" t="s">
        <v>184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258</v>
      </c>
      <c r="D64" s="5" t="s">
        <v>259</v>
      </c>
      <c r="E64" s="5">
        <v>56</v>
      </c>
      <c r="F64" s="5" t="s">
        <v>260</v>
      </c>
      <c r="G64" s="5" t="s">
        <v>246</v>
      </c>
      <c r="H64" s="5">
        <v>0</v>
      </c>
      <c r="I64" s="5">
        <v>30</v>
      </c>
      <c r="J64" s="5">
        <f t="shared" si="0"/>
        <v>-30</v>
      </c>
      <c r="K64" s="5" t="s">
        <v>184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261</v>
      </c>
      <c r="D65" s="5" t="s">
        <v>262</v>
      </c>
      <c r="E65" s="5" t="s">
        <v>263</v>
      </c>
      <c r="F65" s="5" t="s">
        <v>264</v>
      </c>
      <c r="G65" s="5" t="s">
        <v>246</v>
      </c>
      <c r="H65" s="5">
        <v>870</v>
      </c>
      <c r="I65" s="5">
        <v>30</v>
      </c>
      <c r="J65" s="5">
        <f t="shared" ref="J65:J78" si="1">H65-I65</f>
        <v>840</v>
      </c>
      <c r="K65" s="5" t="s">
        <v>184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265</v>
      </c>
      <c r="D66" s="5" t="s">
        <v>266</v>
      </c>
      <c r="E66" s="5" t="s">
        <v>267</v>
      </c>
      <c r="F66" s="5" t="s">
        <v>268</v>
      </c>
      <c r="G66" s="5" t="s">
        <v>246</v>
      </c>
      <c r="H66" s="5">
        <v>410</v>
      </c>
      <c r="I66" s="5">
        <v>30</v>
      </c>
      <c r="J66" s="5">
        <f t="shared" si="1"/>
        <v>380</v>
      </c>
      <c r="K66" s="5" t="s">
        <v>184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269</v>
      </c>
      <c r="D67" s="5" t="s">
        <v>270</v>
      </c>
      <c r="E67" s="5" t="s">
        <v>271</v>
      </c>
      <c r="F67" s="5" t="s">
        <v>272</v>
      </c>
      <c r="G67" s="5" t="s">
        <v>246</v>
      </c>
      <c r="H67" s="5">
        <v>1570</v>
      </c>
      <c r="I67" s="5">
        <v>30</v>
      </c>
      <c r="J67" s="5">
        <f t="shared" si="1"/>
        <v>1540</v>
      </c>
      <c r="K67" s="5" t="s">
        <v>184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273</v>
      </c>
      <c r="D68" s="5" t="s">
        <v>274</v>
      </c>
      <c r="E68" s="5" t="s">
        <v>275</v>
      </c>
      <c r="F68" s="5" t="s">
        <v>276</v>
      </c>
      <c r="G68" s="5" t="s">
        <v>246</v>
      </c>
      <c r="H68" s="5">
        <v>0</v>
      </c>
      <c r="I68" s="5">
        <v>30</v>
      </c>
      <c r="J68" s="5">
        <f t="shared" si="1"/>
        <v>-30</v>
      </c>
      <c r="K68" s="5" t="s">
        <v>184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277</v>
      </c>
      <c r="D69" s="5" t="s">
        <v>278</v>
      </c>
      <c r="E69" s="5" t="s">
        <v>279</v>
      </c>
      <c r="F69" s="5" t="s">
        <v>280</v>
      </c>
      <c r="G69" s="5" t="s">
        <v>246</v>
      </c>
      <c r="H69" s="5">
        <v>0</v>
      </c>
      <c r="I69" s="5">
        <v>30</v>
      </c>
      <c r="J69" s="5">
        <f t="shared" si="1"/>
        <v>-30</v>
      </c>
      <c r="K69" s="5" t="s">
        <v>184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281</v>
      </c>
      <c r="D70" s="5" t="s">
        <v>282</v>
      </c>
      <c r="E70" s="5">
        <v>146</v>
      </c>
      <c r="F70" s="5" t="s">
        <v>283</v>
      </c>
      <c r="G70" s="5" t="s">
        <v>246</v>
      </c>
      <c r="H70" s="5">
        <v>410</v>
      </c>
      <c r="I70" s="5">
        <v>30</v>
      </c>
      <c r="J70" s="5">
        <f t="shared" si="1"/>
        <v>380</v>
      </c>
      <c r="K70" s="5" t="s">
        <v>184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284</v>
      </c>
      <c r="D71" s="5" t="s">
        <v>285</v>
      </c>
      <c r="E71" s="5">
        <v>178</v>
      </c>
      <c r="F71" s="5" t="s">
        <v>286</v>
      </c>
      <c r="G71" s="5" t="s">
        <v>287</v>
      </c>
      <c r="H71" s="5">
        <v>705</v>
      </c>
      <c r="I71" s="5">
        <v>35</v>
      </c>
      <c r="J71" s="5">
        <f t="shared" si="1"/>
        <v>670</v>
      </c>
      <c r="K71" s="5" t="s">
        <v>184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288</v>
      </c>
      <c r="D72" s="5" t="s">
        <v>289</v>
      </c>
      <c r="E72" s="5" t="s">
        <v>290</v>
      </c>
      <c r="F72" s="5" t="s">
        <v>291</v>
      </c>
      <c r="G72" s="5" t="s">
        <v>292</v>
      </c>
      <c r="H72" s="5">
        <v>695</v>
      </c>
      <c r="I72" s="5">
        <v>25</v>
      </c>
      <c r="J72" s="5">
        <f t="shared" si="1"/>
        <v>670</v>
      </c>
      <c r="K72" s="5" t="s">
        <v>184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293</v>
      </c>
      <c r="D73" s="5" t="s">
        <v>294</v>
      </c>
      <c r="E73" s="5" t="s">
        <v>295</v>
      </c>
      <c r="F73" s="5" t="s">
        <v>296</v>
      </c>
      <c r="G73" s="5" t="s">
        <v>292</v>
      </c>
      <c r="H73" s="5">
        <v>965</v>
      </c>
      <c r="I73" s="5">
        <v>25</v>
      </c>
      <c r="J73" s="5">
        <f t="shared" si="1"/>
        <v>940</v>
      </c>
      <c r="K73" s="5" t="s">
        <v>184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297</v>
      </c>
      <c r="D74" s="5" t="s">
        <v>298</v>
      </c>
      <c r="E74" s="5">
        <v>29</v>
      </c>
      <c r="F74" s="5" t="s">
        <v>299</v>
      </c>
      <c r="G74" s="5" t="s">
        <v>292</v>
      </c>
      <c r="H74" s="5">
        <v>715</v>
      </c>
      <c r="I74" s="5">
        <v>25</v>
      </c>
      <c r="J74" s="5">
        <f t="shared" si="1"/>
        <v>690</v>
      </c>
      <c r="K74" s="5" t="s">
        <v>184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300</v>
      </c>
      <c r="D75" s="5" t="s">
        <v>301</v>
      </c>
      <c r="E75" s="5" t="s">
        <v>302</v>
      </c>
      <c r="F75" s="5" t="s">
        <v>303</v>
      </c>
      <c r="G75" s="5" t="s">
        <v>292</v>
      </c>
      <c r="H75" s="5">
        <v>765</v>
      </c>
      <c r="I75" s="5">
        <v>25</v>
      </c>
      <c r="J75" s="5">
        <f t="shared" si="1"/>
        <v>740</v>
      </c>
      <c r="K75" s="5" t="s">
        <v>184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304</v>
      </c>
      <c r="D76" s="5" t="s">
        <v>305</v>
      </c>
      <c r="E76" s="5" t="s">
        <v>306</v>
      </c>
      <c r="F76" s="5" t="s">
        <v>307</v>
      </c>
      <c r="G76" s="5" t="s">
        <v>292</v>
      </c>
      <c r="H76" s="5">
        <v>695</v>
      </c>
      <c r="I76" s="5">
        <v>25</v>
      </c>
      <c r="J76" s="5">
        <f t="shared" si="1"/>
        <v>670</v>
      </c>
      <c r="K76" s="5" t="s">
        <v>184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308</v>
      </c>
      <c r="D77" s="5" t="s">
        <v>309</v>
      </c>
      <c r="E77" s="5" t="s">
        <v>310</v>
      </c>
      <c r="F77" s="5" t="s">
        <v>311</v>
      </c>
      <c r="G77" s="5" t="s">
        <v>292</v>
      </c>
      <c r="H77" s="5">
        <v>695</v>
      </c>
      <c r="I77" s="5">
        <v>25</v>
      </c>
      <c r="J77" s="5">
        <f t="shared" si="1"/>
        <v>670</v>
      </c>
      <c r="K77" s="5" t="s">
        <v>184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312</v>
      </c>
      <c r="D78" s="5" t="s">
        <v>313</v>
      </c>
      <c r="E78" s="5" t="s">
        <v>314</v>
      </c>
      <c r="F78" s="5" t="s">
        <v>315</v>
      </c>
      <c r="G78" s="5" t="s">
        <v>292</v>
      </c>
      <c r="H78" s="5">
        <v>865</v>
      </c>
      <c r="I78" s="5">
        <v>25</v>
      </c>
      <c r="J78" s="5">
        <f t="shared" si="1"/>
        <v>840</v>
      </c>
      <c r="K78" s="5" t="s">
        <v>184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>SUM(H3:H79)</f>
        <v>49364</v>
      </c>
      <c r="I80">
        <f t="shared" ref="I80:S80" si="2">SUM(I3:I79)</f>
        <v>2050</v>
      </c>
      <c r="J80">
        <f t="shared" si="2"/>
        <v>47314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76</v>
      </c>
      <c r="S80">
        <f t="shared" si="2"/>
        <v>480</v>
      </c>
    </row>
    <row r="81" spans="1:13" x14ac:dyDescent="0.25">
      <c r="J81">
        <v>-1460</v>
      </c>
      <c r="K81" t="s">
        <v>328</v>
      </c>
    </row>
    <row r="82" spans="1:13" x14ac:dyDescent="0.25">
      <c r="J82">
        <v>-100</v>
      </c>
      <c r="K82" t="s">
        <v>329</v>
      </c>
    </row>
    <row r="84" spans="1:13" ht="20.25" customHeight="1" x14ac:dyDescent="0.3">
      <c r="I84" s="7" t="s">
        <v>326</v>
      </c>
      <c r="J84" s="8" t="s">
        <v>316</v>
      </c>
      <c r="K84" s="9" t="s">
        <v>317</v>
      </c>
    </row>
    <row r="85" spans="1:13" ht="15.75" x14ac:dyDescent="0.25">
      <c r="I85" s="10" t="s">
        <v>318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319</v>
      </c>
      <c r="J86" s="13">
        <f>S79</f>
        <v>0</v>
      </c>
      <c r="K86" s="14"/>
    </row>
    <row r="87" spans="1:13" x14ac:dyDescent="0.25">
      <c r="I87" s="12" t="s">
        <v>320</v>
      </c>
      <c r="J87" s="13">
        <f>T79</f>
        <v>0</v>
      </c>
      <c r="K87" s="14"/>
    </row>
    <row r="88" spans="1:13" x14ac:dyDescent="0.25">
      <c r="I88" s="12" t="s">
        <v>321</v>
      </c>
      <c r="J88" s="13">
        <f>U79</f>
        <v>0</v>
      </c>
      <c r="K88" s="14"/>
    </row>
    <row r="89" spans="1:13" x14ac:dyDescent="0.25">
      <c r="I89" s="12" t="s">
        <v>322</v>
      </c>
      <c r="J89" s="13">
        <f>V79</f>
        <v>0</v>
      </c>
      <c r="K89" s="14"/>
    </row>
    <row r="90" spans="1:13" ht="15.75" x14ac:dyDescent="0.25">
      <c r="I90" s="15" t="s">
        <v>323</v>
      </c>
      <c r="J90" s="16"/>
      <c r="K90" s="16"/>
    </row>
    <row r="91" spans="1:13" ht="15.75" x14ac:dyDescent="0.25">
      <c r="I91" s="17" t="s">
        <v>324</v>
      </c>
      <c r="J91" s="16"/>
      <c r="K91" s="16"/>
    </row>
    <row r="92" spans="1:13" ht="21" x14ac:dyDescent="0.35">
      <c r="I92" s="18" t="s">
        <v>325</v>
      </c>
      <c r="J92" s="19">
        <f>SUM(J85:J91)</f>
        <v>45754</v>
      </c>
      <c r="K92" s="19">
        <f>SUM(K85:K89)</f>
        <v>76</v>
      </c>
    </row>
    <row r="94" spans="1:13" x14ac:dyDescent="0.25">
      <c r="A94" t="s">
        <v>327</v>
      </c>
    </row>
    <row r="95" spans="1:13" s="4" customFormat="1" x14ac:dyDescent="0.25">
      <c r="A95" s="2" t="s">
        <v>19</v>
      </c>
      <c r="B95" s="2" t="s">
        <v>100</v>
      </c>
      <c r="C95" s="2" t="s">
        <v>101</v>
      </c>
      <c r="D95" s="2" t="s">
        <v>102</v>
      </c>
      <c r="E95" s="2" t="s">
        <v>103</v>
      </c>
      <c r="F95" s="2" t="s">
        <v>104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105</v>
      </c>
    </row>
    <row r="96" spans="1:13" s="4" customFormat="1" x14ac:dyDescent="0.25">
      <c r="A96" s="2" t="s">
        <v>19</v>
      </c>
      <c r="B96" s="2" t="s">
        <v>141</v>
      </c>
      <c r="C96" s="2" t="s">
        <v>142</v>
      </c>
      <c r="D96" s="2" t="s">
        <v>143</v>
      </c>
      <c r="E96" s="2" t="s">
        <v>140</v>
      </c>
      <c r="F96" s="2">
        <v>10</v>
      </c>
      <c r="G96" s="2">
        <v>915</v>
      </c>
      <c r="H96" s="2">
        <v>0</v>
      </c>
      <c r="I96" s="2">
        <f t="shared" ref="I96:I98" si="3">G96-H96</f>
        <v>915</v>
      </c>
      <c r="J96" s="2" t="s">
        <v>131</v>
      </c>
      <c r="K96" s="2" t="s">
        <v>25</v>
      </c>
      <c r="L96" s="2" t="s">
        <v>26</v>
      </c>
      <c r="M96" s="3" t="s">
        <v>144</v>
      </c>
    </row>
    <row r="97" spans="1:13" s="4" customFormat="1" x14ac:dyDescent="0.25">
      <c r="A97" s="2" t="s">
        <v>19</v>
      </c>
      <c r="B97" s="2" t="s">
        <v>180</v>
      </c>
      <c r="C97" s="2" t="s">
        <v>181</v>
      </c>
      <c r="D97" s="2" t="s">
        <v>182</v>
      </c>
      <c r="E97" s="2" t="s">
        <v>183</v>
      </c>
      <c r="F97" s="2">
        <v>6</v>
      </c>
      <c r="G97" s="2">
        <v>695</v>
      </c>
      <c r="H97" s="2">
        <v>0</v>
      </c>
      <c r="I97" s="2">
        <f t="shared" si="3"/>
        <v>695</v>
      </c>
      <c r="J97" s="2" t="s">
        <v>184</v>
      </c>
      <c r="K97" s="2" t="s">
        <v>25</v>
      </c>
      <c r="L97" s="2" t="s">
        <v>26</v>
      </c>
      <c r="M97" s="3" t="s">
        <v>105</v>
      </c>
    </row>
    <row r="98" spans="1:13" s="4" customFormat="1" x14ac:dyDescent="0.25">
      <c r="A98" s="2" t="s">
        <v>19</v>
      </c>
      <c r="B98" s="2" t="s">
        <v>188</v>
      </c>
      <c r="C98" s="2" t="s">
        <v>189</v>
      </c>
      <c r="D98" s="2" t="s">
        <v>190</v>
      </c>
      <c r="E98" s="2" t="s">
        <v>191</v>
      </c>
      <c r="F98" s="2">
        <v>6</v>
      </c>
      <c r="G98" s="2">
        <v>400</v>
      </c>
      <c r="H98" s="2">
        <v>0</v>
      </c>
      <c r="I98" s="2">
        <f t="shared" si="3"/>
        <v>400</v>
      </c>
      <c r="J98" s="2" t="s">
        <v>184</v>
      </c>
      <c r="K98" s="2" t="s">
        <v>25</v>
      </c>
      <c r="L98" s="2" t="s">
        <v>26</v>
      </c>
      <c r="M98" s="3" t="s">
        <v>192</v>
      </c>
    </row>
    <row r="100" spans="1:13" x14ac:dyDescent="0.25">
      <c r="A100" s="4" t="s">
        <v>329</v>
      </c>
    </row>
    <row r="101" spans="1:13" x14ac:dyDescent="0.25">
      <c r="A101" s="2" t="s">
        <v>19</v>
      </c>
      <c r="B101" s="2" t="s">
        <v>31</v>
      </c>
      <c r="C101" s="2" t="s">
        <v>32</v>
      </c>
      <c r="D101" s="2" t="s">
        <v>33</v>
      </c>
      <c r="E101" s="2" t="s">
        <v>34</v>
      </c>
      <c r="F101" s="2">
        <v>7</v>
      </c>
      <c r="G101" s="2">
        <v>100</v>
      </c>
      <c r="H101" s="2">
        <v>0</v>
      </c>
      <c r="I101" s="2">
        <f t="shared" ref="I101" si="4">G101-H101</f>
        <v>100</v>
      </c>
      <c r="J101" s="2" t="s">
        <v>24</v>
      </c>
      <c r="K101" s="2" t="s">
        <v>25</v>
      </c>
      <c r="L101" s="2" t="s">
        <v>30</v>
      </c>
      <c r="M101" s="3" t="s">
        <v>35</v>
      </c>
    </row>
  </sheetData>
  <autoFilter ref="A2:Q78" xr:uid="{21B84F5A-8508-476B-83FC-091AE3525E9E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21" workbookViewId="0">
      <selection activeCell="A21" sqref="A21:XFD21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131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131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131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137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131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131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131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131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131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104</v>
      </c>
      <c r="H11" s="5">
        <v>845</v>
      </c>
      <c r="I11" s="5">
        <v>25</v>
      </c>
      <c r="J11" s="5">
        <f t="shared" si="0"/>
        <v>820</v>
      </c>
      <c r="K11" s="5" t="s">
        <v>131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104</v>
      </c>
      <c r="H12" s="5">
        <v>1045</v>
      </c>
      <c r="I12" s="5">
        <v>25</v>
      </c>
      <c r="J12" s="5">
        <f t="shared" si="0"/>
        <v>1020</v>
      </c>
      <c r="K12" s="5" t="s">
        <v>131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104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104</v>
      </c>
      <c r="H14" s="5">
        <v>945</v>
      </c>
      <c r="I14" s="5">
        <v>25</v>
      </c>
      <c r="J14" s="5">
        <f t="shared" si="0"/>
        <v>920</v>
      </c>
      <c r="K14" s="5" t="s">
        <v>131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104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238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246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246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246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246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246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246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287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292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292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292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312</v>
      </c>
      <c r="D38" s="5" t="s">
        <v>455</v>
      </c>
      <c r="E38" s="5" t="s">
        <v>314</v>
      </c>
      <c r="F38" s="5" t="s">
        <v>315</v>
      </c>
      <c r="G38" s="5" t="s">
        <v>292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292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64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64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76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76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97</v>
      </c>
      <c r="B46" s="5" t="s">
        <v>19</v>
      </c>
      <c r="C46" s="5" t="s">
        <v>482</v>
      </c>
      <c r="D46" s="5"/>
      <c r="E46" s="5" t="s">
        <v>483</v>
      </c>
      <c r="F46" s="5" t="s">
        <v>99</v>
      </c>
      <c r="G46" s="5" t="s">
        <v>76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121</v>
      </c>
      <c r="G47" s="5" t="s">
        <v>109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>SUBTOTAL(9,H3:H48)</f>
        <v>30780</v>
      </c>
      <c r="I49">
        <f t="shared" ref="I49:S49" si="1">SUBTOTAL(9,I3:I48)</f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316</v>
      </c>
      <c r="K53" s="9" t="s">
        <v>317</v>
      </c>
    </row>
    <row r="54" spans="1:19" ht="15.75" x14ac:dyDescent="0.25">
      <c r="I54" s="10" t="s">
        <v>318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319</v>
      </c>
      <c r="J55" s="13">
        <f>S48</f>
        <v>0</v>
      </c>
      <c r="K55" s="14"/>
    </row>
    <row r="56" spans="1:19" x14ac:dyDescent="0.25">
      <c r="I56" s="12" t="s">
        <v>320</v>
      </c>
      <c r="J56" s="13">
        <f>T48</f>
        <v>0</v>
      </c>
      <c r="K56" s="14"/>
    </row>
    <row r="57" spans="1:19" x14ac:dyDescent="0.25">
      <c r="I57" s="12" t="s">
        <v>321</v>
      </c>
      <c r="J57" s="13">
        <f>U48</f>
        <v>0</v>
      </c>
      <c r="K57" s="14"/>
    </row>
    <row r="58" spans="1:19" x14ac:dyDescent="0.25">
      <c r="I58" s="12" t="s">
        <v>322</v>
      </c>
      <c r="J58" s="13">
        <f>V48</f>
        <v>0</v>
      </c>
      <c r="K58" s="14"/>
    </row>
    <row r="59" spans="1:19" ht="15.75" x14ac:dyDescent="0.25">
      <c r="I59" s="15" t="s">
        <v>323</v>
      </c>
      <c r="J59" s="16"/>
      <c r="K59" s="16"/>
    </row>
    <row r="60" spans="1:19" ht="15.75" x14ac:dyDescent="0.25">
      <c r="I60" s="17" t="s">
        <v>324</v>
      </c>
      <c r="J60" s="16"/>
      <c r="K60" s="16"/>
    </row>
    <row r="61" spans="1:19" ht="21" x14ac:dyDescent="0.35">
      <c r="I61" s="18" t="s">
        <v>325</v>
      </c>
      <c r="J61" s="19">
        <f>SUM(J54:J60)</f>
        <v>29560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246</v>
      </c>
      <c r="G63" s="2">
        <v>470</v>
      </c>
      <c r="H63" s="2">
        <v>0</v>
      </c>
      <c r="I63" s="2">
        <f t="shared" ref="I63" si="2"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69DCD748-5697-4B88-A98D-03D4890B00B5}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46" workbookViewId="0">
      <selection activeCell="A47" sqref="A47:XFD47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131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131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131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131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131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131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75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41</v>
      </c>
      <c r="F14" s="5" t="s">
        <v>42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54</v>
      </c>
      <c r="D16" s="5" t="s">
        <v>534</v>
      </c>
      <c r="E16" s="5" t="s">
        <v>56</v>
      </c>
      <c r="F16" s="5" t="s">
        <v>53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64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64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64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71</v>
      </c>
      <c r="G20" s="5" t="s">
        <v>64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76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109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126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185</v>
      </c>
      <c r="D25" s="5"/>
      <c r="E25" s="5" t="s">
        <v>561</v>
      </c>
      <c r="F25" s="5" t="s">
        <v>187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59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222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234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246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292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292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292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292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292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>SUBTOTAL(9,H3:H48)</f>
        <v>27920</v>
      </c>
      <c r="I49">
        <f t="shared" ref="I49:T49" si="1">SUBTOTAL(9,I3:I48)</f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316</v>
      </c>
      <c r="K53" s="9" t="s">
        <v>317</v>
      </c>
    </row>
    <row r="54" spans="1:20" ht="15.75" x14ac:dyDescent="0.25">
      <c r="I54" s="10" t="s">
        <v>318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319</v>
      </c>
      <c r="J55" s="13">
        <f>S48</f>
        <v>0</v>
      </c>
      <c r="K55" s="14"/>
    </row>
    <row r="56" spans="1:20" x14ac:dyDescent="0.25">
      <c r="I56" s="12" t="s">
        <v>320</v>
      </c>
      <c r="J56" s="13">
        <f>T48</f>
        <v>0</v>
      </c>
      <c r="K56" s="14"/>
    </row>
    <row r="57" spans="1:20" x14ac:dyDescent="0.25">
      <c r="I57" s="12" t="s">
        <v>321</v>
      </c>
      <c r="J57" s="13">
        <f>U48</f>
        <v>0</v>
      </c>
      <c r="K57" s="14"/>
    </row>
    <row r="58" spans="1:20" x14ac:dyDescent="0.25">
      <c r="I58" s="12" t="s">
        <v>322</v>
      </c>
      <c r="J58" s="13">
        <f>V48</f>
        <v>0</v>
      </c>
      <c r="K58" s="14"/>
    </row>
    <row r="59" spans="1:20" ht="15.75" x14ac:dyDescent="0.25">
      <c r="I59" s="15" t="s">
        <v>323</v>
      </c>
      <c r="J59" s="16"/>
      <c r="K59" s="16"/>
    </row>
    <row r="60" spans="1:20" ht="15.75" x14ac:dyDescent="0.25">
      <c r="I60" s="17" t="s">
        <v>324</v>
      </c>
      <c r="J60" s="16"/>
      <c r="K60" s="16"/>
    </row>
    <row r="61" spans="1:20" ht="21" x14ac:dyDescent="0.35">
      <c r="I61" s="18" t="s">
        <v>325</v>
      </c>
      <c r="J61" s="19">
        <f>SUM(J54:J60)</f>
        <v>26705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 t="shared" ref="I63" si="2"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AA4595A8-3090-4150-911A-01E2887808DB}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8" workbookViewId="0">
      <selection activeCell="A40" sqref="A40:XFD48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643</v>
      </c>
      <c r="D3" s="5" t="s">
        <v>644</v>
      </c>
      <c r="E3" s="5">
        <v>101</v>
      </c>
      <c r="F3" s="5" t="s">
        <v>645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131</v>
      </c>
      <c r="L3" s="5" t="s">
        <v>25</v>
      </c>
      <c r="M3" s="5" t="s">
        <v>646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647</v>
      </c>
      <c r="D4" s="5" t="s">
        <v>648</v>
      </c>
      <c r="E4" s="5">
        <v>263</v>
      </c>
      <c r="F4" s="5" t="s">
        <v>649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131</v>
      </c>
      <c r="L4" s="5" t="s">
        <v>25</v>
      </c>
      <c r="M4" s="5" t="s">
        <v>646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650</v>
      </c>
      <c r="D5" s="5" t="s">
        <v>651</v>
      </c>
      <c r="E5" s="5" t="s">
        <v>652</v>
      </c>
      <c r="F5" s="5" t="s">
        <v>653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131</v>
      </c>
      <c r="L5" s="5" t="s">
        <v>25</v>
      </c>
      <c r="M5" s="5" t="s">
        <v>646</v>
      </c>
      <c r="N5" s="6" t="s">
        <v>654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655</v>
      </c>
      <c r="D6" s="5" t="s">
        <v>656</v>
      </c>
      <c r="E6" s="5" t="s">
        <v>657</v>
      </c>
      <c r="F6" s="5" t="s">
        <v>169</v>
      </c>
      <c r="G6" s="5" t="s">
        <v>76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646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658</v>
      </c>
      <c r="D7" s="5" t="s">
        <v>659</v>
      </c>
      <c r="E7" s="5" t="s">
        <v>660</v>
      </c>
      <c r="F7" s="5" t="s">
        <v>661</v>
      </c>
      <c r="G7" s="5" t="s">
        <v>157</v>
      </c>
      <c r="H7" s="5">
        <v>1060</v>
      </c>
      <c r="I7" s="5">
        <v>20</v>
      </c>
      <c r="J7" s="5">
        <f t="shared" si="0"/>
        <v>1040</v>
      </c>
      <c r="K7" s="5" t="s">
        <v>131</v>
      </c>
      <c r="L7" s="5" t="s">
        <v>25</v>
      </c>
      <c r="M7" s="5" t="s">
        <v>646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662</v>
      </c>
      <c r="D8" s="5" t="s">
        <v>663</v>
      </c>
      <c r="E8" s="5" t="s">
        <v>664</v>
      </c>
      <c r="F8" s="5" t="s">
        <v>103</v>
      </c>
      <c r="G8" s="5" t="s">
        <v>104</v>
      </c>
      <c r="H8" s="5">
        <v>1065</v>
      </c>
      <c r="I8" s="5">
        <v>25</v>
      </c>
      <c r="J8" s="5">
        <f t="shared" si="0"/>
        <v>1040</v>
      </c>
      <c r="K8" s="5" t="s">
        <v>131</v>
      </c>
      <c r="L8" s="5" t="s">
        <v>25</v>
      </c>
      <c r="M8" s="5" t="s">
        <v>646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665</v>
      </c>
      <c r="D9" s="5" t="s">
        <v>666</v>
      </c>
      <c r="E9" s="5">
        <v>19</v>
      </c>
      <c r="F9" s="5" t="s">
        <v>179</v>
      </c>
      <c r="G9" s="5" t="s">
        <v>104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646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667</v>
      </c>
      <c r="D10" s="5"/>
      <c r="E10" s="5" t="s">
        <v>668</v>
      </c>
      <c r="F10" s="5" t="s">
        <v>669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126</v>
      </c>
      <c r="L10" s="5" t="s">
        <v>25</v>
      </c>
      <c r="M10" s="5" t="s">
        <v>646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670</v>
      </c>
      <c r="D11" s="5"/>
      <c r="E11" s="5" t="s">
        <v>671</v>
      </c>
      <c r="F11" s="5" t="s">
        <v>672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126</v>
      </c>
      <c r="L11" s="5" t="s">
        <v>25</v>
      </c>
      <c r="M11" s="5" t="s">
        <v>646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673</v>
      </c>
      <c r="D12" s="5" t="s">
        <v>674</v>
      </c>
      <c r="E12" s="5">
        <v>1</v>
      </c>
      <c r="F12" s="5" t="s">
        <v>249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646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675</v>
      </c>
      <c r="D13" s="5" t="s">
        <v>676</v>
      </c>
      <c r="E13" s="5" t="s">
        <v>677</v>
      </c>
      <c r="F13" s="5" t="s">
        <v>678</v>
      </c>
      <c r="G13" s="5" t="s">
        <v>64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646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679</v>
      </c>
      <c r="D14" s="20" t="s">
        <v>680</v>
      </c>
      <c r="E14" s="20" t="s">
        <v>681</v>
      </c>
      <c r="F14" s="20" t="s">
        <v>672</v>
      </c>
      <c r="G14" s="20" t="s">
        <v>64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646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682</v>
      </c>
      <c r="D15" s="5" t="s">
        <v>683</v>
      </c>
      <c r="E15" s="5">
        <v>13</v>
      </c>
      <c r="F15" s="5" t="s">
        <v>684</v>
      </c>
      <c r="G15" s="5" t="s">
        <v>76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685</v>
      </c>
      <c r="D16" s="5" t="s">
        <v>686</v>
      </c>
      <c r="E16" s="5" t="s">
        <v>687</v>
      </c>
      <c r="F16" s="5" t="s">
        <v>688</v>
      </c>
      <c r="G16" s="5" t="s">
        <v>76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689</v>
      </c>
      <c r="D17" s="5" t="s">
        <v>690</v>
      </c>
      <c r="E17" s="5" t="s">
        <v>691</v>
      </c>
      <c r="F17" s="5" t="s">
        <v>692</v>
      </c>
      <c r="G17" s="5" t="s">
        <v>109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646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689</v>
      </c>
      <c r="D18" s="5" t="s">
        <v>693</v>
      </c>
      <c r="E18" s="5" t="s">
        <v>691</v>
      </c>
      <c r="F18" s="5" t="s">
        <v>692</v>
      </c>
      <c r="G18" s="5" t="s">
        <v>109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694</v>
      </c>
      <c r="D19" s="5" t="s">
        <v>695</v>
      </c>
      <c r="E19" s="5">
        <v>148</v>
      </c>
      <c r="F19" s="5" t="s">
        <v>641</v>
      </c>
      <c r="G19" s="5" t="s">
        <v>109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646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77</v>
      </c>
      <c r="D20" s="5" t="s">
        <v>696</v>
      </c>
      <c r="E20" s="5" t="s">
        <v>79</v>
      </c>
      <c r="F20" s="5" t="s">
        <v>80</v>
      </c>
      <c r="G20" s="5" t="s">
        <v>76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697</v>
      </c>
      <c r="D21" s="5" t="s">
        <v>698</v>
      </c>
      <c r="E21" s="5" t="s">
        <v>699</v>
      </c>
      <c r="F21" s="5" t="s">
        <v>481</v>
      </c>
      <c r="G21" s="5" t="s">
        <v>76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646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700</v>
      </c>
      <c r="D23" s="5" t="s">
        <v>701</v>
      </c>
      <c r="E23" s="5" t="s">
        <v>702</v>
      </c>
      <c r="F23" s="5" t="s">
        <v>703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704</v>
      </c>
      <c r="L23" s="5" t="s">
        <v>25</v>
      </c>
      <c r="M23" s="5" t="s">
        <v>646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705</v>
      </c>
      <c r="D24" s="5" t="s">
        <v>706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704</v>
      </c>
      <c r="L24" s="5" t="s">
        <v>25</v>
      </c>
      <c r="M24" s="5" t="s">
        <v>646</v>
      </c>
      <c r="N24" s="6" t="s">
        <v>707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708</v>
      </c>
      <c r="D25" s="5" t="s">
        <v>709</v>
      </c>
      <c r="E25" s="5" t="s">
        <v>33</v>
      </c>
      <c r="F25" s="5" t="s">
        <v>642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704</v>
      </c>
      <c r="L25" s="5" t="s">
        <v>25</v>
      </c>
      <c r="M25" s="5" t="s">
        <v>646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704</v>
      </c>
      <c r="L26" s="5" t="s">
        <v>25</v>
      </c>
      <c r="M26" s="5" t="s">
        <v>646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704</v>
      </c>
      <c r="L27" s="20" t="s">
        <v>25</v>
      </c>
      <c r="M27" s="20" t="s">
        <v>646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704</v>
      </c>
      <c r="L28" s="5" t="s">
        <v>25</v>
      </c>
      <c r="M28" s="5" t="s">
        <v>646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218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704</v>
      </c>
      <c r="L29" s="5" t="s">
        <v>25</v>
      </c>
      <c r="M29" s="5" t="s">
        <v>646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704</v>
      </c>
      <c r="L30" s="5" t="s">
        <v>25</v>
      </c>
      <c r="M30" s="5" t="s">
        <v>646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252</v>
      </c>
      <c r="G31" s="5" t="s">
        <v>246</v>
      </c>
      <c r="H31" s="5">
        <v>610</v>
      </c>
      <c r="I31" s="5">
        <v>30</v>
      </c>
      <c r="J31" s="5">
        <f t="shared" si="0"/>
        <v>580</v>
      </c>
      <c r="K31" s="5" t="s">
        <v>704</v>
      </c>
      <c r="L31" s="5" t="s">
        <v>25</v>
      </c>
      <c r="M31" s="5" t="s">
        <v>646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250</v>
      </c>
      <c r="D32" s="5" t="s">
        <v>726</v>
      </c>
      <c r="E32" s="5">
        <v>17</v>
      </c>
      <c r="F32" s="5" t="s">
        <v>252</v>
      </c>
      <c r="G32" s="5" t="s">
        <v>246</v>
      </c>
      <c r="H32" s="5">
        <v>0</v>
      </c>
      <c r="I32" s="5">
        <v>30</v>
      </c>
      <c r="J32" s="5">
        <f t="shared" si="0"/>
        <v>-30</v>
      </c>
      <c r="K32" s="5" t="s">
        <v>704</v>
      </c>
      <c r="L32" s="5" t="s">
        <v>25</v>
      </c>
      <c r="M32" s="5" t="s">
        <v>646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246</v>
      </c>
      <c r="H33" s="5">
        <v>590</v>
      </c>
      <c r="I33" s="5">
        <v>30</v>
      </c>
      <c r="J33" s="5">
        <f t="shared" si="0"/>
        <v>560</v>
      </c>
      <c r="K33" s="5" t="s">
        <v>704</v>
      </c>
      <c r="L33" s="5" t="s">
        <v>25</v>
      </c>
      <c r="M33" s="5" t="s">
        <v>646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104</v>
      </c>
      <c r="H34" s="5">
        <v>405</v>
      </c>
      <c r="I34" s="5">
        <v>25</v>
      </c>
      <c r="J34" s="5">
        <f t="shared" si="0"/>
        <v>380</v>
      </c>
      <c r="K34" s="5" t="s">
        <v>704</v>
      </c>
      <c r="L34" s="5" t="s">
        <v>25</v>
      </c>
      <c r="M34" s="5" t="s">
        <v>646</v>
      </c>
      <c r="N34" s="5"/>
      <c r="O34" s="5"/>
      <c r="P34" s="5"/>
      <c r="Q34" s="5"/>
      <c r="R34">
        <v>1</v>
      </c>
    </row>
    <row r="36" spans="1:20" x14ac:dyDescent="0.25">
      <c r="H36">
        <f>SUBTOTAL(9,H3:H35)</f>
        <v>14595</v>
      </c>
      <c r="I36">
        <f t="shared" ref="I36:T36" si="1">SUBTOTAL(9,I3:I35)</f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735</v>
      </c>
    </row>
    <row r="40" spans="1:20" ht="20.25" customHeight="1" x14ac:dyDescent="0.3">
      <c r="I40" s="7" t="s">
        <v>734</v>
      </c>
      <c r="J40" s="8" t="s">
        <v>316</v>
      </c>
      <c r="K40" s="9" t="s">
        <v>317</v>
      </c>
    </row>
    <row r="41" spans="1:20" ht="15.75" x14ac:dyDescent="0.25">
      <c r="I41" s="10" t="s">
        <v>318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319</v>
      </c>
      <c r="J42" s="13">
        <f>S35</f>
        <v>0</v>
      </c>
      <c r="K42" s="14"/>
    </row>
    <row r="43" spans="1:20" x14ac:dyDescent="0.25">
      <c r="I43" s="12" t="s">
        <v>320</v>
      </c>
      <c r="J43" s="13">
        <f>T35</f>
        <v>0</v>
      </c>
      <c r="K43" s="14"/>
    </row>
    <row r="44" spans="1:20" x14ac:dyDescent="0.25">
      <c r="I44" s="12" t="s">
        <v>321</v>
      </c>
      <c r="J44" s="13">
        <f>U35</f>
        <v>0</v>
      </c>
      <c r="K44" s="14"/>
    </row>
    <row r="45" spans="1:20" x14ac:dyDescent="0.25">
      <c r="I45" s="12" t="s">
        <v>322</v>
      </c>
      <c r="J45" s="13">
        <f>V35</f>
        <v>0</v>
      </c>
      <c r="K45" s="14"/>
    </row>
    <row r="46" spans="1:20" ht="15.75" x14ac:dyDescent="0.25">
      <c r="I46" s="15" t="s">
        <v>323</v>
      </c>
      <c r="J46" s="16"/>
      <c r="K46" s="16"/>
    </row>
    <row r="47" spans="1:20" ht="15.75" x14ac:dyDescent="0.25">
      <c r="I47" s="17" t="s">
        <v>324</v>
      </c>
      <c r="J47" s="16"/>
      <c r="K47" s="16"/>
    </row>
    <row r="48" spans="1:20" ht="21" x14ac:dyDescent="0.35">
      <c r="I48" s="18" t="s">
        <v>325</v>
      </c>
      <c r="J48" s="19">
        <f>SUM(J41:J47)</f>
        <v>8077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705</v>
      </c>
      <c r="C51" s="2" t="s">
        <v>706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 t="shared" ref="I51:I52" si="2">G51-H51</f>
        <v>880</v>
      </c>
      <c r="J51" s="2" t="s">
        <v>704</v>
      </c>
      <c r="K51" s="2" t="s">
        <v>25</v>
      </c>
      <c r="L51" s="2" t="s">
        <v>646</v>
      </c>
      <c r="M51" s="3" t="s">
        <v>707</v>
      </c>
    </row>
    <row r="52" spans="1:13" x14ac:dyDescent="0.25">
      <c r="A52" s="2" t="s">
        <v>19</v>
      </c>
      <c r="B52" s="2" t="s">
        <v>650</v>
      </c>
      <c r="C52" s="2" t="s">
        <v>651</v>
      </c>
      <c r="D52" s="2" t="s">
        <v>652</v>
      </c>
      <c r="E52" s="2" t="s">
        <v>653</v>
      </c>
      <c r="F52" s="2">
        <v>10</v>
      </c>
      <c r="G52" s="2">
        <v>1325</v>
      </c>
      <c r="H52" s="2">
        <v>0</v>
      </c>
      <c r="I52" s="2">
        <f t="shared" si="2"/>
        <v>1325</v>
      </c>
      <c r="J52" s="2" t="s">
        <v>131</v>
      </c>
      <c r="K52" s="2" t="s">
        <v>25</v>
      </c>
      <c r="L52" s="2" t="s">
        <v>646</v>
      </c>
      <c r="M52" s="3" t="s">
        <v>654</v>
      </c>
    </row>
  </sheetData>
  <autoFilter ref="A2:Q34" xr:uid="{B9996F87-B944-4E3C-929C-6C09C2DF80E3}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55" workbookViewId="0">
      <selection activeCell="A65" sqref="A65:XFD73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739</v>
      </c>
      <c r="D3" s="5" t="s">
        <v>740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131</v>
      </c>
      <c r="L3" s="5" t="s">
        <v>25</v>
      </c>
      <c r="M3" s="5" t="s">
        <v>741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742</v>
      </c>
      <c r="D4" s="5" t="s">
        <v>743</v>
      </c>
      <c r="E4" s="5">
        <v>78</v>
      </c>
      <c r="F4" s="5" t="s">
        <v>744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131</v>
      </c>
      <c r="L4" s="5" t="s">
        <v>25</v>
      </c>
      <c r="M4" s="5" t="s">
        <v>741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745</v>
      </c>
      <c r="D5" s="5" t="s">
        <v>746</v>
      </c>
      <c r="E5" s="5" t="s">
        <v>747</v>
      </c>
      <c r="F5" s="5" t="s">
        <v>748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131</v>
      </c>
      <c r="L5" s="5" t="s">
        <v>25</v>
      </c>
      <c r="M5" s="5" t="s">
        <v>741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749</v>
      </c>
      <c r="D6" s="5" t="s">
        <v>750</v>
      </c>
      <c r="E6" s="5">
        <v>485</v>
      </c>
      <c r="F6" s="5" t="s">
        <v>751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131</v>
      </c>
      <c r="L6" s="5" t="s">
        <v>25</v>
      </c>
      <c r="M6" s="5" t="s">
        <v>741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752</v>
      </c>
      <c r="D7" s="5" t="s">
        <v>753</v>
      </c>
      <c r="E7" s="5" t="s">
        <v>754</v>
      </c>
      <c r="F7" s="5" t="s">
        <v>755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131</v>
      </c>
      <c r="L7" s="5" t="s">
        <v>25</v>
      </c>
      <c r="M7" s="5" t="s">
        <v>741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756</v>
      </c>
      <c r="D8" s="5" t="s">
        <v>757</v>
      </c>
      <c r="E8" s="5">
        <v>101</v>
      </c>
      <c r="F8" s="5" t="s">
        <v>758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741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/>
      <c r="D9" s="5"/>
      <c r="E9" s="5" t="s">
        <v>759</v>
      </c>
      <c r="F9" s="5" t="s">
        <v>760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131</v>
      </c>
      <c r="L9" s="5" t="s">
        <v>25</v>
      </c>
      <c r="M9" s="5" t="s">
        <v>741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761</v>
      </c>
      <c r="D10" s="5" t="s">
        <v>762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131</v>
      </c>
      <c r="L10" s="5" t="s">
        <v>25</v>
      </c>
      <c r="M10" s="5" t="s">
        <v>741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763</v>
      </c>
      <c r="D11" s="5" t="s">
        <v>764</v>
      </c>
      <c r="E11" s="5" t="s">
        <v>765</v>
      </c>
      <c r="F11" s="5" t="s">
        <v>649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131</v>
      </c>
      <c r="L11" s="5" t="s">
        <v>25</v>
      </c>
      <c r="M11" s="5" t="s">
        <v>741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766</v>
      </c>
      <c r="D12" s="5" t="s">
        <v>767</v>
      </c>
      <c r="E12" s="5">
        <v>258</v>
      </c>
      <c r="F12" s="5" t="s">
        <v>768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741</v>
      </c>
      <c r="N12" s="6" t="s">
        <v>769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770</v>
      </c>
      <c r="D13" s="5" t="s">
        <v>771</v>
      </c>
      <c r="E13" s="5">
        <v>43</v>
      </c>
      <c r="F13" s="5" t="s">
        <v>751</v>
      </c>
      <c r="G13" s="5" t="s">
        <v>157</v>
      </c>
      <c r="H13" s="5">
        <v>1510</v>
      </c>
      <c r="I13" s="5">
        <v>20</v>
      </c>
      <c r="J13" s="5">
        <f t="shared" si="0"/>
        <v>1490</v>
      </c>
      <c r="K13" s="5" t="s">
        <v>131</v>
      </c>
      <c r="L13" s="5" t="s">
        <v>25</v>
      </c>
      <c r="M13" s="5" t="s">
        <v>741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658</v>
      </c>
      <c r="D14" s="5" t="s">
        <v>772</v>
      </c>
      <c r="E14" s="5" t="s">
        <v>660</v>
      </c>
      <c r="F14" s="5" t="s">
        <v>661</v>
      </c>
      <c r="G14" s="5" t="s">
        <v>157</v>
      </c>
      <c r="H14" s="5">
        <v>710</v>
      </c>
      <c r="I14" s="5">
        <v>20</v>
      </c>
      <c r="J14" s="5">
        <f t="shared" si="0"/>
        <v>690</v>
      </c>
      <c r="K14" s="5" t="s">
        <v>131</v>
      </c>
      <c r="L14" s="5" t="s">
        <v>25</v>
      </c>
      <c r="M14" s="5" t="s">
        <v>741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773</v>
      </c>
      <c r="D15" s="20" t="s">
        <v>774</v>
      </c>
      <c r="E15" s="20" t="s">
        <v>775</v>
      </c>
      <c r="F15" s="20" t="s">
        <v>776</v>
      </c>
      <c r="G15" s="20" t="s">
        <v>104</v>
      </c>
      <c r="H15" s="20">
        <v>2340</v>
      </c>
      <c r="I15" s="20">
        <v>30</v>
      </c>
      <c r="J15" s="20">
        <f t="shared" si="0"/>
        <v>2310</v>
      </c>
      <c r="K15" s="20" t="s">
        <v>131</v>
      </c>
      <c r="L15" s="20" t="s">
        <v>25</v>
      </c>
      <c r="M15" s="20" t="s">
        <v>741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777</v>
      </c>
      <c r="D16" s="5" t="s">
        <v>778</v>
      </c>
      <c r="E16" s="5">
        <v>30</v>
      </c>
      <c r="F16" s="5" t="s">
        <v>779</v>
      </c>
      <c r="G16" s="5" t="s">
        <v>104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741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97</v>
      </c>
      <c r="B17" s="5" t="s">
        <v>19</v>
      </c>
      <c r="C17" s="5" t="s">
        <v>780</v>
      </c>
      <c r="D17" s="5"/>
      <c r="E17" s="5" t="s">
        <v>664</v>
      </c>
      <c r="F17" s="5" t="s">
        <v>781</v>
      </c>
      <c r="G17" s="5" t="s">
        <v>104</v>
      </c>
      <c r="H17" s="5">
        <v>30</v>
      </c>
      <c r="I17" s="5">
        <v>30</v>
      </c>
      <c r="J17" s="5">
        <f t="shared" si="0"/>
        <v>0</v>
      </c>
      <c r="K17" s="5" t="s">
        <v>131</v>
      </c>
      <c r="L17" s="5" t="s">
        <v>25</v>
      </c>
      <c r="M17" s="5" t="s">
        <v>741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782</v>
      </c>
      <c r="D18" s="5" t="s">
        <v>783</v>
      </c>
      <c r="E18" s="5">
        <v>17</v>
      </c>
      <c r="F18" s="5" t="s">
        <v>784</v>
      </c>
      <c r="G18" s="5" t="s">
        <v>104</v>
      </c>
      <c r="H18" s="5">
        <v>915</v>
      </c>
      <c r="I18" s="5">
        <v>25</v>
      </c>
      <c r="J18" s="5">
        <f t="shared" si="0"/>
        <v>890</v>
      </c>
      <c r="K18" s="5" t="s">
        <v>131</v>
      </c>
      <c r="L18" s="5" t="s">
        <v>25</v>
      </c>
      <c r="M18" s="5" t="s">
        <v>741</v>
      </c>
      <c r="N18" s="5"/>
      <c r="O18" s="5"/>
      <c r="P18" s="5"/>
      <c r="Q18" s="5"/>
      <c r="R18">
        <v>1</v>
      </c>
    </row>
    <row r="19" spans="1:18" x14ac:dyDescent="0.25">
      <c r="A19" s="5" t="s">
        <v>97</v>
      </c>
      <c r="B19" s="5" t="s">
        <v>19</v>
      </c>
      <c r="C19" s="5" t="s">
        <v>177</v>
      </c>
      <c r="D19" s="5"/>
      <c r="E19" s="5" t="s">
        <v>178</v>
      </c>
      <c r="F19" s="5" t="s">
        <v>179</v>
      </c>
      <c r="G19" s="5" t="s">
        <v>104</v>
      </c>
      <c r="H19" s="5">
        <v>30</v>
      </c>
      <c r="I19" s="5">
        <v>30</v>
      </c>
      <c r="J19" s="5">
        <f t="shared" si="0"/>
        <v>0</v>
      </c>
      <c r="K19" s="5" t="s">
        <v>131</v>
      </c>
      <c r="L19" s="5" t="s">
        <v>25</v>
      </c>
      <c r="M19" s="5" t="s">
        <v>741</v>
      </c>
      <c r="N19" s="5"/>
      <c r="O19" s="5"/>
      <c r="P19" s="5"/>
      <c r="Q19" s="5"/>
      <c r="R19">
        <v>1</v>
      </c>
    </row>
    <row r="20" spans="1:18" x14ac:dyDescent="0.25">
      <c r="A20" s="5" t="s">
        <v>97</v>
      </c>
      <c r="B20" s="5" t="s">
        <v>19</v>
      </c>
      <c r="C20" s="5" t="s">
        <v>622</v>
      </c>
      <c r="D20" s="5"/>
      <c r="E20" s="5">
        <v>40</v>
      </c>
      <c r="F20" s="5" t="s">
        <v>785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786</v>
      </c>
      <c r="L20" s="5" t="s">
        <v>25</v>
      </c>
      <c r="M20" s="5" t="s">
        <v>741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787</v>
      </c>
      <c r="D21" s="5" t="s">
        <v>788</v>
      </c>
      <c r="E21" s="5">
        <v>56</v>
      </c>
      <c r="F21" s="5" t="s">
        <v>789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786</v>
      </c>
      <c r="L21" s="5" t="s">
        <v>25</v>
      </c>
      <c r="M21" s="5" t="s">
        <v>741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790</v>
      </c>
      <c r="D22" s="5" t="s">
        <v>791</v>
      </c>
      <c r="E22" s="5">
        <v>20</v>
      </c>
      <c r="F22" s="5" t="s">
        <v>792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786</v>
      </c>
      <c r="L22" s="5" t="s">
        <v>25</v>
      </c>
      <c r="M22" s="5" t="s">
        <v>741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793</v>
      </c>
      <c r="D23" s="5" t="s">
        <v>794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786</v>
      </c>
      <c r="L23" s="5" t="s">
        <v>25</v>
      </c>
      <c r="M23" s="5" t="s">
        <v>741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795</v>
      </c>
      <c r="D24" s="5" t="s">
        <v>796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786</v>
      </c>
      <c r="L24" s="5" t="s">
        <v>25</v>
      </c>
      <c r="M24" s="5" t="s">
        <v>741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797</v>
      </c>
      <c r="D25" s="5" t="s">
        <v>798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786</v>
      </c>
      <c r="L25" s="5" t="s">
        <v>25</v>
      </c>
      <c r="M25" s="5" t="s">
        <v>741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799</v>
      </c>
      <c r="D26" s="5" t="s">
        <v>800</v>
      </c>
      <c r="E26" s="5" t="s">
        <v>801</v>
      </c>
      <c r="F26" s="5" t="s">
        <v>802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786</v>
      </c>
      <c r="L26" s="5" t="s">
        <v>25</v>
      </c>
      <c r="M26" s="5" t="s">
        <v>741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803</v>
      </c>
      <c r="D27" s="5" t="s">
        <v>804</v>
      </c>
      <c r="E27" s="5" t="s">
        <v>805</v>
      </c>
      <c r="F27" s="5" t="s">
        <v>806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786</v>
      </c>
      <c r="L27" s="5" t="s">
        <v>25</v>
      </c>
      <c r="M27" s="5" t="s">
        <v>741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807</v>
      </c>
      <c r="D28" s="5" t="s">
        <v>808</v>
      </c>
      <c r="E28" s="5" t="s">
        <v>809</v>
      </c>
      <c r="F28" s="5" t="s">
        <v>810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786</v>
      </c>
      <c r="L28" s="5" t="s">
        <v>25</v>
      </c>
      <c r="M28" s="5" t="s">
        <v>741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811</v>
      </c>
      <c r="D29" s="5" t="s">
        <v>812</v>
      </c>
      <c r="E29" s="5" t="s">
        <v>813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786</v>
      </c>
      <c r="L29" s="5" t="s">
        <v>25</v>
      </c>
      <c r="M29" s="5" t="s">
        <v>741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814</v>
      </c>
      <c r="D30" s="5" t="s">
        <v>815</v>
      </c>
      <c r="E30" s="5" t="s">
        <v>816</v>
      </c>
      <c r="F30" s="5" t="s">
        <v>817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786</v>
      </c>
      <c r="L30" s="5" t="s">
        <v>25</v>
      </c>
      <c r="M30" s="5" t="s">
        <v>741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235</v>
      </c>
      <c r="D31" s="5" t="s">
        <v>818</v>
      </c>
      <c r="E31" s="5">
        <v>67</v>
      </c>
      <c r="F31" s="5" t="s">
        <v>237</v>
      </c>
      <c r="G31" s="5" t="s">
        <v>238</v>
      </c>
      <c r="H31" s="5">
        <v>825</v>
      </c>
      <c r="I31" s="5">
        <v>35</v>
      </c>
      <c r="J31" s="5">
        <f t="shared" si="0"/>
        <v>790</v>
      </c>
      <c r="K31" s="5" t="s">
        <v>786</v>
      </c>
      <c r="L31" s="5" t="s">
        <v>25</v>
      </c>
      <c r="M31" s="5" t="s">
        <v>741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819</v>
      </c>
      <c r="D32" s="5" t="s">
        <v>820</v>
      </c>
      <c r="E32" s="5">
        <v>114</v>
      </c>
      <c r="F32" s="5" t="s">
        <v>821</v>
      </c>
      <c r="G32" s="5" t="s">
        <v>246</v>
      </c>
      <c r="H32" s="5">
        <v>720</v>
      </c>
      <c r="I32" s="5">
        <v>30</v>
      </c>
      <c r="J32" s="5">
        <f t="shared" si="0"/>
        <v>690</v>
      </c>
      <c r="K32" s="5" t="s">
        <v>786</v>
      </c>
      <c r="L32" s="5" t="s">
        <v>25</v>
      </c>
      <c r="M32" s="5" t="s">
        <v>741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822</v>
      </c>
      <c r="D33" s="5" t="s">
        <v>823</v>
      </c>
      <c r="E33" s="5" t="s">
        <v>824</v>
      </c>
      <c r="F33" s="5" t="s">
        <v>268</v>
      </c>
      <c r="G33" s="5" t="s">
        <v>246</v>
      </c>
      <c r="H33" s="5">
        <v>0</v>
      </c>
      <c r="I33" s="5">
        <v>30</v>
      </c>
      <c r="J33" s="5">
        <f t="shared" si="0"/>
        <v>-30</v>
      </c>
      <c r="K33" s="5" t="s">
        <v>786</v>
      </c>
      <c r="L33" s="5" t="s">
        <v>25</v>
      </c>
      <c r="M33" s="5" t="s">
        <v>741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777</v>
      </c>
      <c r="D34" s="5" t="s">
        <v>825</v>
      </c>
      <c r="E34" s="5" t="s">
        <v>826</v>
      </c>
      <c r="F34" s="5" t="s">
        <v>827</v>
      </c>
      <c r="G34" s="5" t="s">
        <v>246</v>
      </c>
      <c r="H34" s="5">
        <v>880</v>
      </c>
      <c r="I34" s="5">
        <v>30</v>
      </c>
      <c r="J34" s="5">
        <f t="shared" si="0"/>
        <v>850</v>
      </c>
      <c r="K34" s="5" t="s">
        <v>786</v>
      </c>
      <c r="L34" s="5" t="s">
        <v>25</v>
      </c>
      <c r="M34" s="5" t="s">
        <v>741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828</v>
      </c>
      <c r="D35" s="5" t="s">
        <v>829</v>
      </c>
      <c r="E35" s="5" t="s">
        <v>830</v>
      </c>
      <c r="F35" s="5" t="s">
        <v>831</v>
      </c>
      <c r="G35" s="5" t="s">
        <v>246</v>
      </c>
      <c r="H35" s="5">
        <v>720</v>
      </c>
      <c r="I35" s="5">
        <v>30</v>
      </c>
      <c r="J35" s="5">
        <f t="shared" ref="J35:J59" si="1">H35-I35</f>
        <v>690</v>
      </c>
      <c r="K35" s="5" t="s">
        <v>786</v>
      </c>
      <c r="L35" s="5" t="s">
        <v>25</v>
      </c>
      <c r="M35" s="5" t="s">
        <v>741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832</v>
      </c>
      <c r="E36" s="5" t="s">
        <v>833</v>
      </c>
      <c r="F36" s="5" t="s">
        <v>618</v>
      </c>
      <c r="G36" s="5" t="s">
        <v>246</v>
      </c>
      <c r="H36" s="5">
        <v>520</v>
      </c>
      <c r="I36" s="5">
        <v>30</v>
      </c>
      <c r="J36" s="5">
        <f t="shared" si="1"/>
        <v>490</v>
      </c>
      <c r="K36" s="5" t="s">
        <v>786</v>
      </c>
      <c r="L36" s="5" t="s">
        <v>25</v>
      </c>
      <c r="M36" s="5" t="s">
        <v>741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834</v>
      </c>
      <c r="E37" s="20" t="s">
        <v>438</v>
      </c>
      <c r="F37" s="20" t="s">
        <v>439</v>
      </c>
      <c r="G37" s="20" t="s">
        <v>287</v>
      </c>
      <c r="H37" s="20">
        <v>0</v>
      </c>
      <c r="I37" s="20">
        <v>35</v>
      </c>
      <c r="J37" s="20">
        <f t="shared" si="1"/>
        <v>-35</v>
      </c>
      <c r="K37" s="20" t="s">
        <v>786</v>
      </c>
      <c r="L37" s="20" t="s">
        <v>25</v>
      </c>
      <c r="M37" s="20" t="s">
        <v>741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835</v>
      </c>
      <c r="D38" s="5" t="s">
        <v>836</v>
      </c>
      <c r="E38" s="5" t="s">
        <v>837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786</v>
      </c>
      <c r="L38" s="5" t="s">
        <v>25</v>
      </c>
      <c r="M38" s="5" t="s">
        <v>741</v>
      </c>
      <c r="N38" s="5"/>
      <c r="O38" s="5"/>
      <c r="P38" s="5"/>
      <c r="Q38" s="5"/>
      <c r="R38">
        <v>1</v>
      </c>
    </row>
    <row r="39" spans="1:19" x14ac:dyDescent="0.25">
      <c r="A39" s="5" t="s">
        <v>97</v>
      </c>
      <c r="B39" s="5" t="s">
        <v>19</v>
      </c>
      <c r="C39" s="5" t="s">
        <v>838</v>
      </c>
      <c r="D39" s="5"/>
      <c r="E39" s="5" t="s">
        <v>839</v>
      </c>
      <c r="F39" s="5" t="s">
        <v>760</v>
      </c>
      <c r="G39" s="5" t="s">
        <v>104</v>
      </c>
      <c r="H39" s="5">
        <v>0</v>
      </c>
      <c r="I39" s="5">
        <v>30</v>
      </c>
      <c r="J39" s="5">
        <f t="shared" si="1"/>
        <v>-30</v>
      </c>
      <c r="K39" s="5" t="s">
        <v>786</v>
      </c>
      <c r="L39" s="5" t="s">
        <v>25</v>
      </c>
      <c r="M39" s="5" t="s">
        <v>741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840</v>
      </c>
      <c r="E40" s="5" t="s">
        <v>841</v>
      </c>
      <c r="F40" s="5" t="s">
        <v>842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741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843</v>
      </c>
      <c r="D41" s="5" t="s">
        <v>844</v>
      </c>
      <c r="E41" s="5" t="s">
        <v>845</v>
      </c>
      <c r="F41" s="5" t="s">
        <v>846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741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847</v>
      </c>
      <c r="D42" s="5" t="s">
        <v>848</v>
      </c>
      <c r="E42" s="5" t="s">
        <v>849</v>
      </c>
      <c r="F42" s="5" t="s">
        <v>850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741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851</v>
      </c>
      <c r="D43" s="5" t="s">
        <v>852</v>
      </c>
      <c r="E43" s="5">
        <v>208</v>
      </c>
      <c r="F43" s="5" t="s">
        <v>68</v>
      </c>
      <c r="G43" s="5" t="s">
        <v>64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741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853</v>
      </c>
      <c r="D44" s="5" t="s">
        <v>854</v>
      </c>
      <c r="E44" s="5">
        <v>208</v>
      </c>
      <c r="F44" s="5" t="s">
        <v>68</v>
      </c>
      <c r="G44" s="5" t="s">
        <v>64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741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855</v>
      </c>
      <c r="D45" s="5" t="s">
        <v>856</v>
      </c>
      <c r="E45" s="5">
        <v>45</v>
      </c>
      <c r="F45" s="5" t="s">
        <v>857</v>
      </c>
      <c r="G45" s="5" t="s">
        <v>64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741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858</v>
      </c>
      <c r="D46" s="5" t="s">
        <v>859</v>
      </c>
      <c r="E46" s="5" t="s">
        <v>860</v>
      </c>
      <c r="F46" s="5" t="s">
        <v>861</v>
      </c>
      <c r="G46" s="5" t="s">
        <v>76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741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862</v>
      </c>
      <c r="D47" s="5" t="s">
        <v>863</v>
      </c>
      <c r="E47" s="5" t="s">
        <v>860</v>
      </c>
      <c r="F47" s="5" t="s">
        <v>861</v>
      </c>
      <c r="G47" s="5" t="s">
        <v>76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741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864</v>
      </c>
      <c r="D48" s="5" t="s">
        <v>865</v>
      </c>
      <c r="E48" s="5" t="s">
        <v>866</v>
      </c>
      <c r="F48" s="5" t="s">
        <v>92</v>
      </c>
      <c r="G48" s="5" t="s">
        <v>76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741</v>
      </c>
      <c r="N48" s="5"/>
      <c r="O48" s="5"/>
      <c r="P48" s="5"/>
      <c r="Q48" s="5"/>
      <c r="R48">
        <v>1</v>
      </c>
    </row>
    <row r="49" spans="1:20" x14ac:dyDescent="0.25">
      <c r="A49" s="5" t="s">
        <v>97</v>
      </c>
      <c r="B49" s="5" t="s">
        <v>19</v>
      </c>
      <c r="C49" s="5" t="s">
        <v>867</v>
      </c>
      <c r="D49" s="5"/>
      <c r="E49" s="5">
        <v>401</v>
      </c>
      <c r="F49" s="5" t="s">
        <v>481</v>
      </c>
      <c r="G49" s="5" t="s">
        <v>76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741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697</v>
      </c>
      <c r="D50" s="5" t="s">
        <v>868</v>
      </c>
      <c r="E50" s="5" t="s">
        <v>699</v>
      </c>
      <c r="F50" s="5" t="s">
        <v>481</v>
      </c>
      <c r="G50" s="5" t="s">
        <v>76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741</v>
      </c>
      <c r="N50" s="5"/>
      <c r="O50" s="5"/>
      <c r="P50" s="5"/>
      <c r="Q50" s="5"/>
      <c r="R50">
        <v>1</v>
      </c>
    </row>
    <row r="51" spans="1:20" x14ac:dyDescent="0.25">
      <c r="A51" s="5" t="s">
        <v>97</v>
      </c>
      <c r="B51" s="5" t="s">
        <v>19</v>
      </c>
      <c r="C51" s="5" t="s">
        <v>98</v>
      </c>
      <c r="D51" s="5"/>
      <c r="E51" s="5">
        <v>403</v>
      </c>
      <c r="F51" s="5" t="s">
        <v>99</v>
      </c>
      <c r="G51" s="5" t="s">
        <v>76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741</v>
      </c>
      <c r="N51" s="5"/>
      <c r="O51" s="5"/>
      <c r="P51" s="5"/>
      <c r="Q51" s="5"/>
      <c r="R51">
        <v>1</v>
      </c>
    </row>
    <row r="52" spans="1:20" x14ac:dyDescent="0.25">
      <c r="A52" s="5" t="s">
        <v>97</v>
      </c>
      <c r="B52" s="5" t="s">
        <v>19</v>
      </c>
      <c r="C52" s="5" t="s">
        <v>482</v>
      </c>
      <c r="D52" s="5"/>
      <c r="E52" s="5">
        <v>685</v>
      </c>
      <c r="F52" s="5" t="s">
        <v>99</v>
      </c>
      <c r="G52" s="5" t="s">
        <v>76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741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869</v>
      </c>
      <c r="D53" s="20" t="s">
        <v>870</v>
      </c>
      <c r="E53" s="20" t="s">
        <v>871</v>
      </c>
      <c r="F53" s="20" t="s">
        <v>872</v>
      </c>
      <c r="G53" s="20" t="s">
        <v>76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741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873</v>
      </c>
      <c r="D54" s="5" t="s">
        <v>874</v>
      </c>
      <c r="E54" s="5" t="s">
        <v>875</v>
      </c>
      <c r="F54" s="5" t="s">
        <v>876</v>
      </c>
      <c r="G54" s="5" t="s">
        <v>104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741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877</v>
      </c>
      <c r="D55" s="5" t="s">
        <v>878</v>
      </c>
      <c r="E55" s="5">
        <v>48</v>
      </c>
      <c r="F55" s="5" t="s">
        <v>879</v>
      </c>
      <c r="G55" s="5" t="s">
        <v>109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741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880</v>
      </c>
      <c r="D56" s="5" t="s">
        <v>881</v>
      </c>
      <c r="E56" s="5" t="s">
        <v>882</v>
      </c>
      <c r="F56" s="5" t="s">
        <v>883</v>
      </c>
      <c r="G56" s="5" t="s">
        <v>109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741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884</v>
      </c>
      <c r="D57" s="5" t="s">
        <v>885</v>
      </c>
      <c r="E57" s="5">
        <v>213</v>
      </c>
      <c r="F57" s="5" t="s">
        <v>224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126</v>
      </c>
      <c r="L57" s="5" t="s">
        <v>25</v>
      </c>
      <c r="M57" s="5" t="s">
        <v>741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886</v>
      </c>
      <c r="D58" s="5" t="s">
        <v>887</v>
      </c>
      <c r="E58" s="5" t="s">
        <v>888</v>
      </c>
      <c r="F58" s="5" t="s">
        <v>672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126</v>
      </c>
      <c r="L58" s="5" t="s">
        <v>25</v>
      </c>
      <c r="M58" s="5" t="s">
        <v>741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886</v>
      </c>
      <c r="D59" s="5" t="s">
        <v>889</v>
      </c>
      <c r="E59" s="5" t="s">
        <v>888</v>
      </c>
      <c r="F59" s="5" t="s">
        <v>672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126</v>
      </c>
      <c r="L59" s="5" t="s">
        <v>25</v>
      </c>
      <c r="M59" s="5" t="s">
        <v>741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>SUBTOTAL(9,H3:H60)</f>
        <v>43655</v>
      </c>
      <c r="I61">
        <f t="shared" ref="I61:T61" si="2">SUBTOTAL(9,I3:I60)</f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329</v>
      </c>
    </row>
    <row r="63" spans="1:20" x14ac:dyDescent="0.25">
      <c r="J63">
        <v>-1300</v>
      </c>
      <c r="K63" t="s">
        <v>891</v>
      </c>
    </row>
    <row r="65" spans="1:13" ht="20.25" customHeight="1" x14ac:dyDescent="0.3">
      <c r="I65" s="7" t="s">
        <v>890</v>
      </c>
      <c r="J65" s="8" t="s">
        <v>316</v>
      </c>
      <c r="K65" s="9" t="s">
        <v>317</v>
      </c>
    </row>
    <row r="66" spans="1:13" ht="15.75" x14ac:dyDescent="0.25">
      <c r="I66" s="10" t="s">
        <v>318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319</v>
      </c>
      <c r="J67" s="13">
        <f>S60</f>
        <v>0</v>
      </c>
      <c r="K67" s="14"/>
    </row>
    <row r="68" spans="1:13" x14ac:dyDescent="0.25">
      <c r="I68" s="12" t="s">
        <v>320</v>
      </c>
      <c r="J68" s="13">
        <f>T60</f>
        <v>0</v>
      </c>
      <c r="K68" s="14"/>
    </row>
    <row r="69" spans="1:13" x14ac:dyDescent="0.25">
      <c r="I69" s="12" t="s">
        <v>321</v>
      </c>
      <c r="J69" s="13">
        <f>U60</f>
        <v>0</v>
      </c>
      <c r="K69" s="14"/>
    </row>
    <row r="70" spans="1:13" x14ac:dyDescent="0.25">
      <c r="I70" s="12" t="s">
        <v>322</v>
      </c>
      <c r="J70" s="13">
        <f>V60</f>
        <v>0</v>
      </c>
      <c r="K70" s="14"/>
    </row>
    <row r="71" spans="1:13" ht="15.75" x14ac:dyDescent="0.25">
      <c r="I71" s="15" t="s">
        <v>323</v>
      </c>
      <c r="J71" s="16"/>
      <c r="K71" s="16"/>
    </row>
    <row r="72" spans="1:13" ht="15.75" x14ac:dyDescent="0.25">
      <c r="I72" s="17" t="s">
        <v>324</v>
      </c>
      <c r="J72" s="16"/>
      <c r="K72" s="16"/>
    </row>
    <row r="73" spans="1:13" ht="21" x14ac:dyDescent="0.35">
      <c r="I73" s="18" t="s">
        <v>325</v>
      </c>
      <c r="J73" s="19">
        <f>SUM(J66:J72)</f>
        <v>40115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766</v>
      </c>
      <c r="C76" s="2" t="s">
        <v>767</v>
      </c>
      <c r="D76" s="2">
        <v>258</v>
      </c>
      <c r="E76" s="2" t="s">
        <v>768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131</v>
      </c>
      <c r="K76" s="2" t="s">
        <v>25</v>
      </c>
      <c r="L76" s="2" t="s">
        <v>741</v>
      </c>
      <c r="M76" s="3" t="s">
        <v>769</v>
      </c>
    </row>
    <row r="78" spans="1:13" x14ac:dyDescent="0.25">
      <c r="A78" t="s">
        <v>329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738</v>
      </c>
    </row>
  </sheetData>
  <autoFilter ref="A2:Q59" xr:uid="{782FDB09-9FDA-4D8A-A02A-E8809D13F94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58" workbookViewId="0">
      <selection activeCell="A66" sqref="A66:XFD74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895</v>
      </c>
      <c r="D3" s="5" t="s">
        <v>896</v>
      </c>
      <c r="E3" s="5" t="s">
        <v>897</v>
      </c>
      <c r="F3" s="5" t="s">
        <v>898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131</v>
      </c>
      <c r="L3" s="5" t="s">
        <v>25</v>
      </c>
      <c r="M3" s="5" t="s">
        <v>899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900</v>
      </c>
      <c r="D4" s="5" t="s">
        <v>901</v>
      </c>
      <c r="E4" s="5">
        <v>388</v>
      </c>
      <c r="F4" s="5" t="s">
        <v>902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131</v>
      </c>
      <c r="L4" s="5" t="s">
        <v>25</v>
      </c>
      <c r="M4" s="5" t="s">
        <v>899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903</v>
      </c>
      <c r="D5" s="5" t="s">
        <v>904</v>
      </c>
      <c r="E5" s="5" t="s">
        <v>905</v>
      </c>
      <c r="F5" s="5" t="s">
        <v>906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131</v>
      </c>
      <c r="L5" s="5" t="s">
        <v>25</v>
      </c>
      <c r="M5" s="5" t="s">
        <v>899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907</v>
      </c>
      <c r="D6" s="5" t="s">
        <v>908</v>
      </c>
      <c r="E6" s="5">
        <v>84</v>
      </c>
      <c r="F6" s="5" t="s">
        <v>909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131</v>
      </c>
      <c r="L6" s="5" t="s">
        <v>25</v>
      </c>
      <c r="M6" s="5" t="s">
        <v>899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910</v>
      </c>
      <c r="D7" s="5" t="s">
        <v>911</v>
      </c>
      <c r="E7" s="5" t="s">
        <v>912</v>
      </c>
      <c r="F7" s="5" t="s">
        <v>913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899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914</v>
      </c>
      <c r="D8" s="5" t="s">
        <v>915</v>
      </c>
      <c r="E8" s="5">
        <v>42</v>
      </c>
      <c r="F8" s="5" t="s">
        <v>916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131</v>
      </c>
      <c r="L8" s="5" t="s">
        <v>25</v>
      </c>
      <c r="M8" s="5" t="s">
        <v>899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917</v>
      </c>
      <c r="D9" s="5" t="s">
        <v>918</v>
      </c>
      <c r="E9" s="5" t="s">
        <v>919</v>
      </c>
      <c r="F9" s="5" t="s">
        <v>755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899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920</v>
      </c>
      <c r="D10" s="5" t="s">
        <v>921</v>
      </c>
      <c r="E10" s="5" t="s">
        <v>922</v>
      </c>
      <c r="F10" s="5" t="s">
        <v>923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131</v>
      </c>
      <c r="L10" s="5" t="s">
        <v>25</v>
      </c>
      <c r="M10" s="5" t="s">
        <v>899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924</v>
      </c>
      <c r="D11" s="5" t="s">
        <v>925</v>
      </c>
      <c r="E11" s="5">
        <v>132</v>
      </c>
      <c r="F11" s="5" t="s">
        <v>137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131</v>
      </c>
      <c r="L11" s="5" t="s">
        <v>25</v>
      </c>
      <c r="M11" s="5" t="s">
        <v>899</v>
      </c>
      <c r="N11" s="5"/>
      <c r="O11" s="5"/>
      <c r="P11" s="5"/>
      <c r="Q11" s="5"/>
      <c r="R11">
        <v>1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899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926</v>
      </c>
      <c r="D13" s="5" t="s">
        <v>927</v>
      </c>
      <c r="E13" s="5" t="s">
        <v>759</v>
      </c>
      <c r="F13" s="5" t="s">
        <v>760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899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928</v>
      </c>
      <c r="D14" s="5" t="s">
        <v>929</v>
      </c>
      <c r="E14" s="5" t="s">
        <v>930</v>
      </c>
      <c r="F14" s="5" t="s">
        <v>227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131</v>
      </c>
      <c r="L14" s="5" t="s">
        <v>25</v>
      </c>
      <c r="M14" s="5" t="s">
        <v>899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931</v>
      </c>
      <c r="D15" s="5" t="s">
        <v>932</v>
      </c>
      <c r="E15" s="5" t="s">
        <v>933</v>
      </c>
      <c r="F15" s="5" t="s">
        <v>934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899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935</v>
      </c>
      <c r="D16" s="5" t="s">
        <v>936</v>
      </c>
      <c r="E16" s="5" t="s">
        <v>937</v>
      </c>
      <c r="F16" s="5" t="s">
        <v>938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899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766</v>
      </c>
      <c r="D17" s="5" t="s">
        <v>939</v>
      </c>
      <c r="E17" s="5">
        <v>258</v>
      </c>
      <c r="F17" s="5" t="s">
        <v>768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899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940</v>
      </c>
      <c r="D18" s="5" t="s">
        <v>941</v>
      </c>
      <c r="E18" s="5">
        <v>334</v>
      </c>
      <c r="F18" s="5" t="s">
        <v>152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899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942</v>
      </c>
      <c r="D19" s="5" t="s">
        <v>943</v>
      </c>
      <c r="E19" s="5" t="s">
        <v>944</v>
      </c>
      <c r="F19" s="5" t="s">
        <v>945</v>
      </c>
      <c r="G19" s="5" t="s">
        <v>157</v>
      </c>
      <c r="H19" s="5">
        <v>840</v>
      </c>
      <c r="I19" s="5">
        <v>20</v>
      </c>
      <c r="J19" s="5">
        <f t="shared" si="0"/>
        <v>820</v>
      </c>
      <c r="K19" s="5" t="s">
        <v>131</v>
      </c>
      <c r="L19" s="5" t="s">
        <v>25</v>
      </c>
      <c r="M19" s="5" t="s">
        <v>899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946</v>
      </c>
      <c r="D20" s="5" t="s">
        <v>947</v>
      </c>
      <c r="E20" s="5" t="s">
        <v>948</v>
      </c>
      <c r="F20" s="5" t="s">
        <v>404</v>
      </c>
      <c r="G20" s="5" t="s">
        <v>104</v>
      </c>
      <c r="H20" s="5">
        <v>0</v>
      </c>
      <c r="I20" s="5">
        <v>25</v>
      </c>
      <c r="J20" s="5">
        <f t="shared" si="0"/>
        <v>-25</v>
      </c>
      <c r="K20" s="5" t="s">
        <v>131</v>
      </c>
      <c r="L20" s="5" t="s">
        <v>25</v>
      </c>
      <c r="M20" s="5" t="s">
        <v>899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949</v>
      </c>
      <c r="D21" s="5" t="s">
        <v>950</v>
      </c>
      <c r="E21" s="5" t="s">
        <v>186</v>
      </c>
      <c r="F21" s="5" t="s">
        <v>187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951</v>
      </c>
      <c r="L21" s="5" t="s">
        <v>25</v>
      </c>
      <c r="M21" s="5" t="s">
        <v>899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951</v>
      </c>
      <c r="L22" s="5" t="s">
        <v>25</v>
      </c>
      <c r="M22" s="5" t="s">
        <v>899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97</v>
      </c>
      <c r="B23" s="5" t="s">
        <v>19</v>
      </c>
      <c r="C23" s="5" t="s">
        <v>952</v>
      </c>
      <c r="D23" s="5"/>
      <c r="E23" s="5">
        <v>491</v>
      </c>
      <c r="F23" s="5" t="s">
        <v>953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951</v>
      </c>
      <c r="L23" s="5" t="s">
        <v>25</v>
      </c>
      <c r="M23" s="5" t="s">
        <v>899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954</v>
      </c>
      <c r="D24" s="5" t="s">
        <v>955</v>
      </c>
      <c r="E24" s="5" t="s">
        <v>956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951</v>
      </c>
      <c r="L24" s="5" t="s">
        <v>25</v>
      </c>
      <c r="M24" s="5" t="s">
        <v>899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957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951</v>
      </c>
      <c r="L25" s="20" t="s">
        <v>25</v>
      </c>
      <c r="M25" s="20" t="s">
        <v>899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958</v>
      </c>
      <c r="D26" s="5" t="s">
        <v>959</v>
      </c>
      <c r="E26" s="5">
        <v>4</v>
      </c>
      <c r="F26" s="5" t="s">
        <v>642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951</v>
      </c>
      <c r="L26" s="5" t="s">
        <v>25</v>
      </c>
      <c r="M26" s="5" t="s">
        <v>899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960</v>
      </c>
      <c r="D27" s="5" t="s">
        <v>961</v>
      </c>
      <c r="E27" s="5">
        <v>110</v>
      </c>
      <c r="F27" s="5" t="s">
        <v>237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951</v>
      </c>
      <c r="L27" s="5" t="s">
        <v>25</v>
      </c>
      <c r="M27" s="5" t="s">
        <v>899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962</v>
      </c>
      <c r="D28" s="5" t="s">
        <v>963</v>
      </c>
      <c r="E28" s="5" t="s">
        <v>964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951</v>
      </c>
      <c r="L28" s="5" t="s">
        <v>25</v>
      </c>
      <c r="M28" s="5" t="s">
        <v>899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965</v>
      </c>
      <c r="D29" s="5" t="s">
        <v>966</v>
      </c>
      <c r="E29" s="5" t="s">
        <v>967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951</v>
      </c>
      <c r="L29" s="5" t="s">
        <v>25</v>
      </c>
      <c r="M29" s="5" t="s">
        <v>899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968</v>
      </c>
      <c r="D30" s="5" t="s">
        <v>969</v>
      </c>
      <c r="E30" s="5" t="s">
        <v>970</v>
      </c>
      <c r="F30" s="5" t="s">
        <v>209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951</v>
      </c>
      <c r="L30" s="5" t="s">
        <v>25</v>
      </c>
      <c r="M30" s="5" t="s">
        <v>899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971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951</v>
      </c>
      <c r="L31" s="20" t="s">
        <v>25</v>
      </c>
      <c r="M31" s="20" t="s">
        <v>899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219</v>
      </c>
      <c r="D32" s="5" t="s">
        <v>972</v>
      </c>
      <c r="E32" s="5">
        <v>30</v>
      </c>
      <c r="F32" s="5" t="s">
        <v>973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951</v>
      </c>
      <c r="L32" s="5" t="s">
        <v>25</v>
      </c>
      <c r="M32" s="5" t="s">
        <v>899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974</v>
      </c>
      <c r="D33" s="5" t="s">
        <v>975</v>
      </c>
      <c r="E33" s="5">
        <v>114</v>
      </c>
      <c r="F33" s="5" t="s">
        <v>976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951</v>
      </c>
      <c r="L33" s="5" t="s">
        <v>25</v>
      </c>
      <c r="M33" s="5" t="s">
        <v>899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225</v>
      </c>
      <c r="D34" s="5" t="s">
        <v>977</v>
      </c>
      <c r="E34" s="5">
        <v>910</v>
      </c>
      <c r="F34" s="5" t="s">
        <v>227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951</v>
      </c>
      <c r="L34" s="5" t="s">
        <v>25</v>
      </c>
      <c r="M34" s="5" t="s">
        <v>899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978</v>
      </c>
      <c r="D35" s="5" t="s">
        <v>979</v>
      </c>
      <c r="E35" s="5">
        <v>375</v>
      </c>
      <c r="F35" s="5" t="s">
        <v>234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951</v>
      </c>
      <c r="L35" s="5" t="s">
        <v>25</v>
      </c>
      <c r="M35" s="5" t="s">
        <v>899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980</v>
      </c>
      <c r="E36" s="5">
        <v>375</v>
      </c>
      <c r="F36" s="5" t="s">
        <v>234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951</v>
      </c>
      <c r="L36" s="5" t="s">
        <v>25</v>
      </c>
      <c r="M36" s="5" t="s">
        <v>899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981</v>
      </c>
      <c r="D37" s="5" t="s">
        <v>982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951</v>
      </c>
      <c r="L37" s="5" t="s">
        <v>25</v>
      </c>
      <c r="M37" s="5" t="s">
        <v>899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983</v>
      </c>
      <c r="D38" s="20" t="s">
        <v>984</v>
      </c>
      <c r="E38" s="20" t="s">
        <v>985</v>
      </c>
      <c r="F38" s="20" t="s">
        <v>986</v>
      </c>
      <c r="G38" s="20" t="s">
        <v>238</v>
      </c>
      <c r="H38" s="20">
        <v>2380</v>
      </c>
      <c r="I38" s="20">
        <v>40</v>
      </c>
      <c r="J38" s="20">
        <f t="shared" si="1"/>
        <v>2340</v>
      </c>
      <c r="K38" s="20" t="s">
        <v>951</v>
      </c>
      <c r="L38" s="20" t="s">
        <v>25</v>
      </c>
      <c r="M38" s="20" t="s">
        <v>899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987</v>
      </c>
      <c r="D39" s="5" t="s">
        <v>988</v>
      </c>
      <c r="E39" s="5" t="s">
        <v>989</v>
      </c>
      <c r="F39" s="5" t="s">
        <v>264</v>
      </c>
      <c r="G39" s="5" t="s">
        <v>246</v>
      </c>
      <c r="H39" s="5">
        <v>710</v>
      </c>
      <c r="I39" s="5">
        <v>30</v>
      </c>
      <c r="J39" s="5">
        <f t="shared" si="1"/>
        <v>680</v>
      </c>
      <c r="K39" s="5" t="s">
        <v>951</v>
      </c>
      <c r="L39" s="5" t="s">
        <v>25</v>
      </c>
      <c r="M39" s="5" t="s">
        <v>899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822</v>
      </c>
      <c r="D40" s="20" t="s">
        <v>990</v>
      </c>
      <c r="E40" s="20" t="s">
        <v>824</v>
      </c>
      <c r="F40" s="20" t="s">
        <v>268</v>
      </c>
      <c r="G40" s="20" t="s">
        <v>246</v>
      </c>
      <c r="H40" s="20">
        <v>30</v>
      </c>
      <c r="I40" s="20">
        <v>30</v>
      </c>
      <c r="J40" s="20">
        <f t="shared" si="1"/>
        <v>0</v>
      </c>
      <c r="K40" s="20" t="s">
        <v>951</v>
      </c>
      <c r="L40" s="20" t="s">
        <v>25</v>
      </c>
      <c r="M40" s="20" t="s">
        <v>899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777</v>
      </c>
      <c r="D41" s="5" t="s">
        <v>991</v>
      </c>
      <c r="E41" s="5" t="s">
        <v>826</v>
      </c>
      <c r="F41" s="5" t="s">
        <v>827</v>
      </c>
      <c r="G41" s="5" t="s">
        <v>246</v>
      </c>
      <c r="H41" s="5">
        <v>850</v>
      </c>
      <c r="I41" s="5">
        <v>30</v>
      </c>
      <c r="J41" s="5">
        <f t="shared" si="1"/>
        <v>820</v>
      </c>
      <c r="K41" s="5" t="s">
        <v>951</v>
      </c>
      <c r="L41" s="5" t="s">
        <v>25</v>
      </c>
      <c r="M41" s="5" t="s">
        <v>899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992</v>
      </c>
      <c r="D42" s="5" t="s">
        <v>993</v>
      </c>
      <c r="E42" s="5" t="s">
        <v>271</v>
      </c>
      <c r="F42" s="5" t="s">
        <v>272</v>
      </c>
      <c r="G42" s="5" t="s">
        <v>246</v>
      </c>
      <c r="H42" s="5">
        <v>850</v>
      </c>
      <c r="I42" s="5">
        <v>30</v>
      </c>
      <c r="J42" s="5">
        <f t="shared" si="1"/>
        <v>820</v>
      </c>
      <c r="K42" s="5" t="s">
        <v>951</v>
      </c>
      <c r="L42" s="5" t="s">
        <v>25</v>
      </c>
      <c r="M42" s="5" t="s">
        <v>899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994</v>
      </c>
      <c r="D43" s="5" t="s">
        <v>995</v>
      </c>
      <c r="E43" s="5" t="s">
        <v>996</v>
      </c>
      <c r="F43" s="5" t="s">
        <v>997</v>
      </c>
      <c r="G43" s="5" t="s">
        <v>287</v>
      </c>
      <c r="H43" s="5">
        <v>825</v>
      </c>
      <c r="I43" s="5">
        <v>35</v>
      </c>
      <c r="J43" s="5">
        <f t="shared" si="1"/>
        <v>790</v>
      </c>
      <c r="K43" s="5" t="s">
        <v>951</v>
      </c>
      <c r="L43" s="5" t="s">
        <v>25</v>
      </c>
      <c r="M43" s="5" t="s">
        <v>899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998</v>
      </c>
      <c r="D44" s="5" t="s">
        <v>999</v>
      </c>
      <c r="E44" s="5">
        <v>52</v>
      </c>
      <c r="F44" s="5" t="s">
        <v>1000</v>
      </c>
      <c r="G44" s="5" t="s">
        <v>104</v>
      </c>
      <c r="H44" s="5">
        <v>735</v>
      </c>
      <c r="I44" s="5">
        <v>25</v>
      </c>
      <c r="J44" s="5">
        <f t="shared" si="1"/>
        <v>710</v>
      </c>
      <c r="K44" s="5" t="s">
        <v>951</v>
      </c>
      <c r="L44" s="5" t="s">
        <v>25</v>
      </c>
      <c r="M44" s="5" t="s">
        <v>899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1001</v>
      </c>
      <c r="D45" s="5"/>
      <c r="E45" s="5" t="s">
        <v>839</v>
      </c>
      <c r="F45" s="5" t="s">
        <v>760</v>
      </c>
      <c r="G45" s="5" t="s">
        <v>104</v>
      </c>
      <c r="H45" s="5">
        <v>0</v>
      </c>
      <c r="I45" s="5">
        <v>30</v>
      </c>
      <c r="J45" s="5">
        <f t="shared" si="1"/>
        <v>-30</v>
      </c>
      <c r="K45" s="5" t="s">
        <v>951</v>
      </c>
      <c r="L45" s="5" t="s">
        <v>25</v>
      </c>
      <c r="M45" s="5" t="s">
        <v>899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1002</v>
      </c>
      <c r="D46" s="5" t="s">
        <v>1003</v>
      </c>
      <c r="E46" s="5" t="s">
        <v>1004</v>
      </c>
      <c r="F46" s="5" t="s">
        <v>1005</v>
      </c>
      <c r="G46" s="5" t="s">
        <v>292</v>
      </c>
      <c r="H46" s="5">
        <v>865</v>
      </c>
      <c r="I46" s="5">
        <v>25</v>
      </c>
      <c r="J46" s="5">
        <f t="shared" si="1"/>
        <v>840</v>
      </c>
      <c r="K46" s="5" t="s">
        <v>951</v>
      </c>
      <c r="L46" s="5" t="s">
        <v>25</v>
      </c>
      <c r="M46" s="5" t="s">
        <v>899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1006</v>
      </c>
      <c r="D47" s="5" t="s">
        <v>1007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899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1008</v>
      </c>
      <c r="D48" s="5" t="s">
        <v>1009</v>
      </c>
      <c r="E48" s="5" t="s">
        <v>1010</v>
      </c>
      <c r="F48" s="5" t="s">
        <v>1011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899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1012</v>
      </c>
      <c r="D49" s="5" t="s">
        <v>1013</v>
      </c>
      <c r="E49" s="5" t="s">
        <v>1014</v>
      </c>
      <c r="F49" s="5" t="s">
        <v>1015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899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1016</v>
      </c>
      <c r="D50" s="5" t="s">
        <v>1017</v>
      </c>
      <c r="E50" s="5" t="s">
        <v>1018</v>
      </c>
      <c r="F50" s="5" t="s">
        <v>672</v>
      </c>
      <c r="G50" s="5" t="s">
        <v>64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899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1019</v>
      </c>
      <c r="D51" s="5" t="s">
        <v>1020</v>
      </c>
      <c r="E51" s="5" t="s">
        <v>1021</v>
      </c>
      <c r="F51" s="5" t="s">
        <v>1022</v>
      </c>
      <c r="G51" s="5" t="s">
        <v>76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899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1023</v>
      </c>
      <c r="D52" s="5" t="s">
        <v>1024</v>
      </c>
      <c r="E52" s="5">
        <v>31</v>
      </c>
      <c r="F52" s="5" t="s">
        <v>80</v>
      </c>
      <c r="G52" s="5" t="s">
        <v>76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899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97</v>
      </c>
      <c r="B53" s="5" t="s">
        <v>19</v>
      </c>
      <c r="C53" s="5" t="s">
        <v>867</v>
      </c>
      <c r="D53" s="5"/>
      <c r="E53" s="5">
        <v>401</v>
      </c>
      <c r="F53" s="5" t="s">
        <v>481</v>
      </c>
      <c r="G53" s="5" t="s">
        <v>76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899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1025</v>
      </c>
      <c r="D54" s="5" t="s">
        <v>1026</v>
      </c>
      <c r="E54" s="5">
        <v>839</v>
      </c>
      <c r="F54" s="5" t="s">
        <v>481</v>
      </c>
      <c r="G54" s="5" t="s">
        <v>76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899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97</v>
      </c>
      <c r="B55" s="5" t="s">
        <v>19</v>
      </c>
      <c r="C55" s="5" t="s">
        <v>482</v>
      </c>
      <c r="D55" s="5"/>
      <c r="E55" s="5">
        <v>685</v>
      </c>
      <c r="F55" s="5" t="s">
        <v>99</v>
      </c>
      <c r="G55" s="5" t="s">
        <v>76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899</v>
      </c>
      <c r="N55" s="5"/>
      <c r="O55" s="5"/>
      <c r="P55" s="5"/>
      <c r="Q55" s="5"/>
      <c r="R55">
        <v>1</v>
      </c>
    </row>
    <row r="56" spans="1:19" x14ac:dyDescent="0.25">
      <c r="A56" s="5" t="s">
        <v>97</v>
      </c>
      <c r="B56" s="5" t="s">
        <v>19</v>
      </c>
      <c r="C56" s="5" t="s">
        <v>1027</v>
      </c>
      <c r="D56" s="5"/>
      <c r="E56" s="5">
        <v>5</v>
      </c>
      <c r="F56" s="5" t="s">
        <v>779</v>
      </c>
      <c r="G56" s="5" t="s">
        <v>104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899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1028</v>
      </c>
      <c r="D57" s="5" t="s">
        <v>1029</v>
      </c>
      <c r="E57" s="5">
        <v>72</v>
      </c>
      <c r="F57" s="5" t="s">
        <v>1030</v>
      </c>
      <c r="G57" s="5" t="s">
        <v>104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899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1031</v>
      </c>
      <c r="D58" s="5" t="s">
        <v>1032</v>
      </c>
      <c r="E58" s="5" t="s">
        <v>1033</v>
      </c>
      <c r="F58" s="5" t="s">
        <v>1034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126</v>
      </c>
      <c r="L58" s="5" t="s">
        <v>25</v>
      </c>
      <c r="M58" s="5" t="s">
        <v>899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1035</v>
      </c>
      <c r="D59" s="5" t="s">
        <v>1036</v>
      </c>
      <c r="E59" s="5" t="s">
        <v>1037</v>
      </c>
      <c r="F59" s="5" t="s">
        <v>1038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126</v>
      </c>
      <c r="L59" s="5" t="s">
        <v>25</v>
      </c>
      <c r="M59" s="5" t="s">
        <v>899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1039</v>
      </c>
      <c r="D60" s="5" t="s">
        <v>1040</v>
      </c>
      <c r="E60" s="5" t="s">
        <v>124</v>
      </c>
      <c r="F60" s="5" t="s">
        <v>672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126</v>
      </c>
      <c r="L60" s="5" t="s">
        <v>25</v>
      </c>
      <c r="M60" s="5" t="s">
        <v>899</v>
      </c>
      <c r="N60" s="5"/>
      <c r="O60" s="5"/>
      <c r="P60" s="5"/>
      <c r="Q60" s="5"/>
      <c r="R60">
        <v>1</v>
      </c>
    </row>
    <row r="62" spans="1:19" x14ac:dyDescent="0.25">
      <c r="H62">
        <f>SUBTOTAL(9,H3:H61)</f>
        <v>33493</v>
      </c>
      <c r="I62">
        <f t="shared" ref="I62:S62" si="2">SUBTOTAL(9,I3:I61)</f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329</v>
      </c>
    </row>
    <row r="66" spans="1:13" ht="20.25" customHeight="1" x14ac:dyDescent="0.3">
      <c r="I66" s="7" t="s">
        <v>1041</v>
      </c>
      <c r="J66" s="8" t="s">
        <v>316</v>
      </c>
      <c r="K66" s="9" t="s">
        <v>317</v>
      </c>
    </row>
    <row r="67" spans="1:13" ht="15.75" x14ac:dyDescent="0.25">
      <c r="I67" s="10" t="s">
        <v>318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319</v>
      </c>
      <c r="J68" s="13">
        <f>S61</f>
        <v>0</v>
      </c>
      <c r="K68" s="14"/>
    </row>
    <row r="69" spans="1:13" x14ac:dyDescent="0.25">
      <c r="I69" s="12" t="s">
        <v>320</v>
      </c>
      <c r="J69" s="13">
        <f>T61</f>
        <v>0</v>
      </c>
      <c r="K69" s="14"/>
    </row>
    <row r="70" spans="1:13" x14ac:dyDescent="0.25">
      <c r="I70" s="12" t="s">
        <v>321</v>
      </c>
      <c r="J70" s="13">
        <f>U61</f>
        <v>0</v>
      </c>
      <c r="K70" s="14"/>
    </row>
    <row r="71" spans="1:13" x14ac:dyDescent="0.25">
      <c r="I71" s="12" t="s">
        <v>322</v>
      </c>
      <c r="J71" s="13">
        <f>V61</f>
        <v>0</v>
      </c>
      <c r="K71" s="14"/>
    </row>
    <row r="72" spans="1:13" ht="15.75" x14ac:dyDescent="0.25">
      <c r="I72" s="15" t="s">
        <v>323</v>
      </c>
      <c r="J72" s="16"/>
      <c r="K72" s="16"/>
    </row>
    <row r="73" spans="1:13" ht="15.75" x14ac:dyDescent="0.25">
      <c r="I73" s="17" t="s">
        <v>324</v>
      </c>
      <c r="J73" s="16"/>
      <c r="K73" s="16"/>
    </row>
    <row r="74" spans="1:13" ht="21" x14ac:dyDescent="0.35">
      <c r="I74" s="18" t="s">
        <v>325</v>
      </c>
      <c r="J74" s="19">
        <f>SUM(J67:J73)</f>
        <v>30138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766</v>
      </c>
      <c r="C77" s="2" t="s">
        <v>939</v>
      </c>
      <c r="D77" s="2">
        <v>258</v>
      </c>
      <c r="E77" s="2" t="s">
        <v>768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131</v>
      </c>
      <c r="K77" s="2" t="s">
        <v>25</v>
      </c>
      <c r="L77" s="2" t="s">
        <v>899</v>
      </c>
      <c r="M77" s="3" t="s">
        <v>566</v>
      </c>
    </row>
    <row r="79" spans="1:13" x14ac:dyDescent="0.25">
      <c r="A79" t="s">
        <v>329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292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894</v>
      </c>
    </row>
  </sheetData>
  <autoFilter ref="A2:Q60" xr:uid="{7D6B0C63-FFD1-4F91-BE34-6057FA8F75A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64" workbookViewId="0">
      <selection activeCell="A71" sqref="A71:XFD79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923</v>
      </c>
      <c r="G3" s="2" t="s">
        <v>23</v>
      </c>
      <c r="H3" s="2">
        <v>840</v>
      </c>
      <c r="I3" s="2">
        <v>0</v>
      </c>
      <c r="J3" s="2">
        <f t="shared" ref="J3:J65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131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907</v>
      </c>
      <c r="D5" s="20" t="s">
        <v>1050</v>
      </c>
      <c r="E5" s="20">
        <v>84</v>
      </c>
      <c r="F5" s="20" t="s">
        <v>909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131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286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137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131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1064</v>
      </c>
      <c r="D11" s="5"/>
      <c r="E11" s="5">
        <v>279</v>
      </c>
      <c r="F11" s="5" t="s">
        <v>649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131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131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940</v>
      </c>
      <c r="D13" s="20" t="s">
        <v>1068</v>
      </c>
      <c r="E13" s="20">
        <v>334</v>
      </c>
      <c r="F13" s="20" t="s">
        <v>152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131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152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131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157</v>
      </c>
      <c r="H15" s="5">
        <v>840</v>
      </c>
      <c r="I15" s="5">
        <v>20</v>
      </c>
      <c r="J15" s="5">
        <f t="shared" si="0"/>
        <v>820</v>
      </c>
      <c r="K15" s="5" t="s">
        <v>131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104</v>
      </c>
      <c r="H16" s="5">
        <v>815</v>
      </c>
      <c r="I16" s="5">
        <v>25</v>
      </c>
      <c r="J16" s="5">
        <f t="shared" si="0"/>
        <v>790</v>
      </c>
      <c r="K16" s="5" t="s">
        <v>131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177</v>
      </c>
      <c r="D17" s="5"/>
      <c r="E17" s="5" t="s">
        <v>178</v>
      </c>
      <c r="F17" s="5" t="s">
        <v>179</v>
      </c>
      <c r="G17" s="5" t="s">
        <v>104</v>
      </c>
      <c r="H17" s="5">
        <v>25</v>
      </c>
      <c r="I17" s="5">
        <v>25</v>
      </c>
      <c r="J17" s="5">
        <f t="shared" si="0"/>
        <v>0</v>
      </c>
      <c r="K17" s="5" t="s">
        <v>131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179</v>
      </c>
      <c r="G18" s="5" t="s">
        <v>104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186</v>
      </c>
      <c r="F19" s="5" t="s">
        <v>187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97</v>
      </c>
      <c r="B20" s="5" t="s">
        <v>19</v>
      </c>
      <c r="C20" s="5" t="s">
        <v>185</v>
      </c>
      <c r="D20" s="5"/>
      <c r="E20" s="5" t="s">
        <v>186</v>
      </c>
      <c r="F20" s="5" t="s">
        <v>187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108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879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234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97</v>
      </c>
      <c r="B32" s="5" t="s">
        <v>19</v>
      </c>
      <c r="C32" s="5" t="s">
        <v>1110</v>
      </c>
      <c r="D32" s="5"/>
      <c r="E32" s="5">
        <v>375</v>
      </c>
      <c r="F32" s="5" t="s">
        <v>234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246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281</v>
      </c>
      <c r="D35" s="5" t="s">
        <v>1115</v>
      </c>
      <c r="E35" s="5">
        <v>146</v>
      </c>
      <c r="F35" s="5" t="s">
        <v>283</v>
      </c>
      <c r="G35" s="5" t="s">
        <v>246</v>
      </c>
      <c r="H35" s="5">
        <v>860</v>
      </c>
      <c r="I35" s="5">
        <v>30</v>
      </c>
      <c r="J35" s="5">
        <f t="shared" si="0"/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104</v>
      </c>
      <c r="H36" s="5">
        <v>845</v>
      </c>
      <c r="I36" s="5">
        <v>25</v>
      </c>
      <c r="J36" s="5">
        <f t="shared" si="0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291</v>
      </c>
      <c r="G37" s="5" t="s">
        <v>292</v>
      </c>
      <c r="H37" s="5">
        <v>1075</v>
      </c>
      <c r="I37" s="5">
        <v>25</v>
      </c>
      <c r="J37" s="5">
        <f t="shared" si="0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0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42</v>
      </c>
      <c r="G40" s="5">
        <v>2</v>
      </c>
      <c r="H40" s="5">
        <v>870</v>
      </c>
      <c r="I40" s="5">
        <v>30</v>
      </c>
      <c r="J40" s="5">
        <f t="shared" si="0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42</v>
      </c>
      <c r="G41" s="5">
        <v>2</v>
      </c>
      <c r="H41" s="5">
        <v>470</v>
      </c>
      <c r="I41" s="5">
        <v>30</v>
      </c>
      <c r="J41" s="5">
        <f t="shared" si="0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64</v>
      </c>
      <c r="H42" s="5">
        <v>600</v>
      </c>
      <c r="I42" s="5">
        <v>20</v>
      </c>
      <c r="J42" s="5">
        <f t="shared" si="0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64</v>
      </c>
      <c r="H43" s="5">
        <v>510</v>
      </c>
      <c r="I43" s="5">
        <v>20</v>
      </c>
      <c r="J43" s="5">
        <f t="shared" si="0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661</v>
      </c>
      <c r="G44" s="5" t="s">
        <v>64</v>
      </c>
      <c r="H44" s="5">
        <v>400</v>
      </c>
      <c r="I44" s="5">
        <v>20</v>
      </c>
      <c r="J44" s="5">
        <f t="shared" si="0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672</v>
      </c>
      <c r="G45" s="20" t="s">
        <v>64</v>
      </c>
      <c r="H45" s="20">
        <v>2600</v>
      </c>
      <c r="I45" s="20">
        <v>25</v>
      </c>
      <c r="J45" s="20">
        <f t="shared" si="0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71</v>
      </c>
      <c r="G46" s="5" t="s">
        <v>64</v>
      </c>
      <c r="H46" s="5">
        <v>600</v>
      </c>
      <c r="I46" s="5">
        <v>20</v>
      </c>
      <c r="J46" s="5">
        <f t="shared" si="0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64</v>
      </c>
      <c r="H47" s="5">
        <v>980</v>
      </c>
      <c r="I47" s="5">
        <v>20</v>
      </c>
      <c r="J47" s="5">
        <f t="shared" si="0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821</v>
      </c>
      <c r="G48" s="5" t="s">
        <v>76</v>
      </c>
      <c r="H48" s="5">
        <v>735</v>
      </c>
      <c r="I48" s="5">
        <v>25</v>
      </c>
      <c r="J48" s="5">
        <f t="shared" si="0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821</v>
      </c>
      <c r="G49" s="5" t="s">
        <v>76</v>
      </c>
      <c r="H49" s="5">
        <v>580</v>
      </c>
      <c r="I49" s="5">
        <v>0</v>
      </c>
      <c r="J49" s="5">
        <f t="shared" si="0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97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76</v>
      </c>
      <c r="H50" s="5">
        <v>30</v>
      </c>
      <c r="I50" s="5">
        <v>30</v>
      </c>
      <c r="J50" s="5">
        <f t="shared" si="0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846</v>
      </c>
      <c r="G51" s="5" t="s">
        <v>76</v>
      </c>
      <c r="H51" s="5">
        <v>405</v>
      </c>
      <c r="I51" s="5">
        <v>25</v>
      </c>
      <c r="J51" s="5">
        <f t="shared" si="0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860</v>
      </c>
      <c r="F52" s="5" t="s">
        <v>861</v>
      </c>
      <c r="G52" s="5" t="s">
        <v>76</v>
      </c>
      <c r="H52" s="5">
        <v>605</v>
      </c>
      <c r="I52" s="5">
        <v>25</v>
      </c>
      <c r="J52" s="5">
        <f t="shared" si="0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76</v>
      </c>
      <c r="H53" s="5">
        <v>855</v>
      </c>
      <c r="I53" s="5">
        <v>25</v>
      </c>
      <c r="J53" s="5">
        <f t="shared" si="0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88</v>
      </c>
      <c r="G54" s="5" t="s">
        <v>76</v>
      </c>
      <c r="H54" s="5">
        <v>1555</v>
      </c>
      <c r="I54" s="5">
        <v>25</v>
      </c>
      <c r="J54" s="5">
        <f t="shared" si="0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308</v>
      </c>
      <c r="D55" s="5" t="s">
        <v>1169</v>
      </c>
      <c r="E55" s="5">
        <v>310</v>
      </c>
      <c r="F55" s="5" t="s">
        <v>92</v>
      </c>
      <c r="G55" s="5" t="s">
        <v>76</v>
      </c>
      <c r="H55" s="5">
        <v>845</v>
      </c>
      <c r="I55" s="5">
        <v>25</v>
      </c>
      <c r="J55" s="5">
        <f t="shared" si="0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96</v>
      </c>
      <c r="G56" s="5" t="s">
        <v>76</v>
      </c>
      <c r="H56" s="5">
        <v>855</v>
      </c>
      <c r="I56" s="5">
        <v>25</v>
      </c>
      <c r="J56" s="5">
        <f t="shared" si="0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97</v>
      </c>
      <c r="B57" s="5" t="s">
        <v>19</v>
      </c>
      <c r="C57" s="5" t="s">
        <v>98</v>
      </c>
      <c r="D57" s="5"/>
      <c r="E57" s="5">
        <v>403</v>
      </c>
      <c r="F57" s="5" t="s">
        <v>99</v>
      </c>
      <c r="G57" s="5" t="s">
        <v>76</v>
      </c>
      <c r="H57" s="5">
        <v>30</v>
      </c>
      <c r="I57" s="5">
        <v>30</v>
      </c>
      <c r="J57" s="5">
        <f t="shared" si="0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872</v>
      </c>
      <c r="G58" s="5" t="s">
        <v>76</v>
      </c>
      <c r="H58" s="5">
        <v>0</v>
      </c>
      <c r="I58" s="5">
        <v>25</v>
      </c>
      <c r="J58" s="5">
        <f t="shared" si="0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97</v>
      </c>
      <c r="B59" s="5" t="s">
        <v>19</v>
      </c>
      <c r="C59" s="5" t="s">
        <v>1176</v>
      </c>
      <c r="D59" s="5"/>
      <c r="E59" s="5">
        <v>58</v>
      </c>
      <c r="F59" s="5" t="s">
        <v>249</v>
      </c>
      <c r="G59" s="5" t="s">
        <v>109</v>
      </c>
      <c r="H59" s="5">
        <v>35</v>
      </c>
      <c r="I59" s="5">
        <v>35</v>
      </c>
      <c r="J59" s="5">
        <f t="shared" si="0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879</v>
      </c>
      <c r="G60" s="5" t="s">
        <v>109</v>
      </c>
      <c r="H60" s="5">
        <v>850</v>
      </c>
      <c r="I60" s="5">
        <v>30</v>
      </c>
      <c r="J60" s="5">
        <f t="shared" si="0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264</v>
      </c>
      <c r="G61" s="5" t="s">
        <v>109</v>
      </c>
      <c r="H61" s="5">
        <v>470</v>
      </c>
      <c r="I61" s="5">
        <v>30</v>
      </c>
      <c r="J61" s="5">
        <f t="shared" si="0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0"/>
        <v>380</v>
      </c>
      <c r="K62" s="5" t="s">
        <v>126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0"/>
        <v>490</v>
      </c>
      <c r="K63" s="5" t="s">
        <v>126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0"/>
        <v>840</v>
      </c>
      <c r="K64" s="5" t="s">
        <v>126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0"/>
        <v>440</v>
      </c>
      <c r="K65" s="5" t="s">
        <v>126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>SUBTOTAL(9,H3:H66)</f>
        <v>35055</v>
      </c>
      <c r="I67">
        <f t="shared" ref="I67:S67" si="1">SUBTOTAL(9,I3:I66)</f>
        <v>1585</v>
      </c>
      <c r="J67">
        <f t="shared" si="1"/>
        <v>33470</v>
      </c>
      <c r="K67">
        <f t="shared" si="1"/>
        <v>0</v>
      </c>
      <c r="L67">
        <f t="shared" si="1"/>
        <v>0</v>
      </c>
      <c r="M67">
        <f t="shared" si="1"/>
        <v>0</v>
      </c>
      <c r="N67">
        <f t="shared" si="1"/>
        <v>0</v>
      </c>
      <c r="O67">
        <f t="shared" si="1"/>
        <v>0</v>
      </c>
      <c r="P67">
        <f t="shared" si="1"/>
        <v>0</v>
      </c>
      <c r="Q67">
        <f t="shared" si="1"/>
        <v>0</v>
      </c>
      <c r="R67">
        <f t="shared" si="1"/>
        <v>63</v>
      </c>
      <c r="S67">
        <f t="shared" si="1"/>
        <v>420</v>
      </c>
    </row>
    <row r="68" spans="1:19" x14ac:dyDescent="0.25">
      <c r="J68">
        <v>-840</v>
      </c>
      <c r="K68" t="s">
        <v>1196</v>
      </c>
    </row>
    <row r="71" spans="1:19" ht="20.25" customHeight="1" x14ac:dyDescent="0.3">
      <c r="I71" s="7" t="s">
        <v>1195</v>
      </c>
      <c r="J71" s="8" t="s">
        <v>316</v>
      </c>
      <c r="K71" s="9" t="s">
        <v>317</v>
      </c>
    </row>
    <row r="72" spans="1:19" ht="15.75" x14ac:dyDescent="0.25">
      <c r="I72" s="10" t="s">
        <v>318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319</v>
      </c>
      <c r="J73" s="13">
        <f>S66</f>
        <v>0</v>
      </c>
      <c r="K73" s="14"/>
    </row>
    <row r="74" spans="1:19" x14ac:dyDescent="0.25">
      <c r="I74" s="12" t="s">
        <v>320</v>
      </c>
      <c r="J74" s="13">
        <f>T66</f>
        <v>0</v>
      </c>
      <c r="K74" s="14"/>
    </row>
    <row r="75" spans="1:19" x14ac:dyDescent="0.25">
      <c r="I75" s="12" t="s">
        <v>321</v>
      </c>
      <c r="J75" s="13">
        <f>U66</f>
        <v>0</v>
      </c>
      <c r="K75" s="14"/>
    </row>
    <row r="76" spans="1:19" x14ac:dyDescent="0.25">
      <c r="I76" s="12" t="s">
        <v>322</v>
      </c>
      <c r="J76" s="13">
        <f>V66</f>
        <v>0</v>
      </c>
      <c r="K76" s="14"/>
    </row>
    <row r="77" spans="1:19" ht="15.75" x14ac:dyDescent="0.25">
      <c r="I77" s="15" t="s">
        <v>323</v>
      </c>
      <c r="J77" s="16"/>
      <c r="K77" s="16"/>
    </row>
    <row r="78" spans="1:19" ht="15.75" x14ac:dyDescent="0.25">
      <c r="I78" s="17" t="s">
        <v>324</v>
      </c>
      <c r="J78" s="16"/>
      <c r="K78" s="16"/>
    </row>
    <row r="79" spans="1:19" ht="21" x14ac:dyDescent="0.35">
      <c r="I79" s="18" t="s">
        <v>325</v>
      </c>
      <c r="J79" s="19">
        <f>SUM(J72:J78)</f>
        <v>32630</v>
      </c>
      <c r="K79" s="19">
        <f>SUM(K72:K76)</f>
        <v>63</v>
      </c>
    </row>
  </sheetData>
  <autoFilter ref="A2:Q65" xr:uid="{27D6E1FA-A257-4DB1-A158-B07A0A13AA4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topLeftCell="A28" workbookViewId="0">
      <selection activeCell="A43" sqref="A43:XFD51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1199</v>
      </c>
      <c r="D3" s="5" t="s">
        <v>1200</v>
      </c>
      <c r="E3" s="5" t="s">
        <v>1201</v>
      </c>
      <c r="F3" s="5" t="s">
        <v>1202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131</v>
      </c>
      <c r="L3" s="5" t="s">
        <v>25</v>
      </c>
      <c r="M3" s="5" t="s">
        <v>1203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1204</v>
      </c>
      <c r="D4" s="5" t="s">
        <v>1205</v>
      </c>
      <c r="E4" s="5">
        <v>120</v>
      </c>
      <c r="F4" s="5" t="s">
        <v>1206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1203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1207</v>
      </c>
      <c r="D5" s="5" t="s">
        <v>1208</v>
      </c>
      <c r="E5" s="5">
        <v>242</v>
      </c>
      <c r="F5" s="5" t="s">
        <v>902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1203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1209</v>
      </c>
      <c r="D6" s="5" t="s">
        <v>1210</v>
      </c>
      <c r="E6" s="5" t="s">
        <v>1211</v>
      </c>
      <c r="F6" s="5" t="s">
        <v>906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131</v>
      </c>
      <c r="L6" s="5" t="s">
        <v>25</v>
      </c>
      <c r="M6" s="5" t="s">
        <v>1203</v>
      </c>
      <c r="N6" s="5"/>
      <c r="O6" s="5"/>
      <c r="P6" s="5"/>
      <c r="Q6" s="5"/>
      <c r="R6">
        <v>1</v>
      </c>
    </row>
    <row r="7" spans="1:19" x14ac:dyDescent="0.25">
      <c r="A7" s="5" t="s">
        <v>97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131</v>
      </c>
      <c r="L7" s="5" t="s">
        <v>25</v>
      </c>
      <c r="M7" s="5" t="s">
        <v>1203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1212</v>
      </c>
      <c r="D8" s="5" t="s">
        <v>1213</v>
      </c>
      <c r="E8" s="5" t="s">
        <v>1214</v>
      </c>
      <c r="F8" s="5" t="s">
        <v>1215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131</v>
      </c>
      <c r="L8" s="5" t="s">
        <v>25</v>
      </c>
      <c r="M8" s="5" t="s">
        <v>1203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1216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1203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1217</v>
      </c>
      <c r="D10" s="5" t="s">
        <v>1218</v>
      </c>
      <c r="E10" s="5">
        <v>980</v>
      </c>
      <c r="F10" s="5" t="s">
        <v>1219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131</v>
      </c>
      <c r="L10" s="5" t="s">
        <v>25</v>
      </c>
      <c r="M10" s="5" t="s">
        <v>1203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1220</v>
      </c>
      <c r="D11" s="5" t="s">
        <v>1221</v>
      </c>
      <c r="E11" s="5" t="s">
        <v>143</v>
      </c>
      <c r="F11" s="5" t="s">
        <v>140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1203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1222</v>
      </c>
      <c r="D12" s="5" t="s">
        <v>1223</v>
      </c>
      <c r="E12" s="5" t="s">
        <v>1224</v>
      </c>
      <c r="F12" s="5" t="s">
        <v>642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1225</v>
      </c>
      <c r="L12" s="5" t="s">
        <v>25</v>
      </c>
      <c r="M12" s="5" t="s">
        <v>1203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1226</v>
      </c>
      <c r="D13" s="5" t="s">
        <v>1227</v>
      </c>
      <c r="E13" s="5" t="s">
        <v>1228</v>
      </c>
      <c r="F13" s="5" t="s">
        <v>1229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1225</v>
      </c>
      <c r="L13" s="5" t="s">
        <v>25</v>
      </c>
      <c r="M13" s="5" t="s">
        <v>1203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1230</v>
      </c>
      <c r="E14" s="5" t="s">
        <v>1231</v>
      </c>
      <c r="F14" s="5" t="s">
        <v>1232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1225</v>
      </c>
      <c r="L14" s="5" t="s">
        <v>25</v>
      </c>
      <c r="M14" s="5" t="s">
        <v>1203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1233</v>
      </c>
      <c r="D15" s="5" t="s">
        <v>1234</v>
      </c>
      <c r="E15" s="5" t="s">
        <v>1235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1225</v>
      </c>
      <c r="L15" s="5" t="s">
        <v>25</v>
      </c>
      <c r="M15" s="5" t="s">
        <v>1203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1236</v>
      </c>
      <c r="D16" s="5" t="s">
        <v>1237</v>
      </c>
      <c r="E16" s="5" t="s">
        <v>1238</v>
      </c>
      <c r="F16" s="5" t="s">
        <v>1239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1225</v>
      </c>
      <c r="L16" s="5" t="s">
        <v>25</v>
      </c>
      <c r="M16" s="5" t="s">
        <v>1203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1240</v>
      </c>
      <c r="D17" s="5" t="s">
        <v>1241</v>
      </c>
      <c r="E17" s="5">
        <v>747</v>
      </c>
      <c r="F17" s="5" t="s">
        <v>1242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1225</v>
      </c>
      <c r="L17" s="5" t="s">
        <v>25</v>
      </c>
      <c r="M17" s="5" t="s">
        <v>1203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1243</v>
      </c>
      <c r="D18" s="5" t="s">
        <v>1244</v>
      </c>
      <c r="E18" s="5">
        <v>375</v>
      </c>
      <c r="F18" s="5" t="s">
        <v>1245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1225</v>
      </c>
      <c r="L18" s="5" t="s">
        <v>25</v>
      </c>
      <c r="M18" s="5" t="s">
        <v>1203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1246</v>
      </c>
      <c r="D19" s="5" t="s">
        <v>1247</v>
      </c>
      <c r="E19" s="5" t="s">
        <v>1248</v>
      </c>
      <c r="F19" s="5" t="s">
        <v>1249</v>
      </c>
      <c r="G19" s="5" t="s">
        <v>246</v>
      </c>
      <c r="H19" s="5">
        <v>0</v>
      </c>
      <c r="I19" s="5">
        <v>30</v>
      </c>
      <c r="J19" s="5">
        <f t="shared" si="0"/>
        <v>-30</v>
      </c>
      <c r="K19" s="5" t="s">
        <v>1225</v>
      </c>
      <c r="L19" s="5" t="s">
        <v>25</v>
      </c>
      <c r="M19" s="5" t="s">
        <v>1203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1250</v>
      </c>
      <c r="D20" s="5" t="s">
        <v>1251</v>
      </c>
      <c r="E20" s="5" t="s">
        <v>428</v>
      </c>
      <c r="F20" s="5" t="s">
        <v>429</v>
      </c>
      <c r="G20" s="5" t="s">
        <v>246</v>
      </c>
      <c r="H20" s="5">
        <v>0</v>
      </c>
      <c r="I20" s="5">
        <v>30</v>
      </c>
      <c r="J20" s="5">
        <f t="shared" si="0"/>
        <v>-30</v>
      </c>
      <c r="K20" s="5" t="s">
        <v>1225</v>
      </c>
      <c r="L20" s="5" t="s">
        <v>25</v>
      </c>
      <c r="M20" s="5" t="s">
        <v>1203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97</v>
      </c>
      <c r="B21" s="5" t="s">
        <v>19</v>
      </c>
      <c r="C21" s="5" t="s">
        <v>838</v>
      </c>
      <c r="D21" s="5"/>
      <c r="E21" s="5" t="s">
        <v>839</v>
      </c>
      <c r="F21" s="5" t="s">
        <v>760</v>
      </c>
      <c r="G21" s="5" t="s">
        <v>104</v>
      </c>
      <c r="H21" s="5">
        <v>4365</v>
      </c>
      <c r="I21" s="5">
        <v>15</v>
      </c>
      <c r="J21" s="5">
        <f t="shared" si="0"/>
        <v>4350</v>
      </c>
      <c r="K21" s="5" t="s">
        <v>1225</v>
      </c>
      <c r="L21" s="5" t="s">
        <v>25</v>
      </c>
      <c r="M21" s="5" t="s">
        <v>1203</v>
      </c>
      <c r="N21" s="6" t="s">
        <v>1252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1253</v>
      </c>
      <c r="D22" s="5" t="s">
        <v>1254</v>
      </c>
      <c r="E22" s="5">
        <v>41</v>
      </c>
      <c r="F22" s="5" t="s">
        <v>1255</v>
      </c>
      <c r="G22" s="5" t="s">
        <v>292</v>
      </c>
      <c r="H22" s="5">
        <v>835</v>
      </c>
      <c r="I22" s="5">
        <v>25</v>
      </c>
      <c r="J22" s="5">
        <f t="shared" si="0"/>
        <v>810</v>
      </c>
      <c r="K22" s="5" t="s">
        <v>1225</v>
      </c>
      <c r="L22" s="5" t="s">
        <v>25</v>
      </c>
      <c r="M22" s="5" t="s">
        <v>1203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1256</v>
      </c>
      <c r="D23" s="5" t="s">
        <v>1257</v>
      </c>
      <c r="E23" s="5" t="s">
        <v>1258</v>
      </c>
      <c r="F23" s="5" t="s">
        <v>296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1203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1259</v>
      </c>
      <c r="D24" s="5" t="s">
        <v>1260</v>
      </c>
      <c r="E24" s="5" t="s">
        <v>1261</v>
      </c>
      <c r="F24" s="5" t="s">
        <v>1262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1203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1263</v>
      </c>
      <c r="D25" s="5" t="s">
        <v>1264</v>
      </c>
      <c r="E25" s="5" t="s">
        <v>1265</v>
      </c>
      <c r="F25" s="5" t="s">
        <v>1266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1203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1267</v>
      </c>
      <c r="E26" s="5" t="s">
        <v>41</v>
      </c>
      <c r="F26" s="5" t="s">
        <v>42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1203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1268</v>
      </c>
      <c r="D27" s="5" t="s">
        <v>1269</v>
      </c>
      <c r="E27" s="5" t="s">
        <v>1270</v>
      </c>
      <c r="F27" s="5" t="s">
        <v>68</v>
      </c>
      <c r="G27" s="5" t="s">
        <v>64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1203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1271</v>
      </c>
      <c r="D28" s="5" t="s">
        <v>1272</v>
      </c>
      <c r="E28" s="5" t="s">
        <v>1273</v>
      </c>
      <c r="F28" s="5" t="s">
        <v>861</v>
      </c>
      <c r="G28" s="5" t="s">
        <v>76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1203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858</v>
      </c>
      <c r="D29" s="5" t="s">
        <v>1274</v>
      </c>
      <c r="E29" s="5" t="s">
        <v>860</v>
      </c>
      <c r="F29" s="5" t="s">
        <v>861</v>
      </c>
      <c r="G29" s="5" t="s">
        <v>76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1203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1275</v>
      </c>
      <c r="E30" s="20" t="s">
        <v>1172</v>
      </c>
      <c r="F30" s="20" t="s">
        <v>96</v>
      </c>
      <c r="G30" s="20" t="s">
        <v>76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1203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97</v>
      </c>
      <c r="B31" s="5" t="s">
        <v>19</v>
      </c>
      <c r="C31" s="5" t="s">
        <v>867</v>
      </c>
      <c r="D31" s="5"/>
      <c r="E31" s="5">
        <v>401</v>
      </c>
      <c r="F31" s="5" t="s">
        <v>481</v>
      </c>
      <c r="G31" s="5" t="s">
        <v>76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1203</v>
      </c>
      <c r="N31" s="5"/>
      <c r="O31" s="5"/>
      <c r="P31" s="5"/>
      <c r="Q31" s="5"/>
      <c r="R31">
        <v>1</v>
      </c>
    </row>
    <row r="32" spans="1:19" x14ac:dyDescent="0.25">
      <c r="A32" s="5" t="s">
        <v>97</v>
      </c>
      <c r="B32" s="5" t="s">
        <v>19</v>
      </c>
      <c r="C32" s="5" t="s">
        <v>482</v>
      </c>
      <c r="D32" s="5"/>
      <c r="E32" s="5">
        <v>685</v>
      </c>
      <c r="F32" s="5" t="s">
        <v>99</v>
      </c>
      <c r="G32" s="5" t="s">
        <v>76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1203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1276</v>
      </c>
      <c r="E33" s="5" t="s">
        <v>364</v>
      </c>
      <c r="F33" s="5" t="s">
        <v>361</v>
      </c>
      <c r="G33" s="5" t="s">
        <v>104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1203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1277</v>
      </c>
      <c r="D34" s="5" t="s">
        <v>1278</v>
      </c>
      <c r="E34" s="5" t="s">
        <v>1279</v>
      </c>
      <c r="F34" s="5" t="s">
        <v>1280</v>
      </c>
      <c r="G34" s="5" t="s">
        <v>109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1203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1281</v>
      </c>
      <c r="D35" s="5" t="s">
        <v>1282</v>
      </c>
      <c r="E35" s="5" t="s">
        <v>1283</v>
      </c>
      <c r="F35" s="5" t="s">
        <v>1284</v>
      </c>
      <c r="G35" s="5" t="s">
        <v>109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1203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1285</v>
      </c>
      <c r="D36" s="5" t="s">
        <v>1286</v>
      </c>
      <c r="E36" s="5" t="s">
        <v>1287</v>
      </c>
      <c r="F36" s="5" t="s">
        <v>672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126</v>
      </c>
      <c r="L36" s="5" t="s">
        <v>25</v>
      </c>
      <c r="M36" s="5" t="s">
        <v>1203</v>
      </c>
      <c r="N36" s="5"/>
      <c r="O36" s="5"/>
      <c r="P36" s="5"/>
      <c r="Q36" s="5"/>
      <c r="R36">
        <v>1</v>
      </c>
    </row>
    <row r="37" spans="1:19" x14ac:dyDescent="0.25">
      <c r="A37" s="5" t="s">
        <v>97</v>
      </c>
      <c r="B37" s="5" t="s">
        <v>19</v>
      </c>
      <c r="C37" s="5" t="s">
        <v>1288</v>
      </c>
      <c r="D37" s="5"/>
      <c r="E37" s="5" t="s">
        <v>1289</v>
      </c>
      <c r="F37" s="5" t="s">
        <v>672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126</v>
      </c>
      <c r="L37" s="5" t="s">
        <v>25</v>
      </c>
      <c r="M37" s="5" t="s">
        <v>1203</v>
      </c>
      <c r="N37" s="5"/>
      <c r="O37" s="5"/>
      <c r="P37" s="5"/>
      <c r="Q37" s="5"/>
      <c r="R37">
        <v>1</v>
      </c>
    </row>
    <row r="39" spans="1:19" x14ac:dyDescent="0.25">
      <c r="H39">
        <f>SUBTOTAL(9,H3:H38)</f>
        <v>24660</v>
      </c>
      <c r="I39">
        <f t="shared" ref="I39:S39" si="1">SUBTOTAL(9,I3:I38)</f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1291</v>
      </c>
    </row>
    <row r="41" spans="1:19" x14ac:dyDescent="0.25">
      <c r="J41">
        <v>-510</v>
      </c>
      <c r="K41" t="s">
        <v>329</v>
      </c>
    </row>
    <row r="43" spans="1:19" ht="20.25" customHeight="1" x14ac:dyDescent="0.3">
      <c r="I43" s="7" t="s">
        <v>1290</v>
      </c>
      <c r="J43" s="8" t="s">
        <v>316</v>
      </c>
      <c r="K43" s="9" t="s">
        <v>317</v>
      </c>
    </row>
    <row r="44" spans="1:19" ht="15.75" x14ac:dyDescent="0.25">
      <c r="I44" s="10" t="s">
        <v>318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319</v>
      </c>
      <c r="J45" s="13">
        <f>S38</f>
        <v>0</v>
      </c>
      <c r="K45" s="14"/>
    </row>
    <row r="46" spans="1:19" x14ac:dyDescent="0.25">
      <c r="I46" s="12" t="s">
        <v>320</v>
      </c>
      <c r="J46" s="13">
        <f>T38</f>
        <v>0</v>
      </c>
      <c r="K46" s="14"/>
    </row>
    <row r="47" spans="1:19" x14ac:dyDescent="0.25">
      <c r="I47" s="12" t="s">
        <v>321</v>
      </c>
      <c r="J47" s="13">
        <f>U38</f>
        <v>0</v>
      </c>
      <c r="K47" s="14"/>
    </row>
    <row r="48" spans="1:19" x14ac:dyDescent="0.25">
      <c r="I48" s="12" t="s">
        <v>322</v>
      </c>
      <c r="J48" s="13">
        <f>V38</f>
        <v>0</v>
      </c>
      <c r="K48" s="14"/>
    </row>
    <row r="49" spans="1:13" ht="15.75" x14ac:dyDescent="0.25">
      <c r="I49" s="15" t="s">
        <v>323</v>
      </c>
      <c r="J49" s="16"/>
      <c r="K49" s="16"/>
    </row>
    <row r="50" spans="1:13" ht="15.75" x14ac:dyDescent="0.25">
      <c r="I50" s="17" t="s">
        <v>324</v>
      </c>
      <c r="J50" s="16"/>
      <c r="K50" s="16"/>
    </row>
    <row r="51" spans="1:13" ht="21" x14ac:dyDescent="0.35">
      <c r="I51" s="18" t="s">
        <v>325</v>
      </c>
      <c r="J51" s="19">
        <f>SUM(J44:J50)</f>
        <v>19745</v>
      </c>
      <c r="K51" s="19">
        <f>SUM(K44:K48)</f>
        <v>35</v>
      </c>
    </row>
    <row r="53" spans="1:13" x14ac:dyDescent="0.25">
      <c r="A53" t="s">
        <v>329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64</v>
      </c>
      <c r="G54" s="2">
        <v>510</v>
      </c>
      <c r="H54" s="2">
        <v>0</v>
      </c>
      <c r="I54" s="2">
        <f t="shared" ref="I54" si="2">G54-H54</f>
        <v>510</v>
      </c>
      <c r="J54" s="2" t="s">
        <v>24</v>
      </c>
      <c r="K54" s="2" t="s">
        <v>25</v>
      </c>
      <c r="L54" s="2" t="s">
        <v>1046</v>
      </c>
      <c r="M54" s="3" t="s">
        <v>1198</v>
      </c>
    </row>
  </sheetData>
  <autoFilter ref="A2:Q37" xr:uid="{615356BA-AF5B-4830-AD42-B26F9FDBD9E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topLeftCell="A10" workbookViewId="0">
      <selection activeCell="A30" sqref="A30:XFD38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202</v>
      </c>
      <c r="G3" s="2" t="s">
        <v>76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131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131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157</v>
      </c>
      <c r="H7" s="5">
        <v>390</v>
      </c>
      <c r="I7" s="5">
        <v>20</v>
      </c>
      <c r="J7" s="5">
        <f t="shared" si="0"/>
        <v>370</v>
      </c>
      <c r="K7" s="5" t="s">
        <v>131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104</v>
      </c>
      <c r="H8" s="5">
        <v>395</v>
      </c>
      <c r="I8" s="5">
        <v>25</v>
      </c>
      <c r="J8" s="5">
        <f t="shared" si="0"/>
        <v>370</v>
      </c>
      <c r="K8" s="5" t="s">
        <v>131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137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131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138</v>
      </c>
      <c r="D10" s="5" t="s">
        <v>1318</v>
      </c>
      <c r="E10" s="5">
        <v>230</v>
      </c>
      <c r="F10" s="5" t="s">
        <v>140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131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157</v>
      </c>
      <c r="H11" s="5">
        <v>840</v>
      </c>
      <c r="I11" s="5">
        <v>20</v>
      </c>
      <c r="J11" s="5">
        <f t="shared" si="0"/>
        <v>820</v>
      </c>
      <c r="K11" s="5" t="s">
        <v>131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264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1233</v>
      </c>
      <c r="D13" s="5" t="s">
        <v>1326</v>
      </c>
      <c r="E13" s="5" t="s">
        <v>1235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246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246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97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292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770</v>
      </c>
      <c r="D17" s="5" t="s">
        <v>1334</v>
      </c>
      <c r="E17" s="5" t="s">
        <v>1335</v>
      </c>
      <c r="F17" s="5" t="s">
        <v>124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643</v>
      </c>
      <c r="D18" s="20" t="s">
        <v>1336</v>
      </c>
      <c r="E18" s="20" t="s">
        <v>1337</v>
      </c>
      <c r="F18" s="20" t="s">
        <v>1015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64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64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92</v>
      </c>
      <c r="G21" s="5" t="s">
        <v>76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96</v>
      </c>
      <c r="G22" s="5" t="s">
        <v>104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104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126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>SUBTOTAL(9,H3:H25)</f>
        <v>19680</v>
      </c>
      <c r="I26">
        <f t="shared" ref="I26:S26" si="1">SUBTOTAL(9,I3:I25)</f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1357</v>
      </c>
    </row>
    <row r="30" spans="1:19" ht="20.25" customHeight="1" x14ac:dyDescent="0.3">
      <c r="I30" s="7" t="s">
        <v>1356</v>
      </c>
      <c r="J30" s="8" t="s">
        <v>316</v>
      </c>
      <c r="K30" s="9" t="s">
        <v>317</v>
      </c>
    </row>
    <row r="31" spans="1:19" ht="15.75" x14ac:dyDescent="0.25">
      <c r="I31" s="10" t="s">
        <v>318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319</v>
      </c>
      <c r="J32" s="13">
        <f>S25</f>
        <v>0</v>
      </c>
      <c r="K32" s="14"/>
    </row>
    <row r="33" spans="9:11" x14ac:dyDescent="0.25">
      <c r="I33" s="12" t="s">
        <v>320</v>
      </c>
      <c r="J33" s="13">
        <f>T25</f>
        <v>0</v>
      </c>
      <c r="K33" s="14"/>
    </row>
    <row r="34" spans="9:11" x14ac:dyDescent="0.25">
      <c r="I34" s="12" t="s">
        <v>321</v>
      </c>
      <c r="J34" s="13">
        <f>U25</f>
        <v>0</v>
      </c>
      <c r="K34" s="14"/>
    </row>
    <row r="35" spans="9:11" x14ac:dyDescent="0.25">
      <c r="I35" s="12" t="s">
        <v>322</v>
      </c>
      <c r="J35" s="13">
        <f>V25</f>
        <v>0</v>
      </c>
      <c r="K35" s="14"/>
    </row>
    <row r="36" spans="9:11" ht="15.75" x14ac:dyDescent="0.25">
      <c r="I36" s="15" t="s">
        <v>323</v>
      </c>
      <c r="J36" s="16"/>
      <c r="K36" s="16"/>
    </row>
    <row r="37" spans="9:11" ht="15.75" x14ac:dyDescent="0.25">
      <c r="I37" s="17" t="s">
        <v>324</v>
      </c>
      <c r="J37" s="16"/>
      <c r="K37" s="16"/>
    </row>
    <row r="38" spans="9:11" ht="21" x14ac:dyDescent="0.35">
      <c r="I38" s="18" t="s">
        <v>325</v>
      </c>
      <c r="J38" s="19">
        <f>SUM(J31:J37)</f>
        <v>18185</v>
      </c>
      <c r="K38" s="19">
        <f>SUM(K31:K35)</f>
        <v>22</v>
      </c>
    </row>
  </sheetData>
  <autoFilter ref="A2:Q24" xr:uid="{5C74C9ED-F8DE-469E-AE6A-E6CC8959114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topLeftCell="A34" workbookViewId="0">
      <selection activeCell="J51" sqref="J51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131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97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131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131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649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131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157</v>
      </c>
      <c r="H8" s="5">
        <v>390</v>
      </c>
      <c r="I8" s="5">
        <v>20</v>
      </c>
      <c r="J8" s="5">
        <f t="shared" si="0"/>
        <v>370</v>
      </c>
      <c r="K8" s="5" t="s">
        <v>131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104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97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104</v>
      </c>
      <c r="H10" s="5">
        <v>1270</v>
      </c>
      <c r="I10" s="5">
        <v>30</v>
      </c>
      <c r="J10" s="5">
        <f t="shared" si="0"/>
        <v>1240</v>
      </c>
      <c r="K10" s="5" t="s">
        <v>131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104</v>
      </c>
      <c r="H11" s="5">
        <v>605</v>
      </c>
      <c r="I11" s="5">
        <v>25</v>
      </c>
      <c r="J11" s="5">
        <f t="shared" si="0"/>
        <v>580</v>
      </c>
      <c r="K11" s="5" t="s">
        <v>131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104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104</v>
      </c>
      <c r="H13" s="5">
        <v>385</v>
      </c>
      <c r="I13" s="5">
        <v>25</v>
      </c>
      <c r="J13" s="5">
        <f t="shared" si="0"/>
        <v>360</v>
      </c>
      <c r="K13" s="5" t="s">
        <v>131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179</v>
      </c>
      <c r="G14" s="5" t="s">
        <v>104</v>
      </c>
      <c r="H14" s="5">
        <v>995</v>
      </c>
      <c r="I14" s="5">
        <v>25</v>
      </c>
      <c r="J14" s="5">
        <f t="shared" si="0"/>
        <v>970</v>
      </c>
      <c r="K14" s="5" t="s">
        <v>131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97</v>
      </c>
      <c r="B15" s="5" t="s">
        <v>19</v>
      </c>
      <c r="C15" s="5" t="s">
        <v>177</v>
      </c>
      <c r="D15" s="5"/>
      <c r="E15" s="5" t="s">
        <v>178</v>
      </c>
      <c r="F15" s="5" t="s">
        <v>179</v>
      </c>
      <c r="G15" s="5" t="s">
        <v>104</v>
      </c>
      <c r="H15" s="5">
        <v>0</v>
      </c>
      <c r="I15" s="5">
        <v>25</v>
      </c>
      <c r="J15" s="5">
        <f t="shared" si="0"/>
        <v>-25</v>
      </c>
      <c r="K15" s="5" t="s">
        <v>131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108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97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108</v>
      </c>
      <c r="G20" s="5" t="s">
        <v>76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76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76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97</v>
      </c>
      <c r="B23" s="5" t="s">
        <v>19</v>
      </c>
      <c r="C23" s="5" t="s">
        <v>98</v>
      </c>
      <c r="D23" s="5"/>
      <c r="E23" s="5">
        <v>403</v>
      </c>
      <c r="F23" s="5" t="s">
        <v>99</v>
      </c>
      <c r="G23" s="5" t="s">
        <v>76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76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109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97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76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108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257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879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785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785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968</v>
      </c>
      <c r="D34" s="5" t="s">
        <v>1436</v>
      </c>
      <c r="E34" s="5" t="s">
        <v>1437</v>
      </c>
      <c r="F34" s="5" t="s">
        <v>209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692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218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218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238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268</v>
      </c>
      <c r="G41" s="5" t="s">
        <v>246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272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97</v>
      </c>
      <c r="B43" s="5" t="s">
        <v>19</v>
      </c>
      <c r="C43" s="5" t="s">
        <v>838</v>
      </c>
      <c r="D43" s="5"/>
      <c r="E43" s="5" t="s">
        <v>839</v>
      </c>
      <c r="F43" s="5" t="s">
        <v>1463</v>
      </c>
      <c r="G43" s="5" t="s">
        <v>104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292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>SUBTOTAL(9,H3:H45)</f>
        <v>24215</v>
      </c>
      <c r="I46">
        <f t="shared" ref="I46:S46" si="1">SUBTOTAL(9,I3:I45)</f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1469</v>
      </c>
    </row>
    <row r="50" spans="9:11" ht="20.25" customHeight="1" x14ac:dyDescent="0.3">
      <c r="I50" s="7" t="s">
        <v>1468</v>
      </c>
      <c r="J50" s="8" t="s">
        <v>316</v>
      </c>
      <c r="K50" s="9" t="s">
        <v>317</v>
      </c>
    </row>
    <row r="51" spans="9:11" ht="15.75" x14ac:dyDescent="0.25">
      <c r="I51" s="10" t="s">
        <v>318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319</v>
      </c>
      <c r="J52" s="13">
        <f>S45</f>
        <v>0</v>
      </c>
      <c r="K52" s="14"/>
    </row>
    <row r="53" spans="9:11" x14ac:dyDescent="0.25">
      <c r="I53" s="12" t="s">
        <v>320</v>
      </c>
      <c r="J53" s="13">
        <f>T45</f>
        <v>0</v>
      </c>
      <c r="K53" s="14"/>
    </row>
    <row r="54" spans="9:11" x14ac:dyDescent="0.25">
      <c r="I54" s="12" t="s">
        <v>321</v>
      </c>
      <c r="J54" s="13">
        <f>U45</f>
        <v>0</v>
      </c>
      <c r="K54" s="14"/>
    </row>
    <row r="55" spans="9:11" x14ac:dyDescent="0.25">
      <c r="I55" s="12" t="s">
        <v>322</v>
      </c>
      <c r="J55" s="13">
        <f>V45</f>
        <v>0</v>
      </c>
      <c r="K55" s="14"/>
    </row>
    <row r="56" spans="9:11" ht="15.75" x14ac:dyDescent="0.25">
      <c r="I56" s="15" t="s">
        <v>323</v>
      </c>
      <c r="J56" s="16"/>
      <c r="K56" s="16"/>
    </row>
    <row r="57" spans="9:11" ht="15.75" x14ac:dyDescent="0.25">
      <c r="I57" s="17" t="s">
        <v>324</v>
      </c>
      <c r="J57" s="16"/>
      <c r="K57" s="16"/>
    </row>
    <row r="58" spans="9:11" ht="21" x14ac:dyDescent="0.35">
      <c r="I58" s="18" t="s">
        <v>325</v>
      </c>
      <c r="J58" s="19">
        <f>SUM(J51:J57)</f>
        <v>22470</v>
      </c>
      <c r="K58" s="19">
        <f>SUM(K51:K55)</f>
        <v>42</v>
      </c>
    </row>
  </sheetData>
  <autoFilter ref="A2:Q44" xr:uid="{554AA4DE-3BE4-4CEC-9847-0B3313B3F64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tabSelected="1" topLeftCell="A7" zoomScaleNormal="100" workbookViewId="0">
      <selection activeCell="A27" sqref="A27:XFD27"/>
    </sheetView>
  </sheetViews>
  <sheetFormatPr defaultRowHeight="15" x14ac:dyDescent="0.25"/>
  <cols>
    <col min="3" max="3" width="18.5703125" bestFit="1" customWidth="1"/>
    <col min="4" max="4" width="9.28515625" bestFit="1" customWidth="1"/>
    <col min="5" max="5" width="12.28515625" bestFit="1" customWidth="1"/>
    <col min="6" max="6" width="18" bestFit="1" customWidth="1"/>
    <col min="13" max="13" width="12.28515625" bestFit="1" customWidth="1"/>
  </cols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131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906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131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137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131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137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131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202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131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131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152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131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945</v>
      </c>
      <c r="G10" s="5" t="s">
        <v>157</v>
      </c>
      <c r="H10" s="5">
        <v>0</v>
      </c>
      <c r="I10" s="5">
        <v>20</v>
      </c>
      <c r="J10" s="5">
        <f t="shared" si="0"/>
        <v>-20</v>
      </c>
      <c r="K10" s="5" t="s">
        <v>131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104</v>
      </c>
      <c r="H11" s="5">
        <v>745</v>
      </c>
      <c r="I11" s="5">
        <v>25</v>
      </c>
      <c r="J11" s="5">
        <f t="shared" si="0"/>
        <v>720</v>
      </c>
      <c r="K11" s="5" t="s">
        <v>131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104</v>
      </c>
      <c r="H12" s="5">
        <v>815</v>
      </c>
      <c r="I12" s="5">
        <v>25</v>
      </c>
      <c r="J12" s="5">
        <f t="shared" si="0"/>
        <v>790</v>
      </c>
      <c r="K12" s="5" t="s">
        <v>131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97</v>
      </c>
      <c r="B13" s="5" t="s">
        <v>19</v>
      </c>
      <c r="C13" s="5" t="s">
        <v>1499</v>
      </c>
      <c r="D13" s="5"/>
      <c r="E13" s="5" t="s">
        <v>1500</v>
      </c>
      <c r="F13" s="5" t="s">
        <v>179</v>
      </c>
      <c r="G13" s="5" t="s">
        <v>104</v>
      </c>
      <c r="H13" s="5">
        <v>25</v>
      </c>
      <c r="I13" s="5">
        <v>25</v>
      </c>
      <c r="J13" s="5">
        <f t="shared" si="0"/>
        <v>0</v>
      </c>
      <c r="K13" s="5" t="s">
        <v>131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97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858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209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249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219</v>
      </c>
      <c r="D23" s="5" t="s">
        <v>1525</v>
      </c>
      <c r="E23" s="5">
        <v>30</v>
      </c>
      <c r="F23" s="5" t="s">
        <v>221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252</v>
      </c>
      <c r="G26" s="5" t="s">
        <v>246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255</v>
      </c>
      <c r="D27" s="5" t="s">
        <v>1536</v>
      </c>
      <c r="E27" s="5">
        <v>2</v>
      </c>
      <c r="F27" s="5" t="s">
        <v>257</v>
      </c>
      <c r="G27" s="5" t="s">
        <v>246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104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292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672</v>
      </c>
      <c r="G31" s="5" t="s">
        <v>64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286</v>
      </c>
      <c r="G32" s="5" t="s">
        <v>76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76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97</v>
      </c>
      <c r="B34" s="5" t="s">
        <v>19</v>
      </c>
      <c r="C34" s="5" t="s">
        <v>780</v>
      </c>
      <c r="D34" s="5"/>
      <c r="E34" s="5" t="s">
        <v>664</v>
      </c>
      <c r="F34" s="5" t="s">
        <v>103</v>
      </c>
      <c r="G34" s="5" t="s">
        <v>104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1028</v>
      </c>
      <c r="D35" s="5" t="s">
        <v>1556</v>
      </c>
      <c r="E35" s="5">
        <v>72</v>
      </c>
      <c r="F35" s="5" t="s">
        <v>1030</v>
      </c>
      <c r="G35" s="5" t="s">
        <v>104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873</v>
      </c>
      <c r="D36" s="5" t="s">
        <v>1557</v>
      </c>
      <c r="E36" s="5" t="s">
        <v>875</v>
      </c>
      <c r="F36" s="5" t="s">
        <v>876</v>
      </c>
      <c r="G36" s="5" t="s">
        <v>104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879</v>
      </c>
      <c r="G37" s="5" t="s">
        <v>109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117</v>
      </c>
      <c r="G38" s="5" t="s">
        <v>109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1281</v>
      </c>
      <c r="D39" s="5" t="s">
        <v>1563</v>
      </c>
      <c r="E39" s="5" t="s">
        <v>1283</v>
      </c>
      <c r="F39" s="5" t="s">
        <v>1284</v>
      </c>
      <c r="G39" s="5" t="s">
        <v>109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97</v>
      </c>
      <c r="B40" s="5" t="s">
        <v>19</v>
      </c>
      <c r="C40" s="5" t="s">
        <v>667</v>
      </c>
      <c r="D40" s="5"/>
      <c r="E40" s="5" t="s">
        <v>668</v>
      </c>
      <c r="F40" s="5" t="s">
        <v>669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126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1035</v>
      </c>
      <c r="D41" s="5" t="s">
        <v>1564</v>
      </c>
      <c r="E41" s="5" t="s">
        <v>1565</v>
      </c>
      <c r="F41" s="5" t="s">
        <v>1038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126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>SUBTOTAL(9,H3:H42)</f>
        <v>28245</v>
      </c>
      <c r="I43">
        <f t="shared" ref="I43:S43" si="1">SUBTOTAL(9,I3:I42)</f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316</v>
      </c>
      <c r="K47" s="9" t="s">
        <v>317</v>
      </c>
    </row>
    <row r="48" spans="1:19" ht="15.75" x14ac:dyDescent="0.25">
      <c r="I48" s="10" t="s">
        <v>318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319</v>
      </c>
      <c r="J49" s="13">
        <f>S42</f>
        <v>0</v>
      </c>
      <c r="K49" s="14"/>
    </row>
    <row r="50" spans="9:11" x14ac:dyDescent="0.25">
      <c r="I50" s="12" t="s">
        <v>320</v>
      </c>
      <c r="J50" s="13">
        <f>T42</f>
        <v>0</v>
      </c>
      <c r="K50" s="14"/>
    </row>
    <row r="51" spans="9:11" x14ac:dyDescent="0.25">
      <c r="I51" s="12" t="s">
        <v>321</v>
      </c>
      <c r="J51" s="13">
        <f>U42</f>
        <v>0</v>
      </c>
      <c r="K51" s="14"/>
    </row>
    <row r="52" spans="9:11" x14ac:dyDescent="0.25">
      <c r="I52" s="12" t="s">
        <v>322</v>
      </c>
      <c r="J52" s="13">
        <f>V42</f>
        <v>0</v>
      </c>
      <c r="K52" s="14"/>
    </row>
    <row r="53" spans="9:11" ht="15.75" x14ac:dyDescent="0.25">
      <c r="I53" s="15" t="s">
        <v>323</v>
      </c>
      <c r="J53" s="16"/>
      <c r="K53" s="16"/>
    </row>
    <row r="54" spans="9:11" ht="15.75" x14ac:dyDescent="0.25">
      <c r="I54" s="17" t="s">
        <v>324</v>
      </c>
      <c r="J54" s="16"/>
      <c r="K54" s="16"/>
    </row>
    <row r="55" spans="9:11" ht="21" x14ac:dyDescent="0.35">
      <c r="I55" s="18" t="s">
        <v>325</v>
      </c>
      <c r="J55" s="19">
        <f>SUM(J48:J54)</f>
        <v>27175</v>
      </c>
      <c r="K55" s="19">
        <f>SUM(K48:K52)</f>
        <v>39</v>
      </c>
    </row>
  </sheetData>
  <autoFilter ref="A2:Q41" xr:uid="{D9E265E1-DC1C-450A-97BF-A07C95C1475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2026-03-15T10:19:22Z</dcterms:modified>
</cp:coreProperties>
</file>