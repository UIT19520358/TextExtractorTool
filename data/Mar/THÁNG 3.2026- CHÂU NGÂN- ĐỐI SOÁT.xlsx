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CB21CA52-0C5B-40EE-A7C4-0BAEDE8D98F3}" xr6:coauthVersionLast="47" xr6:coauthVersionMax="47" xr10:uidLastSave="{00000000-0000-0000-0000-000000000000}"/>
  <bookViews>
    <workbookView xWindow="-120" yWindow="-120" windowWidth="29040" windowHeight="15720" firstSheet="9" activeTab="25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  <sheet name="31-3" sheetId="26" r:id="rId26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25" hidden="1">'31-3'!$A$2:$P$30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" i="26" l="1"/>
  <c r="R29" i="26"/>
  <c r="R21" i="26"/>
  <c r="R20" i="26"/>
  <c r="R16" i="26"/>
  <c r="R15" i="26"/>
  <c r="R14" i="26"/>
  <c r="R8" i="26"/>
  <c r="R6" i="26"/>
  <c r="R32" i="26" s="1"/>
  <c r="I38" i="26" s="1"/>
  <c r="R4" i="26"/>
  <c r="I3" i="26"/>
  <c r="I4" i="26"/>
  <c r="I5" i="26"/>
  <c r="I25" i="26"/>
  <c r="I26" i="26"/>
  <c r="I6" i="26"/>
  <c r="I15" i="26"/>
  <c r="I7" i="26"/>
  <c r="I8" i="26"/>
  <c r="I9" i="26"/>
  <c r="I16" i="26"/>
  <c r="I17" i="26"/>
  <c r="I27" i="26"/>
  <c r="I10" i="26"/>
  <c r="I11" i="26"/>
  <c r="I18" i="26"/>
  <c r="I12" i="26"/>
  <c r="I13" i="26"/>
  <c r="I28" i="26"/>
  <c r="I29" i="26"/>
  <c r="I30" i="26"/>
  <c r="I19" i="26"/>
  <c r="I20" i="26"/>
  <c r="I21" i="26"/>
  <c r="I22" i="26"/>
  <c r="I14" i="26"/>
  <c r="I23" i="26"/>
  <c r="I24" i="26"/>
  <c r="I32" i="26"/>
  <c r="I41" i="26"/>
  <c r="I40" i="26"/>
  <c r="I39" i="26"/>
  <c r="Q32" i="26"/>
  <c r="J37" i="26" s="1"/>
  <c r="J44" i="26" s="1"/>
  <c r="P32" i="26"/>
  <c r="O32" i="26"/>
  <c r="N32" i="26"/>
  <c r="M32" i="26"/>
  <c r="L32" i="26"/>
  <c r="K32" i="26"/>
  <c r="J32" i="26"/>
  <c r="H32" i="26"/>
  <c r="G32" i="26"/>
  <c r="R35" i="25"/>
  <c r="R13" i="25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3" i="7" s="1"/>
  <c r="J79" i="7" s="1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44" i="26" l="1"/>
  <c r="I82" i="25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<sst xmlns="http://schemas.openxmlformats.org/spreadsheetml/2006/main" count="9279" uniqueCount="3030">
  <si>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</si>
  <si>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</si>
  <si>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</si>
  <si>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</si>
  <si>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</si>
  <si>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</si>
  <si>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</si>
  <si>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</si>
  <si>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</si>
  <si>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</si>
  <si>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</si>
  <si>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</si>
  <si>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</si>
  <si>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</si>
  <si>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</si>
  <si>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</si>
  <si>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</si>
  <si>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</si>
  <si>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</si>
  <si>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</si>
  <si>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</si>
  <si>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</si>
  <si>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</si>
  <si>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</si>
  <si>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</si>
  <si>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</si>
  <si>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</si>
  <si>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</si>
  <si>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</si>
  <si>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</si>
  <si>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</si>
  <si>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</si>
  <si>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</si>
  <si>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</si>
  <si>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</si>
  <si>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</si>
  <si>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</si>
  <si>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</si>
  <si>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</si>
  <si>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</si>
  <si>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</si>
  <si>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</si>
  <si>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</si>
  <si>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</si>
  <si>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</si>
  <si>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</si>
  <si>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</si>
  <si>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</si>
  <si>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</si>
  <si>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</si>
  <si>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</si>
  <si>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</si>
  <si>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</si>
  <si>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</si>
  <si>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</si>
  <si>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</si>
  <si>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</si>
  <si>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</si>
  <si>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</si>
  <si>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</si>
  <si>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</si>
  <si>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</si>
  <si>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</si>
  <si>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</si>
  <si>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</si>
  <si>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</si>
  <si>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</si>
  <si>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</si>
  <si>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</si>
  <si>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</si>
  <si>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</si>
  <si>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</si>
  <si>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</si>
  <si>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</si>
  <si>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</si>
  <si>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</si>
  <si>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</si>
  <si>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</si>
  <si>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</si>
  <si>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</si>
  <si>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</si>
  <si>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</si>
  <si>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</si>
  <si>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</si>
  <si>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</si>
  <si>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</si>
  <si>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</si>
  <si>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</si>
  <si>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</si>
  <si>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</si>
  <si>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</si>
  <si>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</si>
  <si>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</si>
  <si>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</si>
  <si>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</si>
  <si>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</si>
  <si>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</si>
  <si>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</si>
  <si>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</si>
  <si>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</si>
  <si>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</si>
  <si>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</si>
  <si>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</si>
  <si>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</si>
  <si>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</si>
  <si>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</si>
  <si>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</si>
  <si>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</si>
  <si>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</si>
  <si>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</si>
  <si>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</si>
  <si>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</si>
  <si>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</si>
  <si>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</si>
  <si>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</si>
  <si>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</si>
  <si>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</si>
  <si>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</si>
  <si>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</si>
  <si>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</si>
  <si>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</si>
  <si>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</si>
  <si>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</si>
  <si>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</si>
  <si>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</si>
  <si>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</si>
  <si>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</si>
  <si>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</si>
  <si>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</si>
  <si>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</si>
  <si>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</si>
  <si>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</si>
  <si>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</si>
  <si>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</si>
  <si>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</si>
  <si>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</si>
  <si>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</si>
  <si>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</si>
  <si>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</si>
  <si>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</si>
  <si>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</si>
  <si>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</si>
  <si>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</si>
  <si>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</si>
  <si>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</si>
  <si>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</si>
  <si>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</si>
  <si>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</si>
  <si>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</si>
  <si>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</si>
  <si>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</si>
  <si>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</si>
  <si>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</si>
  <si>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</si>
  <si>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</si>
  <si>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</si>
  <si>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</si>
  <si>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</si>
  <si>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</si>
  <si>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</si>
  <si>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</si>
  <si>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</si>
  <si>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</si>
  <si>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</si>
  <si>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</si>
  <si>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</si>
  <si>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</si>
  <si>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</si>
  <si>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</si>
  <si>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</si>
  <si>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</si>
  <si>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</si>
  <si>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</si>
  <si>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</si>
  <si>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</si>
  <si>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</si>
  <si>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</si>
  <si>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</si>
  <si>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</si>
  <si>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</si>
  <si>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</si>
  <si>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</si>
  <si>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</si>
  <si>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</si>
  <si>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</si>
  <si>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</si>
  <si>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</si>
  <si>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</si>
  <si>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</si>
  <si>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</si>
  <si>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</si>
  <si>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</si>
  <si>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</si>
  <si>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</si>
  <si>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</si>
  <si>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</si>
  <si>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</si>
  <si>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</si>
  <si>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</si>
  <si>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</si>
  <si>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</si>
  <si>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</si>
  <si>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</si>
  <si>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</si>
  <si>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</si>
  <si>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</si>
  <si>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</si>
  <si>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</si>
  <si>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</si>
  <si>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</si>
  <si>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</si>
  <si>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</si>
  <si>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</si>
  <si>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</si>
  <si>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</si>
  <si>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</si>
  <si>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</si>
  <si>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</si>
  <si>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</si>
  <si>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</si>
  <si>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</si>
  <si>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</si>
  <si>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</si>
  <si>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</si>
  <si>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</si>
  <si>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</si>
  <si>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</si>
  <si>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</si>
  <si>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</si>
  <si>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</si>
  <si>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</si>
  <si>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</si>
  <si>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</si>
  <si>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</si>
  <si>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</si>
  <si>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</si>
  <si>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</si>
  <si>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</si>
  <si>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</si>
  <si>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</si>
  <si>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</si>
  <si>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</si>
  <si>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</si>
  <si>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</si>
  <si>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</si>
  <si>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</si>
  <si>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</si>
  <si>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</si>
  <si>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</si>
  <si>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</si>
  <si>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</si>
  <si>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</si>
  <si>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</si>
  <si>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</si>
  <si>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</si>
  <si>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</si>
  <si>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</si>
  <si>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</si>
  <si>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</si>
  <si>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</si>
  <si>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</si>
  <si>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</si>
  <si>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</si>
  <si>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</si>
  <si>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</si>
  <si>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</si>
  <si>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</si>
  <si>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</si>
  <si>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</si>
  <si>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</si>
  <si>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</si>
  <si>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</si>
  <si>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</si>
  <si>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</si>
  <si>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</si>
  <si>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</si>
  <si>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</si>
  <si>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</si>
  <si>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</si>
  <si>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</si>
  <si>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</si>
  <si>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</si>
  <si>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</si>
  <si>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</si>
  <si>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</si>
  <si>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</si>
  <si>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</si>
  <si>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</si>
  <si>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</si>
  <si>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</si>
  <si>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</si>
  <si>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</si>
  <si>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</si>
  <si>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</si>
  <si>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</si>
  <si>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</si>
  <si>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</si>
  <si>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</si>
  <si>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</si>
  <si>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</si>
  <si>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</si>
  <si>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</si>
  <si>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</si>
  <si>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</si>
  <si>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</si>
  <si>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</si>
  <si>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</si>
  <si>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</si>
  <si>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</si>
  <si>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</si>
  <si>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</si>
  <si>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</si>
  <si>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</si>
  <si>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</si>
  <si>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</si>
  <si>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</si>
  <si>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</si>
  <si>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</si>
  <si>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</si>
  <si>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</si>
  <si>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</si>
  <si>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</si>
  <si>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</si>
  <si>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</si>
  <si>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</si>
  <si>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</si>
  <si>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</si>
  <si>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</si>
  <si>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</si>
  <si>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</si>
  <si>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</si>
  <si>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</si>
  <si>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</si>
  <si>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</si>
  <si>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</si>
  <si>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</si>
  <si>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</si>
  <si>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</si>
  <si>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</si>
  <si>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</si>
  <si>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</si>
  <si>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</si>
  <si>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</si>
  <si>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</si>
  <si>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</si>
  <si>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</si>
  <si>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</si>
  <si>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</si>
  <si>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</si>
  <si>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</si>
  <si>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</si>
  <si>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</si>
  <si>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</si>
  <si>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</si>
  <si>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</si>
  <si>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</si>
  <si>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</si>
  <si>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</si>
  <si>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</si>
  <si>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</si>
  <si>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</si>
  <si>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</si>
  <si>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</si>
  <si>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</si>
  <si>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</si>
  <si>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</si>
  <si>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</si>
  <si>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</si>
  <si>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</si>
  <si>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</si>
  <si>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</si>
  <si>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</si>
  <si>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</si>
  <si>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</si>
  <si>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</si>
  <si>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</si>
  <si>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</si>
  <si>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</si>
  <si>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</si>
  <si>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</si>
  <si>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</si>
  <si>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</si>
  <si>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</si>
  <si>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</si>
  <si>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</si>
  <si>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</si>
  <si>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</si>
  <si>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</si>
  <si>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</si>
  <si>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</si>
  <si>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</si>
  <si>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</si>
  <si>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</si>
  <si>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</si>
  <si>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</si>
  <si>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</si>
  <si>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</si>
  <si>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</si>
  <si>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</si>
  <si>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</si>
  <si>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</si>
  <si>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</si>
  <si>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</si>
  <si>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</si>
  <si>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</si>
  <si>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</si>
  <si>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</si>
  <si>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</si>
  <si>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</si>
  <si>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</si>
  <si>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</si>
  <si>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</si>
  <si>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</si>
  <si>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</si>
  <si>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</si>
  <si>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</si>
  <si>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</si>
  <si>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</si>
  <si>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</si>
  <si>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</si>
  <si>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</si>
  <si>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</si>
  <si>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</si>
  <si>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</si>
  <si>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</si>
  <si>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</si>
  <si>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</si>
  <si>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</si>
  <si>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</si>
  <si>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</si>
  <si>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</si>
  <si>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</si>
  <si>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</si>
  <si>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</si>
  <si>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</si>
  <si>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</si>
  <si>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</si>
  <si>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</si>
  <si>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</si>
  <si>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</si>
  <si>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</si>
  <si>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</si>
  <si>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</si>
  <si>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</si>
  <si>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</si>
  <si>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</si>
  <si>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</si>
  <si>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</si>
  <si>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</si>
  <si>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</si>
  <si>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</si>
  <si>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</si>
  <si>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</si>
  <si>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</si>
  <si>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</si>
  <si>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</si>
  <si>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</si>
  <si>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</si>
  <si>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</si>
  <si>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</si>
  <si>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</si>
  <si>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</si>
  <si>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</si>
  <si>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</si>
  <si>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</si>
  <si>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</si>
  <si>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</si>
  <si>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</si>
  <si>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</si>
  <si>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</si>
  <si>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</si>
  <si>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</si>
  <si>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</si>
  <si>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</si>
  <si>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</si>
  <si>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</si>
  <si>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</si>
  <si>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</si>
  <si>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</si>
  <si>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</si>
  <si>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</si>
  <si>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</si>
  <si>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</si>
  <si>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</si>
  <si>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</si>
  <si>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</si>
  <si>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</si>
  <si>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</si>
  <si>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</si>
  <si>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</si>
  <si>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</si>
  <si>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</si>
  <si>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</si>
  <si>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</si>
  <si>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</si>
  <si>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</si>
  <si>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</si>
  <si>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</si>
  <si>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</si>
  <si>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</si>
  <si>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</si>
  <si>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</si>
  <si>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</si>
  <si>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</si>
  <si>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</si>
  <si>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</si>
  <si>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</si>
  <si>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</si>
  <si>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</si>
  <si>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</si>
  <si>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</si>
  <si>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</si>
  <si>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</si>
  <si>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</si>
  <si>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</si>
  <si>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</si>
  <si>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</si>
  <si>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</si>
  <si>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</si>
  <si>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</si>
  <si>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</si>
  <si>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</si>
  <si>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</si>
  <si>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</si>
  <si>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</si>
  <si>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</si>
  <si>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</si>
  <si>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</si>
  <si>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</si>
  <si>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</si>
  <si>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</si>
  <si>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</si>
  <si>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</si>
  <si>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</si>
  <si>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</si>
  <si>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</si>
  <si>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</si>
  <si>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</si>
  <si>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</si>
  <si>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</si>
  <si>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</si>
  <si>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</si>
  <si>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</si>
  <si>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</si>
  <si>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</si>
  <si>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</si>
  <si>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</si>
  <si>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</si>
  <si>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</si>
  <si>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</si>
  <si>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</si>
  <si>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</si>
  <si>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</si>
  <si>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</si>
  <si>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</si>
  <si>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</si>
  <si>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</si>
  <si>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</si>
  <si>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</si>
  <si>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</si>
  <si>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</si>
  <si>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</si>
  <si>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</si>
  <si>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</si>
  <si>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</si>
  <si>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</si>
  <si>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</si>
  <si>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</si>
  <si>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</si>
  <si>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</si>
  <si>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</si>
  <si>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</si>
  <si>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</si>
  <si>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</si>
  <si>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</si>
  <si>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</si>
  <si>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</si>
  <si>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</si>
  <si>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</si>
  <si>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</si>
  <si>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</si>
  <si>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</si>
  <si>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</si>
  <si>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</si>
  <si>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</si>
  <si>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</si>
  <si>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</si>
  <si>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</si>
  <si>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</si>
  <si>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</si>
  <si>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</si>
  <si>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</si>
  <si>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</si>
  <si>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</si>
  <si>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</si>
  <si>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</si>
  <si>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</si>
  <si>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</si>
  <si>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</si>
  <si>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</si>
  <si>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</si>
  <si>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</si>
  <si>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</si>
  <si>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</si>
  <si>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</si>
  <si>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</si>
  <si>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</si>
  <si>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</si>
  <si>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</si>
  <si>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</si>
  <si>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</si>
  <si>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</si>
  <si>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</si>
  <si>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</si>
  <si>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</si>
  <si>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</si>
  <si>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</si>
  <si>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</si>
  <si>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</si>
  <si>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</si>
  <si>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</si>
  <si>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</si>
  <si>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</si>
  <si>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</si>
  <si>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</si>
  <si>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</si>
  <si>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</si>
  <si>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</si>
  <si>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</si>
  <si>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</si>
  <si>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</si>
  <si>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</si>
  <si>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</si>
  <si>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</si>
  <si>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</si>
  <si>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</si>
  <si>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</si>
  <si>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</si>
  <si>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</si>
  <si>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</si>
  <si>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</si>
  <si>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</si>
  <si>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</si>
  <si>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</si>
  <si>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</si>
  <si>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</si>
  <si>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</si>
  <si>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</si>
  <si>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</si>
  <si>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</si>
  <si>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</si>
  <si>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</si>
  <si>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</si>
  <si>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</si>
  <si>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</si>
  <si>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</si>
  <si>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</si>
  <si>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</si>
  <si>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</si>
  <si>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</si>
  <si>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</si>
  <si>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</si>
  <si>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</si>
  <si>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</si>
  <si>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</si>
  <si>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</si>
  <si>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</si>
  <si>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</si>
  <si>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</si>
  <si>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</si>
  <si>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</si>
  <si>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</si>
  <si>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</si>
  <si>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</si>
  <si>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</si>
  <si>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</si>
  <si>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</si>
  <si>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</si>
  <si>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</si>
  <si>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</si>
  <si>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</si>
  <si>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</si>
  <si>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</si>
  <si>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</si>
  <si>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</si>
  <si>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</si>
  <si>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</si>
  <si>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</si>
  <si>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</si>
  <si>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</si>
  <si>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</si>
  <si>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</si>
  <si>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</si>
  <si>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</si>
  <si>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</si>
  <si>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</si>
  <si>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</si>
  <si>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</si>
  <si>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</si>
  <si>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</si>
  <si>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</si>
  <si>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</si>
  <si>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</si>
  <si>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</si>
  <si>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</si>
  <si>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</si>
  <si>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</si>
  <si>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</si>
  <si>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</si>
  <si>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</si>
  <si>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</si>
  <si>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</si>
  <si>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</si>
  <si>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</si>
  <si>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</si>
  <si>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</si>
  <si>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</si>
  <si>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</si>
  <si>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</si>
  <si>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</si>
  <si>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</si>
  <si>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</si>
  <si>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</si>
  <si>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</si>
  <si>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</si>
  <si>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</si>
  <si>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</si>
  <si>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</si>
  <si>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</si>
  <si>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</si>
  <si>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</si>
  <si>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</si>
  <si>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</si>
  <si>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</si>
  <si>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</si>
  <si>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</si>
  <si>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</si>
  <si>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</si>
  <si>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</si>
  <si>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</si>
  <si>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</si>
  <si>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</si>
  <si>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</si>
  <si>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</si>
  <si>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</si>
  <si>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</si>
  <si>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</si>
  <si>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</si>
  <si>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</si>
  <si>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</si>
  <si>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</si>
  <si>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</si>
  <si>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</si>
  <si>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</si>
  <si>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</si>
  <si>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</si>
  <si>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</si>
  <si>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</si>
  <si>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</si>
  <si>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</si>
  <si>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</si>
  <si>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</si>
  <si>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</si>
  <si>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</si>
  <si>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</si>
  <si>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</si>
  <si>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</si>
  <si>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</si>
  <si>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</si>
  <si>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</si>
  <si>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</si>
  <si>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</si>
  <si>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</si>
  <si>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</si>
  <si>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</si>
  <si>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</si>
  <si>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</si>
  <si>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</si>
  <si>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</si>
  <si>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</si>
  <si>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</si>
  <si>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</si>
  <si>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</si>
  <si>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</si>
  <si>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</si>
  <si>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</si>
  <si>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</si>
  <si>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</si>
  <si>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</si>
  <si>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</si>
  <si>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</si>
  <si>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</si>
  <si>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</si>
  <si>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</si>
  <si>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</si>
  <si>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</si>
  <si>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</si>
  <si>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</si>
  <si>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</si>
  <si>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</si>
  <si>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</si>
  <si>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</si>
  <si>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</si>
  <si>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</si>
  <si>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</si>
  <si>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</si>
  <si>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</si>
  <si>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</si>
  <si>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</si>
  <si>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</si>
  <si>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</si>
  <si>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</si>
  <si>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</si>
  <si>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</si>
  <si>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</si>
  <si>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</si>
  <si>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</si>
  <si>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</si>
  <si>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</si>
  <si>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</si>
  <si>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</si>
  <si>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</si>
  <si>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</si>
  <si>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</si>
  <si>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</si>
  <si>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</si>
  <si>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</si>
  <si>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</si>
  <si>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</si>
  <si>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</si>
  <si>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</si>
  <si>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</si>
  <si>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</si>
  <si>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</si>
  <si>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</si>
  <si>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</si>
  <si>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</si>
  <si>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</si>
  <si>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</si>
  <si>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</si>
  <si>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</si>
  <si>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</si>
  <si>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</si>
  <si>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</si>
  <si>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</si>
  <si>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</si>
  <si>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</si>
  <si>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</si>
  <si>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</si>
  <si>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</si>
  <si>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</si>
  <si>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</si>
  <si>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</si>
  <si>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</si>
  <si>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</si>
  <si>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</si>
  <si>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</si>
  <si>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</si>
  <si>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</si>
  <si>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</si>
  <si>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</si>
  <si>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</si>
  <si>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</si>
  <si>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</si>
  <si>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</si>
  <si>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</si>
  <si>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</si>
  <si>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</si>
  <si>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</si>
  <si>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</si>
  <si>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</si>
  <si>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</si>
  <si>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</si>
  <si>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</si>
  <si>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</si>
  <si>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</si>
  <si>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</si>
  <si>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</si>
  <si>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</si>
  <si>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</si>
  <si>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</si>
  <si>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</si>
  <si>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</si>
  <si>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</si>
  <si>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</si>
  <si>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</si>
  <si>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</si>
  <si>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</si>
  <si>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</si>
  <si>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</si>
  <si>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</si>
  <si>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</si>
  <si>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</si>
  <si>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</si>
  <si>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</si>
  <si>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</si>
  <si>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</si>
  <si>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</si>
  <si>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</si>
  <si>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</si>
  <si>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</si>
  <si>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</si>
  <si>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</si>
  <si>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</si>
  <si>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</si>
  <si>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</si>
  <si>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</si>
  <si>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</si>
  <si>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</si>
  <si>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</si>
  <si>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</si>
  <si>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</si>
  <si>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</si>
  <si>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</si>
  <si>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</si>
  <si>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</si>
  <si>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</si>
  <si>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</si>
  <si>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</si>
  <si>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</si>
  <si>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</si>
  <si>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</si>
  <si>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</si>
  <si>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</si>
  <si>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</si>
  <si>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</si>
  <si>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</si>
  <si>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</si>
  <si>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</si>
  <si>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</si>
  <si>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</si>
  <si>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</si>
  <si>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</si>
  <si>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</si>
  <si>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</si>
  <si>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</si>
  <si>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</si>
  <si>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</si>
  <si>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</si>
  <si>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</si>
  <si>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</si>
  <si>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</si>
  <si>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</si>
  <si>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</si>
  <si>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</si>
  <si>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</si>
  <si>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</si>
  <si>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</si>
  <si>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</si>
  <si>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</si>
  <si>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</si>
  <si>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</si>
  <si>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</si>
  <si>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</si>
  <si>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</si>
  <si>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</si>
  <si>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</si>
  <si>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</si>
  <si>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</si>
  <si>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</si>
  <si>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</si>
  <si>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</si>
  <si>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</si>
  <si>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</si>
  <si>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</si>
  <si>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</si>
  <si>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</si>
  <si>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</si>
  <si>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</si>
  <si>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</si>
  <si>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</si>
  <si>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</si>
  <si>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</si>
  <si>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</si>
  <si>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</si>
  <si>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</si>
  <si>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</si>
  <si>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</si>
  <si>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</si>
  <si>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</si>
  <si>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</si>
  <si>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</si>
  <si>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</si>
  <si>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</si>
  <si>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</si>
  <si>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</si>
  <si>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</si>
  <si>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</si>
  <si>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</si>
  <si>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</si>
  <si>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</si>
  <si>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</si>
  <si>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</si>
  <si>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</si>
  <si>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</si>
  <si>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</si>
  <si>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</si>
  <si>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</si>
  <si>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</si>
  <si>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</si>
  <si>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</si>
  <si>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</si>
  <si>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</si>
  <si>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</si>
  <si>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</si>
  <si>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</si>
  <si>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</si>
  <si>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</si>
  <si>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</si>
  <si>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</si>
  <si>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</si>
  <si>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</si>
  <si>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</si>
  <si>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</si>
  <si>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</si>
  <si>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</si>
  <si>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</si>
  <si>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</si>
  <si>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</si>
  <si>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</si>
  <si>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</si>
  <si>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</si>
  <si>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</si>
  <si>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</si>
  <si>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</si>
  <si>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</si>
  <si>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</si>
  <si>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</si>
  <si>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</si>
  <si>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</si>
  <si>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</si>
  <si>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</si>
  <si>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</si>
  <si>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</si>
  <si>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</si>
  <si>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</si>
  <si>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</si>
  <si>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</si>
  <si>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</si>
  <si>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</si>
  <si>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</si>
  <si>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</si>
  <si>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</si>
  <si>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</si>
  <si>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</si>
  <si>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</si>
  <si>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</si>
  <si>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</si>
  <si>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</si>
  <si>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</si>
  <si>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</si>
  <si>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</si>
  <si>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</si>
  <si>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</si>
  <si>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</si>
  <si>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</si>
  <si>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</si>
  <si>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</si>
  <si>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</si>
  <si>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</si>
  <si>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</si>
  <si>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</si>
  <si>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</si>
  <si>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</si>
  <si>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</si>
  <si>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</si>
  <si>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</si>
  <si>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</si>
  <si>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</si>
  <si>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</si>
  <si>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</si>
  <si>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</si>
  <si>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</si>
  <si>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</si>
  <si>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</si>
  <si>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</si>
  <si>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</si>
  <si>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</si>
  <si>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</si>
  <si>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</si>
  <si>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</si>
  <si>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</si>
  <si>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</si>
  <si>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</si>
  <si>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</si>
  <si>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</si>
  <si>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</si>
  <si>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</si>
  <si>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</si>
  <si>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</si>
  <si>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</si>
  <si>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</si>
  <si>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</si>
  <si>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</si>
  <si>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</si>
  <si>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</si>
  <si>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</si>
  <si>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</si>
  <si>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</si>
  <si>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</si>
  <si>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</si>
  <si>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</si>
  <si>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</si>
  <si>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</si>
  <si>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</si>
  <si>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</si>
  <si>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</si>
  <si>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</si>
  <si>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</si>
  <si>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</si>
  <si>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</si>
  <si>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</si>
  <si>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</si>
  <si>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</si>
  <si>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</si>
  <si>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</si>
  <si>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</si>
  <si>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</si>
  <si>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</si>
  <si>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</si>
  <si>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</si>
  <si>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</si>
  <si>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</si>
  <si>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</si>
  <si>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</si>
  <si>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</si>
  <si>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</si>
  <si>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</si>
  <si>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</si>
  <si>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</si>
  <si>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</si>
  <si>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</si>
  <si>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</si>
  <si>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</si>
  <si>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</si>
  <si>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</si>
  <si>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</si>
  <si>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</si>
  <si>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</si>
  <si>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</si>
  <si>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</si>
  <si>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</si>
  <si>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</si>
  <si>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</si>
  <si>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</si>
  <si>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</si>
  <si>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</si>
  <si>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</si>
  <si>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</si>
  <si>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</si>
  <si>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</si>
  <si>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</si>
  <si>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</si>
  <si>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</si>
  <si>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</si>
  <si>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</si>
  <si>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</si>
  <si>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</si>
  <si>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</si>
  <si>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</si>
  <si>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</si>
  <si>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</si>
  <si>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</si>
  <si>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</si>
  <si>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</si>
  <si>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</si>
  <si>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</si>
  <si>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</si>
  <si>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</si>
  <si>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</si>
  <si>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</si>
  <si>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</si>
  <si>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</si>
  <si>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</si>
  <si>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</si>
  <si>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</si>
  <si>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</si>
  <si>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</si>
  <si>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</si>
  <si>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</si>
  <si>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</si>
  <si>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</si>
  <si>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</si>
  <si>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</si>
  <si>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</si>
  <si>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</si>
  <si>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</si>
  <si>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</si>
  <si>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</si>
  <si>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</si>
  <si>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</si>
  <si>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</si>
  <si>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</si>
  <si>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</si>
  <si>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</si>
  <si>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</si>
  <si>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</si>
  <si>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</si>
  <si>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</si>
  <si>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</si>
  <si>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</si>
  <si>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</si>
  <si>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</si>
  <si>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</si>
  <si>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</si>
  <si>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</si>
  <si>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</si>
  <si>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</si>
  <si>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</si>
  <si>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</si>
  <si>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</si>
  <si>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</si>
  <si>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</si>
  <si>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</si>
  <si>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</si>
  <si>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</si>
  <si>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</si>
  <si>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</si>
  <si>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</si>
  <si>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</si>
  <si>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</si>
  <si>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</si>
  <si>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</si>
  <si>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</si>
  <si>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</si>
  <si>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</si>
  <si>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</si>
  <si>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</si>
  <si>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</si>
  <si>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</si>
  <si>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</si>
  <si>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</si>
  <si>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</si>
  <si>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</si>
  <si>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</si>
  <si>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</si>
  <si>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</si>
  <si>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</si>
  <si>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</si>
  <si>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</si>
  <si>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</si>
  <si>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</si>
  <si>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</si>
  <si>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</si>
  <si>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</si>
  <si>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</si>
  <si>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</si>
  <si>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</si>
  <si>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</si>
  <si>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</si>
  <si>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</si>
  <si>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</si>
  <si>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</si>
  <si>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</si>
  <si>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</si>
  <si>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</si>
  <si>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</si>
  <si>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</si>
  <si>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</si>
  <si>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</si>
  <si>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</si>
  <si>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</si>
  <si>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</si>
  <si>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</si>
  <si>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</si>
  <si>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</si>
  <si>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</si>
  <si>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</si>
  <si>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</si>
  <si>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</si>
  <si>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</si>
  <si>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</si>
  <si>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</si>
  <si>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</si>
  <si>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</si>
  <si>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</si>
  <si>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</si>
  <si>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</si>
  <si>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</si>
  <si>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</si>
  <si>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</si>
  <si>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</si>
  <si>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</si>
  <si>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</si>
  <si>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</si>
  <si>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</si>
  <si>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</si>
  <si>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</si>
  <si>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</si>
  <si>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</si>
  <si>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</si>
  <si>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</si>
  <si>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</si>
  <si>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</si>
  <si>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</si>
  <si>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</si>
  <si>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</si>
  <si>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</si>
  <si>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</si>
  <si>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</si>
  <si>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</si>
  <si>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</si>
  <si>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</si>
  <si>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</si>
  <si>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</si>
  <si>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</si>
  <si>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</si>
  <si>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</si>
  <si>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</si>
  <si>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</si>
  <si>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</si>
  <si>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</si>
  <si>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</si>
  <si>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</si>
  <si>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</si>
  <si>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</si>
  <si>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</si>
  <si>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</si>
  <si>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</si>
  <si>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</si>
  <si>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</si>
  <si>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</si>
  <si>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</si>
  <si>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</si>
  <si>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</si>
  <si>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</si>
  <si>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</si>
  <si>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</si>
  <si>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</si>
  <si>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</si>
  <si>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</si>
  <si>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</si>
  <si>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</si>
  <si>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</si>
  <si>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</si>
  <si>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</si>
  <si>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</si>
  <si>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</si>
  <si>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</si>
  <si>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</si>
  <si>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</si>
  <si>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</si>
  <si>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</si>
  <si>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</si>
  <si>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</si>
  <si>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</si>
  <si>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</si>
  <si>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</si>
  <si>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</si>
  <si>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</si>
  <si>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</si>
  <si>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</si>
  <si>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</si>
  <si>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</si>
  <si>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</si>
  <si>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</si>
  <si>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</si>
  <si>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</si>
  <si>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</si>
  <si>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</si>
  <si>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</si>
  <si>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</si>
  <si>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</si>
  <si>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</si>
  <si>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</si>
  <si>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</si>
  <si>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</si>
  <si>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</si>
  <si>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</si>
  <si>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</si>
  <si>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</si>
  <si>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</si>
  <si>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</si>
  <si>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</si>
  <si>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</si>
  <si>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</si>
  <si>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</si>
  <si>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</si>
  <si>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</si>
  <si>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</si>
  <si>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</si>
  <si>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</si>
  <si>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</si>
  <si>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</si>
  <si>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</si>
  <si>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</si>
  <si>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</si>
  <si>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</si>
  <si>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</si>
  <si>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</si>
  <si>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</si>
  <si>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</si>
  <si>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</si>
  <si>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</si>
  <si>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</si>
  <si>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</si>
  <si>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</si>
  <si>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</si>
  <si>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</si>
  <si>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</si>
  <si>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</si>
  <si>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</si>
  <si>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</si>
  <si>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</si>
  <si>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</si>
  <si>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</si>
  <si>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</si>
  <si>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</si>
  <si>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</si>
  <si>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</si>
  <si>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</si>
  <si>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</si>
  <si>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</si>
  <si>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</si>
  <si>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</si>
  <si>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</si>
  <si>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</si>
  <si>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</si>
  <si>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</si>
  <si>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</si>
  <si>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</si>
  <si>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</si>
  <si>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</si>
  <si>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</si>
  <si>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</si>
  <si>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</si>
  <si>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</si>
  <si>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</si>
  <si>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</si>
  <si>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</si>
  <si>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</si>
  <si>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</si>
  <si>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</si>
  <si>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</si>
  <si>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</si>
  <si>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</si>
  <si>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</si>
  <si>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</si>
  <si>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</si>
  <si>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</si>
  <si>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</si>
  <si>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</si>
  <si>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</si>
  <si>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</si>
  <si>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</si>
  <si>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</si>
  <si>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</si>
  <si>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</si>
  <si>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</si>
  <si>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</si>
  <si>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</si>
  <si>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</si>
  <si>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</si>
  <si>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</si>
  <si>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</si>
  <si>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</si>
  <si>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</si>
  <si>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</si>
  <si>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</si>
  <si>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</si>
  <si>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</si>
  <si>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</si>
  <si>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</si>
  <si>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</si>
  <si>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</si>
  <si>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</si>
  <si>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</si>
  <si>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</si>
  <si>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</si>
  <si>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</si>
  <si>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</si>
  <si>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</si>
  <si>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</si>
  <si>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</si>
  <si>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</si>
  <si>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</si>
  <si>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</si>
  <si>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</si>
  <si>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</si>
  <si>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</si>
  <si>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</si>
  <si>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</si>
  <si>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</si>
  <si>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</si>
  <si>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</si>
  <si>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</si>
  <si>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</si>
  <si>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</si>
  <si>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</si>
  <si>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</si>
  <si>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</si>
  <si>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</si>
  <si>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</si>
  <si>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</si>
  <si>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</si>
  <si>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</si>
  <si>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</si>
  <si>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</si>
  <si>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</si>
  <si>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</si>
  <si>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</si>
  <si>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</si>
  <si>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</si>
  <si>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</si>
  <si>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</si>
  <si>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</si>
  <si>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</si>
  <si>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</si>
  <si>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</si>
  <si>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</si>
  <si>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</si>
  <si>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</si>
  <si>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</si>
  <si>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</si>
  <si>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</si>
  <si>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</si>
  <si>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</si>
  <si>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</si>
  <si>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</si>
  <si>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</si>
  <si>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</si>
  <si>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</si>
  <si>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</si>
  <si>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</si>
  <si>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</si>
  <si>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</si>
  <si>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</si>
  <si>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</si>
  <si>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</si>
  <si>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</si>
  <si>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</si>
  <si>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</si>
  <si>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</si>
  <si>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</si>
  <si>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</si>
  <si>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</si>
  <si>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</si>
  <si>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</si>
  <si>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</si>
  <si>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</si>
  <si>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</si>
  <si>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</si>
  <si>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</si>
  <si>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</si>
  <si>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</si>
  <si>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</si>
  <si>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</si>
  <si>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</si>
  <si>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</si>
  <si>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</si>
  <si>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</si>
  <si>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</si>
  <si>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</si>
  <si>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</si>
  <si>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</si>
  <si>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</si>
  <si>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</si>
  <si>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</si>
  <si>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</si>
  <si>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</si>
  <si>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</si>
  <si>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</si>
  <si>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</si>
  <si>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</si>
  <si>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</si>
  <si>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</si>
  <si>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</si>
  <si>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</si>
  <si>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</si>
  <si>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</si>
  <si>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</si>
  <si>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</si>
  <si>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</si>
  <si>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</si>
  <si>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</si>
  <si>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</si>
  <si>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</si>
  <si>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</si>
  <si>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</si>
  <si>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</si>
  <si>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</si>
  <si>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</si>
  <si>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</si>
  <si>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</si>
  <si>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</si>
  <si>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</si>
  <si>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</si>
  <si>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</si>
  <si>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</si>
  <si>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</si>
  <si>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</si>
  <si>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</si>
  <si>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</si>
  <si>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</si>
  <si>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</si>
  <si>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</si>
  <si>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</si>
  <si>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</si>
  <si>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</si>
  <si>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</si>
  <si>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</si>
  <si>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</si>
  <si>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</si>
  <si>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</si>
  <si>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</si>
  <si>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</si>
  <si>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</si>
  <si>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</si>
  <si>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</si>
  <si>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</si>
  <si>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</si>
  <si>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</si>
  <si>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</si>
  <si>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</si>
  <si>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</si>
  <si>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</si>
  <si>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</si>
  <si>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</si>
  <si>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</si>
  <si>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</si>
  <si>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</si>
  <si>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</si>
  <si>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</si>
  <si>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</si>
  <si>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</si>
  <si>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</si>
  <si>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</si>
  <si>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</si>
  <si>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</si>
  <si>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</si>
  <si>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</si>
  <si>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</si>
  <si>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</si>
  <si>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</si>
  <si>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</si>
  <si>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</si>
  <si>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</si>
  <si>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</si>
  <si>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</si>
  <si>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</si>
  <si>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</si>
  <si>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</si>
  <si>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</si>
  <si>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</si>
  <si>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</si>
  <si>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</si>
  <si>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</si>
  <si>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</si>
  <si>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</si>
  <si>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</si>
  <si>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</si>
  <si>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</si>
  <si>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</si>
  <si>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</si>
  <si>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</si>
  <si>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</si>
  <si>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</si>
  <si>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</si>
  <si>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</si>
  <si>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</si>
  <si>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</si>
  <si>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</si>
  <si>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</si>
  <si>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</si>
  <si>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</si>
  <si>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</si>
  <si>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</si>
  <si>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</si>
  <si>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</si>
  <si>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</si>
  <si>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</si>
  <si>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</si>
  <si>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</si>
  <si>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</si>
  <si>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</si>
  <si>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</si>
  <si>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</si>
  <si>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</si>
  <si>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</si>
  <si>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</si>
  <si>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</si>
  <si>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</si>
  <si>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</si>
  <si>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</si>
  <si>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</si>
  <si>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</si>
  <si>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</si>
  <si>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</si>
  <si>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</si>
  <si>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</si>
  <si>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</si>
  <si>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</si>
  <si>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</si>
  <si>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</si>
  <si>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</si>
  <si>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</si>
  <si>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</si>
  <si>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</si>
  <si>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</si>
  <si>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</si>
  <si>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</si>
  <si>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</si>
  <si>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</si>
  <si>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</si>
  <si>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</si>
  <si>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</si>
  <si>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</si>
  <si>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</si>
  <si>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</si>
  <si>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</si>
  <si>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</si>
  <si>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</si>
  <si>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</si>
  <si>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</si>
  <si>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</si>
  <si>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</si>
  <si>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</si>
  <si>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</si>
  <si>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</si>
  <si>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</si>
  <si>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</si>
  <si>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</si>
  <si>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</si>
  <si>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</si>
  <si>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</si>
  <si>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</si>
  <si>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</si>
  <si>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</si>
  <si>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</si>
  <si>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</si>
  <si>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</si>
  <si>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</si>
  <si>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</si>
  <si>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</si>
  <si>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</si>
  <si>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</si>
  <si>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</si>
  <si>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</si>
  <si>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</si>
  <si>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</si>
  <si>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</si>
  <si>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</si>
  <si>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</si>
  <si>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</si>
  <si>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</si>
  <si>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</si>
  <si>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</si>
  <si>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</si>
  <si>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</si>
  <si>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</si>
  <si>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</si>
  <si>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</si>
  <si>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</si>
  <si>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</si>
  <si>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</si>
  <si>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</si>
  <si>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</si>
  <si>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</si>
  <si>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</si>
  <si>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</si>
  <si>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</si>
  <si>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</si>
  <si>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</si>
  <si>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</si>
  <si>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</si>
  <si>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</si>
  <si>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</si>
  <si>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</si>
  <si>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</si>
  <si>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</si>
  <si>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</si>
  <si>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</si>
  <si>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</si>
  <si>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</si>
  <si>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</si>
  <si>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</si>
  <si>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</si>
  <si>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</si>
  <si>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</si>
  <si>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</si>
  <si>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</si>
  <si>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</si>
  <si>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</si>
  <si>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</si>
  <si>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</si>
  <si>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</si>
  <si>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</si>
  <si>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</si>
  <si>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</si>
  <si>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</si>
  <si>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</si>
  <si>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</si>
  <si>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</si>
  <si>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</si>
  <si>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</si>
  <si>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</si>
  <si>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</si>
  <si>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</si>
  <si>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</si>
  <si>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</si>
  <si>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</si>
  <si>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</si>
  <si>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</si>
  <si>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</si>
  <si>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</si>
  <si>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</si>
  <si>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</si>
  <si>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</si>
  <si>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</si>
  <si>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</si>
  <si>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</si>
  <si>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</si>
  <si>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</si>
  <si>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</si>
  <si>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</si>
  <si>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</si>
  <si>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</si>
  <si>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</si>
  <si>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</si>
  <si>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</si>
  <si>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</si>
  <si>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</si>
  <si>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</si>
  <si>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</si>
  <si>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</si>
  <si>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</si>
  <si>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</si>
  <si>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</si>
  <si>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</si>
  <si>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</si>
  <si>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</si>
  <si>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</si>
  <si>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</si>
  <si>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</si>
  <si>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</si>
  <si>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</si>
  <si>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</si>
  <si>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</si>
  <si>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</si>
  <si>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</si>
  <si>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</si>
  <si>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</si>
  <si>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</si>
  <si>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</si>
  <si>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</si>
  <si>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</si>
  <si>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</si>
  <si>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</si>
  <si>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</si>
  <si>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</si>
  <si>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</si>
  <si>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</si>
  <si>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</si>
  <si>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</si>
  <si>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</si>
  <si>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</si>
  <si>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</si>
  <si>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</si>
  <si>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</si>
  <si>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</si>
  <si>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</si>
  <si>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</si>
  <si>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</si>
  <si>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</si>
  <si>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</si>
  <si>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</si>
  <si>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</si>
  <si>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</si>
  <si>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</si>
  <si>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</si>
  <si>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</si>
  <si>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</si>
  <si>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</si>
  <si>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</si>
  <si>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</si>
  <si>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</si>
  <si>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</si>
  <si>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</si>
  <si>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</si>
  <si>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</si>
  <si>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</si>
  <si>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</si>
  <si>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</si>
  <si>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</si>
  <si>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</si>
  <si>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</si>
  <si>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</si>
  <si>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</si>
  <si>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</si>
  <si>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</si>
  <si>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</si>
  <si>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</si>
  <si>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</si>
  <si>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</si>
  <si>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</si>
  <si>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</si>
  <si>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</si>
  <si>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</si>
  <si>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</si>
  <si>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</si>
  <si>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</si>
  <si>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</si>
  <si>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</si>
  <si>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</si>
  <si>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</si>
  <si>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</si>
  <si>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</si>
  <si>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</si>
  <si>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</si>
  <si>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</si>
  <si>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</si>
  <si>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</si>
  <si>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</si>
  <si>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</si>
  <si>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</si>
  <si>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</si>
  <si>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</si>
  <si>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</si>
  <si>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</si>
  <si>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</si>
  <si>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</si>
  <si>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</si>
  <si>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</si>
  <si>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</si>
  <si>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</si>
  <si>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</si>
  <si>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</si>
  <si>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</si>
  <si>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</si>
  <si>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</si>
  <si>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</si>
  <si>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</si>
  <si>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</si>
  <si>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</si>
  <si>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</si>
  <si>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</si>
  <si>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</si>
  <si>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</si>
  <si>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</si>
  <si>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</si>
  <si>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</si>
  <si>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</si>
  <si>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</si>
  <si>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</si>
  <si>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</si>
  <si>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</si>
  <si>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</si>
  <si>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</si>
  <si>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</si>
  <si>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</si>
  <si>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</si>
  <si>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</si>
  <si>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</si>
  <si>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</si>
  <si>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</si>
  <si>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</si>
  <si>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</si>
  <si>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</si>
  <si>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</si>
  <si>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</si>
  <si>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</si>
  <si>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</si>
  <si>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</si>
  <si>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</si>
  <si>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</si>
  <si>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</si>
  <si>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</si>
  <si>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</si>
  <si>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</si>
  <si>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</si>
  <si>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</si>
  <si>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</si>
  <si>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</si>
  <si>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</si>
  <si>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</si>
  <si>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</si>
  <si>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</si>
  <si>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</si>
  <si>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</si>
  <si>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</si>
  <si>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</si>
  <si>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</si>
  <si>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</si>
  <si>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</si>
  <si>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</si>
  <si>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</si>
  <si>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</si>
  <si>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</si>
  <si>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</si>
  <si>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</si>
  <si>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</si>
  <si>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</si>
  <si>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</si>
  <si>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</si>
  <si>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</si>
  <si>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</si>
  <si>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</si>
  <si>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</si>
  <si>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</si>
  <si>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</si>
  <si>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</si>
  <si>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</si>
  <si>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</si>
  <si>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</si>
  <si>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</si>
  <si>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</si>
  <si>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</si>
  <si>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</si>
  <si>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</si>
  <si>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</si>
  <si>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</si>
  <si>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</si>
  <si>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</si>
  <si>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</si>
  <si>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</si>
  <si>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</si>
  <si>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</si>
  <si>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</si>
  <si>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</si>
  <si>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</si>
  <si>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</si>
  <si>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</si>
  <si>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</si>
  <si>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</si>
  <si>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</si>
  <si>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</si>
  <si>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</si>
  <si>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</si>
  <si>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</si>
  <si>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</si>
  <si>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</si>
  <si>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</si>
  <si>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</si>
  <si>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</si>
  <si>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</si>
  <si>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</si>
  <si>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</si>
  <si>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</si>
  <si>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</si>
  <si>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</si>
  <si>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</si>
  <si>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</si>
  <si>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</si>
  <si>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</si>
  <si>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</si>
  <si>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</si>
  <si>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</si>
  <si>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</si>
  <si>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</si>
  <si>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</si>
  <si>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</si>
  <si>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</si>
  <si>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</si>
  <si>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</si>
  <si>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</si>
  <si>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</si>
  <si>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</si>
  <si>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</si>
  <si>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</si>
  <si>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</si>
  <si>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</si>
  <si>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</si>
  <si>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</si>
  <si>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</si>
  <si>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</si>
  <si>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</si>
  <si>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</si>
  <si>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</si>
  <si>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</si>
  <si>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</si>
  <si>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</si>
  <si>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</si>
  <si>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</si>
  <si>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</si>
  <si>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</si>
  <si>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</si>
  <si>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</si>
  <si>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</si>
  <si>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</si>
  <si>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</si>
  <si>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</si>
  <si>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</si>
  <si>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</si>
  <si>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</si>
  <si>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</si>
  <si>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</si>
  <si>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</si>
  <si>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</si>
  <si>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</si>
  <si>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</si>
  <si>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</si>
  <si>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</si>
  <si>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</si>
  <si>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</si>
  <si>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</si>
  <si>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</si>
  <si>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</si>
  <si>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</si>
  <si>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</si>
  <si>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</si>
  <si>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</si>
  <si>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</si>
  <si>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</si>
  <si>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</si>
  <si>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</si>
  <si>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</si>
  <si>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</si>
  <si>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</si>
  <si>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</si>
  <si>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</si>
  <si>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</si>
  <si>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</si>
  <si>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</si>
  <si>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</si>
  <si>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</si>
  <si>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</si>
  <si>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</si>
  <si>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</si>
  <si>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</si>
  <si>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</si>
  <si>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</si>
  <si>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</si>
  <si>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</si>
  <si>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</si>
  <si>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</si>
  <si>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</si>
  <si>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</si>
  <si>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</si>
  <si>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</si>
  <si>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</si>
  <si>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</si>
  <si>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</si>
  <si>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</si>
  <si>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</si>
  <si>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</si>
  <si>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</si>
  <si>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</si>
  <si>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</si>
  <si>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</si>
  <si>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</si>
  <si>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</si>
  <si>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</si>
  <si>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</si>
  <si>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</si>
  <si>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</si>
  <si>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</si>
  <si>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</si>
  <si>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</si>
  <si>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</si>
  <si>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</si>
  <si>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</si>
  <si>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</si>
  <si>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</si>
  <si>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</si>
  <si>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</si>
  <si>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</si>
  <si>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</si>
  <si>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</si>
  <si>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</si>
  <si>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</si>
  <si>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</si>
  <si>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</si>
  <si>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</si>
  <si>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</si>
  <si>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</si>
  <si>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</si>
  <si>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</si>
  <si>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</si>
  <si>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</si>
  <si>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</si>
  <si>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</si>
  <si>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</si>
  <si>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</si>
  <si>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</si>
  <si>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</si>
  <si>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</si>
  <si>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</si>
  <si>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</si>
  <si>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</si>
  <si>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</si>
  <si>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</si>
  <si>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</si>
  <si>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</si>
  <si>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</si>
  <si>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</si>
  <si>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</si>
  <si>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</si>
  <si>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</si>
  <si>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</si>
  <si>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</si>
  <si>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</si>
  <si>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</si>
  <si>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</si>
  <si>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</si>
  <si>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</si>
  <si>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</si>
  <si>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</si>
  <si>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</si>
  <si>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</si>
  <si>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</si>
  <si>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</si>
  <si>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</si>
  <si>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</si>
  <si>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</si>
  <si>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</si>
  <si>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</si>
  <si>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</si>
  <si>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</si>
  <si>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</si>
  <si>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</si>
  <si>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</si>
  <si>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</si>
  <si>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</si>
  <si>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</si>
  <si>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</si>
  <si>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</si>
  <si>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</si>
  <si>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</si>
  <si>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</si>
  <si>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</si>
  <si>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</si>
  <si>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</si>
  <si>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</si>
  <si>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</si>
  <si>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</si>
  <si>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</si>
  <si>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</si>
  <si>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</si>
  <si>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</si>
  <si>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</si>
  <si>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</si>
  <si>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</si>
  <si>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</si>
  <si>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</si>
  <si>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</si>
  <si>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</si>
  <si>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</si>
  <si>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</si>
  <si>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</si>
  <si>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</si>
  <si>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</si>
  <si>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</si>
  <si>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</si>
  <si>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</si>
  <si>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</si>
  <si>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</si>
  <si>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</si>
  <si>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</si>
  <si>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</si>
  <si>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</si>
  <si>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</si>
  <si>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</si>
  <si>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</si>
  <si>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</si>
  <si>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</si>
  <si>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</si>
  <si>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</si>
  <si>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</si>
  <si>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</si>
  <si>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</si>
  <si>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</si>
  <si>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</si>
  <si>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</si>
  <si>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</si>
  <si>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</si>
  <si>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</si>
  <si>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</si>
  <si>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</si>
  <si>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</si>
  <si>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</si>
  <si>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</si>
  <si>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</si>
  <si>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</si>
  <si>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</si>
  <si>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</si>
  <si>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</si>
  <si>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</si>
  <si>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</si>
  <si>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</si>
  <si>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</si>
  <si>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</si>
  <si>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</si>
  <si>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</si>
  <si>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</si>
  <si>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</si>
  <si>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</si>
  <si>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</si>
  <si>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</si>
  <si>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</si>
  <si>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</si>
  <si>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</si>
  <si>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</si>
  <si>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</si>
  <si>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</si>
  <si>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</si>
  <si>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</si>
  <si>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</si>
  <si>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</si>
  <si>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</si>
  <si>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</si>
  <si>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</si>
  <si>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</si>
  <si>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</si>
  <si>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</si>
  <si>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</si>
  <si>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</si>
  <si>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</si>
  <si>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</si>
  <si>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</si>
  <si>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</si>
  <si>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</si>
  <si>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</si>
  <si>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</si>
  <si>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</si>
  <si>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</si>
  <si>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</si>
  <si>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</si>
  <si>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</si>
  <si>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</si>
  <si>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</si>
  <si>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</si>
  <si>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</si>
  <si>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</si>
  <si>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</si>
  <si>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</si>
  <si>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</si>
  <si>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</si>
  <si>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</si>
  <si>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</si>
  <si>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</si>
  <si>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</si>
  <si>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</si>
  <si>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</si>
  <si>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</si>
  <si>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</si>
  <si>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</si>
  <si>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</si>
  <si>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</si>
  <si>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</si>
  <si>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</si>
  <si>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</si>
  <si>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</si>
  <si>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</si>
  <si>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</si>
  <si>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</si>
  <si>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</si>
  <si>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</si>
  <si>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</si>
  <si>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</si>
  <si>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</si>
  <si>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</si>
  <si>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</si>
  <si>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</si>
  <si>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</si>
  <si>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</si>
  <si>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</si>
  <si>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</si>
  <si>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</si>
  <si>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</si>
  <si>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</si>
  <si>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</si>
  <si>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</si>
  <si>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</si>
  <si>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</si>
  <si>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</si>
  <si>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</si>
  <si>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</si>
  <si>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</si>
  <si>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</si>
  <si>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</si>
  <si>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</si>
  <si>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</si>
  <si>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</si>
  <si>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</si>
  <si>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</si>
  <si>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</si>
  <si>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</si>
  <si>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</si>
  <si>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</si>
  <si>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</si>
  <si>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</si>
  <si>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</si>
  <si>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</si>
  <si>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</si>
  <si>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</si>
  <si>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</si>
  <si>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</si>
  <si>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</si>
  <si>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</si>
  <si>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</si>
  <si>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</si>
  <si>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</si>
  <si>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</si>
  <si>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</si>
  <si>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</si>
  <si>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</si>
  <si>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</si>
  <si>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</si>
  <si>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</si>
  <si>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</si>
  <si>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</si>
  <si>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</si>
  <si>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</si>
  <si>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</si>
  <si>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</si>
  <si>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</si>
  <si>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</si>
  <si>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</si>
  <si>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</si>
  <si>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</si>
  <si>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</si>
  <si>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</si>
  <si>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</si>
  <si>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</si>
  <si>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</si>
  <si>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</si>
  <si>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</si>
  <si>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</si>
  <si>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</si>
  <si>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</si>
  <si>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</si>
  <si>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</si>
  <si>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</si>
  <si>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</si>
  <si>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</si>
  <si>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</si>
  <si>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</si>
  <si>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</si>
  <si>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</si>
  <si>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</si>
  <si>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</si>
  <si>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</si>
  <si>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</si>
  <si>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</si>
  <si>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</si>
  <si>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</si>
  <si>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</si>
  <si>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</si>
  <si>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</si>
  <si>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</si>
  <si>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</si>
  <si>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</si>
  <si>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</si>
  <si>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</si>
  <si>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</si>
  <si>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</si>
  <si>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</si>
  <si>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</si>
  <si>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</si>
  <si>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</si>
  <si>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</si>
  <si>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</si>
  <si>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</si>
  <si>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</si>
  <si>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</si>
  <si>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</si>
  <si>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</si>
  <si>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</si>
  <si>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</si>
  <si>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</si>
  <si>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</si>
  <si>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</si>
  <si>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</si>
  <si>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</si>
  <si>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</si>
  <si>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</si>
  <si>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</si>
  <si>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</si>
  <si>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</si>
  <si>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</si>
  <si>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</si>
  <si>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</si>
  <si>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</si>
  <si>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</si>
  <si>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</si>
  <si>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</si>
  <si>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</si>
  <si>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</si>
  <si>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</si>
  <si>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</si>
  <si>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</si>
  <si>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</si>
  <si>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</si>
  <si>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</si>
  <si>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</si>
  <si>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</si>
  <si>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</si>
  <si>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</si>
  <si>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</si>
  <si>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</si>
  <si>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</si>
  <si>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</si>
  <si>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</si>
  <si>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</si>
  <si>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</si>
  <si>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</si>
  <si>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</si>
  <si>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</si>
  <si>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</si>
  <si>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</si>
  <si>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</si>
  <si>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</si>
  <si>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</si>
  <si>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</si>
  <si>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</si>
  <si>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</si>
  <si>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</si>
  <si>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</si>
  <si>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</si>
  <si>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</si>
  <si>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</si>
  <si>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</si>
  <si>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</si>
  <si>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</si>
  <si>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</si>
  <si>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</si>
  <si>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</si>
  <si>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</si>
  <si>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</si>
  <si>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</si>
  <si>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</si>
  <si>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</si>
  <si>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</si>
  <si>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</si>
  <si>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</si>
  <si>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</si>
  <si>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</si>
  <si>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</si>
  <si>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</si>
  <si>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</si>
  <si>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</si>
  <si>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</si>
  <si>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</si>
  <si>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</si>
  <si>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</si>
  <si>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</si>
  <si>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</si>
  <si>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</si>
  <si>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</si>
  <si>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</si>
  <si>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</si>
  <si>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</si>
  <si>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</si>
  <si>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</si>
  <si>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</si>
  <si>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</si>
  <si>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</si>
  <si>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</si>
  <si>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</si>
  <si>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</si>
  <si>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</si>
  <si>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</si>
  <si>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</si>
  <si>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</si>
  <si>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</si>
  <si>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</si>
  <si>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</si>
  <si>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</si>
  <si>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</si>
  <si>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</si>
  <si>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</si>
  <si>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</si>
  <si>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</si>
  <si>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</si>
  <si>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</si>
  <si>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</si>
  <si>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</si>
  <si>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</si>
  <si>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</si>
  <si>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</si>
  <si>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</si>
  <si>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</si>
  <si>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</si>
  <si>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</si>
  <si>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</si>
  <si>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</si>
  <si>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</si>
  <si>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</si>
  <si>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</si>
  <si>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</si>
  <si>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</si>
  <si>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</si>
  <si>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</si>
  <si>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</si>
  <si>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</si>
  <si>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</si>
  <si>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</si>
  <si>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</si>
  <si>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</si>
  <si>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</si>
  <si>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</si>
  <si>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</si>
  <si>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</si>
  <si>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</si>
  <si>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</si>
  <si>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</si>
  <si>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</si>
  <si>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</si>
  <si>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</si>
  <si>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</si>
  <si>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</si>
  <si>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</si>
  <si>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</si>
  <si>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</si>
  <si>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</si>
  <si>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</si>
  <si>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</si>
  <si>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</si>
  <si>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</si>
  <si>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</si>
  <si>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</si>
  <si>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</si>
  <si>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</si>
  <si>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</si>
  <si>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</si>
  <si>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</si>
  <si>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</si>
  <si>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</si>
  <si>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</si>
  <si>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</si>
  <si>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</si>
  <si>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</si>
  <si>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</si>
  <si>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</si>
  <si>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</si>
  <si>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</si>
  <si>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</si>
  <si>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</si>
  <si>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</si>
  <si>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</si>
  <si>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</si>
  <si>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</si>
  <si>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</si>
  <si>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</si>
  <si>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</si>
  <si>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</si>
  <si>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</si>
  <si>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</si>
  <si>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</si>
  <si>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</si>
  <si>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</si>
  <si>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</si>
  <si>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</si>
  <si>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</si>
  <si>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</si>
  <si>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</si>
  <si>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</si>
  <si>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</si>
  <si>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</si>
  <si>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</si>
  <si>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</si>
  <si>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</si>
  <si>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</si>
  <si>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</si>
  <si>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</si>
  <si>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</si>
  <si>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</si>
  <si>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</si>
  <si>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</si>
  <si>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</si>
  <si>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</si>
  <si>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</si>
  <si>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</si>
  <si>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</si>
  <si>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</si>
  <si>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</si>
  <si>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</si>
  <si>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</si>
  <si>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</si>
  <si>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</si>
  <si>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</si>
  <si>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</si>
  <si>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</si>
  <si>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</si>
  <si>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</si>
  <si>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</si>
  <si>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</si>
  <si>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</si>
  <si>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</si>
  <si>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</si>
  <si>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</si>
  <si>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</si>
  <si>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</si>
  <si>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</si>
  <si>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</si>
  <si>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</si>
  <si>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</si>
  <si>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</si>
  <si>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</si>
  <si>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</si>
  <si>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</si>
  <si>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</si>
  <si>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</si>
  <si>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</si>
  <si>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</si>
  <si>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</si>
  <si>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</si>
  <si>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</si>
  <si>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</si>
  <si>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</si>
  <si>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</si>
  <si>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</si>
  <si>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</si>
  <si>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</si>
  <si>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</si>
  <si>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</si>
  <si>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</si>
  <si>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</si>
  <si>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</si>
  <si>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</si>
  <si>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</si>
  <si>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</si>
  <si>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</si>
  <si>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</si>
  <si>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</si>
  <si>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</si>
  <si>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</si>
  <si>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</si>
  <si>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</si>
  <si>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</si>
  <si>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</si>
  <si>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</si>
  <si>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</si>
  <si>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</si>
  <si>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</si>
  <si>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</si>
  <si>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</si>
  <si>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</si>
  <si>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</si>
  <si>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</si>
  <si>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</si>
  <si>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</si>
  <si>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</si>
  <si>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</si>
  <si>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</si>
  <si>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</si>
  <si>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</si>
  <si>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</si>
  <si>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</si>
  <si>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</si>
  <si>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</si>
  <si>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</si>
  <si>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</si>
  <si>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</si>
  <si>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</si>
  <si>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</si>
  <si>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</si>
  <si>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</si>
  <si>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</si>
  <si>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</si>
  <si>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</si>
  <si>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</si>
  <si>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</si>
  <si>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</si>
  <si>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</si>
  <si>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</si>
  <si>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</si>
  <si>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</si>
  <si>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</si>
  <si>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</si>
  <si>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</si>
  <si>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</si>
  <si>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</si>
  <si>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</si>
  <si>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</si>
  <si>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</si>
  <si>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</si>
  <si>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</si>
  <si>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</si>
  <si>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</si>
  <si>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</si>
  <si>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</si>
  <si>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</si>
  <si>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</si>
  <si>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</si>
  <si>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</si>
  <si>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</si>
  <si>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</si>
  <si>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</si>
  <si>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</si>
  <si>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</si>
  <si>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</si>
  <si>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</si>
  <si>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</si>
  <si>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</si>
  <si>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</si>
  <si>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</si>
  <si>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</si>
  <si>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</si>
  <si>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</si>
  <si>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</si>
  <si>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</si>
  <si>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</si>
  <si>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</si>
  <si>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</si>
  <si>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</si>
  <si>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</si>
  <si>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</si>
  <si>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</si>
  <si>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</si>
  <si>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</si>
  <si>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</si>
  <si>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</si>
  <si>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</si>
  <si>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</si>
  <si>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</si>
  <si>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</si>
  <si>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</si>
  <si>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</si>
  <si>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</si>
  <si>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</si>
  <si>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</si>
  <si>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</si>
  <si>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</si>
  <si>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</si>
  <si>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</si>
  <si>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</si>
  <si>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</si>
  <si>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</si>
  <si>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</si>
  <si>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</si>
  <si>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</si>
  <si>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</si>
  <si>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</si>
  <si>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</si>
  <si>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</si>
  <si>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</si>
  <si>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</si>
  <si>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</si>
  <si>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</si>
  <si>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</si>
  <si>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</si>
  <si>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</si>
  <si>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</si>
  <si>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</si>
  <si>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</si>
  <si>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</si>
  <si>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</si>
  <si>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</si>
  <si>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</si>
  <si>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</si>
  <si>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</si>
  <si>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</si>
  <si>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</si>
  <si>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</si>
  <si>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</si>
  <si>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</si>
  <si>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</si>
  <si>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</si>
  <si>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</si>
  <si>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</si>
  <si>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</si>
  <si>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</si>
  <si>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</si>
  <si>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</si>
  <si>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</si>
  <si>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</si>
  <si>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</si>
  <si>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</si>
  <si>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</si>
  <si>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</si>
  <si>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</si>
  <si>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</si>
  <si>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</si>
  <si>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</si>
  <si>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</si>
  <si>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</si>
  <si>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</si>
  <si>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</si>
  <si>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</si>
  <si>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</si>
  <si>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</si>
  <si>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</si>
  <si>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</si>
  <si>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</si>
  <si>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</si>
  <si>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</si>
  <si>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</si>
  <si>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</si>
  <si>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</si>
  <si>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</si>
  <si>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</si>
  <si>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</si>
  <si>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</si>
  <si>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</si>
  <si>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</si>
  <si>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</si>
  <si>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</si>
  <si>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</si>
  <si>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</si>
  <si>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</si>
  <si>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</si>
  <si>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</si>
  <si>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</si>
  <si>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</si>
  <si>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</si>
  <si>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</si>
  <si>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</si>
  <si>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</si>
  <si>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</si>
  <si>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</si>
  <si>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</si>
  <si>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</si>
  <si>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</si>
  <si>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</si>
  <si>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</si>
  <si>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</si>
  <si>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</si>
  <si>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</si>
  <si>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</si>
  <si>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</si>
  <si>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</si>
  <si>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</si>
  <si>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</si>
  <si>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</si>
  <si>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</si>
  <si>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</si>
  <si>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</si>
  <si>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</si>
  <si>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</si>
  <si>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</si>
  <si>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</si>
  <si>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</si>
  <si>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</si>
  <si>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</si>
  <si>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</si>
  <si>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</si>
  <si>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</si>
  <si>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</si>
  <si>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</si>
  <si>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</si>
  <si>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</si>
  <si>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</si>
  <si>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</si>
  <si>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</si>
  <si>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</si>
  <si>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</si>
  <si>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</si>
  <si>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</si>
  <si>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</si>
  <si>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</si>
  <si>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</si>
  <si>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</si>
  <si>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</si>
  <si>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</si>
  <si>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</si>
  <si>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</si>
  <si>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</si>
  <si>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</si>
  <si>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</si>
  <si>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</si>
  <si>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</si>
  <si>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</si>
  <si>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</si>
  <si>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</si>
  <si>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</si>
  <si>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</si>
  <si>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</si>
  <si>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</si>
  <si>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</si>
  <si>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</si>
  <si>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</si>
  <si>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</si>
  <si>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</si>
  <si>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</si>
  <si>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</si>
  <si>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</si>
  <si>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</si>
  <si>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</si>
  <si>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</si>
  <si>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</si>
  <si>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</si>
  <si>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</si>
  <si>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</si>
  <si>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</si>
  <si>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</si>
  <si>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</si>
  <si>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</si>
  <si>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</si>
  <si>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</si>
  <si>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</si>
  <si>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</si>
  <si>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</si>
  <si>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</si>
  <si>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</si>
  <si>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</si>
  <si>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</si>
  <si>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</si>
  <si>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</si>
  <si>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</si>
  <si>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</si>
  <si>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</si>
  <si>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</si>
  <si>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</si>
  <si>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</si>
  <si>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</si>
  <si>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</si>
  <si>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</si>
  <si>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</si>
  <si>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</si>
  <si>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</si>
  <si>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</si>
  <si>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</si>
  <si>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</si>
  <si>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</si>
  <si>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</si>
  <si>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</si>
  <si>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</si>
  <si>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</si>
  <si>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</si>
  <si>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</si>
  <si>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</si>
  <si>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</si>
  <si>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</si>
  <si>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</si>
  <si>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</si>
  <si>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</si>
  <si>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</si>
  <si>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</si>
  <si>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</si>
  <si>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</si>
  <si>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</si>
  <si>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</si>
  <si>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</si>
  <si>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</si>
  <si>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</si>
  <si>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</si>
  <si>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</si>
  <si>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</si>
  <si>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đơn trả 31.3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</si>
</sst>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  <xf numFmtId="0" fontId="8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4" workbookViewId="0">
      <selection activeCell="A7" sqref="A7:XFD8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46" workbookViewId="0">
      <selection activeCell="J73" sqref="J7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opLeftCell="A3"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zoomScale="85" zoomScaleNormal="85" workbookViewId="0">
      <selection activeCell="Q3" sqref="Q3:Q21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50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 s="50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 s="50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 s="50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4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 s="50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 s="50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 s="5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 s="50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 s="50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 s="50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 s="50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 s="50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 s="50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 s="50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 s="50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 s="50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 s="5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 s="50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workbookViewId="0">
      <selection activeCell="I44" sqref="I44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opLeftCell="A6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zoomScale="80" zoomScaleNormal="80" workbookViewId="0">
      <selection activeCell="I34" sqref="I34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66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3" sqref="I3:I1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topLeftCell="A9"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topLeftCell="A15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opLeftCell="A48" zoomScale="80" zoomScaleNormal="80" workbookViewId="0">
      <selection activeCell="R36" sqref="R36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2080</v>
      </c>
      <c r="H35" s="25">
        <v>30</v>
      </c>
      <c r="I35" s="25">
        <f>G35-H35</f>
        <v>2050</v>
      </c>
      <c r="J35" t="s">
        <v>25</v>
      </c>
      <c r="K35" t="s">
        <v>25</v>
      </c>
      <c r="L35" t="s">
        <v>2788</v>
      </c>
      <c r="M35" s="51" t="s">
        <v>2403</v>
      </c>
      <c r="Q35" s="25">
        <v>1</v>
      </c>
      <c r="R35" s="25">
        <f>H35</f>
        <v>30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36530</v>
      </c>
      <c r="H70">
        <f t="shared" si="5"/>
        <v>1805</v>
      </c>
      <c r="I70">
        <f t="shared" si="5"/>
        <v>34725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415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34725</v>
      </c>
      <c r="J75" s="11">
        <f>Q70</f>
        <v>66</v>
      </c>
    </row>
    <row r="76" spans="2:18" x14ac:dyDescent="0.25">
      <c r="H76" s="12" t="s">
        <v>316</v>
      </c>
      <c r="I76" s="13">
        <f>R70</f>
        <v>415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AA7D-DAFD-43D3-91E7-B48D33E77E74}">
  <dimension ref="A1:R44"/>
  <sheetViews>
    <sheetView tabSelected="1" zoomScale="80" zoomScaleNormal="80" workbookViewId="0">
      <selection activeCell="U29" sqref="U2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2960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2965</v>
      </c>
      <c r="D3" t="s">
        <v>2966</v>
      </c>
      <c r="E3" t="s">
        <v>2967</v>
      </c>
      <c r="F3" s="25">
        <v>7</v>
      </c>
      <c r="G3" s="25">
        <v>700</v>
      </c>
      <c r="H3" s="25">
        <v>30</v>
      </c>
      <c r="I3" s="25">
        <f>G3-H3</f>
        <v>670</v>
      </c>
      <c r="J3" t="s">
        <v>2968</v>
      </c>
      <c r="K3" t="s">
        <v>25</v>
      </c>
      <c r="L3" t="s">
        <v>2964</v>
      </c>
      <c r="Q3" s="25">
        <v>1</v>
      </c>
    </row>
    <row r="4" spans="1:18" x14ac:dyDescent="0.25">
      <c r="B4" t="s">
        <v>1827</v>
      </c>
      <c r="C4" t="s">
        <v>2969</v>
      </c>
      <c r="D4" t="s">
        <v>2970</v>
      </c>
      <c r="E4" t="s">
        <v>2276</v>
      </c>
      <c r="F4" t="s">
        <v>1853</v>
      </c>
      <c r="G4" s="25">
        <v>0</v>
      </c>
      <c r="H4" s="25">
        <v>30</v>
      </c>
      <c r="I4" s="25">
        <f>G4-H4</f>
        <v>-30</v>
      </c>
      <c r="J4" t="s">
        <v>2968</v>
      </c>
      <c r="K4" t="s">
        <v>25</v>
      </c>
      <c r="L4" t="s">
        <v>2964</v>
      </c>
      <c r="Q4" s="25">
        <v>1</v>
      </c>
      <c r="R4" s="25">
        <f>H4</f>
        <v>30</v>
      </c>
    </row>
    <row r="5" spans="1:18" x14ac:dyDescent="0.25">
      <c r="B5" t="s">
        <v>1827</v>
      </c>
      <c r="C5" t="s">
        <v>2971</v>
      </c>
      <c r="D5" t="s">
        <v>2972</v>
      </c>
      <c r="E5" t="s">
        <v>2973</v>
      </c>
      <c r="F5" t="s">
        <v>1976</v>
      </c>
      <c r="G5" s="25">
        <v>415</v>
      </c>
      <c r="H5" s="25">
        <v>35</v>
      </c>
      <c r="I5" s="25">
        <f>G5-H5</f>
        <v>380</v>
      </c>
      <c r="J5" t="s">
        <v>2968</v>
      </c>
      <c r="K5" t="s">
        <v>25</v>
      </c>
      <c r="L5" t="s">
        <v>2964</v>
      </c>
      <c r="Q5" s="25">
        <v>1</v>
      </c>
    </row>
    <row r="6" spans="1:18" x14ac:dyDescent="0.25">
      <c r="B6" t="s">
        <v>1827</v>
      </c>
      <c r="C6" t="s">
        <v>2976</v>
      </c>
      <c r="D6" t="s">
        <v>2977</v>
      </c>
      <c r="E6" t="s">
        <v>2978</v>
      </c>
      <c r="F6" t="s">
        <v>1853</v>
      </c>
      <c r="G6" s="25">
        <v>0</v>
      </c>
      <c r="H6" s="25">
        <v>30</v>
      </c>
      <c r="I6" s="25">
        <f>G6-H6</f>
        <v>-30</v>
      </c>
      <c r="J6" t="s">
        <v>2968</v>
      </c>
      <c r="K6" t="s">
        <v>25</v>
      </c>
      <c r="L6" t="s">
        <v>2964</v>
      </c>
      <c r="Q6" s="25">
        <v>1</v>
      </c>
      <c r="R6" s="25">
        <f>H6</f>
        <v>30</v>
      </c>
    </row>
    <row r="7" spans="1:18" x14ac:dyDescent="0.25">
      <c r="B7" t="s">
        <v>1827</v>
      </c>
      <c r="C7" t="s">
        <v>2982</v>
      </c>
      <c r="D7" t="s">
        <v>2983</v>
      </c>
      <c r="E7" t="s">
        <v>2984</v>
      </c>
      <c r="F7" t="s">
        <v>1853</v>
      </c>
      <c r="G7" s="25">
        <v>740</v>
      </c>
      <c r="H7" s="25">
        <v>30</v>
      </c>
      <c r="I7" s="25">
        <f>G7-H7</f>
        <v>710</v>
      </c>
      <c r="J7" t="s">
        <v>2968</v>
      </c>
      <c r="K7" t="s">
        <v>25</v>
      </c>
      <c r="L7" t="s">
        <v>2964</v>
      </c>
      <c r="Q7" s="25">
        <v>1</v>
      </c>
    </row>
    <row r="8" spans="1:18" x14ac:dyDescent="0.25">
      <c r="B8" t="s">
        <v>1827</v>
      </c>
      <c r="C8" t="s">
        <v>2985</v>
      </c>
      <c r="D8" t="s">
        <v>2986</v>
      </c>
      <c r="E8" t="s">
        <v>2987</v>
      </c>
      <c r="F8" s="25">
        <v>7</v>
      </c>
      <c r="G8" s="25">
        <v>0</v>
      </c>
      <c r="H8" s="25">
        <v>30</v>
      </c>
      <c r="I8" s="25">
        <f>G8-H8</f>
        <v>-30</v>
      </c>
      <c r="J8" t="s">
        <v>2968</v>
      </c>
      <c r="K8" t="s">
        <v>25</v>
      </c>
      <c r="L8" t="s">
        <v>2964</v>
      </c>
      <c r="Q8" s="25">
        <v>1</v>
      </c>
      <c r="R8" s="25">
        <f>H8</f>
        <v>30</v>
      </c>
    </row>
    <row r="9" spans="1:18" x14ac:dyDescent="0.25">
      <c r="B9" t="s">
        <v>1827</v>
      </c>
      <c r="C9" t="s">
        <v>2988</v>
      </c>
      <c r="D9" t="s">
        <v>2989</v>
      </c>
      <c r="E9" t="s">
        <v>2990</v>
      </c>
      <c r="F9" t="s">
        <v>1853</v>
      </c>
      <c r="G9" s="25">
        <v>1030</v>
      </c>
      <c r="H9" s="25">
        <v>30</v>
      </c>
      <c r="I9" s="25">
        <f>G9-H9</f>
        <v>1000</v>
      </c>
      <c r="J9" t="s">
        <v>2968</v>
      </c>
      <c r="K9" t="s">
        <v>25</v>
      </c>
      <c r="L9" t="s">
        <v>2964</v>
      </c>
      <c r="Q9" s="25">
        <v>1</v>
      </c>
    </row>
    <row r="10" spans="1:18" x14ac:dyDescent="0.25">
      <c r="B10" t="s">
        <v>1827</v>
      </c>
      <c r="C10" t="s">
        <v>2999</v>
      </c>
      <c r="D10" t="s">
        <v>3000</v>
      </c>
      <c r="E10" t="s">
        <v>3001</v>
      </c>
      <c r="F10" t="s">
        <v>607</v>
      </c>
      <c r="G10" s="25">
        <v>915</v>
      </c>
      <c r="H10" s="25">
        <v>25</v>
      </c>
      <c r="I10" s="25">
        <f>G10-H10</f>
        <v>890</v>
      </c>
      <c r="J10" t="s">
        <v>2968</v>
      </c>
      <c r="K10" t="s">
        <v>25</v>
      </c>
      <c r="L10" t="s">
        <v>2964</v>
      </c>
      <c r="Q10" s="25">
        <v>1</v>
      </c>
    </row>
    <row r="11" spans="1:18" x14ac:dyDescent="0.25">
      <c r="B11" t="s">
        <v>1827</v>
      </c>
      <c r="C11" t="s">
        <v>2797</v>
      </c>
      <c r="D11" t="s">
        <v>3002</v>
      </c>
      <c r="E11" t="s">
        <v>3003</v>
      </c>
      <c r="F11" s="25">
        <v>7</v>
      </c>
      <c r="G11" s="25">
        <v>800</v>
      </c>
      <c r="H11" s="25">
        <v>30</v>
      </c>
      <c r="I11" s="25">
        <f>G11-H11</f>
        <v>770</v>
      </c>
      <c r="J11" t="s">
        <v>2968</v>
      </c>
      <c r="K11" t="s">
        <v>25</v>
      </c>
      <c r="L11" t="s">
        <v>2964</v>
      </c>
      <c r="Q11" s="25">
        <v>1</v>
      </c>
    </row>
    <row r="12" spans="1:18" x14ac:dyDescent="0.25">
      <c r="B12" t="s">
        <v>1827</v>
      </c>
      <c r="C12" t="s">
        <v>3007</v>
      </c>
      <c r="D12" t="s">
        <v>3008</v>
      </c>
      <c r="E12" t="s">
        <v>3009</v>
      </c>
      <c r="F12" t="s">
        <v>1976</v>
      </c>
      <c r="G12" s="25">
        <v>745</v>
      </c>
      <c r="H12" s="25">
        <v>35</v>
      </c>
      <c r="I12" s="25">
        <f>G12-H12</f>
        <v>710</v>
      </c>
      <c r="J12" t="s">
        <v>2968</v>
      </c>
      <c r="K12" t="s">
        <v>25</v>
      </c>
      <c r="L12" t="s">
        <v>2964</v>
      </c>
      <c r="Q12" s="25">
        <v>1</v>
      </c>
    </row>
    <row r="13" spans="1:18" x14ac:dyDescent="0.25">
      <c r="B13" t="s">
        <v>1827</v>
      </c>
      <c r="C13" t="s">
        <v>2945</v>
      </c>
      <c r="D13" t="s">
        <v>3010</v>
      </c>
      <c r="E13" t="s">
        <v>2947</v>
      </c>
      <c r="F13" s="25">
        <v>8</v>
      </c>
      <c r="G13" s="25">
        <v>30</v>
      </c>
      <c r="H13" s="25">
        <v>30</v>
      </c>
      <c r="I13" s="25">
        <f>G13-H13</f>
        <v>0</v>
      </c>
      <c r="J13" t="s">
        <v>2968</v>
      </c>
      <c r="K13" t="s">
        <v>25</v>
      </c>
      <c r="L13" t="s">
        <v>2964</v>
      </c>
      <c r="M13" t="s">
        <v>472</v>
      </c>
      <c r="Q13" s="25">
        <v>1</v>
      </c>
    </row>
    <row r="14" spans="1:18" x14ac:dyDescent="0.25">
      <c r="A14" t="s">
        <v>1833</v>
      </c>
      <c r="B14" t="s">
        <v>1827</v>
      </c>
      <c r="C14" t="s">
        <v>2292</v>
      </c>
      <c r="E14" t="s">
        <v>1841</v>
      </c>
      <c r="F14" s="25">
        <v>6</v>
      </c>
      <c r="G14" s="25">
        <v>0</v>
      </c>
      <c r="H14" s="25">
        <v>30</v>
      </c>
      <c r="I14" s="25">
        <f>G14-H14</f>
        <v>-30</v>
      </c>
      <c r="J14" t="s">
        <v>2968</v>
      </c>
      <c r="K14" t="s">
        <v>25</v>
      </c>
      <c r="L14" t="s">
        <v>2964</v>
      </c>
      <c r="Q14" s="25">
        <v>1</v>
      </c>
      <c r="R14" s="25">
        <f t="shared" ref="R14:R16" si="0">H14</f>
        <v>30</v>
      </c>
    </row>
    <row r="15" spans="1:18" x14ac:dyDescent="0.25">
      <c r="B15" t="s">
        <v>1827</v>
      </c>
      <c r="C15" t="s">
        <v>2979</v>
      </c>
      <c r="D15" t="s">
        <v>2980</v>
      </c>
      <c r="E15" t="s">
        <v>2981</v>
      </c>
      <c r="F15" t="s">
        <v>70</v>
      </c>
      <c r="G15" s="25">
        <v>0</v>
      </c>
      <c r="H15" s="25">
        <v>25</v>
      </c>
      <c r="I15" s="25">
        <f>G15-H15</f>
        <v>-25</v>
      </c>
      <c r="J15" t="s">
        <v>25</v>
      </c>
      <c r="K15" t="s">
        <v>25</v>
      </c>
      <c r="L15" t="s">
        <v>2964</v>
      </c>
      <c r="Q15" s="25">
        <v>1</v>
      </c>
      <c r="R15" s="25">
        <f t="shared" si="0"/>
        <v>25</v>
      </c>
    </row>
    <row r="16" spans="1:18" x14ac:dyDescent="0.25">
      <c r="B16" t="s">
        <v>1827</v>
      </c>
      <c r="C16" t="s">
        <v>2991</v>
      </c>
      <c r="D16" t="s">
        <v>2992</v>
      </c>
      <c r="E16" t="s">
        <v>2993</v>
      </c>
      <c r="F16" t="s">
        <v>70</v>
      </c>
      <c r="G16" s="25">
        <v>0</v>
      </c>
      <c r="H16" s="25">
        <v>25</v>
      </c>
      <c r="I16" s="25">
        <f>G16-H16</f>
        <v>-25</v>
      </c>
      <c r="J16" t="s">
        <v>25</v>
      </c>
      <c r="K16" t="s">
        <v>25</v>
      </c>
      <c r="L16" t="s">
        <v>2964</v>
      </c>
      <c r="Q16" s="25">
        <v>1</v>
      </c>
      <c r="R16" s="25">
        <f t="shared" si="0"/>
        <v>25</v>
      </c>
    </row>
    <row r="17" spans="1:18" x14ac:dyDescent="0.25">
      <c r="B17" t="s">
        <v>1827</v>
      </c>
      <c r="C17" t="s">
        <v>2921</v>
      </c>
      <c r="D17" t="s">
        <v>2994</v>
      </c>
      <c r="E17" t="s">
        <v>2995</v>
      </c>
      <c r="F17" s="25">
        <v>2</v>
      </c>
      <c r="G17" s="25">
        <v>700</v>
      </c>
      <c r="H17" s="25">
        <v>30</v>
      </c>
      <c r="I17" s="25">
        <f>G17-H17</f>
        <v>670</v>
      </c>
      <c r="J17" t="s">
        <v>25</v>
      </c>
      <c r="K17" t="s">
        <v>25</v>
      </c>
      <c r="L17" t="s">
        <v>2964</v>
      </c>
      <c r="Q17" s="25">
        <v>1</v>
      </c>
    </row>
    <row r="18" spans="1:18" x14ac:dyDescent="0.25">
      <c r="B18" t="s">
        <v>1827</v>
      </c>
      <c r="C18" t="s">
        <v>3004</v>
      </c>
      <c r="D18" t="s">
        <v>3005</v>
      </c>
      <c r="E18" t="s">
        <v>3006</v>
      </c>
      <c r="F18" s="25">
        <v>2</v>
      </c>
      <c r="G18" s="25">
        <v>820</v>
      </c>
      <c r="H18" s="25">
        <v>30</v>
      </c>
      <c r="I18" s="25">
        <f>G18-H18</f>
        <v>790</v>
      </c>
      <c r="J18" t="s">
        <v>25</v>
      </c>
      <c r="K18" t="s">
        <v>25</v>
      </c>
      <c r="L18" t="s">
        <v>2964</v>
      </c>
      <c r="Q18" s="25">
        <v>1</v>
      </c>
    </row>
    <row r="19" spans="1:18" x14ac:dyDescent="0.25">
      <c r="B19" t="s">
        <v>1827</v>
      </c>
      <c r="C19" t="s">
        <v>3018</v>
      </c>
      <c r="D19" t="s">
        <v>3019</v>
      </c>
      <c r="E19" t="s">
        <v>3020</v>
      </c>
      <c r="F19" t="s">
        <v>70</v>
      </c>
      <c r="G19" s="25">
        <v>945</v>
      </c>
      <c r="H19" s="25">
        <v>25</v>
      </c>
      <c r="I19" s="25">
        <f>G19-H19</f>
        <v>920</v>
      </c>
      <c r="J19" t="s">
        <v>25</v>
      </c>
      <c r="K19" t="s">
        <v>25</v>
      </c>
      <c r="L19" t="s">
        <v>2964</v>
      </c>
      <c r="Q19" s="25">
        <v>1</v>
      </c>
    </row>
    <row r="20" spans="1:18" x14ac:dyDescent="0.25">
      <c r="A20" t="s">
        <v>1833</v>
      </c>
      <c r="B20" t="s">
        <v>1827</v>
      </c>
      <c r="C20" t="s">
        <v>3021</v>
      </c>
      <c r="E20" t="s">
        <v>3022</v>
      </c>
      <c r="F20" s="25">
        <v>12</v>
      </c>
      <c r="G20" s="25">
        <v>0</v>
      </c>
      <c r="H20" s="25">
        <v>35</v>
      </c>
      <c r="I20" s="25">
        <f>G20-H20</f>
        <v>-35</v>
      </c>
      <c r="J20" t="s">
        <v>25</v>
      </c>
      <c r="K20" t="s">
        <v>25</v>
      </c>
      <c r="L20" t="s">
        <v>2964</v>
      </c>
      <c r="Q20" s="25">
        <v>1</v>
      </c>
      <c r="R20" s="25">
        <f t="shared" ref="R20:R21" si="1">H20</f>
        <v>35</v>
      </c>
    </row>
    <row r="21" spans="1:18" x14ac:dyDescent="0.25">
      <c r="A21" t="s">
        <v>1833</v>
      </c>
      <c r="B21" t="s">
        <v>1827</v>
      </c>
      <c r="C21" t="s">
        <v>3023</v>
      </c>
      <c r="E21" t="s">
        <v>1892</v>
      </c>
      <c r="F21" s="25">
        <v>12</v>
      </c>
      <c r="G21" s="25">
        <v>0</v>
      </c>
      <c r="H21" s="25">
        <v>35</v>
      </c>
      <c r="I21" s="25">
        <f>G21-H21</f>
        <v>-35</v>
      </c>
      <c r="J21" t="s">
        <v>25</v>
      </c>
      <c r="K21" t="s">
        <v>25</v>
      </c>
      <c r="L21" t="s">
        <v>2964</v>
      </c>
      <c r="Q21" s="25">
        <v>1</v>
      </c>
      <c r="R21" s="25">
        <f t="shared" si="1"/>
        <v>35</v>
      </c>
    </row>
    <row r="22" spans="1:18" x14ac:dyDescent="0.25">
      <c r="A22" t="s">
        <v>1833</v>
      </c>
      <c r="B22" t="s">
        <v>1827</v>
      </c>
      <c r="C22" t="s">
        <v>3024</v>
      </c>
      <c r="E22" t="s">
        <v>3025</v>
      </c>
      <c r="F22" t="s">
        <v>98</v>
      </c>
      <c r="G22" s="25">
        <v>30</v>
      </c>
      <c r="H22" s="25">
        <v>30</v>
      </c>
      <c r="I22" s="25">
        <f>G22-H22</f>
        <v>0</v>
      </c>
      <c r="J22" t="s">
        <v>25</v>
      </c>
      <c r="K22" t="s">
        <v>25</v>
      </c>
      <c r="L22" t="s">
        <v>2964</v>
      </c>
      <c r="Q22" s="25">
        <v>1</v>
      </c>
    </row>
    <row r="23" spans="1:18" x14ac:dyDescent="0.25">
      <c r="B23" t="s">
        <v>1827</v>
      </c>
      <c r="C23" t="s">
        <v>3026</v>
      </c>
      <c r="D23" t="s">
        <v>3027</v>
      </c>
      <c r="E23" t="s">
        <v>3028</v>
      </c>
      <c r="F23" s="25">
        <v>2</v>
      </c>
      <c r="G23" s="25">
        <v>2945</v>
      </c>
      <c r="H23" s="25">
        <v>35</v>
      </c>
      <c r="I23" s="25">
        <f>G23-H23</f>
        <v>2910</v>
      </c>
      <c r="J23" t="s">
        <v>25</v>
      </c>
      <c r="K23" t="s">
        <v>25</v>
      </c>
      <c r="L23" t="s">
        <v>2964</v>
      </c>
      <c r="Q23" s="25">
        <v>1</v>
      </c>
    </row>
    <row r="24" spans="1:18" x14ac:dyDescent="0.25">
      <c r="B24" t="s">
        <v>1827</v>
      </c>
      <c r="C24" t="s">
        <v>2961</v>
      </c>
      <c r="D24" t="s">
        <v>2962</v>
      </c>
      <c r="E24" t="s">
        <v>2963</v>
      </c>
      <c r="F24" s="25">
        <v>4</v>
      </c>
      <c r="G24" s="25">
        <v>815</v>
      </c>
      <c r="H24" s="25">
        <v>25</v>
      </c>
      <c r="I24" s="25">
        <f>G24-H24</f>
        <v>790</v>
      </c>
      <c r="J24" t="s">
        <v>1884</v>
      </c>
      <c r="K24" t="s">
        <v>25</v>
      </c>
      <c r="L24" t="s">
        <v>2964</v>
      </c>
      <c r="Q24" s="25">
        <v>1</v>
      </c>
    </row>
    <row r="25" spans="1:18" x14ac:dyDescent="0.25">
      <c r="B25" t="s">
        <v>1827</v>
      </c>
      <c r="C25" t="s">
        <v>1937</v>
      </c>
      <c r="D25" t="s">
        <v>2974</v>
      </c>
      <c r="E25" t="s">
        <v>1939</v>
      </c>
      <c r="F25" s="25">
        <v>10</v>
      </c>
      <c r="G25" s="25">
        <v>885</v>
      </c>
      <c r="H25" s="25">
        <v>25</v>
      </c>
      <c r="I25" s="25">
        <f>G25-H25</f>
        <v>860</v>
      </c>
      <c r="J25" t="s">
        <v>1884</v>
      </c>
      <c r="K25" t="s">
        <v>25</v>
      </c>
      <c r="L25" t="s">
        <v>2964</v>
      </c>
      <c r="Q25" s="25">
        <v>1</v>
      </c>
    </row>
    <row r="26" spans="1:18" x14ac:dyDescent="0.25">
      <c r="B26" t="s">
        <v>1827</v>
      </c>
      <c r="C26" t="s">
        <v>2017</v>
      </c>
      <c r="D26" t="s">
        <v>2975</v>
      </c>
      <c r="E26" t="s">
        <v>2019</v>
      </c>
      <c r="F26" s="25">
        <v>1</v>
      </c>
      <c r="G26" s="25">
        <v>815</v>
      </c>
      <c r="H26" s="25">
        <v>25</v>
      </c>
      <c r="I26" s="25">
        <f>G26-H26</f>
        <v>790</v>
      </c>
      <c r="J26" t="s">
        <v>1884</v>
      </c>
      <c r="K26" t="s">
        <v>25</v>
      </c>
      <c r="L26" t="s">
        <v>2964</v>
      </c>
      <c r="Q26" s="25">
        <v>1</v>
      </c>
    </row>
    <row r="27" spans="1:18" x14ac:dyDescent="0.25">
      <c r="B27" t="s">
        <v>1827</v>
      </c>
      <c r="C27" t="s">
        <v>2996</v>
      </c>
      <c r="D27" t="s">
        <v>2997</v>
      </c>
      <c r="E27" t="s">
        <v>2998</v>
      </c>
      <c r="F27" t="s">
        <v>151</v>
      </c>
      <c r="G27" s="25">
        <v>810</v>
      </c>
      <c r="H27" s="25">
        <v>20</v>
      </c>
      <c r="I27" s="25">
        <f>G27-H27</f>
        <v>790</v>
      </c>
      <c r="J27" t="s">
        <v>1884</v>
      </c>
      <c r="K27" t="s">
        <v>25</v>
      </c>
      <c r="L27" t="s">
        <v>2964</v>
      </c>
      <c r="Q27" s="25">
        <v>1</v>
      </c>
    </row>
    <row r="28" spans="1:18" x14ac:dyDescent="0.25">
      <c r="B28" t="s">
        <v>1827</v>
      </c>
      <c r="C28" t="s">
        <v>3011</v>
      </c>
      <c r="D28" t="s">
        <v>3012</v>
      </c>
      <c r="E28" t="s">
        <v>3013</v>
      </c>
      <c r="F28" t="s">
        <v>98</v>
      </c>
      <c r="G28" s="25">
        <v>845</v>
      </c>
      <c r="H28" s="25">
        <v>25</v>
      </c>
      <c r="I28" s="25">
        <f>G28-H28</f>
        <v>820</v>
      </c>
      <c r="J28" t="s">
        <v>1884</v>
      </c>
      <c r="K28" t="s">
        <v>25</v>
      </c>
      <c r="L28" t="s">
        <v>2964</v>
      </c>
      <c r="Q28" s="25">
        <v>1</v>
      </c>
    </row>
    <row r="29" spans="1:18" x14ac:dyDescent="0.25">
      <c r="B29" t="s">
        <v>1827</v>
      </c>
      <c r="C29" t="s">
        <v>3014</v>
      </c>
      <c r="D29" t="s">
        <v>3015</v>
      </c>
      <c r="E29" t="s">
        <v>2860</v>
      </c>
      <c r="F29" t="s">
        <v>98</v>
      </c>
      <c r="G29" s="25">
        <v>0</v>
      </c>
      <c r="H29" s="25">
        <v>25</v>
      </c>
      <c r="I29" s="25">
        <f>G29-H29</f>
        <v>-25</v>
      </c>
      <c r="J29" t="s">
        <v>1884</v>
      </c>
      <c r="K29" t="s">
        <v>25</v>
      </c>
      <c r="L29" t="s">
        <v>2964</v>
      </c>
      <c r="Q29" s="25">
        <v>1</v>
      </c>
      <c r="R29" s="25">
        <f>H29</f>
        <v>25</v>
      </c>
    </row>
    <row r="30" spans="1:18" x14ac:dyDescent="0.25">
      <c r="B30" t="s">
        <v>1827</v>
      </c>
      <c r="C30" t="s">
        <v>2824</v>
      </c>
      <c r="D30" t="s">
        <v>3016</v>
      </c>
      <c r="E30" t="s">
        <v>3017</v>
      </c>
      <c r="F30" s="25">
        <v>5</v>
      </c>
      <c r="G30" s="25">
        <v>55</v>
      </c>
      <c r="H30" s="25">
        <v>25</v>
      </c>
      <c r="I30" s="25">
        <f>G30-H30</f>
        <v>30</v>
      </c>
      <c r="J30" t="s">
        <v>1884</v>
      </c>
      <c r="K30" t="s">
        <v>25</v>
      </c>
      <c r="L30" t="s">
        <v>2964</v>
      </c>
      <c r="M30" t="s">
        <v>472</v>
      </c>
      <c r="Q30" s="25">
        <v>1</v>
      </c>
    </row>
    <row r="32" spans="1:18" x14ac:dyDescent="0.25">
      <c r="G32">
        <f>SUBTOTAL(9,G3:G31)</f>
        <v>15040</v>
      </c>
      <c r="H32">
        <f>SUBTOTAL(9,H3:H31)</f>
        <v>805</v>
      </c>
      <c r="I32">
        <f>SUBTOTAL(9,I3:I31)</f>
        <v>14235</v>
      </c>
      <c r="J32">
        <f>SUBTOTAL(9,J3:J31)</f>
        <v>0</v>
      </c>
      <c r="K32">
        <f>SUBTOTAL(9,K3:K31)</f>
        <v>0</v>
      </c>
      <c r="L32">
        <f>SUBTOTAL(9,L3:L31)</f>
        <v>0</v>
      </c>
      <c r="M32">
        <f>SUBTOTAL(9,M3:M31)</f>
        <v>0</v>
      </c>
      <c r="N32">
        <f>SUBTOTAL(9,N3:N31)</f>
        <v>0</v>
      </c>
      <c r="O32">
        <f>SUBTOTAL(9,O3:O31)</f>
        <v>0</v>
      </c>
      <c r="P32">
        <f>SUBTOTAL(9,P3:P31)</f>
        <v>0</v>
      </c>
      <c r="Q32">
        <f>SUBTOTAL(9,Q3:Q31)</f>
        <v>28</v>
      </c>
      <c r="R32">
        <f>SUBTOTAL(9,R3:R31)</f>
        <v>265</v>
      </c>
    </row>
    <row r="33" spans="8:10" x14ac:dyDescent="0.25">
      <c r="I33" s="29">
        <v>-2630</v>
      </c>
      <c r="J33" s="22" t="s">
        <v>3029</v>
      </c>
    </row>
    <row r="34" spans="8:10" x14ac:dyDescent="0.25">
      <c r="I34" s="29"/>
      <c r="J34" s="22"/>
    </row>
    <row r="35" spans="8:10" x14ac:dyDescent="0.25">
      <c r="I35" s="29"/>
      <c r="J35" s="22"/>
    </row>
    <row r="36" spans="8:10" ht="18.75" customHeight="1" x14ac:dyDescent="0.3">
      <c r="H36" s="7" t="s">
        <v>2787</v>
      </c>
      <c r="I36" s="8" t="s">
        <v>313</v>
      </c>
      <c r="J36" s="9" t="s">
        <v>314</v>
      </c>
    </row>
    <row r="37" spans="8:10" ht="15.75" customHeight="1" x14ac:dyDescent="0.25">
      <c r="H37" s="10" t="s">
        <v>315</v>
      </c>
      <c r="I37" s="38">
        <f>SUM(I31:I35)</f>
        <v>11605</v>
      </c>
      <c r="J37" s="11">
        <f>Q32</f>
        <v>28</v>
      </c>
    </row>
    <row r="38" spans="8:10" x14ac:dyDescent="0.25">
      <c r="H38" s="12" t="s">
        <v>316</v>
      </c>
      <c r="I38" s="13">
        <f>R32</f>
        <v>265</v>
      </c>
      <c r="J38" s="14"/>
    </row>
    <row r="39" spans="8:10" x14ac:dyDescent="0.25">
      <c r="H39" s="12" t="s">
        <v>317</v>
      </c>
      <c r="I39" s="13">
        <f>S32</f>
        <v>0</v>
      </c>
      <c r="J39" s="14"/>
    </row>
    <row r="40" spans="8:10" x14ac:dyDescent="0.25">
      <c r="H40" s="12" t="s">
        <v>318</v>
      </c>
      <c r="I40" s="13">
        <f>T32</f>
        <v>0</v>
      </c>
      <c r="J40" s="14"/>
    </row>
    <row r="41" spans="8:10" x14ac:dyDescent="0.25">
      <c r="H41" s="12" t="s">
        <v>319</v>
      </c>
      <c r="I41" s="13">
        <f>U32</f>
        <v>0</v>
      </c>
      <c r="J41" s="14"/>
    </row>
    <row r="42" spans="8:10" ht="15.75" customHeight="1" x14ac:dyDescent="0.25">
      <c r="H42" s="15" t="s">
        <v>320</v>
      </c>
      <c r="I42" s="16"/>
      <c r="J42" s="16"/>
    </row>
    <row r="43" spans="8:10" ht="15.75" customHeight="1" x14ac:dyDescent="0.25">
      <c r="H43" s="17" t="s">
        <v>321</v>
      </c>
      <c r="I43" s="16"/>
      <c r="J43" s="16"/>
    </row>
    <row r="44" spans="8:10" ht="21" customHeight="1" x14ac:dyDescent="0.35">
      <c r="H44" s="18" t="s">
        <v>322</v>
      </c>
      <c r="I44" s="39">
        <f>SUM(I37:I43)</f>
        <v>11870</v>
      </c>
      <c r="J44" s="19">
        <f>SUM(J37:J41)</f>
        <v>28</v>
      </c>
    </row>
  </sheetData>
  <autoFilter ref="A2:P30" xr:uid="{00000000-0009-0000-0000-000012000000}">
    <sortState xmlns:xlrd2="http://schemas.microsoft.com/office/spreadsheetml/2017/richdata2" ref="A3:P30">
      <sortCondition ref="J2:J3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  <vt:lpstr>31-3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2026-03-31T09:20:53Z</dcterms:modified>
</cp:coreProperties>
</file>