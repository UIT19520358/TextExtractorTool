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C37379EA-0D71-413D-8A1A-F561BDBEA51C}" xr6:coauthVersionLast="47" xr6:coauthVersionMax="47" xr10:uidLastSave="{00000000-0000-0000-0000-000000000000}"/>
  <bookViews>
    <workbookView xWindow="-120" yWindow="-120" windowWidth="29040" windowHeight="15720" activeTab="16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1" l="1"/>
  <c r="K54" i="2"/>
  <c r="J55" i="2"/>
  <c r="J55" i="3"/>
  <c r="J42" i="4"/>
  <c r="J67" i="5"/>
  <c r="J68" i="6"/>
  <c r="J73" i="7"/>
  <c r="J45" i="8"/>
  <c r="J32" i="9"/>
  <c r="J52" i="10"/>
  <c r="J49" i="11"/>
  <c r="J40" i="12"/>
  <c r="J89" i="13"/>
  <c r="I32" i="14"/>
  <c r="I42" i="16"/>
  <c r="R26" i="17"/>
  <c r="R24" i="17"/>
  <c r="R16" i="17"/>
  <c r="R12" i="17"/>
  <c r="R6" i="17"/>
  <c r="I37" i="17"/>
  <c r="I36" i="17"/>
  <c r="I35" i="17"/>
  <c r="Q28" i="17"/>
  <c r="J33" i="17" s="1"/>
  <c r="J40" i="17" s="1"/>
  <c r="P28" i="17"/>
  <c r="O28" i="17"/>
  <c r="N28" i="17"/>
  <c r="M28" i="17"/>
  <c r="L28" i="17"/>
  <c r="K28" i="17"/>
  <c r="J28" i="17"/>
  <c r="I28" i="17"/>
  <c r="I33" i="17" s="1"/>
  <c r="H28" i="17"/>
  <c r="G28" i="17"/>
  <c r="G51" i="16"/>
  <c r="G50" i="16"/>
  <c r="I45" i="16"/>
  <c r="I44" i="16"/>
  <c r="I43" i="16"/>
  <c r="H36" i="16"/>
  <c r="J36" i="16"/>
  <c r="K36" i="16"/>
  <c r="L36" i="16"/>
  <c r="M36" i="16"/>
  <c r="N36" i="16"/>
  <c r="O36" i="16"/>
  <c r="P36" i="16"/>
  <c r="Q36" i="16"/>
  <c r="J41" i="16" s="1"/>
  <c r="J48" i="16" s="1"/>
  <c r="G3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R34" i="16"/>
  <c r="R30" i="16"/>
  <c r="R15" i="16"/>
  <c r="R5" i="16"/>
  <c r="I3" i="16"/>
  <c r="I32" i="15"/>
  <c r="I31" i="15"/>
  <c r="I30" i="15"/>
  <c r="I29" i="15"/>
  <c r="R17" i="15"/>
  <c r="R13" i="15"/>
  <c r="R8" i="15"/>
  <c r="R7" i="15"/>
  <c r="K72" i="7"/>
  <c r="K31" i="9"/>
  <c r="R28" i="17" l="1"/>
  <c r="I34" i="17" s="1"/>
  <c r="I40" i="17" s="1"/>
  <c r="R36" i="16"/>
  <c r="I36" i="16"/>
  <c r="I41" i="16" s="1"/>
  <c r="I48" i="16" s="1"/>
  <c r="H38" i="15"/>
  <c r="S23" i="15" l="1"/>
  <c r="Q23" i="15"/>
  <c r="P23" i="15"/>
  <c r="O23" i="15"/>
  <c r="N23" i="15"/>
  <c r="M23" i="15"/>
  <c r="L23" i="15"/>
  <c r="K23" i="15"/>
  <c r="J23" i="15"/>
  <c r="H23" i="15"/>
  <c r="G23" i="15"/>
  <c r="R23" i="15"/>
  <c r="I23" i="15"/>
  <c r="I28" i="15" s="1"/>
  <c r="J28" i="15" l="1"/>
  <c r="J35" i="15" s="1"/>
  <c r="I35" i="15"/>
  <c r="I31" i="14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K79" i="7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61" i="3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61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<sst xmlns="http://schemas.openxmlformats.org/spreadsheetml/2006/main" count="6543" uniqueCount="2116">
  <si>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</si>
  <si>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</si>
  <si>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</si>
  <si>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</si>
  <si>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</si>
  <si>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</si>
  <si>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</si>
  <si>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</si>
  <si>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</si>
  <si>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</si>
  <si>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</si>
  <si>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</si>
  <si>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</si>
  <si>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</si>
  <si>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</si>
  <si>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</si>
  <si>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</si>
  <si>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</si>
  <si>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</si>
  <si>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</si>
  <si>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</si>
  <si>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</si>
  <si>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</si>
  <si>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</si>
  <si>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</si>
  <si>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</si>
  <si>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</si>
  <si>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</si>
  <si>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</si>
  <si>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</si>
  <si>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</si>
  <si>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</si>
  <si>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</si>
  <si>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</si>
  <si>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</si>
  <si>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</si>
  <si>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</si>
  <si>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</si>
  <si>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</si>
  <si>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</si>
  <si>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</si>
  <si>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</si>
  <si>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</si>
  <si>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</si>
  <si>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</si>
  <si>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</si>
  <si>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</si>
  <si>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</si>
  <si>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</si>
  <si>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</si>
  <si>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</si>
  <si>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</si>
  <si>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</si>
  <si>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</si>
  <si>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</si>
  <si>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</si>
  <si>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</si>
  <si>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</si>
  <si>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</si>
  <si>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</si>
  <si>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</si>
  <si>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</si>
  <si>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</si>
  <si>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</si>
  <si>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</si>
  <si>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</si>
  <si>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</si>
  <si>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</si>
  <si>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</si>
  <si>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</si>
  <si>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</si>
  <si>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</si>
  <si>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</si>
  <si>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</si>
  <si>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</si>
  <si>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</si>
  <si>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</si>
  <si>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</si>
  <si>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</si>
  <si>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</si>
  <si>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</si>
  <si>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</si>
  <si>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</si>
  <si>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</si>
  <si>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</si>
  <si>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</si>
  <si>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</si>
  <si>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</si>
  <si>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</si>
  <si>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</si>
  <si>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</si>
  <si>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</si>
  <si>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</si>
  <si>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</si>
  <si>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</si>
  <si>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</si>
  <si>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</si>
  <si>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</si>
  <si>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</si>
  <si>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</si>
  <si>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</si>
  <si>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</si>
  <si>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</si>
  <si>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</si>
  <si>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</si>
  <si>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</si>
  <si>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</si>
  <si>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</si>
  <si>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</si>
  <si>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</si>
  <si>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</si>
  <si>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</si>
  <si>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</si>
  <si>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</si>
  <si>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</si>
  <si>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</si>
  <si>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</si>
  <si>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</si>
  <si>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</si>
  <si>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</si>
  <si>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</si>
  <si>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</si>
  <si>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</si>
  <si>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</si>
  <si>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</si>
  <si>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</si>
  <si>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</si>
  <si>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</si>
  <si>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</si>
  <si>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</si>
  <si>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</si>
  <si>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</si>
  <si>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</si>
  <si>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</si>
  <si>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</si>
  <si>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</si>
  <si>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</si>
  <si>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</si>
  <si>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</si>
  <si>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</si>
  <si>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</si>
  <si>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</si>
  <si>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</si>
  <si>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</si>
  <si>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</si>
  <si>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</si>
  <si>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</si>
  <si>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</si>
  <si>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</si>
  <si>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</si>
  <si>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</si>
  <si>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</si>
  <si>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</si>
  <si>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</si>
  <si>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</si>
  <si>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</si>
  <si>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</si>
  <si>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</si>
  <si>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</si>
  <si>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</si>
  <si>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</si>
  <si>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</si>
  <si>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</si>
  <si>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</si>
  <si>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</si>
  <si>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</si>
  <si>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</si>
  <si>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</si>
  <si>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</si>
  <si>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</si>
  <si>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</si>
  <si>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</si>
  <si>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</si>
  <si>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</si>
  <si>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</si>
  <si>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</si>
  <si>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</si>
  <si>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</si>
  <si>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</si>
  <si>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</si>
  <si>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</si>
  <si>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</si>
  <si>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</si>
  <si>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</si>
  <si>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</si>
  <si>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</si>
  <si>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</si>
  <si>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</si>
  <si>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</si>
  <si>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</si>
  <si>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</si>
  <si>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</si>
  <si>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</si>
  <si>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</si>
  <si>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</si>
  <si>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</si>
  <si>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</si>
  <si>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</si>
  <si>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</si>
  <si>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</si>
  <si>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</si>
  <si>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</si>
  <si>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</si>
  <si>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</si>
  <si>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</si>
  <si>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</si>
  <si>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</si>
  <si>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</si>
  <si>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</si>
  <si>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</si>
  <si>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</si>
  <si>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</si>
  <si>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</si>
  <si>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</si>
  <si>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</si>
  <si>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</si>
  <si>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</si>
  <si>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</si>
  <si>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</si>
  <si>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</si>
  <si>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</si>
  <si>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</si>
  <si>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</si>
  <si>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</si>
  <si>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</si>
  <si>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</si>
  <si>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</si>
  <si>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</si>
  <si>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</si>
  <si>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</si>
  <si>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</si>
  <si>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</si>
  <si>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</si>
  <si>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</si>
  <si>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</si>
  <si>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</si>
  <si>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</si>
  <si>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</si>
  <si>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</si>
  <si>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</si>
  <si>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</si>
  <si>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</si>
  <si>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</si>
  <si>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</si>
  <si>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</si>
  <si>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</si>
  <si>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</si>
  <si>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</si>
  <si>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</si>
  <si>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</si>
  <si>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</si>
  <si>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</si>
  <si>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</si>
  <si>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</si>
  <si>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</si>
  <si>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</si>
  <si>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</si>
  <si>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</si>
  <si>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</si>
  <si>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</si>
  <si>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</si>
  <si>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</si>
  <si>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</si>
  <si>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</si>
  <si>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</si>
  <si>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</si>
  <si>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</si>
  <si>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</si>
  <si>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</si>
  <si>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</si>
  <si>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</si>
  <si>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</si>
  <si>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</si>
  <si>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</si>
  <si>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</si>
  <si>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</si>
  <si>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</si>
  <si>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</si>
  <si>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</si>
  <si>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</si>
  <si>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</si>
  <si>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</si>
  <si>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</si>
  <si>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</si>
  <si>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</si>
  <si>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</si>
  <si>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</si>
  <si>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</si>
  <si>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</si>
  <si>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</si>
  <si>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</si>
  <si>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</si>
  <si>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</si>
  <si>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</si>
  <si>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</si>
  <si>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</si>
  <si>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</si>
  <si>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</si>
  <si>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</si>
  <si>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</si>
  <si>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</si>
  <si>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</si>
  <si>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</si>
  <si>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</si>
  <si>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</si>
  <si>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</si>
  <si>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</si>
  <si>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</si>
  <si>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</si>
  <si>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</si>
  <si>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</si>
  <si>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</si>
  <si>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</si>
  <si>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</si>
  <si>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</si>
  <si>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</si>
  <si>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</si>
  <si>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</si>
  <si>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</si>
  <si>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</si>
  <si>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</si>
  <si>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</si>
  <si>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</si>
  <si>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</si>
  <si>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</si>
  <si>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</si>
  <si>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</si>
  <si>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</si>
  <si>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</si>
  <si>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</si>
  <si>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</si>
  <si>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</si>
  <si>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</si>
  <si>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</si>
  <si>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</si>
  <si>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</si>
  <si>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</si>
  <si>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</si>
  <si>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</si>
  <si>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</si>
  <si>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</si>
  <si>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</si>
  <si>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</si>
  <si>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</si>
  <si>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</si>
  <si>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</si>
  <si>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</si>
  <si>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</si>
  <si>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</si>
  <si>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</si>
  <si>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</si>
  <si>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</si>
  <si>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</si>
  <si>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</si>
  <si>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</si>
  <si>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</si>
  <si>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</si>
  <si>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</si>
  <si>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</si>
  <si>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</si>
  <si>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</si>
  <si>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</si>
  <si>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</si>
  <si>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</si>
  <si>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</si>
  <si>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</si>
  <si>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</si>
  <si>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</si>
  <si>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</si>
  <si>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</si>
  <si>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</si>
  <si>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</si>
  <si>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</si>
  <si>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</si>
  <si>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</si>
  <si>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</si>
  <si>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</si>
  <si>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</si>
  <si>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</si>
  <si>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</si>
  <si>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</si>
  <si>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</si>
  <si>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</si>
  <si>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</si>
  <si>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</si>
  <si>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</si>
  <si>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</si>
  <si>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</si>
  <si>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</si>
  <si>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</si>
  <si>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</si>
  <si>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</si>
  <si>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</si>
  <si>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</si>
  <si>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</si>
  <si>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</si>
  <si>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</si>
  <si>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</si>
  <si>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</si>
  <si>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</si>
  <si>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</si>
  <si>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</si>
  <si>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</si>
  <si>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</si>
  <si>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</si>
  <si>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</si>
  <si>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</si>
  <si>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</si>
  <si>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</si>
  <si>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</si>
  <si>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</si>
  <si>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</si>
  <si>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</si>
  <si>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</si>
  <si>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</si>
  <si>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</si>
  <si>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</si>
  <si>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</si>
  <si>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</si>
  <si>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</si>
  <si>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</si>
  <si>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</si>
  <si>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</si>
  <si>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</si>
  <si>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</si>
  <si>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</si>
  <si>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</si>
  <si>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</si>
  <si>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</si>
  <si>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</si>
  <si>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</si>
  <si>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</si>
  <si>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</si>
  <si>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</si>
  <si>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</si>
  <si>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</si>
  <si>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</si>
  <si>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</si>
  <si>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</si>
  <si>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</si>
  <si>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</si>
  <si>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</si>
  <si>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</si>
  <si>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</si>
  <si>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</si>
  <si>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</si>
  <si>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</si>
  <si>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</si>
  <si>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</si>
  <si>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</si>
  <si>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</si>
  <si>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</si>
  <si>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</si>
  <si>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</si>
  <si>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</si>
  <si>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</si>
  <si>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</si>
  <si>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</si>
  <si>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</si>
  <si>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</si>
  <si>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</si>
  <si>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</si>
  <si>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</si>
  <si>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</si>
  <si>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</si>
  <si>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</si>
  <si>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</si>
  <si>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</si>
  <si>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</si>
  <si>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</si>
  <si>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</si>
  <si>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</si>
  <si>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</si>
  <si>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</si>
  <si>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</si>
  <si>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</si>
  <si>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</si>
  <si>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</si>
  <si>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</si>
  <si>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</si>
  <si>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</si>
  <si>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</si>
  <si>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</si>
  <si>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</si>
  <si>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</si>
  <si>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</si>
  <si>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</si>
  <si>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</si>
  <si>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</si>
  <si>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</si>
  <si>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</si>
  <si>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</si>
  <si>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</si>
  <si>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</si>
  <si>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</si>
  <si>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</si>
  <si>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</si>
  <si>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</si>
  <si>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</si>
  <si>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</si>
  <si>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</si>
  <si>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</si>
  <si>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</si>
  <si>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</si>
  <si>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</si>
  <si>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</si>
  <si>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</si>
  <si>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</si>
  <si>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</si>
  <si>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</si>
  <si>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</si>
  <si>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</si>
  <si>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</si>
  <si>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</si>
  <si>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</si>
  <si>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</si>
  <si>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</si>
  <si>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</si>
  <si>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</si>
  <si>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</si>
  <si>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</si>
  <si>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</si>
  <si>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</si>
  <si>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</si>
  <si>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</si>
  <si>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</si>
  <si>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</si>
  <si>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</si>
  <si>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</si>
  <si>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</si>
  <si>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</si>
  <si>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</si>
  <si>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</si>
  <si>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</si>
  <si>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</si>
  <si>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</si>
  <si>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</si>
  <si>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</si>
  <si>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</si>
  <si>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</si>
  <si>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</si>
  <si>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</si>
  <si>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</si>
  <si>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</si>
  <si>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</si>
  <si>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</si>
  <si>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</si>
  <si>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</si>
  <si>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</si>
  <si>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</si>
  <si>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</si>
  <si>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</si>
  <si>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</si>
  <si>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</si>
  <si>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</si>
  <si>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</si>
  <si>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</si>
  <si>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</si>
  <si>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</si>
  <si>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</si>
  <si>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</si>
  <si>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</si>
  <si>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</si>
  <si>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</si>
  <si>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</si>
  <si>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</si>
  <si>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</si>
  <si>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</si>
  <si>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</si>
  <si>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</si>
  <si>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</si>
  <si>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</si>
  <si>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</si>
  <si>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</si>
  <si>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</si>
  <si>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</si>
  <si>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</si>
  <si>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</si>
  <si>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</si>
  <si>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</si>
  <si>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</si>
  <si>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</si>
  <si>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</si>
  <si>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</si>
  <si>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</si>
  <si>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</si>
  <si>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</si>
  <si>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</si>
  <si>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</si>
  <si>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</si>
  <si>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</si>
  <si>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</si>
  <si>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</si>
  <si>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</si>
  <si>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</si>
  <si>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</si>
  <si>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</si>
  <si>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</si>
  <si>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</si>
  <si>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</si>
  <si>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</si>
  <si>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</si>
  <si>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</si>
  <si>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</si>
  <si>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</si>
  <si>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</si>
  <si>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</si>
  <si>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</si>
  <si>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</si>
  <si>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</si>
  <si>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</si>
  <si>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</si>
  <si>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</si>
  <si>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</si>
  <si>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</si>
  <si>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</si>
  <si>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</si>
  <si>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</si>
  <si>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</si>
  <si>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</si>
  <si>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</si>
  <si>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</si>
  <si>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</si>
  <si>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</si>
  <si>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</si>
  <si>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</si>
  <si>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</si>
  <si>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</si>
  <si>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</si>
  <si>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</si>
  <si>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</si>
  <si>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</si>
  <si>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</si>
  <si>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</si>
  <si>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</si>
  <si>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</si>
  <si>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</si>
  <si>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</si>
  <si>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</si>
  <si>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</si>
  <si>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</si>
  <si>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</si>
  <si>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</si>
  <si>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</si>
  <si>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</si>
  <si>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</si>
  <si>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</si>
  <si>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</si>
  <si>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</si>
  <si>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</si>
  <si>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</si>
  <si>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</si>
  <si>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</si>
  <si>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</si>
  <si>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</si>
  <si>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</si>
  <si>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</si>
  <si>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</si>
  <si>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</si>
  <si>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</si>
  <si>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</si>
  <si>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</si>
  <si>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</si>
  <si>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</si>
  <si>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</si>
  <si>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</si>
  <si>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</si>
  <si>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</si>
  <si>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</si>
  <si>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</si>
  <si>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</si>
  <si>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</si>
  <si>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</si>
  <si>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</si>
  <si>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</si>
  <si>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</si>
  <si>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</si>
  <si>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</si>
  <si>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</si>
  <si>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</si>
  <si>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</si>
  <si>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</si>
  <si>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</si>
  <si>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</si>
  <si>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</si>
  <si>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</si>
  <si>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</si>
  <si>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</si>
  <si>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</si>
  <si>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</si>
  <si>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</si>
  <si>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</si>
  <si>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</si>
  <si>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</si>
  <si>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</si>
  <si>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</si>
  <si>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</si>
  <si>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</si>
  <si>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</si>
  <si>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</si>
  <si>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</si>
  <si>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</si>
  <si>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</si>
  <si>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</si>
  <si>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</si>
  <si>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</si>
  <si>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</si>
  <si>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</si>
  <si>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</si>
  <si>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</si>
  <si>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</si>
  <si>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</si>
  <si>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</si>
  <si>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</si>
  <si>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</si>
  <si>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</si>
  <si>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</si>
  <si>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</si>
  <si>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</si>
  <si>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</si>
  <si>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</si>
  <si>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</si>
  <si>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</si>
  <si>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</si>
  <si>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</si>
  <si>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</si>
  <si>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</si>
  <si>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</si>
  <si>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</si>
  <si>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</si>
  <si>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</si>
  <si>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</si>
  <si>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</si>
  <si>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</si>
  <si>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</si>
  <si>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</si>
  <si>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</si>
  <si>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</si>
  <si>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</si>
  <si>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</si>
  <si>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</si>
  <si>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</si>
  <si>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</si>
  <si>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</si>
  <si>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</si>
  <si>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</si>
  <si>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</si>
  <si>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</si>
  <si>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</si>
  <si>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</si>
  <si>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</si>
  <si>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</si>
  <si>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</si>
  <si>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</si>
  <si>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</si>
  <si>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</si>
  <si>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</si>
  <si>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</si>
  <si>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</si>
  <si>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</si>
  <si>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</si>
  <si>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</si>
  <si>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</si>
  <si>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</si>
  <si>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</si>
  <si>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</si>
  <si>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</si>
  <si>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</si>
  <si>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</si>
  <si>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</si>
  <si>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</si>
  <si>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</si>
  <si>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</si>
  <si>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</si>
  <si>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</si>
  <si>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</si>
  <si>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</si>
  <si>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</si>
  <si>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</si>
  <si>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</si>
  <si>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</si>
  <si>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</si>
  <si>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</si>
  <si>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</si>
  <si>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</si>
  <si>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</si>
  <si>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</si>
  <si>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</si>
  <si>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</si>
  <si>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</si>
  <si>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</si>
  <si>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</si>
  <si>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</si>
  <si>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</si>
  <si>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</si>
  <si>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</si>
  <si>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</si>
  <si>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</si>
  <si>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</si>
  <si>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</si>
  <si>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</si>
  <si>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</si>
  <si>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</si>
  <si>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</si>
  <si>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</si>
  <si>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</si>
  <si>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</si>
  <si>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</si>
  <si>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</si>
  <si>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</si>
  <si>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</si>
  <si>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</si>
  <si>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</si>
  <si>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</si>
  <si>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</si>
  <si>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</si>
  <si>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</si>
  <si>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</si>
  <si>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</si>
  <si>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</si>
  <si>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</si>
  <si>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</si>
  <si>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</si>
  <si>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</si>
  <si>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</si>
  <si>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</si>
  <si>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</si>
  <si>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</si>
  <si>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</si>
  <si>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</si>
  <si>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</si>
  <si>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</si>
  <si>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</si>
  <si>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</si>
  <si>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</si>
  <si>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</si>
  <si>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</si>
  <si>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</si>
  <si>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</si>
  <si>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</si>
  <si>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</si>
  <si>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</si>
  <si>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</si>
  <si>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</si>
  <si>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</si>
  <si>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</si>
  <si>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</si>
  <si>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</si>
  <si>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</si>
  <si>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</si>
  <si>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</si>
  <si>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</si>
  <si>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</si>
  <si>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</si>
  <si>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</si>
  <si>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</si>
  <si>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</si>
  <si>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</si>
  <si>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</si>
  <si>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</si>
  <si>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</si>
  <si>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</si>
  <si>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</si>
  <si>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</si>
  <si>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</si>
  <si>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</si>
  <si>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</si>
  <si>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</si>
  <si>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</si>
  <si>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</si>
  <si>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</si>
  <si>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</si>
  <si>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</si>
  <si>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</si>
  <si>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</si>
  <si>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</si>
  <si>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</si>
  <si>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</si>
  <si>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</si>
  <si>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</si>
  <si>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</si>
  <si>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</si>
  <si>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</si>
  <si>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</si>
  <si>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</si>
  <si>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</si>
  <si>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</si>
  <si>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</si>
  <si>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</si>
  <si>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</si>
  <si>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</si>
  <si>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</si>
  <si>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</si>
  <si>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</si>
  <si>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</si>
  <si>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</si>
  <si>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</si>
  <si>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</si>
  <si>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</si>
  <si>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</si>
  <si>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</si>
  <si>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</si>
  <si>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</si>
  <si>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</si>
  <si>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</si>
  <si>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</si>
  <si>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</si>
  <si>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</si>
  <si>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</si>
  <si>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</si>
  <si>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</si>
  <si>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</si>
  <si>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</si>
  <si>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</si>
  <si>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</si>
  <si>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</si>
  <si>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</si>
  <si>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</si>
  <si>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</si>
  <si>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</si>
  <si>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</si>
  <si>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</si>
  <si>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</si>
  <si>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</si>
  <si>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</si>
  <si>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</si>
  <si>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</si>
  <si>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</si>
  <si>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</si>
  <si>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</si>
  <si>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</si>
  <si>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</si>
  <si>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</si>
  <si>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</si>
  <si>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</si>
  <si>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</si>
  <si>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</si>
  <si>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</si>
  <si>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</si>
  <si>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</si>
  <si>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</si>
  <si>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</si>
  <si>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</si>
  <si>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</si>
  <si>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</si>
  <si>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</si>
  <si>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</si>
  <si>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</si>
  <si>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</si>
  <si>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</si>
  <si>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</si>
  <si>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</si>
  <si>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</si>
  <si>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</si>
  <si>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</si>
  <si>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</si>
  <si>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</si>
  <si>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</si>
  <si>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</si>
  <si>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</si>
  <si>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</si>
  <si>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</si>
  <si>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</si>
  <si>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</si>
  <si>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</si>
  <si>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</si>
  <si>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</si>
  <si>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</si>
  <si>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</si>
  <si>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</si>
  <si>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</si>
  <si>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</si>
  <si>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</si>
  <si>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</si>
  <si>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</si>
  <si>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</si>
  <si>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</si>
  <si>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</si>
  <si>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</si>
  <si>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</si>
  <si>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</si>
  <si>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</si>
  <si>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</si>
  <si>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</si>
  <si>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</si>
  <si>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</si>
  <si>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</si>
  <si>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</si>
  <si>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</si>
  <si>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</si>
  <si>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</si>
  <si>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</si>
  <si>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</si>
  <si>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</si>
  <si>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</si>
  <si>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</si>
  <si>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</si>
  <si>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</si>
  <si>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</si>
  <si>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</si>
  <si>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</si>
  <si>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</si>
  <si>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</si>
  <si>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</si>
  <si>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</si>
  <si>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</si>
  <si>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</si>
  <si>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</si>
  <si>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</si>
  <si>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</si>
  <si>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</si>
  <si>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</si>
  <si>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</si>
  <si>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</si>
  <si>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</si>
  <si>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</si>
  <si>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</si>
  <si>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</si>
  <si>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</si>
  <si>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</si>
  <si>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</si>
  <si>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</si>
  <si>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</si>
  <si>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</si>
  <si>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</si>
  <si>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</si>
  <si>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</si>
  <si>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</si>
  <si>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</si>
  <si>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</si>
  <si>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</si>
  <si>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</si>
  <si>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</si>
  <si>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</si>
  <si>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</si>
  <si>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</si>
  <si>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</si>
  <si>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</si>
  <si>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</si>
  <si>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</si>
  <si>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</si>
  <si>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</si>
  <si>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</si>
  <si>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</si>
  <si>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</si>
  <si>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</si>
  <si>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</si>
  <si>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</si>
  <si>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</si>
  <si>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</si>
  <si>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</si>
  <si>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</si>
  <si>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</si>
  <si>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</si>
  <si>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</si>
  <si>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</si>
  <si>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</si>
  <si>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</si>
  <si>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</si>
  <si>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</si>
  <si>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</si>
  <si>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</si>
  <si>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</si>
  <si>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</si>
  <si>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</si>
  <si>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</si>
  <si>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</si>
  <si>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</si>
  <si>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</si>
  <si>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</si>
  <si>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</si>
  <si>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</si>
  <si>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</si>
  <si>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</si>
  <si>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</si>
  <si>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</si>
  <si>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</si>
  <si>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</si>
  <si>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</si>
  <si>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</si>
  <si>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</si>
  <si>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</si>
  <si>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</si>
  <si>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</si>
  <si>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</si>
  <si>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</si>
  <si>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</si>
  <si>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</si>
  <si>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</si>
  <si>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</si>
  <si>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</si>
  <si>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</si>
  <si>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</si>
  <si>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</si>
  <si>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</si>
  <si>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</si>
  <si>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</si>
  <si>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</si>
  <si>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</si>
  <si>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</si>
  <si>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</si>
  <si>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</si>
  <si>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</si>
  <si>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</si>
  <si>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</si>
  <si>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</si>
  <si>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</si>
  <si>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</si>
  <si>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</si>
  <si>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</si>
  <si>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</si>
  <si>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</si>
  <si>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</si>
  <si>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</si>
  <si>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</si>
  <si>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</si>
  <si>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</si>
  <si>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</si>
  <si>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</si>
  <si>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</si>
  <si>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</si>
  <si>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</si>
  <si>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</si>
  <si>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</si>
  <si>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</si>
  <si>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</si>
  <si>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</si>
  <si>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</si>
  <si>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</si>
  <si>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</si>
  <si>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</si>
  <si>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</si>
  <si>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</si>
  <si>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</si>
  <si>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</si>
  <si>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</si>
  <si>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</si>
  <si>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</si>
  <si>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</si>
  <si>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</si>
  <si>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</si>
  <si>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</si>
  <si>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</si>
  <si>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</si>
  <si>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</si>
  <si>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</si>
  <si>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</si>
  <si>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</si>
  <si>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</si>
  <si>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</si>
  <si>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</si>
  <si>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</si>
  <si>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</si>
  <si>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</si>
  <si>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</si>
  <si>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</si>
  <si>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</si>
  <si>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</si>
  <si>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</si>
  <si>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</si>
  <si>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</si>
  <si>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</si>
  <si>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</si>
  <si>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</si>
  <si>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</si>
  <si>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</si>
  <si>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</si>
  <si>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</si>
  <si>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</si>
  <si>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</si>
  <si>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</si>
  <si>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</si>
  <si>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</si>
  <si>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</si>
  <si>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</si>
  <si>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</si>
  <si>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</si>
  <si>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</si>
  <si>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</si>
  <si>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</si>
  <si>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</si>
  <si>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</si>
  <si>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</si>
  <si>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</si>
  <si>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</si>
  <si>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</si>
  <si>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</si>
  <si>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</si>
  <si>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</si>
  <si>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</si>
  <si>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</si>
  <si>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</si>
  <si>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</si>
  <si>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</si>
  <si>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</si>
  <si>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</si>
  <si>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</si>
  <si>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</si>
  <si>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</si>
  <si>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</si>
  <si>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</si>
  <si>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</si>
  <si>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</si>
  <si>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</si>
  <si>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</si>
  <si>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</si>
  <si>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</si>
  <si>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</si>
  <si>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</si>
  <si>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</si>
  <si>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</si>
  <si>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</si>
  <si>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</si>
  <si>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</si>
  <si>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</si>
  <si>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</si>
  <si>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</si>
  <si>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</si>
  <si>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</si>
  <si>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</si>
  <si>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</si>
  <si>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</si>
  <si>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</si>
  <si>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</si>
  <si>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</si>
  <si>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</si>
  <si>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</si>
  <si>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</si>
  <si>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</si>
  <si>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</si>
  <si>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</si>
  <si>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</si>
  <si>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</si>
  <si>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</si>
  <si>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</si>
  <si>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</si>
  <si>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</si>
  <si>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</si>
  <si>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</si>
  <si>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</si>
  <si>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</si>
  <si>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</si>
  <si>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</si>
  <si>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</si>
  <si>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</si>
  <si>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</si>
  <si>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</si>
  <si>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</si>
  <si>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</si>
  <si>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</si>
  <si>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</si>
  <si>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</si>
  <si>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</si>
  <si>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</si>
  <si>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</si>
  <si>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</si>
  <si>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</si>
  <si>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</si>
  <si>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</si>
  <si>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</si>
  <si>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</si>
  <si>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</si>
  <si>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</si>
  <si>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</si>
  <si>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</si>
  <si>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</si>
  <si>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</si>
  <si>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</si>
  <si>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</si>
  <si>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</si>
  <si>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</si>
  <si>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</si>
  <si>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</si>
  <si>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</si>
  <si>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</si>
  <si>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</si>
  <si>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</si>
  <si>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</si>
  <si>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</si>
  <si>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</si>
  <si>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</si>
  <si>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</si>
  <si>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</si>
  <si>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</si>
  <si>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</si>
  <si>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</si>
  <si>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</si>
  <si>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</si>
  <si>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</si>
  <si>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</si>
  <si>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</si>
  <si>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</si>
  <si>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</si>
  <si>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</si>
  <si>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</si>
  <si>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</si>
  <si>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</si>
  <si>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</si>
  <si>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</si>
  <si>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</si>
  <si>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</si>
  <si>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</si>
  <si>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</si>
  <si>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</si>
  <si>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</si>
  <si>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</si>
  <si>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</si>
  <si>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</si>
  <si>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</si>
  <si>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</si>
  <si>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</si>
  <si>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</si>
  <si>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</si>
  <si>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</si>
  <si>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</si>
  <si>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</si>
  <si>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</si>
  <si>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</si>
  <si>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</si>
  <si>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</si>
  <si>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</si>
  <si>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</si>
  <si>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</si>
  <si>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</si>
  <si>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</si>
  <si>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</si>
  <si>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</si>
  <si>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</si>
  <si>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</si>
  <si>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</si>
  <si>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</si>
  <si>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</si>
  <si>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</si>
  <si>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</si>
  <si>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</si>
  <si>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</si>
  <si>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</si>
  <si>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</si>
  <si>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</si>
  <si>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</si>
  <si>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</si>
  <si>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</si>
  <si>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</si>
  <si>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</si>
  <si>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</si>
  <si>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</si>
  <si>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</si>
  <si>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</si>
  <si>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</si>
  <si>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</si>
  <si>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</si>
  <si>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</si>
  <si>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</si>
  <si>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</si>
  <si>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</si>
  <si>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</si>
  <si>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</si>
  <si>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</si>
  <si>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</si>
  <si>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</si>
  <si>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</si>
  <si>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</si>
  <si>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</si>
  <si>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</si>
  <si>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</si>
  <si>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</si>
  <si>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</si>
  <si>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</si>
  <si>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</si>
  <si>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</si>
  <si>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</si>
  <si>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</si>
  <si>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</si>
  <si>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</si>
  <si>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</si>
  <si>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</si>
  <si>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</si>
  <si>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</si>
  <si>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</si>
  <si>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</si>
  <si>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</si>
  <si>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</si>
  <si>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</si>
  <si>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</si>
  <si>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</si>
  <si>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</si>
  <si>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</si>
  <si>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</si>
  <si>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</si>
  <si>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</si>
  <si>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</si>
  <si>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</si>
  <si>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</si>
  <si>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</si>
  <si>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</si>
  <si>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</si>
  <si>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</si>
  <si>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</si>
  <si>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</si>
  <si>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</si>
  <si>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</si>
  <si>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</si>
  <si>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</si>
  <si>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</si>
  <si>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</si>
  <si>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</si>
  <si>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</si>
  <si>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</si>
  <si>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</si>
  <si>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</si>
  <si>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</si>
  <si>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</si>
  <si>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</si>
  <si>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</si>
  <si>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</si>
  <si>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</si>
  <si>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</si>
  <si>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</si>
  <si>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</si>
  <si>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</si>
  <si>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</si>
  <si>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</si>
  <si>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</si>
  <si>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</si>
  <si>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</si>
  <si>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</si>
  <si>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</si>
  <si>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</si>
  <si>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</si>
  <si>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</si>
  <si>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</si>
  <si>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</si>
  <si>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</si>
  <si>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</si>
  <si>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</si>
  <si>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</si>
  <si>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</si>
  <si>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</si>
  <si>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</si>
  <si>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</si>
  <si>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</si>
  <si>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</si>
  <si>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</si>
  <si>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</si>
  <si>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</si>
  <si>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</si>
  <si>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</si>
  <si>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</si>
  <si>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</si>
  <si>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</si>
  <si>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</si>
  <si>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</si>
  <si>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</si>
  <si>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</si>
  <si>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</si>
  <si>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</si>
  <si>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</si>
  <si>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</si>
  <si>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</si>
  <si>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</si>
  <si>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</si>
  <si>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</si>
  <si>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</si>
  <si>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</si>
  <si>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</si>
  <si>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</si>
  <si>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</si>
  <si>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</si>
  <si>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</si>
  <si>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</si>
  <si>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</si>
  <si>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</si>
  <si>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</si>
  <si>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</si>
  <si>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</si>
  <si>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</si>
  <si>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</si>
  <si>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</si>
  <si>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</si>
  <si>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</si>
  <si>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</si>
  <si>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</si>
  <si>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</si>
  <si>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</si>
  <si>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</si>
  <si>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</si>
  <si>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</si>
  <si>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</si>
  <si>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</si>
  <si>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</si>
  <si>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</si>
  <si>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</si>
  <si>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</si>
  <si>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</si>
  <si>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</si>
  <si>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</si>
  <si>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</si>
  <si>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</si>
  <si>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</si>
  <si>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</si>
  <si>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</si>
  <si>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</si>
  <si>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</si>
  <si>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</si>
  <si>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</si>
  <si>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</si>
  <si>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</si>
  <si>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</si>
  <si>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</si>
  <si>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</si>
  <si>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</si>
  <si>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</si>
  <si>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</si>
  <si>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</si>
  <si>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</si>
  <si>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</si>
  <si>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</si>
  <si>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</si>
  <si>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</si>
  <si>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</si>
  <si>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</si>
  <si>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</si>
  <si>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</si>
  <si>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</si>
  <si>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</si>
  <si>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</si>
  <si>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</si>
  <si>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</si>
  <si>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</si>
  <si>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</si>
  <si>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</si>
  <si>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</si>
  <si>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</si>
  <si>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</si>
  <si>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</si>
  <si>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</si>
  <si>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</si>
  <si>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</si>
  <si>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</si>
  <si>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</si>
  <si>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</si>
  <si>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</si>
  <si>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</si>
  <si>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</si>
  <si>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</si>
  <si>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</si>
  <si>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</si>
  <si>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</si>
  <si>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</si>
  <si>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</si>
  <si>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</si>
  <si>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</si>
  <si>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</si>
  <si>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</si>
  <si>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</si>
  <si>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</si>
  <si>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</si>
  <si>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</si>
  <si>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</si>
  <si>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</si>
  <si>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</si>
  <si>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</si>
  <si>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</si>
  <si>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</si>
  <si>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</si>
  <si>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</si>
  <si>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</si>
  <si>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</si>
  <si>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</si>
  <si>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</si>
  <si>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</si>
  <si>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</si>
  <si>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</si>
  <si>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</si>
  <si>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</si>
  <si>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</si>
  <si>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</si>
  <si>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</si>
  <si>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</si>
  <si>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</si>
  <si>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</si>
  <si>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</si>
  <si>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</si>
  <si>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</si>
  <si>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</si>
  <si>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</si>
  <si>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</si>
  <si>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</si>
  <si>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</si>
  <si>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</si>
  <si>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</si>
  <si>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</si>
  <si>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</si>
  <si>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</si>
  <si>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</si>
  <si>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</si>
  <si>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</si>
  <si>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</si>
  <si>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</si>
  <si>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</si>
  <si>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</si>
  <si>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</si>
  <si>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</si>
  <si>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</si>
  <si>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</si>
  <si>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</si>
  <si>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</si>
  <si>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</si>
  <si>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</si>
  <si>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</si>
  <si>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</si>
  <si>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</si>
  <si>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</si>
  <si>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</si>
  <si>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</si>
  <si>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</si>
  <si>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</si>
  <si>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</si>
  <si>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</si>
  <si>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</si>
  <si>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</si>
  <si>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</si>
  <si>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</si>
  <si>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</si>
  <si>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</si>
  <si>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</si>
  <si>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</si>
  <si>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</si>
  <si>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</si>
  <si>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</si>
  <si>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</si>
  <si>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</si>
  <si>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</si>
  <si>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</si>
  <si>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</si>
  <si>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</si>
  <si>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</si>
  <si>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</si>
  <si>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</si>
  <si>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</si>
  <si>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</si>
  <si>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</si>
  <si>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</si>
  <si>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</si>
  <si>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</si>
  <si>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</si>
  <si>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</si>
  <si>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</si>
  <si>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</si>
  <si>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</si>
  <si>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</si>
  <si>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</si>
  <si>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</si>
  <si>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</si>
  <si>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</si>
  <si>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</si>
  <si>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</si>
  <si>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</si>
  <si>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</si>
  <si>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</si>
  <si>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</si>
  <si>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</si>
  <si>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</si>
  <si>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</si>
  <si>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</si>
  <si>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</si>
  <si>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</si>
  <si>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</si>
  <si>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</si>
  <si>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</si>
  <si>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</si>
  <si>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</si>
  <si>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</si>
  <si>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</si>
  <si>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</si>
  <si>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</si>
  <si>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</si>
  <si>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</si>
  <si>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</si>
  <si>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</si>
  <si>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</si>
  <si>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</si>
  <si>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</si>
  <si>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</si>
  <si>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</si>
  <si>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</si>
  <si>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</si>
  <si>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</si>
  <si>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</si>
  <si>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</si>
  <si>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</si>
  <si>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</si>
  <si>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</si>
  <si>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</si>
  <si>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</si>
  <si>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</si>
  <si>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</si>
  <si>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</si>
  <si>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</si>
  <si>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</si>
  <si>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</si>
  <si>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</si>
  <si>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</si>
  <si>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</si>
  <si>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</si>
  <si>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</si>
  <si>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</si>
  <si>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</si>
  <si>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</si>
  <si>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</si>
  <si>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</si>
  <si>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</si>
  <si>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</si>
  <si>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</si>
  <si>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</si>
  <si>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</si>
  <si>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</si>
  <si>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</si>
  <si>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</si>
  <si>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</si>
  <si>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</si>
  <si>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</si>
  <si>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</si>
  <si>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</si>
  <si>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</si>
  <si>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</si>
  <si>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</si>
  <si>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</si>
  <si>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</si>
  <si>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</si>
  <si>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</si>
  <si>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</si>
  <si>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</si>
  <si>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</si>
  <si>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</si>
  <si>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</si>
  <si>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</si>
  <si>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</si>
  <si>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</si>
  <si>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</si>
  <si>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</si>
  <si>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</si>
  <si>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</si>
  <si>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</si>
  <si>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</si>
  <si>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</si>
  <si>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</si>
  <si>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</si>
  <si>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</si>
  <si>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</si>
  <si>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</si>
  <si>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</si>
  <si>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</si>
  <si>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</si>
  <si>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</si>
  <si>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</si>
  <si>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</si>
  <si>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</si>
  <si>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</si>
  <si>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</si>
  <si>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</si>
  <si>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</si>
  <si>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</si>
  <si>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</si>
  <si>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</si>
  <si>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</si>
  <si>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</si>
  <si>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</si>
  <si>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</si>
  <si>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</si>
  <si>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</si>
  <si>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</si>
  <si>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</si>
  <si>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</si>
  <si>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</si>
  <si>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</si>
  <si>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</si>
  <si>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</si>
  <si>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</si>
  <si>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</si>
  <si>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</si>
  <si>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</si>
  <si>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</si>
  <si>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</si>
  <si>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</si>
  <si>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</si>
  <si>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</si>
  <si>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</si>
  <si>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</si>
  <si>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</si>
  <si>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</si>
  <si>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</si>
  <si>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</si>
  <si>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</si>
  <si>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</si>
  <si>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</si>
  <si>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</si>
  <si>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</si>
  <si>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</si>
  <si>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</si>
  <si>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</si>
  <si>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</si>
  <si>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</si>
  <si>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</si>
  <si>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</si>
  <si>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</si>
  <si>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</si>
  <si>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</si>
  <si>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</si>
  <si>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</si>
  <si>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</si>
  <si>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</si>
  <si>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</si>
  <si>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</si>
  <si>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</si>
  <si>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</si>
  <si>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</si>
  <si>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</si>
  <si>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</si>
  <si>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</si>
  <si>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</si>
  <si>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</si>
  <si>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</si>
  <si>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</si>
  <si>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</si>
  <si>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</si>
  <si>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</si>
  <si>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</si>
  <si>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</si>
  <si>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</si>
  <si>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</si>
  <si>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</si>
  <si>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</si>
  <si>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</si>
  <si>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</si>
  <si>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</si>
  <si>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</si>
  <si>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</si>
  <si>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</si>
  <si>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</si>
  <si>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</si>
  <si>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</si>
  <si>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</si>
  <si>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</si>
  <si>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</si>
  <si>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</si>
  <si>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</si>
  <si>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</si>
  <si>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</si>
  <si>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</si>
  <si>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</si>
  <si>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</si>
  <si>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</si>
  <si>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</si>
  <si>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</si>
  <si>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</si>
  <si>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</si>
  <si>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</si>
  <si>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</si>
  <si>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</si>
  <si>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</si>
  <si>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</si>
  <si>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</si>
  <si>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</si>
  <si>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</si>
  <si>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</si>
  <si>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</si>
  <si>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</si>
  <si>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</si>
  <si>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</si>
  <si>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</si>
  <si>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</si>
  <si>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</si>
  <si>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</si>
  <si>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</si>
  <si>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</si>
  <si>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</si>
  <si>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</si>
  <si>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</si>
  <si>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</si>
  <si>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</si>
  <si>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</si>
  <si>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</si>
  <si>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</si>
  <si>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</si>
  <si>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</si>
  <si>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</si>
  <si>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</si>
  <si>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</si>
  <si>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</si>
  <si>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</si>
  <si>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</si>
  <si>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</si>
  <si>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</si>
  <si>
    <t>T4.18.3.2026</t>
  </si>
  <si>
    <t>16-03-2026</t>
  </si>
  <si>
    <t>kh ck 750</t>
  </si>
  <si>
    <t>532/3/6 kinh duong vuong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</si>
  <si>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</si>
  <si>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</si>
  <si>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</si>
  <si>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</si>
  <si>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</si>
  <si>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</si>
  <si>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</si>
  <si>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</si>
  <si>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</si>
  <si>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</si>
  <si>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</si>
  <si>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</si>
  <si>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</si>
  <si>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</si>
  <si>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</si>
  <si>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</si>
  <si>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</si>
  <si>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</si>
  <si>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</si>
  <si>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</si>
  <si>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</si>
  <si>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</si>
  <si>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</si>
  <si>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</si>
  <si>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</si>
  <si>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</si>
  <si>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</si>
  <si>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</si>
  <si>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</si>
  <si>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</si>
  <si>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</si>
  <si>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</si>
  <si>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</si>
  <si>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</si>
  <si>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</si>
  <si>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</si>
  <si>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</si>
  <si>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</si>
  <si>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</si>
  <si>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</si>
  <si>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</si>
  <si>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</si>
  <si>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</si>
  <si>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</si>
  <si>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</si>
  <si>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</si>
  <si>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</si>
  <si>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</si>
  <si>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</si>
  <si>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</si>
  <si>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</si>
  <si>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</si>
  <si>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</si>
  <si>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</si>
  <si>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</si>
  <si>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</si>
  <si>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</si>
  <si>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</si>
  <si>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</si>
  <si>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</si>
  <si>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</si>
  <si>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</si>
  <si>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</si>
  <si>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</si>
  <si>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</si>
  <si>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</si>
  <si>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</si>
  <si>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</si>
  <si>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</si>
  <si>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</si>
  <si>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</si>
  <si>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</si>
  <si>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</si>
  <si>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</si>
  <si>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</si>
  <si>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</si>
  <si>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</si>
  <si>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</si>
  <si>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</si>
  <si>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</si>
  <si>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</si>
  <si>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</si>
  <si>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</si>
  <si>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</si>
  <si>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</si>
  <si>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</si>
  <si>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</si>
  <si>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</si>
  <si>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</si>
  <si>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</si>
  <si>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</si>
  <si>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</si>
  <si>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</si>
  <si>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</si>
  <si>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</si>
  <si>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</si>
  <si>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</si>
  <si>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</si>
  <si>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</si>
  <si>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</si>
  <si>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</si>
  <si>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</si>
  <si>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</si>
  <si>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</si>
  <si>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</si>
  <si>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</si>
  <si>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</si>
  <si>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</si>
  <si>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</si>
  <si>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</si>
  <si>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</si>
  <si>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</si>
  <si>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</si>
  <si>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</si>
  <si>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</si>
  <si>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</si>
  <si>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</si>
  <si>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</si>
  <si>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</si>
  <si>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</si>
  <si>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</si>
  <si>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</si>
  <si>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</si>
  <si>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</si>
  <si>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</si>
  <si>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</si>
  <si>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</si>
  <si>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</si>
  <si>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</si>
  <si>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</si>
  <si>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</si>
  <si>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</si>
  <si>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</si>
  <si>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</si>
  <si>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</si>
  <si>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</si>
  <si>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</si>
  <si>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</si>
  <si>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</si>
  <si>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</si>
  <si>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</si>
  <si>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</si>
  <si>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</si>
  <si>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</si>
  <si>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</si>
  <si>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</si>
  <si>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</si>
  <si>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</si>
  <si>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</si>
  <si>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</si>
  <si>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</si>
  <si>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</si>
  <si>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</si>
  <si>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</si>
  <si>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</si>
  <si>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</si>
  <si>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</si>
  <si>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</si>
  <si>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</si>
  <si>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</si>
  <si>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</si>
  <si>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</si>
  <si>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</si>
  <si>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</si>
  <si>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</si>
  <si>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</si>
  <si>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</si>
  <si>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</si>
  <si>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</si>
  <si>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</si>
  <si>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</si>
  <si>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</si>
  <si>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</si>
  <si>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</si>
  <si>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</si>
  <si>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</si>
  <si>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</si>
  <si>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</si>
  <si>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</si>
  <si>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</si>
  <si>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</si>
  <si>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</si>
  <si>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</si>
  <si>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</si>
  <si>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</si>
  <si>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</si>
  <si>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</si>
  <si>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</si>
  <si>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</si>
  <si>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</si>
  <si>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</si>
  <si>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</si>
  <si>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</si>
  <si>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</si>
  <si>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</si>
  <si>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</si>
  <si>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</si>
  <si>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</si>
  <si>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</si>
  <si>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</si>
  <si>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</si>
  <si>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</si>
  <si>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</si>
  <si>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</si>
  <si>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</si>
  <si>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</si>
  <si>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</si>
  <si>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</si>
  <si>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</si>
  <si>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</si>
  <si>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</si>
  <si>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</si>
  <si>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</si>
  <si>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NGAY 20-3</t>
  </si>
  <si>
    <t>NGAY 19-3</t>
  </si>
  <si>
    <t>NGAY 18-3</t>
  </si>
  <si>
    <t>kh ck shop 1320</t>
  </si>
  <si>
    <t>kh ck shop 1450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</si>
</sst>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64"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S80</f>
        <v>480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34" workbookViewId="0">
      <selection activeCell="K55" sqref="K55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S49</f>
        <v>260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S49</f>
        <v>335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S36</f>
        <v>145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S61</f>
        <v>310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S62</f>
        <v>485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52" workbookViewId="0">
      <selection activeCell="J74" sqref="J74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S67</f>
        <v>420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33050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22"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S39</f>
        <v>250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S26</f>
        <v>75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18260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25"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S46</f>
        <v>220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22690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S43</f>
        <v>85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27260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S34</f>
        <v>215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S83</f>
        <v>420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zoomScale="90" zoomScaleNormal="90" workbookViewId="0">
      <selection activeCell="I33" sqref="I33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R26</f>
        <v>145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12440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I29" sqref="I29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2113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1898</v>
      </c>
      <c r="D3" s="5" t="s">
        <v>1899</v>
      </c>
      <c r="E3" s="5" t="s">
        <v>1900</v>
      </c>
      <c r="F3" s="5">
        <v>7</v>
      </c>
      <c r="G3" s="5">
        <v>670</v>
      </c>
      <c r="H3" s="5">
        <v>30</v>
      </c>
      <c r="I3" s="23">
        <v>640</v>
      </c>
      <c r="J3" s="5" t="s">
        <v>1901</v>
      </c>
      <c r="K3" s="5" t="s">
        <v>25</v>
      </c>
      <c r="L3" s="5" t="s">
        <v>1902</v>
      </c>
      <c r="M3" s="5" t="s">
        <v>350</v>
      </c>
      <c r="N3" s="5"/>
      <c r="O3" s="5"/>
      <c r="P3" s="5"/>
      <c r="Q3" s="4">
        <v>1</v>
      </c>
    </row>
    <row r="4" spans="1:18" x14ac:dyDescent="0.25">
      <c r="A4" s="5"/>
      <c r="B4" s="5" t="s">
        <v>1825</v>
      </c>
      <c r="C4" s="5" t="s">
        <v>1898</v>
      </c>
      <c r="D4" s="5" t="s">
        <v>1903</v>
      </c>
      <c r="E4" s="5" t="s">
        <v>1900</v>
      </c>
      <c r="F4" s="5">
        <v>7</v>
      </c>
      <c r="G4" s="5">
        <v>350</v>
      </c>
      <c r="H4" s="5">
        <v>0</v>
      </c>
      <c r="I4" s="23">
        <v>350</v>
      </c>
      <c r="J4" s="5" t="s">
        <v>1901</v>
      </c>
      <c r="K4" s="5" t="s">
        <v>25</v>
      </c>
      <c r="L4" s="5" t="s">
        <v>1902</v>
      </c>
      <c r="M4" s="5" t="s">
        <v>350</v>
      </c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1904</v>
      </c>
      <c r="D5" s="5" t="s">
        <v>1905</v>
      </c>
      <c r="E5" s="5" t="s">
        <v>1906</v>
      </c>
      <c r="F5" s="5">
        <v>9</v>
      </c>
      <c r="G5" s="5">
        <v>670</v>
      </c>
      <c r="H5" s="5">
        <v>30</v>
      </c>
      <c r="I5" s="23">
        <v>640</v>
      </c>
      <c r="J5" s="5" t="s">
        <v>1901</v>
      </c>
      <c r="K5" s="5" t="s">
        <v>25</v>
      </c>
      <c r="L5" s="5" t="s">
        <v>1902</v>
      </c>
      <c r="M5" s="5"/>
      <c r="N5" s="5"/>
      <c r="O5" s="5"/>
      <c r="P5" s="5"/>
      <c r="Q5">
        <v>1</v>
      </c>
    </row>
    <row r="6" spans="1:18" x14ac:dyDescent="0.25">
      <c r="A6" s="5"/>
      <c r="B6" s="5" t="s">
        <v>1825</v>
      </c>
      <c r="C6" s="5" t="s">
        <v>1907</v>
      </c>
      <c r="D6" s="5" t="s">
        <v>1908</v>
      </c>
      <c r="E6" s="5" t="s">
        <v>1909</v>
      </c>
      <c r="F6" s="5">
        <v>12</v>
      </c>
      <c r="G6" s="5">
        <v>730</v>
      </c>
      <c r="H6" s="5">
        <v>30</v>
      </c>
      <c r="I6" s="23">
        <v>700</v>
      </c>
      <c r="J6" s="5" t="s">
        <v>1901</v>
      </c>
      <c r="K6" s="5" t="s">
        <v>25</v>
      </c>
      <c r="L6" s="5" t="s">
        <v>1902</v>
      </c>
      <c r="M6" s="5"/>
      <c r="N6" s="5"/>
      <c r="O6" s="5"/>
      <c r="P6" s="5"/>
      <c r="Q6">
        <v>1</v>
      </c>
    </row>
    <row r="7" spans="1:18" s="22" customFormat="1" x14ac:dyDescent="0.25">
      <c r="A7" s="21"/>
      <c r="B7" s="21" t="s">
        <v>1825</v>
      </c>
      <c r="C7" s="21" t="s">
        <v>1910</v>
      </c>
      <c r="D7" s="21" t="s">
        <v>1911</v>
      </c>
      <c r="E7" s="21" t="s">
        <v>1912</v>
      </c>
      <c r="F7" s="21">
        <v>12</v>
      </c>
      <c r="G7" s="21">
        <v>0</v>
      </c>
      <c r="H7" s="21">
        <v>30</v>
      </c>
      <c r="I7" s="24">
        <v>-30</v>
      </c>
      <c r="J7" s="21" t="s">
        <v>1901</v>
      </c>
      <c r="K7" s="21" t="s">
        <v>25</v>
      </c>
      <c r="L7" s="21" t="s">
        <v>1902</v>
      </c>
      <c r="M7" s="21"/>
      <c r="N7" s="21"/>
      <c r="O7" s="21"/>
      <c r="P7" s="21"/>
      <c r="Q7" s="22">
        <v>1</v>
      </c>
      <c r="R7" s="22">
        <f>H7</f>
        <v>30</v>
      </c>
    </row>
    <row r="8" spans="1:18" x14ac:dyDescent="0.25">
      <c r="A8" s="5"/>
      <c r="B8" s="5" t="s">
        <v>1825</v>
      </c>
      <c r="C8" s="5" t="s">
        <v>1913</v>
      </c>
      <c r="D8" s="5" t="s">
        <v>1914</v>
      </c>
      <c r="E8" s="5" t="s">
        <v>1915</v>
      </c>
      <c r="F8" s="5">
        <v>12</v>
      </c>
      <c r="G8" s="5">
        <v>0</v>
      </c>
      <c r="H8" s="5">
        <v>30</v>
      </c>
      <c r="I8" s="23">
        <v>-30</v>
      </c>
      <c r="J8" s="5" t="s">
        <v>1901</v>
      </c>
      <c r="K8" s="5" t="s">
        <v>25</v>
      </c>
      <c r="L8" s="5" t="s">
        <v>1902</v>
      </c>
      <c r="M8" s="5" t="s">
        <v>472</v>
      </c>
      <c r="N8" s="5"/>
      <c r="O8" s="5"/>
      <c r="P8" s="5"/>
      <c r="Q8">
        <v>1</v>
      </c>
      <c r="R8" s="22">
        <f>H8</f>
        <v>30</v>
      </c>
    </row>
    <row r="9" spans="1:18" x14ac:dyDescent="0.25">
      <c r="A9" s="5"/>
      <c r="B9" s="5" t="s">
        <v>1825</v>
      </c>
      <c r="C9" s="5" t="s">
        <v>1916</v>
      </c>
      <c r="D9" s="5" t="s">
        <v>1917</v>
      </c>
      <c r="E9" s="5" t="s">
        <v>1918</v>
      </c>
      <c r="F9" s="5" t="s">
        <v>607</v>
      </c>
      <c r="G9" s="5">
        <v>755</v>
      </c>
      <c r="H9" s="5">
        <v>25</v>
      </c>
      <c r="I9" s="23">
        <v>730</v>
      </c>
      <c r="J9" s="5" t="s">
        <v>1901</v>
      </c>
      <c r="K9" s="5" t="s">
        <v>25</v>
      </c>
      <c r="L9" s="5" t="s">
        <v>1902</v>
      </c>
      <c r="M9" s="5"/>
      <c r="N9" s="5"/>
      <c r="O9" s="5"/>
      <c r="P9" s="5"/>
      <c r="Q9">
        <v>1</v>
      </c>
    </row>
    <row r="10" spans="1:18" x14ac:dyDescent="0.25">
      <c r="A10" s="5" t="s">
        <v>1828</v>
      </c>
      <c r="B10" s="5" t="s">
        <v>1825</v>
      </c>
      <c r="C10" s="5" t="s">
        <v>1919</v>
      </c>
      <c r="D10" s="5"/>
      <c r="E10" s="5" t="s">
        <v>1920</v>
      </c>
      <c r="F10" s="5" t="s">
        <v>104</v>
      </c>
      <c r="G10" s="5">
        <v>1860</v>
      </c>
      <c r="H10" s="5">
        <v>30</v>
      </c>
      <c r="I10" s="23">
        <v>1830</v>
      </c>
      <c r="J10" s="5" t="s">
        <v>1901</v>
      </c>
      <c r="K10" s="5" t="s">
        <v>25</v>
      </c>
      <c r="L10" s="5" t="s">
        <v>1902</v>
      </c>
      <c r="M10" s="5" t="s">
        <v>1921</v>
      </c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1922</v>
      </c>
      <c r="D11" s="5" t="s">
        <v>1923</v>
      </c>
      <c r="E11" s="5" t="s">
        <v>1924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1902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1925</v>
      </c>
      <c r="D12" s="5" t="s">
        <v>1926</v>
      </c>
      <c r="E12" s="5" t="s">
        <v>1927</v>
      </c>
      <c r="F12" s="5" t="s">
        <v>64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1902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1928</v>
      </c>
      <c r="D13" s="5" t="s">
        <v>1929</v>
      </c>
      <c r="E13" s="5" t="s">
        <v>1930</v>
      </c>
      <c r="F13" s="5" t="s">
        <v>64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1902</v>
      </c>
      <c r="M13" s="5"/>
      <c r="N13" s="5"/>
      <c r="O13" s="5"/>
      <c r="P13" s="5"/>
      <c r="Q13">
        <v>1</v>
      </c>
      <c r="R13" s="22">
        <f>H13</f>
        <v>20</v>
      </c>
    </row>
    <row r="14" spans="1:18" x14ac:dyDescent="0.25">
      <c r="A14" s="5"/>
      <c r="B14" s="5" t="s">
        <v>1825</v>
      </c>
      <c r="C14" s="5" t="s">
        <v>1931</v>
      </c>
      <c r="D14" s="5" t="s">
        <v>1932</v>
      </c>
      <c r="E14" s="5" t="s">
        <v>1933</v>
      </c>
      <c r="F14" s="5" t="s">
        <v>64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1902</v>
      </c>
      <c r="M14" s="5"/>
      <c r="N14" s="5"/>
      <c r="O14" s="5"/>
      <c r="P14" s="5"/>
      <c r="Q14">
        <v>1</v>
      </c>
    </row>
    <row r="15" spans="1:18" x14ac:dyDescent="0.25">
      <c r="A15" s="5" t="s">
        <v>1828</v>
      </c>
      <c r="B15" s="5" t="s">
        <v>1825</v>
      </c>
      <c r="C15" s="5" t="s">
        <v>1934</v>
      </c>
      <c r="D15" s="5"/>
      <c r="E15" s="5" t="s">
        <v>1935</v>
      </c>
      <c r="F15" s="5" t="s">
        <v>64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1902</v>
      </c>
      <c r="M15" s="5"/>
      <c r="N15" s="5"/>
      <c r="O15" s="5"/>
      <c r="P15" s="5"/>
      <c r="Q15">
        <v>1</v>
      </c>
    </row>
    <row r="16" spans="1:18" x14ac:dyDescent="0.25">
      <c r="A16" s="5" t="s">
        <v>1828</v>
      </c>
      <c r="B16" s="5" t="s">
        <v>1825</v>
      </c>
      <c r="C16" s="5" t="s">
        <v>1936</v>
      </c>
      <c r="D16" s="5"/>
      <c r="E16" s="5" t="s">
        <v>1937</v>
      </c>
      <c r="F16" s="5" t="s">
        <v>76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1902</v>
      </c>
      <c r="M16" s="5"/>
      <c r="N16" s="5"/>
      <c r="O16" s="5"/>
      <c r="P16" s="5"/>
      <c r="Q16">
        <v>1</v>
      </c>
    </row>
    <row r="17" spans="1:19" x14ac:dyDescent="0.25">
      <c r="A17" s="5" t="s">
        <v>1828</v>
      </c>
      <c r="B17" s="5" t="s">
        <v>1825</v>
      </c>
      <c r="C17" s="5" t="s">
        <v>1938</v>
      </c>
      <c r="D17" s="5"/>
      <c r="E17" s="5" t="s">
        <v>1939</v>
      </c>
      <c r="F17" s="5" t="s">
        <v>76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1902</v>
      </c>
      <c r="M17" s="5"/>
      <c r="N17" s="5"/>
      <c r="O17" s="5"/>
      <c r="P17" s="5"/>
      <c r="Q17">
        <v>1</v>
      </c>
      <c r="R17" s="22">
        <f>H17</f>
        <v>30</v>
      </c>
    </row>
    <row r="18" spans="1:19" x14ac:dyDescent="0.25">
      <c r="A18" s="5"/>
      <c r="B18" s="5" t="s">
        <v>1825</v>
      </c>
      <c r="C18" s="5" t="s">
        <v>1940</v>
      </c>
      <c r="D18" s="5" t="s">
        <v>1941</v>
      </c>
      <c r="E18" s="5" t="s">
        <v>1942</v>
      </c>
      <c r="F18" s="5">
        <v>10</v>
      </c>
      <c r="G18" s="5">
        <v>1455</v>
      </c>
      <c r="H18" s="5">
        <v>25</v>
      </c>
      <c r="I18" s="23">
        <v>1430</v>
      </c>
      <c r="J18" s="5" t="s">
        <v>1888</v>
      </c>
      <c r="K18" s="5" t="s">
        <v>25</v>
      </c>
      <c r="L18" s="5" t="s">
        <v>1902</v>
      </c>
      <c r="M18" s="5"/>
      <c r="N18" s="5"/>
      <c r="O18" s="5"/>
      <c r="P18" s="5"/>
      <c r="Q18">
        <v>1</v>
      </c>
    </row>
    <row r="19" spans="1:19" x14ac:dyDescent="0.25">
      <c r="A19" s="5"/>
      <c r="B19" s="5" t="s">
        <v>1825</v>
      </c>
      <c r="C19" s="5" t="s">
        <v>1943</v>
      </c>
      <c r="D19" s="5" t="s">
        <v>1944</v>
      </c>
      <c r="E19" s="5" t="s">
        <v>1945</v>
      </c>
      <c r="F19" s="5" t="s">
        <v>157</v>
      </c>
      <c r="G19" s="5">
        <v>660</v>
      </c>
      <c r="H19" s="5">
        <v>20</v>
      </c>
      <c r="I19" s="23">
        <v>640</v>
      </c>
      <c r="J19" s="5" t="s">
        <v>1888</v>
      </c>
      <c r="K19" s="5" t="s">
        <v>25</v>
      </c>
      <c r="L19" s="5" t="s">
        <v>1902</v>
      </c>
      <c r="M19" s="5"/>
      <c r="N19" s="5"/>
      <c r="O19" s="5"/>
      <c r="P19" s="5"/>
      <c r="Q19">
        <v>1</v>
      </c>
    </row>
    <row r="20" spans="1:19" x14ac:dyDescent="0.25">
      <c r="A20" s="5"/>
      <c r="B20" s="5" t="s">
        <v>1825</v>
      </c>
      <c r="C20" s="5" t="s">
        <v>1946</v>
      </c>
      <c r="D20" s="5" t="s">
        <v>1947</v>
      </c>
      <c r="E20" s="5" t="s">
        <v>1948</v>
      </c>
      <c r="F20" s="5" t="s">
        <v>157</v>
      </c>
      <c r="G20" s="5">
        <v>600</v>
      </c>
      <c r="H20" s="5">
        <v>20</v>
      </c>
      <c r="I20" s="23">
        <v>580</v>
      </c>
      <c r="J20" s="5" t="s">
        <v>1888</v>
      </c>
      <c r="K20" s="5" t="s">
        <v>25</v>
      </c>
      <c r="L20" s="5" t="s">
        <v>1902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1949</v>
      </c>
      <c r="D21" s="5" t="s">
        <v>1950</v>
      </c>
      <c r="E21" s="5" t="s">
        <v>1951</v>
      </c>
      <c r="F21" s="5" t="s">
        <v>104</v>
      </c>
      <c r="G21" s="5">
        <v>875</v>
      </c>
      <c r="H21" s="5">
        <v>25</v>
      </c>
      <c r="I21" s="23">
        <v>850</v>
      </c>
      <c r="J21" s="5" t="s">
        <v>1888</v>
      </c>
      <c r="K21" s="5" t="s">
        <v>25</v>
      </c>
      <c r="L21" s="5" t="s">
        <v>1902</v>
      </c>
      <c r="M21" s="5"/>
      <c r="N21" s="5"/>
      <c r="O21" s="5"/>
      <c r="P21" s="5"/>
      <c r="Q21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1894</v>
      </c>
      <c r="I27" s="8" t="s">
        <v>316</v>
      </c>
      <c r="J27" s="9" t="s">
        <v>317</v>
      </c>
    </row>
    <row r="28" spans="1:19" ht="15.75" x14ac:dyDescent="0.25">
      <c r="H28" s="10" t="s">
        <v>318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319</v>
      </c>
      <c r="I29" s="13">
        <f>R23</f>
        <v>110</v>
      </c>
      <c r="J29" s="14"/>
    </row>
    <row r="30" spans="1:19" x14ac:dyDescent="0.25">
      <c r="H30" s="12" t="s">
        <v>320</v>
      </c>
      <c r="I30" s="13">
        <f>S23</f>
        <v>0</v>
      </c>
      <c r="J30" s="14"/>
    </row>
    <row r="31" spans="1:19" x14ac:dyDescent="0.25">
      <c r="H31" s="12" t="s">
        <v>321</v>
      </c>
      <c r="I31" s="13">
        <f>T23</f>
        <v>0</v>
      </c>
      <c r="J31" s="14"/>
    </row>
    <row r="32" spans="1:19" x14ac:dyDescent="0.25">
      <c r="H32" s="12" t="s">
        <v>322</v>
      </c>
      <c r="I32" s="13">
        <f>U23</f>
        <v>0</v>
      </c>
      <c r="J32" s="14"/>
    </row>
    <row r="33" spans="1:12" ht="15.75" x14ac:dyDescent="0.25">
      <c r="H33" s="15" t="s">
        <v>323</v>
      </c>
      <c r="I33" s="16"/>
      <c r="J33" s="16"/>
    </row>
    <row r="34" spans="1:12" ht="15.75" x14ac:dyDescent="0.25">
      <c r="H34" s="17" t="s">
        <v>324</v>
      </c>
      <c r="I34" s="16"/>
      <c r="J34" s="16"/>
    </row>
    <row r="35" spans="1:12" ht="21" x14ac:dyDescent="0.35">
      <c r="H35" s="18" t="s">
        <v>325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329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1897</v>
      </c>
      <c r="E38" s="2" t="s">
        <v>1876</v>
      </c>
      <c r="F38" s="2">
        <v>750</v>
      </c>
      <c r="G38" s="2">
        <v>0</v>
      </c>
      <c r="H38" s="2">
        <f t="shared" ref="H38" si="1">F38-G38</f>
        <v>750</v>
      </c>
      <c r="I38" s="2" t="s">
        <v>24</v>
      </c>
      <c r="J38" s="2" t="s">
        <v>25</v>
      </c>
      <c r="K38" s="2" t="s">
        <v>1895</v>
      </c>
      <c r="L38" s="3" t="s">
        <v>1896</v>
      </c>
    </row>
  </sheetData>
  <autoFilter ref="A2:P21" xr:uid="{74F114B3-91C2-4A35-9139-792FE289E983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workbookViewId="0">
      <selection activeCell="M21" sqref="M21"/>
    </sheetView>
  </sheetViews>
  <sheetFormatPr defaultRowHeight="15" x14ac:dyDescent="0.25"/>
  <cols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2112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1825</v>
      </c>
      <c r="C3" s="5" t="s">
        <v>1952</v>
      </c>
      <c r="D3" s="5" t="s">
        <v>1953</v>
      </c>
      <c r="E3" s="5" t="s">
        <v>1954</v>
      </c>
      <c r="F3" s="23">
        <v>9</v>
      </c>
      <c r="G3" s="23">
        <v>870</v>
      </c>
      <c r="H3" s="23">
        <v>30</v>
      </c>
      <c r="I3" s="23">
        <f>G3-H3</f>
        <v>840</v>
      </c>
      <c r="J3" s="5" t="s">
        <v>1866</v>
      </c>
      <c r="K3" s="5" t="s">
        <v>25</v>
      </c>
      <c r="L3" s="5" t="s">
        <v>1955</v>
      </c>
      <c r="M3" s="5"/>
      <c r="N3" s="5"/>
      <c r="O3" s="5"/>
      <c r="P3" s="5"/>
      <c r="Q3" s="25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1956</v>
      </c>
      <c r="F4" s="23">
        <v>9</v>
      </c>
      <c r="G4" s="23">
        <v>1625</v>
      </c>
      <c r="H4" s="23">
        <v>35</v>
      </c>
      <c r="I4" s="23">
        <f t="shared" ref="I4:I34" si="0">G4-H4</f>
        <v>1590</v>
      </c>
      <c r="J4" s="5" t="s">
        <v>1866</v>
      </c>
      <c r="K4" s="5" t="s">
        <v>25</v>
      </c>
      <c r="L4" s="5" t="s">
        <v>1955</v>
      </c>
      <c r="M4" s="5"/>
      <c r="N4" s="5"/>
      <c r="O4" s="5"/>
      <c r="P4" s="5"/>
      <c r="Q4" s="25">
        <v>1</v>
      </c>
    </row>
    <row r="5" spans="1:18" x14ac:dyDescent="0.25">
      <c r="A5" s="5" t="s">
        <v>1828</v>
      </c>
      <c r="B5" s="5" t="s">
        <v>1825</v>
      </c>
      <c r="C5" s="5" t="s">
        <v>1832</v>
      </c>
      <c r="D5" s="5"/>
      <c r="E5" s="5" t="s">
        <v>1871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1957</v>
      </c>
      <c r="K5" s="5" t="s">
        <v>25</v>
      </c>
      <c r="L5" s="5" t="s">
        <v>1955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1825</v>
      </c>
      <c r="C6" s="5" t="s">
        <v>1958</v>
      </c>
      <c r="D6" s="5" t="s">
        <v>1959</v>
      </c>
      <c r="E6" s="5" t="s">
        <v>1960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1957</v>
      </c>
      <c r="K6" s="5" t="s">
        <v>25</v>
      </c>
      <c r="L6" s="5" t="s">
        <v>1955</v>
      </c>
      <c r="M6" s="6" t="s">
        <v>1961</v>
      </c>
      <c r="N6" s="5"/>
      <c r="O6" s="5"/>
      <c r="P6" s="5"/>
      <c r="Q6" s="25">
        <v>1</v>
      </c>
    </row>
    <row r="7" spans="1:18" x14ac:dyDescent="0.25">
      <c r="A7" s="5"/>
      <c r="B7" s="5" t="s">
        <v>1825</v>
      </c>
      <c r="C7" s="5" t="s">
        <v>1962</v>
      </c>
      <c r="D7" s="5" t="s">
        <v>1963</v>
      </c>
      <c r="E7" s="5" t="s">
        <v>1964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1957</v>
      </c>
      <c r="K7" s="5" t="s">
        <v>25</v>
      </c>
      <c r="L7" s="5" t="s">
        <v>1955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1825</v>
      </c>
      <c r="C8" s="5" t="s">
        <v>1965</v>
      </c>
      <c r="D8" s="5" t="s">
        <v>1966</v>
      </c>
      <c r="E8" s="5" t="s">
        <v>1967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1957</v>
      </c>
      <c r="K8" s="5" t="s">
        <v>25</v>
      </c>
      <c r="L8" s="5" t="s">
        <v>1955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1825</v>
      </c>
      <c r="C9" s="5" t="s">
        <v>1968</v>
      </c>
      <c r="D9" s="5" t="s">
        <v>1969</v>
      </c>
      <c r="E9" s="5" t="s">
        <v>1970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1957</v>
      </c>
      <c r="K9" s="5" t="s">
        <v>25</v>
      </c>
      <c r="L9" s="5" t="s">
        <v>1955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1825</v>
      </c>
      <c r="C10" s="5" t="s">
        <v>1971</v>
      </c>
      <c r="D10" s="5" t="s">
        <v>1972</v>
      </c>
      <c r="E10" s="5" t="s">
        <v>1973</v>
      </c>
      <c r="F10" s="5" t="s">
        <v>1974</v>
      </c>
      <c r="G10" s="23">
        <v>745</v>
      </c>
      <c r="H10" s="23">
        <v>35</v>
      </c>
      <c r="I10" s="23">
        <f t="shared" si="0"/>
        <v>710</v>
      </c>
      <c r="J10" s="5" t="s">
        <v>1957</v>
      </c>
      <c r="K10" s="5" t="s">
        <v>25</v>
      </c>
      <c r="L10" s="5" t="s">
        <v>1955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1825</v>
      </c>
      <c r="C11" s="5" t="s">
        <v>1975</v>
      </c>
      <c r="D11" s="5" t="s">
        <v>1976</v>
      </c>
      <c r="E11" s="5" t="s">
        <v>1977</v>
      </c>
      <c r="F11" s="5" t="s">
        <v>1974</v>
      </c>
      <c r="G11" s="23">
        <v>35</v>
      </c>
      <c r="H11" s="23">
        <v>35</v>
      </c>
      <c r="I11" s="23">
        <f t="shared" si="0"/>
        <v>0</v>
      </c>
      <c r="J11" s="5" t="s">
        <v>1957</v>
      </c>
      <c r="K11" s="5" t="s">
        <v>25</v>
      </c>
      <c r="L11" s="5" t="s">
        <v>1955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1825</v>
      </c>
      <c r="C12" s="5" t="s">
        <v>1978</v>
      </c>
      <c r="D12" s="5" t="s">
        <v>1979</v>
      </c>
      <c r="E12" s="5" t="s">
        <v>1980</v>
      </c>
      <c r="F12" s="5" t="s">
        <v>1876</v>
      </c>
      <c r="G12" s="23">
        <v>1760</v>
      </c>
      <c r="H12" s="23">
        <v>30</v>
      </c>
      <c r="I12" s="23">
        <f t="shared" si="0"/>
        <v>1730</v>
      </c>
      <c r="J12" s="5" t="s">
        <v>1957</v>
      </c>
      <c r="K12" s="5" t="s">
        <v>25</v>
      </c>
      <c r="L12" s="5" t="s">
        <v>1955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1825</v>
      </c>
      <c r="C13" s="5" t="s">
        <v>1981</v>
      </c>
      <c r="D13" s="5" t="s">
        <v>1982</v>
      </c>
      <c r="E13" s="5" t="s">
        <v>1983</v>
      </c>
      <c r="F13" s="5" t="s">
        <v>1876</v>
      </c>
      <c r="G13" s="23">
        <v>670</v>
      </c>
      <c r="H13" s="23">
        <v>30</v>
      </c>
      <c r="I13" s="23">
        <f t="shared" si="0"/>
        <v>640</v>
      </c>
      <c r="J13" s="5" t="s">
        <v>1957</v>
      </c>
      <c r="K13" s="5" t="s">
        <v>25</v>
      </c>
      <c r="L13" s="5" t="s">
        <v>1955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1825</v>
      </c>
      <c r="C14" s="5" t="s">
        <v>1984</v>
      </c>
      <c r="D14" s="5" t="s">
        <v>1985</v>
      </c>
      <c r="E14" s="5" t="s">
        <v>1986</v>
      </c>
      <c r="F14" s="5" t="s">
        <v>1987</v>
      </c>
      <c r="G14" s="23">
        <v>115</v>
      </c>
      <c r="H14" s="23">
        <v>35</v>
      </c>
      <c r="I14" s="23">
        <f t="shared" si="0"/>
        <v>80</v>
      </c>
      <c r="J14" s="5" t="s">
        <v>1957</v>
      </c>
      <c r="K14" s="5" t="s">
        <v>25</v>
      </c>
      <c r="L14" s="5" t="s">
        <v>1955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1825</v>
      </c>
      <c r="C15" s="5" t="s">
        <v>1988</v>
      </c>
      <c r="D15" s="5" t="s">
        <v>1989</v>
      </c>
      <c r="E15" s="5" t="s">
        <v>1990</v>
      </c>
      <c r="F15" s="5" t="s">
        <v>104</v>
      </c>
      <c r="G15" s="23">
        <v>0</v>
      </c>
      <c r="H15" s="23">
        <v>25</v>
      </c>
      <c r="I15" s="23">
        <f t="shared" si="0"/>
        <v>-25</v>
      </c>
      <c r="J15" s="5" t="s">
        <v>1957</v>
      </c>
      <c r="K15" s="5" t="s">
        <v>25</v>
      </c>
      <c r="L15" s="5" t="s">
        <v>1955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1825</v>
      </c>
      <c r="C16" s="5" t="s">
        <v>1991</v>
      </c>
      <c r="D16" s="5" t="s">
        <v>1992</v>
      </c>
      <c r="E16" s="5" t="s">
        <v>1993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1957</v>
      </c>
      <c r="K16" s="5" t="s">
        <v>25</v>
      </c>
      <c r="L16" s="5" t="s">
        <v>1955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1825</v>
      </c>
      <c r="C17" s="5" t="s">
        <v>1994</v>
      </c>
      <c r="D17" s="5" t="s">
        <v>1995</v>
      </c>
      <c r="E17" s="5" t="s">
        <v>1996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1957</v>
      </c>
      <c r="K17" s="5" t="s">
        <v>25</v>
      </c>
      <c r="L17" s="5" t="s">
        <v>1955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1825</v>
      </c>
      <c r="C18" s="5" t="s">
        <v>1997</v>
      </c>
      <c r="D18" s="5" t="s">
        <v>1998</v>
      </c>
      <c r="E18" s="5" t="s">
        <v>1999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1957</v>
      </c>
      <c r="K18" s="5" t="s">
        <v>25</v>
      </c>
      <c r="L18" s="5" t="s">
        <v>1955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1825</v>
      </c>
      <c r="C19" s="5" t="s">
        <v>2000</v>
      </c>
      <c r="D19" s="5" t="s">
        <v>2001</v>
      </c>
      <c r="E19" s="5" t="s">
        <v>2002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1955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1825</v>
      </c>
      <c r="C20" s="5" t="s">
        <v>2003</v>
      </c>
      <c r="D20" s="5" t="s">
        <v>2004</v>
      </c>
      <c r="E20" s="5" t="s">
        <v>2005</v>
      </c>
      <c r="F20" s="5" t="s">
        <v>64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1955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1825</v>
      </c>
      <c r="C21" s="20" t="s">
        <v>2006</v>
      </c>
      <c r="D21" s="20" t="s">
        <v>2007</v>
      </c>
      <c r="E21" s="20" t="s">
        <v>2008</v>
      </c>
      <c r="F21" s="20" t="s">
        <v>64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1955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1828</v>
      </c>
      <c r="B22" s="5" t="s">
        <v>1825</v>
      </c>
      <c r="C22" s="5" t="s">
        <v>1854</v>
      </c>
      <c r="D22" s="5"/>
      <c r="E22" s="5" t="s">
        <v>2009</v>
      </c>
      <c r="F22" s="5" t="s">
        <v>76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1955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1825</v>
      </c>
      <c r="C23" s="5" t="s">
        <v>2010</v>
      </c>
      <c r="D23" s="5" t="s">
        <v>2011</v>
      </c>
      <c r="E23" s="5" t="s">
        <v>2012</v>
      </c>
      <c r="F23" s="5" t="s">
        <v>104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1955</v>
      </c>
      <c r="M23" s="5"/>
      <c r="N23" s="5"/>
      <c r="O23" s="5"/>
      <c r="P23" s="5"/>
      <c r="Q23" s="25">
        <v>1</v>
      </c>
    </row>
    <row r="24" spans="1:18" x14ac:dyDescent="0.25">
      <c r="A24" s="5" t="s">
        <v>1828</v>
      </c>
      <c r="B24" s="5" t="s">
        <v>1825</v>
      </c>
      <c r="C24" s="5" t="s">
        <v>2013</v>
      </c>
      <c r="D24" s="5"/>
      <c r="E24" s="5" t="s">
        <v>2014</v>
      </c>
      <c r="F24" s="5" t="s">
        <v>104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1955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1825</v>
      </c>
      <c r="C25" s="5" t="s">
        <v>2015</v>
      </c>
      <c r="D25" s="5" t="s">
        <v>2016</v>
      </c>
      <c r="E25" s="5" t="s">
        <v>2017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1888</v>
      </c>
      <c r="K25" s="5" t="s">
        <v>25</v>
      </c>
      <c r="L25" s="5" t="s">
        <v>1955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1825</v>
      </c>
      <c r="C26" s="5" t="s">
        <v>2018</v>
      </c>
      <c r="D26" s="5" t="s">
        <v>2019</v>
      </c>
      <c r="E26" s="5" t="s">
        <v>2020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1888</v>
      </c>
      <c r="K26" s="5" t="s">
        <v>25</v>
      </c>
      <c r="L26" s="5" t="s">
        <v>1955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1825</v>
      </c>
      <c r="C27" s="5" t="s">
        <v>2021</v>
      </c>
      <c r="D27" s="5" t="s">
        <v>2022</v>
      </c>
      <c r="E27" s="5" t="s">
        <v>2023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1888</v>
      </c>
      <c r="K27" s="5" t="s">
        <v>25</v>
      </c>
      <c r="L27" s="5" t="s">
        <v>1955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1825</v>
      </c>
      <c r="C28" s="5" t="s">
        <v>2024</v>
      </c>
      <c r="D28" s="5" t="s">
        <v>2025</v>
      </c>
      <c r="E28" s="5" t="s">
        <v>2026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1888</v>
      </c>
      <c r="K28" s="5" t="s">
        <v>25</v>
      </c>
      <c r="L28" s="5" t="s">
        <v>1955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1825</v>
      </c>
      <c r="C29" s="5" t="s">
        <v>2027</v>
      </c>
      <c r="D29" s="5" t="s">
        <v>2028</v>
      </c>
      <c r="E29" s="5" t="s">
        <v>2029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1888</v>
      </c>
      <c r="K29" s="5" t="s">
        <v>25</v>
      </c>
      <c r="L29" s="5" t="s">
        <v>1955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1825</v>
      </c>
      <c r="C30" s="5" t="s">
        <v>2030</v>
      </c>
      <c r="D30" s="5" t="s">
        <v>2031</v>
      </c>
      <c r="E30" s="5" t="s">
        <v>2032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1888</v>
      </c>
      <c r="K30" s="5" t="s">
        <v>25</v>
      </c>
      <c r="L30" s="5" t="s">
        <v>1955</v>
      </c>
      <c r="M30" s="6" t="s">
        <v>2033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1828</v>
      </c>
      <c r="B31" s="5" t="s">
        <v>1825</v>
      </c>
      <c r="C31" s="5" t="s">
        <v>2034</v>
      </c>
      <c r="D31" s="5"/>
      <c r="E31" s="5" t="s">
        <v>2035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1888</v>
      </c>
      <c r="K31" s="5" t="s">
        <v>25</v>
      </c>
      <c r="L31" s="5" t="s">
        <v>1955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1825</v>
      </c>
      <c r="C32" s="5" t="s">
        <v>2036</v>
      </c>
      <c r="D32" s="5" t="s">
        <v>2037</v>
      </c>
      <c r="E32" s="5" t="s">
        <v>2038</v>
      </c>
      <c r="F32" s="5" t="s">
        <v>1974</v>
      </c>
      <c r="G32" s="23">
        <v>765</v>
      </c>
      <c r="H32" s="23">
        <v>35</v>
      </c>
      <c r="I32" s="23">
        <f t="shared" si="0"/>
        <v>730</v>
      </c>
      <c r="J32" s="5" t="s">
        <v>1888</v>
      </c>
      <c r="K32" s="5" t="s">
        <v>25</v>
      </c>
      <c r="L32" s="5" t="s">
        <v>1955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1825</v>
      </c>
      <c r="C33" s="5" t="s">
        <v>2039</v>
      </c>
      <c r="D33" s="5" t="s">
        <v>2040</v>
      </c>
      <c r="E33" s="5" t="s">
        <v>2041</v>
      </c>
      <c r="F33" s="5" t="s">
        <v>1974</v>
      </c>
      <c r="G33" s="23">
        <v>415</v>
      </c>
      <c r="H33" s="23">
        <v>35</v>
      </c>
      <c r="I33" s="23">
        <f t="shared" si="0"/>
        <v>380</v>
      </c>
      <c r="J33" s="5" t="s">
        <v>1888</v>
      </c>
      <c r="K33" s="5" t="s">
        <v>25</v>
      </c>
      <c r="L33" s="5" t="s">
        <v>1955</v>
      </c>
      <c r="M33" s="5"/>
      <c r="N33" s="5"/>
      <c r="O33" s="5"/>
      <c r="P33" s="5"/>
      <c r="Q33" s="25">
        <v>1</v>
      </c>
    </row>
    <row r="34" spans="1:18" x14ac:dyDescent="0.25">
      <c r="A34" s="5" t="s">
        <v>1828</v>
      </c>
      <c r="B34" s="5" t="s">
        <v>1825</v>
      </c>
      <c r="C34" s="5" t="s">
        <v>2042</v>
      </c>
      <c r="D34" s="5"/>
      <c r="E34" s="5" t="s">
        <v>2043</v>
      </c>
      <c r="F34" s="5" t="s">
        <v>104</v>
      </c>
      <c r="G34" s="23">
        <v>0</v>
      </c>
      <c r="H34" s="23">
        <v>30</v>
      </c>
      <c r="I34" s="23">
        <f t="shared" si="0"/>
        <v>-30</v>
      </c>
      <c r="J34" s="5" t="s">
        <v>1888</v>
      </c>
      <c r="K34" s="5" t="s">
        <v>25</v>
      </c>
      <c r="L34" s="5" t="s">
        <v>1955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>SUBTOTAL(9,G3:G35)</f>
        <v>22845</v>
      </c>
      <c r="H36">
        <f t="shared" ref="H36:R36" si="1">SUBTOTAL(9,H3:H35)</f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2044</v>
      </c>
      <c r="I40" s="8" t="s">
        <v>316</v>
      </c>
      <c r="J40" s="9" t="s">
        <v>317</v>
      </c>
    </row>
    <row r="41" spans="1:18" ht="15.75" x14ac:dyDescent="0.25">
      <c r="H41" s="10" t="s">
        <v>318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319</v>
      </c>
      <c r="I42" s="13">
        <f>R36</f>
        <v>105</v>
      </c>
      <c r="J42" s="14"/>
    </row>
    <row r="43" spans="1:18" x14ac:dyDescent="0.25">
      <c r="H43" s="12" t="s">
        <v>320</v>
      </c>
      <c r="I43" s="13">
        <f>S36</f>
        <v>0</v>
      </c>
      <c r="J43" s="14"/>
    </row>
    <row r="44" spans="1:18" x14ac:dyDescent="0.25">
      <c r="H44" s="12" t="s">
        <v>321</v>
      </c>
      <c r="I44" s="13">
        <f>T36</f>
        <v>0</v>
      </c>
      <c r="J44" s="14"/>
    </row>
    <row r="45" spans="1:18" x14ac:dyDescent="0.25">
      <c r="H45" s="12" t="s">
        <v>322</v>
      </c>
      <c r="I45" s="13">
        <f>U36</f>
        <v>0</v>
      </c>
      <c r="J45" s="14"/>
    </row>
    <row r="46" spans="1:18" ht="15.75" x14ac:dyDescent="0.25">
      <c r="H46" s="15" t="s">
        <v>323</v>
      </c>
      <c r="I46" s="16"/>
      <c r="J46" s="16"/>
    </row>
    <row r="47" spans="1:18" ht="15.75" x14ac:dyDescent="0.25">
      <c r="H47" s="17" t="s">
        <v>324</v>
      </c>
      <c r="I47" s="16"/>
      <c r="J47" s="16"/>
    </row>
    <row r="48" spans="1:18" ht="21" x14ac:dyDescent="0.35">
      <c r="H48" s="18" t="s">
        <v>325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1958</v>
      </c>
      <c r="B50" s="2" t="s">
        <v>1959</v>
      </c>
      <c r="C50" s="2" t="s">
        <v>1960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1957</v>
      </c>
      <c r="I50" s="2" t="s">
        <v>25</v>
      </c>
      <c r="J50" s="2" t="s">
        <v>1955</v>
      </c>
      <c r="K50" s="3" t="s">
        <v>1961</v>
      </c>
    </row>
    <row r="51" spans="1:11" s="4" customFormat="1" x14ac:dyDescent="0.25">
      <c r="A51" s="2" t="s">
        <v>2030</v>
      </c>
      <c r="B51" s="2" t="s">
        <v>2031</v>
      </c>
      <c r="C51" s="2" t="s">
        <v>2032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1888</v>
      </c>
      <c r="I51" s="2" t="s">
        <v>25</v>
      </c>
      <c r="J51" s="2" t="s">
        <v>1955</v>
      </c>
      <c r="K51" s="3" t="s">
        <v>2033</v>
      </c>
    </row>
  </sheetData>
  <autoFilter ref="A2:P34" xr:uid="{95DC3523-A7E3-4CC1-8375-C845D3F25091}"/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abSelected="1" zoomScale="80" zoomScaleNormal="80" workbookViewId="0">
      <selection activeCell="G16" sqref="G16"/>
    </sheetView>
  </sheetViews>
  <sheetFormatPr defaultRowHeight="15" x14ac:dyDescent="0.25"/>
  <cols>
    <col min="1" max="1" width="14.570312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8" max="8" width="5.5703125" customWidth="1"/>
    <col min="9" max="9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2111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1825</v>
      </c>
      <c r="C3" s="21" t="s">
        <v>2045</v>
      </c>
      <c r="D3" s="21" t="s">
        <v>2046</v>
      </c>
      <c r="E3" s="21" t="s">
        <v>2047</v>
      </c>
      <c r="F3" s="28">
        <v>9</v>
      </c>
      <c r="G3" s="24">
        <v>470</v>
      </c>
      <c r="H3" s="24">
        <v>30</v>
      </c>
      <c r="I3" s="24">
        <v>440</v>
      </c>
      <c r="J3" s="21" t="s">
        <v>1866</v>
      </c>
      <c r="K3" s="21" t="s">
        <v>25</v>
      </c>
      <c r="L3" s="21" t="s">
        <v>2048</v>
      </c>
      <c r="M3" s="21"/>
      <c r="N3" s="21"/>
      <c r="O3" s="21"/>
      <c r="P3" s="21"/>
      <c r="Q3" s="25">
        <v>1</v>
      </c>
    </row>
    <row r="4" spans="1:18" x14ac:dyDescent="0.25">
      <c r="A4" s="21" t="s">
        <v>1828</v>
      </c>
      <c r="B4" s="21" t="s">
        <v>1825</v>
      </c>
      <c r="C4" s="21" t="s">
        <v>2049</v>
      </c>
      <c r="D4" s="21"/>
      <c r="E4" s="21" t="s">
        <v>2050</v>
      </c>
      <c r="F4" s="28">
        <v>9</v>
      </c>
      <c r="G4" s="24">
        <v>35</v>
      </c>
      <c r="H4" s="24">
        <v>35</v>
      </c>
      <c r="I4" s="24">
        <v>0</v>
      </c>
      <c r="J4" s="21" t="s">
        <v>1866</v>
      </c>
      <c r="K4" s="21" t="s">
        <v>25</v>
      </c>
      <c r="L4" s="21" t="s">
        <v>2048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1825</v>
      </c>
      <c r="C5" s="21" t="s">
        <v>2051</v>
      </c>
      <c r="D5" s="21" t="s">
        <v>2052</v>
      </c>
      <c r="E5" s="21" t="s">
        <v>2053</v>
      </c>
      <c r="F5" s="28">
        <v>7</v>
      </c>
      <c r="G5" s="24">
        <v>0</v>
      </c>
      <c r="H5" s="24">
        <v>30</v>
      </c>
      <c r="I5" s="24">
        <v>-30</v>
      </c>
      <c r="J5" s="21" t="s">
        <v>2054</v>
      </c>
      <c r="K5" s="21" t="s">
        <v>25</v>
      </c>
      <c r="L5" s="21" t="s">
        <v>2048</v>
      </c>
      <c r="M5" s="6" t="s">
        <v>2114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1825</v>
      </c>
      <c r="C6" s="21" t="s">
        <v>2055</v>
      </c>
      <c r="D6" s="21" t="s">
        <v>2056</v>
      </c>
      <c r="E6" s="21" t="s">
        <v>2057</v>
      </c>
      <c r="F6" s="28">
        <v>11</v>
      </c>
      <c r="G6" s="24">
        <v>0</v>
      </c>
      <c r="H6" s="24">
        <v>25</v>
      </c>
      <c r="I6" s="24">
        <v>-25</v>
      </c>
      <c r="J6" s="21" t="s">
        <v>2054</v>
      </c>
      <c r="K6" s="21" t="s">
        <v>25</v>
      </c>
      <c r="L6" s="21" t="s">
        <v>2048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1825</v>
      </c>
      <c r="C7" s="21" t="s">
        <v>2058</v>
      </c>
      <c r="D7" s="21" t="s">
        <v>2059</v>
      </c>
      <c r="E7" s="21" t="s">
        <v>2060</v>
      </c>
      <c r="F7" s="28">
        <v>12</v>
      </c>
      <c r="G7" s="24">
        <v>820</v>
      </c>
      <c r="H7" s="24">
        <v>30</v>
      </c>
      <c r="I7" s="24">
        <v>790</v>
      </c>
      <c r="J7" s="21" t="s">
        <v>2054</v>
      </c>
      <c r="K7" s="21" t="s">
        <v>25</v>
      </c>
      <c r="L7" s="21" t="s">
        <v>2048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1825</v>
      </c>
      <c r="C8" s="20" t="s">
        <v>2061</v>
      </c>
      <c r="D8" s="20" t="s">
        <v>2062</v>
      </c>
      <c r="E8" s="20" t="s">
        <v>2063</v>
      </c>
      <c r="F8" s="20" t="s">
        <v>1974</v>
      </c>
      <c r="G8" s="20">
        <v>155</v>
      </c>
      <c r="H8" s="20">
        <v>35</v>
      </c>
      <c r="I8" s="20">
        <v>120</v>
      </c>
      <c r="J8" s="20" t="s">
        <v>2054</v>
      </c>
      <c r="K8" s="20" t="s">
        <v>25</v>
      </c>
      <c r="L8" s="20" t="s">
        <v>2048</v>
      </c>
      <c r="M8" s="20" t="s">
        <v>472</v>
      </c>
      <c r="Q8" s="20">
        <v>1</v>
      </c>
    </row>
    <row r="9" spans="1:18" x14ac:dyDescent="0.25">
      <c r="A9" s="21"/>
      <c r="B9" s="21" t="s">
        <v>1825</v>
      </c>
      <c r="C9" s="21" t="s">
        <v>2064</v>
      </c>
      <c r="D9" s="21" t="s">
        <v>2065</v>
      </c>
      <c r="E9" s="21" t="s">
        <v>2066</v>
      </c>
      <c r="F9" s="28" t="s">
        <v>1876</v>
      </c>
      <c r="G9" s="24">
        <v>410</v>
      </c>
      <c r="H9" s="24">
        <v>30</v>
      </c>
      <c r="I9" s="24">
        <v>380</v>
      </c>
      <c r="J9" s="21" t="s">
        <v>2054</v>
      </c>
      <c r="K9" s="21" t="s">
        <v>25</v>
      </c>
      <c r="L9" s="21" t="s">
        <v>2048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1825</v>
      </c>
      <c r="C10" s="21" t="s">
        <v>2067</v>
      </c>
      <c r="D10" s="21" t="s">
        <v>2068</v>
      </c>
      <c r="E10" s="21" t="s">
        <v>2069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2054</v>
      </c>
      <c r="K10" s="21" t="s">
        <v>25</v>
      </c>
      <c r="L10" s="21" t="s">
        <v>2048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1825</v>
      </c>
      <c r="C11" s="21" t="s">
        <v>1928</v>
      </c>
      <c r="D11" s="21" t="s">
        <v>2070</v>
      </c>
      <c r="E11" s="21" t="s">
        <v>2071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2054</v>
      </c>
      <c r="K11" s="21" t="s">
        <v>25</v>
      </c>
      <c r="L11" s="21" t="s">
        <v>2048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1825</v>
      </c>
      <c r="C12" s="21" t="s">
        <v>1850</v>
      </c>
      <c r="D12" s="21" t="s">
        <v>2072</v>
      </c>
      <c r="E12" s="21" t="s">
        <v>1882</v>
      </c>
      <c r="F12" s="28" t="s">
        <v>64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2048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1825</v>
      </c>
      <c r="C13" s="21" t="s">
        <v>2073</v>
      </c>
      <c r="D13" s="21" t="s">
        <v>2074</v>
      </c>
      <c r="E13" s="21" t="s">
        <v>2075</v>
      </c>
      <c r="F13" s="28" t="s">
        <v>64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2048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1828</v>
      </c>
      <c r="B14" s="21" t="s">
        <v>1825</v>
      </c>
      <c r="C14" s="21" t="s">
        <v>2076</v>
      </c>
      <c r="D14" s="21"/>
      <c r="E14" s="21" t="s">
        <v>2077</v>
      </c>
      <c r="F14" s="28" t="s">
        <v>64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2048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1828</v>
      </c>
      <c r="B15" s="21" t="s">
        <v>1825</v>
      </c>
      <c r="C15" s="21" t="s">
        <v>2078</v>
      </c>
      <c r="D15" s="21"/>
      <c r="E15" s="21" t="s">
        <v>1885</v>
      </c>
      <c r="F15" s="28" t="s">
        <v>76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2048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1825</v>
      </c>
      <c r="C16" s="21" t="s">
        <v>2079</v>
      </c>
      <c r="D16" s="21" t="s">
        <v>2080</v>
      </c>
      <c r="E16" s="21" t="s">
        <v>2081</v>
      </c>
      <c r="F16" s="28" t="s">
        <v>104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2048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1825</v>
      </c>
      <c r="C17" s="21" t="s">
        <v>2082</v>
      </c>
      <c r="D17" s="21" t="s">
        <v>2083</v>
      </c>
      <c r="E17" s="21" t="s">
        <v>2084</v>
      </c>
      <c r="F17" s="28" t="s">
        <v>109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2048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1825</v>
      </c>
      <c r="C18" s="21" t="s">
        <v>2085</v>
      </c>
      <c r="D18" s="21" t="s">
        <v>2086</v>
      </c>
      <c r="E18" s="21" t="s">
        <v>2087</v>
      </c>
      <c r="F18" s="28" t="s">
        <v>2088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2048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1825</v>
      </c>
      <c r="C19" s="21" t="s">
        <v>2089</v>
      </c>
      <c r="D19" s="21" t="s">
        <v>2090</v>
      </c>
      <c r="E19" s="21" t="s">
        <v>2091</v>
      </c>
      <c r="F19" s="28">
        <v>1</v>
      </c>
      <c r="G19" s="24">
        <v>875</v>
      </c>
      <c r="H19" s="24">
        <v>25</v>
      </c>
      <c r="I19" s="24">
        <v>850</v>
      </c>
      <c r="J19" s="21" t="s">
        <v>1888</v>
      </c>
      <c r="K19" s="21" t="s">
        <v>25</v>
      </c>
      <c r="L19" s="21" t="s">
        <v>2048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1825</v>
      </c>
      <c r="C20" s="21" t="s">
        <v>2018</v>
      </c>
      <c r="D20" s="21" t="s">
        <v>2092</v>
      </c>
      <c r="E20" s="21" t="s">
        <v>2020</v>
      </c>
      <c r="F20" s="28">
        <v>1</v>
      </c>
      <c r="G20" s="24">
        <v>375</v>
      </c>
      <c r="H20" s="24">
        <v>25</v>
      </c>
      <c r="I20" s="24">
        <v>350</v>
      </c>
      <c r="J20" s="21" t="s">
        <v>1888</v>
      </c>
      <c r="K20" s="21" t="s">
        <v>25</v>
      </c>
      <c r="L20" s="21" t="s">
        <v>2048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1825</v>
      </c>
      <c r="C21" s="21" t="s">
        <v>2093</v>
      </c>
      <c r="D21" s="21" t="s">
        <v>2094</v>
      </c>
      <c r="E21" s="21" t="s">
        <v>2095</v>
      </c>
      <c r="F21" s="28">
        <v>1</v>
      </c>
      <c r="G21" s="24">
        <v>405</v>
      </c>
      <c r="H21" s="24">
        <v>25</v>
      </c>
      <c r="I21" s="24">
        <v>380</v>
      </c>
      <c r="J21" s="21" t="s">
        <v>1888</v>
      </c>
      <c r="K21" s="21" t="s">
        <v>25</v>
      </c>
      <c r="L21" s="21" t="s">
        <v>2048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1825</v>
      </c>
      <c r="C22" s="21" t="s">
        <v>2096</v>
      </c>
      <c r="D22" s="21" t="s">
        <v>2097</v>
      </c>
      <c r="E22" s="21" t="s">
        <v>2098</v>
      </c>
      <c r="F22" s="28">
        <v>1</v>
      </c>
      <c r="G22" s="24">
        <v>885</v>
      </c>
      <c r="H22" s="24">
        <v>25</v>
      </c>
      <c r="I22" s="24">
        <v>860</v>
      </c>
      <c r="J22" s="21" t="s">
        <v>1888</v>
      </c>
      <c r="K22" s="21" t="s">
        <v>25</v>
      </c>
      <c r="L22" s="21" t="s">
        <v>2048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1825</v>
      </c>
      <c r="C23" s="21" t="s">
        <v>2099</v>
      </c>
      <c r="D23" s="21" t="s">
        <v>2100</v>
      </c>
      <c r="E23" s="21" t="s">
        <v>2101</v>
      </c>
      <c r="F23" s="28">
        <v>4</v>
      </c>
      <c r="G23" s="24">
        <v>405</v>
      </c>
      <c r="H23" s="24">
        <v>25</v>
      </c>
      <c r="I23" s="24">
        <v>380</v>
      </c>
      <c r="J23" s="21" t="s">
        <v>1888</v>
      </c>
      <c r="K23" s="21" t="s">
        <v>25</v>
      </c>
      <c r="L23" s="21" t="s">
        <v>2048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1825</v>
      </c>
      <c r="C24" s="21" t="s">
        <v>2102</v>
      </c>
      <c r="D24" s="21" t="s">
        <v>2103</v>
      </c>
      <c r="E24" s="21" t="s">
        <v>2104</v>
      </c>
      <c r="F24" s="28">
        <v>5</v>
      </c>
      <c r="G24" s="24">
        <v>0</v>
      </c>
      <c r="H24" s="24">
        <v>25</v>
      </c>
      <c r="I24" s="24">
        <v>-25</v>
      </c>
      <c r="J24" s="21" t="s">
        <v>1888</v>
      </c>
      <c r="K24" s="21" t="s">
        <v>25</v>
      </c>
      <c r="L24" s="21" t="s">
        <v>2048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1825</v>
      </c>
      <c r="C25" s="21" t="s">
        <v>2105</v>
      </c>
      <c r="D25" s="21" t="s">
        <v>2106</v>
      </c>
      <c r="E25" s="21" t="s">
        <v>2107</v>
      </c>
      <c r="F25" s="28">
        <v>10</v>
      </c>
      <c r="G25" s="24">
        <v>405</v>
      </c>
      <c r="H25" s="24">
        <v>25</v>
      </c>
      <c r="I25" s="24">
        <v>380</v>
      </c>
      <c r="J25" s="21" t="s">
        <v>1888</v>
      </c>
      <c r="K25" s="21" t="s">
        <v>25</v>
      </c>
      <c r="L25" s="21" t="s">
        <v>2048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1825</v>
      </c>
      <c r="C26" s="21" t="s">
        <v>2108</v>
      </c>
      <c r="D26" s="21" t="s">
        <v>2109</v>
      </c>
      <c r="E26" s="21" t="s">
        <v>2110</v>
      </c>
      <c r="F26" s="28" t="s">
        <v>104</v>
      </c>
      <c r="G26" s="24">
        <v>0</v>
      </c>
      <c r="H26" s="24">
        <v>25</v>
      </c>
      <c r="I26" s="24">
        <v>-25</v>
      </c>
      <c r="J26" s="21" t="s">
        <v>1888</v>
      </c>
      <c r="K26" s="21" t="s">
        <v>25</v>
      </c>
      <c r="L26" s="21" t="s">
        <v>2048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329</v>
      </c>
    </row>
    <row r="32" spans="1:18" ht="20.25" customHeight="1" x14ac:dyDescent="0.3">
      <c r="H32" s="7" t="s">
        <v>2044</v>
      </c>
      <c r="I32" s="8" t="s">
        <v>316</v>
      </c>
      <c r="J32" s="9" t="s">
        <v>317</v>
      </c>
    </row>
    <row r="33" spans="1:11" ht="15.75" x14ac:dyDescent="0.25">
      <c r="H33" s="10" t="s">
        <v>318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319</v>
      </c>
      <c r="I34" s="13">
        <f>R28</f>
        <v>150</v>
      </c>
      <c r="J34" s="14"/>
    </row>
    <row r="35" spans="1:11" x14ac:dyDescent="0.25">
      <c r="H35" s="12" t="s">
        <v>320</v>
      </c>
      <c r="I35" s="13">
        <f>S28</f>
        <v>0</v>
      </c>
      <c r="J35" s="14"/>
    </row>
    <row r="36" spans="1:11" x14ac:dyDescent="0.25">
      <c r="H36" s="12" t="s">
        <v>321</v>
      </c>
      <c r="I36" s="13">
        <f>T28</f>
        <v>0</v>
      </c>
      <c r="J36" s="14"/>
    </row>
    <row r="37" spans="1:11" x14ac:dyDescent="0.25">
      <c r="H37" s="12" t="s">
        <v>322</v>
      </c>
      <c r="I37" s="13">
        <f>U28</f>
        <v>0</v>
      </c>
      <c r="J37" s="14"/>
    </row>
    <row r="38" spans="1:11" ht="15.75" x14ac:dyDescent="0.25">
      <c r="H38" s="15" t="s">
        <v>323</v>
      </c>
      <c r="I38" s="16"/>
      <c r="J38" s="16"/>
    </row>
    <row r="39" spans="1:11" ht="15.75" x14ac:dyDescent="0.25">
      <c r="H39" s="17" t="s">
        <v>324</v>
      </c>
      <c r="I39" s="16"/>
      <c r="J39" s="16"/>
    </row>
    <row r="40" spans="1:11" ht="21" x14ac:dyDescent="0.35">
      <c r="H40" s="18" t="s">
        <v>325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329</v>
      </c>
    </row>
    <row r="42" spans="1:11" s="4" customFormat="1" x14ac:dyDescent="0.25">
      <c r="A42" s="2" t="s">
        <v>2003</v>
      </c>
      <c r="B42" s="2" t="s">
        <v>2004</v>
      </c>
      <c r="C42" s="2" t="s">
        <v>2005</v>
      </c>
      <c r="D42" s="27" t="s">
        <v>64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1955</v>
      </c>
      <c r="K42" s="3" t="s">
        <v>2115</v>
      </c>
    </row>
    <row r="43" spans="1:11" x14ac:dyDescent="0.25">
      <c r="A43" t="s">
        <v>488</v>
      </c>
    </row>
    <row r="44" spans="1:11" s="4" customFormat="1" x14ac:dyDescent="0.25">
      <c r="A44" s="30" t="s">
        <v>2051</v>
      </c>
      <c r="B44" s="30" t="s">
        <v>2052</v>
      </c>
      <c r="C44" s="30" t="s">
        <v>2053</v>
      </c>
      <c r="D44" s="31">
        <v>7</v>
      </c>
      <c r="E44" s="32">
        <v>1320</v>
      </c>
      <c r="F44" s="32">
        <v>0</v>
      </c>
      <c r="G44" s="32">
        <v>1320</v>
      </c>
      <c r="H44" s="30" t="s">
        <v>2054</v>
      </c>
      <c r="I44" s="30" t="s">
        <v>25</v>
      </c>
      <c r="J44" s="30" t="s">
        <v>2048</v>
      </c>
      <c r="K44" s="3" t="s">
        <v>2114</v>
      </c>
    </row>
  </sheetData>
  <autoFilter ref="A2:P26" xr:uid="{95DC3523-A7E3-4CC1-8375-C845D3F25091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2026-03-20T17:51:47Z</dcterms:modified>
</cp:coreProperties>
</file>