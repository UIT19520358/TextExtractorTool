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\Freelance\TextInputter\data\Mar\"/>
    </mc:Choice>
  </mc:AlternateContent>
  <xr:revisionPtr revIDLastSave="0" documentId="13_ncr:1_{967116A2-038C-4333-A5E6-7CBD1C67E161}" xr6:coauthVersionLast="47" xr6:coauthVersionMax="47" xr10:uidLastSave="{00000000-0000-0000-0000-000000000000}"/>
  <bookViews>
    <workbookView xWindow="-120" yWindow="-120" windowWidth="29040" windowHeight="15720" firstSheet="6" activeTab="6" xr2:uid="{5C19E60F-B0EA-4466-8994-298A0AC29210}"/>
  </bookViews>
  <sheets>
    <sheet name="2-3" sheetId="1" r:id="rId1"/>
    <sheet name="3-3" sheetId="2" r:id="rId2"/>
    <sheet name="4-3" sheetId="3" r:id="rId3"/>
    <sheet name="5-3" sheetId="4" r:id="rId4"/>
    <sheet name="6-3" sheetId="5" r:id="rId5"/>
    <sheet name="7-3" sheetId="6" r:id="rId6"/>
    <sheet name="9-3" sheetId="7" r:id="rId7"/>
    <sheet name="10-3" sheetId="8" r:id="rId8"/>
    <sheet name="11-3" sheetId="9" r:id="rId9"/>
    <sheet name="12-3" sheetId="10" r:id="rId10"/>
    <sheet name="13-3" sheetId="11" r:id="rId11"/>
    <sheet name="14-3" sheetId="12" r:id="rId12"/>
    <sheet name="16-3" sheetId="13" r:id="rId13"/>
    <sheet name="17-3" sheetId="14" r:id="rId14"/>
    <sheet name="18-3" sheetId="15" r:id="rId15"/>
    <sheet name="19-3" sheetId="16" r:id="rId16"/>
    <sheet name="20-3" sheetId="17" r:id="rId17"/>
    <sheet name="21-3" sheetId="18" r:id="rId18"/>
    <sheet name="23-3" sheetId="19" r:id="rId19"/>
    <sheet name="24-3" sheetId="20" r:id="rId20"/>
    <sheet name="25-3" sheetId="21" r:id="rId21"/>
    <sheet name="26-3" sheetId="22" r:id="rId22"/>
    <sheet name="27-3" sheetId="23" r:id="rId23"/>
    <sheet name="28-3" sheetId="24" r:id="rId24"/>
    <sheet name="30-3" sheetId="25" r:id="rId25"/>
    <sheet name="31-3" sheetId="26" r:id="rId26"/>
  </sheets>
  <definedNames>
    <definedName name="_xlnm._FilterDatabase" localSheetId="7" hidden="1">'10-3'!$A$2:$Q$37</definedName>
    <definedName name="_xlnm._FilterDatabase" localSheetId="8" hidden="1">'11-3'!$A$2:$Q$24</definedName>
    <definedName name="_xlnm._FilterDatabase" localSheetId="9" hidden="1">'12-3'!$A$2:$Q$44</definedName>
    <definedName name="_xlnm._FilterDatabase" localSheetId="10" hidden="1">'13-3'!$A$2:$Q$41</definedName>
    <definedName name="_xlnm._FilterDatabase" localSheetId="11" hidden="1">'14-3'!$A$2:$Q$32</definedName>
    <definedName name="_xlnm._FilterDatabase" localSheetId="12" hidden="1">'16-3'!$A$2:$Q$81</definedName>
    <definedName name="_xlnm._FilterDatabase" localSheetId="13" hidden="1">'17-3'!$A$2:$P$24</definedName>
    <definedName name="_xlnm._FilterDatabase" localSheetId="14" hidden="1">'18-3'!$A$2:$P$21</definedName>
    <definedName name="_xlnm._FilterDatabase" localSheetId="15" hidden="1">'19-3'!$A$2:$P$34</definedName>
    <definedName name="_xlnm._FilterDatabase" localSheetId="16" hidden="1">'20-3'!$A$2:$P$26</definedName>
    <definedName name="_xlnm._FilterDatabase" localSheetId="17" hidden="1">'21-3'!$A$2:$P$34</definedName>
    <definedName name="_xlnm._FilterDatabase" localSheetId="0" hidden="1">'2-3'!$A$2:$Q$78</definedName>
    <definedName name="_xlnm._FilterDatabase" localSheetId="18" hidden="1">'23-3'!$A$2:$P$75</definedName>
    <definedName name="_xlnm._FilterDatabase" localSheetId="19" hidden="1">'24-3'!$A$2:$P$19</definedName>
    <definedName name="_xlnm._FilterDatabase" localSheetId="20" hidden="1">'25-3'!$A$2:$P$19</definedName>
    <definedName name="_xlnm._FilterDatabase" localSheetId="21" hidden="1">'26-3'!$A$2:$P$33</definedName>
    <definedName name="_xlnm._FilterDatabase" localSheetId="22" hidden="1">'27-3'!$A$2:$P$37</definedName>
    <definedName name="_xlnm._FilterDatabase" localSheetId="23" hidden="1">'28-3'!$A$2:$P$29</definedName>
    <definedName name="_xlnm._FilterDatabase" localSheetId="24" hidden="1">'30-3'!$A$2:$P$68</definedName>
    <definedName name="_xlnm._FilterDatabase" localSheetId="25" hidden="1">'31-3'!$A$2:$P$30</definedName>
    <definedName name="_xlnm._FilterDatabase" localSheetId="1" hidden="1">'3-3'!$A$2:$Q$47</definedName>
    <definedName name="_xlnm._FilterDatabase" localSheetId="2" hidden="1">'4-3'!$A$2:$Q$47</definedName>
    <definedName name="_xlnm._FilterDatabase" localSheetId="3" hidden="1">'5-3'!$A$2:$Q$34</definedName>
    <definedName name="_xlnm._FilterDatabase" localSheetId="4" hidden="1">'6-3'!$A$2:$Q$59</definedName>
    <definedName name="_xlnm._FilterDatabase" localSheetId="5" hidden="1">'7-3'!$A$2:$Q$60</definedName>
    <definedName name="_xlnm._FilterDatabase" localSheetId="6" hidden="1">'9-3'!$A$2:$Q$65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9" i="7" l="1"/>
  <c r="J73" i="7"/>
  <c r="I21" i="26"/>
  <c r="G48" i="26"/>
  <c r="R23" i="26"/>
  <c r="R29" i="26"/>
  <c r="R21" i="26"/>
  <c r="R20" i="26"/>
  <c r="R16" i="26"/>
  <c r="R15" i="26"/>
  <c r="R14" i="26"/>
  <c r="R8" i="26"/>
  <c r="R6" i="26"/>
  <c r="R32" i="26" s="1"/>
  <c r="I38" i="26" s="1"/>
  <c r="R4" i="26"/>
  <c r="I3" i="26"/>
  <c r="I4" i="26"/>
  <c r="I5" i="26"/>
  <c r="I25" i="26"/>
  <c r="I26" i="26"/>
  <c r="I6" i="26"/>
  <c r="I15" i="26"/>
  <c r="I7" i="26"/>
  <c r="I8" i="26"/>
  <c r="I9" i="26"/>
  <c r="I16" i="26"/>
  <c r="I17" i="26"/>
  <c r="I27" i="26"/>
  <c r="I10" i="26"/>
  <c r="I11" i="26"/>
  <c r="I18" i="26"/>
  <c r="I12" i="26"/>
  <c r="I13" i="26"/>
  <c r="I28" i="26"/>
  <c r="I29" i="26"/>
  <c r="I30" i="26"/>
  <c r="I19" i="26"/>
  <c r="I20" i="26"/>
  <c r="I22" i="26"/>
  <c r="I14" i="26"/>
  <c r="I23" i="26"/>
  <c r="I24" i="26"/>
  <c r="I32" i="26"/>
  <c r="I37" i="26" s="1"/>
  <c r="I41" i="26"/>
  <c r="I40" i="26"/>
  <c r="I39" i="26"/>
  <c r="Q32" i="26"/>
  <c r="J37" i="26" s="1"/>
  <c r="J44" i="26" s="1"/>
  <c r="P32" i="26"/>
  <c r="O32" i="26"/>
  <c r="N32" i="26"/>
  <c r="M32" i="26"/>
  <c r="L32" i="26"/>
  <c r="K32" i="26"/>
  <c r="J32" i="26"/>
  <c r="H32" i="26"/>
  <c r="G32" i="26"/>
  <c r="R35" i="25"/>
  <c r="R13" i="25"/>
  <c r="R67" i="25"/>
  <c r="R55" i="25"/>
  <c r="R51" i="25"/>
  <c r="R49" i="25"/>
  <c r="R41" i="25"/>
  <c r="R36" i="25"/>
  <c r="R34" i="25"/>
  <c r="R33" i="25"/>
  <c r="R27" i="25"/>
  <c r="R22" i="25"/>
  <c r="R19" i="25"/>
  <c r="R12" i="25"/>
  <c r="R9" i="25"/>
  <c r="I68" i="25"/>
  <c r="I67" i="25"/>
  <c r="I27" i="25"/>
  <c r="I41" i="25"/>
  <c r="I40" i="25"/>
  <c r="I26" i="25"/>
  <c r="I25" i="25"/>
  <c r="I39" i="25"/>
  <c r="I66" i="25"/>
  <c r="I24" i="25"/>
  <c r="I65" i="25"/>
  <c r="I23" i="25"/>
  <c r="I64" i="25"/>
  <c r="I22" i="25"/>
  <c r="I63" i="25"/>
  <c r="I21" i="25"/>
  <c r="I20" i="25"/>
  <c r="I19" i="25"/>
  <c r="I62" i="25"/>
  <c r="I61" i="25"/>
  <c r="I38" i="25"/>
  <c r="I60" i="25"/>
  <c r="I18" i="25"/>
  <c r="I59" i="25"/>
  <c r="I58" i="25"/>
  <c r="I17" i="25"/>
  <c r="I57" i="25"/>
  <c r="I56" i="25"/>
  <c r="I37" i="25"/>
  <c r="I16" i="25"/>
  <c r="I55" i="25"/>
  <c r="I54" i="25"/>
  <c r="I3" i="25"/>
  <c r="I53" i="25"/>
  <c r="I52" i="25"/>
  <c r="I15" i="25"/>
  <c r="I51" i="25"/>
  <c r="I50" i="25"/>
  <c r="I14" i="25"/>
  <c r="I36" i="25"/>
  <c r="I35" i="25"/>
  <c r="I13" i="25"/>
  <c r="I12" i="25"/>
  <c r="I49" i="25"/>
  <c r="I11" i="25"/>
  <c r="I34" i="25"/>
  <c r="I48" i="25"/>
  <c r="I10" i="25"/>
  <c r="I47" i="25"/>
  <c r="I33" i="25"/>
  <c r="I32" i="25"/>
  <c r="I46" i="25"/>
  <c r="I45" i="25"/>
  <c r="I31" i="25"/>
  <c r="I9" i="25"/>
  <c r="I44" i="25"/>
  <c r="I8" i="25"/>
  <c r="I30" i="25"/>
  <c r="I7" i="25"/>
  <c r="I43" i="25"/>
  <c r="I6" i="25"/>
  <c r="I5" i="25"/>
  <c r="I42" i="25"/>
  <c r="I4" i="25"/>
  <c r="I29" i="25"/>
  <c r="I28" i="25"/>
  <c r="I79" i="25"/>
  <c r="I78" i="25"/>
  <c r="I77" i="25"/>
  <c r="Q70" i="25"/>
  <c r="J75" i="25" s="1"/>
  <c r="J82" i="25" s="1"/>
  <c r="P70" i="25"/>
  <c r="O70" i="25"/>
  <c r="N70" i="25"/>
  <c r="M70" i="25"/>
  <c r="L70" i="25"/>
  <c r="K70" i="25"/>
  <c r="J70" i="25"/>
  <c r="H70" i="25"/>
  <c r="G70" i="25"/>
  <c r="R70" i="25"/>
  <c r="I76" i="25" s="1"/>
  <c r="I70" i="25"/>
  <c r="I75" i="25" s="1"/>
  <c r="I4" i="24"/>
  <c r="I5" i="24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" i="24"/>
  <c r="I31" i="24" s="1"/>
  <c r="I36" i="24" s="1"/>
  <c r="R26" i="24"/>
  <c r="R25" i="24"/>
  <c r="R24" i="24"/>
  <c r="R21" i="24"/>
  <c r="R12" i="24"/>
  <c r="R10" i="24"/>
  <c r="R8" i="24"/>
  <c r="I40" i="24"/>
  <c r="I39" i="24"/>
  <c r="I38" i="24"/>
  <c r="Q31" i="24"/>
  <c r="J36" i="24" s="1"/>
  <c r="J43" i="24" s="1"/>
  <c r="P31" i="24"/>
  <c r="O31" i="24"/>
  <c r="N31" i="24"/>
  <c r="M31" i="24"/>
  <c r="L31" i="24"/>
  <c r="K31" i="24"/>
  <c r="J31" i="24"/>
  <c r="H31" i="24"/>
  <c r="G31" i="24"/>
  <c r="R31" i="24"/>
  <c r="I37" i="24" s="1"/>
  <c r="R29" i="23"/>
  <c r="R27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" i="23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" i="22"/>
  <c r="I3" i="21"/>
  <c r="R32" i="23"/>
  <c r="R4" i="23"/>
  <c r="I48" i="23"/>
  <c r="I47" i="23"/>
  <c r="I46" i="23"/>
  <c r="Q39" i="23"/>
  <c r="J44" i="23" s="1"/>
  <c r="J51" i="23" s="1"/>
  <c r="P39" i="23"/>
  <c r="O39" i="23"/>
  <c r="N39" i="23"/>
  <c r="M39" i="23"/>
  <c r="L39" i="23"/>
  <c r="K39" i="23"/>
  <c r="J39" i="23"/>
  <c r="I39" i="23"/>
  <c r="I44" i="23" s="1"/>
  <c r="H39" i="23"/>
  <c r="G39" i="23"/>
  <c r="R39" i="23"/>
  <c r="I45" i="23" s="1"/>
  <c r="R26" i="22"/>
  <c r="R25" i="22"/>
  <c r="R24" i="22"/>
  <c r="R4" i="22"/>
  <c r="R3" i="22"/>
  <c r="H35" i="22"/>
  <c r="J35" i="22"/>
  <c r="K35" i="22"/>
  <c r="L35" i="22"/>
  <c r="M35" i="22"/>
  <c r="N35" i="22"/>
  <c r="O35" i="22"/>
  <c r="P35" i="22"/>
  <c r="Q35" i="22"/>
  <c r="J40" i="22" s="1"/>
  <c r="J47" i="22" s="1"/>
  <c r="G35" i="22"/>
  <c r="R35" i="22"/>
  <c r="I41" i="22" s="1"/>
  <c r="I35" i="22"/>
  <c r="I40" i="22" s="1"/>
  <c r="I44" i="22"/>
  <c r="I43" i="22"/>
  <c r="I42" i="22"/>
  <c r="I19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3" i="20"/>
  <c r="I73" i="19"/>
  <c r="I74" i="19"/>
  <c r="I75" i="19"/>
  <c r="R19" i="21"/>
  <c r="R16" i="21"/>
  <c r="R13" i="21"/>
  <c r="R5" i="21"/>
  <c r="R3" i="21"/>
  <c r="R19" i="20"/>
  <c r="R18" i="20"/>
  <c r="R15" i="20"/>
  <c r="R5" i="20"/>
  <c r="R4" i="20"/>
  <c r="R3" i="20"/>
  <c r="I30" i="21"/>
  <c r="I29" i="21"/>
  <c r="I28" i="21"/>
  <c r="R21" i="21"/>
  <c r="I27" i="21" s="1"/>
  <c r="Q21" i="21"/>
  <c r="J26" i="21" s="1"/>
  <c r="J33" i="21" s="1"/>
  <c r="P21" i="21"/>
  <c r="O21" i="21"/>
  <c r="N21" i="21"/>
  <c r="M21" i="21"/>
  <c r="L21" i="21"/>
  <c r="K21" i="21"/>
  <c r="J21" i="21"/>
  <c r="I21" i="21"/>
  <c r="I26" i="21" s="1"/>
  <c r="H21" i="21"/>
  <c r="G21" i="21"/>
  <c r="I30" i="20"/>
  <c r="I29" i="20"/>
  <c r="I28" i="20"/>
  <c r="I86" i="19"/>
  <c r="I85" i="19"/>
  <c r="I84" i="19"/>
  <c r="I45" i="18"/>
  <c r="I44" i="18"/>
  <c r="I43" i="18"/>
  <c r="I43" i="16"/>
  <c r="I45" i="16"/>
  <c r="I44" i="16"/>
  <c r="I36" i="17"/>
  <c r="I37" i="17"/>
  <c r="I83" i="19"/>
  <c r="Q21" i="20"/>
  <c r="J26" i="20" s="1"/>
  <c r="J33" i="20" s="1"/>
  <c r="P21" i="20"/>
  <c r="O21" i="20"/>
  <c r="N21" i="20"/>
  <c r="M21" i="20"/>
  <c r="L21" i="20"/>
  <c r="K21" i="20"/>
  <c r="J21" i="20"/>
  <c r="H21" i="20"/>
  <c r="G21" i="20"/>
  <c r="R21" i="20"/>
  <c r="I27" i="20" s="1"/>
  <c r="I21" i="20"/>
  <c r="I26" i="20" s="1"/>
  <c r="H77" i="19"/>
  <c r="I77" i="19"/>
  <c r="J77" i="19"/>
  <c r="K77" i="19"/>
  <c r="L77" i="19"/>
  <c r="M77" i="19"/>
  <c r="N77" i="19"/>
  <c r="O77" i="19"/>
  <c r="P77" i="19"/>
  <c r="Q77" i="19"/>
  <c r="J82" i="19" s="1"/>
  <c r="J89" i="19" s="1"/>
  <c r="R77" i="19"/>
  <c r="G77" i="19"/>
  <c r="R34" i="19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H80" i="1"/>
  <c r="I80" i="1"/>
  <c r="J80" i="1"/>
  <c r="K80" i="1"/>
  <c r="L80" i="1"/>
  <c r="M80" i="1"/>
  <c r="N80" i="1"/>
  <c r="O80" i="1"/>
  <c r="P80" i="1"/>
  <c r="Q80" i="1"/>
  <c r="R80" i="1"/>
  <c r="S80" i="1"/>
  <c r="J85" i="1"/>
  <c r="K85" i="1"/>
  <c r="J86" i="1"/>
  <c r="J87" i="1"/>
  <c r="J88" i="1"/>
  <c r="J89" i="1"/>
  <c r="J92" i="1"/>
  <c r="K92" i="1"/>
  <c r="I95" i="1"/>
  <c r="I96" i="1"/>
  <c r="I97" i="1"/>
  <c r="I98" i="1"/>
  <c r="I101" i="1"/>
  <c r="J3" i="2"/>
  <c r="J49" i="2" s="1"/>
  <c r="J54" i="2" s="1"/>
  <c r="J61" i="2" s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H49" i="2"/>
  <c r="I49" i="2"/>
  <c r="K49" i="2"/>
  <c r="L49" i="2"/>
  <c r="M49" i="2"/>
  <c r="N49" i="2"/>
  <c r="O49" i="2"/>
  <c r="P49" i="2"/>
  <c r="Q49" i="2"/>
  <c r="R49" i="2"/>
  <c r="S49" i="2"/>
  <c r="K54" i="2"/>
  <c r="J55" i="2"/>
  <c r="J56" i="2"/>
  <c r="J57" i="2"/>
  <c r="J58" i="2"/>
  <c r="K61" i="2"/>
  <c r="I63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H49" i="3"/>
  <c r="I49" i="3"/>
  <c r="J49" i="3"/>
  <c r="K49" i="3"/>
  <c r="L49" i="3"/>
  <c r="M49" i="3"/>
  <c r="N49" i="3"/>
  <c r="O49" i="3"/>
  <c r="P49" i="3"/>
  <c r="Q49" i="3"/>
  <c r="R49" i="3"/>
  <c r="S49" i="3"/>
  <c r="J55" i="3" s="1"/>
  <c r="T49" i="3"/>
  <c r="J54" i="3"/>
  <c r="J61" i="3" s="1"/>
  <c r="K54" i="3"/>
  <c r="K61" i="3" s="1"/>
  <c r="J56" i="3"/>
  <c r="J57" i="3"/>
  <c r="J58" i="3"/>
  <c r="I63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J41" i="4"/>
  <c r="K41" i="4"/>
  <c r="J42" i="4"/>
  <c r="J43" i="4"/>
  <c r="J44" i="4"/>
  <c r="J45" i="4"/>
  <c r="J48" i="4"/>
  <c r="K48" i="4"/>
  <c r="I51" i="4"/>
  <c r="I52" i="4"/>
  <c r="J3" i="5"/>
  <c r="J61" i="5" s="1"/>
  <c r="J66" i="5" s="1"/>
  <c r="J73" i="5" s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H61" i="5"/>
  <c r="I61" i="5"/>
  <c r="K61" i="5"/>
  <c r="L61" i="5"/>
  <c r="M61" i="5"/>
  <c r="N61" i="5"/>
  <c r="O61" i="5"/>
  <c r="P61" i="5"/>
  <c r="Q61" i="5"/>
  <c r="R61" i="5"/>
  <c r="S61" i="5"/>
  <c r="T61" i="5"/>
  <c r="K66" i="5"/>
  <c r="J67" i="5"/>
  <c r="J68" i="5"/>
  <c r="J69" i="5"/>
  <c r="J70" i="5"/>
  <c r="K73" i="5"/>
  <c r="I76" i="5"/>
  <c r="I79" i="5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H62" i="6"/>
  <c r="I62" i="6"/>
  <c r="J62" i="6"/>
  <c r="K62" i="6"/>
  <c r="L62" i="6"/>
  <c r="M62" i="6"/>
  <c r="N62" i="6"/>
  <c r="O62" i="6"/>
  <c r="P62" i="6"/>
  <c r="Q62" i="6"/>
  <c r="R62" i="6"/>
  <c r="K67" i="6" s="1"/>
  <c r="K74" i="6" s="1"/>
  <c r="S62" i="6"/>
  <c r="J68" i="6" s="1"/>
  <c r="J74" i="6" s="1"/>
  <c r="J67" i="6"/>
  <c r="J69" i="6"/>
  <c r="J70" i="6"/>
  <c r="J71" i="6"/>
  <c r="I77" i="6"/>
  <c r="I80" i="6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H67" i="7"/>
  <c r="I67" i="7"/>
  <c r="J67" i="7"/>
  <c r="K67" i="7"/>
  <c r="L67" i="7"/>
  <c r="M67" i="7"/>
  <c r="N67" i="7"/>
  <c r="O67" i="7"/>
  <c r="P67" i="7"/>
  <c r="Q67" i="7"/>
  <c r="R67" i="7"/>
  <c r="K72" i="7" s="1"/>
  <c r="K79" i="7" s="1"/>
  <c r="S67" i="7"/>
  <c r="J72" i="7"/>
  <c r="J74" i="7"/>
  <c r="J75" i="7"/>
  <c r="J76" i="7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39" i="8" s="1"/>
  <c r="J44" i="8" s="1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H39" i="8"/>
  <c r="I39" i="8"/>
  <c r="K39" i="8"/>
  <c r="L39" i="8"/>
  <c r="M39" i="8"/>
  <c r="N39" i="8"/>
  <c r="O39" i="8"/>
  <c r="P39" i="8"/>
  <c r="Q39" i="8"/>
  <c r="R39" i="8"/>
  <c r="K44" i="8" s="1"/>
  <c r="K51" i="8" s="1"/>
  <c r="S39" i="8"/>
  <c r="J45" i="8" s="1"/>
  <c r="J46" i="8"/>
  <c r="J47" i="8"/>
  <c r="J48" i="8"/>
  <c r="I54" i="8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H26" i="9"/>
  <c r="I26" i="9"/>
  <c r="J26" i="9"/>
  <c r="K26" i="9"/>
  <c r="L26" i="9"/>
  <c r="M26" i="9"/>
  <c r="N26" i="9"/>
  <c r="O26" i="9"/>
  <c r="P26" i="9"/>
  <c r="Q26" i="9"/>
  <c r="R26" i="9"/>
  <c r="K31" i="9" s="1"/>
  <c r="K38" i="9" s="1"/>
  <c r="S26" i="9"/>
  <c r="J32" i="9" s="1"/>
  <c r="J38" i="9" s="1"/>
  <c r="J31" i="9"/>
  <c r="J33" i="9"/>
  <c r="J34" i="9"/>
  <c r="J35" i="9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46" i="10" s="1"/>
  <c r="J51" i="10" s="1"/>
  <c r="J58" i="10" s="1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H46" i="10"/>
  <c r="I46" i="10"/>
  <c r="K46" i="10"/>
  <c r="L46" i="10"/>
  <c r="M46" i="10"/>
  <c r="N46" i="10"/>
  <c r="O46" i="10"/>
  <c r="P46" i="10"/>
  <c r="Q46" i="10"/>
  <c r="R46" i="10"/>
  <c r="S46" i="10"/>
  <c r="K51" i="10"/>
  <c r="J52" i="10"/>
  <c r="J53" i="10"/>
  <c r="J54" i="10"/>
  <c r="J55" i="10"/>
  <c r="K58" i="10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J48" i="11"/>
  <c r="K48" i="11"/>
  <c r="J49" i="11"/>
  <c r="J50" i="11"/>
  <c r="J51" i="11"/>
  <c r="J52" i="11"/>
  <c r="J55" i="11"/>
  <c r="K55" i="11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H34" i="12"/>
  <c r="I34" i="12"/>
  <c r="J34" i="12"/>
  <c r="K34" i="12"/>
  <c r="L34" i="12"/>
  <c r="M34" i="12"/>
  <c r="N34" i="12"/>
  <c r="O34" i="12"/>
  <c r="P34" i="12"/>
  <c r="Q34" i="12"/>
  <c r="R34" i="12"/>
  <c r="K39" i="12" s="1"/>
  <c r="K46" i="12" s="1"/>
  <c r="S34" i="12"/>
  <c r="J40" i="12" s="1"/>
  <c r="J39" i="12"/>
  <c r="J46" i="12" s="1"/>
  <c r="J41" i="12"/>
  <c r="J42" i="12"/>
  <c r="J43" i="12"/>
  <c r="I48" i="12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J88" i="13"/>
  <c r="K88" i="13"/>
  <c r="J89" i="13"/>
  <c r="J90" i="13"/>
  <c r="J91" i="13"/>
  <c r="J92" i="13"/>
  <c r="J95" i="13"/>
  <c r="K95" i="13"/>
  <c r="I98" i="13"/>
  <c r="I3" i="14"/>
  <c r="I26" i="14" s="1"/>
  <c r="I31" i="14" s="1"/>
  <c r="I38" i="14" s="1"/>
  <c r="I4" i="14"/>
  <c r="I5" i="14"/>
  <c r="I6" i="14"/>
  <c r="R6" i="14"/>
  <c r="R26" i="14" s="1"/>
  <c r="I32" i="14" s="1"/>
  <c r="I7" i="14"/>
  <c r="I8" i="14"/>
  <c r="I9" i="14"/>
  <c r="I10" i="14"/>
  <c r="I11" i="14"/>
  <c r="I12" i="14"/>
  <c r="I13" i="14"/>
  <c r="I14" i="14"/>
  <c r="R14" i="14"/>
  <c r="I15" i="14"/>
  <c r="I16" i="14"/>
  <c r="R16" i="14"/>
  <c r="I17" i="14"/>
  <c r="I18" i="14"/>
  <c r="I19" i="14"/>
  <c r="I20" i="14"/>
  <c r="I21" i="14"/>
  <c r="R21" i="14"/>
  <c r="I22" i="14"/>
  <c r="I23" i="14"/>
  <c r="I24" i="14"/>
  <c r="R24" i="14"/>
  <c r="G26" i="14"/>
  <c r="H26" i="14"/>
  <c r="J26" i="14"/>
  <c r="K26" i="14"/>
  <c r="L26" i="14"/>
  <c r="M26" i="14"/>
  <c r="N26" i="14"/>
  <c r="O26" i="14"/>
  <c r="P26" i="14"/>
  <c r="Q26" i="14"/>
  <c r="S26" i="14"/>
  <c r="J31" i="14"/>
  <c r="I33" i="14"/>
  <c r="I34" i="14"/>
  <c r="I35" i="14"/>
  <c r="J38" i="14"/>
  <c r="R7" i="15"/>
  <c r="R8" i="15"/>
  <c r="R13" i="15"/>
  <c r="R17" i="15"/>
  <c r="G23" i="15"/>
  <c r="H23" i="15"/>
  <c r="I23" i="15"/>
  <c r="J23" i="15"/>
  <c r="K23" i="15"/>
  <c r="L23" i="15"/>
  <c r="M23" i="15"/>
  <c r="N23" i="15"/>
  <c r="O23" i="15"/>
  <c r="P23" i="15"/>
  <c r="Q23" i="15"/>
  <c r="R23" i="15"/>
  <c r="S23" i="15"/>
  <c r="I28" i="15"/>
  <c r="J28" i="15"/>
  <c r="I29" i="15"/>
  <c r="I30" i="15"/>
  <c r="I31" i="15"/>
  <c r="I32" i="15"/>
  <c r="I35" i="15"/>
  <c r="J35" i="15"/>
  <c r="H38" i="15"/>
  <c r="I3" i="16"/>
  <c r="I4" i="16"/>
  <c r="I5" i="16"/>
  <c r="R5" i="16"/>
  <c r="R36" i="16" s="1"/>
  <c r="I42" i="16" s="1"/>
  <c r="I6" i="16"/>
  <c r="I7" i="16"/>
  <c r="I8" i="16"/>
  <c r="I9" i="16"/>
  <c r="I10" i="16"/>
  <c r="I11" i="16"/>
  <c r="I12" i="16"/>
  <c r="I13" i="16"/>
  <c r="I14" i="16"/>
  <c r="I15" i="16"/>
  <c r="R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R30" i="16"/>
  <c r="I31" i="16"/>
  <c r="I32" i="16"/>
  <c r="I33" i="16"/>
  <c r="I34" i="16"/>
  <c r="R34" i="16"/>
  <c r="G36" i="16"/>
  <c r="H36" i="16"/>
  <c r="I36" i="16"/>
  <c r="I41" i="16" s="1"/>
  <c r="I48" i="16" s="1"/>
  <c r="J36" i="16"/>
  <c r="K36" i="16"/>
  <c r="L36" i="16"/>
  <c r="M36" i="16"/>
  <c r="N36" i="16"/>
  <c r="O36" i="16"/>
  <c r="P36" i="16"/>
  <c r="Q36" i="16"/>
  <c r="J41" i="16"/>
  <c r="J48" i="16"/>
  <c r="G50" i="16"/>
  <c r="G51" i="16"/>
  <c r="R6" i="17"/>
  <c r="R12" i="17"/>
  <c r="R16" i="17"/>
  <c r="R24" i="17"/>
  <c r="R26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I33" i="17"/>
  <c r="J33" i="17"/>
  <c r="I34" i="17"/>
  <c r="I35" i="17"/>
  <c r="I40" i="17"/>
  <c r="J40" i="17"/>
  <c r="I3" i="18"/>
  <c r="I4" i="18"/>
  <c r="I5" i="18"/>
  <c r="I6" i="18"/>
  <c r="R6" i="18"/>
  <c r="I7" i="18"/>
  <c r="I8" i="18"/>
  <c r="I9" i="18"/>
  <c r="I10" i="18"/>
  <c r="I11" i="18"/>
  <c r="R11" i="18"/>
  <c r="I12" i="18"/>
  <c r="I13" i="18"/>
  <c r="I14" i="18"/>
  <c r="I15" i="18"/>
  <c r="I16" i="18"/>
  <c r="I17" i="18"/>
  <c r="R17" i="18"/>
  <c r="I18" i="18"/>
  <c r="I19" i="18"/>
  <c r="I20" i="18"/>
  <c r="I21" i="18"/>
  <c r="I22" i="18"/>
  <c r="R22" i="18"/>
  <c r="I23" i="18"/>
  <c r="I24" i="18"/>
  <c r="I25" i="18"/>
  <c r="I26" i="18"/>
  <c r="I27" i="18"/>
  <c r="I28" i="18"/>
  <c r="R28" i="18"/>
  <c r="I29" i="18"/>
  <c r="R29" i="18"/>
  <c r="I30" i="18"/>
  <c r="I31" i="18"/>
  <c r="R31" i="18"/>
  <c r="I32" i="18"/>
  <c r="R32" i="18"/>
  <c r="I33" i="18"/>
  <c r="I34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I41" i="18"/>
  <c r="J41" i="18"/>
  <c r="I42" i="18"/>
  <c r="I48" i="18"/>
  <c r="J48" i="18"/>
  <c r="I3" i="19"/>
  <c r="I4" i="19"/>
  <c r="I5" i="19"/>
  <c r="I6" i="19"/>
  <c r="R6" i="19"/>
  <c r="I7" i="19"/>
  <c r="I8" i="19"/>
  <c r="I9" i="19"/>
  <c r="I10" i="19"/>
  <c r="I11" i="19"/>
  <c r="I12" i="19"/>
  <c r="R12" i="19"/>
  <c r="I13" i="19"/>
  <c r="I14" i="19"/>
  <c r="I15" i="19"/>
  <c r="I16" i="19"/>
  <c r="I17" i="19"/>
  <c r="I18" i="19"/>
  <c r="R18" i="19"/>
  <c r="I19" i="19"/>
  <c r="I20" i="19"/>
  <c r="I21" i="19"/>
  <c r="I22" i="19"/>
  <c r="I23" i="19"/>
  <c r="R23" i="19"/>
  <c r="I24" i="19"/>
  <c r="R24" i="19"/>
  <c r="I25" i="19"/>
  <c r="I26" i="19"/>
  <c r="R26" i="19"/>
  <c r="I27" i="19"/>
  <c r="I28" i="19"/>
  <c r="R28" i="19"/>
  <c r="I29" i="19"/>
  <c r="R29" i="19"/>
  <c r="I30" i="19"/>
  <c r="R30" i="19"/>
  <c r="I31" i="19"/>
  <c r="I32" i="19"/>
  <c r="I33" i="19"/>
  <c r="I34" i="19"/>
  <c r="I35" i="19"/>
  <c r="I36" i="19"/>
  <c r="I37" i="19"/>
  <c r="I38" i="19"/>
  <c r="R38" i="19"/>
  <c r="I39" i="19"/>
  <c r="I40" i="19"/>
  <c r="I41" i="19"/>
  <c r="R41" i="19"/>
  <c r="I42" i="19"/>
  <c r="I43" i="19"/>
  <c r="I44" i="19"/>
  <c r="I45" i="19"/>
  <c r="R45" i="19"/>
  <c r="I46" i="19"/>
  <c r="I47" i="19"/>
  <c r="I48" i="19"/>
  <c r="R48" i="19"/>
  <c r="I49" i="19"/>
  <c r="I50" i="19"/>
  <c r="I51" i="19"/>
  <c r="I52" i="19"/>
  <c r="I53" i="19"/>
  <c r="I54" i="19"/>
  <c r="R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R67" i="19"/>
  <c r="I68" i="19"/>
  <c r="I69" i="19"/>
  <c r="R69" i="19"/>
  <c r="I70" i="19"/>
  <c r="I71" i="19"/>
  <c r="I72" i="19"/>
  <c r="R72" i="19"/>
  <c r="R74" i="19"/>
  <c r="R75" i="19"/>
  <c r="I44" i="26" l="1"/>
  <c r="I82" i="25"/>
  <c r="I43" i="24"/>
  <c r="I51" i="23"/>
  <c r="I47" i="22"/>
  <c r="I33" i="21"/>
  <c r="I33" i="20"/>
  <c r="I82" i="19"/>
  <c r="J51" i="8"/>
  <c r="I89" i="19" l="1"/>
</calcChain>
</file>

<file path=xl/sharedStrings.xml><?xml version="1.0" encoding="utf-8"?>
<sst xmlns="http://schemas.openxmlformats.org/spreadsheetml/2006/main" count="9289" uniqueCount="3031">
  <si>
    <t>THU 2</t>
  </si>
  <si>
    <t>NGAY 2-3</t>
  </si>
  <si>
    <t>Tình trạng TT</t>
  </si>
  <si>
    <t>SHOP</t>
  </si>
  <si>
    <t>TÊN KH</t>
  </si>
  <si>
    <t>MÃ</t>
  </si>
  <si>
    <t>SỐ NHÀ</t>
  </si>
  <si>
    <t>TÊN ĐƯỜNG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</si>
  <si>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</si>
  <si>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</si>
  <si>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</si>
  <si>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</si>
  <si>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</si>
  <si>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</si>
  <si>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</si>
  <si>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</si>
  <si>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</si>
  <si>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</si>
  <si>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</si>
  <si>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chau ngan</t>
  </si>
  <si>
    <t>nguyen thi loan</t>
  </si>
  <si>
    <t>hd133443</t>
  </si>
  <si>
    <t>kp an hoa</t>
  </si>
  <si>
    <t>tinh</t>
  </si>
  <si>
    <t>luu tra</t>
  </si>
  <si>
    <t>c.cuong</t>
  </si>
  <si>
    <t>02-03-2026.</t>
  </si>
  <si>
    <t>hàng tỉnh</t>
  </si>
  <si>
    <t>x</t>
  </si>
  <si>
    <t>xx</t>
  </si>
  <si>
    <t>bong xinh</t>
  </si>
  <si>
    <t>hd133614</t>
  </si>
  <si>
    <t>ds52</t>
  </si>
  <si>
    <t>tao dao</t>
  </si>
  <si>
    <t>hd134012</t>
  </si>
  <si>
    <t>the sun</t>
  </si>
  <si>
    <t>mai chi tho</t>
  </si>
  <si>
    <t>nguyen thuy</t>
  </si>
  <si>
    <t>hd134035</t>
  </si>
  <si>
    <t>702/6C</t>
  </si>
  <si>
    <t>nguyen thi dinh</t>
  </si>
  <si>
    <t>tiara dumawa</t>
  </si>
  <si>
    <t>hd134043</t>
  </si>
  <si>
    <t>188BF2</t>
  </si>
  <si>
    <t>nguyen van huong</t>
  </si>
  <si>
    <t>the diem</t>
  </si>
  <si>
    <t>hd134006</t>
  </si>
  <si>
    <t>vo nguyen giap</t>
  </si>
  <si>
    <t>phan ngoc han</t>
  </si>
  <si>
    <t>hd133328</t>
  </si>
  <si>
    <t>628A</t>
  </si>
  <si>
    <t>mimi pham</t>
  </si>
  <si>
    <t>hd133752</t>
  </si>
  <si>
    <t>block A</t>
  </si>
  <si>
    <t>elly nguyen</t>
  </si>
  <si>
    <t>hd133725</t>
  </si>
  <si>
    <t>120/3/11,</t>
  </si>
  <si>
    <t>dang thuy tram</t>
  </si>
  <si>
    <t>binh thanh</t>
  </si>
  <si>
    <t>le thu</t>
  </si>
  <si>
    <t>hd133367</t>
  </si>
  <si>
    <t>180/60A</t>
  </si>
  <si>
    <t>nguyen huu canh</t>
  </si>
  <si>
    <t>kim tien</t>
  </si>
  <si>
    <t>hd133659</t>
  </si>
  <si>
    <t>xvnt</t>
  </si>
  <si>
    <t>chan bao quyen</t>
  </si>
  <si>
    <t>hd133992</t>
  </si>
  <si>
    <t>49/77,</t>
  </si>
  <si>
    <t>ds51</t>
  </si>
  <si>
    <t>go vap</t>
  </si>
  <si>
    <t>kem kem</t>
  </si>
  <si>
    <t>hd133630</t>
  </si>
  <si>
    <t>632/5,</t>
  </si>
  <si>
    <t>le van tho</t>
  </si>
  <si>
    <t>co hoa</t>
  </si>
  <si>
    <t>hd133918</t>
  </si>
  <si>
    <t>162/18/37,</t>
  </si>
  <si>
    <t>nguyen duy cung</t>
  </si>
  <si>
    <t>dinh lam</t>
  </si>
  <si>
    <t>hd134055</t>
  </si>
  <si>
    <t>78/21A</t>
  </si>
  <si>
    <t>nguyen van khoi</t>
  </si>
  <si>
    <t>thu thao</t>
  </si>
  <si>
    <t>hd133761</t>
  </si>
  <si>
    <t>448/13,</t>
  </si>
  <si>
    <t>pham van chieu</t>
  </si>
  <si>
    <t>nhat anh</t>
  </si>
  <si>
    <t>hd133708</t>
  </si>
  <si>
    <t>331/70/74m</t>
  </si>
  <si>
    <t>phan huy ich</t>
  </si>
  <si>
    <t>hang si</t>
  </si>
  <si>
    <t>ly clara</t>
  </si>
  <si>
    <t>tan son</t>
  </si>
  <si>
    <t>xuan</t>
  </si>
  <si>
    <t>hd133570</t>
  </si>
  <si>
    <t>33/9,</t>
  </si>
  <si>
    <t>quach van tuan</t>
  </si>
  <si>
    <t>tan binh</t>
  </si>
  <si>
    <t>kh ck 695k</t>
  </si>
  <si>
    <t>bich thuy</t>
  </si>
  <si>
    <t>hd133910</t>
  </si>
  <si>
    <t>ds10</t>
  </si>
  <si>
    <t>thu duc</t>
  </si>
  <si>
    <t>phuong kim</t>
  </si>
  <si>
    <t>hd133737</t>
  </si>
  <si>
    <t>668/16,</t>
  </si>
  <si>
    <t>ql13</t>
  </si>
  <si>
    <t>shine anna</t>
  </si>
  <si>
    <t>hd133353</t>
  </si>
  <si>
    <t>26A</t>
  </si>
  <si>
    <t>tam binh</t>
  </si>
  <si>
    <t>nguyen thi diem trang</t>
  </si>
  <si>
    <t>hd133998</t>
  </si>
  <si>
    <t>cc lavita charm</t>
  </si>
  <si>
    <t>truong tho</t>
  </si>
  <si>
    <t>huyen trang</t>
  </si>
  <si>
    <t>hd134036</t>
  </si>
  <si>
    <t>masteri</t>
  </si>
  <si>
    <t>shophouse c004</t>
  </si>
  <si>
    <t>quyen</t>
  </si>
  <si>
    <t>luu thanh thao</t>
  </si>
  <si>
    <t>hd133702</t>
  </si>
  <si>
    <t>28bis</t>
  </si>
  <si>
    <t>mac dinh chi</t>
  </si>
  <si>
    <t>a hieu</t>
  </si>
  <si>
    <t>hanny ne</t>
  </si>
  <si>
    <t>hd133306</t>
  </si>
  <si>
    <t>ntmk</t>
  </si>
  <si>
    <t>nguyen thuy linh</t>
  </si>
  <si>
    <t>hd133399</t>
  </si>
  <si>
    <t>ben van don</t>
  </si>
  <si>
    <t>anh thu nguyen</t>
  </si>
  <si>
    <t>hd133643</t>
  </si>
  <si>
    <t>cao thang</t>
  </si>
  <si>
    <t>ginny tran</t>
  </si>
  <si>
    <t>hd134027</t>
  </si>
  <si>
    <t>153/12/1,</t>
  </si>
  <si>
    <t>kh ck 915</t>
  </si>
  <si>
    <t xml:space="preserve">hang </t>
  </si>
  <si>
    <t>hd133304</t>
  </si>
  <si>
    <t>547c</t>
  </si>
  <si>
    <t>cmt8</t>
  </si>
  <si>
    <t>dieu hien</t>
  </si>
  <si>
    <t>hd133635</t>
  </si>
  <si>
    <t>163/14/18,</t>
  </si>
  <si>
    <t>to hien thanh</t>
  </si>
  <si>
    <t>gao</t>
  </si>
  <si>
    <t>hd133733</t>
  </si>
  <si>
    <t>48/9k</t>
  </si>
  <si>
    <t>ho bieu chanh</t>
  </si>
  <si>
    <t>phu nhuan</t>
  </si>
  <si>
    <t>pham thi phuong trinh</t>
  </si>
  <si>
    <t>hd133538</t>
  </si>
  <si>
    <t>541/64,</t>
  </si>
  <si>
    <t>huynh van banh</t>
  </si>
  <si>
    <t>in nile</t>
  </si>
  <si>
    <t>hd133648</t>
  </si>
  <si>
    <t>429/1,</t>
  </si>
  <si>
    <t>nguyen kiem</t>
  </si>
  <si>
    <t>hien- jolie ngoc diem</t>
  </si>
  <si>
    <t>hd134062</t>
  </si>
  <si>
    <t>12A</t>
  </si>
  <si>
    <t>bach dang</t>
  </si>
  <si>
    <t>pham do nhu quynh</t>
  </si>
  <si>
    <t>hd133916</t>
  </si>
  <si>
    <t>47A</t>
  </si>
  <si>
    <t>pho quang</t>
  </si>
  <si>
    <t>quynh nhu</t>
  </si>
  <si>
    <t>hd133622</t>
  </si>
  <si>
    <t>66/68,</t>
  </si>
  <si>
    <t>su anh</t>
  </si>
  <si>
    <t>22/40,</t>
  </si>
  <si>
    <t>yen the</t>
  </si>
  <si>
    <t>donna kha</t>
  </si>
  <si>
    <t>hd133980</t>
  </si>
  <si>
    <t>45/88/2C</t>
  </si>
  <si>
    <t>binh tien</t>
  </si>
  <si>
    <t>AT 2-3</t>
  </si>
  <si>
    <t>mie</t>
  </si>
  <si>
    <t>275/14B1</t>
  </si>
  <si>
    <t>dang nguyen can</t>
  </si>
  <si>
    <t>tuong vy</t>
  </si>
  <si>
    <t>hd133277</t>
  </si>
  <si>
    <t>256/40,</t>
  </si>
  <si>
    <t>pham van chi</t>
  </si>
  <si>
    <t>kh đã ck 400k</t>
  </si>
  <si>
    <t>nguyen hang y nhi</t>
  </si>
  <si>
    <t>hd133492</t>
  </si>
  <si>
    <t>3b</t>
  </si>
  <si>
    <t>tan hoa</t>
  </si>
  <si>
    <t>tuyet nhi zl2</t>
  </si>
  <si>
    <t>170F</t>
  </si>
  <si>
    <t>tan hoa dong</t>
  </si>
  <si>
    <t>meo chelsea</t>
  </si>
  <si>
    <t>hd133638</t>
  </si>
  <si>
    <t>ds7</t>
  </si>
  <si>
    <t>mai khanh huyen</t>
  </si>
  <si>
    <t>hd133484</t>
  </si>
  <si>
    <t>320/11b</t>
  </si>
  <si>
    <t>nguyen van linh</t>
  </si>
  <si>
    <t>cherry thai</t>
  </si>
  <si>
    <t>hd133603</t>
  </si>
  <si>
    <t>ton dat tien</t>
  </si>
  <si>
    <t>nguyen ngoc my huyen</t>
  </si>
  <si>
    <t>hd133870</t>
  </si>
  <si>
    <t>tran xuan soan</t>
  </si>
  <si>
    <t>dang phuong</t>
  </si>
  <si>
    <t>hd133589</t>
  </si>
  <si>
    <t>ds996</t>
  </si>
  <si>
    <t>xuan ngoc an</t>
  </si>
  <si>
    <t>hd133923</t>
  </si>
  <si>
    <t>ta quang buu</t>
  </si>
  <si>
    <t>khanh thuan</t>
  </si>
  <si>
    <t>hd133734</t>
  </si>
  <si>
    <t>tung thien vuong</t>
  </si>
  <si>
    <t>nguyen thuy van</t>
  </si>
  <si>
    <t>hd133668</t>
  </si>
  <si>
    <t>tang nhon phu</t>
  </si>
  <si>
    <t>huyen nhung</t>
  </si>
  <si>
    <t>hd134054</t>
  </si>
  <si>
    <t>nguyen chi thanh</t>
  </si>
  <si>
    <t>hong hanh</t>
  </si>
  <si>
    <t>hd133360</t>
  </si>
  <si>
    <t>362/65,</t>
  </si>
  <si>
    <t>hiep thanh 13</t>
  </si>
  <si>
    <t>W24130</t>
  </si>
  <si>
    <t>hd133930</t>
  </si>
  <si>
    <t>tan thoi hiep 21</t>
  </si>
  <si>
    <t>nguyen huyen trang</t>
  </si>
  <si>
    <t>hd134017</t>
  </si>
  <si>
    <t>ds14</t>
  </si>
  <si>
    <t>bchanh</t>
  </si>
  <si>
    <t>tran ngoc song</t>
  </si>
  <si>
    <t>hd133334</t>
  </si>
  <si>
    <t>ehome</t>
  </si>
  <si>
    <t>xa binh hung</t>
  </si>
  <si>
    <t>chuc</t>
  </si>
  <si>
    <t>hd133678</t>
  </si>
  <si>
    <t>an duong vuong</t>
  </si>
  <si>
    <t>btan</t>
  </si>
  <si>
    <t>phuong nghi</t>
  </si>
  <si>
    <t>hd133744</t>
  </si>
  <si>
    <t>ds1</t>
  </si>
  <si>
    <t>quynh vu</t>
  </si>
  <si>
    <t>hd133366</t>
  </si>
  <si>
    <t>ds13</t>
  </si>
  <si>
    <t>cam ngan</t>
  </si>
  <si>
    <t>hd134009</t>
  </si>
  <si>
    <t>be cam</t>
  </si>
  <si>
    <t>hd133697</t>
  </si>
  <si>
    <t>ds31</t>
  </si>
  <si>
    <t>thuy anh</t>
  </si>
  <si>
    <t>hd133729</t>
  </si>
  <si>
    <t>ds3a</t>
  </si>
  <si>
    <t>huynh nhu- bui quynh</t>
  </si>
  <si>
    <t>hd133944</t>
  </si>
  <si>
    <t>304/10/1g</t>
  </si>
  <si>
    <t>ds8</t>
  </si>
  <si>
    <t>coco coca</t>
  </si>
  <si>
    <t>hd133372</t>
  </si>
  <si>
    <t>730/129/3,</t>
  </si>
  <si>
    <t>huong lo 2</t>
  </si>
  <si>
    <t>coca</t>
  </si>
  <si>
    <t>hd133691</t>
  </si>
  <si>
    <t>532/3/93,</t>
  </si>
  <si>
    <t>kinh duong vuong</t>
  </si>
  <si>
    <t>nguyen nhu</t>
  </si>
  <si>
    <t>hd133496</t>
  </si>
  <si>
    <t>truong tieu hoc le quy don</t>
  </si>
  <si>
    <t>le ngung</t>
  </si>
  <si>
    <t>sapphire</t>
  </si>
  <si>
    <t>hd133423</t>
  </si>
  <si>
    <t>2/7C</t>
  </si>
  <si>
    <t>lien khu 2-10</t>
  </si>
  <si>
    <t>anh ho</t>
  </si>
  <si>
    <t>hd133382</t>
  </si>
  <si>
    <t>ten lua</t>
  </si>
  <si>
    <t>banh dau</t>
  </si>
  <si>
    <t>hd133680</t>
  </si>
  <si>
    <t>ds4</t>
  </si>
  <si>
    <t>hocmon</t>
  </si>
  <si>
    <t>anh nhi</t>
  </si>
  <si>
    <t>hd133765</t>
  </si>
  <si>
    <t>007 lo b</t>
  </si>
  <si>
    <t>cc tay thanh</t>
  </si>
  <si>
    <t>tphu</t>
  </si>
  <si>
    <t>ha phan</t>
  </si>
  <si>
    <t>hd133471</t>
  </si>
  <si>
    <t>V8-08</t>
  </si>
  <si>
    <t>diamond</t>
  </si>
  <si>
    <t>nguyen thanh van</t>
  </si>
  <si>
    <t>hd134022</t>
  </si>
  <si>
    <t>do doc long</t>
  </si>
  <si>
    <t>dao tran</t>
  </si>
  <si>
    <t>hd133595</t>
  </si>
  <si>
    <t>block E2</t>
  </si>
  <si>
    <t>duong N4</t>
  </si>
  <si>
    <t>kim ngan</t>
  </si>
  <si>
    <t>hd133814</t>
  </si>
  <si>
    <t>292/1,</t>
  </si>
  <si>
    <t>go dau</t>
  </si>
  <si>
    <t>trang nguyen</t>
  </si>
  <si>
    <t>hd133454</t>
  </si>
  <si>
    <t>cc diamond</t>
  </si>
  <si>
    <t>sanh b1</t>
  </si>
  <si>
    <t>thanh truc- chloe ha</t>
  </si>
  <si>
    <t>hd133394</t>
  </si>
  <si>
    <t>108/20/12,</t>
  </si>
  <si>
    <t>to hieu</t>
  </si>
  <si>
    <t>đơn trả 3-3</t>
  </si>
  <si>
    <t>đơn cũ ck</t>
  </si>
  <si>
    <t>T2.2.3.2026</t>
  </si>
  <si>
    <t>Tiền</t>
  </si>
  <si>
    <t>Số đơn</t>
  </si>
  <si>
    <t>Tiền hàng Thanh Toán</t>
  </si>
  <si>
    <t>Trừ Ship</t>
  </si>
  <si>
    <t>Cước xe</t>
  </si>
  <si>
    <t>Khách C.khoản</t>
  </si>
  <si>
    <t>Giảm tiền thu Khách</t>
  </si>
  <si>
    <t xml:space="preserve">Hàng Boom Trả </t>
  </si>
  <si>
    <t>Trừ đơn củ đã ck</t>
  </si>
  <si>
    <t xml:space="preserve">Tổng Tiền Hàng </t>
  </si>
  <si>
    <t>ĐƠN CK</t>
  </si>
  <si>
    <t>giang donna</t>
  </si>
  <si>
    <t>hd133288</t>
  </si>
  <si>
    <t>saigon</t>
  </si>
  <si>
    <t>phu thuan</t>
  </si>
  <si>
    <t>28-02-2026.</t>
  </si>
  <si>
    <t>giảm 100k</t>
  </si>
  <si>
    <t>THU 3</t>
  </si>
  <si>
    <t>NGAY 3-3</t>
  </si>
  <si>
    <t>trang cao</t>
  </si>
  <si>
    <t>hd134224</t>
  </si>
  <si>
    <t>le loi</t>
  </si>
  <si>
    <t>03-03-2026.</t>
  </si>
  <si>
    <t>dang ngoc anh phuong</t>
  </si>
  <si>
    <t>hd134135</t>
  </si>
  <si>
    <t>nguyen hue</t>
  </si>
  <si>
    <t>luu ngoc quyen</t>
  </si>
  <si>
    <t>hd134392</t>
  </si>
  <si>
    <t>24C</t>
  </si>
  <si>
    <t>truong dinh</t>
  </si>
  <si>
    <t>linh tran</t>
  </si>
  <si>
    <t>hd134133</t>
  </si>
  <si>
    <t>duong phuong thao</t>
  </si>
  <si>
    <t>hd134126</t>
  </si>
  <si>
    <t>ds49</t>
  </si>
  <si>
    <t>gộp, shop chiu ship</t>
  </si>
  <si>
    <t>hd134092</t>
  </si>
  <si>
    <t>gộp</t>
  </si>
  <si>
    <t>hai trieu</t>
  </si>
  <si>
    <t>hd134125</t>
  </si>
  <si>
    <t>cc le thi rieng</t>
  </si>
  <si>
    <t>nguyen duyen</t>
  </si>
  <si>
    <t>hd134171</t>
  </si>
  <si>
    <t>781/C2</t>
  </si>
  <si>
    <t>le hong phong</t>
  </si>
  <si>
    <t>nguyen phuong nhi</t>
  </si>
  <si>
    <t>hd134394</t>
  </si>
  <si>
    <t>18E</t>
  </si>
  <si>
    <t>cong hoa</t>
  </si>
  <si>
    <t>ngoc dung</t>
  </si>
  <si>
    <t>hd134128</t>
  </si>
  <si>
    <t>652/14,</t>
  </si>
  <si>
    <t>dang minh thu</t>
  </si>
  <si>
    <t>hd134139</t>
  </si>
  <si>
    <t>37/2b</t>
  </si>
  <si>
    <t>duong C18</t>
  </si>
  <si>
    <t>thi vo</t>
  </si>
  <si>
    <t>hd134434</t>
  </si>
  <si>
    <t>ngo thi thu minh</t>
  </si>
  <si>
    <t>lily lim</t>
  </si>
  <si>
    <t>hd134192</t>
  </si>
  <si>
    <t>tran van du</t>
  </si>
  <si>
    <t>nguyen thi thanh ha</t>
  </si>
  <si>
    <t>hd134425</t>
  </si>
  <si>
    <t>cc scenic</t>
  </si>
  <si>
    <t>block B</t>
  </si>
  <si>
    <t>AT 3-3</t>
  </si>
  <si>
    <t>phan thuy trinh</t>
  </si>
  <si>
    <t>hd134280</t>
  </si>
  <si>
    <t>cc eco</t>
  </si>
  <si>
    <t>block E</t>
  </si>
  <si>
    <t>nguyen ai chuc</t>
  </si>
  <si>
    <t>hd134308</t>
  </si>
  <si>
    <t>nguyen luong bang</t>
  </si>
  <si>
    <t>thy mai</t>
  </si>
  <si>
    <t>hd134218</t>
  </si>
  <si>
    <t>nguyen van tuong</t>
  </si>
  <si>
    <t>dieu bui</t>
  </si>
  <si>
    <t>hd134398</t>
  </si>
  <si>
    <t>103A</t>
  </si>
  <si>
    <t>phan huy thuc</t>
  </si>
  <si>
    <t>thao</t>
  </si>
  <si>
    <t>hd134380</t>
  </si>
  <si>
    <t>258/21,</t>
  </si>
  <si>
    <t>duong ba trac</t>
  </si>
  <si>
    <t>gull le</t>
  </si>
  <si>
    <t>hd134156</t>
  </si>
  <si>
    <t>90/31,</t>
  </si>
  <si>
    <t>kim mc</t>
  </si>
  <si>
    <t>hd134364</t>
  </si>
  <si>
    <t>38/22/5,</t>
  </si>
  <si>
    <t>ly thuong kiet</t>
  </si>
  <si>
    <t>be be</t>
  </si>
  <si>
    <t>hd134187</t>
  </si>
  <si>
    <t>50/14b</t>
  </si>
  <si>
    <t>hoa binh</t>
  </si>
  <si>
    <t>BN6994</t>
  </si>
  <si>
    <t>truong thi hoa</t>
  </si>
  <si>
    <t>han pham</t>
  </si>
  <si>
    <t>hd134276</t>
  </si>
  <si>
    <t>C6/26,</t>
  </si>
  <si>
    <t>thi tran tan tuc</t>
  </si>
  <si>
    <t>thea thinh truong</t>
  </si>
  <si>
    <t>hd134085</t>
  </si>
  <si>
    <t>19b</t>
  </si>
  <si>
    <t>ds16a</t>
  </si>
  <si>
    <t>suri nguyen</t>
  </si>
  <si>
    <t>hd134374</t>
  </si>
  <si>
    <t>ds24b</t>
  </si>
  <si>
    <t>jessica chau</t>
  </si>
  <si>
    <t>hd134189</t>
  </si>
  <si>
    <t>ds32a</t>
  </si>
  <si>
    <t>kh ck 470</t>
  </si>
  <si>
    <t>heng roze</t>
  </si>
  <si>
    <t>hd134151</t>
  </si>
  <si>
    <t>315/18/6,</t>
  </si>
  <si>
    <t>nguyen thi tu</t>
  </si>
  <si>
    <t>mc sanita ma</t>
  </si>
  <si>
    <t>hd134337</t>
  </si>
  <si>
    <t>nguyen hoang mi</t>
  </si>
  <si>
    <t>hd134201</t>
  </si>
  <si>
    <t>743/37,</t>
  </si>
  <si>
    <t>tinh lo 10</t>
  </si>
  <si>
    <t>dang- kim lee</t>
  </si>
  <si>
    <t>hd134175</t>
  </si>
  <si>
    <t>3/44,</t>
  </si>
  <si>
    <t>ap nhi tan</t>
  </si>
  <si>
    <t>dung nguyen</t>
  </si>
  <si>
    <t>hd134112</t>
  </si>
  <si>
    <t>322/8,</t>
  </si>
  <si>
    <t>dao su tich</t>
  </si>
  <si>
    <t>nha be</t>
  </si>
  <si>
    <t>thuy minhon</t>
  </si>
  <si>
    <t>hd134249</t>
  </si>
  <si>
    <t>cay keo</t>
  </si>
  <si>
    <t>yuyu chag</t>
  </si>
  <si>
    <t>hd134134</t>
  </si>
  <si>
    <t>cc 584</t>
  </si>
  <si>
    <t>luy ban bich</t>
  </si>
  <si>
    <t>huynh to quyen</t>
  </si>
  <si>
    <t>hd134423</t>
  </si>
  <si>
    <t>tan son nhi</t>
  </si>
  <si>
    <t>hd134432</t>
  </si>
  <si>
    <t>hoa nguyen</t>
  </si>
  <si>
    <t>hd134199</t>
  </si>
  <si>
    <t>11/2A</t>
  </si>
  <si>
    <t>vuon lai</t>
  </si>
  <si>
    <t>huynh thanh thanh</t>
  </si>
  <si>
    <t>hd134378</t>
  </si>
  <si>
    <t>26/2,</t>
  </si>
  <si>
    <t>ds36</t>
  </si>
  <si>
    <t>thuy</t>
  </si>
  <si>
    <t>hd134194</t>
  </si>
  <si>
    <t>cc parcspring</t>
  </si>
  <si>
    <t>nguyen duy trinh</t>
  </si>
  <si>
    <t>nam nguyen</t>
  </si>
  <si>
    <t>hd134421</t>
  </si>
  <si>
    <t>236/28A</t>
  </si>
  <si>
    <t>dien bien phu</t>
  </si>
  <si>
    <t>đổi hàng</t>
  </si>
  <si>
    <t>vy nhat ha</t>
  </si>
  <si>
    <t>hd134091</t>
  </si>
  <si>
    <t>landmark 1</t>
  </si>
  <si>
    <t>vinhone</t>
  </si>
  <si>
    <t>le hong ngoc</t>
  </si>
  <si>
    <t>hd134213</t>
  </si>
  <si>
    <t>cc khang gia</t>
  </si>
  <si>
    <t xml:space="preserve">jenny </t>
  </si>
  <si>
    <t>quang trung</t>
  </si>
  <si>
    <t>lisa</t>
  </si>
  <si>
    <t>665/2,</t>
  </si>
  <si>
    <t>ngyen thi diem trang</t>
  </si>
  <si>
    <t>hd134391</t>
  </si>
  <si>
    <t>cc lavita</t>
  </si>
  <si>
    <t>T3.3.3.2026</t>
  </si>
  <si>
    <t>đơn ck</t>
  </si>
  <si>
    <t>THU 4</t>
  </si>
  <si>
    <t>NGYA 4-3</t>
  </si>
  <si>
    <t>thu thuy le</t>
  </si>
  <si>
    <t>hd134795</t>
  </si>
  <si>
    <t>ba le chan</t>
  </si>
  <si>
    <t>04-03-2026.</t>
  </si>
  <si>
    <t>to to</t>
  </si>
  <si>
    <t>hd134567</t>
  </si>
  <si>
    <t>le thi rieng</t>
  </si>
  <si>
    <t>shop chiu ship</t>
  </si>
  <si>
    <t>nguyen my</t>
  </si>
  <si>
    <t>hd134587</t>
  </si>
  <si>
    <t>tk18/3,</t>
  </si>
  <si>
    <t>nguyen canh chan</t>
  </si>
  <si>
    <t>thuy trang</t>
  </si>
  <si>
    <t>hd134597</t>
  </si>
  <si>
    <t>2A</t>
  </si>
  <si>
    <t>ton duc thang</t>
  </si>
  <si>
    <t>35/15A</t>
  </si>
  <si>
    <t>tran dinh xu</t>
  </si>
  <si>
    <t>lấy hàng về cho shop</t>
  </si>
  <si>
    <t>nhi nhi</t>
  </si>
  <si>
    <t>hd134584</t>
  </si>
  <si>
    <t>16/6,</t>
  </si>
  <si>
    <t>tran qaung dieu</t>
  </si>
  <si>
    <t>nguyen nguyen</t>
  </si>
  <si>
    <t>ton dan</t>
  </si>
  <si>
    <t>sakura</t>
  </si>
  <si>
    <t>hd134711</t>
  </si>
  <si>
    <t>vinh hoi</t>
  </si>
  <si>
    <t>mtt</t>
  </si>
  <si>
    <t>hd134835</t>
  </si>
  <si>
    <t>7A/162,</t>
  </si>
  <si>
    <t>thanh thai</t>
  </si>
  <si>
    <t>nguyen minh thu</t>
  </si>
  <si>
    <t>hd134557</t>
  </si>
  <si>
    <t>co lai</t>
  </si>
  <si>
    <t>hd134658</t>
  </si>
  <si>
    <t>cc hqc</t>
  </si>
  <si>
    <t>ds63</t>
  </si>
  <si>
    <t>nguyen thi my phuc</t>
  </si>
  <si>
    <t>hd134503</t>
  </si>
  <si>
    <t>nguyen kim phuong</t>
  </si>
  <si>
    <t>hd134612</t>
  </si>
  <si>
    <t>truong van bang</t>
  </si>
  <si>
    <t>hd134443</t>
  </si>
  <si>
    <t>ngan chau</t>
  </si>
  <si>
    <t>hd134789</t>
  </si>
  <si>
    <t>207C</t>
  </si>
  <si>
    <t>nguyen xi</t>
  </si>
  <si>
    <t>kim chi</t>
  </si>
  <si>
    <t>hd134347</t>
  </si>
  <si>
    <t>50D</t>
  </si>
  <si>
    <t>tran binh trong</t>
  </si>
  <si>
    <t>candy tran</t>
  </si>
  <si>
    <t>hd134792</t>
  </si>
  <si>
    <t>160/12,</t>
  </si>
  <si>
    <t>van kiep</t>
  </si>
  <si>
    <t>ngoc thach</t>
  </si>
  <si>
    <t>hd134740</t>
  </si>
  <si>
    <t>92/45/76,</t>
  </si>
  <si>
    <t>thom thom</t>
  </si>
  <si>
    <t>hd134810</t>
  </si>
  <si>
    <t>ng van cong</t>
  </si>
  <si>
    <t>truc trieu</t>
  </si>
  <si>
    <t>hd134753</t>
  </si>
  <si>
    <t>so nha A6</t>
  </si>
  <si>
    <t>ds3</t>
  </si>
  <si>
    <t>mai van</t>
  </si>
  <si>
    <t>hd134484</t>
  </si>
  <si>
    <t>fujji</t>
  </si>
  <si>
    <t>do xuan hop</t>
  </si>
  <si>
    <t>275/14b1</t>
  </si>
  <si>
    <t>AT 4-3</t>
  </si>
  <si>
    <t>thanh tran</t>
  </si>
  <si>
    <t>hd134577</t>
  </si>
  <si>
    <t>ds17</t>
  </si>
  <si>
    <t>kh ck 845</t>
  </si>
  <si>
    <t>nhi le</t>
  </si>
  <si>
    <t>hd134542</t>
  </si>
  <si>
    <t>743/11/10,</t>
  </si>
  <si>
    <t>hong bang</t>
  </si>
  <si>
    <t>ha vy</t>
  </si>
  <si>
    <t>hd134778</t>
  </si>
  <si>
    <t>le truc</t>
  </si>
  <si>
    <t>bao tran</t>
  </si>
  <si>
    <t>hd134596</t>
  </si>
  <si>
    <t>cc grand</t>
  </si>
  <si>
    <t>ds16</t>
  </si>
  <si>
    <t>thao my</t>
  </si>
  <si>
    <t>hd134779</t>
  </si>
  <si>
    <t>cc phu my</t>
  </si>
  <si>
    <t>yen chau</t>
  </si>
  <si>
    <t>hd134822</t>
  </si>
  <si>
    <t>cc florita</t>
  </si>
  <si>
    <t>duong D4</t>
  </si>
  <si>
    <t>xuan tu</t>
  </si>
  <si>
    <t>hd134785</t>
  </si>
  <si>
    <t>nguyen huu tho</t>
  </si>
  <si>
    <t>ngoc venus</t>
  </si>
  <si>
    <t>hd134444</t>
  </si>
  <si>
    <t>pho tieu nam</t>
  </si>
  <si>
    <t>nguyen le truc ly</t>
  </si>
  <si>
    <t>hd134815</t>
  </si>
  <si>
    <t>thap 2</t>
  </si>
  <si>
    <t>river panaroma</t>
  </si>
  <si>
    <t>kieu thu</t>
  </si>
  <si>
    <t>hd134501</t>
  </si>
  <si>
    <t>cc topaz</t>
  </si>
  <si>
    <t>duong 9</t>
  </si>
  <si>
    <t>hd134448</t>
  </si>
  <si>
    <t>nguyen duy</t>
  </si>
  <si>
    <t>kim tuyen</t>
  </si>
  <si>
    <t>hd134758</t>
  </si>
  <si>
    <t>451/40,</t>
  </si>
  <si>
    <t>pham the hien</t>
  </si>
  <si>
    <t>hd134546</t>
  </si>
  <si>
    <t>phuong tang nhon phu</t>
  </si>
  <si>
    <t>tan phu</t>
  </si>
  <si>
    <t>w3220</t>
  </si>
  <si>
    <t>hd134773</t>
  </si>
  <si>
    <t>charri</t>
  </si>
  <si>
    <t>hd134536</t>
  </si>
  <si>
    <t>huyen do</t>
  </si>
  <si>
    <t>hd134817</t>
  </si>
  <si>
    <t>160/29/28,</t>
  </si>
  <si>
    <t>ds11</t>
  </si>
  <si>
    <t>sokna</t>
  </si>
  <si>
    <t>hd134335</t>
  </si>
  <si>
    <t>ql1a</t>
  </si>
  <si>
    <t>yen doan</t>
  </si>
  <si>
    <t>hd134689</t>
  </si>
  <si>
    <t>cc richstar</t>
  </si>
  <si>
    <t>ngan ha</t>
  </si>
  <si>
    <t>hd134786</t>
  </si>
  <si>
    <t>125/12,</t>
  </si>
  <si>
    <t>le van phan</t>
  </si>
  <si>
    <t>thai thai trang</t>
  </si>
  <si>
    <t>hd134812</t>
  </si>
  <si>
    <t>111/2A</t>
  </si>
  <si>
    <t>ly thanh tong</t>
  </si>
  <si>
    <t>thuy vy</t>
  </si>
  <si>
    <t>hd134769</t>
  </si>
  <si>
    <t>cc ruby</t>
  </si>
  <si>
    <t>tan thang</t>
  </si>
  <si>
    <t>aren pre</t>
  </si>
  <si>
    <t>hd134093</t>
  </si>
  <si>
    <t>40/3,</t>
  </si>
  <si>
    <t>tan thanh</t>
  </si>
  <si>
    <t>T4.4.3.2026</t>
  </si>
  <si>
    <t>THU 5</t>
  </si>
  <si>
    <t>NGAY 5-3</t>
  </si>
  <si>
    <t>cam tu</t>
  </si>
  <si>
    <t>hd135075</t>
  </si>
  <si>
    <t>ng trai</t>
  </si>
  <si>
    <t>05-03-2026.</t>
  </si>
  <si>
    <t>do tran thien trang</t>
  </si>
  <si>
    <t>hd135200</t>
  </si>
  <si>
    <t>duong 3/2</t>
  </si>
  <si>
    <t>ngoc yen</t>
  </si>
  <si>
    <t>hd134978</t>
  </si>
  <si>
    <t>84/6,</t>
  </si>
  <si>
    <t>ho thi ky</t>
  </si>
  <si>
    <t>kh ck 1325</t>
  </si>
  <si>
    <t>nguyen tam anh</t>
  </si>
  <si>
    <t>hd135162</t>
  </si>
  <si>
    <t>189/22,</t>
  </si>
  <si>
    <t>daisy le</t>
  </si>
  <si>
    <t>hd134907</t>
  </si>
  <si>
    <t>418/4,</t>
  </si>
  <si>
    <t>truong sa</t>
  </si>
  <si>
    <t>huyen minhh</t>
  </si>
  <si>
    <t>hd135005</t>
  </si>
  <si>
    <t>27/5,</t>
  </si>
  <si>
    <t>yumi huynh</t>
  </si>
  <si>
    <t>hd135001</t>
  </si>
  <si>
    <t>linh</t>
  </si>
  <si>
    <t>97A</t>
  </si>
  <si>
    <t>ds22</t>
  </si>
  <si>
    <t>thuong 1994</t>
  </si>
  <si>
    <t>S501</t>
  </si>
  <si>
    <t>vinhome</t>
  </si>
  <si>
    <t>do thi kim luyen</t>
  </si>
  <si>
    <t>hd134741</t>
  </si>
  <si>
    <t>minh xoan</t>
  </si>
  <si>
    <t>hd135000</t>
  </si>
  <si>
    <t>199/3,</t>
  </si>
  <si>
    <t>le quang dinh</t>
  </si>
  <si>
    <t>hong le</t>
  </si>
  <si>
    <t>hd135095</t>
  </si>
  <si>
    <t>landmark 4</t>
  </si>
  <si>
    <t>binh huong</t>
  </si>
  <si>
    <t>hd135165</t>
  </si>
  <si>
    <t>ds44</t>
  </si>
  <si>
    <t>dung vuu</t>
  </si>
  <si>
    <t>hd134993</t>
  </si>
  <si>
    <t>566/72/67C</t>
  </si>
  <si>
    <t>nguyen thai son</t>
  </si>
  <si>
    <t>ngoc bich</t>
  </si>
  <si>
    <t>hd135087</t>
  </si>
  <si>
    <t>82/4/2,</t>
  </si>
  <si>
    <t>ds2</t>
  </si>
  <si>
    <t>hd134906</t>
  </si>
  <si>
    <t>nhi- dau dau</t>
  </si>
  <si>
    <t>hd135195</t>
  </si>
  <si>
    <t>ds6</t>
  </si>
  <si>
    <t>hd135192</t>
  </si>
  <si>
    <t>phan nhi</t>
  </si>
  <si>
    <t>hd134848</t>
  </si>
  <si>
    <t>107/189,</t>
  </si>
  <si>
    <t>pam pam</t>
  </si>
  <si>
    <t>hd134963</t>
  </si>
  <si>
    <t>97/2,</t>
  </si>
  <si>
    <t>ly chieu hoang</t>
  </si>
  <si>
    <t>AT 5-3</t>
  </si>
  <si>
    <t>nhung le</t>
  </si>
  <si>
    <t>hd135071</t>
  </si>
  <si>
    <t>kh ck 880</t>
  </si>
  <si>
    <t>huyen huyen</t>
  </si>
  <si>
    <t>hd134904</t>
  </si>
  <si>
    <t>dao tri</t>
  </si>
  <si>
    <t>hd134918</t>
  </si>
  <si>
    <t>cc grande m5</t>
  </si>
  <si>
    <t>duyen</t>
  </si>
  <si>
    <t>176/14/12,</t>
  </si>
  <si>
    <t>ng thi thap</t>
  </si>
  <si>
    <t>pong pong</t>
  </si>
  <si>
    <t>hd134490</t>
  </si>
  <si>
    <t>1491/9</t>
  </si>
  <si>
    <t>kim xuyen</t>
  </si>
  <si>
    <t>hd134898</t>
  </si>
  <si>
    <t>ngoc tuyen nguyen</t>
  </si>
  <si>
    <t>hd135028</t>
  </si>
  <si>
    <t>tru so mwg</t>
  </si>
  <si>
    <t>duong D1</t>
  </si>
  <si>
    <t>ruby ruby</t>
  </si>
  <si>
    <t>hd135090</t>
  </si>
  <si>
    <t>hd134976</t>
  </si>
  <si>
    <t>nguyen thu thao</t>
  </si>
  <si>
    <t>hd135167</t>
  </si>
  <si>
    <t>garede</t>
  </si>
  <si>
    <t>kiki xu</t>
  </si>
  <si>
    <t>hd134867</t>
  </si>
  <si>
    <t>97/50F</t>
  </si>
  <si>
    <t>pham phu thu</t>
  </si>
  <si>
    <t>đơn trả 6-3</t>
  </si>
  <si>
    <t>T5.5.3.2026</t>
  </si>
  <si>
    <t>THU 6</t>
  </si>
  <si>
    <t>NGAY 6-3</t>
  </si>
  <si>
    <t>phuong trinh</t>
  </si>
  <si>
    <t>hd135665</t>
  </si>
  <si>
    <t>06-03-2026.</t>
  </si>
  <si>
    <t>yen le</t>
  </si>
  <si>
    <t>hd135426</t>
  </si>
  <si>
    <t>nkkn</t>
  </si>
  <si>
    <t>mai vo</t>
  </si>
  <si>
    <t>hd135540</t>
  </si>
  <si>
    <t>372/15/13B</t>
  </si>
  <si>
    <t>cmt3</t>
  </si>
  <si>
    <t>thanh truc</t>
  </si>
  <si>
    <t>hd135639</t>
  </si>
  <si>
    <t>nguyen dinh chieu</t>
  </si>
  <si>
    <t>pham vo ngoc anh</t>
  </si>
  <si>
    <t>hd135542</t>
  </si>
  <si>
    <t>92/30,</t>
  </si>
  <si>
    <t>pham ngoc thach</t>
  </si>
  <si>
    <t>nguyen lun</t>
  </si>
  <si>
    <t>hd135297</t>
  </si>
  <si>
    <t>an binh</t>
  </si>
  <si>
    <t>xe khai nam</t>
  </si>
  <si>
    <t>cambodia</t>
  </si>
  <si>
    <t>phuong thao</t>
  </si>
  <si>
    <t>hd135318</t>
  </si>
  <si>
    <t>meng lay</t>
  </si>
  <si>
    <t>hd135228</t>
  </si>
  <si>
    <t>45/6/2,</t>
  </si>
  <si>
    <t>ly tran</t>
  </si>
  <si>
    <t>hd135658</t>
  </si>
  <si>
    <t>nhat tao</t>
  </si>
  <si>
    <t>kh ck 1405</t>
  </si>
  <si>
    <t>yen yen</t>
  </si>
  <si>
    <t>hd135553</t>
  </si>
  <si>
    <t>hd135203</t>
  </si>
  <si>
    <t>kim nhung</t>
  </si>
  <si>
    <t>hd135289</t>
  </si>
  <si>
    <t>229A</t>
  </si>
  <si>
    <t>bui thi xuan</t>
  </si>
  <si>
    <t>thuy duy</t>
  </si>
  <si>
    <t>hd135501</t>
  </si>
  <si>
    <t>nhat chi mai</t>
  </si>
  <si>
    <t>minh tue</t>
  </si>
  <si>
    <t>quach van taun</t>
  </si>
  <si>
    <t>ngoc vinh</t>
  </si>
  <si>
    <t>hd135248</t>
  </si>
  <si>
    <t>truong son</t>
  </si>
  <si>
    <t>ds53</t>
  </si>
  <si>
    <t>AT 6-3</t>
  </si>
  <si>
    <t>ruan feng</t>
  </si>
  <si>
    <t>hd135287</t>
  </si>
  <si>
    <t>ds23</t>
  </si>
  <si>
    <t>trang angel</t>
  </si>
  <si>
    <t>dh135362</t>
  </si>
  <si>
    <t>ds2b</t>
  </si>
  <si>
    <t>mai huyen</t>
  </si>
  <si>
    <t>hd134260</t>
  </si>
  <si>
    <t>ny nguyen</t>
  </si>
  <si>
    <t>hd135270</t>
  </si>
  <si>
    <t>thuy- barbie pham</t>
  </si>
  <si>
    <t>hd135279</t>
  </si>
  <si>
    <t>vo thi yen linh</t>
  </si>
  <si>
    <t>hd135209</t>
  </si>
  <si>
    <t>cong dong 3</t>
  </si>
  <si>
    <t>pham van nghi</t>
  </si>
  <si>
    <t>tran thi bich diem</t>
  </si>
  <si>
    <t>hd135481</t>
  </si>
  <si>
    <t>cc viva</t>
  </si>
  <si>
    <t>tan my</t>
  </si>
  <si>
    <t>huyen trang tran</t>
  </si>
  <si>
    <t>hd135317</t>
  </si>
  <si>
    <t>39/34,</t>
  </si>
  <si>
    <t>da nam</t>
  </si>
  <si>
    <t>elena nguyen</t>
  </si>
  <si>
    <t>hd135646</t>
  </si>
  <si>
    <t>56/41,</t>
  </si>
  <si>
    <t>minh thu</t>
  </si>
  <si>
    <t>hd135247</t>
  </si>
  <si>
    <t>6/24,</t>
  </si>
  <si>
    <t>tan chanh hiep 36</t>
  </si>
  <si>
    <t>hd135239</t>
  </si>
  <si>
    <t>yen</t>
  </si>
  <si>
    <t>hd135283</t>
  </si>
  <si>
    <t>ds28</t>
  </si>
  <si>
    <t>mai bui</t>
  </si>
  <si>
    <t>hd135373</t>
  </si>
  <si>
    <t>840/49,</t>
  </si>
  <si>
    <t>hd134884</t>
  </si>
  <si>
    <t>539/22,</t>
  </si>
  <si>
    <t>huong lo 3</t>
  </si>
  <si>
    <t>hanh tran</t>
  </si>
  <si>
    <t>hd135509</t>
  </si>
  <si>
    <t>cc tecco</t>
  </si>
  <si>
    <t>nguyen cuu phu</t>
  </si>
  <si>
    <t>hd135644</t>
  </si>
  <si>
    <t>A5/16A</t>
  </si>
  <si>
    <t>hd134959</t>
  </si>
  <si>
    <t xml:space="preserve">anna </t>
  </si>
  <si>
    <t>hd135329</t>
  </si>
  <si>
    <t xml:space="preserve">the silver </t>
  </si>
  <si>
    <t>punlork</t>
  </si>
  <si>
    <t>xe phy phy</t>
  </si>
  <si>
    <t>hd135572</t>
  </si>
  <si>
    <t>dao kim cuong</t>
  </si>
  <si>
    <t>binh trung tay</t>
  </si>
  <si>
    <t>yen nhi</t>
  </si>
  <si>
    <t>hd135291</t>
  </si>
  <si>
    <t>17/9,</t>
  </si>
  <si>
    <t>ds59</t>
  </si>
  <si>
    <t>quynh tay</t>
  </si>
  <si>
    <t>hd135722</t>
  </si>
  <si>
    <t>empire</t>
  </si>
  <si>
    <t>toa tilla</t>
  </si>
  <si>
    <t>andy shik</t>
  </si>
  <si>
    <t>hd135641</t>
  </si>
  <si>
    <t>do anh duong</t>
  </si>
  <si>
    <t>hd135674</t>
  </si>
  <si>
    <t>lynn le</t>
  </si>
  <si>
    <t>hd135640</t>
  </si>
  <si>
    <t>nguyen van dau</t>
  </si>
  <si>
    <t>phuong mai</t>
  </si>
  <si>
    <t>hd135474</t>
  </si>
  <si>
    <t>433/11/2,</t>
  </si>
  <si>
    <t>le duc tho</t>
  </si>
  <si>
    <t>judy judy</t>
  </si>
  <si>
    <t>hd135320</t>
  </si>
  <si>
    <t>ho thanh phuong</t>
  </si>
  <si>
    <t>hd135211</t>
  </si>
  <si>
    <t>158/56/21,</t>
  </si>
  <si>
    <t>jenny</t>
  </si>
  <si>
    <t>hd135311</t>
  </si>
  <si>
    <t>nguyen thi tuy tam</t>
  </si>
  <si>
    <t>hd135137</t>
  </si>
  <si>
    <t>435/7/10,</t>
  </si>
  <si>
    <t>thong nhat</t>
  </si>
  <si>
    <t>muoi muoi</t>
  </si>
  <si>
    <t>hd135330</t>
  </si>
  <si>
    <t>74/4,</t>
  </si>
  <si>
    <t>tran thai tong</t>
  </si>
  <si>
    <t>nguyen vo thao nguyen</t>
  </si>
  <si>
    <t>hd135503</t>
  </si>
  <si>
    <t>ds39</t>
  </si>
  <si>
    <t>ngoc anh</t>
  </si>
  <si>
    <t>hd135652</t>
  </si>
  <si>
    <t>toa aster</t>
  </si>
  <si>
    <t>urben</t>
  </si>
  <si>
    <t>phuong</t>
  </si>
  <si>
    <t>hd135480</t>
  </si>
  <si>
    <t>bui thi cam dung</t>
  </si>
  <si>
    <t>hd135104</t>
  </si>
  <si>
    <t>t2-35</t>
  </si>
  <si>
    <t>hd135374</t>
  </si>
  <si>
    <t>đơn trả 7-3</t>
  </si>
  <si>
    <t>T6.6.3.2026</t>
  </si>
  <si>
    <t>kh ck 695</t>
  </si>
  <si>
    <t>THU 7</t>
  </si>
  <si>
    <t>NGAY 7-3</t>
  </si>
  <si>
    <t>hilarry nguyen</t>
  </si>
  <si>
    <t>hd136116</t>
  </si>
  <si>
    <t>A25</t>
  </si>
  <si>
    <t>hai ba trung</t>
  </si>
  <si>
    <t>07-03-2026.</t>
  </si>
  <si>
    <t>linh- sua sua</t>
  </si>
  <si>
    <t>hd135858</t>
  </si>
  <si>
    <t>nguyen cong tru</t>
  </si>
  <si>
    <t>my ngo</t>
  </si>
  <si>
    <t>hd135903</t>
  </si>
  <si>
    <t>233/17,</t>
  </si>
  <si>
    <t>nguyen trai</t>
  </si>
  <si>
    <t>pham huynh</t>
  </si>
  <si>
    <t>hd135925</t>
  </si>
  <si>
    <t>pham hong thai</t>
  </si>
  <si>
    <t>chi huyen</t>
  </si>
  <si>
    <t>hd135930</t>
  </si>
  <si>
    <t>8A/9B1</t>
  </si>
  <si>
    <t>thai van lung</t>
  </si>
  <si>
    <t>nhy le</t>
  </si>
  <si>
    <t>hd135625</t>
  </si>
  <si>
    <t>nguyen son ha</t>
  </si>
  <si>
    <t>ngoc linh</t>
  </si>
  <si>
    <t>hd136144</t>
  </si>
  <si>
    <t>47/6,</t>
  </si>
  <si>
    <t>hoang linh</t>
  </si>
  <si>
    <t>hd135976</t>
  </si>
  <si>
    <t>108/69A</t>
  </si>
  <si>
    <t>tran quang dieu</t>
  </si>
  <si>
    <t>tu nguyen</t>
  </si>
  <si>
    <t>hd136072</t>
  </si>
  <si>
    <t>inst- bee</t>
  </si>
  <si>
    <t>hd136125</t>
  </si>
  <si>
    <t>k chi lam</t>
  </si>
  <si>
    <t>hd135890</t>
  </si>
  <si>
    <t>cc155</t>
  </si>
  <si>
    <t>thuong thuong</t>
  </si>
  <si>
    <t>hd136118</t>
  </si>
  <si>
    <t>193/12,</t>
  </si>
  <si>
    <t>ba hat</t>
  </si>
  <si>
    <t>phan huong giang</t>
  </si>
  <si>
    <t>hd136150</t>
  </si>
  <si>
    <t>312/26,</t>
  </si>
  <si>
    <t>ngo gia tu</t>
  </si>
  <si>
    <t>hd136127</t>
  </si>
  <si>
    <t>le thi my quyen</t>
  </si>
  <si>
    <t>hd136143</t>
  </si>
  <si>
    <t>hanh nguyen</t>
  </si>
  <si>
    <t>hd136117</t>
  </si>
  <si>
    <t>243/2h</t>
  </si>
  <si>
    <t>phan dinh phung</t>
  </si>
  <si>
    <t>CUS19950</t>
  </si>
  <si>
    <t>hd135748</t>
  </si>
  <si>
    <t>270B</t>
  </si>
  <si>
    <t>napastorn7416</t>
  </si>
  <si>
    <t>hd135949</t>
  </si>
  <si>
    <t>AT 7-3</t>
  </si>
  <si>
    <t>nguyen thach thao</t>
  </si>
  <si>
    <t>hau giang</t>
  </si>
  <si>
    <t>han nina</t>
  </si>
  <si>
    <t>hd135968</t>
  </si>
  <si>
    <t>13/8,</t>
  </si>
  <si>
    <t>chi nhung</t>
  </si>
  <si>
    <t>thanh hang</t>
  </si>
  <si>
    <t>hd135867</t>
  </si>
  <si>
    <t>annie annie</t>
  </si>
  <si>
    <t>hd135902</t>
  </si>
  <si>
    <t>ngoc phuong</t>
  </si>
  <si>
    <t>hd136091</t>
  </si>
  <si>
    <t>the grand</t>
  </si>
  <si>
    <t>tam truong</t>
  </si>
  <si>
    <t>hd136106</t>
  </si>
  <si>
    <t>the antino</t>
  </si>
  <si>
    <t>thao nguyen</t>
  </si>
  <si>
    <t>hd136131</t>
  </si>
  <si>
    <t>cc garden court</t>
  </si>
  <si>
    <t>hd136111</t>
  </si>
  <si>
    <t>hd136114</t>
  </si>
  <si>
    <t>tung thien vuogn</t>
  </si>
  <si>
    <t>chang chang</t>
  </si>
  <si>
    <t>hd136119</t>
  </si>
  <si>
    <t>vo liem son</t>
  </si>
  <si>
    <t>hd135828</t>
  </si>
  <si>
    <t>W3099</t>
  </si>
  <si>
    <t>hd135809</t>
  </si>
  <si>
    <t>hd135954</t>
  </si>
  <si>
    <t>chaarri</t>
  </si>
  <si>
    <t>hd135607</t>
  </si>
  <si>
    <t>le kim khoe</t>
  </si>
  <si>
    <t>hd135851</t>
  </si>
  <si>
    <t>block C</t>
  </si>
  <si>
    <t>cc conic dong a</t>
  </si>
  <si>
    <t>be my</t>
  </si>
  <si>
    <t>hd135820</t>
  </si>
  <si>
    <t>304/45,</t>
  </si>
  <si>
    <t>hd136033</t>
  </si>
  <si>
    <t>hd136136</t>
  </si>
  <si>
    <t>amy claura</t>
  </si>
  <si>
    <t>hd135726</t>
  </si>
  <si>
    <t>ut nho</t>
  </si>
  <si>
    <t>hd136050</t>
  </si>
  <si>
    <t>24/5f</t>
  </si>
  <si>
    <t>ap dong lan</t>
  </si>
  <si>
    <t>ngo kieu</t>
  </si>
  <si>
    <t>hd135742</t>
  </si>
  <si>
    <t>be van dan</t>
  </si>
  <si>
    <t>cheata domo</t>
  </si>
  <si>
    <t>nong hieu</t>
  </si>
  <si>
    <t>hd135753</t>
  </si>
  <si>
    <t>67/1,</t>
  </si>
  <si>
    <t>duong d9</t>
  </si>
  <si>
    <t>ngan</t>
  </si>
  <si>
    <t>hd135799</t>
  </si>
  <si>
    <t>nguyen thien ly</t>
  </si>
  <si>
    <t>hd135815</t>
  </si>
  <si>
    <t>masteri thao dien</t>
  </si>
  <si>
    <t>toa T1</t>
  </si>
  <si>
    <t>thu phung</t>
  </si>
  <si>
    <t>hd135626</t>
  </si>
  <si>
    <t>cc lumiere</t>
  </si>
  <si>
    <t>vo truong toan</t>
  </si>
  <si>
    <t>phuc nguyen thanh</t>
  </si>
  <si>
    <t>hd135960</t>
  </si>
  <si>
    <t>L4</t>
  </si>
  <si>
    <t>tram- hoa do uyen</t>
  </si>
  <si>
    <t>hd135982</t>
  </si>
  <si>
    <t>32/87,</t>
  </si>
  <si>
    <t>le thi hong</t>
  </si>
  <si>
    <t>uyen nhi</t>
  </si>
  <si>
    <t>hd135816</t>
  </si>
  <si>
    <t>lin</t>
  </si>
  <si>
    <t>hd135876</t>
  </si>
  <si>
    <t>ivy huyen</t>
  </si>
  <si>
    <t>anh dao- ngo thu</t>
  </si>
  <si>
    <t>hd136070</t>
  </si>
  <si>
    <t>tan hai</t>
  </si>
  <si>
    <t>duyen my</t>
  </si>
  <si>
    <t>hd136089</t>
  </si>
  <si>
    <t>268/18a</t>
  </si>
  <si>
    <t>le van viet</t>
  </si>
  <si>
    <t>kha han</t>
  </si>
  <si>
    <t>hd136074</t>
  </si>
  <si>
    <t>cc flora kikyo</t>
  </si>
  <si>
    <t>phu huu</t>
  </si>
  <si>
    <t>le thuy duong</t>
  </si>
  <si>
    <t>hd136073</t>
  </si>
  <si>
    <t>T7.7.3.2026</t>
  </si>
  <si>
    <t>kh ck 1765</t>
  </si>
  <si>
    <t>NGAY 9-3</t>
  </si>
  <si>
    <t>trinh</t>
  </si>
  <si>
    <t>hd136672</t>
  </si>
  <si>
    <t>162A/1,</t>
  </si>
  <si>
    <t>09-03-2026.</t>
  </si>
  <si>
    <t>nguyen thi nhu y</t>
  </si>
  <si>
    <t>hd136498</t>
  </si>
  <si>
    <t>co bac</t>
  </si>
  <si>
    <t>hd136278</t>
  </si>
  <si>
    <t>ny</t>
  </si>
  <si>
    <t>hd136604</t>
  </si>
  <si>
    <t>pham ngu lao</t>
  </si>
  <si>
    <t>viet hoang- ly ly</t>
  </si>
  <si>
    <t>hd136507</t>
  </si>
  <si>
    <t>thuy tien</t>
  </si>
  <si>
    <t>hd136659</t>
  </si>
  <si>
    <t>boramey</t>
  </si>
  <si>
    <t>hd136676</t>
  </si>
  <si>
    <t>san san</t>
  </si>
  <si>
    <t>hd136606</t>
  </si>
  <si>
    <t>357/3,</t>
  </si>
  <si>
    <t>tran phu</t>
  </si>
  <si>
    <t>vivi</t>
  </si>
  <si>
    <t>tran le bich ngoc</t>
  </si>
  <si>
    <t>hd136314</t>
  </si>
  <si>
    <t>324/9/4,</t>
  </si>
  <si>
    <t>hd136315</t>
  </si>
  <si>
    <t>hieu nguyen</t>
  </si>
  <si>
    <t>hd136453</t>
  </si>
  <si>
    <t>495/18,</t>
  </si>
  <si>
    <t>to ha vi</t>
  </si>
  <si>
    <t>hd136128</t>
  </si>
  <si>
    <t>hoang van thu</t>
  </si>
  <si>
    <t>thu thuong</t>
  </si>
  <si>
    <t>hd136397</t>
  </si>
  <si>
    <t>554/11</t>
  </si>
  <si>
    <t>emily</t>
  </si>
  <si>
    <t>hd136336</t>
  </si>
  <si>
    <t>36/15,</t>
  </si>
  <si>
    <t>nabee2530</t>
  </si>
  <si>
    <t>hd136392</t>
  </si>
  <si>
    <t>AT 9-3</t>
  </si>
  <si>
    <t>giang huong</t>
  </si>
  <si>
    <t>hd136247</t>
  </si>
  <si>
    <t>hd136404</t>
  </si>
  <si>
    <t>hd136405</t>
  </si>
  <si>
    <t>hd136406</t>
  </si>
  <si>
    <t>kieu</t>
  </si>
  <si>
    <t>hd136668</t>
  </si>
  <si>
    <t>140b</t>
  </si>
  <si>
    <t>phan van khoe</t>
  </si>
  <si>
    <t>quyen tran</t>
  </si>
  <si>
    <t>hd136680</t>
  </si>
  <si>
    <t>tran van kieu</t>
  </si>
  <si>
    <t>trang ho vinh nhu</t>
  </si>
  <si>
    <t>hd136495</t>
  </si>
  <si>
    <t>dang duc thaut</t>
  </si>
  <si>
    <t>nguyen trang</t>
  </si>
  <si>
    <t>hd136565</t>
  </si>
  <si>
    <t>hi na</t>
  </si>
  <si>
    <t>hd136438</t>
  </si>
  <si>
    <t>can ho florita</t>
  </si>
  <si>
    <t>bich huyen</t>
  </si>
  <si>
    <t>hd135961</t>
  </si>
  <si>
    <t>453/120/49A</t>
  </si>
  <si>
    <t>le van khuong</t>
  </si>
  <si>
    <t>w3227</t>
  </si>
  <si>
    <t>hd136306</t>
  </si>
  <si>
    <t>darin</t>
  </si>
  <si>
    <t>miki</t>
  </si>
  <si>
    <t>hd136703</t>
  </si>
  <si>
    <t>bong keo</t>
  </si>
  <si>
    <t>hd136424</t>
  </si>
  <si>
    <t>hd136563</t>
  </si>
  <si>
    <t>amy d tran</t>
  </si>
  <si>
    <t>hd136240</t>
  </si>
  <si>
    <t>85/8,</t>
  </si>
  <si>
    <t>nguyen hong dao</t>
  </si>
  <si>
    <t>anh nhi phuong hoa</t>
  </si>
  <si>
    <t>hd136332</t>
  </si>
  <si>
    <t>lo B</t>
  </si>
  <si>
    <t>nguyen quynh nhi</t>
  </si>
  <si>
    <t>hd136597</t>
  </si>
  <si>
    <t>an mien spa</t>
  </si>
  <si>
    <t>vinh pham</t>
  </si>
  <si>
    <t>hd136346</t>
  </si>
  <si>
    <t>cc sadora</t>
  </si>
  <si>
    <t>C0602</t>
  </si>
  <si>
    <t>le nguyen hai dang</t>
  </si>
  <si>
    <t>hd136561</t>
  </si>
  <si>
    <t>hong phuongg</t>
  </si>
  <si>
    <t>hd136530</t>
  </si>
  <si>
    <t>2b</t>
  </si>
  <si>
    <t>ly ngoc phuong</t>
  </si>
  <si>
    <t>hd136509</t>
  </si>
  <si>
    <t>pham thi thanh ha</t>
  </si>
  <si>
    <t>hd136620</t>
  </si>
  <si>
    <t>18/7,</t>
  </si>
  <si>
    <t>thanh da</t>
  </si>
  <si>
    <t>loan nguyen</t>
  </si>
  <si>
    <t>hd136612</t>
  </si>
  <si>
    <t>parichat</t>
  </si>
  <si>
    <t>hd136313</t>
  </si>
  <si>
    <t>central 2</t>
  </si>
  <si>
    <t>jerry lai</t>
  </si>
  <si>
    <t>hd136264</t>
  </si>
  <si>
    <t>341/18,</t>
  </si>
  <si>
    <t>hd136277</t>
  </si>
  <si>
    <t>44/1,</t>
  </si>
  <si>
    <t>yen do</t>
  </si>
  <si>
    <t>yen linh</t>
  </si>
  <si>
    <t>hd136385</t>
  </si>
  <si>
    <t>183/50</t>
  </si>
  <si>
    <t>hd136387</t>
  </si>
  <si>
    <t>183/50,</t>
  </si>
  <si>
    <t>air boutique</t>
  </si>
  <si>
    <t>ds5</t>
  </si>
  <si>
    <t>su su</t>
  </si>
  <si>
    <t>hd136478</t>
  </si>
  <si>
    <t>26/33,</t>
  </si>
  <si>
    <t>nguyen ha</t>
  </si>
  <si>
    <t>hd136448</t>
  </si>
  <si>
    <t>hd136355</t>
  </si>
  <si>
    <t>nguyen van cong</t>
  </si>
  <si>
    <t>quyen nguyen</t>
  </si>
  <si>
    <t>hd136621</t>
  </si>
  <si>
    <t>220/36/33,</t>
  </si>
  <si>
    <t>hd136214</t>
  </si>
  <si>
    <t>thy hong</t>
  </si>
  <si>
    <t>hd136295</t>
  </si>
  <si>
    <t>361/23/3,</t>
  </si>
  <si>
    <t>hang</t>
  </si>
  <si>
    <t>hd136492</t>
  </si>
  <si>
    <t>86/22,</t>
  </si>
  <si>
    <t>may00</t>
  </si>
  <si>
    <t>man duong</t>
  </si>
  <si>
    <t>hd136342</t>
  </si>
  <si>
    <t>tuyet nguyen</t>
  </si>
  <si>
    <t>hd136516</t>
  </si>
  <si>
    <t>91/5/17,</t>
  </si>
  <si>
    <t>tran thi kim ngan</t>
  </si>
  <si>
    <t>hd136248</t>
  </si>
  <si>
    <t>duong D15A</t>
  </si>
  <si>
    <t>tran lan</t>
  </si>
  <si>
    <t>hd136367</t>
  </si>
  <si>
    <t>545/16/35A</t>
  </si>
  <si>
    <t>nguyen xien</t>
  </si>
  <si>
    <t>lu duyen</t>
  </si>
  <si>
    <t>hd136323</t>
  </si>
  <si>
    <t>thuy tien le</t>
  </si>
  <si>
    <t>hd136343</t>
  </si>
  <si>
    <t>cc safira</t>
  </si>
  <si>
    <t>vo chi tong</t>
  </si>
  <si>
    <t>đơn trả 10-3</t>
  </si>
  <si>
    <t>T2.9.3.2026</t>
  </si>
  <si>
    <t>NGAY 10-3</t>
  </si>
  <si>
    <t>le ngoc</t>
  </si>
  <si>
    <t>hd000187</t>
  </si>
  <si>
    <t>A36</t>
  </si>
  <si>
    <t>cong quynh</t>
  </si>
  <si>
    <t>10-03-2026.</t>
  </si>
  <si>
    <t>le thi quynh yen</t>
  </si>
  <si>
    <t>hd000266</t>
  </si>
  <si>
    <t>de tham</t>
  </si>
  <si>
    <t>thuy duong vo</t>
  </si>
  <si>
    <t>hd000340</t>
  </si>
  <si>
    <t>kelly phan</t>
  </si>
  <si>
    <t>hd000136</t>
  </si>
  <si>
    <t>269p/11,</t>
  </si>
  <si>
    <t>thy linh nguyen</t>
  </si>
  <si>
    <t>hd000056</t>
  </si>
  <si>
    <t>213/15,</t>
  </si>
  <si>
    <t>xom chieu</t>
  </si>
  <si>
    <t>hd000183</t>
  </si>
  <si>
    <t>gia minh nguyen</t>
  </si>
  <si>
    <t>hd000142</t>
  </si>
  <si>
    <t>vo van kiet</t>
  </si>
  <si>
    <t>to nhu</t>
  </si>
  <si>
    <t>hd000148</t>
  </si>
  <si>
    <t>nhu y</t>
  </si>
  <si>
    <t>hd000249</t>
  </si>
  <si>
    <t>cc q7</t>
  </si>
  <si>
    <t>AT 10-3</t>
  </si>
  <si>
    <t>phon</t>
  </si>
  <si>
    <t>hd000269</t>
  </si>
  <si>
    <t>cong 7</t>
  </si>
  <si>
    <t>dh ton duc thang</t>
  </si>
  <si>
    <t>hd000133</t>
  </si>
  <si>
    <t>22 lo A</t>
  </si>
  <si>
    <t>kdc phu my</t>
  </si>
  <si>
    <t>kim anh pham</t>
  </si>
  <si>
    <t>hd000107</t>
  </si>
  <si>
    <t>16 cx binh minh</t>
  </si>
  <si>
    <t>truc linh</t>
  </si>
  <si>
    <t>hd000277</t>
  </si>
  <si>
    <t>the pega</t>
  </si>
  <si>
    <t>zone 1</t>
  </si>
  <si>
    <t>anh phuong</t>
  </si>
  <si>
    <t>hd136685</t>
  </si>
  <si>
    <t>hoang huu nam</t>
  </si>
  <si>
    <t>w3136</t>
  </si>
  <si>
    <t>hd136608</t>
  </si>
  <si>
    <t>tan thoi hiep</t>
  </si>
  <si>
    <t>dinh thien kim</t>
  </si>
  <si>
    <t>hd000159</t>
  </si>
  <si>
    <t>55/10,</t>
  </si>
  <si>
    <t>ds18d</t>
  </si>
  <si>
    <t>sanita mao</t>
  </si>
  <si>
    <t>hd000222</t>
  </si>
  <si>
    <t>thu tiền về cho shop</t>
  </si>
  <si>
    <t>lam thi oanh kieu</t>
  </si>
  <si>
    <t>hd000167</t>
  </si>
  <si>
    <t>le dinh thu</t>
  </si>
  <si>
    <t>thanh xuan</t>
  </si>
  <si>
    <t>hd000176</t>
  </si>
  <si>
    <t>toa bahamas</t>
  </si>
  <si>
    <t>keo kimyou</t>
  </si>
  <si>
    <t>hd000189</t>
  </si>
  <si>
    <t>kho sai gon 9</t>
  </si>
  <si>
    <t>duong K1</t>
  </si>
  <si>
    <t>hong hoa</t>
  </si>
  <si>
    <t>hd000146</t>
  </si>
  <si>
    <t>cc feliz</t>
  </si>
  <si>
    <t>le hien mai</t>
  </si>
  <si>
    <t>hd000123</t>
  </si>
  <si>
    <t>trang nhung bui</t>
  </si>
  <si>
    <t>hd000248</t>
  </si>
  <si>
    <t>toa golden</t>
  </si>
  <si>
    <t>duyen nguyen</t>
  </si>
  <si>
    <t>hd000353</t>
  </si>
  <si>
    <t>1244/64/7,</t>
  </si>
  <si>
    <t>hd000166</t>
  </si>
  <si>
    <t>hd000199</t>
  </si>
  <si>
    <t>hd000348</t>
  </si>
  <si>
    <t>nguyen hoang thanh truc</t>
  </si>
  <si>
    <t>hd000307</t>
  </si>
  <si>
    <t>14/31,</t>
  </si>
  <si>
    <t>ho van tu</t>
  </si>
  <si>
    <t>nguyen anh thu</t>
  </si>
  <si>
    <t>hd000328</t>
  </si>
  <si>
    <t>453/16,</t>
  </si>
  <si>
    <t>to ngoc van</t>
  </si>
  <si>
    <t>lo thuy nga</t>
  </si>
  <si>
    <t>hd000143</t>
  </si>
  <si>
    <t>S503</t>
  </si>
  <si>
    <t>ngan kim</t>
  </si>
  <si>
    <t>T8-20</t>
  </si>
  <si>
    <t>đơn trả 11-3</t>
  </si>
  <si>
    <t>T3.10.3.2026</t>
  </si>
  <si>
    <t>kh ck 510</t>
  </si>
  <si>
    <t>NGAY 11-3</t>
  </si>
  <si>
    <t>tran quynh giao</t>
  </si>
  <si>
    <t>hd000620</t>
  </si>
  <si>
    <t>26/22,</t>
  </si>
  <si>
    <t>11-03-2026.</t>
  </si>
  <si>
    <t>trả shop</t>
  </si>
  <si>
    <t>jj huy dang</t>
  </si>
  <si>
    <t>hd000613</t>
  </si>
  <si>
    <t>423/21,</t>
  </si>
  <si>
    <t>doan van bo</t>
  </si>
  <si>
    <t>hi ha</t>
  </si>
  <si>
    <t>hd000630</t>
  </si>
  <si>
    <t>hy hy</t>
  </si>
  <si>
    <t>hd000681</t>
  </si>
  <si>
    <t>662/4,</t>
  </si>
  <si>
    <t>su vna hanh</t>
  </si>
  <si>
    <t>ngoc elly</t>
  </si>
  <si>
    <t>hd000655</t>
  </si>
  <si>
    <t>54b</t>
  </si>
  <si>
    <t>nguyen van troi</t>
  </si>
  <si>
    <t>sang pham</t>
  </si>
  <si>
    <t>hd000606</t>
  </si>
  <si>
    <t>221/7/2,</t>
  </si>
  <si>
    <t>dat thanh</t>
  </si>
  <si>
    <t>khanh linh</t>
  </si>
  <si>
    <t>hd000495</t>
  </si>
  <si>
    <t>hd000173</t>
  </si>
  <si>
    <t>khoa le dang</t>
  </si>
  <si>
    <t>hd000626</t>
  </si>
  <si>
    <t>cc A2</t>
  </si>
  <si>
    <t>phan xich long</t>
  </si>
  <si>
    <t>hoa tran</t>
  </si>
  <si>
    <t>hd000603</t>
  </si>
  <si>
    <t>AT 11-3</t>
  </si>
  <si>
    <t>hd000426</t>
  </si>
  <si>
    <t>heng roza</t>
  </si>
  <si>
    <t>hd000386</t>
  </si>
  <si>
    <t>hd000621</t>
  </si>
  <si>
    <t>A5/16Q</t>
  </si>
  <si>
    <t>naby 22</t>
  </si>
  <si>
    <t>90/35,</t>
  </si>
  <si>
    <t>tran van on</t>
  </si>
  <si>
    <t>hd000278</t>
  </si>
  <si>
    <t>toa t5</t>
  </si>
  <si>
    <t>hd000609</t>
  </si>
  <si>
    <t>cc q2</t>
  </si>
  <si>
    <t>le tuong vy</t>
  </si>
  <si>
    <t>hd000535</t>
  </si>
  <si>
    <t>194/4/5,</t>
  </si>
  <si>
    <t>bui dinh tuy</t>
  </si>
  <si>
    <t>ngoc trang</t>
  </si>
  <si>
    <t>hd000367</t>
  </si>
  <si>
    <t>le van duyet</t>
  </si>
  <si>
    <t>pham huong</t>
  </si>
  <si>
    <t>hd000519</t>
  </si>
  <si>
    <t>764/50/41,</t>
  </si>
  <si>
    <t>kokoro hat</t>
  </si>
  <si>
    <t>hd000331</t>
  </si>
  <si>
    <t>cc hope</t>
  </si>
  <si>
    <t>lily kim</t>
  </si>
  <si>
    <t>hd000640</t>
  </si>
  <si>
    <t>yen nhu</t>
  </si>
  <si>
    <t>hd000674</t>
  </si>
  <si>
    <t>bung ong thoan</t>
  </si>
  <si>
    <t>đơn trả 12-3</t>
  </si>
  <si>
    <t>T4.11.3.2026</t>
  </si>
  <si>
    <t>NGAY 12-3</t>
  </si>
  <si>
    <t>huong burin</t>
  </si>
  <si>
    <t>hd000623</t>
  </si>
  <si>
    <t>nguyen thai hoc</t>
  </si>
  <si>
    <t>12-03-2026.</t>
  </si>
  <si>
    <t>thuy an</t>
  </si>
  <si>
    <t>hd001015</t>
  </si>
  <si>
    <t>100/25/5,</t>
  </si>
  <si>
    <t>tran hung dao</t>
  </si>
  <si>
    <t>nguyen chi</t>
  </si>
  <si>
    <t>hd000926</t>
  </si>
  <si>
    <t>su van hanh</t>
  </si>
  <si>
    <t>tram nguyen</t>
  </si>
  <si>
    <t>hd000772</t>
  </si>
  <si>
    <t>462/A17</t>
  </si>
  <si>
    <t>hd000898</t>
  </si>
  <si>
    <t>cus19950</t>
  </si>
  <si>
    <t>hd000997</t>
  </si>
  <si>
    <t>270b</t>
  </si>
  <si>
    <t>phuong truong</t>
  </si>
  <si>
    <t>41/8,</t>
  </si>
  <si>
    <t>mai lao bang</t>
  </si>
  <si>
    <t>jessie beauty</t>
  </si>
  <si>
    <t>hd000732</t>
  </si>
  <si>
    <t>71/2/13,</t>
  </si>
  <si>
    <t>nguyen bac</t>
  </si>
  <si>
    <t>hellen nguyen</t>
  </si>
  <si>
    <t>hd001062</t>
  </si>
  <si>
    <t>nguyen trong loi</t>
  </si>
  <si>
    <t>hd001093</t>
  </si>
  <si>
    <t>tan tien</t>
  </si>
  <si>
    <t>dao hanh</t>
  </si>
  <si>
    <t>hd000829</t>
  </si>
  <si>
    <t>huynh phuong my duyen</t>
  </si>
  <si>
    <t>hd000776</t>
  </si>
  <si>
    <t>21bis</t>
  </si>
  <si>
    <t>nguyen yen nhi</t>
  </si>
  <si>
    <t>hd000945</t>
  </si>
  <si>
    <t>cc citihome</t>
  </si>
  <si>
    <t>ds71cl</t>
  </si>
  <si>
    <t>trang le</t>
  </si>
  <si>
    <t>bui hien</t>
  </si>
  <si>
    <t>hd000780</t>
  </si>
  <si>
    <t>tran nao</t>
  </si>
  <si>
    <t>harry hung</t>
  </si>
  <si>
    <t>hd000706</t>
  </si>
  <si>
    <t>my yen</t>
  </si>
  <si>
    <t>hd000727</t>
  </si>
  <si>
    <t>nguyen van luong</t>
  </si>
  <si>
    <t>selena pham</t>
  </si>
  <si>
    <t>hd000709</t>
  </si>
  <si>
    <t>139/2,</t>
  </si>
  <si>
    <t>hd000777</t>
  </si>
  <si>
    <t>tran ba giao</t>
  </si>
  <si>
    <t>hd001067</t>
  </si>
  <si>
    <t>cc freshca</t>
  </si>
  <si>
    <t>binh chieu</t>
  </si>
  <si>
    <t>kieu hoanh</t>
  </si>
  <si>
    <t>68/14,</t>
  </si>
  <si>
    <t>nguyen tu gian</t>
  </si>
  <si>
    <t>hd001096</t>
  </si>
  <si>
    <t>AT 12-3</t>
  </si>
  <si>
    <t>ngoc nguyen</t>
  </si>
  <si>
    <t>hd000901</t>
  </si>
  <si>
    <t>toa T1B</t>
  </si>
  <si>
    <t>be van cam</t>
  </si>
  <si>
    <t>tram anh nguyen</t>
  </si>
  <si>
    <t>hd000724</t>
  </si>
  <si>
    <t>cc green view</t>
  </si>
  <si>
    <t>yumi tran</t>
  </si>
  <si>
    <t>hd001064</t>
  </si>
  <si>
    <t>tao tao</t>
  </si>
  <si>
    <t>hd000808</t>
  </si>
  <si>
    <t>dong nghi</t>
  </si>
  <si>
    <t>hd001112</t>
  </si>
  <si>
    <t>ngoc nuong</t>
  </si>
  <si>
    <t>hd000779</t>
  </si>
  <si>
    <t>71A</t>
  </si>
  <si>
    <t>hd001079</t>
  </si>
  <si>
    <t>cc garden court 2</t>
  </si>
  <si>
    <t>ly thao</t>
  </si>
  <si>
    <t>hd000824</t>
  </si>
  <si>
    <t>181b/7,</t>
  </si>
  <si>
    <t>au duong lan</t>
  </si>
  <si>
    <t>nguyen le tuong vi</t>
  </si>
  <si>
    <t>hd000767</t>
  </si>
  <si>
    <t>35/75/10,</t>
  </si>
  <si>
    <t>cao lo</t>
  </si>
  <si>
    <t>tien tien</t>
  </si>
  <si>
    <t>hd001087</t>
  </si>
  <si>
    <t>ngoc nhi</t>
  </si>
  <si>
    <t>hd000908</t>
  </si>
  <si>
    <t>cc tara</t>
  </si>
  <si>
    <t>ngoc my kim</t>
  </si>
  <si>
    <t>hd000694</t>
  </si>
  <si>
    <t>anh nguyen</t>
  </si>
  <si>
    <t>hd001050</t>
  </si>
  <si>
    <t>F1/7a</t>
  </si>
  <si>
    <t>vinh loc</t>
  </si>
  <si>
    <t>khanh nhu</t>
  </si>
  <si>
    <t>hd000826</t>
  </si>
  <si>
    <t>688/23/1C</t>
  </si>
  <si>
    <t>kim thuy</t>
  </si>
  <si>
    <t>hd001089</t>
  </si>
  <si>
    <t>532/3/6,</t>
  </si>
  <si>
    <t>phnompenh</t>
  </si>
  <si>
    <t>huynh hang</t>
  </si>
  <si>
    <t>hd001104</t>
  </si>
  <si>
    <t>355/2,</t>
  </si>
  <si>
    <t>kenh tan hoa</t>
  </si>
  <si>
    <t>đơn trả 13-3</t>
  </si>
  <si>
    <t>T5.12.3.2026</t>
  </si>
  <si>
    <t>NGAY 13-3</t>
  </si>
  <si>
    <t>my tran</t>
  </si>
  <si>
    <t>hd000911</t>
  </si>
  <si>
    <t>le duan</t>
  </si>
  <si>
    <t>13-03-2026.</t>
  </si>
  <si>
    <t>quynh le</t>
  </si>
  <si>
    <t>hd001312</t>
  </si>
  <si>
    <t>7/1C</t>
  </si>
  <si>
    <t>hoang anh thu</t>
  </si>
  <si>
    <t>hd001417</t>
  </si>
  <si>
    <t>mai nhung</t>
  </si>
  <si>
    <t>hd001115</t>
  </si>
  <si>
    <t>thai an an</t>
  </si>
  <si>
    <t>hd001222</t>
  </si>
  <si>
    <t>pham minh nguyet</t>
  </si>
  <si>
    <t>hd001314</t>
  </si>
  <si>
    <t>88/5g</t>
  </si>
  <si>
    <t>nguyen khoai</t>
  </si>
  <si>
    <t>hanh hanh</t>
  </si>
  <si>
    <t>hd001011</t>
  </si>
  <si>
    <t>hd000921</t>
  </si>
  <si>
    <t>270/11,</t>
  </si>
  <si>
    <t>ngoc- duong jade</t>
  </si>
  <si>
    <t>hd001413</t>
  </si>
  <si>
    <t>hiep nhat</t>
  </si>
  <si>
    <t>minh khoi</t>
  </si>
  <si>
    <t>hd001284</t>
  </si>
  <si>
    <t>1/15,</t>
  </si>
  <si>
    <t>huynh lan khanh</t>
  </si>
  <si>
    <t>hong nho</t>
  </si>
  <si>
    <t>29/7,</t>
  </si>
  <si>
    <t>bella tran</t>
  </si>
  <si>
    <t>AT 13-3</t>
  </si>
  <si>
    <t>hd001213</t>
  </si>
  <si>
    <t>tran van keiu</t>
  </si>
  <si>
    <t>hd001192</t>
  </si>
  <si>
    <t>3/16A</t>
  </si>
  <si>
    <t>ds25a</t>
  </si>
  <si>
    <t>trung hau trung hau</t>
  </si>
  <si>
    <t>hd001427</t>
  </si>
  <si>
    <t>hoang quoc viet</t>
  </si>
  <si>
    <t>dieu linh</t>
  </si>
  <si>
    <t>hd001151</t>
  </si>
  <si>
    <t>sun na</t>
  </si>
  <si>
    <t>hd001256</t>
  </si>
  <si>
    <t>cc cardinal</t>
  </si>
  <si>
    <t>toa B</t>
  </si>
  <si>
    <t>hong yang</t>
  </si>
  <si>
    <t>hd001414</t>
  </si>
  <si>
    <t>scenic valley</t>
  </si>
  <si>
    <t>pham nhi</t>
  </si>
  <si>
    <t>hd001261</t>
  </si>
  <si>
    <t>le ngoc diem</t>
  </si>
  <si>
    <t>hd001411</t>
  </si>
  <si>
    <t>toa nha khai hoan</t>
  </si>
  <si>
    <t>hd000628</t>
  </si>
  <si>
    <t>hoang kim</t>
  </si>
  <si>
    <t>hd001423</t>
  </si>
  <si>
    <t>dream home</t>
  </si>
  <si>
    <t>trinh quang nghi</t>
  </si>
  <si>
    <t>thanh tam</t>
  </si>
  <si>
    <t>hd001428</t>
  </si>
  <si>
    <t>19/5,</t>
  </si>
  <si>
    <t>tran trong khiem</t>
  </si>
  <si>
    <t>tam mini</t>
  </si>
  <si>
    <t>hd001165</t>
  </si>
  <si>
    <t>hd001374</t>
  </si>
  <si>
    <t>mai meu</t>
  </si>
  <si>
    <t>hd001321</t>
  </si>
  <si>
    <t>168/8/1,</t>
  </si>
  <si>
    <t>tran van quang</t>
  </si>
  <si>
    <t>thuy an dao</t>
  </si>
  <si>
    <t>hd001224</t>
  </si>
  <si>
    <t>sanh B2</t>
  </si>
  <si>
    <t>cc emerald</t>
  </si>
  <si>
    <t>le ha my</t>
  </si>
  <si>
    <t>hd001402</t>
  </si>
  <si>
    <t>403A</t>
  </si>
  <si>
    <t>thao san</t>
  </si>
  <si>
    <t>hd001209</t>
  </si>
  <si>
    <t>park 1</t>
  </si>
  <si>
    <t>banh the</t>
  </si>
  <si>
    <t>hd001211</t>
  </si>
  <si>
    <t>109/11/4,</t>
  </si>
  <si>
    <t>chi trang</t>
  </si>
  <si>
    <t>hd001278</t>
  </si>
  <si>
    <t>hd001379</t>
  </si>
  <si>
    <t>hd001327</t>
  </si>
  <si>
    <t>man</t>
  </si>
  <si>
    <t>hd001191</t>
  </si>
  <si>
    <t>tran phuong thao</t>
  </si>
  <si>
    <t>hd001416</t>
  </si>
  <si>
    <t>41/14,</t>
  </si>
  <si>
    <t>hd001429</t>
  </si>
  <si>
    <t>hd001309</t>
  </si>
  <si>
    <t>cc flora</t>
  </si>
  <si>
    <t>T6.13.3.2026</t>
  </si>
  <si>
    <t>NGAY 14-3</t>
  </si>
  <si>
    <t>hd001607</t>
  </si>
  <si>
    <t>le thanh ton</t>
  </si>
  <si>
    <t>14-03-2026.</t>
  </si>
  <si>
    <t>hsu</t>
  </si>
  <si>
    <t>hd001608</t>
  </si>
  <si>
    <t>2A/14,</t>
  </si>
  <si>
    <t>hang pu</t>
  </si>
  <si>
    <t>hd001523</t>
  </si>
  <si>
    <t>74/2,</t>
  </si>
  <si>
    <t>ngoc pham</t>
  </si>
  <si>
    <t>hd001576</t>
  </si>
  <si>
    <t>ba huyen thanh quan</t>
  </si>
  <si>
    <t>sam</t>
  </si>
  <si>
    <t>hd001502</t>
  </si>
  <si>
    <t>miu phung</t>
  </si>
  <si>
    <t>hd001634</t>
  </si>
  <si>
    <t>kh ck 875</t>
  </si>
  <si>
    <t>lyka</t>
  </si>
  <si>
    <t>huyen nguyen</t>
  </si>
  <si>
    <t>hd001636</t>
  </si>
  <si>
    <t>623/43,</t>
  </si>
  <si>
    <t>dinh luong</t>
  </si>
  <si>
    <t>hd001559</t>
  </si>
  <si>
    <t>nguyen duy duong</t>
  </si>
  <si>
    <t>hd000475</t>
  </si>
  <si>
    <t>nguyen thuong hien</t>
  </si>
  <si>
    <t>ly ly nguyen</t>
  </si>
  <si>
    <t>hd001619</t>
  </si>
  <si>
    <t>CC A3</t>
  </si>
  <si>
    <t>hd001620</t>
  </si>
  <si>
    <t>nhung xuxy</t>
  </si>
  <si>
    <t>hd001631</t>
  </si>
  <si>
    <t>2/11,</t>
  </si>
  <si>
    <t>thien phuoc</t>
  </si>
  <si>
    <t>tuyet nhung</t>
  </si>
  <si>
    <t>hd001552</t>
  </si>
  <si>
    <t>AT 14-3</t>
  </si>
  <si>
    <t>my nhung</t>
  </si>
  <si>
    <t>hd001593</t>
  </si>
  <si>
    <t>ds9</t>
  </si>
  <si>
    <t>tran thu thaoo</t>
  </si>
  <si>
    <t>hd001499</t>
  </si>
  <si>
    <t>toa A1</t>
  </si>
  <si>
    <t>pham nhu y</t>
  </si>
  <si>
    <t>hd001455</t>
  </si>
  <si>
    <t>duong F</t>
  </si>
  <si>
    <t>hd001618</t>
  </si>
  <si>
    <t>nguyen thi kim thoa</t>
  </si>
  <si>
    <t>hd001465</t>
  </si>
  <si>
    <t>25a</t>
  </si>
  <si>
    <t>be loan</t>
  </si>
  <si>
    <t>hd001561</t>
  </si>
  <si>
    <t>631/49,</t>
  </si>
  <si>
    <t>tl10</t>
  </si>
  <si>
    <t>bao thi</t>
  </si>
  <si>
    <t>hd001492</t>
  </si>
  <si>
    <t>47/15,</t>
  </si>
  <si>
    <t>bui thi lung</t>
  </si>
  <si>
    <t>diem my</t>
  </si>
  <si>
    <t>hd001590</t>
  </si>
  <si>
    <t>ds29</t>
  </si>
  <si>
    <t>hd001458</t>
  </si>
  <si>
    <t>phan thanh my</t>
  </si>
  <si>
    <t>hd001638</t>
  </si>
  <si>
    <t>730/7/2A</t>
  </si>
  <si>
    <t>hd001591</t>
  </si>
  <si>
    <t>pham thi bao tram</t>
  </si>
  <si>
    <t>hd001398</t>
  </si>
  <si>
    <t>13/28,</t>
  </si>
  <si>
    <t>ds35</t>
  </si>
  <si>
    <t>trang pham</t>
  </si>
  <si>
    <t>hd001633</t>
  </si>
  <si>
    <t>16/3,</t>
  </si>
  <si>
    <t>đơn trả 16-3</t>
  </si>
  <si>
    <t>T7.14.3.2026</t>
  </si>
  <si>
    <t>NGAY 16-3</t>
  </si>
  <si>
    <t>tho bunny</t>
  </si>
  <si>
    <t>hd002074</t>
  </si>
  <si>
    <t>auqa 2</t>
  </si>
  <si>
    <t>16-03-2026.</t>
  </si>
  <si>
    <t>hd002319</t>
  </si>
  <si>
    <t>lucy nguyen</t>
  </si>
  <si>
    <t>hd001678</t>
  </si>
  <si>
    <t>cc soho</t>
  </si>
  <si>
    <t>co giang</t>
  </si>
  <si>
    <t>linh thu</t>
  </si>
  <si>
    <t>hd002295</t>
  </si>
  <si>
    <t>87A</t>
  </si>
  <si>
    <t>ham nghi</t>
  </si>
  <si>
    <t>hd002333</t>
  </si>
  <si>
    <t>36/23,</t>
  </si>
  <si>
    <t>bo thi kieu ni</t>
  </si>
  <si>
    <t>hd001876</t>
  </si>
  <si>
    <t>thuy nguyen</t>
  </si>
  <si>
    <t>hd002326</t>
  </si>
  <si>
    <t>2A/4,</t>
  </si>
  <si>
    <t>bao tram le</t>
  </si>
  <si>
    <t>hd002029</t>
  </si>
  <si>
    <t>ngoc bin</t>
  </si>
  <si>
    <t>hd002086</t>
  </si>
  <si>
    <t>lux 6</t>
  </si>
  <si>
    <t>hd001744</t>
  </si>
  <si>
    <t>61/14,</t>
  </si>
  <si>
    <t>hd002325</t>
  </si>
  <si>
    <t>thanh thao</t>
  </si>
  <si>
    <t>hd001858</t>
  </si>
  <si>
    <t>cc nguyen kim</t>
  </si>
  <si>
    <t>tom ag</t>
  </si>
  <si>
    <t>ho van huep</t>
  </si>
  <si>
    <t>hong ha</t>
  </si>
  <si>
    <t>thao uyen</t>
  </si>
  <si>
    <t>hd001886</t>
  </si>
  <si>
    <t>1/18,</t>
  </si>
  <si>
    <t>nguyen van vinh</t>
  </si>
  <si>
    <t>huynh tam</t>
  </si>
  <si>
    <t>hd002036</t>
  </si>
  <si>
    <t>hd001917</t>
  </si>
  <si>
    <t>AT 16-3</t>
  </si>
  <si>
    <t>amy barbie</t>
  </si>
  <si>
    <t>hd001856</t>
  </si>
  <si>
    <t>nhu y nguyen</t>
  </si>
  <si>
    <t>hd001672</t>
  </si>
  <si>
    <t>hoang thanh hien</t>
  </si>
  <si>
    <t>hd002105</t>
  </si>
  <si>
    <t>hd001563</t>
  </si>
  <si>
    <t>nhien nhien</t>
  </si>
  <si>
    <t>hd002069</t>
  </si>
  <si>
    <t>11D1</t>
  </si>
  <si>
    <t>sky garden 3</t>
  </si>
  <si>
    <t>linh ho</t>
  </si>
  <si>
    <t>hd001747</t>
  </si>
  <si>
    <t>cc duc khai</t>
  </si>
  <si>
    <t>my loc</t>
  </si>
  <si>
    <t>hd001867</t>
  </si>
  <si>
    <t>destiny my</t>
  </si>
  <si>
    <t>hd002046</t>
  </si>
  <si>
    <t>136/5,</t>
  </si>
  <si>
    <t>nguyen thi tan</t>
  </si>
  <si>
    <t>bui vi thuogn</t>
  </si>
  <si>
    <t>hd002323</t>
  </si>
  <si>
    <t>duong hoai thuong</t>
  </si>
  <si>
    <t>hd001859</t>
  </si>
  <si>
    <t>56/7/15,</t>
  </si>
  <si>
    <t>huynh thi hai</t>
  </si>
  <si>
    <t>minh zu</t>
  </si>
  <si>
    <t>nguyen van qua</t>
  </si>
  <si>
    <t>mei vivi</t>
  </si>
  <si>
    <t>hd001879</t>
  </si>
  <si>
    <t>tan thoi nhat 1b</t>
  </si>
  <si>
    <t>thuong</t>
  </si>
  <si>
    <t>my na</t>
  </si>
  <si>
    <t>hd002103</t>
  </si>
  <si>
    <t>ds9a</t>
  </si>
  <si>
    <t>kieu tin</t>
  </si>
  <si>
    <t>hd001864</t>
  </si>
  <si>
    <t>lily kuan tan</t>
  </si>
  <si>
    <t>hd002241</t>
  </si>
  <si>
    <t>ha cong</t>
  </si>
  <si>
    <t>hd001949</t>
  </si>
  <si>
    <t>hd002163</t>
  </si>
  <si>
    <t>hd002054</t>
  </si>
  <si>
    <t>sha sha</t>
  </si>
  <si>
    <t>hd002320</t>
  </si>
  <si>
    <t>hd001809</t>
  </si>
  <si>
    <t>ngoc tuyet</t>
  </si>
  <si>
    <t>hd001797</t>
  </si>
  <si>
    <t>tran le tram anh</t>
  </si>
  <si>
    <t>hd002034</t>
  </si>
  <si>
    <t>179/13A</t>
  </si>
  <si>
    <t>mia mia</t>
  </si>
  <si>
    <t>hd002217</t>
  </si>
  <si>
    <t>tan huong</t>
  </si>
  <si>
    <t>thai- uyen phuong</t>
  </si>
  <si>
    <t>hd001640</t>
  </si>
  <si>
    <t>thoai ngoc hau</t>
  </si>
  <si>
    <t>doan trang</t>
  </si>
  <si>
    <t>hd001818</t>
  </si>
  <si>
    <t>cc citisoho</t>
  </si>
  <si>
    <t>cat lai</t>
  </si>
  <si>
    <t>han tieu phung</t>
  </si>
  <si>
    <t>hd002164</t>
  </si>
  <si>
    <t>thuy te</t>
  </si>
  <si>
    <t>hd002155</t>
  </si>
  <si>
    <t>ds60tml</t>
  </si>
  <si>
    <t>my dung</t>
  </si>
  <si>
    <t>hd001819</t>
  </si>
  <si>
    <t>ds68</t>
  </si>
  <si>
    <t>hong huong</t>
  </si>
  <si>
    <t>hd002257</t>
  </si>
  <si>
    <t>hd001927</t>
  </si>
  <si>
    <t>hd001732</t>
  </si>
  <si>
    <t>be pham</t>
  </si>
  <si>
    <t>hd002107</t>
  </si>
  <si>
    <t>200E</t>
  </si>
  <si>
    <t>hd002283</t>
  </si>
  <si>
    <t>binh loi</t>
  </si>
  <si>
    <t>ngoc uyen</t>
  </si>
  <si>
    <t>hd002122</t>
  </si>
  <si>
    <t>602/42,</t>
  </si>
  <si>
    <t>andy shk</t>
  </si>
  <si>
    <t>hd002070</t>
  </si>
  <si>
    <t>giang</t>
  </si>
  <si>
    <t>hd002068</t>
  </si>
  <si>
    <t>204/5b</t>
  </si>
  <si>
    <t>nguyen huynh cam tu</t>
  </si>
  <si>
    <t>hd002328</t>
  </si>
  <si>
    <t>paark 1</t>
  </si>
  <si>
    <t>tuyet nhu</t>
  </si>
  <si>
    <t>hd002336</t>
  </si>
  <si>
    <t>park 6a</t>
  </si>
  <si>
    <t>an na</t>
  </si>
  <si>
    <t>hd001742</t>
  </si>
  <si>
    <t>643/24/1g</t>
  </si>
  <si>
    <t>thu truong</t>
  </si>
  <si>
    <t>q nguyen</t>
  </si>
  <si>
    <t>189/46A</t>
  </si>
  <si>
    <t>thanh nguyen</t>
  </si>
  <si>
    <t>hd001692</t>
  </si>
  <si>
    <t>126/21,</t>
  </si>
  <si>
    <t>ds20</t>
  </si>
  <si>
    <t>phuong vo</t>
  </si>
  <si>
    <t>hd001920</t>
  </si>
  <si>
    <t>535/59/4C</t>
  </si>
  <si>
    <t>hd001832</t>
  </si>
  <si>
    <t>pham ngoc minh minh</t>
  </si>
  <si>
    <t>hd000460</t>
  </si>
  <si>
    <t>118/1/9,</t>
  </si>
  <si>
    <t>hd002099</t>
  </si>
  <si>
    <t>yen uy</t>
  </si>
  <si>
    <t>hd001693</t>
  </si>
  <si>
    <t>111/36A</t>
  </si>
  <si>
    <t>hd136482</t>
  </si>
  <si>
    <t>32/28/4b</t>
  </si>
  <si>
    <t>hoang uyen</t>
  </si>
  <si>
    <t>hd001943</t>
  </si>
  <si>
    <t>chung cu 4</t>
  </si>
  <si>
    <t>nhung nguyen</t>
  </si>
  <si>
    <t>hd001865</t>
  </si>
  <si>
    <t>cc urban</t>
  </si>
  <si>
    <t>tran phuong</t>
  </si>
  <si>
    <t>hd001670</t>
  </si>
  <si>
    <t>hoang lan bao chi</t>
  </si>
  <si>
    <t>hd001934</t>
  </si>
  <si>
    <t>long truong</t>
  </si>
  <si>
    <t>hd001581</t>
  </si>
  <si>
    <t>kieu may pham</t>
  </si>
  <si>
    <t>hd001709</t>
  </si>
  <si>
    <t>bs10</t>
  </si>
  <si>
    <t>duyen thuy nguyen</t>
  </si>
  <si>
    <t>hd002278</t>
  </si>
  <si>
    <t>S303</t>
  </si>
  <si>
    <t>hd001751</t>
  </si>
  <si>
    <t>tran trang</t>
  </si>
  <si>
    <t>hd001748</t>
  </si>
  <si>
    <t>vo chi cong</t>
  </si>
  <si>
    <t>đơn trả 17.3</t>
  </si>
  <si>
    <t>T2.16.3.2026</t>
  </si>
  <si>
    <t>NGAY 17-3</t>
  </si>
  <si>
    <t>ĐỊA CHỈ</t>
  </si>
  <si>
    <t>ĐOÀN NGÂN CHÂU</t>
  </si>
  <si>
    <t>Hồng Vân</t>
  </si>
  <si>
    <t>HD002584</t>
  </si>
  <si>
    <t>76 đặng nghiêm phường long thạnh mỹ</t>
  </si>
  <si>
    <t>a.quyen</t>
  </si>
  <si>
    <t>17-03-2026</t>
  </si>
  <si>
    <t>hàng sỉ</t>
  </si>
  <si>
    <t>NGÂN KIM</t>
  </si>
  <si>
    <t>T8-20 mahattan vinhomes Grand park</t>
  </si>
  <si>
    <t>Giáng Hương</t>
  </si>
  <si>
    <t>HD002461</t>
  </si>
  <si>
    <t>111 đường số 10 phường 13</t>
  </si>
  <si>
    <t>AT 17-03</t>
  </si>
  <si>
    <t>MIE</t>
  </si>
  <si>
    <t>275/14B1 Đặng Nguyên Cẩn, Phường Phú Lâm</t>
  </si>
  <si>
    <t>TUYẾT NHI ZL2</t>
  </si>
  <si>
    <t>170F Tân Hoà Đông f14</t>
  </si>
  <si>
    <t>Sun Na</t>
  </si>
  <si>
    <t>HD002443</t>
  </si>
  <si>
    <t>Chung cư cardinal court toà B</t>
  </si>
  <si>
    <t>Tuyết Nhi</t>
  </si>
  <si>
    <t>HD002420</t>
  </si>
  <si>
    <t>Block d2, chung cư sài gòn riverside (số 4 đào trí, phú thuận )</t>
  </si>
  <si>
    <t>Nguyễn Hồng Ngát</t>
  </si>
  <si>
    <t>HD002462</t>
  </si>
  <si>
    <t>440 kinh dương vương, an lạc</t>
  </si>
  <si>
    <t>binh tan</t>
  </si>
  <si>
    <t>Trần Thị Kim Phương</t>
  </si>
  <si>
    <t>HD002362</t>
  </si>
  <si>
    <t>1870\1\98\14a tỉnh lộ 10 tân tạo</t>
  </si>
  <si>
    <t>Lưu Bích Ngọc</t>
  </si>
  <si>
    <t>HD002566</t>
  </si>
  <si>
    <t>133 nguyễn thị nhỏ p9</t>
  </si>
  <si>
    <t>Ngọc Thao Vu</t>
  </si>
  <si>
    <t>HD002439</t>
  </si>
  <si>
    <t>Riviera Points ( The View- Tháp 6) 02 Nguyễn văn tưởng</t>
  </si>
  <si>
    <t>c bong fb thu hường</t>
  </si>
  <si>
    <t>HD002509</t>
  </si>
  <si>
    <t>391 phú thọ hòa</t>
  </si>
  <si>
    <t>Ngọc Mơ</t>
  </si>
  <si>
    <t>HD002409</t>
  </si>
  <si>
    <t>107/7 huỳnh an khương p5</t>
  </si>
  <si>
    <t>Nguyễn Trương Phương Oanh</t>
  </si>
  <si>
    <t>HD002339</t>
  </si>
  <si>
    <t>125/42/2 Bùi Đình Tuý, phường 14</t>
  </si>
  <si>
    <t>An An</t>
  </si>
  <si>
    <t>HD002510</t>
  </si>
  <si>
    <t>115 Trần Thị Nghỉ, Hạnh Thông</t>
  </si>
  <si>
    <t>jenny bouti</t>
  </si>
  <si>
    <t>401 Quang trung f10</t>
  </si>
  <si>
    <t>THU SHIP</t>
  </si>
  <si>
    <t>1122/23/7 quang trung phường 8</t>
  </si>
  <si>
    <t>Vũ Nguyễn (phương tw)</t>
  </si>
  <si>
    <t>74/3 Trần thái tông, phường 15</t>
  </si>
  <si>
    <t>Nhiew (FB Proud 'Pround)</t>
  </si>
  <si>
    <t>HD002453</t>
  </si>
  <si>
    <t>39 Đường Trần Quốc Hoàn, P. 4</t>
  </si>
  <si>
    <t>c.hieu</t>
  </si>
  <si>
    <t>Kim Chúc</t>
  </si>
  <si>
    <t>HD002412</t>
  </si>
  <si>
    <t>Hẻm 18B/73 Nguyễn thị minh khai đakao</t>
  </si>
  <si>
    <t>Dang Ngoc Anh</t>
  </si>
  <si>
    <t>HD002417</t>
  </si>
  <si>
    <t>G1 galaxy9</t>
  </si>
  <si>
    <t>BN8823</t>
  </si>
  <si>
    <t>163 Đường Trương Thị Hoa, phường Tân Thới Hiệp</t>
  </si>
  <si>
    <t>T3.17.3.2026</t>
  </si>
  <si>
    <t>NGAY 18-3</t>
  </si>
  <si>
    <t>Nguyễn Kim Ngân</t>
  </si>
  <si>
    <t>HD002716</t>
  </si>
  <si>
    <t>Lavida Plus, Nguyễn Văn Linh, Tân Phong</t>
  </si>
  <si>
    <t>AT 18-03</t>
  </si>
  <si>
    <t>18-03-2026</t>
  </si>
  <si>
    <t>HD002625</t>
  </si>
  <si>
    <t>Chocopie Nguyen</t>
  </si>
  <si>
    <t>HD002660</t>
  </si>
  <si>
    <t>2 đường 22 phường long bình</t>
  </si>
  <si>
    <t>Phương Đào</t>
  </si>
  <si>
    <t>HD002836</t>
  </si>
  <si>
    <t>100/1 B khu phố1, đường Tân thới nhất 11,phường Tân thới nhất</t>
  </si>
  <si>
    <t>W3235</t>
  </si>
  <si>
    <t>HD002687</t>
  </si>
  <si>
    <t>Địa chỉ: 375 tân thới hiệp 21, Tổ 3,Kp3 ( nhớ gỗ đủ)</t>
  </si>
  <si>
    <t>Thanh Tiên</t>
  </si>
  <si>
    <t>HD002513</t>
  </si>
  <si>
    <t>54/17b tô ngọc vân, Thạnh xuân</t>
  </si>
  <si>
    <t>Võ Thu Hà</t>
  </si>
  <si>
    <t>HD002809</t>
  </si>
  <si>
    <t>262/15 lũy bán bích, hòa thạch</t>
  </si>
  <si>
    <t>PUNLORK</t>
  </si>
  <si>
    <t>Xe Phy Phy</t>
  </si>
  <si>
    <t>thu hộ shop</t>
  </si>
  <si>
    <t>Ly Na</t>
  </si>
  <si>
    <t>HD002697</t>
  </si>
  <si>
    <t>98 vũ tông phan, p bình trưng</t>
  </si>
  <si>
    <t>Pé Py</t>
  </si>
  <si>
    <t>HD002724</t>
  </si>
  <si>
    <t>47 bùi đình tuý, P14</t>
  </si>
  <si>
    <t>Ngọc Lan</t>
  </si>
  <si>
    <t>HD002643</t>
  </si>
  <si>
    <t>13 mai xuân thưởng, p11</t>
  </si>
  <si>
    <t>lindsiepham</t>
  </si>
  <si>
    <t>HD002689</t>
  </si>
  <si>
    <t>landmark 5b vinhomes central park</t>
  </si>
  <si>
    <t>VICKY TRAN</t>
  </si>
  <si>
    <t>127/17 bình lợi p13</t>
  </si>
  <si>
    <t>Ly Clara Selena</t>
  </si>
  <si>
    <t>403 tân sơn p12</t>
  </si>
  <si>
    <t>May Oo (Isabella)</t>
  </si>
  <si>
    <t>494/1/12 le quang dinh,P1</t>
  </si>
  <si>
    <t>Cherry Nguyễn</t>
  </si>
  <si>
    <t>HD002837</t>
  </si>
  <si>
    <t>66 hùng vương p1</t>
  </si>
  <si>
    <t>Ngọc Trương</t>
  </si>
  <si>
    <t>HD002835</t>
  </si>
  <si>
    <t>462 phan xích long p2</t>
  </si>
  <si>
    <t>Ín Nile</t>
  </si>
  <si>
    <t>HD002700</t>
  </si>
  <si>
    <t>429/1 nguyễn kiệm p9</t>
  </si>
  <si>
    <t>Jenny Tran</t>
  </si>
  <si>
    <t>HD002603</t>
  </si>
  <si>
    <t>737/1C Lạc Long Quân F10</t>
  </si>
  <si>
    <t>T4.18.3.2026</t>
  </si>
  <si>
    <t>532/3/6 kinh duong vuong</t>
  </si>
  <si>
    <t>16-03-2026</t>
  </si>
  <si>
    <t>kh ck 750</t>
  </si>
  <si>
    <t>NGAY 19-3</t>
  </si>
  <si>
    <t>Tiên</t>
  </si>
  <si>
    <t>HD002831</t>
  </si>
  <si>
    <t>Toà A2 chung cư gia hoà</t>
  </si>
  <si>
    <t>19-03-2026</t>
  </si>
  <si>
    <t>T8-20 mahattan vinhomes Grand park, phường long bình</t>
  </si>
  <si>
    <t>AT 19-03</t>
  </si>
  <si>
    <t>Trinh</t>
  </si>
  <si>
    <t>HD003016</t>
  </si>
  <si>
    <t>105 lý phục man bình thuận</t>
  </si>
  <si>
    <t>kh ck 480</t>
  </si>
  <si>
    <t>Jang Milk</t>
  </si>
  <si>
    <t>HD003133</t>
  </si>
  <si>
    <t>118 Huỳnh Tấn Phát Tân Thuận Tây</t>
  </si>
  <si>
    <t>Pé Thỏ</t>
  </si>
  <si>
    <t>HD003156</t>
  </si>
  <si>
    <t>1002 tạ quang bừu f6 Chung cư the pegasuite1 (zone1)</t>
  </si>
  <si>
    <t>Thảo Ly Nguyễn</t>
  </si>
  <si>
    <t>HD002894</t>
  </si>
  <si>
    <t>35/4 đường Nguyễn thị búp phường hiệp thành</t>
  </si>
  <si>
    <t>Thanh Mây</t>
  </si>
  <si>
    <t>HD003139</t>
  </si>
  <si>
    <t>70G hẻm F1 xã Vĩnh Lộc A</t>
  </si>
  <si>
    <t>binh chanh</t>
  </si>
  <si>
    <t>Bích Huyền</t>
  </si>
  <si>
    <t>HD003079</t>
  </si>
  <si>
    <t>Số 4 đường số 22 khu dân cư bình hưng xã binh hưng</t>
  </si>
  <si>
    <t>Vòng Hồng Tuyền</t>
  </si>
  <si>
    <t>HD002956</t>
  </si>
  <si>
    <t>125/34 tây lân, phường bình trị động a</t>
  </si>
  <si>
    <t>Ngọc Sương</t>
  </si>
  <si>
    <t>HD002909</t>
  </si>
  <si>
    <t>704/44 hương lộ 2, bình trị đông a</t>
  </si>
  <si>
    <t>Doan Sam</t>
  </si>
  <si>
    <t>HD002953</t>
  </si>
  <si>
    <t>170/9a đường Trưng Vương 3, Ấp 61, Xã Bà Điểm</t>
  </si>
  <si>
    <t>hoc mon</t>
  </si>
  <si>
    <t>Nhung Xuxy</t>
  </si>
  <si>
    <t>HD003018</t>
  </si>
  <si>
    <t>2/11 thiên phước phường 9</t>
  </si>
  <si>
    <t>Anh Nhi Phương hoa (ah ni )</t>
  </si>
  <si>
    <t>HD003092</t>
  </si>
  <si>
    <t>007 LÔ B, Đường Cô, C/C Tây Thanh, P. Tây Thạnh</t>
  </si>
  <si>
    <t>Kim Liên</t>
  </si>
  <si>
    <t>HD003047</t>
  </si>
  <si>
    <t>hẻm 10/4 tên quý</t>
  </si>
  <si>
    <t>Lâm Tiên</t>
  </si>
  <si>
    <t>HD003140</t>
  </si>
  <si>
    <t>961 Hậu Giang, Lô D, Chung Cư An Phú</t>
  </si>
  <si>
    <t>Nuong Huynh</t>
  </si>
  <si>
    <t>HD002920</t>
  </si>
  <si>
    <t>67 mai chí thọ phường an phú Cc lexington block B</t>
  </si>
  <si>
    <t>Bằng Bing</t>
  </si>
  <si>
    <t>HD002901</t>
  </si>
  <si>
    <t>Landmark 5, Vinhome central park, F22</t>
  </si>
  <si>
    <t>Kim Anh</t>
  </si>
  <si>
    <t>HD002992</t>
  </si>
  <si>
    <t>124/83/1 xô viết nghệ tĩnh p21</t>
  </si>
  <si>
    <t>401 quang trung f10</t>
  </si>
  <si>
    <t>Võ Ngọc Tường Vy</t>
  </si>
  <si>
    <t>HD003121</t>
  </si>
  <si>
    <t>14/11 bàu bàng, p13</t>
  </si>
  <si>
    <t>Mr Thế</t>
  </si>
  <si>
    <t>27/5 Quách Văn Tuấn, F12</t>
  </si>
  <si>
    <t>Phương Trang</t>
  </si>
  <si>
    <t>HD003015</t>
  </si>
  <si>
    <t>189b/a29 cống quỳnh phường nguyễn cư trinh</t>
  </si>
  <si>
    <t>Danh Hồng</t>
  </si>
  <si>
    <t>HD003149</t>
  </si>
  <si>
    <t>33 nguyễn văn giai p đakao</t>
  </si>
  <si>
    <t>Lý Minh Đức - fb Jolies Le</t>
  </si>
  <si>
    <t>HD003157</t>
  </si>
  <si>
    <t>581 tran hung đạo</t>
  </si>
  <si>
    <t>Lien Thuy</t>
  </si>
  <si>
    <t>HD003107</t>
  </si>
  <si>
    <t>151 nguyễn định chiều p.xuân hoà</t>
  </si>
  <si>
    <t>Đào Minh Ánh</t>
  </si>
  <si>
    <t>HD003132</t>
  </si>
  <si>
    <t xml:space="preserve">91/2a, Nguyễn Khoái, Phường 1 </t>
  </si>
  <si>
    <t>Nguyễn LyNa</t>
  </si>
  <si>
    <t>HD003104</t>
  </si>
  <si>
    <t>Chung cư số 1 tôn thất thuyết p1</t>
  </si>
  <si>
    <t>kh ck 1525</t>
  </si>
  <si>
    <t>NGUYÊN NGUYÊN</t>
  </si>
  <si>
    <t>12 TÔN ĐẢN P13</t>
  </si>
  <si>
    <t>kim ngân</t>
  </si>
  <si>
    <t>HD002974</t>
  </si>
  <si>
    <t>162 đường số 3 xã bình hưng</t>
  </si>
  <si>
    <t>Hoàng Kim</t>
  </si>
  <si>
    <t>HD002898</t>
  </si>
  <si>
    <t>162 đường số 3, Trung Sơn, Bình Hưng</t>
  </si>
  <si>
    <t>Linh</t>
  </si>
  <si>
    <t>B12-03 Block B, botanica premier, 112 hồng hà p2</t>
  </si>
  <si>
    <t>T5.19.3.2026</t>
  </si>
  <si>
    <t>NGAY 20-3</t>
  </si>
  <si>
    <t>Bình Bee</t>
  </si>
  <si>
    <t>HD003301</t>
  </si>
  <si>
    <t>133 đỗ xuân hợp, phường phước long B</t>
  </si>
  <si>
    <t>20-03-2026</t>
  </si>
  <si>
    <t>QUÝ KHÁCH VUI LÒNG</t>
  </si>
  <si>
    <t>Số nhà 97A, đường 22, phường phước long</t>
  </si>
  <si>
    <t>Ng T Thi</t>
  </si>
  <si>
    <t>HD003004</t>
  </si>
  <si>
    <t>1135/17/28 huỳn tấn phát</t>
  </si>
  <si>
    <t>AT 20-03</t>
  </si>
  <si>
    <t>kh ck shop 1320</t>
  </si>
  <si>
    <t>Người Nhân Kim Loan (Ivybee)</t>
  </si>
  <si>
    <t>HD003237</t>
  </si>
  <si>
    <t>127/48/30 Âu Cơ, phường 14</t>
  </si>
  <si>
    <t>W2886</t>
  </si>
  <si>
    <t>HD003205</t>
  </si>
  <si>
    <t>Địa chỉ: 375 tân thới hiệp 21, Tổ 3,Kp3 ( nhớ gõ đủ) Số kho : 0325267896 ( nhớ ghi mã khách hàng )</t>
  </si>
  <si>
    <t>Nguyễn Huyền Trang</t>
  </si>
  <si>
    <t>HD003296</t>
  </si>
  <si>
    <t>67 duong 14 khu lovera khang điền phong phú 4</t>
  </si>
  <si>
    <t>Misa Trần</t>
  </si>
  <si>
    <t>HD003216</t>
  </si>
  <si>
    <t>27 Đường Số 1 tân tạo a</t>
  </si>
  <si>
    <t>Nguyễn Thu Phương</t>
  </si>
  <si>
    <t>HD003361</t>
  </si>
  <si>
    <t>Sunrise riverside tháp H Đường Nguyễn hữu thọ</t>
  </si>
  <si>
    <t>HD003300</t>
  </si>
  <si>
    <t>10 Nguyễn Thái Học, phường Tân Thành</t>
  </si>
  <si>
    <t>HD003241</t>
  </si>
  <si>
    <t>Bẹp</t>
  </si>
  <si>
    <t>HD003353</t>
  </si>
  <si>
    <t>Lanmark 5-vinhome central park, Nguyễn hữu cảnh- thạnh mỹ tây</t>
  </si>
  <si>
    <t>HÀ VY</t>
  </si>
  <si>
    <t>482/10/26 nơ trang long, p13</t>
  </si>
  <si>
    <t>TRANG TRẦN 2</t>
  </si>
  <si>
    <t>tên Xuân ( nhan gium Nhi Doan)</t>
  </si>
  <si>
    <t>HD003330</t>
  </si>
  <si>
    <t>33/9 Quách Văn Tuấn phuong 12</t>
  </si>
  <si>
    <t>Phạm Thị Bảo Trân</t>
  </si>
  <si>
    <t>HD003288</t>
  </si>
  <si>
    <t>Block B Chung Cư Urban Green, Đường Số 6, Hiệp Bình</t>
  </si>
  <si>
    <t>Ánh Hồng</t>
  </si>
  <si>
    <t>HD003225</t>
  </si>
  <si>
    <t>82/28 đường số 2 phường hiệp bình phước</t>
  </si>
  <si>
    <t>thu đuc</t>
  </si>
  <si>
    <t>Như Quỳnh</t>
  </si>
  <si>
    <t>HD003309</t>
  </si>
  <si>
    <t>32 nguyễn cư trinh</t>
  </si>
  <si>
    <t>HD003245</t>
  </si>
  <si>
    <t>Chị Oanh fb Ivy Trần</t>
  </si>
  <si>
    <t>HD003191</t>
  </si>
  <si>
    <t>Toà nhà Takashimaya (cổng giao hàng) _ Số 92 – 94 Nam Kỳ Khởi Nghĩa, Phường Bến Nghé</t>
  </si>
  <si>
    <t>Diệu Ngọc</t>
  </si>
  <si>
    <t>HD003362</t>
  </si>
  <si>
    <t>40e ngô đức kể,bến nghé</t>
  </si>
  <si>
    <t>Mai Nhung</t>
  </si>
  <si>
    <t>HD003167</t>
  </si>
  <si>
    <t>346 bến vân đồn, P1</t>
  </si>
  <si>
    <t>borameyyy 015738168</t>
  </si>
  <si>
    <t>HD003117</t>
  </si>
  <si>
    <t>363-365-367, 363 Đ. Hùng Vương, Phường 9</t>
  </si>
  <si>
    <t>Kim An</t>
  </si>
  <si>
    <t>HD003281</t>
  </si>
  <si>
    <t>Bệnh viện Emcas 14/27 Hoàng Dư Khương, f12</t>
  </si>
  <si>
    <t>thu thu</t>
  </si>
  <si>
    <t>HD003359</t>
  </si>
  <si>
    <t>165/1 bạch đằng p2</t>
  </si>
  <si>
    <t>T6.20.3.2026</t>
  </si>
  <si>
    <t>kh ck shop 1450</t>
  </si>
  <si>
    <t>NGAY 21-3</t>
  </si>
  <si>
    <t>Nhung Dang</t>
  </si>
  <si>
    <t>HD003482</t>
  </si>
  <si>
    <t>17 Hưng gia3 Tân phong</t>
  </si>
  <si>
    <t>AT 21-03</t>
  </si>
  <si>
    <t>21-03-2026</t>
  </si>
  <si>
    <t>Rose Love</t>
  </si>
  <si>
    <t>HD003506</t>
  </si>
  <si>
    <t>206 quách đình bảo phú thạnh</t>
  </si>
  <si>
    <t>Le Bao Ngoc</t>
  </si>
  <si>
    <t>HD003683</t>
  </si>
  <si>
    <t>chung cư Century Celadon, phường Sơn Kỳ - Sảnh C5 cổng 1</t>
  </si>
  <si>
    <t>Mr Adam/Fanee</t>
  </si>
  <si>
    <t>HD003422</t>
  </si>
  <si>
    <t>Chung cư Conic Reverside (Block A), Đường số 1, KDC Conic, khu phố 6</t>
  </si>
  <si>
    <t>Bích Ngà</t>
  </si>
  <si>
    <t>HD003643</t>
  </si>
  <si>
    <t>Nhà 18 lỗ H đường số 2 khu dân cư phú mỹ cửa màu đen có 2 cây mai to đường hoàng quốc việt quẹo vào, phường phú mỹ</t>
  </si>
  <si>
    <t>Nhi Nguyễn</t>
  </si>
  <si>
    <t>HD003289</t>
  </si>
  <si>
    <t>1185 lê đức anh khu phố 5 phường an lạc</t>
  </si>
  <si>
    <t>Dung Nguyễn</t>
  </si>
  <si>
    <t>HD003503</t>
  </si>
  <si>
    <t>1123 quốc lộ 1ạ, tân tạo, chung cư an gia the star</t>
  </si>
  <si>
    <t>Trịnh Hoài Thương</t>
  </si>
  <si>
    <t>HD003358</t>
  </si>
  <si>
    <t>75 tô hiệu phú thạnh</t>
  </si>
  <si>
    <t>LDVKH</t>
  </si>
  <si>
    <t>HD003456</t>
  </si>
  <si>
    <t>177c, Đường Số 1, P. Bình Hưng Hòa B</t>
  </si>
  <si>
    <t>Mercy Nguyễn Phu</t>
  </si>
  <si>
    <t>HD003706</t>
  </si>
  <si>
    <t>298/16/8B Tân Hoà Đông P bình trị đông</t>
  </si>
  <si>
    <t>HD003593</t>
  </si>
  <si>
    <t>Dream Home Palace (1436 Trịnh Quang Nghị, P7)</t>
  </si>
  <si>
    <t>g nghi</t>
  </si>
  <si>
    <t>Ngọc Dung</t>
  </si>
  <si>
    <t>HD003412</t>
  </si>
  <si>
    <t>2581/79a huỳnh tấn phát</t>
  </si>
  <si>
    <t>Từ Thụy Hồng Ngọc</t>
  </si>
  <si>
    <t>HD003555</t>
  </si>
  <si>
    <t>154/136/15/3 Au luong lan p3</t>
  </si>
  <si>
    <t>Cherry Nguyên</t>
  </si>
  <si>
    <t>HD003731</t>
  </si>
  <si>
    <t>A4/40A2 Tổ 4 ấp 1A đường 1C, xã Vĩnh Lộc B</t>
  </si>
  <si>
    <t>HD003685</t>
  </si>
  <si>
    <t>Thanh Thao</t>
  </si>
  <si>
    <t>HD003554</t>
  </si>
  <si>
    <t>1053/23/5 lê đức thọ p16</t>
  </si>
  <si>
    <t>Trần Mỹ Nhi</t>
  </si>
  <si>
    <t>HD003684</t>
  </si>
  <si>
    <t>352 Nguyễn xí p13</t>
  </si>
  <si>
    <t>Phạm Dung</t>
  </si>
  <si>
    <t>HD003689</t>
  </si>
  <si>
    <t>208 nguyễn hữu cảnh phường 22 chung cư vinhome - toà lanmark 5</t>
  </si>
  <si>
    <t>Quyên Nguyễn</t>
  </si>
  <si>
    <t>HD003233</t>
  </si>
  <si>
    <t>The opera residence tháp B scala</t>
  </si>
  <si>
    <t>Chị Nhậm ( gửi đồ cho Julie em chị Hà ở Úc) - fb Gia Khánh Linh</t>
  </si>
  <si>
    <t>HD003539</t>
  </si>
  <si>
    <t>40/8 xuân Thuỷ - Thảo Điền</t>
  </si>
  <si>
    <t>Kim Phú</t>
  </si>
  <si>
    <t>HD003644</t>
  </si>
  <si>
    <t>89/57 đường số 59 p14</t>
  </si>
  <si>
    <t>Tâm Như</t>
  </si>
  <si>
    <t>HD003500</t>
  </si>
  <si>
    <t>129/34 Nguyễn Văn Công, phường 3, Phường Gò Vấp</t>
  </si>
  <si>
    <t>Quỳnh Như</t>
  </si>
  <si>
    <t>HD003498</t>
  </si>
  <si>
    <t>79a đường số 12 linh tây</t>
  </si>
  <si>
    <t>Tên Khải fb : Lysa Kim</t>
  </si>
  <si>
    <t>HD003566</t>
  </si>
  <si>
    <t>124 Nam kỳ khởi nghĩa, phường bến nghé</t>
  </si>
  <si>
    <t>cô hai fb MeiLing Loke</t>
  </si>
  <si>
    <t>HD003670</t>
  </si>
  <si>
    <t>52/20 hồ thị kỷ f1 gặp cô 2</t>
  </si>
  <si>
    <t>giàu - gửi hàng cho Mỹ Phùng</t>
  </si>
  <si>
    <t>HD003541</t>
  </si>
  <si>
    <t>37 Đặng Minh Trứ, Phường Bảy Hiền</t>
  </si>
  <si>
    <t>Hoàng Yến Như</t>
  </si>
  <si>
    <t>HD003699</t>
  </si>
  <si>
    <t>145/11 Nguyễn Văn Trỗi, phường Phú Nhuận</t>
  </si>
  <si>
    <t>Thuý Ngân Nguyễn</t>
  </si>
  <si>
    <t>HD003531</t>
  </si>
  <si>
    <t>257/6/11A Phan xích Long p 2</t>
  </si>
  <si>
    <t>Gia Huy nhận của ELIS NGUYỄN ( singapore)</t>
  </si>
  <si>
    <t>HD003567</t>
  </si>
  <si>
    <t>2/11 Đường Thiên Phước, Phường 9</t>
  </si>
  <si>
    <t>nhà xe Khải Nam</t>
  </si>
  <si>
    <t>363 Đường Hùng vương P. 9</t>
  </si>
  <si>
    <t>Thanh Hằng ( Vivi Kosalim )</t>
  </si>
  <si>
    <t>605 Âu Cơ, Phường Phú Trung</t>
  </si>
  <si>
    <t>T7.21.3.2026</t>
  </si>
  <si>
    <t>kh ck shop 820</t>
  </si>
  <si>
    <t>NGAY 23-3</t>
  </si>
  <si>
    <t>Mai Thuy Lin</t>
  </si>
  <si>
    <t>HD003835</t>
  </si>
  <si>
    <t>Số 10A đại lộ hữu nghị</t>
  </si>
  <si>
    <t>23-03-2026</t>
  </si>
  <si>
    <t>Ruby Thao Tran</t>
  </si>
  <si>
    <t>HD004126</t>
  </si>
  <si>
    <t>86/2 đình phong Phu Tang Nhơn Phú</t>
  </si>
  <si>
    <t>Mai Thị Thu Phương</t>
  </si>
  <si>
    <t>HD003912</t>
  </si>
  <si>
    <t>Đường Số 297 Hẻm 5 Số Nhà 35/31D, Phường Phước Long B</t>
  </si>
  <si>
    <t>Thảo Nguyên</t>
  </si>
  <si>
    <t>HD004240</t>
  </si>
  <si>
    <t>chung cư Garden Court 2, đ.Tôn Dật Tiên</t>
  </si>
  <si>
    <t>AT 23-03</t>
  </si>
  <si>
    <t>Thụy An Dao</t>
  </si>
  <si>
    <t>HD003860</t>
  </si>
  <si>
    <t>Sảnh B2 chung cư Emerald phường sơn kỳ</t>
  </si>
  <si>
    <t>Dung Nguyen</t>
  </si>
  <si>
    <t>HD003942</t>
  </si>
  <si>
    <t>1123 quốc lộ 1a, tân tạo, chung cư an gia the star</t>
  </si>
  <si>
    <t>Diễm Phúc</t>
  </si>
  <si>
    <t>HD003938</t>
  </si>
  <si>
    <t>314/138 đường âu dương lân, p3</t>
  </si>
  <si>
    <t>Shin (inst shingg988)</t>
  </si>
  <si>
    <t>HD003943</t>
  </si>
  <si>
    <t>The park residence nguyễn hữu thọ phước kiến</t>
  </si>
  <si>
    <t>Thư Võ</t>
  </si>
  <si>
    <t>HD003996</t>
  </si>
  <si>
    <t>510 kinh dương vương, an lạc</t>
  </si>
  <si>
    <t>Tiên - Quyên</t>
  </si>
  <si>
    <t>HD003907</t>
  </si>
  <si>
    <t>Chung cư b1, Bông Sao, phường Bình Đông</t>
  </si>
  <si>
    <t>Tram Ho</t>
  </si>
  <si>
    <t>HD004103</t>
  </si>
  <si>
    <t>50/63/21 TX25, phường thới an</t>
  </si>
  <si>
    <t>Suby Phạm</t>
  </si>
  <si>
    <t>HD003905</t>
  </si>
  <si>
    <t>16 đường 36 Tân quy</t>
  </si>
  <si>
    <t>Tường Vy</t>
  </si>
  <si>
    <t>HD004049</t>
  </si>
  <si>
    <t>địa chỉ 13 mai am p9</t>
  </si>
  <si>
    <t>Le Hai</t>
  </si>
  <si>
    <t>HD003826</t>
  </si>
  <si>
    <t>161B/50 lạc long quân, p3</t>
  </si>
  <si>
    <t>Trần Khả Nhi</t>
  </si>
  <si>
    <t>HD003918</t>
  </si>
  <si>
    <t>288/30 duong bá trạc p2</t>
  </si>
  <si>
    <t>HD003946</t>
  </si>
  <si>
    <t>(LDVKH1211714)177C ( Đối diện 93C) Đường Số 1, Phường Hưng Hoà B , BÃI XE MINH CHÂU</t>
  </si>
  <si>
    <t>chị ngọc</t>
  </si>
  <si>
    <t>HD003777</t>
  </si>
  <si>
    <t>C4/68 phạm hùng</t>
  </si>
  <si>
    <t>605 Âu Cơ, phường Phú Trung</t>
  </si>
  <si>
    <t>Ng Mai</t>
  </si>
  <si>
    <t>HD003738</t>
  </si>
  <si>
    <t>109 Nguyễn thi xinh phường thới an</t>
  </si>
  <si>
    <t>Thanh Canh Nguyễn</t>
  </si>
  <si>
    <t>HD003816</t>
  </si>
  <si>
    <t>91 đường 21 tan quy</t>
  </si>
  <si>
    <t>Huyền Trang</t>
  </si>
  <si>
    <t>HD004026</t>
  </si>
  <si>
    <t>72 Hoàng Trọng Mậu, Phường Tân Hưng ( KDC Himlam )</t>
  </si>
  <si>
    <t>MC Sanita Mao (MV01908)</t>
  </si>
  <si>
    <t>HD004125</t>
  </si>
  <si>
    <t>315/18/6 Nguyễn Thị Tú</t>
  </si>
  <si>
    <t>Nguyễn Phương Thảo</t>
  </si>
  <si>
    <t>HD004071</t>
  </si>
  <si>
    <t>Địa chỉ 97 Thành Công Tân Thành</t>
  </si>
  <si>
    <t>Heng Roza (EV38382)</t>
  </si>
  <si>
    <t>HD003772</t>
  </si>
  <si>
    <t>315/18/6 Nhuyễn Thị Tú, Phường Bình Hưng Hòa B</t>
  </si>
  <si>
    <t>Huỳnh Quế Trinh</t>
  </si>
  <si>
    <t>HD004044</t>
  </si>
  <si>
    <t>166 đường số 1, khu phố 25, phường Bình Hưng Hòa</t>
  </si>
  <si>
    <t>Nhung Nguyễn</t>
  </si>
  <si>
    <t>HD004167</t>
  </si>
  <si>
    <t>341/13s Lạc Long quận phường 5</t>
  </si>
  <si>
    <t>Selina Chau</t>
  </si>
  <si>
    <t>HD004280</t>
  </si>
  <si>
    <t>23 Ng Hữu Thọ toà nhà Sunrise City p. Tân Hưng</t>
  </si>
  <si>
    <t>Jess-9244</t>
  </si>
  <si>
    <t>MINH ZU</t>
  </si>
  <si>
    <t>631 nguyễn văn quá đông hưng thuận</t>
  </si>
  <si>
    <t>Mie</t>
  </si>
  <si>
    <t>Chung cư Sunshine, 23 Phú Thuận Tân Phú</t>
  </si>
  <si>
    <t>Tuyết Nhi ZL2</t>
  </si>
  <si>
    <t>170F Tân Hòa Đông f14</t>
  </si>
  <si>
    <t>My Yến</t>
  </si>
  <si>
    <t>HD004141</t>
  </si>
  <si>
    <t>334/33/1C Chu văn an, phường 12</t>
  </si>
  <si>
    <t>Nhận hộ fb Nguyễn Hà</t>
  </si>
  <si>
    <t>HD004016</t>
  </si>
  <si>
    <t>433/11/2 Lê Đức Thọ, Phường 17</t>
  </si>
  <si>
    <t>A Cường - Hoàng My</t>
  </si>
  <si>
    <t>HD004072</t>
  </si>
  <si>
    <t>635/78/20 xô viết nghệ tĩnh, phường 26</t>
  </si>
  <si>
    <t>Nguyễn Ánh Dương</t>
  </si>
  <si>
    <t>HD003876</t>
  </si>
  <si>
    <t>382/3/22 nguyễn thái sơn khu phố 1 phường An Nhơn</t>
  </si>
  <si>
    <t>Mon Huỳnh</t>
  </si>
  <si>
    <t>HD004205</t>
  </si>
  <si>
    <t>93 đường số 1 PHƯỜNG 4</t>
  </si>
  <si>
    <t>Mỹ Nga</t>
  </si>
  <si>
    <t>HD004094</t>
  </si>
  <si>
    <t>75/19/7 nguyen sy sach p tân sơn</t>
  </si>
  <si>
    <t>Mỹ</t>
  </si>
  <si>
    <t>HD004090</t>
  </si>
  <si>
    <t>Toà Landmark 6 - Vinhomes Central Park 208 Nguyễn Hữu Cảnh Phường 22</t>
  </si>
  <si>
    <t>Mộng Cầm</t>
  </si>
  <si>
    <t>HD003869</t>
  </si>
  <si>
    <t>222 nguyễn văn đậu p bình lợi trung</t>
  </si>
  <si>
    <t>Giang Thạch Thảo</t>
  </si>
  <si>
    <t>HD003948</t>
  </si>
  <si>
    <t>24 đường 10 Thảo Điền</t>
  </si>
  <si>
    <t>HD003873</t>
  </si>
  <si>
    <t>18/42/9/36 Đường số 53, Phường 14</t>
  </si>
  <si>
    <t>Nguyễn Huỳnh Cẩm Tú</t>
  </si>
  <si>
    <t>HD004266</t>
  </si>
  <si>
    <t>Chung cư park 1, Vinhomes Central Park, Phường 22</t>
  </si>
  <si>
    <t>Ngọc Anh</t>
  </si>
  <si>
    <t>HD003762</t>
  </si>
  <si>
    <t>chung cư flora novia, block b phạm văn đồng, an bình</t>
  </si>
  <si>
    <t>Minh Thao Le</t>
  </si>
  <si>
    <t>HD004268</t>
  </si>
  <si>
    <t>35/5 nguyên văn lượng f.17</t>
  </si>
  <si>
    <t>Diệu Quyên</t>
  </si>
  <si>
    <t>HD004178</t>
  </si>
  <si>
    <t>242/20 phạm văn bạch p15</t>
  </si>
  <si>
    <t>HD004063</t>
  </si>
  <si>
    <t>Trúc Nguyễn</t>
  </si>
  <si>
    <t>HD004008</t>
  </si>
  <si>
    <t>33 Đường 6 Linh Chiểu</t>
  </si>
  <si>
    <t>Phuong truong - Bình Trần</t>
  </si>
  <si>
    <t>41/8 Mai Lão Bạng, Phường 13</t>
  </si>
  <si>
    <t>BOS BMB</t>
  </si>
  <si>
    <t>119 hoàng diệu 2 linh trung</t>
  </si>
  <si>
    <t>Chau Bui</t>
  </si>
  <si>
    <t>HD004121</t>
  </si>
  <si>
    <t>20-22 phạm ngọc thạch</t>
  </si>
  <si>
    <t>HD003920</t>
  </si>
  <si>
    <t>55 nguyễn cư trinh</t>
  </si>
  <si>
    <t>Kim Diệu</t>
  </si>
  <si>
    <t>HD004101</t>
  </si>
  <si>
    <t>24 yên thế, tân sơn hòa</t>
  </si>
  <si>
    <t>Ái Ph</t>
  </si>
  <si>
    <t>HD003994</t>
  </si>
  <si>
    <t>chợ phạm văn hai p3</t>
  </si>
  <si>
    <t>NGUYỄN DUY BÀO - fb Nguyễn Hoàng Yến</t>
  </si>
  <si>
    <t>HD003449</t>
  </si>
  <si>
    <t>129/23D, Nguyễn Trãi, phường Chợ Quán</t>
  </si>
  <si>
    <t>Ngọc Tuyền</t>
  </si>
  <si>
    <t>HD004129</t>
  </si>
  <si>
    <t>Saigon Royal OT2</t>
  </si>
  <si>
    <t>Trâm Nguyễn</t>
  </si>
  <si>
    <t>HD003937</t>
  </si>
  <si>
    <t>462/ A 17 Đường 3/2 P12</t>
  </si>
  <si>
    <t>vi</t>
  </si>
  <si>
    <t>HD004117</t>
  </si>
  <si>
    <t>261b hai bà trưng phường võ thị sáu</t>
  </si>
  <si>
    <t>Ngọc Mai</t>
  </si>
  <si>
    <t>HD004035</t>
  </si>
  <si>
    <t>TPHCM: 5/5 Nguyễn Văn Vĩnh, Phường 4</t>
  </si>
  <si>
    <t>Võ Ngọc Trâm</t>
  </si>
  <si>
    <t>HD004100</t>
  </si>
  <si>
    <t>491 Điện Biên Phủ P3</t>
  </si>
  <si>
    <t>Trần Thục Oanh</t>
  </si>
  <si>
    <t>HD003882</t>
  </si>
  <si>
    <t>118 đường 3/2, p12</t>
  </si>
  <si>
    <t>Nga Tran</t>
  </si>
  <si>
    <t>HD003608</t>
  </si>
  <si>
    <t>số 229A Đường bùi thị xuân phu re - tphcm. ( chỉ nhận hàng git hành chính thứ 2 đến thứ 7, Sáng 8h đến điều 5:30 )</t>
  </si>
  <si>
    <t>Phi Yến</t>
  </si>
  <si>
    <t>HD003812</t>
  </si>
  <si>
    <t>216 tran hung dao p nct</t>
  </si>
  <si>
    <t>Thúy Fb Huỳnh Thị Thuỷ An</t>
  </si>
  <si>
    <t>HD003831</t>
  </si>
  <si>
    <t>958/13/8 Lạc Long Quân P8</t>
  </si>
  <si>
    <t>HD003793</t>
  </si>
  <si>
    <t>61/14 an bình p6</t>
  </si>
  <si>
    <t>Miêu My</t>
  </si>
  <si>
    <t>HD003799</t>
  </si>
  <si>
    <t>360A Bến Vân Đồn Phường 1</t>
  </si>
  <si>
    <t>Lê Mai</t>
  </si>
  <si>
    <t>HD004241</t>
  </si>
  <si>
    <t>120/1 Lê Lai phường Bến Thành</t>
  </si>
  <si>
    <t>Thủy Huỳnh page dnc</t>
  </si>
  <si>
    <t>HD004065</t>
  </si>
  <si>
    <t>88/3D/5 Nguyễn khoái p2</t>
  </si>
  <si>
    <t>yến trinh</t>
  </si>
  <si>
    <t>HD004299</t>
  </si>
  <si>
    <t>21 ngô thời nhiệm xuân hòa</t>
  </si>
  <si>
    <t>shop chịu ship</t>
  </si>
  <si>
    <t>HD004282</t>
  </si>
  <si>
    <t>a 576/110E đoàn văn bơ</t>
  </si>
  <si>
    <t>Nguyễn Nhi</t>
  </si>
  <si>
    <t>HD003513</t>
  </si>
  <si>
    <t>số 18 giải phóng p4</t>
  </si>
  <si>
    <t>SU ANH</t>
  </si>
  <si>
    <t>22/40 Yên Thế, P2</t>
  </si>
  <si>
    <t>T2.23.3.2026</t>
  </si>
  <si>
    <t>đơn trả 24.3</t>
  </si>
  <si>
    <t>T3.24.3.2026</t>
  </si>
  <si>
    <t>NGAY 24-3</t>
  </si>
  <si>
    <t>Mien Tran</t>
  </si>
  <si>
    <t>14 Lam Thi Ho, Tan Chanh Hiep Ward</t>
  </si>
  <si>
    <t>24-03-2026</t>
  </si>
  <si>
    <t>SUSI</t>
  </si>
  <si>
    <t>22,TÂN THỚI NHẤT 1B, Phường Tân Thới Nhất</t>
  </si>
  <si>
    <t>HD004392</t>
  </si>
  <si>
    <t>AT 24-03</t>
  </si>
  <si>
    <t>Thanh Hiền</t>
  </si>
  <si>
    <t>HD004324</t>
  </si>
  <si>
    <t>Block D1, Chung cư Hoàng Anh Gia Lai 3, Đường Nguyễn Hữu Thọ, xã Phước Kiến</t>
  </si>
  <si>
    <t>PU PU</t>
  </si>
  <si>
    <t>HD004481</t>
  </si>
  <si>
    <t>86 xuân thuỷ thảo điền</t>
  </si>
  <si>
    <t>Thiên lý fb Mei Chan</t>
  </si>
  <si>
    <t>HD004371</t>
  </si>
  <si>
    <t>55 đường 18, khu phố 4, Phường Hiệp Bình</t>
  </si>
  <si>
    <t>chuột ( fb Pon Nis)</t>
  </si>
  <si>
    <t>HD004468</t>
  </si>
  <si>
    <t>68 Tây Lân,P.Bình Trị Đông A</t>
  </si>
  <si>
    <t>HD004388</t>
  </si>
  <si>
    <t>Qiun</t>
  </si>
  <si>
    <t>HD004338</t>
  </si>
  <si>
    <t>92/10e đường số 2 P Trường Thọ</t>
  </si>
  <si>
    <t>trúc nguyễn</t>
  </si>
  <si>
    <t>HD004444</t>
  </si>
  <si>
    <t>861 Trần Xuân Soạn phường Tân Hưng</t>
  </si>
  <si>
    <t>Hàn Bảo Xuyên</t>
  </si>
  <si>
    <t>HD004397</t>
  </si>
  <si>
    <t>2a đường 79 phường tân quy</t>
  </si>
  <si>
    <t>( Cô Trang Giáo Viên )</t>
  </si>
  <si>
    <t>HD004334</t>
  </si>
  <si>
    <t>Địa chỉ: Trường tiểu học Lê Văn Thọ, ở 1115 Lê Đức Thọ, phường An Hội Đông (phường 13 cũ)</t>
  </si>
  <si>
    <t>Tammie Ng</t>
  </si>
  <si>
    <t>HD004418</t>
  </si>
  <si>
    <t>Dạ 479 vinh viễn, phường diên hồng</t>
  </si>
  <si>
    <t>kim xuyến</t>
  </si>
  <si>
    <t>HD004284</t>
  </si>
  <si>
    <t>1002 tạ quang bửu p6</t>
  </si>
  <si>
    <t>BN2422 somsom(inst -som_sompimvipa)</t>
  </si>
  <si>
    <t>HD004367</t>
  </si>
  <si>
    <t>163 Đường Trương Thị Hoa, phường Hiệp Thành</t>
  </si>
  <si>
    <t>Đinh Thị Băng Tâm</t>
  </si>
  <si>
    <t>HD004375</t>
  </si>
  <si>
    <t>138/7 bùi thị xuân bến thành</t>
  </si>
  <si>
    <t>Thảo Li</t>
  </si>
  <si>
    <t>HD004411</t>
  </si>
  <si>
    <t>1264/57/45D Lê Đức Thọ P13</t>
  </si>
  <si>
    <t>T4.25.3.2026</t>
  </si>
  <si>
    <t>NGAY 25-3</t>
  </si>
  <si>
    <t>Công Thanh - fb Bảo Trân</t>
  </si>
  <si>
    <t>HD004634</t>
  </si>
  <si>
    <t>Giao về 63/5 dương đình hội, phước long B</t>
  </si>
  <si>
    <t>25-03-2026</t>
  </si>
  <si>
    <t>Khả Hân</t>
  </si>
  <si>
    <t>HD004533</t>
  </si>
  <si>
    <t>chung cư Flora Kikyo Phú Hữu</t>
  </si>
  <si>
    <t>TRÂM ANH</t>
  </si>
  <si>
    <t>HD004402</t>
  </si>
  <si>
    <t>Địa chỉ: B2/1 đường 385 Tăng Nhơn Phú A</t>
  </si>
  <si>
    <t>Chị Diễm</t>
  </si>
  <si>
    <t>HD004592</t>
  </si>
  <si>
    <t>Số 62 đường d2 kdc dassia khang điền, phú hữu</t>
  </si>
  <si>
    <t>Kim Anh Phan</t>
  </si>
  <si>
    <t>HD004636</t>
  </si>
  <si>
    <t>16 cư xã bình minh, đường dương bá trạc phường 1</t>
  </si>
  <si>
    <t>AT 25-03</t>
  </si>
  <si>
    <t>HD004632</t>
  </si>
  <si>
    <t>1123 quốc lộ la, tân tạo, bình tân, tphcm chung cư an gia the star</t>
  </si>
  <si>
    <t>Nhung Bùi</t>
  </si>
  <si>
    <t>HD004593</t>
  </si>
  <si>
    <t>409/108/32/14c huynh thị hai tân chánh hiệp 12</t>
  </si>
  <si>
    <t>Thúy Duy</t>
  </si>
  <si>
    <t>HD004301</t>
  </si>
  <si>
    <t>539/22 Hương lộ 3 phường bình hưn hòa</t>
  </si>
  <si>
    <t>Phương Đoan</t>
  </si>
  <si>
    <t>HD004490</t>
  </si>
  <si>
    <t>số 17 đường số 13 bình hưng hòa</t>
  </si>
  <si>
    <t>Lê Thị Hoài Phương</t>
  </si>
  <si>
    <t>HD004548</t>
  </si>
  <si>
    <t>572/19/18 Âu cơ, Phường bảy hiền</t>
  </si>
  <si>
    <t>Trang Do</t>
  </si>
  <si>
    <t>HD004618</t>
  </si>
  <si>
    <t>79/25 phú định p16</t>
  </si>
  <si>
    <t>LêNguyễn Hải Đăng</t>
  </si>
  <si>
    <t>HD004339</t>
  </si>
  <si>
    <t>17 Mai Chí Thọ, P An Khánh, chung cư Newcity toà venice 2</t>
  </si>
  <si>
    <t>Minh Thư +Esther</t>
  </si>
  <si>
    <t>HD004601</t>
  </si>
  <si>
    <t>36/91 Lê Thị Hồng, phường gò vấp</t>
  </si>
  <si>
    <t>Huỳnh Thư Lê</t>
  </si>
  <si>
    <t>HD004603</t>
  </si>
  <si>
    <t>91/38 đường 8, linh trung</t>
  </si>
  <si>
    <t>TRẦN TRỌNG NGHĨA - Nhím Biển</t>
  </si>
  <si>
    <t>HD004519</t>
  </si>
  <si>
    <t>Công Ty TNHH Thương Mại Và Dịch Vụ Vận Tải EXIMLOG 6 đường số 4, khu phố 4, phường Hiệp Bình Chánh</t>
  </si>
  <si>
    <t>Sumin Nguyen</t>
  </si>
  <si>
    <t>HD004524</t>
  </si>
  <si>
    <t>chung cư sài gòn avenue phường tam bình</t>
  </si>
  <si>
    <t>Hằng Minh</t>
  </si>
  <si>
    <t>HD004528</t>
  </si>
  <si>
    <t>83/20/11 Phạm Văn Bạch, phường 15</t>
  </si>
  <si>
    <t>T5.26.3.2026</t>
  </si>
  <si>
    <t>NGAY 26-3</t>
  </si>
  <si>
    <t>Xuân Quỳnh</t>
  </si>
  <si>
    <t>HD004859</t>
  </si>
  <si>
    <t>S8 01 Origami, Long Bình</t>
  </si>
  <si>
    <t>26-03-2026</t>
  </si>
  <si>
    <t>Quynh Nhu</t>
  </si>
  <si>
    <t>HD004790</t>
  </si>
  <si>
    <t>tòa w4 sunrise city central, số 25 nguyễn hữu thọ tân hưng p606</t>
  </si>
  <si>
    <t>AT 26-03</t>
  </si>
  <si>
    <t>Kiều Nga fb Nguyễn Đan</t>
  </si>
  <si>
    <t>HD004942</t>
  </si>
  <si>
    <t>Địa chỉ: 33 Nguyễn Hữu Thọ, phường Tân Hưng ,(Sunrise City View_tháp A)</t>
  </si>
  <si>
    <t>Thanh Tuyền</t>
  </si>
  <si>
    <t>HD004713</t>
  </si>
  <si>
    <t>64 Trần thị liền Lê văn lương Phước kiểng</t>
  </si>
  <si>
    <t>Nguyễn Thị Ngọc Hân</t>
  </si>
  <si>
    <t>HD004673</t>
  </si>
  <si>
    <t>512 phạm thế hiển p4</t>
  </si>
  <si>
    <t>Huỳnh Mẫn</t>
  </si>
  <si>
    <t>HD004611</t>
  </si>
  <si>
    <t>1362 tỉnh lộ 10 tân tạo</t>
  </si>
  <si>
    <t>Mai Thi Trương</t>
  </si>
  <si>
    <t>HD004702</t>
  </si>
  <si>
    <t>ship 523 chung cư Nhiêu Lộc C, lô D, phường Tân Quý</t>
  </si>
  <si>
    <t>Huyền Lê</t>
  </si>
  <si>
    <t>HD004896</t>
  </si>
  <si>
    <t>Bock B,33 nguyễn hữu thọ, tân hưng</t>
  </si>
  <si>
    <t>Bùi Vi</t>
  </si>
  <si>
    <t>HD004701</t>
  </si>
  <si>
    <t>26/3a xuân thới đông 1, xuân thới đông</t>
  </si>
  <si>
    <t>Cẩm Cẩm</t>
  </si>
  <si>
    <t>HD004898</t>
  </si>
  <si>
    <t>150 Hoàng Trọng Mậu, Tân Hưng</t>
  </si>
  <si>
    <t>An fb Hạnh Xuân</t>
  </si>
  <si>
    <t>HD004802</t>
  </si>
  <si>
    <t>The horizon block A, phường tân phú</t>
  </si>
  <si>
    <t>Phuong Quynh Nguyen</t>
  </si>
  <si>
    <t>HD004943</t>
  </si>
  <si>
    <t>Qua chung cư Fullhouse số 1 đường 34 p.bình trị đông b</t>
  </si>
  <si>
    <t>Yên Yên</t>
  </si>
  <si>
    <t>HD004773</t>
  </si>
  <si>
    <t>104-102 đường số 28 p bình trị đồng b</t>
  </si>
  <si>
    <t>Trương Ngọc Ngân</t>
  </si>
  <si>
    <t>HD004707</t>
  </si>
  <si>
    <t>Chung cư bình đăng lộ D, đường số 1, p6</t>
  </si>
  <si>
    <t>HD004817</t>
  </si>
  <si>
    <t>( Thạch Thảo )</t>
  </si>
  <si>
    <t>HD004653</t>
  </si>
  <si>
    <t>1446/2B Lê Đức Thọ, phường 13</t>
  </si>
  <si>
    <t>Th Hiền</t>
  </si>
  <si>
    <t>HD004876</t>
  </si>
  <si>
    <t>127 Ung Văn Khiêm, Phường Thạnh Mỹ Tây</t>
  </si>
  <si>
    <t>Khanh Huynh Nguyen Tuong</t>
  </si>
  <si>
    <t>HD004824</t>
  </si>
  <si>
    <t>37 bàu cát 1,p14</t>
  </si>
  <si>
    <t>Phương Nga fb Quyên(indonesia)</t>
  </si>
  <si>
    <t>HD004803</t>
  </si>
  <si>
    <t>154/4/7 Nguyễn Phúc Chu, P.15</t>
  </si>
  <si>
    <t>TRẦN TRỌNG NGHĨA - Nhóm Biển</t>
  </si>
  <si>
    <t>HD004819</t>
  </si>
  <si>
    <t>xuân nguyên - fb Diễm My</t>
  </si>
  <si>
    <t>HD004479</t>
  </si>
  <si>
    <t>30/1/13 lê đức thọ phường 17</t>
  </si>
  <si>
    <t>Bảo Ngọc</t>
  </si>
  <si>
    <t>HD004680</t>
  </si>
  <si>
    <t>Vinhomes central Park park 6A (p6-44.03)</t>
  </si>
  <si>
    <t>Amy VD Tran</t>
  </si>
  <si>
    <t>HD004800</t>
  </si>
  <si>
    <t>85/8 Nguyễn Hồng Đào phường 14</t>
  </si>
  <si>
    <t>SREYEGNEGN NOEUN 0967415920 (Insta dalissd)- VIP</t>
  </si>
  <si>
    <t>HD004522</t>
  </si>
  <si>
    <t>363-365-367, 363 Đ. Hùng Vương - Khải Nam Transport</t>
  </si>
  <si>
    <t>Ha My</t>
  </si>
  <si>
    <t>HD004826</t>
  </si>
  <si>
    <t>27a Hoa Sứ P7</t>
  </si>
  <si>
    <t>Ngân Suri</t>
  </si>
  <si>
    <t>HD004657</t>
  </si>
  <si>
    <t>72 Lê Thánh Tôn</t>
  </si>
  <si>
    <t>Ka Nguyễn</t>
  </si>
  <si>
    <t>HD004786</t>
  </si>
  <si>
    <t>cc Golden Mansion - Toà GM2 - 119 Đ. Phổ Quang, Phường 9</t>
  </si>
  <si>
    <t>Việt Trinh</t>
  </si>
  <si>
    <t>HD004794</t>
  </si>
  <si>
    <t>53 Nguyễn trọng lội phường 4</t>
  </si>
  <si>
    <t>Trần Thị Hoài Thương</t>
  </si>
  <si>
    <t>HD004703</t>
  </si>
  <si>
    <t>Chung cư kingdom, 101 block c 334 tô hiến thành</t>
  </si>
  <si>
    <t>Anh Thu Nguyen</t>
  </si>
  <si>
    <t>HD004777</t>
  </si>
  <si>
    <t>230 cao thắng, p12</t>
  </si>
  <si>
    <t>Nguyễn thị nhung fb Yuna Tasaki</t>
  </si>
  <si>
    <t>HD004865</t>
  </si>
  <si>
    <t>21 lê văn lương Chung cư golden palm</t>
  </si>
  <si>
    <t>đơn trả 27.3</t>
  </si>
  <si>
    <t>T6.27.3.2026</t>
  </si>
  <si>
    <t>NGAY 27-3</t>
  </si>
  <si>
    <t>Hiếu Phan</t>
  </si>
  <si>
    <t>HD005081</t>
  </si>
  <si>
    <t>BS10A vinhomes grand park phường long binh</t>
  </si>
  <si>
    <t>27-03-2026</t>
  </si>
  <si>
    <t>AT 27-03</t>
  </si>
  <si>
    <t>Xuân Hương</t>
  </si>
  <si>
    <t>HD005026</t>
  </si>
  <si>
    <t>Căn Hộ B3.16.05 116 Lý chiêu hoàng, phường Bình Phú</t>
  </si>
  <si>
    <t>Khánh Thuận</t>
  </si>
  <si>
    <t>HD005206</t>
  </si>
  <si>
    <t>30 tùng thiện vương phường Phú định</t>
  </si>
  <si>
    <t>Mai Diệu Trang</t>
  </si>
  <si>
    <t>HD005312</t>
  </si>
  <si>
    <t>765 Hồng bằng chung cư dhome</t>
  </si>
  <si>
    <t>Thảo Trần</t>
  </si>
  <si>
    <t>HD005059</t>
  </si>
  <si>
    <t>sunrise w1, 25 nguyễn hữu thọ, tân hưng</t>
  </si>
  <si>
    <t>HD005298</t>
  </si>
  <si>
    <t>chung cư võ đình TA15 thới an</t>
  </si>
  <si>
    <t>chị thủy</t>
  </si>
  <si>
    <t>HD005331</t>
  </si>
  <si>
    <t>Sunrise ruverside, Block D21-13, Đường Nguyễn Hữu Thọ, Xã Phước Kiển</t>
  </si>
  <si>
    <t>Võ Thuỳ Dương</t>
  </si>
  <si>
    <t>HD005293</t>
  </si>
  <si>
    <t>72A đường 23, Tân Quy</t>
  </si>
  <si>
    <t>Mercy Nguyễn Pmu</t>
  </si>
  <si>
    <t>HD004897</t>
  </si>
  <si>
    <t>Trần Lê Trâm Anh</t>
  </si>
  <si>
    <t>HD005071</t>
  </si>
  <si>
    <t>179/13A hoà bình Phường Hiệp Tân</t>
  </si>
  <si>
    <t>Yến Oanh</t>
  </si>
  <si>
    <t>HD005268</t>
  </si>
  <si>
    <t>33 Đ. Nguyễn Hữu Thọ, Tân Hưng, Sunrise city view block B</t>
  </si>
  <si>
    <t>Thanh Nhàn</t>
  </si>
  <si>
    <t>HD005305</t>
  </si>
  <si>
    <t>59 trần hưng đạo, p.tân thành</t>
  </si>
  <si>
    <t>Bông Bông</t>
  </si>
  <si>
    <t>HD005166</t>
  </si>
  <si>
    <t>Saigon riverside complex (block C1) Số 4 đào trí phú thuận</t>
  </si>
  <si>
    <t>Quyn Nguyễn</t>
  </si>
  <si>
    <t>HD005034</t>
  </si>
  <si>
    <t>Chung cư Emerald block C khu Celadon</t>
  </si>
  <si>
    <t>Trần Tươi</t>
  </si>
  <si>
    <t>HD005321</t>
  </si>
  <si>
    <t>213 Nguyễn thị búp phường Tân Chánh hiệp</t>
  </si>
  <si>
    <t>Hồng Hạnh</t>
  </si>
  <si>
    <t>HD005127</t>
  </si>
  <si>
    <t>362/65 đường Hiệp Thành 13, KP7, Phường Hiệp Thành</t>
  </si>
  <si>
    <t>Tram Anh Nguyen</t>
  </si>
  <si>
    <t>HD005110</t>
  </si>
  <si>
    <t>Topaz phoenix Ib phường 4</t>
  </si>
  <si>
    <t>Nguyễn Trần Thanh Hà</t>
  </si>
  <si>
    <t>HD005278</t>
  </si>
  <si>
    <t>43/2a3 đường số 8 hoàng diệu 2, linh trung</t>
  </si>
  <si>
    <t>Thiện Nhi</t>
  </si>
  <si>
    <t>HD005085</t>
  </si>
  <si>
    <t>129/33 huỳnh văn nghệ p12</t>
  </si>
  <si>
    <t>Nguyễn Thảo Vi</t>
  </si>
  <si>
    <t>HD005258</t>
  </si>
  <si>
    <t>Chung cư Saigon pearl toà ruby 1 số 92 nguyễn hữu cảnh</t>
  </si>
  <si>
    <t>Jemial Vo</t>
  </si>
  <si>
    <t>HD005141</t>
  </si>
  <si>
    <t>438 phan văn trị, p. hạnh thông</t>
  </si>
  <si>
    <t>Pham Huong</t>
  </si>
  <si>
    <t>HD005294</t>
  </si>
  <si>
    <t>764/50/41 phạm văn chiêu p15</t>
  </si>
  <si>
    <t>Anh Đào nhận dùm fb Ngô Thu</t>
  </si>
  <si>
    <t>HD005310</t>
  </si>
  <si>
    <t>72 Tân Hải, Phường 13</t>
  </si>
  <si>
    <t>Fangfang</t>
  </si>
  <si>
    <t>A75/6B/2 Bạch Đằng, Phường 2</t>
  </si>
  <si>
    <t>Venny (Indo)</t>
  </si>
  <si>
    <t>Mhome Sài Gòn 384/6 Lê Văn Sỹ</t>
  </si>
  <si>
    <t>Người nhận: Ngọc Bích</t>
  </si>
  <si>
    <t>HD005290</t>
  </si>
  <si>
    <t>90 Pasteur, phường Bến Nghé</t>
  </si>
  <si>
    <t>HD005008</t>
  </si>
  <si>
    <t>Rivergate Apartment 155 bến văn đồn , HCMC Sảnh B</t>
  </si>
  <si>
    <t>khun leang 092559972</t>
  </si>
  <si>
    <t>HD004805</t>
  </si>
  <si>
    <t>nhà xe khải nam</t>
  </si>
  <si>
    <t>em xíu shiiny</t>
  </si>
  <si>
    <t>HD004646</t>
  </si>
  <si>
    <t>số 217 Đường bùi thị xuân phường 1</t>
  </si>
  <si>
    <t>Người nhận: Mít</t>
  </si>
  <si>
    <t>HD005309</t>
  </si>
  <si>
    <t>số 122/27/56/5/31 tôn đàn phường 8</t>
  </si>
  <si>
    <t>Yến Lê</t>
  </si>
  <si>
    <t>HD005323</t>
  </si>
  <si>
    <t>78-89 nam kỳ khởi nghĩa p bến thành</t>
  </si>
  <si>
    <t>Hạnh Hạnh</t>
  </si>
  <si>
    <t>HD005291</t>
  </si>
  <si>
    <t>334 tô hiến thành p14 cuộn 10 Chung cư kingdom101 block a</t>
  </si>
  <si>
    <t>Nguyễn Uyên</t>
  </si>
  <si>
    <t>HD005087</t>
  </si>
  <si>
    <t>525/44 tô hiến thành p diên hồng</t>
  </si>
  <si>
    <t>NGAY 28-3</t>
  </si>
  <si>
    <t>T7.28.3.2026</t>
  </si>
  <si>
    <t>TUYẾT NHI</t>
  </si>
  <si>
    <t>AT 28-03</t>
  </si>
  <si>
    <t>28-03-2026</t>
  </si>
  <si>
    <t>nguyễn kiều diễm</t>
  </si>
  <si>
    <t>HD005386</t>
  </si>
  <si>
    <t>437 Đào Sư Tích, Xã Phước Lộc</t>
  </si>
  <si>
    <t>Phuong Thao</t>
  </si>
  <si>
    <t>HD005695</t>
  </si>
  <si>
    <t>137/18 âu dương lân</t>
  </si>
  <si>
    <t>HD005630</t>
  </si>
  <si>
    <t>Cao Huyền Anh</t>
  </si>
  <si>
    <t>HD005421</t>
  </si>
  <si>
    <t>765 hồng bàng p bình tây</t>
  </si>
  <si>
    <t>Nga Hong Cornee</t>
  </si>
  <si>
    <t>HD005363</t>
  </si>
  <si>
    <t>24/5F, Áp Đông Lân, Bà Điểm, Hạ Môn (T2–CN, nghi lễ)</t>
  </si>
  <si>
    <t>Nic Nic</t>
  </si>
  <si>
    <t>HD005390</t>
  </si>
  <si>
    <t>108 đường 85 tân hưng</t>
  </si>
  <si>
    <t>miko fb Giàu Ngọc</t>
  </si>
  <si>
    <t>HD005382</t>
  </si>
  <si>
    <t>85/6 bình tây phường 1</t>
  </si>
  <si>
    <t>HD005671</t>
  </si>
  <si>
    <t>Nguyễn Thị Tú</t>
  </si>
  <si>
    <t>HD001437</t>
  </si>
  <si>
    <t>Ngoc Venus</t>
  </si>
  <si>
    <t>HD005666</t>
  </si>
  <si>
    <t>69 phố tiểu nam, P Tân Phú</t>
  </si>
  <si>
    <t>Họ Mi</t>
  </si>
  <si>
    <t>HD005566</t>
  </si>
  <si>
    <t>Sunrise Riverside block C Phước Kiển</t>
  </si>
  <si>
    <t>Nguyễn Nhung</t>
  </si>
  <si>
    <t>HD005384</t>
  </si>
  <si>
    <t>688/2/1/28 huơng lộ 2- p. bình trị đông A</t>
  </si>
  <si>
    <t>Thuy Nga</t>
  </si>
  <si>
    <t>HD005472</t>
  </si>
  <si>
    <t>56 bình phú phường tam phú</t>
  </si>
  <si>
    <t>Thao Doan</t>
  </si>
  <si>
    <t>HD005490</t>
  </si>
  <si>
    <t>81/64 Nguyễn Cửu Vân, p17</t>
  </si>
  <si>
    <t>Phước Ngọc</t>
  </si>
  <si>
    <t>HD005146</t>
  </si>
  <si>
    <t>landmark 3 vinhomes center park</t>
  </si>
  <si>
    <t>Mai Đỗ Phi Phụng</t>
  </si>
  <si>
    <t>HD005478</t>
  </si>
  <si>
    <t>Empire city, toà tilia D12, đại lộ vòng cung, thủ thiêm</t>
  </si>
  <si>
    <t>Huỳnh Thanh Thanh</t>
  </si>
  <si>
    <t>HD005533</t>
  </si>
  <si>
    <t>26/2 đường 36 phường bình trưng tây</t>
  </si>
  <si>
    <t>Rann Visetha</t>
  </si>
  <si>
    <t>HD005457</t>
  </si>
  <si>
    <t>nx khải nam</t>
  </si>
  <si>
    <t>Thuỷ Tờ Rần</t>
  </si>
  <si>
    <t>HD005661</t>
  </si>
  <si>
    <t>68 nguyễn lâm f6</t>
  </si>
  <si>
    <t>Yen Thi Kim Le</t>
  </si>
  <si>
    <t>HD005338</t>
  </si>
  <si>
    <t>549 Điện Biên Phủ bàn cờ</t>
  </si>
  <si>
    <t>Ngọc Diễm</t>
  </si>
  <si>
    <t>HD005541</t>
  </si>
  <si>
    <t>Chung cư Central Plaza, 91 Phạm Văn Hai, phường Tân Sơn Hoà</t>
  </si>
  <si>
    <t>Huyền Võ</t>
  </si>
  <si>
    <t>HD005532</t>
  </si>
  <si>
    <t>83 triệu quang phục, phường 10</t>
  </si>
  <si>
    <t>Thư Thư</t>
  </si>
  <si>
    <t>HD005678</t>
  </si>
  <si>
    <t>314 Trần Hưng Đạo, P Nguyễn Cư Trinh</t>
  </si>
  <si>
    <t>MAI DUNG</t>
  </si>
  <si>
    <t>HD005500</t>
  </si>
  <si>
    <t>block c chung cư bontanica premier 108 hồng hà p2</t>
  </si>
  <si>
    <t>Ngọc Hương</t>
  </si>
  <si>
    <t>HD005685</t>
  </si>
  <si>
    <t>19 Hoàng dư Khương phường 12</t>
  </si>
  <si>
    <t>Châu Bui</t>
  </si>
  <si>
    <t>HD005467</t>
  </si>
  <si>
    <t>NGAY 30-3</t>
  </si>
  <si>
    <t>T2.30.3.2026</t>
  </si>
  <si>
    <t>30-03-2026</t>
  </si>
  <si>
    <t>HƯƠNG TRẦN</t>
  </si>
  <si>
    <t>261/2c chu văn an p12</t>
  </si>
  <si>
    <t>AT 30-03</t>
  </si>
  <si>
    <t>BELLA TRẦN</t>
  </si>
  <si>
    <t>66 đường 17 p10</t>
  </si>
  <si>
    <t>Tăng Thư Thư</t>
  </si>
  <si>
    <t>HD005791</t>
  </si>
  <si>
    <t>Ship 270 hong lac f11</t>
  </si>
  <si>
    <t>Huỳnh Như</t>
  </si>
  <si>
    <t>HD005948</t>
  </si>
  <si>
    <t>Block B chung cư Mia đường 9a kdc trung sơn bình Hưng</t>
  </si>
  <si>
    <t>Phi Âu</t>
  </si>
  <si>
    <t>HD006009</t>
  </si>
  <si>
    <t>lexington, block LD01.03, 67mai chí thọ, bình trưng</t>
  </si>
  <si>
    <t>HD005828</t>
  </si>
  <si>
    <t>Yu Mi</t>
  </si>
  <si>
    <t>HD006184</t>
  </si>
  <si>
    <t>346 bến vân đồn p1 ( chung cư gold view, Block a3 )</t>
  </si>
  <si>
    <t>Tieu My</t>
  </si>
  <si>
    <t>HD006206</t>
  </si>
  <si>
    <t>h8 cư xá phú lâm B, đường bà hơm, phường 13</t>
  </si>
  <si>
    <t>Đan Phượng</t>
  </si>
  <si>
    <t>HD005900</t>
  </si>
  <si>
    <t>35/2 đường 11,bình thọ</t>
  </si>
  <si>
    <t>Nguyễn Hồng Thoa</t>
  </si>
  <si>
    <t>HD005735</t>
  </si>
  <si>
    <t>112 bùi thị Xuân bến thành</t>
  </si>
  <si>
    <t>Thao My</t>
  </si>
  <si>
    <t>HD006091</t>
  </si>
  <si>
    <t>346 Bên Vân đồn f1 Chung cư Gold View</t>
  </si>
  <si>
    <t>Người nhận: Fb Phương Mai</t>
  </si>
  <si>
    <t>HD005930</t>
  </si>
  <si>
    <t>Yến Nhi</t>
  </si>
  <si>
    <t>HD005756</t>
  </si>
  <si>
    <t>17/9 đường 59 phường thảo điền</t>
  </si>
  <si>
    <t>Thanh Thanh</t>
  </si>
  <si>
    <t>HD005888</t>
  </si>
  <si>
    <t>107 vinh hội p4</t>
  </si>
  <si>
    <t>Nuh Nguyen</t>
  </si>
  <si>
    <t>HD006203</t>
  </si>
  <si>
    <t>Cc Vision Đ.Trần Đại Nghĩa,P Tân Tạo A</t>
  </si>
  <si>
    <t>Jenny Nguyen-9654 Tampines #0-690 Jenny: 92721531</t>
  </si>
  <si>
    <t>HD005753</t>
  </si>
  <si>
    <t>19 yên thế, Phuong 2</t>
  </si>
  <si>
    <t>Lee Nhi</t>
  </si>
  <si>
    <t>HD006024</t>
  </si>
  <si>
    <t>S5-03 saroma villas phường an khánh</t>
  </si>
  <si>
    <t>Nhan Nguyễn</t>
  </si>
  <si>
    <t>HD005929</t>
  </si>
  <si>
    <t>166 chung cư Phú thọ, Nguyễn thị nhỏ, P. Phú thọ</t>
  </si>
  <si>
    <t>C Hằng</t>
  </si>
  <si>
    <t>HD005721</t>
  </si>
  <si>
    <t>9 Nguyễn Thị Minh Khai, p Sài Gòn, tp HCM (Ngay Đài truyền hình HTV)</t>
  </si>
  <si>
    <t>Jenny (zl)</t>
  </si>
  <si>
    <t>HD006119</t>
  </si>
  <si>
    <t>201/12 mã lò, phường Bình Trị Đông A</t>
  </si>
  <si>
    <t>Jessica Châu</t>
  </si>
  <si>
    <t>HD006032</t>
  </si>
  <si>
    <t>14, đường 32A, p.bình trị đông</t>
  </si>
  <si>
    <t>HD006038</t>
  </si>
  <si>
    <t>72 Tân Hải, Phường 13 , Hồ Chí Minh</t>
  </si>
  <si>
    <t>Ngọc Ngân</t>
  </si>
  <si>
    <t>HD006157</t>
  </si>
  <si>
    <t>30/35 đường thạnh mỹ lợi, kp1, p thạnh mỹ lợi</t>
  </si>
  <si>
    <t>Huyền Bún</t>
  </si>
  <si>
    <t>HD005835</t>
  </si>
  <si>
    <t>chung cư Moscow Tower - đường tân thới nhất 17-p tân thới nhất</t>
  </si>
  <si>
    <t>Kim Kim Kim</t>
  </si>
  <si>
    <t>HD006035</t>
  </si>
  <si>
    <t>CUs One Seven Eight Zero Zero- CUS17800 - insta socheatahun</t>
  </si>
  <si>
    <t>HD005883</t>
  </si>
  <si>
    <t>270B Lý thường kiệt, khu phố 1, Phường 6</t>
  </si>
  <si>
    <t>HD005949</t>
  </si>
  <si>
    <t>86 Đường Số 17A, Bình Trị Đông B, An Lạc</t>
  </si>
  <si>
    <t>Thanh Hà Phạm</t>
  </si>
  <si>
    <t>HD005936</t>
  </si>
  <si>
    <t>29/15 yên thế, p2</t>
  </si>
  <si>
    <t>Kiều Filler</t>
  </si>
  <si>
    <t>HD006142</t>
  </si>
  <si>
    <t>166/48c thích quảng Đức</t>
  </si>
  <si>
    <t>Phương Phạm</t>
  </si>
  <si>
    <t>HD005911</t>
  </si>
  <si>
    <t>Bs16A vinhome grand park long bình</t>
  </si>
  <si>
    <t>Nguyet</t>
  </si>
  <si>
    <t>HD006353</t>
  </si>
  <si>
    <t>Toà nhà lux 6...Vinhomes Golden River ( Bason), 2 Nguyễn Hữu Cảnh, P. Bến Nghé</t>
  </si>
  <si>
    <t>HD006029</t>
  </si>
  <si>
    <t>Đỗ Đông Mi</t>
  </si>
  <si>
    <t>HD005779</t>
  </si>
  <si>
    <t>115 phan huy thuc ptan kieng</t>
  </si>
  <si>
    <t>Nguyễn Thủy</t>
  </si>
  <si>
    <t>HD005746</t>
  </si>
  <si>
    <t>51/18/120 phạm văn chiêu</t>
  </si>
  <si>
    <t>Sen Tina Huynh</t>
  </si>
  <si>
    <t>HD005830</t>
  </si>
  <si>
    <t>37 thích minh nguyệt p2</t>
  </si>
  <si>
    <t>Oanh Trương</t>
  </si>
  <si>
    <t>HD006315</t>
  </si>
  <si>
    <t>132 bến vân đồn</t>
  </si>
  <si>
    <t>Nguyễn Thị Kim Thoa</t>
  </si>
  <si>
    <t>HD005838</t>
  </si>
  <si>
    <t>số 25a đường 22 bình hưng hòa a</t>
  </si>
  <si>
    <t>My My</t>
  </si>
  <si>
    <t>HD006086</t>
  </si>
  <si>
    <t>53 Phan Đình Phùng, p15</t>
  </si>
  <si>
    <t>Susi Be</t>
  </si>
  <si>
    <t>HD005818</t>
  </si>
  <si>
    <t>143 ni sư huỳnh liên, p bảy hiền</t>
  </si>
  <si>
    <t>Ngọc Trinh</t>
  </si>
  <si>
    <t>HD005787</t>
  </si>
  <si>
    <t>261 lê đại hành p phú thọ</t>
  </si>
  <si>
    <t>Tuyet Nhung Nguyen</t>
  </si>
  <si>
    <t>HD006099</t>
  </si>
  <si>
    <t>35 Duy Tân phường 8</t>
  </si>
  <si>
    <t>Hoàng Ngọc Ánh</t>
  </si>
  <si>
    <t>HD006346</t>
  </si>
  <si>
    <t>Địa chỉ 22a đường số 19 Hiệp Bình Chánh</t>
  </si>
  <si>
    <t>Van May</t>
  </si>
  <si>
    <t>HD006320</t>
  </si>
  <si>
    <t>483 lô Q đoàn văn bơ p9</t>
  </si>
  <si>
    <t>Marry Tran</t>
  </si>
  <si>
    <t>HD006137</t>
  </si>
  <si>
    <t>6/5 Dương van Nga Phường 3</t>
  </si>
  <si>
    <t>Thuy Phan</t>
  </si>
  <si>
    <t>HD005775</t>
  </si>
  <si>
    <t>95/43/19/37 lê văn lương, p tan kiểng</t>
  </si>
  <si>
    <t>ALAN</t>
  </si>
  <si>
    <t>HD005837</t>
  </si>
  <si>
    <t>163/11, Đường Vườn Lài, KP2, P. An Phú Đông</t>
  </si>
  <si>
    <t>Khổng My</t>
  </si>
  <si>
    <t>HD006269</t>
  </si>
  <si>
    <t>34/1a liên khu 4-5 phường Bình Hưng Hòa B</t>
  </si>
  <si>
    <t>Linh Trần</t>
  </si>
  <si>
    <t>HD006318</t>
  </si>
  <si>
    <t>132 Bến Văn Đồn phường 6</t>
  </si>
  <si>
    <t>HD005705</t>
  </si>
  <si>
    <t>Địa chỉ: 375 tân thới hiệp 21, Tổ 3,Kp3 ( nhớ gõ đủ)</t>
  </si>
  <si>
    <t>Ha Hoa tikok @ha hoa 35</t>
  </si>
  <si>
    <t>HD006258</t>
  </si>
  <si>
    <t>766/6 sư vạn hạnh phường hòa trưng</t>
  </si>
  <si>
    <t>Minh Thư</t>
  </si>
  <si>
    <t>HD006103</t>
  </si>
  <si>
    <t>6/24 tân chánh hiệp 36, p trung mỹ tây</t>
  </si>
  <si>
    <t>Phụng</t>
  </si>
  <si>
    <t>HD006244</t>
  </si>
  <si>
    <t>597 Lê Hồng Phong, P10</t>
  </si>
  <si>
    <t>My Quynh Ngo</t>
  </si>
  <si>
    <t>HD006328</t>
  </si>
  <si>
    <t>11C, Thạnh Lộc 14, An Phú Đông</t>
  </si>
  <si>
    <t>Huệ Nghi</t>
  </si>
  <si>
    <t>HD006214</t>
  </si>
  <si>
    <t>36 phó đức chính</t>
  </si>
  <si>
    <t>HD005918</t>
  </si>
  <si>
    <t>chung cư sadora lock D phường an lợi đông</t>
  </si>
  <si>
    <t>HD006326</t>
  </si>
  <si>
    <t>322/8 đào sự tích phước lộc</t>
  </si>
  <si>
    <t>Hy An</t>
  </si>
  <si>
    <t>HD006355</t>
  </si>
  <si>
    <t>226 an dương vương, p bình phú ( p.16 cũ)</t>
  </si>
  <si>
    <t>Nguyễn Bích Trâm</t>
  </si>
  <si>
    <t>HD006305</t>
  </si>
  <si>
    <t>ACB Hàng Xanh, 278 Xô Viết Nghệ Tĩnh, Phường Thạnh Mỹ Tây</t>
  </si>
  <si>
    <t>HD006238</t>
  </si>
  <si>
    <t>Khách hàng</t>
  </si>
  <si>
    <t>HD006356</t>
  </si>
  <si>
    <t>320/12 Đường Nguyễn Văn Linh, Bình Thuận, Tân Thuận</t>
  </si>
  <si>
    <t>Trinh Phan</t>
  </si>
  <si>
    <t>HD006348</t>
  </si>
  <si>
    <t>27 Đinh công tráng tân định</t>
  </si>
  <si>
    <t>HD006230</t>
  </si>
  <si>
    <t>số 217Đường bùi thị xuân phường 1</t>
  </si>
  <si>
    <t>NGAY 31-3</t>
  </si>
  <si>
    <t>Quỳnh Hương</t>
  </si>
  <si>
    <t>HD006634</t>
  </si>
  <si>
    <t>Saigon Royal Residences Nguyễn Trường Tộ, phường 13</t>
  </si>
  <si>
    <t>31-03-2026</t>
  </si>
  <si>
    <t>Trần Huyền</t>
  </si>
  <si>
    <t>HD006209</t>
  </si>
  <si>
    <t>Số 27, Đường D5, Phường Tân Thuận Tây</t>
  </si>
  <si>
    <t>AT 31-03</t>
  </si>
  <si>
    <t>MC Sanita Mao (MVO1908)</t>
  </si>
  <si>
    <t>HD006501</t>
  </si>
  <si>
    <t>Khoai Tây</t>
  </si>
  <si>
    <t>HD006429</t>
  </si>
  <si>
    <t>chung cư tera mia đường số 2 kdc B intressco, xã bình hưng</t>
  </si>
  <si>
    <t>HD006492</t>
  </si>
  <si>
    <t>HD006490</t>
  </si>
  <si>
    <t>Minh Vy</t>
  </si>
  <si>
    <t>HD006528</t>
  </si>
  <si>
    <t>688/23/1c hương lộ 2 bình trị đông A</t>
  </si>
  <si>
    <t>Cái Tiệm Lút ( Hong Nhu My )</t>
  </si>
  <si>
    <t>HD006529</t>
  </si>
  <si>
    <t>107 Trương Minh Ký, P13</t>
  </si>
  <si>
    <t>Khánh Như</t>
  </si>
  <si>
    <t>HD006441</t>
  </si>
  <si>
    <t>688/23/1c Hương Lộ 2, phường Bình Trị Đông A</t>
  </si>
  <si>
    <t>Winnie Chua</t>
  </si>
  <si>
    <t>HD006544</t>
  </si>
  <si>
    <t>210 bùi văn ba p.tan thuận đông kdc Jamona golden silk đường N3 căn M8</t>
  </si>
  <si>
    <t>Nguyễn Lý Kim Ngân</t>
  </si>
  <si>
    <t>HD006531</t>
  </si>
  <si>
    <t>137/31/14 phan anh phường bình trị đông</t>
  </si>
  <si>
    <t>Đông Nhi</t>
  </si>
  <si>
    <t>HD006448</t>
  </si>
  <si>
    <t>93 đường số 1, phường 4(phường 1 hoặc phường Hạnh Thông)</t>
  </si>
  <si>
    <t>HD006228</t>
  </si>
  <si>
    <t>29/18 đường số 5 bình trưng đông</t>
  </si>
  <si>
    <t>X.Anh</t>
  </si>
  <si>
    <t>HD006503</t>
  </si>
  <si>
    <t>Căn 603, lô B2 chung cư orchard parkview, 130-132 hồng hà, p. Đức nhuận</t>
  </si>
  <si>
    <t>Thanh Ngân</t>
  </si>
  <si>
    <t>HD006607</t>
  </si>
  <si>
    <t>37 trương vĩnh ký, phường Tân Thạnh</t>
  </si>
  <si>
    <t>HD006389</t>
  </si>
  <si>
    <t>Chung cư lavida plus Nguyễn Văn Linh, phường Tân Phong</t>
  </si>
  <si>
    <t>Hanh Corado</t>
  </si>
  <si>
    <t>HD006621</t>
  </si>
  <si>
    <t>09 Đường số 2, P. An Khánh</t>
  </si>
  <si>
    <t>Vân NA Vy</t>
  </si>
  <si>
    <t>HD006405</t>
  </si>
  <si>
    <t>251 đường 9a khu trung sơn, bình hưng</t>
  </si>
  <si>
    <t>HD006546</t>
  </si>
  <si>
    <t>Trang Lê</t>
  </si>
  <si>
    <t>HD006288</t>
  </si>
  <si>
    <t>8A Sông Thương P2</t>
  </si>
  <si>
    <t>CU519450/pepanhaketya</t>
  </si>
  <si>
    <t>HD006539</t>
  </si>
  <si>
    <t>HD006452</t>
  </si>
  <si>
    <t>431/7b đường Phan Văn Trị phường 7</t>
  </si>
  <si>
    <t>Thanh Thúy</t>
  </si>
  <si>
    <t>HD006512</t>
  </si>
  <si>
    <t>346 quang trung, phường thông tây hội</t>
  </si>
  <si>
    <t>W2459</t>
  </si>
  <si>
    <t>375 tân thới hiệp 21, Tổ 3, Kp3</t>
  </si>
  <si>
    <t>BN882</t>
  </si>
  <si>
    <t>Ivy Huyền</t>
  </si>
  <si>
    <t>Số 5 Nhất Chi Mai phường 13</t>
  </si>
  <si>
    <t>dolly dolly</t>
  </si>
  <si>
    <t>HD006339</t>
  </si>
  <si>
    <t>21 võ trường toản thảo điền</t>
  </si>
  <si>
    <t>đơn trả 1.2</t>
  </si>
  <si>
    <t>kh ck shop 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</si>
</sst>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charset val="163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/>
    <xf numFmtId="0" fontId="5" fillId="6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right"/>
    </xf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3" fontId="0" fillId="0" borderId="1" xfId="0" applyNumberFormat="1" applyBorder="1"/>
    <xf numFmtId="3" fontId="0" fillId="9" borderId="1" xfId="0" applyNumberFormat="1" applyFill="1" applyBorder="1"/>
    <xf numFmtId="3" fontId="0" fillId="0" borderId="0" xfId="0" applyNumberFormat="1"/>
    <xf numFmtId="3" fontId="0" fillId="8" borderId="1" xfId="0" applyNumberFormat="1" applyFill="1" applyBorder="1"/>
    <xf numFmtId="3" fontId="1" fillId="0" borderId="1" xfId="0" applyNumberFormat="1" applyFont="1" applyBorder="1"/>
    <xf numFmtId="49" fontId="0" fillId="9" borderId="1" xfId="0" applyNumberFormat="1" applyFill="1" applyBorder="1"/>
    <xf numFmtId="3" fontId="0" fillId="9" borderId="0" xfId="0" applyNumberFormat="1" applyFill="1"/>
    <xf numFmtId="0" fontId="1" fillId="9" borderId="1" xfId="0" applyFont="1" applyFill="1" applyBorder="1"/>
    <xf numFmtId="49" fontId="1" fillId="9" borderId="1" xfId="0" applyNumberFormat="1" applyFont="1" applyFill="1" applyBorder="1"/>
    <xf numFmtId="3" fontId="1" fillId="9" borderId="1" xfId="0" applyNumberFormat="1" applyFont="1" applyFill="1" applyBorder="1"/>
    <xf numFmtId="0" fontId="0" fillId="10" borderId="0" xfId="0" applyFill="1"/>
    <xf numFmtId="3" fontId="0" fillId="10" borderId="0" xfId="0" applyNumberFormat="1" applyFill="1"/>
    <xf numFmtId="0" fontId="2" fillId="2" borderId="2" xfId="0" applyFont="1" applyFill="1" applyBorder="1"/>
    <xf numFmtId="0" fontId="0" fillId="10" borderId="1" xfId="0" applyFill="1" applyBorder="1"/>
    <xf numFmtId="3" fontId="0" fillId="10" borderId="1" xfId="0" applyNumberFormat="1" applyFill="1" applyBorder="1"/>
    <xf numFmtId="3" fontId="4" fillId="4" borderId="1" xfId="0" applyNumberFormat="1" applyFont="1" applyFill="1" applyBorder="1" applyAlignment="1">
      <alignment horizontal="right"/>
    </xf>
    <xf numFmtId="3" fontId="7" fillId="7" borderId="1" xfId="0" applyNumberFormat="1" applyFont="1" applyFill="1" applyBorder="1" applyAlignment="1">
      <alignment horizontal="right"/>
    </xf>
    <xf numFmtId="0" fontId="8" fillId="9" borderId="1" xfId="0" applyFont="1" applyFill="1" applyBorder="1"/>
    <xf numFmtId="3" fontId="8" fillId="9" borderId="1" xfId="0" applyNumberFormat="1" applyFont="1" applyFill="1" applyBorder="1"/>
    <xf numFmtId="0" fontId="8" fillId="9" borderId="0" xfId="0" applyFont="1" applyFill="1"/>
    <xf numFmtId="3" fontId="8" fillId="9" borderId="0" xfId="0" applyNumberFormat="1" applyFont="1" applyFill="1"/>
    <xf numFmtId="0" fontId="8" fillId="10" borderId="1" xfId="0" applyFont="1" applyFill="1" applyBorder="1"/>
    <xf numFmtId="3" fontId="8" fillId="10" borderId="1" xfId="0" applyNumberFormat="1" applyFont="1" applyFill="1" applyBorder="1"/>
    <xf numFmtId="3" fontId="8" fillId="10" borderId="0" xfId="0" applyNumberFormat="1" applyFont="1" applyFill="1"/>
    <xf numFmtId="0" fontId="8" fillId="10" borderId="0" xfId="0" applyFont="1" applyFill="1"/>
    <xf numFmtId="3" fontId="1" fillId="9" borderId="0" xfId="0" applyNumberFormat="1" applyFont="1" applyFill="1"/>
    <xf numFmtId="0" fontId="1" fillId="9" borderId="0" xfId="0" applyFont="1" applyFill="1"/>
    <xf numFmtId="0" fontId="8" fillId="0" borderId="0" xfId="0" applyFont="1"/>
    <xf numFmtId="0" fontId="0" fillId="2" borderId="0" xfId="0" applyFill="1"/>
    <xf numFmtId="0" fontId="9" fillId="0" borderId="1" xfId="0" applyFont="1" applyBorder="1"/>
    <xf numFmtId="3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4F5A-8508-476B-83FC-091AE3525E9E}">
  <dimension ref="A1:S101"/>
  <sheetViews>
    <sheetView workbookViewId="0">
      <selection activeCell="D21" sqref="D21"/>
    </sheetView>
  </sheetViews>
  <sheetFormatPr defaultRowHeight="15" x14ac:dyDescent="0.25"/>
  <sheetData>
    <row r="1" spans="1:19" x14ac:dyDescent="0.25">
      <c r="B1" t="s">
        <v>0</v>
      </c>
      <c r="C1" t="s">
        <v>1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s="4" customFormat="1" x14ac:dyDescent="0.25">
      <c r="A3" s="2"/>
      <c r="B3" s="2" t="s">
        <v>19</v>
      </c>
      <c r="C3" s="2" t="s">
        <v>20</v>
      </c>
      <c r="D3" s="2" t="s">
        <v>21</v>
      </c>
      <c r="E3" s="2">
        <v>522</v>
      </c>
      <c r="F3" s="2" t="s">
        <v>22</v>
      </c>
      <c r="G3" s="2" t="s">
        <v>23</v>
      </c>
      <c r="H3" s="2">
        <v>670</v>
      </c>
      <c r="I3" s="2">
        <v>0</v>
      </c>
      <c r="J3" s="2">
        <f t="shared" ref="J3:J34" si="0">H3-I3</f>
        <v>670</v>
      </c>
      <c r="K3" s="2" t="s">
        <v>24</v>
      </c>
      <c r="L3" s="2" t="s">
        <v>25</v>
      </c>
      <c r="M3" s="2" t="s">
        <v>26</v>
      </c>
      <c r="N3" s="3" t="s">
        <v>27</v>
      </c>
      <c r="O3" s="2" t="s">
        <v>28</v>
      </c>
      <c r="P3" s="2"/>
      <c r="Q3" s="2" t="s">
        <v>29</v>
      </c>
      <c r="R3" s="4">
        <v>1</v>
      </c>
    </row>
    <row r="4" spans="1:19" x14ac:dyDescent="0.25">
      <c r="A4" s="5"/>
      <c r="B4" s="5" t="s">
        <v>19</v>
      </c>
      <c r="C4" s="5" t="s">
        <v>30</v>
      </c>
      <c r="D4" s="5" t="s">
        <v>31</v>
      </c>
      <c r="E4" s="5">
        <v>19</v>
      </c>
      <c r="F4" s="5" t="s">
        <v>32</v>
      </c>
      <c r="G4" s="5">
        <v>2</v>
      </c>
      <c r="H4" s="5">
        <v>0</v>
      </c>
      <c r="I4" s="5">
        <v>30</v>
      </c>
      <c r="J4" s="5">
        <f t="shared" si="0"/>
        <v>-30</v>
      </c>
      <c r="K4" s="5" t="s">
        <v>25</v>
      </c>
      <c r="L4" s="5" t="s">
        <v>25</v>
      </c>
      <c r="M4" s="5" t="s">
        <v>26</v>
      </c>
      <c r="N4" s="5"/>
      <c r="O4" s="5"/>
      <c r="P4" s="5"/>
      <c r="Q4" s="5"/>
      <c r="R4">
        <v>1</v>
      </c>
      <c r="S4">
        <v>30</v>
      </c>
    </row>
    <row r="5" spans="1:19" x14ac:dyDescent="0.25">
      <c r="A5" s="5"/>
      <c r="B5" s="5" t="s">
        <v>19</v>
      </c>
      <c r="C5" s="5" t="s">
        <v>33</v>
      </c>
      <c r="D5" s="5" t="s">
        <v>34</v>
      </c>
      <c r="E5" s="5" t="s">
        <v>35</v>
      </c>
      <c r="F5" s="5" t="s">
        <v>36</v>
      </c>
      <c r="G5" s="5">
        <v>2</v>
      </c>
      <c r="H5" s="5">
        <v>870</v>
      </c>
      <c r="I5" s="5">
        <v>30</v>
      </c>
      <c r="J5" s="5">
        <f t="shared" si="0"/>
        <v>840</v>
      </c>
      <c r="K5" s="5" t="s">
        <v>25</v>
      </c>
      <c r="L5" s="5" t="s">
        <v>25</v>
      </c>
      <c r="M5" s="5" t="s">
        <v>26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37</v>
      </c>
      <c r="D6" s="5" t="s">
        <v>38</v>
      </c>
      <c r="E6" s="5" t="s">
        <v>39</v>
      </c>
      <c r="F6" s="5" t="s">
        <v>40</v>
      </c>
      <c r="G6" s="5">
        <v>2</v>
      </c>
      <c r="H6" s="5">
        <v>550</v>
      </c>
      <c r="I6" s="5">
        <v>30</v>
      </c>
      <c r="J6" s="5">
        <f t="shared" si="0"/>
        <v>520</v>
      </c>
      <c r="K6" s="5" t="s">
        <v>25</v>
      </c>
      <c r="L6" s="5" t="s">
        <v>25</v>
      </c>
      <c r="M6" s="5" t="s">
        <v>26</v>
      </c>
      <c r="N6" s="5"/>
      <c r="O6" s="5"/>
      <c r="P6" s="5"/>
      <c r="Q6" s="5"/>
      <c r="R6">
        <v>1</v>
      </c>
    </row>
    <row r="7" spans="1:19" x14ac:dyDescent="0.25">
      <c r="A7" s="5"/>
      <c r="B7" s="5" t="s">
        <v>19</v>
      </c>
      <c r="C7" s="5" t="s">
        <v>41</v>
      </c>
      <c r="D7" s="5" t="s">
        <v>42</v>
      </c>
      <c r="E7" s="5" t="s">
        <v>43</v>
      </c>
      <c r="F7" s="5" t="s">
        <v>44</v>
      </c>
      <c r="G7" s="5">
        <v>2</v>
      </c>
      <c r="H7" s="5">
        <v>920</v>
      </c>
      <c r="I7" s="5">
        <v>30</v>
      </c>
      <c r="J7" s="5">
        <f t="shared" si="0"/>
        <v>890</v>
      </c>
      <c r="K7" s="5" t="s">
        <v>25</v>
      </c>
      <c r="L7" s="5" t="s">
        <v>25</v>
      </c>
      <c r="M7" s="5" t="s">
        <v>26</v>
      </c>
      <c r="N7" s="5"/>
      <c r="O7" s="5"/>
      <c r="P7" s="5"/>
      <c r="Q7" s="5"/>
      <c r="R7">
        <v>1</v>
      </c>
    </row>
    <row r="8" spans="1:19" x14ac:dyDescent="0.25">
      <c r="A8" s="5"/>
      <c r="B8" s="5" t="s">
        <v>19</v>
      </c>
      <c r="C8" s="5" t="s">
        <v>45</v>
      </c>
      <c r="D8" s="5" t="s">
        <v>46</v>
      </c>
      <c r="E8" s="5">
        <v>159</v>
      </c>
      <c r="F8" s="5" t="s">
        <v>47</v>
      </c>
      <c r="G8" s="5">
        <v>2</v>
      </c>
      <c r="H8" s="5">
        <v>1190</v>
      </c>
      <c r="I8" s="5">
        <v>30</v>
      </c>
      <c r="J8" s="5">
        <f t="shared" si="0"/>
        <v>1160</v>
      </c>
      <c r="K8" s="5" t="s">
        <v>25</v>
      </c>
      <c r="L8" s="5" t="s">
        <v>25</v>
      </c>
      <c r="M8" s="5" t="s">
        <v>26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48</v>
      </c>
      <c r="D9" s="5" t="s">
        <v>49</v>
      </c>
      <c r="E9" s="5" t="s">
        <v>50</v>
      </c>
      <c r="F9" s="5" t="s">
        <v>47</v>
      </c>
      <c r="G9" s="5">
        <v>2</v>
      </c>
      <c r="H9" s="5">
        <v>770</v>
      </c>
      <c r="I9" s="5">
        <v>30</v>
      </c>
      <c r="J9" s="5">
        <f t="shared" si="0"/>
        <v>740</v>
      </c>
      <c r="K9" s="5" t="s">
        <v>25</v>
      </c>
      <c r="L9" s="5" t="s">
        <v>25</v>
      </c>
      <c r="M9" s="5" t="s">
        <v>26</v>
      </c>
      <c r="N9" s="5"/>
      <c r="O9" s="5"/>
      <c r="P9" s="5"/>
      <c r="Q9" s="5"/>
      <c r="R9">
        <v>1</v>
      </c>
    </row>
    <row r="10" spans="1:19" x14ac:dyDescent="0.25">
      <c r="A10" s="5"/>
      <c r="B10" s="5" t="s">
        <v>19</v>
      </c>
      <c r="C10" s="5" t="s">
        <v>51</v>
      </c>
      <c r="D10" s="5" t="s">
        <v>52</v>
      </c>
      <c r="E10" s="5" t="s">
        <v>53</v>
      </c>
      <c r="F10" s="5" t="s">
        <v>47</v>
      </c>
      <c r="G10" s="5">
        <v>2</v>
      </c>
      <c r="H10" s="5">
        <v>0</v>
      </c>
      <c r="I10" s="5">
        <v>30</v>
      </c>
      <c r="J10" s="5">
        <f t="shared" si="0"/>
        <v>-30</v>
      </c>
      <c r="K10" s="5" t="s">
        <v>25</v>
      </c>
      <c r="L10" s="5" t="s">
        <v>25</v>
      </c>
      <c r="M10" s="5" t="s">
        <v>26</v>
      </c>
      <c r="N10" s="5"/>
      <c r="O10" s="5"/>
      <c r="P10" s="5"/>
      <c r="Q10" s="5"/>
      <c r="R10">
        <v>1</v>
      </c>
      <c r="S10">
        <v>30</v>
      </c>
    </row>
    <row r="11" spans="1:19" x14ac:dyDescent="0.25">
      <c r="A11" s="5"/>
      <c r="B11" s="5" t="s">
        <v>19</v>
      </c>
      <c r="C11" s="5" t="s">
        <v>54</v>
      </c>
      <c r="D11" s="5" t="s">
        <v>55</v>
      </c>
      <c r="E11" s="5" t="s">
        <v>56</v>
      </c>
      <c r="F11" s="5" t="s">
        <v>57</v>
      </c>
      <c r="G11" s="5" t="s">
        <v>58</v>
      </c>
      <c r="H11" s="5">
        <v>0</v>
      </c>
      <c r="I11" s="5">
        <v>20</v>
      </c>
      <c r="J11" s="5">
        <f t="shared" si="0"/>
        <v>-20</v>
      </c>
      <c r="K11" s="5" t="s">
        <v>25</v>
      </c>
      <c r="L11" s="5" t="s">
        <v>25</v>
      </c>
      <c r="M11" s="5" t="s">
        <v>26</v>
      </c>
      <c r="N11" s="5"/>
      <c r="O11" s="5"/>
      <c r="P11" s="5"/>
      <c r="Q11" s="5"/>
      <c r="R11">
        <v>1</v>
      </c>
      <c r="S11">
        <v>20</v>
      </c>
    </row>
    <row r="12" spans="1:19" x14ac:dyDescent="0.25">
      <c r="A12" s="5"/>
      <c r="B12" s="5" t="s">
        <v>19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58</v>
      </c>
      <c r="H12" s="5">
        <v>1650</v>
      </c>
      <c r="I12" s="5">
        <v>20</v>
      </c>
      <c r="J12" s="5">
        <f t="shared" si="0"/>
        <v>1630</v>
      </c>
      <c r="K12" s="5" t="s">
        <v>25</v>
      </c>
      <c r="L12" s="5" t="s">
        <v>25</v>
      </c>
      <c r="M12" s="5" t="s">
        <v>26</v>
      </c>
      <c r="N12" s="5"/>
      <c r="O12" s="5"/>
      <c r="P12" s="5"/>
      <c r="Q12" s="5"/>
      <c r="R12">
        <v>1</v>
      </c>
    </row>
    <row r="13" spans="1:19" x14ac:dyDescent="0.25">
      <c r="A13" s="5"/>
      <c r="B13" s="5" t="s">
        <v>19</v>
      </c>
      <c r="C13" s="5" t="s">
        <v>63</v>
      </c>
      <c r="D13" s="5" t="s">
        <v>64</v>
      </c>
      <c r="E13" s="5">
        <v>778</v>
      </c>
      <c r="F13" s="5" t="s">
        <v>65</v>
      </c>
      <c r="G13" s="5" t="s">
        <v>58</v>
      </c>
      <c r="H13" s="5">
        <v>860</v>
      </c>
      <c r="I13" s="5">
        <v>20</v>
      </c>
      <c r="J13" s="5">
        <f t="shared" si="0"/>
        <v>840</v>
      </c>
      <c r="K13" s="5" t="s">
        <v>25</v>
      </c>
      <c r="L13" s="5" t="s">
        <v>25</v>
      </c>
      <c r="M13" s="5" t="s">
        <v>26</v>
      </c>
      <c r="N13" s="5"/>
      <c r="O13" s="5"/>
      <c r="P13" s="5"/>
      <c r="Q13" s="5"/>
      <c r="R13">
        <v>1</v>
      </c>
    </row>
    <row r="14" spans="1:19" x14ac:dyDescent="0.25">
      <c r="A14" s="5"/>
      <c r="B14" s="5" t="s">
        <v>19</v>
      </c>
      <c r="C14" s="5" t="s">
        <v>66</v>
      </c>
      <c r="D14" s="5" t="s">
        <v>67</v>
      </c>
      <c r="E14" s="5" t="s">
        <v>68</v>
      </c>
      <c r="F14" s="5" t="s">
        <v>69</v>
      </c>
      <c r="G14" s="5" t="s">
        <v>70</v>
      </c>
      <c r="H14" s="5">
        <v>0</v>
      </c>
      <c r="I14" s="5">
        <v>25</v>
      </c>
      <c r="J14" s="5">
        <f t="shared" si="0"/>
        <v>-25</v>
      </c>
      <c r="K14" s="5" t="s">
        <v>25</v>
      </c>
      <c r="L14" s="5" t="s">
        <v>25</v>
      </c>
      <c r="M14" s="5" t="s">
        <v>26</v>
      </c>
      <c r="N14" s="5"/>
      <c r="O14" s="5"/>
      <c r="P14" s="5"/>
      <c r="Q14" s="5"/>
      <c r="R14">
        <v>1</v>
      </c>
      <c r="S14">
        <v>25</v>
      </c>
    </row>
    <row r="15" spans="1:19" x14ac:dyDescent="0.25">
      <c r="A15" s="5"/>
      <c r="B15" s="5" t="s">
        <v>19</v>
      </c>
      <c r="C15" s="5" t="s">
        <v>71</v>
      </c>
      <c r="D15" s="5" t="s">
        <v>72</v>
      </c>
      <c r="E15" s="5" t="s">
        <v>73</v>
      </c>
      <c r="F15" s="5" t="s">
        <v>74</v>
      </c>
      <c r="G15" s="5" t="s">
        <v>70</v>
      </c>
      <c r="H15" s="5">
        <v>715</v>
      </c>
      <c r="I15" s="5">
        <v>25</v>
      </c>
      <c r="J15" s="5">
        <f t="shared" si="0"/>
        <v>690</v>
      </c>
      <c r="K15" s="5" t="s">
        <v>25</v>
      </c>
      <c r="L15" s="5" t="s">
        <v>25</v>
      </c>
      <c r="M15" s="5" t="s">
        <v>26</v>
      </c>
      <c r="N15" s="5"/>
      <c r="O15" s="5"/>
      <c r="P15" s="5"/>
      <c r="Q15" s="5"/>
      <c r="R15">
        <v>1</v>
      </c>
    </row>
    <row r="16" spans="1:19" x14ac:dyDescent="0.25">
      <c r="A16" s="5"/>
      <c r="B16" s="5" t="s">
        <v>19</v>
      </c>
      <c r="C16" s="5" t="s">
        <v>75</v>
      </c>
      <c r="D16" s="5" t="s">
        <v>76</v>
      </c>
      <c r="E16" s="5" t="s">
        <v>77</v>
      </c>
      <c r="F16" s="5" t="s">
        <v>78</v>
      </c>
      <c r="G16" s="5" t="s">
        <v>70</v>
      </c>
      <c r="H16" s="5">
        <v>695</v>
      </c>
      <c r="I16" s="5">
        <v>25</v>
      </c>
      <c r="J16" s="5">
        <f t="shared" si="0"/>
        <v>670</v>
      </c>
      <c r="K16" s="5" t="s">
        <v>25</v>
      </c>
      <c r="L16" s="5" t="s">
        <v>25</v>
      </c>
      <c r="M16" s="5" t="s">
        <v>26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79</v>
      </c>
      <c r="D17" s="5" t="s">
        <v>80</v>
      </c>
      <c r="E17" s="5" t="s">
        <v>81</v>
      </c>
      <c r="F17" s="5" t="s">
        <v>82</v>
      </c>
      <c r="G17" s="5" t="s">
        <v>70</v>
      </c>
      <c r="H17" s="5">
        <v>815</v>
      </c>
      <c r="I17" s="5">
        <v>25</v>
      </c>
      <c r="J17" s="5">
        <f t="shared" si="0"/>
        <v>790</v>
      </c>
      <c r="K17" s="5" t="s">
        <v>25</v>
      </c>
      <c r="L17" s="5" t="s">
        <v>25</v>
      </c>
      <c r="M17" s="5" t="s">
        <v>26</v>
      </c>
      <c r="N17" s="5"/>
      <c r="O17" s="5"/>
      <c r="P17" s="5"/>
      <c r="Q17" s="5"/>
      <c r="R17">
        <v>1</v>
      </c>
    </row>
    <row r="18" spans="1:19" x14ac:dyDescent="0.25">
      <c r="A18" s="5"/>
      <c r="B18" s="5" t="s">
        <v>19</v>
      </c>
      <c r="C18" s="5" t="s">
        <v>83</v>
      </c>
      <c r="D18" s="5" t="s">
        <v>84</v>
      </c>
      <c r="E18" s="5" t="s">
        <v>85</v>
      </c>
      <c r="F18" s="5" t="s">
        <v>86</v>
      </c>
      <c r="G18" s="5" t="s">
        <v>70</v>
      </c>
      <c r="H18" s="5">
        <v>685</v>
      </c>
      <c r="I18" s="5">
        <v>25</v>
      </c>
      <c r="J18" s="5">
        <f t="shared" si="0"/>
        <v>660</v>
      </c>
      <c r="K18" s="5" t="s">
        <v>25</v>
      </c>
      <c r="L18" s="5" t="s">
        <v>25</v>
      </c>
      <c r="M18" s="5" t="s">
        <v>26</v>
      </c>
      <c r="N18" s="5"/>
      <c r="O18" s="5"/>
      <c r="P18" s="5"/>
      <c r="Q18" s="5"/>
      <c r="R18">
        <v>1</v>
      </c>
    </row>
    <row r="19" spans="1:19" x14ac:dyDescent="0.25">
      <c r="A19" s="5"/>
      <c r="B19" s="5" t="s">
        <v>19</v>
      </c>
      <c r="C19" s="5" t="s">
        <v>87</v>
      </c>
      <c r="D19" s="5" t="s">
        <v>88</v>
      </c>
      <c r="E19" s="5" t="s">
        <v>89</v>
      </c>
      <c r="F19" s="5" t="s">
        <v>90</v>
      </c>
      <c r="G19" s="5" t="s">
        <v>70</v>
      </c>
      <c r="H19" s="5">
        <v>805</v>
      </c>
      <c r="I19" s="5">
        <v>25</v>
      </c>
      <c r="J19" s="5">
        <f t="shared" si="0"/>
        <v>780</v>
      </c>
      <c r="K19" s="5" t="s">
        <v>25</v>
      </c>
      <c r="L19" s="5" t="s">
        <v>25</v>
      </c>
      <c r="M19" s="5" t="s">
        <v>26</v>
      </c>
      <c r="N19" s="5"/>
      <c r="O19" s="5"/>
      <c r="P19" s="5"/>
      <c r="Q19" s="5"/>
      <c r="R19">
        <v>1</v>
      </c>
    </row>
    <row r="20" spans="1:19" x14ac:dyDescent="0.25">
      <c r="A20" s="5" t="s">
        <v>91</v>
      </c>
      <c r="B20" s="5" t="s">
        <v>19</v>
      </c>
      <c r="C20" s="5" t="s">
        <v>92</v>
      </c>
      <c r="D20" s="5"/>
      <c r="E20" s="5">
        <v>403</v>
      </c>
      <c r="F20" s="5" t="s">
        <v>93</v>
      </c>
      <c r="G20" s="5" t="s">
        <v>70</v>
      </c>
      <c r="H20" s="5">
        <v>30</v>
      </c>
      <c r="I20" s="5">
        <v>30</v>
      </c>
      <c r="J20" s="5">
        <f t="shared" si="0"/>
        <v>0</v>
      </c>
      <c r="K20" s="5" t="s">
        <v>25</v>
      </c>
      <c r="L20" s="5" t="s">
        <v>25</v>
      </c>
      <c r="M20" s="5" t="s">
        <v>26</v>
      </c>
      <c r="N20" s="5"/>
      <c r="O20" s="5"/>
      <c r="P20" s="5"/>
      <c r="Q20" s="5"/>
      <c r="R20">
        <v>1</v>
      </c>
    </row>
    <row r="21" spans="1:19" x14ac:dyDescent="0.25">
      <c r="A21" s="5"/>
      <c r="B21" s="5" t="s">
        <v>19</v>
      </c>
      <c r="C21" s="5" t="s">
        <v>94</v>
      </c>
      <c r="D21" s="5" t="s">
        <v>95</v>
      </c>
      <c r="E21" s="5" t="s">
        <v>96</v>
      </c>
      <c r="F21" s="5" t="s">
        <v>97</v>
      </c>
      <c r="G21" s="5" t="s">
        <v>98</v>
      </c>
      <c r="H21" s="5">
        <v>0</v>
      </c>
      <c r="I21" s="5">
        <v>25</v>
      </c>
      <c r="J21" s="5">
        <f t="shared" si="0"/>
        <v>-25</v>
      </c>
      <c r="K21" s="5" t="s">
        <v>25</v>
      </c>
      <c r="L21" s="5" t="s">
        <v>25</v>
      </c>
      <c r="M21" s="5" t="s">
        <v>26</v>
      </c>
      <c r="N21" s="6" t="s">
        <v>99</v>
      </c>
      <c r="O21" s="5"/>
      <c r="P21" s="5"/>
      <c r="Q21" s="5"/>
      <c r="R21">
        <v>1</v>
      </c>
      <c r="S21">
        <v>25</v>
      </c>
    </row>
    <row r="22" spans="1:19" x14ac:dyDescent="0.25">
      <c r="A22" s="5"/>
      <c r="B22" s="5" t="s">
        <v>19</v>
      </c>
      <c r="C22" s="5" t="s">
        <v>100</v>
      </c>
      <c r="D22" s="5" t="s">
        <v>101</v>
      </c>
      <c r="E22" s="5">
        <v>9</v>
      </c>
      <c r="F22" s="5" t="s">
        <v>102</v>
      </c>
      <c r="G22" s="5" t="s">
        <v>103</v>
      </c>
      <c r="H22" s="5">
        <v>730</v>
      </c>
      <c r="I22" s="5">
        <v>30</v>
      </c>
      <c r="J22" s="5">
        <f t="shared" si="0"/>
        <v>700</v>
      </c>
      <c r="K22" s="5" t="s">
        <v>25</v>
      </c>
      <c r="L22" s="5" t="s">
        <v>25</v>
      </c>
      <c r="M22" s="5" t="s">
        <v>26</v>
      </c>
      <c r="N22" s="5"/>
      <c r="O22" s="5"/>
      <c r="P22" s="5"/>
      <c r="Q22" s="5"/>
      <c r="R22">
        <v>1</v>
      </c>
    </row>
    <row r="23" spans="1:19" x14ac:dyDescent="0.25">
      <c r="A23" s="5"/>
      <c r="B23" s="5" t="s">
        <v>19</v>
      </c>
      <c r="C23" s="5" t="s">
        <v>104</v>
      </c>
      <c r="D23" s="5" t="s">
        <v>105</v>
      </c>
      <c r="E23" s="5" t="s">
        <v>106</v>
      </c>
      <c r="F23" s="5" t="s">
        <v>107</v>
      </c>
      <c r="G23" s="5" t="s">
        <v>103</v>
      </c>
      <c r="H23" s="5">
        <v>700</v>
      </c>
      <c r="I23" s="5">
        <v>30</v>
      </c>
      <c r="J23" s="5">
        <f t="shared" si="0"/>
        <v>670</v>
      </c>
      <c r="K23" s="5" t="s">
        <v>25</v>
      </c>
      <c r="L23" s="5" t="s">
        <v>25</v>
      </c>
      <c r="M23" s="5" t="s">
        <v>26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108</v>
      </c>
      <c r="D24" s="5" t="s">
        <v>109</v>
      </c>
      <c r="E24" s="5" t="s">
        <v>110</v>
      </c>
      <c r="F24" s="5" t="s">
        <v>111</v>
      </c>
      <c r="G24" s="5" t="s">
        <v>103</v>
      </c>
      <c r="H24" s="5">
        <v>372</v>
      </c>
      <c r="I24" s="5">
        <v>30</v>
      </c>
      <c r="J24" s="5">
        <f t="shared" si="0"/>
        <v>342</v>
      </c>
      <c r="K24" s="5" t="s">
        <v>25</v>
      </c>
      <c r="L24" s="5" t="s">
        <v>25</v>
      </c>
      <c r="M24" s="5" t="s">
        <v>26</v>
      </c>
      <c r="N24" s="5"/>
      <c r="O24" s="5"/>
      <c r="P24" s="5"/>
      <c r="Q24" s="5"/>
      <c r="R24">
        <v>1</v>
      </c>
    </row>
    <row r="25" spans="1:19" x14ac:dyDescent="0.25">
      <c r="A25" s="5"/>
      <c r="B25" s="5" t="s">
        <v>19</v>
      </c>
      <c r="C25" s="5" t="s">
        <v>112</v>
      </c>
      <c r="D25" s="5" t="s">
        <v>113</v>
      </c>
      <c r="E25" s="5" t="s">
        <v>114</v>
      </c>
      <c r="F25" s="5" t="s">
        <v>115</v>
      </c>
      <c r="G25" s="5" t="s">
        <v>103</v>
      </c>
      <c r="H25" s="5">
        <v>1010</v>
      </c>
      <c r="I25" s="5">
        <v>30</v>
      </c>
      <c r="J25" s="5">
        <f t="shared" si="0"/>
        <v>980</v>
      </c>
      <c r="K25" s="5" t="s">
        <v>25</v>
      </c>
      <c r="L25" s="5" t="s">
        <v>25</v>
      </c>
      <c r="M25" s="5" t="s">
        <v>26</v>
      </c>
      <c r="N25" s="5"/>
      <c r="O25" s="5"/>
      <c r="P25" s="5"/>
      <c r="Q25" s="5"/>
      <c r="R25">
        <v>1</v>
      </c>
    </row>
    <row r="26" spans="1:19" x14ac:dyDescent="0.25">
      <c r="A26" s="5"/>
      <c r="B26" s="5" t="s">
        <v>19</v>
      </c>
      <c r="C26" s="5" t="s">
        <v>116</v>
      </c>
      <c r="D26" s="5" t="s">
        <v>117</v>
      </c>
      <c r="E26" s="5" t="s">
        <v>118</v>
      </c>
      <c r="F26" s="5" t="s">
        <v>119</v>
      </c>
      <c r="G26" s="5">
        <v>9</v>
      </c>
      <c r="H26" s="5">
        <v>890</v>
      </c>
      <c r="I26" s="5">
        <v>30</v>
      </c>
      <c r="J26" s="5">
        <f t="shared" si="0"/>
        <v>860</v>
      </c>
      <c r="K26" s="5" t="s">
        <v>120</v>
      </c>
      <c r="L26" s="5" t="s">
        <v>25</v>
      </c>
      <c r="M26" s="5" t="s">
        <v>26</v>
      </c>
      <c r="N26" s="5"/>
      <c r="O26" s="5"/>
      <c r="P26" s="5"/>
      <c r="Q26" s="5"/>
      <c r="R26">
        <v>1</v>
      </c>
    </row>
    <row r="27" spans="1:19" x14ac:dyDescent="0.25">
      <c r="A27" s="5"/>
      <c r="B27" s="5" t="s">
        <v>19</v>
      </c>
      <c r="C27" s="5" t="s">
        <v>121</v>
      </c>
      <c r="D27" s="5" t="s">
        <v>122</v>
      </c>
      <c r="E27" s="5" t="s">
        <v>123</v>
      </c>
      <c r="F27" s="5" t="s">
        <v>124</v>
      </c>
      <c r="G27" s="5">
        <v>1</v>
      </c>
      <c r="H27" s="5">
        <v>760</v>
      </c>
      <c r="I27" s="5">
        <v>20</v>
      </c>
      <c r="J27" s="5">
        <f t="shared" si="0"/>
        <v>740</v>
      </c>
      <c r="K27" s="5" t="s">
        <v>125</v>
      </c>
      <c r="L27" s="5" t="s">
        <v>25</v>
      </c>
      <c r="M27" s="5" t="s">
        <v>26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126</v>
      </c>
      <c r="D28" s="5" t="s">
        <v>127</v>
      </c>
      <c r="E28" s="5">
        <v>51</v>
      </c>
      <c r="F28" s="5" t="s">
        <v>128</v>
      </c>
      <c r="G28" s="5">
        <v>1</v>
      </c>
      <c r="H28" s="5">
        <v>760</v>
      </c>
      <c r="I28" s="5">
        <v>20</v>
      </c>
      <c r="J28" s="5">
        <f t="shared" si="0"/>
        <v>740</v>
      </c>
      <c r="K28" s="5" t="s">
        <v>125</v>
      </c>
      <c r="L28" s="5" t="s">
        <v>25</v>
      </c>
      <c r="M28" s="5" t="s">
        <v>26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129</v>
      </c>
      <c r="D29" s="5" t="s">
        <v>130</v>
      </c>
      <c r="E29" s="5">
        <v>56</v>
      </c>
      <c r="F29" s="5" t="s">
        <v>131</v>
      </c>
      <c r="G29" s="5">
        <v>4</v>
      </c>
      <c r="H29" s="5">
        <v>1375</v>
      </c>
      <c r="I29" s="5">
        <v>25</v>
      </c>
      <c r="J29" s="5">
        <f t="shared" si="0"/>
        <v>1350</v>
      </c>
      <c r="K29" s="5" t="s">
        <v>125</v>
      </c>
      <c r="L29" s="5" t="s">
        <v>25</v>
      </c>
      <c r="M29" s="5" t="s">
        <v>26</v>
      </c>
      <c r="N29" s="5"/>
      <c r="O29" s="5"/>
      <c r="P29" s="5"/>
      <c r="Q29" s="5"/>
      <c r="R29">
        <v>1</v>
      </c>
    </row>
    <row r="30" spans="1:19" x14ac:dyDescent="0.25">
      <c r="A30" s="5"/>
      <c r="B30" s="5" t="s">
        <v>19</v>
      </c>
      <c r="C30" s="5" t="s">
        <v>132</v>
      </c>
      <c r="D30" s="5" t="s">
        <v>133</v>
      </c>
      <c r="E30" s="5">
        <v>230</v>
      </c>
      <c r="F30" s="5" t="s">
        <v>134</v>
      </c>
      <c r="G30" s="5">
        <v>10</v>
      </c>
      <c r="H30" s="5">
        <v>695</v>
      </c>
      <c r="I30" s="5">
        <v>25</v>
      </c>
      <c r="J30" s="5">
        <f t="shared" si="0"/>
        <v>670</v>
      </c>
      <c r="K30" s="5" t="s">
        <v>125</v>
      </c>
      <c r="L30" s="5" t="s">
        <v>25</v>
      </c>
      <c r="M30" s="5" t="s">
        <v>26</v>
      </c>
      <c r="N30" s="5"/>
      <c r="O30" s="5"/>
      <c r="P30" s="5"/>
      <c r="Q30" s="5"/>
      <c r="R30">
        <v>1</v>
      </c>
    </row>
    <row r="31" spans="1:19" x14ac:dyDescent="0.25">
      <c r="A31" s="5"/>
      <c r="B31" s="5" t="s">
        <v>19</v>
      </c>
      <c r="C31" s="5" t="s">
        <v>135</v>
      </c>
      <c r="D31" s="5" t="s">
        <v>136</v>
      </c>
      <c r="E31" s="5" t="s">
        <v>137</v>
      </c>
      <c r="F31" s="5" t="s">
        <v>134</v>
      </c>
      <c r="G31" s="5">
        <v>10</v>
      </c>
      <c r="H31" s="5">
        <v>0</v>
      </c>
      <c r="I31" s="5">
        <v>25</v>
      </c>
      <c r="J31" s="5">
        <f t="shared" si="0"/>
        <v>-25</v>
      </c>
      <c r="K31" s="5" t="s">
        <v>125</v>
      </c>
      <c r="L31" s="5" t="s">
        <v>25</v>
      </c>
      <c r="M31" s="5" t="s">
        <v>26</v>
      </c>
      <c r="N31" s="6" t="s">
        <v>138</v>
      </c>
      <c r="O31" s="5"/>
      <c r="P31" s="5"/>
      <c r="Q31" s="5"/>
      <c r="R31">
        <v>1</v>
      </c>
      <c r="S31">
        <v>25</v>
      </c>
    </row>
    <row r="32" spans="1:19" x14ac:dyDescent="0.25">
      <c r="A32" s="5"/>
      <c r="B32" s="5" t="s">
        <v>19</v>
      </c>
      <c r="C32" s="5" t="s">
        <v>139</v>
      </c>
      <c r="D32" s="5" t="s">
        <v>140</v>
      </c>
      <c r="E32" s="5" t="s">
        <v>141</v>
      </c>
      <c r="F32" s="5" t="s">
        <v>142</v>
      </c>
      <c r="G32" s="5">
        <v>10</v>
      </c>
      <c r="H32" s="5">
        <v>941</v>
      </c>
      <c r="I32" s="5">
        <v>25</v>
      </c>
      <c r="J32" s="5">
        <f t="shared" si="0"/>
        <v>916</v>
      </c>
      <c r="K32" s="5" t="s">
        <v>125</v>
      </c>
      <c r="L32" s="5" t="s">
        <v>25</v>
      </c>
      <c r="M32" s="5" t="s">
        <v>26</v>
      </c>
      <c r="N32" s="5"/>
      <c r="O32" s="5"/>
      <c r="P32" s="5"/>
      <c r="Q32" s="5"/>
      <c r="R32">
        <v>1</v>
      </c>
    </row>
    <row r="33" spans="1:19" x14ac:dyDescent="0.25">
      <c r="A33" s="5"/>
      <c r="B33" s="5" t="s">
        <v>19</v>
      </c>
      <c r="C33" s="5" t="s">
        <v>143</v>
      </c>
      <c r="D33" s="5" t="s">
        <v>144</v>
      </c>
      <c r="E33" s="5" t="s">
        <v>145</v>
      </c>
      <c r="F33" s="5" t="s">
        <v>146</v>
      </c>
      <c r="G33" s="5">
        <v>10</v>
      </c>
      <c r="H33" s="5">
        <v>805</v>
      </c>
      <c r="I33" s="5">
        <v>25</v>
      </c>
      <c r="J33" s="5">
        <f t="shared" si="0"/>
        <v>780</v>
      </c>
      <c r="K33" s="5" t="s">
        <v>125</v>
      </c>
      <c r="L33" s="5" t="s">
        <v>25</v>
      </c>
      <c r="M33" s="5" t="s">
        <v>26</v>
      </c>
      <c r="N33" s="5"/>
      <c r="O33" s="5"/>
      <c r="P33" s="5"/>
      <c r="Q33" s="5"/>
      <c r="R33">
        <v>1</v>
      </c>
    </row>
    <row r="34" spans="1:19" x14ac:dyDescent="0.25">
      <c r="A34" s="5"/>
      <c r="B34" s="5" t="s">
        <v>19</v>
      </c>
      <c r="C34" s="5" t="s">
        <v>147</v>
      </c>
      <c r="D34" s="5" t="s">
        <v>148</v>
      </c>
      <c r="E34" s="5" t="s">
        <v>149</v>
      </c>
      <c r="F34" s="5" t="s">
        <v>150</v>
      </c>
      <c r="G34" s="5" t="s">
        <v>151</v>
      </c>
      <c r="H34" s="5">
        <v>690</v>
      </c>
      <c r="I34" s="5">
        <v>20</v>
      </c>
      <c r="J34" s="5">
        <f t="shared" si="0"/>
        <v>670</v>
      </c>
      <c r="K34" s="5" t="s">
        <v>125</v>
      </c>
      <c r="L34" s="5" t="s">
        <v>25</v>
      </c>
      <c r="M34" s="5" t="s">
        <v>26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152</v>
      </c>
      <c r="D35" s="5" t="s">
        <v>153</v>
      </c>
      <c r="E35" s="5" t="s">
        <v>154</v>
      </c>
      <c r="F35" s="5" t="s">
        <v>155</v>
      </c>
      <c r="G35" s="5" t="s">
        <v>151</v>
      </c>
      <c r="H35" s="5">
        <v>690</v>
      </c>
      <c r="I35" s="5">
        <v>20</v>
      </c>
      <c r="J35" s="5">
        <f t="shared" ref="J35:J66" si="1">H35-I35</f>
        <v>670</v>
      </c>
      <c r="K35" s="5" t="s">
        <v>125</v>
      </c>
      <c r="L35" s="5" t="s">
        <v>25</v>
      </c>
      <c r="M35" s="5" t="s">
        <v>26</v>
      </c>
      <c r="N35" s="5"/>
      <c r="O35" s="5"/>
      <c r="P35" s="5"/>
      <c r="Q35" s="5"/>
      <c r="R35">
        <v>1</v>
      </c>
    </row>
    <row r="36" spans="1:19" x14ac:dyDescent="0.25">
      <c r="A36" s="5"/>
      <c r="B36" s="5" t="s">
        <v>19</v>
      </c>
      <c r="C36" s="5" t="s">
        <v>156</v>
      </c>
      <c r="D36" s="5" t="s">
        <v>157</v>
      </c>
      <c r="E36" s="5" t="s">
        <v>158</v>
      </c>
      <c r="F36" s="5" t="s">
        <v>159</v>
      </c>
      <c r="G36" s="5" t="s">
        <v>151</v>
      </c>
      <c r="H36" s="5">
        <v>690</v>
      </c>
      <c r="I36" s="5">
        <v>20</v>
      </c>
      <c r="J36" s="5">
        <f t="shared" si="1"/>
        <v>670</v>
      </c>
      <c r="K36" s="5" t="s">
        <v>125</v>
      </c>
      <c r="L36" s="5" t="s">
        <v>25</v>
      </c>
      <c r="M36" s="5" t="s">
        <v>26</v>
      </c>
      <c r="N36" s="5"/>
      <c r="O36" s="5"/>
      <c r="P36" s="5"/>
      <c r="Q36" s="5"/>
      <c r="R36">
        <v>1</v>
      </c>
    </row>
    <row r="37" spans="1:19" x14ac:dyDescent="0.25">
      <c r="A37" s="5"/>
      <c r="B37" s="5" t="s">
        <v>19</v>
      </c>
      <c r="C37" s="5" t="s">
        <v>160</v>
      </c>
      <c r="D37" s="5" t="s">
        <v>161</v>
      </c>
      <c r="E37" s="5" t="s">
        <v>162</v>
      </c>
      <c r="F37" s="5" t="s">
        <v>163</v>
      </c>
      <c r="G37" s="5" t="s">
        <v>98</v>
      </c>
      <c r="H37" s="5">
        <v>695</v>
      </c>
      <c r="I37" s="5">
        <v>25</v>
      </c>
      <c r="J37" s="5">
        <f t="shared" si="1"/>
        <v>670</v>
      </c>
      <c r="K37" s="5" t="s">
        <v>125</v>
      </c>
      <c r="L37" s="5" t="s">
        <v>25</v>
      </c>
      <c r="M37" s="5" t="s">
        <v>26</v>
      </c>
      <c r="N37" s="5"/>
      <c r="O37" s="5"/>
      <c r="P37" s="5"/>
      <c r="Q37" s="5"/>
      <c r="R37">
        <v>1</v>
      </c>
    </row>
    <row r="38" spans="1:19" x14ac:dyDescent="0.25">
      <c r="A38" s="5"/>
      <c r="B38" s="5" t="s">
        <v>19</v>
      </c>
      <c r="C38" s="5" t="s">
        <v>164</v>
      </c>
      <c r="D38" s="5" t="s">
        <v>165</v>
      </c>
      <c r="E38" s="5" t="s">
        <v>166</v>
      </c>
      <c r="F38" s="5" t="s">
        <v>167</v>
      </c>
      <c r="G38" s="5" t="s">
        <v>98</v>
      </c>
      <c r="H38" s="5">
        <v>695</v>
      </c>
      <c r="I38" s="5">
        <v>25</v>
      </c>
      <c r="J38" s="5">
        <f t="shared" si="1"/>
        <v>670</v>
      </c>
      <c r="K38" s="5" t="s">
        <v>125</v>
      </c>
      <c r="L38" s="5" t="s">
        <v>25</v>
      </c>
      <c r="M38" s="5" t="s">
        <v>26</v>
      </c>
      <c r="N38" s="5"/>
      <c r="O38" s="5"/>
      <c r="P38" s="5"/>
      <c r="Q38" s="5"/>
      <c r="R38">
        <v>1</v>
      </c>
    </row>
    <row r="39" spans="1:19" x14ac:dyDescent="0.25">
      <c r="A39" s="5"/>
      <c r="B39" s="5" t="s">
        <v>19</v>
      </c>
      <c r="C39" s="5" t="s">
        <v>168</v>
      </c>
      <c r="D39" s="5" t="s">
        <v>169</v>
      </c>
      <c r="E39" s="5" t="s">
        <v>170</v>
      </c>
      <c r="F39" s="5" t="s">
        <v>167</v>
      </c>
      <c r="G39" s="5" t="s">
        <v>98</v>
      </c>
      <c r="H39" s="5">
        <v>1655</v>
      </c>
      <c r="I39" s="5">
        <v>25</v>
      </c>
      <c r="J39" s="5">
        <f t="shared" si="1"/>
        <v>1630</v>
      </c>
      <c r="K39" s="5" t="s">
        <v>125</v>
      </c>
      <c r="L39" s="5" t="s">
        <v>25</v>
      </c>
      <c r="M39" s="5" t="s">
        <v>26</v>
      </c>
      <c r="N39" s="5"/>
      <c r="O39" s="5"/>
      <c r="P39" s="5"/>
      <c r="Q39" s="5"/>
      <c r="R39">
        <v>1</v>
      </c>
    </row>
    <row r="40" spans="1:19" x14ac:dyDescent="0.25">
      <c r="A40" s="5" t="s">
        <v>91</v>
      </c>
      <c r="B40" s="5" t="s">
        <v>19</v>
      </c>
      <c r="C40" s="5" t="s">
        <v>171</v>
      </c>
      <c r="D40" s="5"/>
      <c r="E40" s="5" t="s">
        <v>172</v>
      </c>
      <c r="F40" s="5" t="s">
        <v>173</v>
      </c>
      <c r="G40" s="5" t="s">
        <v>98</v>
      </c>
      <c r="H40" s="5">
        <v>0</v>
      </c>
      <c r="I40" s="5">
        <v>30</v>
      </c>
      <c r="J40" s="5">
        <f t="shared" si="1"/>
        <v>-30</v>
      </c>
      <c r="K40" s="5" t="s">
        <v>125</v>
      </c>
      <c r="L40" s="5" t="s">
        <v>25</v>
      </c>
      <c r="M40" s="5" t="s">
        <v>26</v>
      </c>
      <c r="N40" s="5"/>
      <c r="O40" s="5"/>
      <c r="P40" s="5"/>
      <c r="Q40" s="5"/>
      <c r="R40">
        <v>1</v>
      </c>
      <c r="S40">
        <v>30</v>
      </c>
    </row>
    <row r="41" spans="1:19" s="4" customFormat="1" x14ac:dyDescent="0.25">
      <c r="A41" s="5"/>
      <c r="B41" s="5" t="s">
        <v>19</v>
      </c>
      <c r="C41" s="5" t="s">
        <v>174</v>
      </c>
      <c r="D41" s="5" t="s">
        <v>175</v>
      </c>
      <c r="E41" s="5" t="s">
        <v>176</v>
      </c>
      <c r="F41" s="5" t="s">
        <v>177</v>
      </c>
      <c r="G41" s="5">
        <v>6</v>
      </c>
      <c r="H41" s="5">
        <v>0</v>
      </c>
      <c r="I41" s="5">
        <v>25</v>
      </c>
      <c r="J41" s="5">
        <f t="shared" si="1"/>
        <v>-25</v>
      </c>
      <c r="K41" s="5" t="s">
        <v>178</v>
      </c>
      <c r="L41" s="5" t="s">
        <v>25</v>
      </c>
      <c r="M41" s="5" t="s">
        <v>26</v>
      </c>
      <c r="N41" s="6" t="s">
        <v>99</v>
      </c>
      <c r="O41" s="5"/>
      <c r="P41" s="5"/>
      <c r="Q41" s="5"/>
      <c r="R41" s="4">
        <v>1</v>
      </c>
      <c r="S41" s="4">
        <v>25</v>
      </c>
    </row>
    <row r="42" spans="1:19" x14ac:dyDescent="0.25">
      <c r="A42" s="5" t="s">
        <v>91</v>
      </c>
      <c r="B42" s="5" t="s">
        <v>19</v>
      </c>
      <c r="C42" s="5" t="s">
        <v>179</v>
      </c>
      <c r="D42" s="5"/>
      <c r="E42" s="5" t="s">
        <v>180</v>
      </c>
      <c r="F42" s="5" t="s">
        <v>181</v>
      </c>
      <c r="G42" s="5">
        <v>6</v>
      </c>
      <c r="H42" s="5">
        <v>0</v>
      </c>
      <c r="I42" s="5">
        <v>30</v>
      </c>
      <c r="J42" s="5">
        <f t="shared" si="1"/>
        <v>-30</v>
      </c>
      <c r="K42" s="5" t="s">
        <v>178</v>
      </c>
      <c r="L42" s="5" t="s">
        <v>25</v>
      </c>
      <c r="M42" s="5" t="s">
        <v>26</v>
      </c>
      <c r="N42" s="5"/>
      <c r="O42" s="5"/>
      <c r="P42" s="5"/>
      <c r="Q42" s="5"/>
      <c r="R42">
        <v>1</v>
      </c>
      <c r="S42">
        <v>30</v>
      </c>
    </row>
    <row r="43" spans="1:19" x14ac:dyDescent="0.25">
      <c r="A43" s="5"/>
      <c r="B43" s="5" t="s">
        <v>19</v>
      </c>
      <c r="C43" s="5" t="s">
        <v>182</v>
      </c>
      <c r="D43" s="5" t="s">
        <v>183</v>
      </c>
      <c r="E43" s="5" t="s">
        <v>184</v>
      </c>
      <c r="F43" s="5" t="s">
        <v>185</v>
      </c>
      <c r="G43" s="5">
        <v>6</v>
      </c>
      <c r="H43" s="5">
        <v>435</v>
      </c>
      <c r="I43" s="5">
        <v>25</v>
      </c>
      <c r="J43" s="5">
        <f t="shared" si="1"/>
        <v>410</v>
      </c>
      <c r="K43" s="5" t="s">
        <v>178</v>
      </c>
      <c r="L43" s="5" t="s">
        <v>25</v>
      </c>
      <c r="M43" s="5" t="s">
        <v>26</v>
      </c>
      <c r="N43" s="6" t="s">
        <v>186</v>
      </c>
      <c r="O43" s="5"/>
      <c r="P43" s="5"/>
      <c r="Q43" s="5"/>
      <c r="R43">
        <v>1</v>
      </c>
    </row>
    <row r="44" spans="1:19" x14ac:dyDescent="0.25">
      <c r="A44" s="5"/>
      <c r="B44" s="5" t="s">
        <v>19</v>
      </c>
      <c r="C44" s="5" t="s">
        <v>187</v>
      </c>
      <c r="D44" s="5" t="s">
        <v>188</v>
      </c>
      <c r="E44" s="5" t="s">
        <v>189</v>
      </c>
      <c r="F44" s="5" t="s">
        <v>190</v>
      </c>
      <c r="G44" s="5">
        <v>6</v>
      </c>
      <c r="H44" s="5">
        <v>1705</v>
      </c>
      <c r="I44" s="5">
        <v>25</v>
      </c>
      <c r="J44" s="5">
        <f t="shared" si="1"/>
        <v>1680</v>
      </c>
      <c r="K44" s="5" t="s">
        <v>178</v>
      </c>
      <c r="L44" s="5" t="s">
        <v>25</v>
      </c>
      <c r="M44" s="5" t="s">
        <v>26</v>
      </c>
      <c r="N44" s="5"/>
      <c r="O44" s="5"/>
      <c r="P44" s="5"/>
      <c r="Q44" s="5"/>
      <c r="R44">
        <v>1</v>
      </c>
    </row>
    <row r="45" spans="1:19" x14ac:dyDescent="0.25">
      <c r="A45" s="5" t="s">
        <v>91</v>
      </c>
      <c r="B45" s="5" t="s">
        <v>19</v>
      </c>
      <c r="C45" s="5" t="s">
        <v>191</v>
      </c>
      <c r="D45" s="5"/>
      <c r="E45" s="5" t="s">
        <v>192</v>
      </c>
      <c r="F45" s="5" t="s">
        <v>193</v>
      </c>
      <c r="G45" s="5">
        <v>6</v>
      </c>
      <c r="H45" s="5">
        <v>2050</v>
      </c>
      <c r="I45" s="5">
        <v>30</v>
      </c>
      <c r="J45" s="5">
        <f t="shared" si="1"/>
        <v>2020</v>
      </c>
      <c r="K45" s="5" t="s">
        <v>178</v>
      </c>
      <c r="L45" s="5" t="s">
        <v>25</v>
      </c>
      <c r="M45" s="5" t="s">
        <v>26</v>
      </c>
      <c r="N45" s="5"/>
      <c r="O45" s="5"/>
      <c r="P45" s="5"/>
      <c r="Q45" s="5"/>
      <c r="R45">
        <v>1</v>
      </c>
    </row>
    <row r="46" spans="1:19" x14ac:dyDescent="0.25">
      <c r="A46" s="5"/>
      <c r="B46" s="5" t="s">
        <v>19</v>
      </c>
      <c r="C46" s="5" t="s">
        <v>194</v>
      </c>
      <c r="D46" s="5" t="s">
        <v>195</v>
      </c>
      <c r="E46" s="5">
        <v>76</v>
      </c>
      <c r="F46" s="5" t="s">
        <v>196</v>
      </c>
      <c r="G46" s="5">
        <v>7</v>
      </c>
      <c r="H46" s="5">
        <v>820</v>
      </c>
      <c r="I46" s="5">
        <v>30</v>
      </c>
      <c r="J46" s="5">
        <f t="shared" si="1"/>
        <v>790</v>
      </c>
      <c r="K46" s="5" t="s">
        <v>178</v>
      </c>
      <c r="L46" s="5" t="s">
        <v>25</v>
      </c>
      <c r="M46" s="5" t="s">
        <v>26</v>
      </c>
      <c r="N46" s="5"/>
      <c r="O46" s="5"/>
      <c r="P46" s="5"/>
      <c r="Q46" s="5"/>
      <c r="R46">
        <v>1</v>
      </c>
    </row>
    <row r="47" spans="1:19" x14ac:dyDescent="0.25">
      <c r="A47" s="5"/>
      <c r="B47" s="5" t="s">
        <v>19</v>
      </c>
      <c r="C47" s="5" t="s">
        <v>197</v>
      </c>
      <c r="D47" s="5" t="s">
        <v>198</v>
      </c>
      <c r="E47" s="5" t="s">
        <v>199</v>
      </c>
      <c r="F47" s="5" t="s">
        <v>200</v>
      </c>
      <c r="G47" s="5">
        <v>7</v>
      </c>
      <c r="H47" s="5">
        <v>0</v>
      </c>
      <c r="I47" s="5">
        <v>30</v>
      </c>
      <c r="J47" s="5">
        <f t="shared" si="1"/>
        <v>-30</v>
      </c>
      <c r="K47" s="5" t="s">
        <v>178</v>
      </c>
      <c r="L47" s="5" t="s">
        <v>25</v>
      </c>
      <c r="M47" s="5" t="s">
        <v>26</v>
      </c>
      <c r="N47" s="5"/>
      <c r="O47" s="5"/>
      <c r="P47" s="5"/>
      <c r="Q47" s="5"/>
      <c r="R47">
        <v>1</v>
      </c>
      <c r="S47">
        <v>30</v>
      </c>
    </row>
    <row r="48" spans="1:19" x14ac:dyDescent="0.25">
      <c r="A48" s="5"/>
      <c r="B48" s="5" t="s">
        <v>19</v>
      </c>
      <c r="C48" s="5" t="s">
        <v>201</v>
      </c>
      <c r="D48" s="5" t="s">
        <v>202</v>
      </c>
      <c r="E48" s="5">
        <v>19</v>
      </c>
      <c r="F48" s="5" t="s">
        <v>203</v>
      </c>
      <c r="G48" s="5">
        <v>7</v>
      </c>
      <c r="H48" s="5">
        <v>820</v>
      </c>
      <c r="I48" s="5">
        <v>30</v>
      </c>
      <c r="J48" s="5">
        <f t="shared" si="1"/>
        <v>790</v>
      </c>
      <c r="K48" s="5" t="s">
        <v>178</v>
      </c>
      <c r="L48" s="5" t="s">
        <v>25</v>
      </c>
      <c r="M48" s="5" t="s">
        <v>26</v>
      </c>
      <c r="N48" s="5"/>
      <c r="O48" s="5"/>
      <c r="P48" s="5"/>
      <c r="Q48" s="5"/>
      <c r="R48">
        <v>1</v>
      </c>
    </row>
    <row r="49" spans="1:19" x14ac:dyDescent="0.25">
      <c r="A49" s="5"/>
      <c r="B49" s="5" t="s">
        <v>19</v>
      </c>
      <c r="C49" s="5" t="s">
        <v>204</v>
      </c>
      <c r="D49" s="5" t="s">
        <v>205</v>
      </c>
      <c r="E49" s="5">
        <v>813</v>
      </c>
      <c r="F49" s="5" t="s">
        <v>206</v>
      </c>
      <c r="G49" s="5">
        <v>7</v>
      </c>
      <c r="H49" s="5">
        <v>810</v>
      </c>
      <c r="I49" s="5">
        <v>30</v>
      </c>
      <c r="J49" s="5">
        <f t="shared" si="1"/>
        <v>780</v>
      </c>
      <c r="K49" s="5" t="s">
        <v>178</v>
      </c>
      <c r="L49" s="5" t="s">
        <v>25</v>
      </c>
      <c r="M49" s="5" t="s">
        <v>26</v>
      </c>
      <c r="N49" s="5"/>
      <c r="O49" s="5"/>
      <c r="P49" s="5"/>
      <c r="Q49" s="5"/>
      <c r="R49">
        <v>1</v>
      </c>
    </row>
    <row r="50" spans="1:19" x14ac:dyDescent="0.25">
      <c r="A50" s="5"/>
      <c r="B50" s="5" t="s">
        <v>19</v>
      </c>
      <c r="C50" s="5" t="s">
        <v>207</v>
      </c>
      <c r="D50" s="5" t="s">
        <v>208</v>
      </c>
      <c r="E50" s="5">
        <v>21</v>
      </c>
      <c r="F50" s="5" t="s">
        <v>209</v>
      </c>
      <c r="G50" s="5">
        <v>8</v>
      </c>
      <c r="H50" s="5">
        <v>0</v>
      </c>
      <c r="I50" s="5">
        <v>30</v>
      </c>
      <c r="J50" s="5">
        <f t="shared" si="1"/>
        <v>-30</v>
      </c>
      <c r="K50" s="5" t="s">
        <v>178</v>
      </c>
      <c r="L50" s="5" t="s">
        <v>25</v>
      </c>
      <c r="M50" s="5" t="s">
        <v>26</v>
      </c>
      <c r="N50" s="5"/>
      <c r="O50" s="5"/>
      <c r="P50" s="5"/>
      <c r="Q50" s="5"/>
      <c r="R50">
        <v>1</v>
      </c>
      <c r="S50">
        <v>30</v>
      </c>
    </row>
    <row r="51" spans="1:19" x14ac:dyDescent="0.25">
      <c r="A51" s="5"/>
      <c r="B51" s="5" t="s">
        <v>19</v>
      </c>
      <c r="C51" s="5" t="s">
        <v>210</v>
      </c>
      <c r="D51" s="5" t="s">
        <v>211</v>
      </c>
      <c r="E51" s="5">
        <v>1002</v>
      </c>
      <c r="F51" s="5" t="s">
        <v>212</v>
      </c>
      <c r="G51" s="5">
        <v>8</v>
      </c>
      <c r="H51" s="5">
        <v>700</v>
      </c>
      <c r="I51" s="5">
        <v>30</v>
      </c>
      <c r="J51" s="5">
        <f t="shared" si="1"/>
        <v>670</v>
      </c>
      <c r="K51" s="5" t="s">
        <v>178</v>
      </c>
      <c r="L51" s="5" t="s">
        <v>25</v>
      </c>
      <c r="M51" s="5" t="s">
        <v>26</v>
      </c>
      <c r="N51" s="5"/>
      <c r="O51" s="5"/>
      <c r="P51" s="5"/>
      <c r="Q51" s="5"/>
      <c r="R51">
        <v>1</v>
      </c>
    </row>
    <row r="52" spans="1:19" x14ac:dyDescent="0.25">
      <c r="A52" s="5"/>
      <c r="B52" s="5" t="s">
        <v>19</v>
      </c>
      <c r="C52" s="5" t="s">
        <v>213</v>
      </c>
      <c r="D52" s="5" t="s">
        <v>214</v>
      </c>
      <c r="E52" s="5">
        <v>30</v>
      </c>
      <c r="F52" s="5" t="s">
        <v>215</v>
      </c>
      <c r="G52" s="5">
        <v>8</v>
      </c>
      <c r="H52" s="5">
        <v>695</v>
      </c>
      <c r="I52" s="5">
        <v>25</v>
      </c>
      <c r="J52" s="5">
        <f t="shared" si="1"/>
        <v>670</v>
      </c>
      <c r="K52" s="5" t="s">
        <v>178</v>
      </c>
      <c r="L52" s="5" t="s">
        <v>25</v>
      </c>
      <c r="M52" s="5" t="s">
        <v>26</v>
      </c>
      <c r="N52" s="5"/>
      <c r="O52" s="5"/>
      <c r="P52" s="5"/>
      <c r="Q52" s="5"/>
      <c r="R52">
        <v>1</v>
      </c>
    </row>
    <row r="53" spans="1:19" x14ac:dyDescent="0.25">
      <c r="A53" s="5"/>
      <c r="B53" s="5" t="s">
        <v>19</v>
      </c>
      <c r="C53" s="5" t="s">
        <v>216</v>
      </c>
      <c r="D53" s="5" t="s">
        <v>217</v>
      </c>
      <c r="E53" s="5"/>
      <c r="F53" s="5" t="s">
        <v>218</v>
      </c>
      <c r="G53" s="5">
        <v>9</v>
      </c>
      <c r="H53" s="5">
        <v>0</v>
      </c>
      <c r="I53" s="5">
        <v>30</v>
      </c>
      <c r="J53" s="5">
        <f t="shared" si="1"/>
        <v>-30</v>
      </c>
      <c r="K53" s="5" t="s">
        <v>178</v>
      </c>
      <c r="L53" s="5" t="s">
        <v>25</v>
      </c>
      <c r="M53" s="5" t="s">
        <v>26</v>
      </c>
      <c r="N53" s="5"/>
      <c r="O53" s="5"/>
      <c r="P53" s="5"/>
      <c r="Q53" s="5"/>
      <c r="R53">
        <v>1</v>
      </c>
      <c r="S53">
        <v>30</v>
      </c>
    </row>
    <row r="54" spans="1:19" x14ac:dyDescent="0.25">
      <c r="A54" s="5"/>
      <c r="B54" s="5" t="s">
        <v>19</v>
      </c>
      <c r="C54" s="5" t="s">
        <v>219</v>
      </c>
      <c r="D54" s="5" t="s">
        <v>220</v>
      </c>
      <c r="E54" s="5">
        <v>910</v>
      </c>
      <c r="F54" s="5" t="s">
        <v>221</v>
      </c>
      <c r="G54" s="5">
        <v>11</v>
      </c>
      <c r="H54" s="5">
        <v>695</v>
      </c>
      <c r="I54" s="5">
        <v>25</v>
      </c>
      <c r="J54" s="5">
        <f t="shared" si="1"/>
        <v>670</v>
      </c>
      <c r="K54" s="5" t="s">
        <v>178</v>
      </c>
      <c r="L54" s="5" t="s">
        <v>25</v>
      </c>
      <c r="M54" s="5" t="s">
        <v>26</v>
      </c>
      <c r="N54" s="5"/>
      <c r="O54" s="5"/>
      <c r="P54" s="5"/>
      <c r="Q54" s="5"/>
      <c r="R54">
        <v>1</v>
      </c>
    </row>
    <row r="55" spans="1:19" x14ac:dyDescent="0.25">
      <c r="A55" s="5"/>
      <c r="B55" s="5" t="s">
        <v>19</v>
      </c>
      <c r="C55" s="5" t="s">
        <v>222</v>
      </c>
      <c r="D55" s="5" t="s">
        <v>223</v>
      </c>
      <c r="E55" s="5" t="s">
        <v>224</v>
      </c>
      <c r="F55" s="5" t="s">
        <v>225</v>
      </c>
      <c r="G55" s="5">
        <v>12</v>
      </c>
      <c r="H55" s="5">
        <v>786</v>
      </c>
      <c r="I55" s="5">
        <v>30</v>
      </c>
      <c r="J55" s="5">
        <f t="shared" si="1"/>
        <v>756</v>
      </c>
      <c r="K55" s="5" t="s">
        <v>178</v>
      </c>
      <c r="L55" s="5" t="s">
        <v>25</v>
      </c>
      <c r="M55" s="5" t="s">
        <v>26</v>
      </c>
      <c r="N55" s="5"/>
      <c r="O55" s="5"/>
      <c r="P55" s="5"/>
      <c r="Q55" s="5"/>
      <c r="R55">
        <v>1</v>
      </c>
    </row>
    <row r="56" spans="1:19" x14ac:dyDescent="0.25">
      <c r="A56" s="5"/>
      <c r="B56" s="5" t="s">
        <v>19</v>
      </c>
      <c r="C56" s="5" t="s">
        <v>226</v>
      </c>
      <c r="D56" s="5" t="s">
        <v>227</v>
      </c>
      <c r="E56" s="5">
        <v>375</v>
      </c>
      <c r="F56" s="5" t="s">
        <v>228</v>
      </c>
      <c r="G56" s="5">
        <v>12</v>
      </c>
      <c r="H56" s="5">
        <v>0</v>
      </c>
      <c r="I56" s="5">
        <v>30</v>
      </c>
      <c r="J56" s="5">
        <f t="shared" si="1"/>
        <v>-30</v>
      </c>
      <c r="K56" s="5" t="s">
        <v>178</v>
      </c>
      <c r="L56" s="5" t="s">
        <v>25</v>
      </c>
      <c r="M56" s="5" t="s">
        <v>26</v>
      </c>
      <c r="N56" s="5"/>
      <c r="O56" s="5"/>
      <c r="P56" s="5"/>
      <c r="Q56" s="5"/>
      <c r="R56">
        <v>1</v>
      </c>
      <c r="S56">
        <v>30</v>
      </c>
    </row>
    <row r="57" spans="1:19" x14ac:dyDescent="0.25">
      <c r="A57" s="5"/>
      <c r="B57" s="5" t="s">
        <v>19</v>
      </c>
      <c r="C57" s="5" t="s">
        <v>229</v>
      </c>
      <c r="D57" s="5" t="s">
        <v>230</v>
      </c>
      <c r="E57" s="5">
        <v>67</v>
      </c>
      <c r="F57" s="5" t="s">
        <v>231</v>
      </c>
      <c r="G57" s="5" t="s">
        <v>232</v>
      </c>
      <c r="H57" s="5">
        <v>825</v>
      </c>
      <c r="I57" s="5">
        <v>35</v>
      </c>
      <c r="J57" s="5">
        <f t="shared" si="1"/>
        <v>790</v>
      </c>
      <c r="K57" s="5" t="s">
        <v>178</v>
      </c>
      <c r="L57" s="5" t="s">
        <v>25</v>
      </c>
      <c r="M57" s="5" t="s">
        <v>26</v>
      </c>
      <c r="N57" s="5"/>
      <c r="O57" s="5"/>
      <c r="P57" s="5"/>
      <c r="Q57" s="5"/>
      <c r="R57">
        <v>1</v>
      </c>
    </row>
    <row r="58" spans="1:19" x14ac:dyDescent="0.25">
      <c r="A58" s="5"/>
      <c r="B58" s="5" t="s">
        <v>19</v>
      </c>
      <c r="C58" s="5" t="s">
        <v>233</v>
      </c>
      <c r="D58" s="5" t="s">
        <v>234</v>
      </c>
      <c r="E58" s="5" t="s">
        <v>235</v>
      </c>
      <c r="F58" s="5" t="s">
        <v>236</v>
      </c>
      <c r="G58" s="5" t="s">
        <v>232</v>
      </c>
      <c r="H58" s="5">
        <v>705</v>
      </c>
      <c r="I58" s="5">
        <v>35</v>
      </c>
      <c r="J58" s="5">
        <f t="shared" si="1"/>
        <v>670</v>
      </c>
      <c r="K58" s="5" t="s">
        <v>178</v>
      </c>
      <c r="L58" s="5" t="s">
        <v>25</v>
      </c>
      <c r="M58" s="5" t="s">
        <v>26</v>
      </c>
      <c r="N58" s="5"/>
      <c r="O58" s="5"/>
      <c r="P58" s="5"/>
      <c r="Q58" s="5"/>
      <c r="R58">
        <v>1</v>
      </c>
    </row>
    <row r="59" spans="1:19" x14ac:dyDescent="0.25">
      <c r="A59" s="5"/>
      <c r="B59" s="5" t="s">
        <v>19</v>
      </c>
      <c r="C59" s="5" t="s">
        <v>237</v>
      </c>
      <c r="D59" s="5" t="s">
        <v>238</v>
      </c>
      <c r="E59" s="5">
        <v>321</v>
      </c>
      <c r="F59" s="5" t="s">
        <v>239</v>
      </c>
      <c r="G59" s="5" t="s">
        <v>240</v>
      </c>
      <c r="H59" s="5">
        <v>810</v>
      </c>
      <c r="I59" s="5">
        <v>30</v>
      </c>
      <c r="J59" s="5">
        <f t="shared" si="1"/>
        <v>780</v>
      </c>
      <c r="K59" s="5" t="s">
        <v>178</v>
      </c>
      <c r="L59" s="5" t="s">
        <v>25</v>
      </c>
      <c r="M59" s="5" t="s">
        <v>26</v>
      </c>
      <c r="N59" s="5"/>
      <c r="O59" s="5"/>
      <c r="P59" s="5"/>
      <c r="Q59" s="5"/>
      <c r="R59">
        <v>1</v>
      </c>
    </row>
    <row r="60" spans="1:19" x14ac:dyDescent="0.25">
      <c r="A60" s="5"/>
      <c r="B60" s="5" t="s">
        <v>19</v>
      </c>
      <c r="C60" s="5" t="s">
        <v>241</v>
      </c>
      <c r="D60" s="5" t="s">
        <v>242</v>
      </c>
      <c r="E60" s="5">
        <v>27</v>
      </c>
      <c r="F60" s="5" t="s">
        <v>243</v>
      </c>
      <c r="G60" s="5" t="s">
        <v>240</v>
      </c>
      <c r="H60" s="5">
        <v>1230</v>
      </c>
      <c r="I60" s="5">
        <v>30</v>
      </c>
      <c r="J60" s="5">
        <f t="shared" si="1"/>
        <v>1200</v>
      </c>
      <c r="K60" s="5" t="s">
        <v>178</v>
      </c>
      <c r="L60" s="5" t="s">
        <v>25</v>
      </c>
      <c r="M60" s="5" t="s">
        <v>26</v>
      </c>
      <c r="N60" s="5"/>
      <c r="O60" s="5"/>
      <c r="P60" s="5"/>
      <c r="Q60" s="5"/>
      <c r="R60">
        <v>1</v>
      </c>
    </row>
    <row r="61" spans="1:19" x14ac:dyDescent="0.25">
      <c r="A61" s="5"/>
      <c r="B61" s="5" t="s">
        <v>19</v>
      </c>
      <c r="C61" s="5" t="s">
        <v>244</v>
      </c>
      <c r="D61" s="5" t="s">
        <v>245</v>
      </c>
      <c r="E61" s="5">
        <v>17</v>
      </c>
      <c r="F61" s="5" t="s">
        <v>246</v>
      </c>
      <c r="G61" s="5" t="s">
        <v>240</v>
      </c>
      <c r="H61" s="5">
        <v>0</v>
      </c>
      <c r="I61" s="5">
        <v>30</v>
      </c>
      <c r="J61" s="5">
        <f t="shared" si="1"/>
        <v>-30</v>
      </c>
      <c r="K61" s="5" t="s">
        <v>178</v>
      </c>
      <c r="L61" s="5" t="s">
        <v>25</v>
      </c>
      <c r="M61" s="5" t="s">
        <v>26</v>
      </c>
      <c r="N61" s="5"/>
      <c r="O61" s="5"/>
      <c r="P61" s="5"/>
      <c r="Q61" s="5"/>
      <c r="R61">
        <v>1</v>
      </c>
      <c r="S61">
        <v>30</v>
      </c>
    </row>
    <row r="62" spans="1:19" x14ac:dyDescent="0.25">
      <c r="A62" s="5"/>
      <c r="B62" s="5" t="s">
        <v>19</v>
      </c>
      <c r="C62" s="5" t="s">
        <v>247</v>
      </c>
      <c r="D62" s="5" t="s">
        <v>248</v>
      </c>
      <c r="E62" s="5">
        <v>17</v>
      </c>
      <c r="F62" s="5" t="s">
        <v>246</v>
      </c>
      <c r="G62" s="5" t="s">
        <v>240</v>
      </c>
      <c r="H62" s="5">
        <v>700</v>
      </c>
      <c r="I62" s="5">
        <v>30</v>
      </c>
      <c r="J62" s="5">
        <f t="shared" si="1"/>
        <v>670</v>
      </c>
      <c r="K62" s="5" t="s">
        <v>178</v>
      </c>
      <c r="L62" s="5" t="s">
        <v>25</v>
      </c>
      <c r="M62" s="5" t="s">
        <v>26</v>
      </c>
      <c r="N62" s="5"/>
      <c r="O62" s="5"/>
      <c r="P62" s="5"/>
      <c r="Q62" s="5"/>
      <c r="R62">
        <v>1</v>
      </c>
    </row>
    <row r="63" spans="1:19" x14ac:dyDescent="0.25">
      <c r="A63" s="5"/>
      <c r="B63" s="5" t="s">
        <v>19</v>
      </c>
      <c r="C63" s="5" t="s">
        <v>249</v>
      </c>
      <c r="D63" s="5" t="s">
        <v>250</v>
      </c>
      <c r="E63" s="5">
        <v>2</v>
      </c>
      <c r="F63" s="5" t="s">
        <v>251</v>
      </c>
      <c r="G63" s="5" t="s">
        <v>240</v>
      </c>
      <c r="H63" s="5">
        <v>840</v>
      </c>
      <c r="I63" s="5">
        <v>30</v>
      </c>
      <c r="J63" s="5">
        <f t="shared" si="1"/>
        <v>810</v>
      </c>
      <c r="K63" s="5" t="s">
        <v>178</v>
      </c>
      <c r="L63" s="5" t="s">
        <v>25</v>
      </c>
      <c r="M63" s="5" t="s">
        <v>26</v>
      </c>
      <c r="N63" s="5"/>
      <c r="O63" s="5"/>
      <c r="P63" s="5"/>
      <c r="Q63" s="5"/>
      <c r="R63">
        <v>1</v>
      </c>
    </row>
    <row r="64" spans="1:19" x14ac:dyDescent="0.25">
      <c r="A64" s="5"/>
      <c r="B64" s="5" t="s">
        <v>19</v>
      </c>
      <c r="C64" s="5" t="s">
        <v>252</v>
      </c>
      <c r="D64" s="5" t="s">
        <v>253</v>
      </c>
      <c r="E64" s="5">
        <v>56</v>
      </c>
      <c r="F64" s="5" t="s">
        <v>254</v>
      </c>
      <c r="G64" s="5" t="s">
        <v>240</v>
      </c>
      <c r="H64" s="5">
        <v>0</v>
      </c>
      <c r="I64" s="5">
        <v>30</v>
      </c>
      <c r="J64" s="5">
        <f t="shared" si="1"/>
        <v>-30</v>
      </c>
      <c r="K64" s="5" t="s">
        <v>178</v>
      </c>
      <c r="L64" s="5" t="s">
        <v>25</v>
      </c>
      <c r="M64" s="5" t="s">
        <v>26</v>
      </c>
      <c r="N64" s="5"/>
      <c r="O64" s="5"/>
      <c r="P64" s="5"/>
      <c r="Q64" s="5"/>
      <c r="R64">
        <v>1</v>
      </c>
      <c r="S64">
        <v>30</v>
      </c>
    </row>
    <row r="65" spans="1:19" x14ac:dyDescent="0.25">
      <c r="A65" s="5"/>
      <c r="B65" s="5" t="s">
        <v>19</v>
      </c>
      <c r="C65" s="5" t="s">
        <v>255</v>
      </c>
      <c r="D65" s="5" t="s">
        <v>256</v>
      </c>
      <c r="E65" s="5" t="s">
        <v>257</v>
      </c>
      <c r="F65" s="5" t="s">
        <v>258</v>
      </c>
      <c r="G65" s="5" t="s">
        <v>240</v>
      </c>
      <c r="H65" s="5">
        <v>870</v>
      </c>
      <c r="I65" s="5">
        <v>30</v>
      </c>
      <c r="J65" s="5">
        <f t="shared" si="1"/>
        <v>840</v>
      </c>
      <c r="K65" s="5" t="s">
        <v>178</v>
      </c>
      <c r="L65" s="5" t="s">
        <v>25</v>
      </c>
      <c r="M65" s="5" t="s">
        <v>26</v>
      </c>
      <c r="N65" s="5"/>
      <c r="O65" s="5"/>
      <c r="P65" s="5"/>
      <c r="Q65" s="5"/>
      <c r="R65">
        <v>1</v>
      </c>
    </row>
    <row r="66" spans="1:19" x14ac:dyDescent="0.25">
      <c r="A66" s="5"/>
      <c r="B66" s="5" t="s">
        <v>19</v>
      </c>
      <c r="C66" s="5" t="s">
        <v>259</v>
      </c>
      <c r="D66" s="5" t="s">
        <v>260</v>
      </c>
      <c r="E66" s="5" t="s">
        <v>261</v>
      </c>
      <c r="F66" s="5" t="s">
        <v>262</v>
      </c>
      <c r="G66" s="5" t="s">
        <v>240</v>
      </c>
      <c r="H66" s="5">
        <v>410</v>
      </c>
      <c r="I66" s="5">
        <v>30</v>
      </c>
      <c r="J66" s="5">
        <f t="shared" si="1"/>
        <v>380</v>
      </c>
      <c r="K66" s="5" t="s">
        <v>178</v>
      </c>
      <c r="L66" s="5" t="s">
        <v>25</v>
      </c>
      <c r="M66" s="5" t="s">
        <v>26</v>
      </c>
      <c r="N66" s="5"/>
      <c r="O66" s="5"/>
      <c r="P66" s="5"/>
      <c r="Q66" s="5"/>
      <c r="R66">
        <v>1</v>
      </c>
    </row>
    <row r="67" spans="1:19" x14ac:dyDescent="0.25">
      <c r="A67" s="5"/>
      <c r="B67" s="5" t="s">
        <v>19</v>
      </c>
      <c r="C67" s="5" t="s">
        <v>263</v>
      </c>
      <c r="D67" s="5" t="s">
        <v>264</v>
      </c>
      <c r="E67" s="5" t="s">
        <v>265</v>
      </c>
      <c r="F67" s="5" t="s">
        <v>266</v>
      </c>
      <c r="G67" s="5" t="s">
        <v>240</v>
      </c>
      <c r="H67" s="5">
        <v>1570</v>
      </c>
      <c r="I67" s="5">
        <v>30</v>
      </c>
      <c r="J67" s="5">
        <f t="shared" ref="J67:J78" si="2">H67-I67</f>
        <v>1540</v>
      </c>
      <c r="K67" s="5" t="s">
        <v>178</v>
      </c>
      <c r="L67" s="5" t="s">
        <v>25</v>
      </c>
      <c r="M67" s="5" t="s">
        <v>26</v>
      </c>
      <c r="N67" s="5"/>
      <c r="O67" s="5"/>
      <c r="P67" s="5"/>
      <c r="Q67" s="5"/>
      <c r="R67">
        <v>1</v>
      </c>
    </row>
    <row r="68" spans="1:19" x14ac:dyDescent="0.25">
      <c r="A68" s="5"/>
      <c r="B68" s="5" t="s">
        <v>19</v>
      </c>
      <c r="C68" s="5" t="s">
        <v>267</v>
      </c>
      <c r="D68" s="5" t="s">
        <v>268</v>
      </c>
      <c r="E68" s="5" t="s">
        <v>269</v>
      </c>
      <c r="F68" s="5" t="s">
        <v>270</v>
      </c>
      <c r="G68" s="5" t="s">
        <v>240</v>
      </c>
      <c r="H68" s="5">
        <v>0</v>
      </c>
      <c r="I68" s="5">
        <v>30</v>
      </c>
      <c r="J68" s="5">
        <f t="shared" si="2"/>
        <v>-30</v>
      </c>
      <c r="K68" s="5" t="s">
        <v>178</v>
      </c>
      <c r="L68" s="5" t="s">
        <v>25</v>
      </c>
      <c r="M68" s="5" t="s">
        <v>26</v>
      </c>
      <c r="N68" s="5"/>
      <c r="O68" s="5"/>
      <c r="P68" s="5"/>
      <c r="Q68" s="5"/>
      <c r="R68">
        <v>1</v>
      </c>
      <c r="S68">
        <v>30</v>
      </c>
    </row>
    <row r="69" spans="1:19" x14ac:dyDescent="0.25">
      <c r="A69" s="5"/>
      <c r="B69" s="5" t="s">
        <v>19</v>
      </c>
      <c r="C69" s="5" t="s">
        <v>271</v>
      </c>
      <c r="D69" s="5" t="s">
        <v>272</v>
      </c>
      <c r="E69" s="5" t="s">
        <v>273</v>
      </c>
      <c r="F69" s="5" t="s">
        <v>274</v>
      </c>
      <c r="G69" s="5" t="s">
        <v>240</v>
      </c>
      <c r="H69" s="5">
        <v>0</v>
      </c>
      <c r="I69" s="5">
        <v>30</v>
      </c>
      <c r="J69" s="5">
        <f t="shared" si="2"/>
        <v>-30</v>
      </c>
      <c r="K69" s="5" t="s">
        <v>178</v>
      </c>
      <c r="L69" s="5" t="s">
        <v>25</v>
      </c>
      <c r="M69" s="5" t="s">
        <v>26</v>
      </c>
      <c r="N69" s="5"/>
      <c r="O69" s="5"/>
      <c r="P69" s="5"/>
      <c r="Q69" s="5"/>
      <c r="R69">
        <v>1</v>
      </c>
      <c r="S69">
        <v>30</v>
      </c>
    </row>
    <row r="70" spans="1:19" x14ac:dyDescent="0.25">
      <c r="A70" s="5"/>
      <c r="B70" s="5" t="s">
        <v>19</v>
      </c>
      <c r="C70" s="5" t="s">
        <v>275</v>
      </c>
      <c r="D70" s="5" t="s">
        <v>276</v>
      </c>
      <c r="E70" s="5">
        <v>146</v>
      </c>
      <c r="F70" s="5" t="s">
        <v>277</v>
      </c>
      <c r="G70" s="5" t="s">
        <v>240</v>
      </c>
      <c r="H70" s="5">
        <v>410</v>
      </c>
      <c r="I70" s="5">
        <v>30</v>
      </c>
      <c r="J70" s="5">
        <f t="shared" si="2"/>
        <v>380</v>
      </c>
      <c r="K70" s="5" t="s">
        <v>178</v>
      </c>
      <c r="L70" s="5" t="s">
        <v>25</v>
      </c>
      <c r="M70" s="5" t="s">
        <v>26</v>
      </c>
      <c r="N70" s="5"/>
      <c r="O70" s="5"/>
      <c r="P70" s="5"/>
      <c r="Q70" s="5"/>
      <c r="R70">
        <v>1</v>
      </c>
    </row>
    <row r="71" spans="1:19" x14ac:dyDescent="0.25">
      <c r="A71" s="5"/>
      <c r="B71" s="5" t="s">
        <v>19</v>
      </c>
      <c r="C71" s="5" t="s">
        <v>278</v>
      </c>
      <c r="D71" s="5" t="s">
        <v>279</v>
      </c>
      <c r="E71" s="5">
        <v>178</v>
      </c>
      <c r="F71" s="5" t="s">
        <v>280</v>
      </c>
      <c r="G71" s="5" t="s">
        <v>281</v>
      </c>
      <c r="H71" s="5">
        <v>705</v>
      </c>
      <c r="I71" s="5">
        <v>35</v>
      </c>
      <c r="J71" s="5">
        <f t="shared" si="2"/>
        <v>670</v>
      </c>
      <c r="K71" s="5" t="s">
        <v>178</v>
      </c>
      <c r="L71" s="5" t="s">
        <v>25</v>
      </c>
      <c r="M71" s="5" t="s">
        <v>26</v>
      </c>
      <c r="N71" s="5"/>
      <c r="O71" s="5"/>
      <c r="P71" s="5"/>
      <c r="Q71" s="5"/>
      <c r="R71">
        <v>1</v>
      </c>
    </row>
    <row r="72" spans="1:19" x14ac:dyDescent="0.25">
      <c r="A72" s="5"/>
      <c r="B72" s="5" t="s">
        <v>19</v>
      </c>
      <c r="C72" s="5" t="s">
        <v>282</v>
      </c>
      <c r="D72" s="5" t="s">
        <v>283</v>
      </c>
      <c r="E72" s="5" t="s">
        <v>284</v>
      </c>
      <c r="F72" s="5" t="s">
        <v>285</v>
      </c>
      <c r="G72" s="5" t="s">
        <v>286</v>
      </c>
      <c r="H72" s="5">
        <v>695</v>
      </c>
      <c r="I72" s="5">
        <v>25</v>
      </c>
      <c r="J72" s="5">
        <f t="shared" si="2"/>
        <v>670</v>
      </c>
      <c r="K72" s="5" t="s">
        <v>178</v>
      </c>
      <c r="L72" s="5" t="s">
        <v>25</v>
      </c>
      <c r="M72" s="5" t="s">
        <v>26</v>
      </c>
      <c r="N72" s="5"/>
      <c r="O72" s="5"/>
      <c r="P72" s="5"/>
      <c r="Q72" s="5"/>
      <c r="R72">
        <v>1</v>
      </c>
    </row>
    <row r="73" spans="1:19" x14ac:dyDescent="0.25">
      <c r="A73" s="5"/>
      <c r="B73" s="5" t="s">
        <v>19</v>
      </c>
      <c r="C73" s="5" t="s">
        <v>287</v>
      </c>
      <c r="D73" s="5" t="s">
        <v>288</v>
      </c>
      <c r="E73" s="5" t="s">
        <v>289</v>
      </c>
      <c r="F73" s="5" t="s">
        <v>290</v>
      </c>
      <c r="G73" s="5" t="s">
        <v>286</v>
      </c>
      <c r="H73" s="5">
        <v>965</v>
      </c>
      <c r="I73" s="5">
        <v>25</v>
      </c>
      <c r="J73" s="5">
        <f t="shared" si="2"/>
        <v>940</v>
      </c>
      <c r="K73" s="5" t="s">
        <v>178</v>
      </c>
      <c r="L73" s="5" t="s">
        <v>25</v>
      </c>
      <c r="M73" s="5" t="s">
        <v>26</v>
      </c>
      <c r="N73" s="5"/>
      <c r="O73" s="5"/>
      <c r="P73" s="5"/>
      <c r="Q73" s="5"/>
      <c r="R73">
        <v>1</v>
      </c>
    </row>
    <row r="74" spans="1:19" x14ac:dyDescent="0.25">
      <c r="A74" s="5"/>
      <c r="B74" s="5" t="s">
        <v>19</v>
      </c>
      <c r="C74" s="5" t="s">
        <v>291</v>
      </c>
      <c r="D74" s="5" t="s">
        <v>292</v>
      </c>
      <c r="E74" s="5">
        <v>29</v>
      </c>
      <c r="F74" s="5" t="s">
        <v>293</v>
      </c>
      <c r="G74" s="5" t="s">
        <v>286</v>
      </c>
      <c r="H74" s="5">
        <v>715</v>
      </c>
      <c r="I74" s="5">
        <v>25</v>
      </c>
      <c r="J74" s="5">
        <f t="shared" si="2"/>
        <v>690</v>
      </c>
      <c r="K74" s="5" t="s">
        <v>178</v>
      </c>
      <c r="L74" s="5" t="s">
        <v>25</v>
      </c>
      <c r="M74" s="5" t="s">
        <v>26</v>
      </c>
      <c r="N74" s="5"/>
      <c r="O74" s="5"/>
      <c r="P74" s="5"/>
      <c r="Q74" s="5"/>
      <c r="R74">
        <v>1</v>
      </c>
    </row>
    <row r="75" spans="1:19" x14ac:dyDescent="0.25">
      <c r="A75" s="5"/>
      <c r="B75" s="5" t="s">
        <v>19</v>
      </c>
      <c r="C75" s="5" t="s">
        <v>294</v>
      </c>
      <c r="D75" s="5" t="s">
        <v>295</v>
      </c>
      <c r="E75" s="5" t="s">
        <v>296</v>
      </c>
      <c r="F75" s="5" t="s">
        <v>297</v>
      </c>
      <c r="G75" s="5" t="s">
        <v>286</v>
      </c>
      <c r="H75" s="5">
        <v>765</v>
      </c>
      <c r="I75" s="5">
        <v>25</v>
      </c>
      <c r="J75" s="5">
        <f t="shared" si="2"/>
        <v>740</v>
      </c>
      <c r="K75" s="5" t="s">
        <v>178</v>
      </c>
      <c r="L75" s="5" t="s">
        <v>25</v>
      </c>
      <c r="M75" s="5" t="s">
        <v>26</v>
      </c>
      <c r="N75" s="5"/>
      <c r="O75" s="5"/>
      <c r="P75" s="5"/>
      <c r="Q75" s="5"/>
      <c r="R75">
        <v>1</v>
      </c>
    </row>
    <row r="76" spans="1:19" x14ac:dyDescent="0.25">
      <c r="A76" s="5"/>
      <c r="B76" s="5" t="s">
        <v>19</v>
      </c>
      <c r="C76" s="5" t="s">
        <v>298</v>
      </c>
      <c r="D76" s="5" t="s">
        <v>299</v>
      </c>
      <c r="E76" s="5" t="s">
        <v>300</v>
      </c>
      <c r="F76" s="5" t="s">
        <v>301</v>
      </c>
      <c r="G76" s="5" t="s">
        <v>286</v>
      </c>
      <c r="H76" s="5">
        <v>695</v>
      </c>
      <c r="I76" s="5">
        <v>25</v>
      </c>
      <c r="J76" s="5">
        <f t="shared" si="2"/>
        <v>670</v>
      </c>
      <c r="K76" s="5" t="s">
        <v>178</v>
      </c>
      <c r="L76" s="5" t="s">
        <v>25</v>
      </c>
      <c r="M76" s="5" t="s">
        <v>26</v>
      </c>
      <c r="N76" s="5"/>
      <c r="O76" s="5"/>
      <c r="P76" s="5"/>
      <c r="Q76" s="5"/>
      <c r="R76">
        <v>1</v>
      </c>
    </row>
    <row r="77" spans="1:19" x14ac:dyDescent="0.25">
      <c r="A77" s="5"/>
      <c r="B77" s="5" t="s">
        <v>19</v>
      </c>
      <c r="C77" s="5" t="s">
        <v>302</v>
      </c>
      <c r="D77" s="5" t="s">
        <v>303</v>
      </c>
      <c r="E77" s="5" t="s">
        <v>304</v>
      </c>
      <c r="F77" s="5" t="s">
        <v>305</v>
      </c>
      <c r="G77" s="5" t="s">
        <v>286</v>
      </c>
      <c r="H77" s="5">
        <v>695</v>
      </c>
      <c r="I77" s="5">
        <v>25</v>
      </c>
      <c r="J77" s="5">
        <f t="shared" si="2"/>
        <v>670</v>
      </c>
      <c r="K77" s="5" t="s">
        <v>178</v>
      </c>
      <c r="L77" s="5" t="s">
        <v>25</v>
      </c>
      <c r="M77" s="5" t="s">
        <v>26</v>
      </c>
      <c r="N77" s="5"/>
      <c r="O77" s="5"/>
      <c r="P77" s="5"/>
      <c r="Q77" s="5"/>
      <c r="R77">
        <v>1</v>
      </c>
    </row>
    <row r="78" spans="1:19" x14ac:dyDescent="0.25">
      <c r="A78" s="5"/>
      <c r="B78" s="5" t="s">
        <v>19</v>
      </c>
      <c r="C78" s="5" t="s">
        <v>306</v>
      </c>
      <c r="D78" s="5" t="s">
        <v>307</v>
      </c>
      <c r="E78" s="5" t="s">
        <v>308</v>
      </c>
      <c r="F78" s="5" t="s">
        <v>309</v>
      </c>
      <c r="G78" s="5" t="s">
        <v>286</v>
      </c>
      <c r="H78" s="5">
        <v>865</v>
      </c>
      <c r="I78" s="5">
        <v>25</v>
      </c>
      <c r="J78" s="5">
        <f t="shared" si="2"/>
        <v>840</v>
      </c>
      <c r="K78" s="5" t="s">
        <v>178</v>
      </c>
      <c r="L78" s="5" t="s">
        <v>25</v>
      </c>
      <c r="M78" s="5" t="s">
        <v>26</v>
      </c>
      <c r="N78" s="5"/>
      <c r="O78" s="5"/>
      <c r="P78" s="5"/>
      <c r="Q78" s="5"/>
      <c r="R78">
        <v>1</v>
      </c>
    </row>
    <row r="80" spans="1:19" x14ac:dyDescent="0.25">
      <c r="H80">
        <f t="shared" ref="H80:S80" si="3">SUM(H3:H79)</f>
        <v>49364</v>
      </c>
      <c r="I80">
        <f t="shared" si="3"/>
        <v>2050</v>
      </c>
      <c r="J80">
        <f t="shared" si="3"/>
        <v>47314</v>
      </c>
      <c r="K80">
        <f t="shared" si="3"/>
        <v>0</v>
      </c>
      <c r="L80">
        <f t="shared" si="3"/>
        <v>0</v>
      </c>
      <c r="M80">
        <f t="shared" si="3"/>
        <v>0</v>
      </c>
      <c r="N80">
        <f t="shared" si="3"/>
        <v>0</v>
      </c>
      <c r="O80">
        <f t="shared" si="3"/>
        <v>0</v>
      </c>
      <c r="P80">
        <f t="shared" si="3"/>
        <v>0</v>
      </c>
      <c r="Q80">
        <f t="shared" si="3"/>
        <v>0</v>
      </c>
      <c r="R80">
        <f t="shared" si="3"/>
        <v>76</v>
      </c>
      <c r="S80">
        <f t="shared" si="3"/>
        <v>480</v>
      </c>
    </row>
    <row r="81" spans="1:13" x14ac:dyDescent="0.25">
      <c r="J81">
        <v>-1460</v>
      </c>
      <c r="K81" t="s">
        <v>310</v>
      </c>
    </row>
    <row r="82" spans="1:13" x14ac:dyDescent="0.25">
      <c r="J82">
        <v>-100</v>
      </c>
      <c r="K82" t="s">
        <v>311</v>
      </c>
    </row>
    <row r="84" spans="1:13" ht="20.25" customHeight="1" x14ac:dyDescent="0.3">
      <c r="I84" s="7" t="s">
        <v>312</v>
      </c>
      <c r="J84" s="8" t="s">
        <v>313</v>
      </c>
      <c r="K84" s="9" t="s">
        <v>314</v>
      </c>
    </row>
    <row r="85" spans="1:13" ht="15.75" customHeight="1" x14ac:dyDescent="0.25">
      <c r="I85" s="10" t="s">
        <v>315</v>
      </c>
      <c r="J85" s="11">
        <f>SUM(J79:J83)</f>
        <v>45754</v>
      </c>
      <c r="K85" s="11">
        <f>R80</f>
        <v>76</v>
      </c>
    </row>
    <row r="86" spans="1:13" x14ac:dyDescent="0.25">
      <c r="I86" s="12" t="s">
        <v>316</v>
      </c>
      <c r="J86" s="13">
        <f>S80</f>
        <v>480</v>
      </c>
      <c r="K86" s="14"/>
    </row>
    <row r="87" spans="1:13" x14ac:dyDescent="0.25">
      <c r="I87" s="12" t="s">
        <v>317</v>
      </c>
      <c r="J87" s="13">
        <f>T79</f>
        <v>0</v>
      </c>
      <c r="K87" s="14"/>
    </row>
    <row r="88" spans="1:13" x14ac:dyDescent="0.25">
      <c r="I88" s="12" t="s">
        <v>318</v>
      </c>
      <c r="J88" s="13">
        <f>U79</f>
        <v>0</v>
      </c>
      <c r="K88" s="14"/>
    </row>
    <row r="89" spans="1:13" x14ac:dyDescent="0.25">
      <c r="I89" s="12" t="s">
        <v>319</v>
      </c>
      <c r="J89" s="13">
        <f>V79</f>
        <v>0</v>
      </c>
      <c r="K89" s="14"/>
    </row>
    <row r="90" spans="1:13" ht="15.75" customHeight="1" x14ac:dyDescent="0.25">
      <c r="I90" s="15" t="s">
        <v>320</v>
      </c>
      <c r="J90" s="16"/>
      <c r="K90" s="16"/>
    </row>
    <row r="91" spans="1:13" ht="15.75" customHeight="1" x14ac:dyDescent="0.25">
      <c r="I91" s="17" t="s">
        <v>321</v>
      </c>
      <c r="J91" s="16"/>
      <c r="K91" s="16"/>
    </row>
    <row r="92" spans="1:13" ht="21" customHeight="1" x14ac:dyDescent="0.35">
      <c r="I92" s="18" t="s">
        <v>322</v>
      </c>
      <c r="J92" s="19">
        <f>SUM(J85:J91)</f>
        <v>46234</v>
      </c>
      <c r="K92" s="19">
        <f>SUM(K85:K89)</f>
        <v>76</v>
      </c>
    </row>
    <row r="94" spans="1:13" x14ac:dyDescent="0.25">
      <c r="A94" t="s">
        <v>323</v>
      </c>
    </row>
    <row r="95" spans="1:13" s="4" customFormat="1" x14ac:dyDescent="0.25">
      <c r="A95" s="2" t="s">
        <v>19</v>
      </c>
      <c r="B95" s="2" t="s">
        <v>94</v>
      </c>
      <c r="C95" s="2" t="s">
        <v>95</v>
      </c>
      <c r="D95" s="2" t="s">
        <v>96</v>
      </c>
      <c r="E95" s="2" t="s">
        <v>97</v>
      </c>
      <c r="F95" s="2" t="s">
        <v>98</v>
      </c>
      <c r="G95" s="2">
        <v>695</v>
      </c>
      <c r="H95" s="2">
        <v>0</v>
      </c>
      <c r="I95" s="2">
        <f>G95-H95</f>
        <v>695</v>
      </c>
      <c r="J95" s="2" t="s">
        <v>25</v>
      </c>
      <c r="K95" s="2" t="s">
        <v>25</v>
      </c>
      <c r="L95" s="2" t="s">
        <v>26</v>
      </c>
      <c r="M95" s="3" t="s">
        <v>99</v>
      </c>
    </row>
    <row r="96" spans="1:13" s="4" customFormat="1" x14ac:dyDescent="0.25">
      <c r="A96" s="2" t="s">
        <v>19</v>
      </c>
      <c r="B96" s="2" t="s">
        <v>135</v>
      </c>
      <c r="C96" s="2" t="s">
        <v>136</v>
      </c>
      <c r="D96" s="2" t="s">
        <v>137</v>
      </c>
      <c r="E96" s="2" t="s">
        <v>134</v>
      </c>
      <c r="F96" s="2">
        <v>10</v>
      </c>
      <c r="G96" s="2">
        <v>915</v>
      </c>
      <c r="H96" s="2">
        <v>0</v>
      </c>
      <c r="I96" s="2">
        <f>G96-H96</f>
        <v>915</v>
      </c>
      <c r="J96" s="2" t="s">
        <v>125</v>
      </c>
      <c r="K96" s="2" t="s">
        <v>25</v>
      </c>
      <c r="L96" s="2" t="s">
        <v>26</v>
      </c>
      <c r="M96" s="3" t="s">
        <v>138</v>
      </c>
    </row>
    <row r="97" spans="1:13" s="4" customFormat="1" x14ac:dyDescent="0.25">
      <c r="A97" s="2" t="s">
        <v>19</v>
      </c>
      <c r="B97" s="2" t="s">
        <v>174</v>
      </c>
      <c r="C97" s="2" t="s">
        <v>175</v>
      </c>
      <c r="D97" s="2" t="s">
        <v>176</v>
      </c>
      <c r="E97" s="2" t="s">
        <v>177</v>
      </c>
      <c r="F97" s="2">
        <v>6</v>
      </c>
      <c r="G97" s="2">
        <v>695</v>
      </c>
      <c r="H97" s="2">
        <v>0</v>
      </c>
      <c r="I97" s="2">
        <f>G97-H97</f>
        <v>695</v>
      </c>
      <c r="J97" s="2" t="s">
        <v>178</v>
      </c>
      <c r="K97" s="2" t="s">
        <v>25</v>
      </c>
      <c r="L97" s="2" t="s">
        <v>26</v>
      </c>
      <c r="M97" s="3" t="s">
        <v>99</v>
      </c>
    </row>
    <row r="98" spans="1:13" s="4" customFormat="1" x14ac:dyDescent="0.25">
      <c r="A98" s="2" t="s">
        <v>19</v>
      </c>
      <c r="B98" s="2" t="s">
        <v>182</v>
      </c>
      <c r="C98" s="2" t="s">
        <v>183</v>
      </c>
      <c r="D98" s="2" t="s">
        <v>184</v>
      </c>
      <c r="E98" s="2" t="s">
        <v>185</v>
      </c>
      <c r="F98" s="2">
        <v>6</v>
      </c>
      <c r="G98" s="2">
        <v>400</v>
      </c>
      <c r="H98" s="2">
        <v>0</v>
      </c>
      <c r="I98" s="2">
        <f>G98-H98</f>
        <v>400</v>
      </c>
      <c r="J98" s="2" t="s">
        <v>178</v>
      </c>
      <c r="K98" s="2" t="s">
        <v>25</v>
      </c>
      <c r="L98" s="2" t="s">
        <v>26</v>
      </c>
      <c r="M98" s="3" t="s">
        <v>186</v>
      </c>
    </row>
    <row r="100" spans="1:13" x14ac:dyDescent="0.25">
      <c r="A100" s="4" t="s">
        <v>311</v>
      </c>
    </row>
    <row r="101" spans="1:13" x14ac:dyDescent="0.25">
      <c r="A101" s="2" t="s">
        <v>19</v>
      </c>
      <c r="B101" s="2" t="s">
        <v>324</v>
      </c>
      <c r="C101" s="2" t="s">
        <v>325</v>
      </c>
      <c r="D101" s="2" t="s">
        <v>326</v>
      </c>
      <c r="E101" s="2" t="s">
        <v>327</v>
      </c>
      <c r="F101" s="2">
        <v>7</v>
      </c>
      <c r="G101" s="2">
        <v>100</v>
      </c>
      <c r="H101" s="2">
        <v>0</v>
      </c>
      <c r="I101" s="2">
        <f>G101-H101</f>
        <v>100</v>
      </c>
      <c r="J101" s="2" t="s">
        <v>24</v>
      </c>
      <c r="K101" s="2" t="s">
        <v>25</v>
      </c>
      <c r="L101" s="2" t="s">
        <v>328</v>
      </c>
      <c r="M101" s="3" t="s">
        <v>329</v>
      </c>
    </row>
  </sheetData>
  <autoFilter ref="A2:Q78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D748-5697-4B88-A98D-03D4890B00B5}">
  <dimension ref="A1:S63"/>
  <sheetViews>
    <sheetView topLeftCell="A4" workbookViewId="0">
      <selection activeCell="A7" sqref="A7:XFD8"/>
    </sheetView>
  </sheetViews>
  <sheetFormatPr defaultRowHeight="15" x14ac:dyDescent="0.25"/>
  <sheetData>
    <row r="1" spans="1:19" x14ac:dyDescent="0.25">
      <c r="B1" t="s">
        <v>330</v>
      </c>
      <c r="C1" t="s">
        <v>331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x14ac:dyDescent="0.25">
      <c r="A3" s="5"/>
      <c r="B3" s="5" t="s">
        <v>19</v>
      </c>
      <c r="C3" s="5" t="s">
        <v>332</v>
      </c>
      <c r="D3" s="5" t="s">
        <v>333</v>
      </c>
      <c r="E3" s="5">
        <v>119</v>
      </c>
      <c r="F3" s="5" t="s">
        <v>334</v>
      </c>
      <c r="G3" s="5">
        <v>1</v>
      </c>
      <c r="H3" s="5">
        <v>845</v>
      </c>
      <c r="I3" s="5">
        <v>25</v>
      </c>
      <c r="J3" s="5">
        <f t="shared" ref="J3:J47" si="0">H3-I3</f>
        <v>820</v>
      </c>
      <c r="K3" s="5" t="s">
        <v>125</v>
      </c>
      <c r="L3" s="5" t="s">
        <v>25</v>
      </c>
      <c r="M3" s="5" t="s">
        <v>335</v>
      </c>
      <c r="N3" s="5"/>
      <c r="O3" s="5"/>
      <c r="P3" s="5"/>
      <c r="Q3" s="5"/>
      <c r="R3">
        <v>1</v>
      </c>
    </row>
    <row r="4" spans="1:19" x14ac:dyDescent="0.25">
      <c r="A4" s="5"/>
      <c r="B4" s="5" t="s">
        <v>19</v>
      </c>
      <c r="C4" s="5" t="s">
        <v>336</v>
      </c>
      <c r="D4" s="5" t="s">
        <v>337</v>
      </c>
      <c r="E4" s="5">
        <v>115</v>
      </c>
      <c r="F4" s="5" t="s">
        <v>338</v>
      </c>
      <c r="G4" s="5">
        <v>1</v>
      </c>
      <c r="H4" s="5">
        <v>0</v>
      </c>
      <c r="I4" s="5">
        <v>20</v>
      </c>
      <c r="J4" s="5">
        <f t="shared" si="0"/>
        <v>-20</v>
      </c>
      <c r="K4" s="5" t="s">
        <v>125</v>
      </c>
      <c r="L4" s="5" t="s">
        <v>25</v>
      </c>
      <c r="M4" s="5" t="s">
        <v>335</v>
      </c>
      <c r="N4" s="5"/>
      <c r="O4" s="5"/>
      <c r="P4" s="5"/>
      <c r="Q4" s="5"/>
      <c r="R4">
        <v>1</v>
      </c>
      <c r="S4">
        <v>20</v>
      </c>
    </row>
    <row r="5" spans="1:19" x14ac:dyDescent="0.25">
      <c r="A5" s="5"/>
      <c r="B5" s="5" t="s">
        <v>19</v>
      </c>
      <c r="C5" s="5" t="s">
        <v>339</v>
      </c>
      <c r="D5" s="5" t="s">
        <v>340</v>
      </c>
      <c r="E5" s="5" t="s">
        <v>341</v>
      </c>
      <c r="F5" s="5" t="s">
        <v>342</v>
      </c>
      <c r="G5" s="5">
        <v>3</v>
      </c>
      <c r="H5" s="5">
        <v>885</v>
      </c>
      <c r="I5" s="5">
        <v>25</v>
      </c>
      <c r="J5" s="5">
        <f t="shared" si="0"/>
        <v>860</v>
      </c>
      <c r="K5" s="5" t="s">
        <v>125</v>
      </c>
      <c r="L5" s="5" t="s">
        <v>25</v>
      </c>
      <c r="M5" s="5" t="s">
        <v>335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343</v>
      </c>
      <c r="D6" s="5" t="s">
        <v>344</v>
      </c>
      <c r="E6" s="5">
        <v>132</v>
      </c>
      <c r="F6" s="5" t="s">
        <v>131</v>
      </c>
      <c r="G6" s="5">
        <v>4</v>
      </c>
      <c r="H6" s="5">
        <v>695</v>
      </c>
      <c r="I6" s="5">
        <v>25</v>
      </c>
      <c r="J6" s="5">
        <f t="shared" si="0"/>
        <v>670</v>
      </c>
      <c r="K6" s="5" t="s">
        <v>125</v>
      </c>
      <c r="L6" s="5" t="s">
        <v>25</v>
      </c>
      <c r="M6" s="5" t="s">
        <v>335</v>
      </c>
      <c r="N6" s="5"/>
      <c r="O6" s="5"/>
      <c r="P6" s="5"/>
      <c r="Q6" s="5"/>
      <c r="R6">
        <v>1</v>
      </c>
    </row>
    <row r="7" spans="1:19" x14ac:dyDescent="0.25">
      <c r="A7" s="20"/>
      <c r="B7" s="20" t="s">
        <v>19</v>
      </c>
      <c r="C7" s="20" t="s">
        <v>345</v>
      </c>
      <c r="D7" s="20" t="s">
        <v>346</v>
      </c>
      <c r="E7" s="20">
        <v>10</v>
      </c>
      <c r="F7" s="20" t="s">
        <v>347</v>
      </c>
      <c r="G7" s="20">
        <v>4</v>
      </c>
      <c r="H7" s="20">
        <v>1650</v>
      </c>
      <c r="I7" s="20">
        <v>30</v>
      </c>
      <c r="J7" s="20">
        <f t="shared" si="0"/>
        <v>1620</v>
      </c>
      <c r="K7" s="20" t="s">
        <v>125</v>
      </c>
      <c r="L7" s="20" t="s">
        <v>25</v>
      </c>
      <c r="M7" s="20" t="s">
        <v>335</v>
      </c>
      <c r="N7" s="20" t="s">
        <v>348</v>
      </c>
      <c r="O7" s="20"/>
      <c r="P7" s="20"/>
      <c r="Q7" s="20"/>
      <c r="R7">
        <v>1</v>
      </c>
      <c r="S7">
        <v>30</v>
      </c>
    </row>
    <row r="8" spans="1:19" x14ac:dyDescent="0.25">
      <c r="A8" s="5"/>
      <c r="B8" s="5" t="s">
        <v>19</v>
      </c>
      <c r="C8" s="5" t="s">
        <v>345</v>
      </c>
      <c r="D8" s="5" t="s">
        <v>349</v>
      </c>
      <c r="E8" s="5">
        <v>10</v>
      </c>
      <c r="F8" s="5" t="s">
        <v>347</v>
      </c>
      <c r="G8" s="5">
        <v>4</v>
      </c>
      <c r="H8" s="5">
        <v>670</v>
      </c>
      <c r="I8" s="5">
        <v>0</v>
      </c>
      <c r="J8" s="5">
        <f t="shared" si="0"/>
        <v>670</v>
      </c>
      <c r="K8" s="5" t="s">
        <v>125</v>
      </c>
      <c r="L8" s="5" t="s">
        <v>25</v>
      </c>
      <c r="M8" s="5" t="s">
        <v>335</v>
      </c>
      <c r="N8" s="6" t="s">
        <v>350</v>
      </c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351</v>
      </c>
      <c r="D9" s="5" t="s">
        <v>352</v>
      </c>
      <c r="E9" s="5"/>
      <c r="F9" s="5" t="s">
        <v>353</v>
      </c>
      <c r="G9" s="5">
        <v>10</v>
      </c>
      <c r="H9" s="5">
        <v>405</v>
      </c>
      <c r="I9" s="5">
        <v>25</v>
      </c>
      <c r="J9" s="5">
        <f t="shared" si="0"/>
        <v>380</v>
      </c>
      <c r="K9" s="5" t="s">
        <v>125</v>
      </c>
      <c r="L9" s="5" t="s">
        <v>25</v>
      </c>
      <c r="M9" s="5" t="s">
        <v>335</v>
      </c>
      <c r="N9" s="5"/>
      <c r="O9" s="5"/>
      <c r="P9" s="5"/>
      <c r="Q9" s="5"/>
      <c r="R9">
        <v>1</v>
      </c>
    </row>
    <row r="10" spans="1:19" x14ac:dyDescent="0.25">
      <c r="A10" s="5"/>
      <c r="B10" s="5" t="s">
        <v>19</v>
      </c>
      <c r="C10" s="5" t="s">
        <v>354</v>
      </c>
      <c r="D10" s="5" t="s">
        <v>355</v>
      </c>
      <c r="E10" s="5" t="s">
        <v>356</v>
      </c>
      <c r="F10" s="5" t="s">
        <v>357</v>
      </c>
      <c r="G10" s="5">
        <v>10</v>
      </c>
      <c r="H10" s="5">
        <v>835</v>
      </c>
      <c r="I10" s="5">
        <v>25</v>
      </c>
      <c r="J10" s="5">
        <f t="shared" si="0"/>
        <v>810</v>
      </c>
      <c r="K10" s="5" t="s">
        <v>125</v>
      </c>
      <c r="L10" s="5" t="s">
        <v>25</v>
      </c>
      <c r="M10" s="5" t="s">
        <v>335</v>
      </c>
      <c r="N10" s="5"/>
      <c r="O10" s="5"/>
      <c r="P10" s="5"/>
      <c r="Q10" s="5"/>
      <c r="R10">
        <v>1</v>
      </c>
    </row>
    <row r="11" spans="1:19" x14ac:dyDescent="0.25">
      <c r="A11" s="5"/>
      <c r="B11" s="5" t="s">
        <v>19</v>
      </c>
      <c r="C11" s="5" t="s">
        <v>358</v>
      </c>
      <c r="D11" s="5" t="s">
        <v>359</v>
      </c>
      <c r="E11" s="5" t="s">
        <v>360</v>
      </c>
      <c r="F11" s="5" t="s">
        <v>361</v>
      </c>
      <c r="G11" s="5" t="s">
        <v>98</v>
      </c>
      <c r="H11" s="5">
        <v>845</v>
      </c>
      <c r="I11" s="5">
        <v>25</v>
      </c>
      <c r="J11" s="5">
        <f t="shared" si="0"/>
        <v>820</v>
      </c>
      <c r="K11" s="5" t="s">
        <v>125</v>
      </c>
      <c r="L11" s="5" t="s">
        <v>25</v>
      </c>
      <c r="M11" s="5" t="s">
        <v>335</v>
      </c>
      <c r="N11" s="5"/>
      <c r="O11" s="5"/>
      <c r="P11" s="5"/>
      <c r="Q11" s="5"/>
      <c r="R11">
        <v>1</v>
      </c>
    </row>
    <row r="12" spans="1:19" x14ac:dyDescent="0.25">
      <c r="A12" s="5"/>
      <c r="B12" s="5" t="s">
        <v>19</v>
      </c>
      <c r="C12" s="5" t="s">
        <v>362</v>
      </c>
      <c r="D12" s="5" t="s">
        <v>363</v>
      </c>
      <c r="E12" s="5" t="s">
        <v>364</v>
      </c>
      <c r="F12" s="5" t="s">
        <v>361</v>
      </c>
      <c r="G12" s="5" t="s">
        <v>98</v>
      </c>
      <c r="H12" s="5">
        <v>1045</v>
      </c>
      <c r="I12" s="5">
        <v>25</v>
      </c>
      <c r="J12" s="5">
        <f t="shared" si="0"/>
        <v>1020</v>
      </c>
      <c r="K12" s="5" t="s">
        <v>125</v>
      </c>
      <c r="L12" s="5" t="s">
        <v>25</v>
      </c>
      <c r="M12" s="5" t="s">
        <v>335</v>
      </c>
      <c r="N12" s="5"/>
      <c r="O12" s="5"/>
      <c r="P12" s="5"/>
      <c r="Q12" s="5"/>
      <c r="R12">
        <v>1</v>
      </c>
    </row>
    <row r="13" spans="1:19" x14ac:dyDescent="0.25">
      <c r="A13" s="5"/>
      <c r="B13" s="5" t="s">
        <v>19</v>
      </c>
      <c r="C13" s="5" t="s">
        <v>365</v>
      </c>
      <c r="D13" s="5" t="s">
        <v>366</v>
      </c>
      <c r="E13" s="5" t="s">
        <v>367</v>
      </c>
      <c r="F13" s="5" t="s">
        <v>368</v>
      </c>
      <c r="G13" s="5" t="s">
        <v>98</v>
      </c>
      <c r="H13" s="5">
        <v>0</v>
      </c>
      <c r="I13" s="5">
        <v>25</v>
      </c>
      <c r="J13" s="5">
        <f t="shared" si="0"/>
        <v>-25</v>
      </c>
      <c r="K13" s="5" t="s">
        <v>125</v>
      </c>
      <c r="L13" s="5" t="s">
        <v>25</v>
      </c>
      <c r="M13" s="5" t="s">
        <v>335</v>
      </c>
      <c r="N13" s="5"/>
      <c r="O13" s="5"/>
      <c r="P13" s="5"/>
      <c r="Q13" s="5"/>
      <c r="R13">
        <v>1</v>
      </c>
      <c r="S13">
        <v>25</v>
      </c>
    </row>
    <row r="14" spans="1:19" x14ac:dyDescent="0.25">
      <c r="A14" s="5"/>
      <c r="B14" s="5" t="s">
        <v>19</v>
      </c>
      <c r="C14" s="5" t="s">
        <v>369</v>
      </c>
      <c r="D14" s="5" t="s">
        <v>370</v>
      </c>
      <c r="E14" s="5">
        <v>3</v>
      </c>
      <c r="F14" s="5" t="s">
        <v>371</v>
      </c>
      <c r="G14" s="5" t="s">
        <v>98</v>
      </c>
      <c r="H14" s="5">
        <v>945</v>
      </c>
      <c r="I14" s="5">
        <v>25</v>
      </c>
      <c r="J14" s="5">
        <f t="shared" si="0"/>
        <v>920</v>
      </c>
      <c r="K14" s="5" t="s">
        <v>125</v>
      </c>
      <c r="L14" s="5" t="s">
        <v>25</v>
      </c>
      <c r="M14" s="5" t="s">
        <v>335</v>
      </c>
      <c r="N14" s="5"/>
      <c r="O14" s="5"/>
      <c r="P14" s="5"/>
      <c r="Q14" s="5"/>
      <c r="R14">
        <v>1</v>
      </c>
    </row>
    <row r="15" spans="1:19" x14ac:dyDescent="0.25">
      <c r="A15" s="5"/>
      <c r="B15" s="5" t="s">
        <v>19</v>
      </c>
      <c r="C15" s="5" t="s">
        <v>372</v>
      </c>
      <c r="D15" s="5" t="s">
        <v>373</v>
      </c>
      <c r="E15" s="5">
        <v>49</v>
      </c>
      <c r="F15" s="5" t="s">
        <v>374</v>
      </c>
      <c r="G15" s="5" t="s">
        <v>98</v>
      </c>
      <c r="H15" s="5">
        <v>845</v>
      </c>
      <c r="I15" s="5">
        <v>25</v>
      </c>
      <c r="J15" s="5">
        <f t="shared" si="0"/>
        <v>820</v>
      </c>
      <c r="K15" s="5" t="s">
        <v>125</v>
      </c>
      <c r="L15" s="5" t="s">
        <v>25</v>
      </c>
      <c r="M15" s="5" t="s">
        <v>335</v>
      </c>
      <c r="N15" s="5"/>
      <c r="O15" s="5"/>
      <c r="P15" s="5"/>
      <c r="Q15" s="5"/>
      <c r="R15">
        <v>1</v>
      </c>
    </row>
    <row r="16" spans="1:19" x14ac:dyDescent="0.25">
      <c r="A16" s="5"/>
      <c r="B16" s="5" t="s">
        <v>19</v>
      </c>
      <c r="C16" s="5" t="s">
        <v>375</v>
      </c>
      <c r="D16" s="5" t="s">
        <v>376</v>
      </c>
      <c r="E16" s="5" t="s">
        <v>377</v>
      </c>
      <c r="F16" s="5" t="s">
        <v>378</v>
      </c>
      <c r="G16" s="5">
        <v>7</v>
      </c>
      <c r="H16" s="5">
        <v>850</v>
      </c>
      <c r="I16" s="5">
        <v>30</v>
      </c>
      <c r="J16" s="5">
        <f t="shared" si="0"/>
        <v>820</v>
      </c>
      <c r="K16" s="5" t="s">
        <v>379</v>
      </c>
      <c r="L16" s="5" t="s">
        <v>25</v>
      </c>
      <c r="M16" s="5" t="s">
        <v>335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380</v>
      </c>
      <c r="D17" s="5" t="s">
        <v>381</v>
      </c>
      <c r="E17" s="5" t="s">
        <v>382</v>
      </c>
      <c r="F17" s="5" t="s">
        <v>383</v>
      </c>
      <c r="G17" s="5">
        <v>7</v>
      </c>
      <c r="H17" s="5">
        <v>700</v>
      </c>
      <c r="I17" s="5">
        <v>30</v>
      </c>
      <c r="J17" s="5">
        <f t="shared" si="0"/>
        <v>670</v>
      </c>
      <c r="K17" s="5" t="s">
        <v>379</v>
      </c>
      <c r="L17" s="5" t="s">
        <v>25</v>
      </c>
      <c r="M17" s="5" t="s">
        <v>335</v>
      </c>
      <c r="N17" s="5"/>
      <c r="O17" s="5"/>
      <c r="P17" s="5"/>
      <c r="Q17" s="5"/>
      <c r="R17">
        <v>1</v>
      </c>
    </row>
    <row r="18" spans="1:19" x14ac:dyDescent="0.25">
      <c r="A18" s="5"/>
      <c r="B18" s="5" t="s">
        <v>19</v>
      </c>
      <c r="C18" s="5" t="s">
        <v>384</v>
      </c>
      <c r="D18" s="5" t="s">
        <v>385</v>
      </c>
      <c r="E18" s="5">
        <v>600</v>
      </c>
      <c r="F18" s="5" t="s">
        <v>386</v>
      </c>
      <c r="G18" s="5">
        <v>7</v>
      </c>
      <c r="H18" s="5">
        <v>850</v>
      </c>
      <c r="I18" s="5">
        <v>30</v>
      </c>
      <c r="J18" s="5">
        <f t="shared" si="0"/>
        <v>820</v>
      </c>
      <c r="K18" s="5" t="s">
        <v>379</v>
      </c>
      <c r="L18" s="5" t="s">
        <v>25</v>
      </c>
      <c r="M18" s="5" t="s">
        <v>335</v>
      </c>
      <c r="N18" s="5"/>
      <c r="O18" s="5"/>
      <c r="P18" s="5"/>
      <c r="Q18" s="5"/>
      <c r="R18">
        <v>1</v>
      </c>
    </row>
    <row r="19" spans="1:19" x14ac:dyDescent="0.25">
      <c r="A19" s="5"/>
      <c r="B19" s="5" t="s">
        <v>19</v>
      </c>
      <c r="C19" s="5" t="s">
        <v>387</v>
      </c>
      <c r="D19" s="5" t="s">
        <v>388</v>
      </c>
      <c r="E19" s="5">
        <v>2</v>
      </c>
      <c r="F19" s="5" t="s">
        <v>389</v>
      </c>
      <c r="G19" s="5">
        <v>7</v>
      </c>
      <c r="H19" s="5">
        <v>470</v>
      </c>
      <c r="I19" s="5">
        <v>30</v>
      </c>
      <c r="J19" s="5">
        <f t="shared" si="0"/>
        <v>440</v>
      </c>
      <c r="K19" s="5" t="s">
        <v>379</v>
      </c>
      <c r="L19" s="5" t="s">
        <v>25</v>
      </c>
      <c r="M19" s="5" t="s">
        <v>335</v>
      </c>
      <c r="N19" s="5"/>
      <c r="O19" s="5"/>
      <c r="P19" s="5"/>
      <c r="Q19" s="5"/>
      <c r="R19">
        <v>1</v>
      </c>
    </row>
    <row r="20" spans="1:19" x14ac:dyDescent="0.25">
      <c r="A20" s="5"/>
      <c r="B20" s="5" t="s">
        <v>19</v>
      </c>
      <c r="C20" s="5" t="s">
        <v>390</v>
      </c>
      <c r="D20" s="5" t="s">
        <v>391</v>
      </c>
      <c r="E20" s="5" t="s">
        <v>392</v>
      </c>
      <c r="F20" s="5" t="s">
        <v>393</v>
      </c>
      <c r="G20" s="5">
        <v>7</v>
      </c>
      <c r="H20" s="5">
        <v>590</v>
      </c>
      <c r="I20" s="5">
        <v>30</v>
      </c>
      <c r="J20" s="5">
        <f t="shared" si="0"/>
        <v>560</v>
      </c>
      <c r="K20" s="5" t="s">
        <v>379</v>
      </c>
      <c r="L20" s="5" t="s">
        <v>25</v>
      </c>
      <c r="M20" s="5" t="s">
        <v>335</v>
      </c>
      <c r="N20" s="5"/>
      <c r="O20" s="5"/>
      <c r="P20" s="5"/>
      <c r="Q20" s="5"/>
      <c r="R20">
        <v>1</v>
      </c>
    </row>
    <row r="21" spans="1:19" x14ac:dyDescent="0.25">
      <c r="A21" s="5"/>
      <c r="B21" s="5" t="s">
        <v>19</v>
      </c>
      <c r="C21" s="5" t="s">
        <v>394</v>
      </c>
      <c r="D21" s="5" t="s">
        <v>395</v>
      </c>
      <c r="E21" s="5" t="s">
        <v>396</v>
      </c>
      <c r="F21" s="5" t="s">
        <v>397</v>
      </c>
      <c r="G21" s="5">
        <v>8</v>
      </c>
      <c r="H21" s="5">
        <v>695</v>
      </c>
      <c r="I21" s="5">
        <v>25</v>
      </c>
      <c r="J21" s="5">
        <f t="shared" si="0"/>
        <v>670</v>
      </c>
      <c r="K21" s="5" t="s">
        <v>379</v>
      </c>
      <c r="L21" s="5" t="s">
        <v>25</v>
      </c>
      <c r="M21" s="5" t="s">
        <v>335</v>
      </c>
      <c r="N21" s="5"/>
      <c r="O21" s="5"/>
      <c r="P21" s="5"/>
      <c r="Q21" s="5"/>
      <c r="R21">
        <v>1</v>
      </c>
    </row>
    <row r="22" spans="1:19" x14ac:dyDescent="0.25">
      <c r="A22" s="5"/>
      <c r="B22" s="5" t="s">
        <v>19</v>
      </c>
      <c r="C22" s="5" t="s">
        <v>398</v>
      </c>
      <c r="D22" s="5" t="s">
        <v>399</v>
      </c>
      <c r="E22" s="5" t="s">
        <v>400</v>
      </c>
      <c r="F22" s="5" t="s">
        <v>397</v>
      </c>
      <c r="G22" s="5">
        <v>8</v>
      </c>
      <c r="H22" s="5">
        <v>965</v>
      </c>
      <c r="I22" s="5">
        <v>25</v>
      </c>
      <c r="J22" s="5">
        <f t="shared" si="0"/>
        <v>940</v>
      </c>
      <c r="K22" s="5" t="s">
        <v>379</v>
      </c>
      <c r="L22" s="5" t="s">
        <v>25</v>
      </c>
      <c r="M22" s="5" t="s">
        <v>335</v>
      </c>
      <c r="N22" s="5"/>
      <c r="O22" s="5"/>
      <c r="P22" s="5"/>
      <c r="Q22" s="5"/>
      <c r="R22">
        <v>1</v>
      </c>
    </row>
    <row r="23" spans="1:19" x14ac:dyDescent="0.25">
      <c r="A23" s="5"/>
      <c r="B23" s="5" t="s">
        <v>19</v>
      </c>
      <c r="C23" s="5" t="s">
        <v>401</v>
      </c>
      <c r="D23" s="5" t="s">
        <v>402</v>
      </c>
      <c r="E23" s="5" t="s">
        <v>403</v>
      </c>
      <c r="F23" s="5" t="s">
        <v>404</v>
      </c>
      <c r="G23" s="5">
        <v>10</v>
      </c>
      <c r="H23" s="5">
        <v>0</v>
      </c>
      <c r="I23" s="5">
        <v>25</v>
      </c>
      <c r="J23" s="5">
        <f t="shared" si="0"/>
        <v>-25</v>
      </c>
      <c r="K23" s="5" t="s">
        <v>379</v>
      </c>
      <c r="L23" s="5" t="s">
        <v>25</v>
      </c>
      <c r="M23" s="5" t="s">
        <v>335</v>
      </c>
      <c r="N23" s="5"/>
      <c r="O23" s="5"/>
      <c r="P23" s="5"/>
      <c r="Q23" s="5"/>
      <c r="R23">
        <v>1</v>
      </c>
      <c r="S23">
        <v>25</v>
      </c>
    </row>
    <row r="24" spans="1:19" x14ac:dyDescent="0.25">
      <c r="A24" s="5"/>
      <c r="B24" s="5" t="s">
        <v>19</v>
      </c>
      <c r="C24" s="5" t="s">
        <v>405</v>
      </c>
      <c r="D24" s="5" t="s">
        <v>406</v>
      </c>
      <c r="E24" s="5" t="s">
        <v>407</v>
      </c>
      <c r="F24" s="5" t="s">
        <v>408</v>
      </c>
      <c r="G24" s="5">
        <v>11</v>
      </c>
      <c r="H24" s="5">
        <v>695</v>
      </c>
      <c r="I24" s="5">
        <v>25</v>
      </c>
      <c r="J24" s="5">
        <f t="shared" si="0"/>
        <v>670</v>
      </c>
      <c r="K24" s="5" t="s">
        <v>379</v>
      </c>
      <c r="L24" s="5" t="s">
        <v>25</v>
      </c>
      <c r="M24" s="5" t="s">
        <v>335</v>
      </c>
      <c r="N24" s="5"/>
      <c r="O24" s="5"/>
      <c r="P24" s="5"/>
      <c r="Q24" s="5"/>
      <c r="R24">
        <v>1</v>
      </c>
    </row>
    <row r="25" spans="1:19" x14ac:dyDescent="0.25">
      <c r="A25" s="5" t="s">
        <v>91</v>
      </c>
      <c r="B25" s="5" t="s">
        <v>19</v>
      </c>
      <c r="C25" s="5" t="s">
        <v>409</v>
      </c>
      <c r="D25" s="5"/>
      <c r="E25" s="5">
        <v>163</v>
      </c>
      <c r="F25" s="5" t="s">
        <v>410</v>
      </c>
      <c r="G25" s="5">
        <v>12</v>
      </c>
      <c r="H25" s="5">
        <v>0</v>
      </c>
      <c r="I25" s="5">
        <v>35</v>
      </c>
      <c r="J25" s="5">
        <f t="shared" si="0"/>
        <v>-35</v>
      </c>
      <c r="K25" s="5" t="s">
        <v>379</v>
      </c>
      <c r="L25" s="5" t="s">
        <v>25</v>
      </c>
      <c r="M25" s="5" t="s">
        <v>335</v>
      </c>
      <c r="N25" s="5"/>
      <c r="O25" s="5"/>
      <c r="P25" s="5"/>
      <c r="Q25" s="5"/>
      <c r="R25">
        <v>1</v>
      </c>
      <c r="S25">
        <v>35</v>
      </c>
    </row>
    <row r="26" spans="1:19" x14ac:dyDescent="0.25">
      <c r="A26" s="5"/>
      <c r="B26" s="5" t="s">
        <v>19</v>
      </c>
      <c r="C26" s="5" t="s">
        <v>411</v>
      </c>
      <c r="D26" s="5" t="s">
        <v>412</v>
      </c>
      <c r="E26" s="5" t="s">
        <v>413</v>
      </c>
      <c r="F26" s="5" t="s">
        <v>414</v>
      </c>
      <c r="G26" s="5" t="s">
        <v>232</v>
      </c>
      <c r="H26" s="5">
        <v>855</v>
      </c>
      <c r="I26" s="5">
        <v>35</v>
      </c>
      <c r="J26" s="5">
        <f t="shared" si="0"/>
        <v>820</v>
      </c>
      <c r="K26" s="5" t="s">
        <v>379</v>
      </c>
      <c r="L26" s="5" t="s">
        <v>25</v>
      </c>
      <c r="M26" s="5" t="s">
        <v>335</v>
      </c>
      <c r="N26" s="5"/>
      <c r="O26" s="5"/>
      <c r="P26" s="5"/>
      <c r="Q26" s="5"/>
      <c r="R26">
        <v>1</v>
      </c>
    </row>
    <row r="27" spans="1:19" x14ac:dyDescent="0.25">
      <c r="A27" s="5"/>
      <c r="B27" s="5" t="s">
        <v>19</v>
      </c>
      <c r="C27" s="5" t="s">
        <v>415</v>
      </c>
      <c r="D27" s="5" t="s">
        <v>416</v>
      </c>
      <c r="E27" s="5" t="s">
        <v>417</v>
      </c>
      <c r="F27" s="5" t="s">
        <v>418</v>
      </c>
      <c r="G27" s="5" t="s">
        <v>240</v>
      </c>
      <c r="H27" s="5">
        <v>1020</v>
      </c>
      <c r="I27" s="5">
        <v>30</v>
      </c>
      <c r="J27" s="5">
        <f t="shared" si="0"/>
        <v>990</v>
      </c>
      <c r="K27" s="5" t="s">
        <v>379</v>
      </c>
      <c r="L27" s="5" t="s">
        <v>25</v>
      </c>
      <c r="M27" s="5" t="s">
        <v>335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419</v>
      </c>
      <c r="D28" s="5" t="s">
        <v>420</v>
      </c>
      <c r="E28" s="5">
        <v>124</v>
      </c>
      <c r="F28" s="5" t="s">
        <v>421</v>
      </c>
      <c r="G28" s="5" t="s">
        <v>240</v>
      </c>
      <c r="H28" s="5">
        <v>700</v>
      </c>
      <c r="I28" s="5">
        <v>30</v>
      </c>
      <c r="J28" s="5">
        <f t="shared" si="0"/>
        <v>670</v>
      </c>
      <c r="K28" s="5" t="s">
        <v>379</v>
      </c>
      <c r="L28" s="5" t="s">
        <v>25</v>
      </c>
      <c r="M28" s="5" t="s">
        <v>335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422</v>
      </c>
      <c r="D29" s="5" t="s">
        <v>423</v>
      </c>
      <c r="E29" s="5">
        <v>14</v>
      </c>
      <c r="F29" s="5" t="s">
        <v>424</v>
      </c>
      <c r="G29" s="5" t="s">
        <v>240</v>
      </c>
      <c r="H29" s="5">
        <v>0</v>
      </c>
      <c r="I29" s="5">
        <v>30</v>
      </c>
      <c r="J29" s="5">
        <f t="shared" si="0"/>
        <v>-30</v>
      </c>
      <c r="K29" s="5" t="s">
        <v>379</v>
      </c>
      <c r="L29" s="5" t="s">
        <v>25</v>
      </c>
      <c r="M29" s="5" t="s">
        <v>335</v>
      </c>
      <c r="N29" s="6" t="s">
        <v>425</v>
      </c>
      <c r="O29" s="5"/>
      <c r="P29" s="5"/>
      <c r="Q29" s="5"/>
      <c r="R29">
        <v>1</v>
      </c>
      <c r="S29">
        <v>30</v>
      </c>
    </row>
    <row r="30" spans="1:19" x14ac:dyDescent="0.25">
      <c r="A30" s="5"/>
      <c r="B30" s="5" t="s">
        <v>19</v>
      </c>
      <c r="C30" s="5" t="s">
        <v>426</v>
      </c>
      <c r="D30" s="5" t="s">
        <v>427</v>
      </c>
      <c r="E30" s="5" t="s">
        <v>428</v>
      </c>
      <c r="F30" s="5" t="s">
        <v>429</v>
      </c>
      <c r="G30" s="5" t="s">
        <v>240</v>
      </c>
      <c r="H30" s="5">
        <v>0</v>
      </c>
      <c r="I30" s="5">
        <v>40</v>
      </c>
      <c r="J30" s="5">
        <f t="shared" si="0"/>
        <v>-40</v>
      </c>
      <c r="K30" s="5" t="s">
        <v>379</v>
      </c>
      <c r="L30" s="5" t="s">
        <v>25</v>
      </c>
      <c r="M30" s="5" t="s">
        <v>335</v>
      </c>
      <c r="N30" s="5"/>
      <c r="O30" s="5"/>
      <c r="P30" s="5"/>
      <c r="Q30" s="5"/>
      <c r="R30">
        <v>1</v>
      </c>
      <c r="S30">
        <v>40</v>
      </c>
    </row>
    <row r="31" spans="1:19" x14ac:dyDescent="0.25">
      <c r="A31" s="5"/>
      <c r="B31" s="5" t="s">
        <v>19</v>
      </c>
      <c r="C31" s="5" t="s">
        <v>430</v>
      </c>
      <c r="D31" s="5" t="s">
        <v>431</v>
      </c>
      <c r="E31" s="5" t="s">
        <v>428</v>
      </c>
      <c r="F31" s="5" t="s">
        <v>429</v>
      </c>
      <c r="G31" s="5" t="s">
        <v>240</v>
      </c>
      <c r="H31" s="5">
        <v>0</v>
      </c>
      <c r="I31" s="5">
        <v>30</v>
      </c>
      <c r="J31" s="5">
        <f t="shared" si="0"/>
        <v>-30</v>
      </c>
      <c r="K31" s="5" t="s">
        <v>379</v>
      </c>
      <c r="L31" s="5" t="s">
        <v>25</v>
      </c>
      <c r="M31" s="5" t="s">
        <v>335</v>
      </c>
      <c r="N31" s="5"/>
      <c r="O31" s="5"/>
      <c r="P31" s="5"/>
      <c r="Q31" s="5"/>
      <c r="R31">
        <v>1</v>
      </c>
      <c r="S31">
        <v>30</v>
      </c>
    </row>
    <row r="32" spans="1:19" x14ac:dyDescent="0.25">
      <c r="A32" s="5"/>
      <c r="B32" s="5" t="s">
        <v>19</v>
      </c>
      <c r="C32" s="5" t="s">
        <v>432</v>
      </c>
      <c r="D32" s="5" t="s">
        <v>433</v>
      </c>
      <c r="E32" s="5" t="s">
        <v>434</v>
      </c>
      <c r="F32" s="5" t="s">
        <v>435</v>
      </c>
      <c r="G32" s="5" t="s">
        <v>240</v>
      </c>
      <c r="H32" s="5">
        <v>770</v>
      </c>
      <c r="I32" s="5">
        <v>30</v>
      </c>
      <c r="J32" s="5">
        <f t="shared" si="0"/>
        <v>740</v>
      </c>
      <c r="K32" s="5" t="s">
        <v>379</v>
      </c>
      <c r="L32" s="5" t="s">
        <v>25</v>
      </c>
      <c r="M32" s="5" t="s">
        <v>335</v>
      </c>
      <c r="N32" s="5"/>
      <c r="O32" s="5"/>
      <c r="P32" s="5"/>
      <c r="Q32" s="5"/>
      <c r="R32">
        <v>1</v>
      </c>
    </row>
    <row r="33" spans="1:19" x14ac:dyDescent="0.25">
      <c r="A33" s="5"/>
      <c r="B33" s="5" t="s">
        <v>19</v>
      </c>
      <c r="C33" s="5" t="s">
        <v>436</v>
      </c>
      <c r="D33" s="5" t="s">
        <v>437</v>
      </c>
      <c r="E33" s="5" t="s">
        <v>438</v>
      </c>
      <c r="F33" s="5" t="s">
        <v>439</v>
      </c>
      <c r="G33" s="5" t="s">
        <v>281</v>
      </c>
      <c r="H33" s="5">
        <v>705</v>
      </c>
      <c r="I33" s="5">
        <v>35</v>
      </c>
      <c r="J33" s="5">
        <f t="shared" si="0"/>
        <v>670</v>
      </c>
      <c r="K33" s="5" t="s">
        <v>379</v>
      </c>
      <c r="L33" s="5" t="s">
        <v>25</v>
      </c>
      <c r="M33" s="5" t="s">
        <v>335</v>
      </c>
      <c r="N33" s="5"/>
      <c r="O33" s="5"/>
      <c r="P33" s="5"/>
      <c r="Q33" s="5"/>
      <c r="R33">
        <v>1</v>
      </c>
    </row>
    <row r="34" spans="1:19" x14ac:dyDescent="0.25">
      <c r="A34" s="5"/>
      <c r="B34" s="5" t="s">
        <v>19</v>
      </c>
      <c r="C34" s="5" t="s">
        <v>440</v>
      </c>
      <c r="D34" s="5" t="s">
        <v>441</v>
      </c>
      <c r="E34" s="5" t="s">
        <v>442</v>
      </c>
      <c r="F34" s="5" t="s">
        <v>443</v>
      </c>
      <c r="G34" s="5" t="s">
        <v>444</v>
      </c>
      <c r="H34" s="5">
        <v>705</v>
      </c>
      <c r="I34" s="5">
        <v>35</v>
      </c>
      <c r="J34" s="5">
        <f t="shared" si="0"/>
        <v>670</v>
      </c>
      <c r="K34" s="5" t="s">
        <v>379</v>
      </c>
      <c r="L34" s="5" t="s">
        <v>25</v>
      </c>
      <c r="M34" s="5" t="s">
        <v>335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445</v>
      </c>
      <c r="D35" s="5" t="s">
        <v>446</v>
      </c>
      <c r="E35" s="5">
        <v>107</v>
      </c>
      <c r="F35" s="5" t="s">
        <v>447</v>
      </c>
      <c r="G35" s="5" t="s">
        <v>286</v>
      </c>
      <c r="H35" s="5">
        <v>405</v>
      </c>
      <c r="I35" s="5">
        <v>25</v>
      </c>
      <c r="J35" s="5">
        <f t="shared" si="0"/>
        <v>380</v>
      </c>
      <c r="K35" s="5" t="s">
        <v>379</v>
      </c>
      <c r="L35" s="5" t="s">
        <v>25</v>
      </c>
      <c r="M35" s="5" t="s">
        <v>335</v>
      </c>
      <c r="N35" s="5"/>
      <c r="O35" s="5"/>
      <c r="P35" s="5"/>
      <c r="Q35" s="5"/>
      <c r="R35">
        <v>1</v>
      </c>
    </row>
    <row r="36" spans="1:19" x14ac:dyDescent="0.25">
      <c r="A36" s="5"/>
      <c r="B36" s="5" t="s">
        <v>19</v>
      </c>
      <c r="C36" s="5" t="s">
        <v>448</v>
      </c>
      <c r="D36" s="5" t="s">
        <v>449</v>
      </c>
      <c r="E36" s="5" t="s">
        <v>450</v>
      </c>
      <c r="F36" s="5" t="s">
        <v>451</v>
      </c>
      <c r="G36" s="5" t="s">
        <v>286</v>
      </c>
      <c r="H36" s="5">
        <v>0</v>
      </c>
      <c r="I36" s="5">
        <v>25</v>
      </c>
      <c r="J36" s="5">
        <f t="shared" si="0"/>
        <v>-25</v>
      </c>
      <c r="K36" s="5" t="s">
        <v>379</v>
      </c>
      <c r="L36" s="5" t="s">
        <v>25</v>
      </c>
      <c r="M36" s="5" t="s">
        <v>335</v>
      </c>
      <c r="N36" s="5"/>
      <c r="O36" s="5"/>
      <c r="P36" s="5"/>
      <c r="Q36" s="5"/>
      <c r="R36">
        <v>1</v>
      </c>
      <c r="S36">
        <v>25</v>
      </c>
    </row>
    <row r="37" spans="1:19" x14ac:dyDescent="0.25">
      <c r="A37" s="5"/>
      <c r="B37" s="5" t="s">
        <v>19</v>
      </c>
      <c r="C37" s="5" t="s">
        <v>452</v>
      </c>
      <c r="D37" s="5" t="s">
        <v>453</v>
      </c>
      <c r="E37" s="5">
        <v>338</v>
      </c>
      <c r="F37" s="5" t="s">
        <v>454</v>
      </c>
      <c r="G37" s="5" t="s">
        <v>286</v>
      </c>
      <c r="H37" s="5">
        <v>775</v>
      </c>
      <c r="I37" s="5">
        <v>25</v>
      </c>
      <c r="J37" s="5">
        <f t="shared" si="0"/>
        <v>750</v>
      </c>
      <c r="K37" s="5" t="s">
        <v>379</v>
      </c>
      <c r="L37" s="5" t="s">
        <v>25</v>
      </c>
      <c r="M37" s="5" t="s">
        <v>335</v>
      </c>
      <c r="N37" s="5"/>
      <c r="O37" s="5"/>
      <c r="P37" s="5"/>
      <c r="Q37" s="5"/>
      <c r="R37">
        <v>1</v>
      </c>
    </row>
    <row r="38" spans="1:19" x14ac:dyDescent="0.25">
      <c r="A38" s="5"/>
      <c r="B38" s="5" t="s">
        <v>19</v>
      </c>
      <c r="C38" s="5" t="s">
        <v>306</v>
      </c>
      <c r="D38" s="5" t="s">
        <v>455</v>
      </c>
      <c r="E38" s="5" t="s">
        <v>308</v>
      </c>
      <c r="F38" s="5" t="s">
        <v>309</v>
      </c>
      <c r="G38" s="5" t="s">
        <v>286</v>
      </c>
      <c r="H38" s="5">
        <v>1735</v>
      </c>
      <c r="I38" s="5">
        <v>25</v>
      </c>
      <c r="J38" s="5">
        <f t="shared" si="0"/>
        <v>1710</v>
      </c>
      <c r="K38" s="5" t="s">
        <v>379</v>
      </c>
      <c r="L38" s="5" t="s">
        <v>25</v>
      </c>
      <c r="M38" s="5" t="s">
        <v>335</v>
      </c>
      <c r="N38" s="5"/>
      <c r="O38" s="5"/>
      <c r="P38" s="5"/>
      <c r="Q38" s="5"/>
      <c r="R38">
        <v>1</v>
      </c>
    </row>
    <row r="39" spans="1:19" x14ac:dyDescent="0.25">
      <c r="A39" s="5"/>
      <c r="B39" s="5" t="s">
        <v>19</v>
      </c>
      <c r="C39" s="5" t="s">
        <v>456</v>
      </c>
      <c r="D39" s="5" t="s">
        <v>457</v>
      </c>
      <c r="E39" s="5" t="s">
        <v>458</v>
      </c>
      <c r="F39" s="5" t="s">
        <v>459</v>
      </c>
      <c r="G39" s="5" t="s">
        <v>286</v>
      </c>
      <c r="H39" s="5">
        <v>695</v>
      </c>
      <c r="I39" s="5">
        <v>25</v>
      </c>
      <c r="J39" s="5">
        <f t="shared" si="0"/>
        <v>670</v>
      </c>
      <c r="K39" s="5" t="s">
        <v>379</v>
      </c>
      <c r="L39" s="5" t="s">
        <v>25</v>
      </c>
      <c r="M39" s="5" t="s">
        <v>335</v>
      </c>
      <c r="N39" s="5"/>
      <c r="O39" s="5"/>
      <c r="P39" s="5"/>
      <c r="Q39" s="5"/>
      <c r="R39">
        <v>1</v>
      </c>
    </row>
    <row r="40" spans="1:19" x14ac:dyDescent="0.25">
      <c r="A40" s="5"/>
      <c r="B40" s="5" t="s">
        <v>19</v>
      </c>
      <c r="C40" s="5" t="s">
        <v>460</v>
      </c>
      <c r="D40" s="5" t="s">
        <v>461</v>
      </c>
      <c r="E40" s="5" t="s">
        <v>462</v>
      </c>
      <c r="F40" s="5" t="s">
        <v>463</v>
      </c>
      <c r="G40" s="5">
        <v>2</v>
      </c>
      <c r="H40" s="5">
        <v>700</v>
      </c>
      <c r="I40" s="5">
        <v>30</v>
      </c>
      <c r="J40" s="5">
        <f t="shared" si="0"/>
        <v>670</v>
      </c>
      <c r="K40" s="5" t="s">
        <v>25</v>
      </c>
      <c r="L40" s="5" t="s">
        <v>25</v>
      </c>
      <c r="M40" s="5" t="s">
        <v>335</v>
      </c>
      <c r="N40" s="5"/>
      <c r="O40" s="5"/>
      <c r="P40" s="5"/>
      <c r="Q40" s="5"/>
      <c r="R40">
        <v>1</v>
      </c>
    </row>
    <row r="41" spans="1:19" x14ac:dyDescent="0.25">
      <c r="A41" s="5"/>
      <c r="B41" s="5" t="s">
        <v>19</v>
      </c>
      <c r="C41" s="5" t="s">
        <v>464</v>
      </c>
      <c r="D41" s="5" t="s">
        <v>465</v>
      </c>
      <c r="E41" s="5" t="s">
        <v>466</v>
      </c>
      <c r="F41" s="5" t="s">
        <v>467</v>
      </c>
      <c r="G41" s="5">
        <v>2</v>
      </c>
      <c r="H41" s="5">
        <v>730</v>
      </c>
      <c r="I41" s="5">
        <v>30</v>
      </c>
      <c r="J41" s="5">
        <f t="shared" si="0"/>
        <v>700</v>
      </c>
      <c r="K41" s="5" t="s">
        <v>25</v>
      </c>
      <c r="L41" s="5" t="s">
        <v>25</v>
      </c>
      <c r="M41" s="5" t="s">
        <v>335</v>
      </c>
      <c r="N41" s="5"/>
      <c r="O41" s="5"/>
      <c r="P41" s="5"/>
      <c r="Q41" s="5"/>
      <c r="R41">
        <v>1</v>
      </c>
    </row>
    <row r="42" spans="1:19" x14ac:dyDescent="0.25">
      <c r="A42" s="20"/>
      <c r="B42" s="20" t="s">
        <v>19</v>
      </c>
      <c r="C42" s="20" t="s">
        <v>468</v>
      </c>
      <c r="D42" s="20" t="s">
        <v>469</v>
      </c>
      <c r="E42" s="20" t="s">
        <v>470</v>
      </c>
      <c r="F42" s="20" t="s">
        <v>471</v>
      </c>
      <c r="G42" s="20" t="s">
        <v>58</v>
      </c>
      <c r="H42" s="20">
        <v>20</v>
      </c>
      <c r="I42" s="20">
        <v>20</v>
      </c>
      <c r="J42" s="20">
        <f t="shared" si="0"/>
        <v>0</v>
      </c>
      <c r="K42" s="20" t="s">
        <v>25</v>
      </c>
      <c r="L42" s="20" t="s">
        <v>25</v>
      </c>
      <c r="M42" s="20" t="s">
        <v>335</v>
      </c>
      <c r="N42" s="20" t="s">
        <v>472</v>
      </c>
      <c r="O42" s="20"/>
      <c r="P42" s="20"/>
      <c r="Q42" s="20"/>
      <c r="R42">
        <v>1</v>
      </c>
    </row>
    <row r="43" spans="1:19" x14ac:dyDescent="0.25">
      <c r="A43" s="5"/>
      <c r="B43" s="5" t="s">
        <v>19</v>
      </c>
      <c r="C43" s="5" t="s">
        <v>473</v>
      </c>
      <c r="D43" s="5" t="s">
        <v>474</v>
      </c>
      <c r="E43" s="5" t="s">
        <v>475</v>
      </c>
      <c r="F43" s="5" t="s">
        <v>476</v>
      </c>
      <c r="G43" s="5" t="s">
        <v>58</v>
      </c>
      <c r="H43" s="5">
        <v>1210</v>
      </c>
      <c r="I43" s="5">
        <v>20</v>
      </c>
      <c r="J43" s="5">
        <f t="shared" si="0"/>
        <v>1190</v>
      </c>
      <c r="K43" s="5" t="s">
        <v>25</v>
      </c>
      <c r="L43" s="5" t="s">
        <v>25</v>
      </c>
      <c r="M43" s="5" t="s">
        <v>335</v>
      </c>
      <c r="N43" s="5"/>
      <c r="O43" s="5"/>
      <c r="P43" s="5"/>
      <c r="Q43" s="5"/>
      <c r="R43">
        <v>1</v>
      </c>
    </row>
    <row r="44" spans="1:19" x14ac:dyDescent="0.25">
      <c r="A44" s="5"/>
      <c r="B44" s="5" t="s">
        <v>19</v>
      </c>
      <c r="C44" s="5" t="s">
        <v>477</v>
      </c>
      <c r="D44" s="5" t="s">
        <v>478</v>
      </c>
      <c r="E44" s="5"/>
      <c r="F44" s="5" t="s">
        <v>479</v>
      </c>
      <c r="G44" s="5" t="s">
        <v>70</v>
      </c>
      <c r="H44" s="5">
        <v>805</v>
      </c>
      <c r="I44" s="5">
        <v>25</v>
      </c>
      <c r="J44" s="5">
        <f t="shared" si="0"/>
        <v>780</v>
      </c>
      <c r="K44" s="5" t="s">
        <v>25</v>
      </c>
      <c r="L44" s="5" t="s">
        <v>25</v>
      </c>
      <c r="M44" s="5" t="s">
        <v>335</v>
      </c>
      <c r="N44" s="5"/>
      <c r="O44" s="5"/>
      <c r="P44" s="5"/>
      <c r="Q44" s="5"/>
      <c r="R44">
        <v>1</v>
      </c>
    </row>
    <row r="45" spans="1:19" x14ac:dyDescent="0.25">
      <c r="A45" s="5" t="s">
        <v>91</v>
      </c>
      <c r="B45" s="5" t="s">
        <v>19</v>
      </c>
      <c r="C45" s="5" t="s">
        <v>480</v>
      </c>
      <c r="D45" s="5"/>
      <c r="E45" s="5">
        <v>401</v>
      </c>
      <c r="F45" s="5" t="s">
        <v>481</v>
      </c>
      <c r="G45" s="5" t="s">
        <v>70</v>
      </c>
      <c r="H45" s="5">
        <v>2490</v>
      </c>
      <c r="I45" s="5">
        <v>30</v>
      </c>
      <c r="J45" s="5">
        <f t="shared" si="0"/>
        <v>2460</v>
      </c>
      <c r="K45" s="5" t="s">
        <v>25</v>
      </c>
      <c r="L45" s="5" t="s">
        <v>25</v>
      </c>
      <c r="M45" s="5" t="s">
        <v>335</v>
      </c>
      <c r="N45" s="5"/>
      <c r="O45" s="5"/>
      <c r="P45" s="5"/>
      <c r="Q45" s="5"/>
      <c r="R45">
        <v>1</v>
      </c>
    </row>
    <row r="46" spans="1:19" x14ac:dyDescent="0.25">
      <c r="A46" s="5" t="s">
        <v>91</v>
      </c>
      <c r="B46" s="5" t="s">
        <v>19</v>
      </c>
      <c r="C46" s="5" t="s">
        <v>482</v>
      </c>
      <c r="D46" s="5"/>
      <c r="E46" s="5" t="s">
        <v>483</v>
      </c>
      <c r="F46" s="5" t="s">
        <v>93</v>
      </c>
      <c r="G46" s="5" t="s">
        <v>70</v>
      </c>
      <c r="H46" s="5">
        <v>30</v>
      </c>
      <c r="I46" s="5">
        <v>30</v>
      </c>
      <c r="J46" s="5">
        <f t="shared" si="0"/>
        <v>0</v>
      </c>
      <c r="K46" s="5" t="s">
        <v>25</v>
      </c>
      <c r="L46" s="5" t="s">
        <v>25</v>
      </c>
      <c r="M46" s="5" t="s">
        <v>335</v>
      </c>
      <c r="N46" s="5"/>
      <c r="O46" s="5"/>
      <c r="P46" s="5"/>
      <c r="Q46" s="5"/>
      <c r="R46">
        <v>1</v>
      </c>
    </row>
    <row r="47" spans="1:19" x14ac:dyDescent="0.25">
      <c r="A47" s="5"/>
      <c r="B47" s="5" t="s">
        <v>19</v>
      </c>
      <c r="C47" s="5" t="s">
        <v>484</v>
      </c>
      <c r="D47" s="5" t="s">
        <v>485</v>
      </c>
      <c r="E47" s="5" t="s">
        <v>486</v>
      </c>
      <c r="F47" s="5" t="s">
        <v>115</v>
      </c>
      <c r="G47" s="5" t="s">
        <v>103</v>
      </c>
      <c r="H47" s="5">
        <v>950</v>
      </c>
      <c r="I47" s="5">
        <v>30</v>
      </c>
      <c r="J47" s="5">
        <f t="shared" si="0"/>
        <v>920</v>
      </c>
      <c r="K47" s="5" t="s">
        <v>25</v>
      </c>
      <c r="L47" s="5" t="s">
        <v>25</v>
      </c>
      <c r="M47" s="5" t="s">
        <v>335</v>
      </c>
      <c r="N47" s="5"/>
      <c r="O47" s="5"/>
      <c r="P47" s="5"/>
      <c r="Q47" s="5"/>
      <c r="R47">
        <v>1</v>
      </c>
    </row>
    <row r="49" spans="1:19" x14ac:dyDescent="0.25">
      <c r="H49">
        <f t="shared" ref="H49:S49" si="1">SUBTOTAL(9,H3:H48)</f>
        <v>30780</v>
      </c>
      <c r="I49">
        <f t="shared" si="1"/>
        <v>1220</v>
      </c>
      <c r="J49">
        <f t="shared" si="1"/>
        <v>29560</v>
      </c>
      <c r="K49">
        <f t="shared" si="1"/>
        <v>0</v>
      </c>
      <c r="L49">
        <f t="shared" si="1"/>
        <v>0</v>
      </c>
      <c r="M49">
        <f t="shared" si="1"/>
        <v>0</v>
      </c>
      <c r="N49">
        <f t="shared" si="1"/>
        <v>0</v>
      </c>
      <c r="O49">
        <f t="shared" si="1"/>
        <v>0</v>
      </c>
      <c r="P49">
        <f t="shared" si="1"/>
        <v>0</v>
      </c>
      <c r="Q49">
        <f t="shared" si="1"/>
        <v>0</v>
      </c>
      <c r="R49">
        <f t="shared" si="1"/>
        <v>45</v>
      </c>
      <c r="S49">
        <f t="shared" si="1"/>
        <v>260</v>
      </c>
    </row>
    <row r="53" spans="1:19" ht="20.25" customHeight="1" x14ac:dyDescent="0.3">
      <c r="I53" s="7" t="s">
        <v>487</v>
      </c>
      <c r="J53" s="8" t="s">
        <v>313</v>
      </c>
      <c r="K53" s="9" t="s">
        <v>314</v>
      </c>
    </row>
    <row r="54" spans="1:19" ht="15.75" customHeight="1" x14ac:dyDescent="0.25">
      <c r="I54" s="10" t="s">
        <v>315</v>
      </c>
      <c r="J54" s="11">
        <f>SUM(J48:J52)</f>
        <v>29560</v>
      </c>
      <c r="K54" s="11">
        <f>R49</f>
        <v>45</v>
      </c>
    </row>
    <row r="55" spans="1:19" x14ac:dyDescent="0.25">
      <c r="I55" s="12" t="s">
        <v>316</v>
      </c>
      <c r="J55" s="13">
        <f>S49</f>
        <v>260</v>
      </c>
      <c r="K55" s="14"/>
    </row>
    <row r="56" spans="1:19" x14ac:dyDescent="0.25">
      <c r="I56" s="12" t="s">
        <v>317</v>
      </c>
      <c r="J56" s="13">
        <f>T48</f>
        <v>0</v>
      </c>
      <c r="K56" s="14"/>
    </row>
    <row r="57" spans="1:19" x14ac:dyDescent="0.25">
      <c r="I57" s="12" t="s">
        <v>318</v>
      </c>
      <c r="J57" s="13">
        <f>U48</f>
        <v>0</v>
      </c>
      <c r="K57" s="14"/>
    </row>
    <row r="58" spans="1:19" x14ac:dyDescent="0.25">
      <c r="I58" s="12" t="s">
        <v>319</v>
      </c>
      <c r="J58" s="13">
        <f>V48</f>
        <v>0</v>
      </c>
      <c r="K58" s="14"/>
    </row>
    <row r="59" spans="1:19" ht="15.75" customHeight="1" x14ac:dyDescent="0.25">
      <c r="I59" s="15" t="s">
        <v>320</v>
      </c>
      <c r="J59" s="16"/>
      <c r="K59" s="16"/>
    </row>
    <row r="60" spans="1:19" ht="15.75" customHeight="1" x14ac:dyDescent="0.25">
      <c r="I60" s="17" t="s">
        <v>321</v>
      </c>
      <c r="J60" s="16"/>
      <c r="K60" s="16"/>
    </row>
    <row r="61" spans="1:19" ht="21" customHeight="1" x14ac:dyDescent="0.35">
      <c r="I61" s="18" t="s">
        <v>322</v>
      </c>
      <c r="J61" s="19">
        <f>SUM(J54:J60)</f>
        <v>29820</v>
      </c>
      <c r="K61" s="19">
        <f>SUM(K54:K58)</f>
        <v>45</v>
      </c>
    </row>
    <row r="62" spans="1:19" x14ac:dyDescent="0.25">
      <c r="A62" t="s">
        <v>488</v>
      </c>
    </row>
    <row r="63" spans="1:19" s="4" customFormat="1" x14ac:dyDescent="0.25">
      <c r="A63" s="2" t="s">
        <v>19</v>
      </c>
      <c r="B63" s="2" t="s">
        <v>422</v>
      </c>
      <c r="C63" s="2" t="s">
        <v>423</v>
      </c>
      <c r="D63" s="2">
        <v>14</v>
      </c>
      <c r="E63" s="2" t="s">
        <v>424</v>
      </c>
      <c r="F63" s="2" t="s">
        <v>240</v>
      </c>
      <c r="G63" s="2">
        <v>470</v>
      </c>
      <c r="H63" s="2">
        <v>0</v>
      </c>
      <c r="I63" s="2">
        <f>G63-H63</f>
        <v>470</v>
      </c>
      <c r="J63" s="2" t="s">
        <v>379</v>
      </c>
      <c r="K63" s="2" t="s">
        <v>25</v>
      </c>
      <c r="L63" s="2" t="s">
        <v>335</v>
      </c>
      <c r="M63" s="3" t="s">
        <v>425</v>
      </c>
    </row>
  </sheetData>
  <autoFilter ref="A2:Q47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95A8-3090-4150-911A-01E2887808DB}">
  <dimension ref="A1:T63"/>
  <sheetViews>
    <sheetView topLeftCell="A37" workbookViewId="0">
      <selection activeCell="J56" sqref="J56"/>
    </sheetView>
  </sheetViews>
  <sheetFormatPr defaultRowHeight="15" x14ac:dyDescent="0.25"/>
  <sheetData>
    <row r="1" spans="1:19" x14ac:dyDescent="0.25">
      <c r="B1" t="s">
        <v>489</v>
      </c>
      <c r="C1" t="s">
        <v>490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x14ac:dyDescent="0.25">
      <c r="A3" s="5"/>
      <c r="B3" s="5" t="s">
        <v>19</v>
      </c>
      <c r="C3" s="5" t="s">
        <v>491</v>
      </c>
      <c r="D3" s="5" t="s">
        <v>492</v>
      </c>
      <c r="E3" s="5">
        <v>19</v>
      </c>
      <c r="F3" s="5" t="s">
        <v>493</v>
      </c>
      <c r="G3" s="5">
        <v>1</v>
      </c>
      <c r="H3" s="5">
        <v>715</v>
      </c>
      <c r="I3" s="5">
        <v>25</v>
      </c>
      <c r="J3" s="5">
        <f t="shared" ref="J3:J47" si="0">H3-I3</f>
        <v>690</v>
      </c>
      <c r="K3" s="5" t="s">
        <v>125</v>
      </c>
      <c r="L3" s="5" t="s">
        <v>25</v>
      </c>
      <c r="M3" s="5" t="s">
        <v>494</v>
      </c>
      <c r="N3" s="5"/>
      <c r="O3" s="5"/>
      <c r="P3" s="5"/>
      <c r="Q3" s="5"/>
      <c r="R3">
        <v>1</v>
      </c>
    </row>
    <row r="4" spans="1:19" x14ac:dyDescent="0.25">
      <c r="A4" s="20"/>
      <c r="B4" s="20" t="s">
        <v>19</v>
      </c>
      <c r="C4" s="20" t="s">
        <v>495</v>
      </c>
      <c r="D4" s="20" t="s">
        <v>496</v>
      </c>
      <c r="E4" s="20">
        <v>46</v>
      </c>
      <c r="F4" s="20" t="s">
        <v>497</v>
      </c>
      <c r="G4" s="20">
        <v>1</v>
      </c>
      <c r="H4" s="20">
        <v>2040</v>
      </c>
      <c r="I4" s="20">
        <v>30</v>
      </c>
      <c r="J4" s="20">
        <f t="shared" si="0"/>
        <v>2010</v>
      </c>
      <c r="K4" s="20" t="s">
        <v>125</v>
      </c>
      <c r="L4" s="20" t="s">
        <v>25</v>
      </c>
      <c r="M4" s="20" t="s">
        <v>494</v>
      </c>
      <c r="N4" s="20" t="s">
        <v>498</v>
      </c>
      <c r="O4" s="20"/>
      <c r="P4" s="20"/>
      <c r="Q4" s="20"/>
      <c r="R4">
        <v>1</v>
      </c>
      <c r="S4">
        <v>30</v>
      </c>
    </row>
    <row r="5" spans="1:19" x14ac:dyDescent="0.25">
      <c r="A5" s="5"/>
      <c r="B5" s="5" t="s">
        <v>19</v>
      </c>
      <c r="C5" s="5" t="s">
        <v>499</v>
      </c>
      <c r="D5" s="5" t="s">
        <v>500</v>
      </c>
      <c r="E5" s="5" t="s">
        <v>501</v>
      </c>
      <c r="F5" s="5" t="s">
        <v>502</v>
      </c>
      <c r="G5" s="5">
        <v>1</v>
      </c>
      <c r="H5" s="5">
        <v>815</v>
      </c>
      <c r="I5" s="5">
        <v>25</v>
      </c>
      <c r="J5" s="5">
        <f t="shared" si="0"/>
        <v>790</v>
      </c>
      <c r="K5" s="5" t="s">
        <v>125</v>
      </c>
      <c r="L5" s="5" t="s">
        <v>25</v>
      </c>
      <c r="M5" s="5" t="s">
        <v>494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503</v>
      </c>
      <c r="D6" s="5" t="s">
        <v>504</v>
      </c>
      <c r="E6" s="5" t="s">
        <v>505</v>
      </c>
      <c r="F6" s="5" t="s">
        <v>506</v>
      </c>
      <c r="G6" s="5">
        <v>1</v>
      </c>
      <c r="H6" s="5">
        <v>715</v>
      </c>
      <c r="I6" s="5">
        <v>25</v>
      </c>
      <c r="J6" s="5">
        <f t="shared" si="0"/>
        <v>690</v>
      </c>
      <c r="K6" s="5" t="s">
        <v>125</v>
      </c>
      <c r="L6" s="5" t="s">
        <v>25</v>
      </c>
      <c r="M6" s="5" t="s">
        <v>494</v>
      </c>
      <c r="N6" s="5"/>
      <c r="O6" s="5"/>
      <c r="P6" s="5"/>
      <c r="Q6" s="5"/>
      <c r="R6">
        <v>1</v>
      </c>
    </row>
    <row r="7" spans="1:19" x14ac:dyDescent="0.25">
      <c r="A7" s="20"/>
      <c r="B7" s="20" t="s">
        <v>19</v>
      </c>
      <c r="C7" s="20"/>
      <c r="D7" s="20"/>
      <c r="E7" s="20" t="s">
        <v>507</v>
      </c>
      <c r="F7" s="20" t="s">
        <v>508</v>
      </c>
      <c r="G7" s="20">
        <v>1</v>
      </c>
      <c r="H7" s="20">
        <v>0</v>
      </c>
      <c r="I7" s="20">
        <v>25</v>
      </c>
      <c r="J7" s="20">
        <f t="shared" si="0"/>
        <v>-25</v>
      </c>
      <c r="K7" s="20" t="s">
        <v>125</v>
      </c>
      <c r="L7" s="20" t="s">
        <v>25</v>
      </c>
      <c r="M7" s="20" t="s">
        <v>494</v>
      </c>
      <c r="N7" s="20" t="s">
        <v>509</v>
      </c>
      <c r="O7" s="20"/>
      <c r="P7" s="20"/>
      <c r="Q7" s="20"/>
      <c r="R7">
        <v>1</v>
      </c>
      <c r="S7">
        <v>25</v>
      </c>
    </row>
    <row r="8" spans="1:19" x14ac:dyDescent="0.25">
      <c r="A8" s="5"/>
      <c r="B8" s="5" t="s">
        <v>19</v>
      </c>
      <c r="C8" s="5" t="s">
        <v>510</v>
      </c>
      <c r="D8" s="5" t="s">
        <v>511</v>
      </c>
      <c r="E8" s="5" t="s">
        <v>512</v>
      </c>
      <c r="F8" s="5" t="s">
        <v>513</v>
      </c>
      <c r="G8" s="5">
        <v>3</v>
      </c>
      <c r="H8" s="5">
        <v>715</v>
      </c>
      <c r="I8" s="5">
        <v>25</v>
      </c>
      <c r="J8" s="5">
        <f t="shared" si="0"/>
        <v>690</v>
      </c>
      <c r="K8" s="5" t="s">
        <v>125</v>
      </c>
      <c r="L8" s="5" t="s">
        <v>25</v>
      </c>
      <c r="M8" s="5" t="s">
        <v>494</v>
      </c>
      <c r="N8" s="5"/>
      <c r="O8" s="5"/>
      <c r="P8" s="5"/>
      <c r="Q8" s="5"/>
      <c r="R8">
        <v>1</v>
      </c>
    </row>
    <row r="9" spans="1:19" x14ac:dyDescent="0.25">
      <c r="A9" s="5" t="s">
        <v>91</v>
      </c>
      <c r="B9" s="5" t="s">
        <v>19</v>
      </c>
      <c r="C9" s="5" t="s">
        <v>514</v>
      </c>
      <c r="D9" s="5"/>
      <c r="E9" s="5">
        <v>12</v>
      </c>
      <c r="F9" s="5" t="s">
        <v>515</v>
      </c>
      <c r="G9" s="5">
        <v>4</v>
      </c>
      <c r="H9" s="5">
        <v>30</v>
      </c>
      <c r="I9" s="5">
        <v>30</v>
      </c>
      <c r="J9" s="5">
        <f t="shared" si="0"/>
        <v>0</v>
      </c>
      <c r="K9" s="5" t="s">
        <v>125</v>
      </c>
      <c r="L9" s="5" t="s">
        <v>25</v>
      </c>
      <c r="M9" s="5" t="s">
        <v>494</v>
      </c>
      <c r="N9" s="5"/>
      <c r="O9" s="5"/>
      <c r="P9" s="5"/>
      <c r="Q9" s="5"/>
      <c r="R9">
        <v>1</v>
      </c>
    </row>
    <row r="10" spans="1:19" x14ac:dyDescent="0.25">
      <c r="A10" s="5"/>
      <c r="B10" s="5" t="s">
        <v>19</v>
      </c>
      <c r="C10" s="5" t="s">
        <v>516</v>
      </c>
      <c r="D10" s="5" t="s">
        <v>517</v>
      </c>
      <c r="E10" s="5">
        <v>45</v>
      </c>
      <c r="F10" s="5" t="s">
        <v>518</v>
      </c>
      <c r="G10" s="5">
        <v>4</v>
      </c>
      <c r="H10" s="5">
        <v>25</v>
      </c>
      <c r="I10" s="5">
        <v>25</v>
      </c>
      <c r="J10" s="5">
        <f t="shared" si="0"/>
        <v>0</v>
      </c>
      <c r="K10" s="5" t="s">
        <v>125</v>
      </c>
      <c r="L10" s="5" t="s">
        <v>25</v>
      </c>
      <c r="M10" s="5" t="s">
        <v>494</v>
      </c>
      <c r="N10" s="5"/>
      <c r="O10" s="5"/>
      <c r="P10" s="5"/>
      <c r="Q10" s="5"/>
      <c r="R10">
        <v>1</v>
      </c>
    </row>
    <row r="11" spans="1:19" x14ac:dyDescent="0.25">
      <c r="A11" s="5"/>
      <c r="B11" s="5" t="s">
        <v>19</v>
      </c>
      <c r="C11" s="5" t="s">
        <v>519</v>
      </c>
      <c r="D11" s="5" t="s">
        <v>520</v>
      </c>
      <c r="E11" s="5" t="s">
        <v>521</v>
      </c>
      <c r="F11" s="5" t="s">
        <v>522</v>
      </c>
      <c r="G11" s="5">
        <v>10</v>
      </c>
      <c r="H11" s="5">
        <v>805</v>
      </c>
      <c r="I11" s="5">
        <v>25</v>
      </c>
      <c r="J11" s="5">
        <f t="shared" si="0"/>
        <v>780</v>
      </c>
      <c r="K11" s="5" t="s">
        <v>125</v>
      </c>
      <c r="L11" s="5" t="s">
        <v>25</v>
      </c>
      <c r="M11" s="5" t="s">
        <v>494</v>
      </c>
      <c r="N11" s="5"/>
      <c r="O11" s="5"/>
      <c r="P11" s="5"/>
      <c r="Q11" s="5"/>
      <c r="R11">
        <v>1</v>
      </c>
    </row>
    <row r="12" spans="1:19" x14ac:dyDescent="0.25">
      <c r="A12" s="5"/>
      <c r="B12" s="5" t="s">
        <v>19</v>
      </c>
      <c r="C12" s="5" t="s">
        <v>523</v>
      </c>
      <c r="D12" s="5" t="s">
        <v>524</v>
      </c>
      <c r="E12" s="5">
        <v>2</v>
      </c>
      <c r="F12" s="5" t="s">
        <v>69</v>
      </c>
      <c r="G12" s="5">
        <v>2</v>
      </c>
      <c r="H12" s="5">
        <v>1230</v>
      </c>
      <c r="I12" s="5">
        <v>30</v>
      </c>
      <c r="J12" s="5">
        <f t="shared" si="0"/>
        <v>1200</v>
      </c>
      <c r="K12" s="5" t="s">
        <v>25</v>
      </c>
      <c r="L12" s="5" t="s">
        <v>25</v>
      </c>
      <c r="M12" s="5" t="s">
        <v>494</v>
      </c>
      <c r="N12" s="5"/>
      <c r="O12" s="5"/>
      <c r="P12" s="5"/>
      <c r="Q12" s="5"/>
      <c r="R12">
        <v>1</v>
      </c>
    </row>
    <row r="13" spans="1:19" x14ac:dyDescent="0.25">
      <c r="A13" s="5"/>
      <c r="B13" s="5" t="s">
        <v>19</v>
      </c>
      <c r="C13" s="5" t="s">
        <v>525</v>
      </c>
      <c r="D13" s="5" t="s">
        <v>526</v>
      </c>
      <c r="E13" s="5" t="s">
        <v>527</v>
      </c>
      <c r="F13" s="5" t="s">
        <v>528</v>
      </c>
      <c r="G13" s="5">
        <v>2</v>
      </c>
      <c r="H13" s="5">
        <v>950</v>
      </c>
      <c r="I13" s="5">
        <v>30</v>
      </c>
      <c r="J13" s="5">
        <f t="shared" si="0"/>
        <v>920</v>
      </c>
      <c r="K13" s="5" t="s">
        <v>25</v>
      </c>
      <c r="L13" s="5" t="s">
        <v>25</v>
      </c>
      <c r="M13" s="5" t="s">
        <v>494</v>
      </c>
      <c r="N13" s="5"/>
      <c r="O13" s="5"/>
      <c r="P13" s="5"/>
      <c r="Q13" s="5"/>
      <c r="R13">
        <v>1</v>
      </c>
    </row>
    <row r="14" spans="1:19" x14ac:dyDescent="0.25">
      <c r="A14" s="5"/>
      <c r="B14" s="5" t="s">
        <v>19</v>
      </c>
      <c r="C14" s="5" t="s">
        <v>529</v>
      </c>
      <c r="D14" s="5" t="s">
        <v>530</v>
      </c>
      <c r="E14" s="5" t="s">
        <v>35</v>
      </c>
      <c r="F14" s="5" t="s">
        <v>36</v>
      </c>
      <c r="G14" s="5">
        <v>2</v>
      </c>
      <c r="H14" s="5">
        <v>0</v>
      </c>
      <c r="I14" s="5">
        <v>30</v>
      </c>
      <c r="J14" s="5">
        <f t="shared" si="0"/>
        <v>-30</v>
      </c>
      <c r="K14" s="5" t="s">
        <v>25</v>
      </c>
      <c r="L14" s="5" t="s">
        <v>25</v>
      </c>
      <c r="M14" s="5" t="s">
        <v>494</v>
      </c>
      <c r="N14" s="5"/>
      <c r="O14" s="5"/>
      <c r="P14" s="5"/>
      <c r="Q14" s="5"/>
      <c r="R14">
        <v>1</v>
      </c>
      <c r="S14">
        <v>30</v>
      </c>
    </row>
    <row r="15" spans="1:19" x14ac:dyDescent="0.25">
      <c r="A15" s="5"/>
      <c r="B15" s="5" t="s">
        <v>19</v>
      </c>
      <c r="C15" s="5" t="s">
        <v>531</v>
      </c>
      <c r="D15" s="5" t="s">
        <v>532</v>
      </c>
      <c r="E15" s="5">
        <v>75</v>
      </c>
      <c r="F15" s="5" t="s">
        <v>533</v>
      </c>
      <c r="G15" s="5">
        <v>2</v>
      </c>
      <c r="H15" s="5">
        <v>0</v>
      </c>
      <c r="I15" s="5">
        <v>30</v>
      </c>
      <c r="J15" s="5">
        <f t="shared" si="0"/>
        <v>-30</v>
      </c>
      <c r="K15" s="5" t="s">
        <v>25</v>
      </c>
      <c r="L15" s="5" t="s">
        <v>25</v>
      </c>
      <c r="M15" s="5" t="s">
        <v>494</v>
      </c>
      <c r="N15" s="5"/>
      <c r="O15" s="5"/>
      <c r="P15" s="5"/>
      <c r="Q15" s="5"/>
      <c r="R15">
        <v>1</v>
      </c>
      <c r="S15">
        <v>30</v>
      </c>
    </row>
    <row r="16" spans="1:19" x14ac:dyDescent="0.25">
      <c r="A16" s="5"/>
      <c r="B16" s="5" t="s">
        <v>19</v>
      </c>
      <c r="C16" s="5" t="s">
        <v>48</v>
      </c>
      <c r="D16" s="5" t="s">
        <v>534</v>
      </c>
      <c r="E16" s="5" t="s">
        <v>50</v>
      </c>
      <c r="F16" s="5" t="s">
        <v>47</v>
      </c>
      <c r="G16" s="5">
        <v>2</v>
      </c>
      <c r="H16" s="5">
        <v>720</v>
      </c>
      <c r="I16" s="5">
        <v>30</v>
      </c>
      <c r="J16" s="5">
        <f t="shared" si="0"/>
        <v>690</v>
      </c>
      <c r="K16" s="5" t="s">
        <v>25</v>
      </c>
      <c r="L16" s="5" t="s">
        <v>25</v>
      </c>
      <c r="M16" s="5" t="s">
        <v>494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535</v>
      </c>
      <c r="D17" s="5" t="s">
        <v>536</v>
      </c>
      <c r="E17" s="5" t="s">
        <v>537</v>
      </c>
      <c r="F17" s="5" t="s">
        <v>538</v>
      </c>
      <c r="G17" s="5" t="s">
        <v>58</v>
      </c>
      <c r="H17" s="5">
        <v>460</v>
      </c>
      <c r="I17" s="5">
        <v>20</v>
      </c>
      <c r="J17" s="5">
        <f t="shared" si="0"/>
        <v>440</v>
      </c>
      <c r="K17" s="5" t="s">
        <v>25</v>
      </c>
      <c r="L17" s="5" t="s">
        <v>25</v>
      </c>
      <c r="M17" s="5" t="s">
        <v>494</v>
      </c>
      <c r="N17" s="5"/>
      <c r="O17" s="5"/>
      <c r="P17" s="5"/>
      <c r="Q17" s="5"/>
      <c r="R17">
        <v>1</v>
      </c>
    </row>
    <row r="18" spans="1:19" x14ac:dyDescent="0.25">
      <c r="A18" s="20"/>
      <c r="B18" s="20" t="s">
        <v>19</v>
      </c>
      <c r="C18" s="20" t="s">
        <v>539</v>
      </c>
      <c r="D18" s="20" t="s">
        <v>540</v>
      </c>
      <c r="E18" s="20" t="s">
        <v>541</v>
      </c>
      <c r="F18" s="20" t="s">
        <v>542</v>
      </c>
      <c r="G18" s="20" t="s">
        <v>58</v>
      </c>
      <c r="H18" s="20">
        <v>0</v>
      </c>
      <c r="I18" s="20">
        <v>20</v>
      </c>
      <c r="J18" s="20">
        <f t="shared" si="0"/>
        <v>-20</v>
      </c>
      <c r="K18" s="20" t="s">
        <v>25</v>
      </c>
      <c r="L18" s="20" t="s">
        <v>25</v>
      </c>
      <c r="M18" s="20" t="s">
        <v>494</v>
      </c>
      <c r="N18" s="20" t="s">
        <v>472</v>
      </c>
      <c r="O18" s="20"/>
      <c r="P18" s="20"/>
      <c r="Q18" s="20"/>
      <c r="R18">
        <v>1</v>
      </c>
      <c r="S18">
        <v>20</v>
      </c>
    </row>
    <row r="19" spans="1:19" x14ac:dyDescent="0.25">
      <c r="A19" s="5"/>
      <c r="B19" s="5" t="s">
        <v>19</v>
      </c>
      <c r="C19" s="5" t="s">
        <v>543</v>
      </c>
      <c r="D19" s="5" t="s">
        <v>544</v>
      </c>
      <c r="E19" s="5" t="s">
        <v>545</v>
      </c>
      <c r="F19" s="5" t="s">
        <v>546</v>
      </c>
      <c r="G19" s="5" t="s">
        <v>58</v>
      </c>
      <c r="H19" s="5">
        <v>690</v>
      </c>
      <c r="I19" s="5">
        <v>20</v>
      </c>
      <c r="J19" s="5">
        <f t="shared" si="0"/>
        <v>670</v>
      </c>
      <c r="K19" s="5" t="s">
        <v>25</v>
      </c>
      <c r="L19" s="5" t="s">
        <v>25</v>
      </c>
      <c r="M19" s="5" t="s">
        <v>494</v>
      </c>
      <c r="N19" s="5"/>
      <c r="O19" s="5"/>
      <c r="P19" s="5"/>
      <c r="Q19" s="5"/>
      <c r="R19">
        <v>1</v>
      </c>
    </row>
    <row r="20" spans="1:19" x14ac:dyDescent="0.25">
      <c r="A20" s="5"/>
      <c r="B20" s="5" t="s">
        <v>19</v>
      </c>
      <c r="C20" s="5" t="s">
        <v>547</v>
      </c>
      <c r="D20" s="5" t="s">
        <v>548</v>
      </c>
      <c r="E20" s="5" t="s">
        <v>549</v>
      </c>
      <c r="F20" s="5" t="s">
        <v>65</v>
      </c>
      <c r="G20" s="5" t="s">
        <v>58</v>
      </c>
      <c r="H20" s="5">
        <v>860</v>
      </c>
      <c r="I20" s="5">
        <v>20</v>
      </c>
      <c r="J20" s="5">
        <f t="shared" si="0"/>
        <v>840</v>
      </c>
      <c r="K20" s="5" t="s">
        <v>25</v>
      </c>
      <c r="L20" s="5" t="s">
        <v>25</v>
      </c>
      <c r="M20" s="5" t="s">
        <v>494</v>
      </c>
      <c r="N20" s="5"/>
      <c r="O20" s="5"/>
      <c r="P20" s="5"/>
      <c r="Q20" s="5"/>
      <c r="R20">
        <v>1</v>
      </c>
    </row>
    <row r="21" spans="1:19" x14ac:dyDescent="0.25">
      <c r="A21" s="5"/>
      <c r="B21" s="5" t="s">
        <v>19</v>
      </c>
      <c r="C21" s="5" t="s">
        <v>550</v>
      </c>
      <c r="D21" s="5" t="s">
        <v>551</v>
      </c>
      <c r="E21" s="5">
        <v>119</v>
      </c>
      <c r="F21" s="5" t="s">
        <v>552</v>
      </c>
      <c r="G21" s="5" t="s">
        <v>70</v>
      </c>
      <c r="H21" s="5">
        <v>1485</v>
      </c>
      <c r="I21" s="5">
        <v>25</v>
      </c>
      <c r="J21" s="5">
        <f t="shared" si="0"/>
        <v>1460</v>
      </c>
      <c r="K21" s="5" t="s">
        <v>25</v>
      </c>
      <c r="L21" s="5" t="s">
        <v>25</v>
      </c>
      <c r="M21" s="5" t="s">
        <v>494</v>
      </c>
      <c r="N21" s="5"/>
      <c r="O21" s="5"/>
      <c r="P21" s="5"/>
      <c r="Q21" s="5"/>
      <c r="R21">
        <v>1</v>
      </c>
    </row>
    <row r="22" spans="1:19" x14ac:dyDescent="0.25">
      <c r="A22" s="5" t="s">
        <v>91</v>
      </c>
      <c r="B22" s="5" t="s">
        <v>19</v>
      </c>
      <c r="C22" s="5" t="s">
        <v>482</v>
      </c>
      <c r="D22" s="5"/>
      <c r="E22" s="5">
        <v>685</v>
      </c>
      <c r="F22" s="5" t="s">
        <v>93</v>
      </c>
      <c r="G22" s="5" t="s">
        <v>70</v>
      </c>
      <c r="H22" s="5">
        <v>30</v>
      </c>
      <c r="I22" s="5">
        <v>30</v>
      </c>
      <c r="J22" s="5">
        <f t="shared" si="0"/>
        <v>0</v>
      </c>
      <c r="K22" s="5" t="s">
        <v>25</v>
      </c>
      <c r="L22" s="5" t="s">
        <v>25</v>
      </c>
      <c r="M22" s="5" t="s">
        <v>494</v>
      </c>
      <c r="N22" s="5"/>
      <c r="O22" s="5"/>
      <c r="P22" s="5"/>
      <c r="Q22" s="5"/>
      <c r="R22">
        <v>1</v>
      </c>
    </row>
    <row r="23" spans="1:19" x14ac:dyDescent="0.25">
      <c r="A23" s="5"/>
      <c r="B23" s="5" t="s">
        <v>19</v>
      </c>
      <c r="C23" s="5" t="s">
        <v>553</v>
      </c>
      <c r="D23" s="5" t="s">
        <v>554</v>
      </c>
      <c r="E23" s="5" t="s">
        <v>555</v>
      </c>
      <c r="F23" s="5" t="s">
        <v>556</v>
      </c>
      <c r="G23" s="5" t="s">
        <v>103</v>
      </c>
      <c r="H23" s="5">
        <v>720</v>
      </c>
      <c r="I23" s="5">
        <v>30</v>
      </c>
      <c r="J23" s="5">
        <f t="shared" si="0"/>
        <v>690</v>
      </c>
      <c r="K23" s="5" t="s">
        <v>25</v>
      </c>
      <c r="L23" s="5" t="s">
        <v>25</v>
      </c>
      <c r="M23" s="5" t="s">
        <v>494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557</v>
      </c>
      <c r="D24" s="5" t="s">
        <v>558</v>
      </c>
      <c r="E24" s="5" t="s">
        <v>559</v>
      </c>
      <c r="F24" s="5" t="s">
        <v>560</v>
      </c>
      <c r="G24" s="5">
        <v>9</v>
      </c>
      <c r="H24" s="5">
        <v>520</v>
      </c>
      <c r="I24" s="5">
        <v>30</v>
      </c>
      <c r="J24" s="5">
        <f t="shared" si="0"/>
        <v>490</v>
      </c>
      <c r="K24" s="5" t="s">
        <v>120</v>
      </c>
      <c r="L24" s="5" t="s">
        <v>25</v>
      </c>
      <c r="M24" s="5" t="s">
        <v>494</v>
      </c>
      <c r="N24" s="5"/>
      <c r="O24" s="5"/>
      <c r="P24" s="5"/>
      <c r="Q24" s="5"/>
      <c r="R24">
        <v>1</v>
      </c>
    </row>
    <row r="25" spans="1:19" x14ac:dyDescent="0.25">
      <c r="A25" s="5" t="s">
        <v>91</v>
      </c>
      <c r="B25" s="5" t="s">
        <v>19</v>
      </c>
      <c r="C25" s="5" t="s">
        <v>179</v>
      </c>
      <c r="D25" s="5"/>
      <c r="E25" s="5" t="s">
        <v>561</v>
      </c>
      <c r="F25" s="5" t="s">
        <v>181</v>
      </c>
      <c r="G25" s="5">
        <v>6</v>
      </c>
      <c r="H25" s="5">
        <v>0</v>
      </c>
      <c r="I25" s="5">
        <v>30</v>
      </c>
      <c r="J25" s="5">
        <f t="shared" si="0"/>
        <v>-30</v>
      </c>
      <c r="K25" s="5" t="s">
        <v>562</v>
      </c>
      <c r="L25" s="5" t="s">
        <v>25</v>
      </c>
      <c r="M25" s="5" t="s">
        <v>494</v>
      </c>
      <c r="N25" s="5"/>
      <c r="O25" s="5"/>
      <c r="P25" s="5"/>
      <c r="Q25" s="5"/>
      <c r="R25">
        <v>1</v>
      </c>
      <c r="S25">
        <v>30</v>
      </c>
    </row>
    <row r="26" spans="1:19" x14ac:dyDescent="0.25">
      <c r="A26" s="5"/>
      <c r="B26" s="5" t="s">
        <v>19</v>
      </c>
      <c r="C26" s="5" t="s">
        <v>563</v>
      </c>
      <c r="D26" s="5" t="s">
        <v>564</v>
      </c>
      <c r="E26" s="5">
        <v>66</v>
      </c>
      <c r="F26" s="5" t="s">
        <v>565</v>
      </c>
      <c r="G26" s="5">
        <v>6</v>
      </c>
      <c r="H26" s="5">
        <v>0</v>
      </c>
      <c r="I26" s="5">
        <v>25</v>
      </c>
      <c r="J26" s="5">
        <f t="shared" si="0"/>
        <v>-25</v>
      </c>
      <c r="K26" s="5" t="s">
        <v>562</v>
      </c>
      <c r="L26" s="5" t="s">
        <v>25</v>
      </c>
      <c r="M26" s="5" t="s">
        <v>494</v>
      </c>
      <c r="N26" s="6" t="s">
        <v>566</v>
      </c>
      <c r="O26" s="5"/>
      <c r="P26" s="5"/>
      <c r="Q26" s="5"/>
      <c r="R26">
        <v>1</v>
      </c>
      <c r="S26">
        <v>25</v>
      </c>
    </row>
    <row r="27" spans="1:19" x14ac:dyDescent="0.25">
      <c r="A27" s="5"/>
      <c r="B27" s="5" t="s">
        <v>19</v>
      </c>
      <c r="C27" s="5" t="s">
        <v>567</v>
      </c>
      <c r="D27" s="5" t="s">
        <v>568</v>
      </c>
      <c r="E27" s="5" t="s">
        <v>569</v>
      </c>
      <c r="F27" s="5" t="s">
        <v>570</v>
      </c>
      <c r="G27" s="5">
        <v>6</v>
      </c>
      <c r="H27" s="5">
        <v>25</v>
      </c>
      <c r="I27" s="5">
        <v>25</v>
      </c>
      <c r="J27" s="5">
        <f t="shared" si="0"/>
        <v>0</v>
      </c>
      <c r="K27" s="5" t="s">
        <v>562</v>
      </c>
      <c r="L27" s="5" t="s">
        <v>25</v>
      </c>
      <c r="M27" s="5" t="s">
        <v>494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571</v>
      </c>
      <c r="D28" s="5" t="s">
        <v>572</v>
      </c>
      <c r="E28" s="5">
        <v>15</v>
      </c>
      <c r="F28" s="5" t="s">
        <v>573</v>
      </c>
      <c r="G28" s="5">
        <v>6</v>
      </c>
      <c r="H28" s="5">
        <v>865</v>
      </c>
      <c r="I28" s="5">
        <v>25</v>
      </c>
      <c r="J28" s="5">
        <f t="shared" si="0"/>
        <v>840</v>
      </c>
      <c r="K28" s="5" t="s">
        <v>562</v>
      </c>
      <c r="L28" s="5" t="s">
        <v>25</v>
      </c>
      <c r="M28" s="5" t="s">
        <v>494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574</v>
      </c>
      <c r="D29" s="5" t="s">
        <v>575</v>
      </c>
      <c r="E29" s="5" t="s">
        <v>576</v>
      </c>
      <c r="F29" s="5" t="s">
        <v>577</v>
      </c>
      <c r="G29" s="5">
        <v>7</v>
      </c>
      <c r="H29" s="5">
        <v>820</v>
      </c>
      <c r="I29" s="5">
        <v>30</v>
      </c>
      <c r="J29" s="5">
        <f t="shared" si="0"/>
        <v>790</v>
      </c>
      <c r="K29" s="5" t="s">
        <v>562</v>
      </c>
      <c r="L29" s="5" t="s">
        <v>25</v>
      </c>
      <c r="M29" s="5" t="s">
        <v>494</v>
      </c>
      <c r="N29" s="5"/>
      <c r="O29" s="5"/>
      <c r="P29" s="5"/>
      <c r="Q29" s="5"/>
      <c r="R29">
        <v>1</v>
      </c>
    </row>
    <row r="30" spans="1:19" x14ac:dyDescent="0.25">
      <c r="A30" s="5"/>
      <c r="B30" s="5" t="s">
        <v>19</v>
      </c>
      <c r="C30" s="5" t="s">
        <v>578</v>
      </c>
      <c r="D30" s="5" t="s">
        <v>579</v>
      </c>
      <c r="E30" s="5" t="s">
        <v>580</v>
      </c>
      <c r="F30" s="5" t="s">
        <v>556</v>
      </c>
      <c r="G30" s="5">
        <v>7</v>
      </c>
      <c r="H30" s="5">
        <v>1660</v>
      </c>
      <c r="I30" s="5">
        <v>30</v>
      </c>
      <c r="J30" s="5">
        <f t="shared" si="0"/>
        <v>1630</v>
      </c>
      <c r="K30" s="5" t="s">
        <v>562</v>
      </c>
      <c r="L30" s="5" t="s">
        <v>25</v>
      </c>
      <c r="M30" s="5" t="s">
        <v>494</v>
      </c>
      <c r="N30" s="5"/>
      <c r="O30" s="5"/>
      <c r="P30" s="5"/>
      <c r="Q30" s="5"/>
      <c r="R30">
        <v>1</v>
      </c>
    </row>
    <row r="31" spans="1:19" x14ac:dyDescent="0.25">
      <c r="A31" s="5"/>
      <c r="B31" s="5" t="s">
        <v>19</v>
      </c>
      <c r="C31" s="5" t="s">
        <v>581</v>
      </c>
      <c r="D31" s="5" t="s">
        <v>582</v>
      </c>
      <c r="E31" s="5" t="s">
        <v>583</v>
      </c>
      <c r="F31" s="5" t="s">
        <v>584</v>
      </c>
      <c r="G31" s="5">
        <v>7</v>
      </c>
      <c r="H31" s="5">
        <v>0</v>
      </c>
      <c r="I31" s="5">
        <v>30</v>
      </c>
      <c r="J31" s="5">
        <f t="shared" si="0"/>
        <v>-30</v>
      </c>
      <c r="K31" s="5" t="s">
        <v>562</v>
      </c>
      <c r="L31" s="5" t="s">
        <v>25</v>
      </c>
      <c r="M31" s="5" t="s">
        <v>494</v>
      </c>
      <c r="N31" s="5"/>
      <c r="O31" s="5"/>
      <c r="P31" s="5"/>
      <c r="Q31" s="5"/>
      <c r="R31">
        <v>1</v>
      </c>
      <c r="S31">
        <v>30</v>
      </c>
    </row>
    <row r="32" spans="1:19" x14ac:dyDescent="0.25">
      <c r="A32" s="5"/>
      <c r="B32" s="5" t="s">
        <v>19</v>
      </c>
      <c r="C32" s="5" t="s">
        <v>585</v>
      </c>
      <c r="D32" s="5" t="s">
        <v>586</v>
      </c>
      <c r="E32" s="5">
        <v>33</v>
      </c>
      <c r="F32" s="5" t="s">
        <v>587</v>
      </c>
      <c r="G32" s="5">
        <v>7</v>
      </c>
      <c r="H32" s="5">
        <v>850</v>
      </c>
      <c r="I32" s="5">
        <v>30</v>
      </c>
      <c r="J32" s="5">
        <f t="shared" si="0"/>
        <v>820</v>
      </c>
      <c r="K32" s="5" t="s">
        <v>562</v>
      </c>
      <c r="L32" s="5" t="s">
        <v>25</v>
      </c>
      <c r="M32" s="5" t="s">
        <v>494</v>
      </c>
      <c r="N32" s="5"/>
      <c r="O32" s="5"/>
      <c r="P32" s="5"/>
      <c r="Q32" s="5"/>
      <c r="R32">
        <v>1</v>
      </c>
    </row>
    <row r="33" spans="1:19" x14ac:dyDescent="0.25">
      <c r="A33" s="5"/>
      <c r="B33" s="5" t="s">
        <v>19</v>
      </c>
      <c r="C33" s="5" t="s">
        <v>588</v>
      </c>
      <c r="D33" s="5" t="s">
        <v>589</v>
      </c>
      <c r="E33" s="5">
        <v>69</v>
      </c>
      <c r="F33" s="5" t="s">
        <v>590</v>
      </c>
      <c r="G33" s="5">
        <v>7</v>
      </c>
      <c r="H33" s="5">
        <v>720</v>
      </c>
      <c r="I33" s="5">
        <v>30</v>
      </c>
      <c r="J33" s="5">
        <f t="shared" si="0"/>
        <v>690</v>
      </c>
      <c r="K33" s="5" t="s">
        <v>562</v>
      </c>
      <c r="L33" s="5" t="s">
        <v>25</v>
      </c>
      <c r="M33" s="5" t="s">
        <v>494</v>
      </c>
      <c r="N33" s="5"/>
      <c r="O33" s="5"/>
      <c r="P33" s="5"/>
      <c r="Q33" s="5"/>
      <c r="R33">
        <v>1</v>
      </c>
    </row>
    <row r="34" spans="1:19" x14ac:dyDescent="0.25">
      <c r="A34" s="5"/>
      <c r="B34" s="5" t="s">
        <v>19</v>
      </c>
      <c r="C34" s="5" t="s">
        <v>591</v>
      </c>
      <c r="D34" s="5" t="s">
        <v>592</v>
      </c>
      <c r="E34" s="5" t="s">
        <v>593</v>
      </c>
      <c r="F34" s="5" t="s">
        <v>594</v>
      </c>
      <c r="G34" s="5">
        <v>7</v>
      </c>
      <c r="H34" s="5">
        <v>850</v>
      </c>
      <c r="I34" s="5">
        <v>30</v>
      </c>
      <c r="J34" s="5">
        <f t="shared" si="0"/>
        <v>820</v>
      </c>
      <c r="K34" s="5" t="s">
        <v>562</v>
      </c>
      <c r="L34" s="5" t="s">
        <v>25</v>
      </c>
      <c r="M34" s="5" t="s">
        <v>494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595</v>
      </c>
      <c r="D35" s="5" t="s">
        <v>596</v>
      </c>
      <c r="E35" s="5" t="s">
        <v>597</v>
      </c>
      <c r="F35" s="5" t="s">
        <v>53</v>
      </c>
      <c r="G35" s="5">
        <v>8</v>
      </c>
      <c r="H35" s="5">
        <v>1325</v>
      </c>
      <c r="I35" s="5">
        <v>25</v>
      </c>
      <c r="J35" s="5">
        <f t="shared" si="0"/>
        <v>1300</v>
      </c>
      <c r="K35" s="5" t="s">
        <v>562</v>
      </c>
      <c r="L35" s="5" t="s">
        <v>25</v>
      </c>
      <c r="M35" s="5" t="s">
        <v>494</v>
      </c>
      <c r="N35" s="5"/>
      <c r="O35" s="5"/>
      <c r="P35" s="5"/>
      <c r="Q35" s="5"/>
      <c r="R35">
        <v>1</v>
      </c>
    </row>
    <row r="36" spans="1:19" x14ac:dyDescent="0.25">
      <c r="A36" s="5"/>
      <c r="B36" s="5" t="s">
        <v>19</v>
      </c>
      <c r="C36" s="5" t="s">
        <v>598</v>
      </c>
      <c r="D36" s="5" t="s">
        <v>599</v>
      </c>
      <c r="E36" s="5">
        <v>300</v>
      </c>
      <c r="F36" s="5" t="s">
        <v>600</v>
      </c>
      <c r="G36" s="5">
        <v>8</v>
      </c>
      <c r="H36" s="5">
        <v>815</v>
      </c>
      <c r="I36" s="5">
        <v>25</v>
      </c>
      <c r="J36" s="5">
        <f t="shared" si="0"/>
        <v>790</v>
      </c>
      <c r="K36" s="5" t="s">
        <v>562</v>
      </c>
      <c r="L36" s="5" t="s">
        <v>25</v>
      </c>
      <c r="M36" s="5" t="s">
        <v>494</v>
      </c>
      <c r="N36" s="5"/>
      <c r="O36" s="5"/>
      <c r="P36" s="5"/>
      <c r="Q36" s="5"/>
      <c r="R36">
        <v>1</v>
      </c>
    </row>
    <row r="37" spans="1:19" x14ac:dyDescent="0.25">
      <c r="A37" s="5"/>
      <c r="B37" s="5" t="s">
        <v>19</v>
      </c>
      <c r="C37" s="5" t="s">
        <v>601</v>
      </c>
      <c r="D37" s="5" t="s">
        <v>602</v>
      </c>
      <c r="E37" s="5" t="s">
        <v>603</v>
      </c>
      <c r="F37" s="5" t="s">
        <v>604</v>
      </c>
      <c r="G37" s="5">
        <v>8</v>
      </c>
      <c r="H37" s="5">
        <v>1615</v>
      </c>
      <c r="I37" s="5">
        <v>25</v>
      </c>
      <c r="J37" s="5">
        <f t="shared" si="0"/>
        <v>1590</v>
      </c>
      <c r="K37" s="5" t="s">
        <v>562</v>
      </c>
      <c r="L37" s="5" t="s">
        <v>25</v>
      </c>
      <c r="M37" s="5" t="s">
        <v>494</v>
      </c>
      <c r="N37" s="5"/>
      <c r="O37" s="5"/>
      <c r="P37" s="5"/>
      <c r="Q37" s="5"/>
      <c r="R37">
        <v>1</v>
      </c>
    </row>
    <row r="38" spans="1:19" x14ac:dyDescent="0.25">
      <c r="A38" s="20"/>
      <c r="B38" s="20" t="s">
        <v>19</v>
      </c>
      <c r="C38" s="20" t="s">
        <v>216</v>
      </c>
      <c r="D38" s="20" t="s">
        <v>605</v>
      </c>
      <c r="E38" s="20" t="s">
        <v>606</v>
      </c>
      <c r="F38" s="20" t="s">
        <v>607</v>
      </c>
      <c r="G38" s="20">
        <v>9</v>
      </c>
      <c r="H38" s="20">
        <v>30</v>
      </c>
      <c r="I38" s="20">
        <v>30</v>
      </c>
      <c r="J38" s="20">
        <f t="shared" si="0"/>
        <v>0</v>
      </c>
      <c r="K38" s="20" t="s">
        <v>562</v>
      </c>
      <c r="L38" s="20" t="s">
        <v>25</v>
      </c>
      <c r="M38" s="20" t="s">
        <v>494</v>
      </c>
      <c r="N38" s="20" t="s">
        <v>472</v>
      </c>
      <c r="O38" s="20"/>
      <c r="P38" s="20"/>
      <c r="Q38" s="20"/>
      <c r="R38">
        <v>1</v>
      </c>
    </row>
    <row r="39" spans="1:19" x14ac:dyDescent="0.25">
      <c r="A39" s="5"/>
      <c r="B39" s="5" t="s">
        <v>19</v>
      </c>
      <c r="C39" s="5" t="s">
        <v>608</v>
      </c>
      <c r="D39" s="5" t="s">
        <v>609</v>
      </c>
      <c r="E39" s="5">
        <v>375</v>
      </c>
      <c r="F39" s="5" t="s">
        <v>228</v>
      </c>
      <c r="G39" s="5">
        <v>12</v>
      </c>
      <c r="H39" s="5">
        <v>0</v>
      </c>
      <c r="I39" s="5">
        <v>30</v>
      </c>
      <c r="J39" s="5">
        <f t="shared" si="0"/>
        <v>-30</v>
      </c>
      <c r="K39" s="5" t="s">
        <v>562</v>
      </c>
      <c r="L39" s="5" t="s">
        <v>25</v>
      </c>
      <c r="M39" s="5" t="s">
        <v>494</v>
      </c>
      <c r="N39" s="5"/>
      <c r="O39" s="5"/>
      <c r="P39" s="5"/>
      <c r="Q39" s="5"/>
      <c r="R39">
        <v>1</v>
      </c>
      <c r="S39">
        <v>30</v>
      </c>
    </row>
    <row r="40" spans="1:19" x14ac:dyDescent="0.25">
      <c r="A40" s="5"/>
      <c r="B40" s="5" t="s">
        <v>19</v>
      </c>
      <c r="C40" s="5" t="s">
        <v>610</v>
      </c>
      <c r="D40" s="5" t="s">
        <v>611</v>
      </c>
      <c r="E40" s="5">
        <v>163</v>
      </c>
      <c r="F40" s="5" t="s">
        <v>410</v>
      </c>
      <c r="G40" s="5">
        <v>12</v>
      </c>
      <c r="H40" s="5">
        <v>0</v>
      </c>
      <c r="I40" s="5">
        <v>30</v>
      </c>
      <c r="J40" s="5">
        <f t="shared" si="0"/>
        <v>-30</v>
      </c>
      <c r="K40" s="5" t="s">
        <v>562</v>
      </c>
      <c r="L40" s="5" t="s">
        <v>25</v>
      </c>
      <c r="M40" s="5" t="s">
        <v>494</v>
      </c>
      <c r="N40" s="5"/>
      <c r="O40" s="5"/>
      <c r="P40" s="5"/>
      <c r="Q40" s="5"/>
      <c r="R40">
        <v>1</v>
      </c>
      <c r="S40">
        <v>30</v>
      </c>
    </row>
    <row r="41" spans="1:19" x14ac:dyDescent="0.25">
      <c r="A41" s="5"/>
      <c r="B41" s="5" t="s">
        <v>19</v>
      </c>
      <c r="C41" s="5" t="s">
        <v>612</v>
      </c>
      <c r="D41" s="5" t="s">
        <v>613</v>
      </c>
      <c r="E41" s="5" t="s">
        <v>614</v>
      </c>
      <c r="F41" s="5" t="s">
        <v>615</v>
      </c>
      <c r="G41" s="5" t="s">
        <v>240</v>
      </c>
      <c r="H41" s="5">
        <v>720</v>
      </c>
      <c r="I41" s="5">
        <v>30</v>
      </c>
      <c r="J41" s="5">
        <f t="shared" si="0"/>
        <v>690</v>
      </c>
      <c r="K41" s="5" t="s">
        <v>562</v>
      </c>
      <c r="L41" s="5" t="s">
        <v>25</v>
      </c>
      <c r="M41" s="5" t="s">
        <v>494</v>
      </c>
      <c r="N41" s="5"/>
      <c r="O41" s="5"/>
      <c r="P41" s="5"/>
      <c r="Q41" s="5"/>
      <c r="R41">
        <v>1</v>
      </c>
    </row>
    <row r="42" spans="1:19" x14ac:dyDescent="0.25">
      <c r="A42" s="5"/>
      <c r="B42" s="5" t="s">
        <v>19</v>
      </c>
      <c r="C42" s="5" t="s">
        <v>616</v>
      </c>
      <c r="D42" s="5" t="s">
        <v>617</v>
      </c>
      <c r="E42" s="5">
        <v>42</v>
      </c>
      <c r="F42" s="5" t="s">
        <v>618</v>
      </c>
      <c r="G42" s="5" t="s">
        <v>240</v>
      </c>
      <c r="H42" s="5">
        <v>0</v>
      </c>
      <c r="I42" s="5">
        <v>30</v>
      </c>
      <c r="J42" s="5">
        <f t="shared" si="0"/>
        <v>-30</v>
      </c>
      <c r="K42" s="5" t="s">
        <v>562</v>
      </c>
      <c r="L42" s="5" t="s">
        <v>25</v>
      </c>
      <c r="M42" s="5" t="s">
        <v>494</v>
      </c>
      <c r="N42" s="5"/>
      <c r="O42" s="5"/>
      <c r="P42" s="5"/>
      <c r="Q42" s="5"/>
      <c r="R42">
        <v>1</v>
      </c>
      <c r="S42">
        <v>30</v>
      </c>
    </row>
    <row r="43" spans="1:19" x14ac:dyDescent="0.25">
      <c r="A43" s="5"/>
      <c r="B43" s="5" t="s">
        <v>19</v>
      </c>
      <c r="C43" s="5" t="s">
        <v>619</v>
      </c>
      <c r="D43" s="5" t="s">
        <v>620</v>
      </c>
      <c r="E43" s="5" t="s">
        <v>621</v>
      </c>
      <c r="F43" s="5" t="s">
        <v>408</v>
      </c>
      <c r="G43" s="5" t="s">
        <v>286</v>
      </c>
      <c r="H43" s="5">
        <v>775</v>
      </c>
      <c r="I43" s="5">
        <v>25</v>
      </c>
      <c r="J43" s="5">
        <f t="shared" si="0"/>
        <v>750</v>
      </c>
      <c r="K43" s="5" t="s">
        <v>562</v>
      </c>
      <c r="L43" s="5" t="s">
        <v>25</v>
      </c>
      <c r="M43" s="5" t="s">
        <v>494</v>
      </c>
      <c r="N43" s="5"/>
      <c r="O43" s="5"/>
      <c r="P43" s="5"/>
      <c r="Q43" s="5"/>
      <c r="R43">
        <v>1</v>
      </c>
    </row>
    <row r="44" spans="1:19" x14ac:dyDescent="0.25">
      <c r="A44" s="5"/>
      <c r="B44" s="5" t="s">
        <v>19</v>
      </c>
      <c r="C44" s="5" t="s">
        <v>622</v>
      </c>
      <c r="D44" s="5" t="s">
        <v>623</v>
      </c>
      <c r="E44" s="5" t="s">
        <v>624</v>
      </c>
      <c r="F44" s="5" t="s">
        <v>625</v>
      </c>
      <c r="G44" s="5" t="s">
        <v>286</v>
      </c>
      <c r="H44" s="5">
        <v>715</v>
      </c>
      <c r="I44" s="5">
        <v>25</v>
      </c>
      <c r="J44" s="5">
        <f t="shared" si="0"/>
        <v>690</v>
      </c>
      <c r="K44" s="5" t="s">
        <v>562</v>
      </c>
      <c r="L44" s="5" t="s">
        <v>25</v>
      </c>
      <c r="M44" s="5" t="s">
        <v>494</v>
      </c>
      <c r="N44" s="5"/>
      <c r="O44" s="5"/>
      <c r="P44" s="5"/>
      <c r="Q44" s="5"/>
      <c r="R44">
        <v>1</v>
      </c>
    </row>
    <row r="45" spans="1:19" x14ac:dyDescent="0.25">
      <c r="A45" s="5"/>
      <c r="B45" s="5" t="s">
        <v>19</v>
      </c>
      <c r="C45" s="5" t="s">
        <v>626</v>
      </c>
      <c r="D45" s="5" t="s">
        <v>627</v>
      </c>
      <c r="E45" s="5" t="s">
        <v>628</v>
      </c>
      <c r="F45" s="5" t="s">
        <v>629</v>
      </c>
      <c r="G45" s="5" t="s">
        <v>286</v>
      </c>
      <c r="H45" s="5">
        <v>845</v>
      </c>
      <c r="I45" s="5">
        <v>25</v>
      </c>
      <c r="J45" s="5">
        <f t="shared" si="0"/>
        <v>820</v>
      </c>
      <c r="K45" s="5" t="s">
        <v>562</v>
      </c>
      <c r="L45" s="5" t="s">
        <v>25</v>
      </c>
      <c r="M45" s="5" t="s">
        <v>494</v>
      </c>
      <c r="N45" s="5"/>
      <c r="O45" s="5"/>
      <c r="P45" s="5"/>
      <c r="Q45" s="5"/>
      <c r="R45">
        <v>1</v>
      </c>
    </row>
    <row r="46" spans="1:19" x14ac:dyDescent="0.25">
      <c r="A46" s="5"/>
      <c r="B46" s="5" t="s">
        <v>19</v>
      </c>
      <c r="C46" s="5" t="s">
        <v>630</v>
      </c>
      <c r="D46" s="5" t="s">
        <v>631</v>
      </c>
      <c r="E46" s="5" t="s">
        <v>632</v>
      </c>
      <c r="F46" s="5" t="s">
        <v>633</v>
      </c>
      <c r="G46" s="5" t="s">
        <v>286</v>
      </c>
      <c r="H46" s="5">
        <v>0</v>
      </c>
      <c r="I46" s="5">
        <v>25</v>
      </c>
      <c r="J46" s="5">
        <f t="shared" si="0"/>
        <v>-25</v>
      </c>
      <c r="K46" s="5" t="s">
        <v>562</v>
      </c>
      <c r="L46" s="5" t="s">
        <v>25</v>
      </c>
      <c r="M46" s="5" t="s">
        <v>494</v>
      </c>
      <c r="N46" s="5"/>
      <c r="O46" s="5"/>
      <c r="P46" s="5"/>
      <c r="Q46" s="5"/>
      <c r="R46">
        <v>1</v>
      </c>
      <c r="S46">
        <v>25</v>
      </c>
    </row>
    <row r="47" spans="1:19" x14ac:dyDescent="0.25">
      <c r="A47" s="5"/>
      <c r="B47" s="5" t="s">
        <v>19</v>
      </c>
      <c r="C47" s="5" t="s">
        <v>634</v>
      </c>
      <c r="D47" s="5" t="s">
        <v>635</v>
      </c>
      <c r="E47" s="5" t="s">
        <v>636</v>
      </c>
      <c r="F47" s="5" t="s">
        <v>637</v>
      </c>
      <c r="G47" s="5" t="s">
        <v>286</v>
      </c>
      <c r="H47" s="5">
        <v>1765</v>
      </c>
      <c r="I47" s="5">
        <v>25</v>
      </c>
      <c r="J47" s="5">
        <f t="shared" si="0"/>
        <v>1740</v>
      </c>
      <c r="K47" s="5" t="s">
        <v>562</v>
      </c>
      <c r="L47" s="5" t="s">
        <v>25</v>
      </c>
      <c r="M47" s="5" t="s">
        <v>494</v>
      </c>
      <c r="N47" s="5"/>
      <c r="O47" s="5"/>
      <c r="P47" s="5"/>
      <c r="Q47" s="5"/>
      <c r="R47">
        <v>1</v>
      </c>
    </row>
    <row r="49" spans="1:20" x14ac:dyDescent="0.25">
      <c r="H49">
        <f t="shared" ref="H49:T49" si="1">SUBTOTAL(9,H3:H48)</f>
        <v>27920</v>
      </c>
      <c r="I49">
        <f t="shared" si="1"/>
        <v>1215</v>
      </c>
      <c r="J49">
        <f t="shared" si="1"/>
        <v>26705</v>
      </c>
      <c r="K49">
        <f t="shared" si="1"/>
        <v>0</v>
      </c>
      <c r="L49">
        <f t="shared" si="1"/>
        <v>0</v>
      </c>
      <c r="M49">
        <f t="shared" si="1"/>
        <v>0</v>
      </c>
      <c r="N49">
        <f t="shared" si="1"/>
        <v>0</v>
      </c>
      <c r="O49">
        <f t="shared" si="1"/>
        <v>0</v>
      </c>
      <c r="P49">
        <f t="shared" si="1"/>
        <v>0</v>
      </c>
      <c r="Q49">
        <f t="shared" si="1"/>
        <v>0</v>
      </c>
      <c r="R49">
        <f t="shared" si="1"/>
        <v>45</v>
      </c>
      <c r="S49">
        <f t="shared" si="1"/>
        <v>335</v>
      </c>
      <c r="T49">
        <f t="shared" si="1"/>
        <v>0</v>
      </c>
    </row>
    <row r="53" spans="1:20" ht="20.25" customHeight="1" x14ac:dyDescent="0.3">
      <c r="I53" s="7" t="s">
        <v>638</v>
      </c>
      <c r="J53" s="8" t="s">
        <v>313</v>
      </c>
      <c r="K53" s="9" t="s">
        <v>314</v>
      </c>
    </row>
    <row r="54" spans="1:20" ht="15.75" customHeight="1" x14ac:dyDescent="0.25">
      <c r="I54" s="10" t="s">
        <v>315</v>
      </c>
      <c r="J54" s="11">
        <f>SUM(J48:J52)</f>
        <v>26705</v>
      </c>
      <c r="K54" s="11">
        <f>R49</f>
        <v>45</v>
      </c>
    </row>
    <row r="55" spans="1:20" x14ac:dyDescent="0.25">
      <c r="I55" s="12" t="s">
        <v>316</v>
      </c>
      <c r="J55" s="13">
        <f>S49</f>
        <v>335</v>
      </c>
      <c r="K55" s="14"/>
    </row>
    <row r="56" spans="1:20" x14ac:dyDescent="0.25">
      <c r="I56" s="12" t="s">
        <v>317</v>
      </c>
      <c r="J56" s="13">
        <f>T48</f>
        <v>0</v>
      </c>
      <c r="K56" s="14"/>
    </row>
    <row r="57" spans="1:20" x14ac:dyDescent="0.25">
      <c r="I57" s="12" t="s">
        <v>318</v>
      </c>
      <c r="J57" s="13">
        <f>U48</f>
        <v>0</v>
      </c>
      <c r="K57" s="14"/>
    </row>
    <row r="58" spans="1:20" x14ac:dyDescent="0.25">
      <c r="I58" s="12" t="s">
        <v>319</v>
      </c>
      <c r="J58" s="13">
        <f>V48</f>
        <v>0</v>
      </c>
      <c r="K58" s="14"/>
    </row>
    <row r="59" spans="1:20" ht="15.75" customHeight="1" x14ac:dyDescent="0.25">
      <c r="I59" s="15" t="s">
        <v>320</v>
      </c>
      <c r="J59" s="16"/>
      <c r="K59" s="16"/>
    </row>
    <row r="60" spans="1:20" ht="15.75" customHeight="1" x14ac:dyDescent="0.25">
      <c r="I60" s="17" t="s">
        <v>321</v>
      </c>
      <c r="J60" s="16"/>
      <c r="K60" s="16"/>
    </row>
    <row r="61" spans="1:20" ht="21" customHeight="1" x14ac:dyDescent="0.35">
      <c r="I61" s="18" t="s">
        <v>322</v>
      </c>
      <c r="J61" s="19">
        <f>SUM(J54:J60)</f>
        <v>27040</v>
      </c>
      <c r="K61" s="19">
        <f>SUM(K54:K58)</f>
        <v>45</v>
      </c>
    </row>
    <row r="62" spans="1:20" x14ac:dyDescent="0.25">
      <c r="A62" t="s">
        <v>488</v>
      </c>
    </row>
    <row r="63" spans="1:20" x14ac:dyDescent="0.25">
      <c r="A63" s="2" t="s">
        <v>19</v>
      </c>
      <c r="B63" s="2" t="s">
        <v>563</v>
      </c>
      <c r="C63" s="2" t="s">
        <v>564</v>
      </c>
      <c r="D63" s="2">
        <v>66</v>
      </c>
      <c r="E63" s="2" t="s">
        <v>565</v>
      </c>
      <c r="F63" s="2">
        <v>6</v>
      </c>
      <c r="G63" s="2">
        <v>0</v>
      </c>
      <c r="H63" s="2">
        <v>25</v>
      </c>
      <c r="I63" s="2">
        <f>G63-H63</f>
        <v>-25</v>
      </c>
      <c r="J63" s="2" t="s">
        <v>562</v>
      </c>
      <c r="K63" s="2" t="s">
        <v>25</v>
      </c>
      <c r="L63" s="2" t="s">
        <v>494</v>
      </c>
      <c r="M63" s="3" t="s">
        <v>566</v>
      </c>
    </row>
  </sheetData>
  <autoFilter ref="A2:Q47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6F87-B944-4E3C-929C-6C09C2DF80E3}">
  <dimension ref="A1:T52"/>
  <sheetViews>
    <sheetView topLeftCell="A22" workbookViewId="0">
      <selection activeCell="J43" sqref="J43"/>
    </sheetView>
  </sheetViews>
  <sheetFormatPr defaultRowHeight="15" x14ac:dyDescent="0.25"/>
  <sheetData>
    <row r="1" spans="1:19" x14ac:dyDescent="0.25">
      <c r="B1" t="s">
        <v>639</v>
      </c>
      <c r="C1" t="s">
        <v>640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s="4" customFormat="1" x14ac:dyDescent="0.25">
      <c r="A3" s="5"/>
      <c r="B3" s="5" t="s">
        <v>19</v>
      </c>
      <c r="C3" s="5" t="s">
        <v>641</v>
      </c>
      <c r="D3" s="5" t="s">
        <v>642</v>
      </c>
      <c r="E3" s="5">
        <v>101</v>
      </c>
      <c r="F3" s="5" t="s">
        <v>643</v>
      </c>
      <c r="G3" s="5">
        <v>1</v>
      </c>
      <c r="H3" s="5">
        <v>855</v>
      </c>
      <c r="I3" s="5">
        <v>25</v>
      </c>
      <c r="J3" s="5">
        <f t="shared" ref="J3:J34" si="0">H3-I3</f>
        <v>830</v>
      </c>
      <c r="K3" s="5" t="s">
        <v>125</v>
      </c>
      <c r="L3" s="5" t="s">
        <v>25</v>
      </c>
      <c r="M3" s="5" t="s">
        <v>644</v>
      </c>
      <c r="N3" s="5"/>
      <c r="O3" s="5"/>
      <c r="P3" s="5"/>
      <c r="Q3" s="5"/>
      <c r="R3" s="4">
        <v>1</v>
      </c>
    </row>
    <row r="4" spans="1:19" x14ac:dyDescent="0.25">
      <c r="A4" s="5"/>
      <c r="B4" s="5" t="s">
        <v>19</v>
      </c>
      <c r="C4" s="5" t="s">
        <v>645</v>
      </c>
      <c r="D4" s="5" t="s">
        <v>646</v>
      </c>
      <c r="E4" s="5">
        <v>263</v>
      </c>
      <c r="F4" s="5" t="s">
        <v>647</v>
      </c>
      <c r="G4" s="5">
        <v>10</v>
      </c>
      <c r="H4" s="5">
        <v>605</v>
      </c>
      <c r="I4" s="5">
        <v>25</v>
      </c>
      <c r="J4" s="5">
        <f t="shared" si="0"/>
        <v>580</v>
      </c>
      <c r="K4" s="5" t="s">
        <v>125</v>
      </c>
      <c r="L4" s="5" t="s">
        <v>25</v>
      </c>
      <c r="M4" s="5" t="s">
        <v>644</v>
      </c>
      <c r="N4" s="5"/>
      <c r="O4" s="5"/>
      <c r="P4" s="5"/>
      <c r="Q4" s="5"/>
      <c r="R4">
        <v>1</v>
      </c>
    </row>
    <row r="5" spans="1:19" x14ac:dyDescent="0.25">
      <c r="A5" s="5"/>
      <c r="B5" s="5" t="s">
        <v>19</v>
      </c>
      <c r="C5" s="5" t="s">
        <v>648</v>
      </c>
      <c r="D5" s="5" t="s">
        <v>649</v>
      </c>
      <c r="E5" s="5" t="s">
        <v>650</v>
      </c>
      <c r="F5" s="5" t="s">
        <v>651</v>
      </c>
      <c r="G5" s="5">
        <v>10</v>
      </c>
      <c r="H5" s="5">
        <v>0</v>
      </c>
      <c r="I5" s="5">
        <v>25</v>
      </c>
      <c r="J5" s="5">
        <f t="shared" si="0"/>
        <v>-25</v>
      </c>
      <c r="K5" s="5" t="s">
        <v>125</v>
      </c>
      <c r="L5" s="5" t="s">
        <v>25</v>
      </c>
      <c r="M5" s="5" t="s">
        <v>644</v>
      </c>
      <c r="N5" s="6" t="s">
        <v>652</v>
      </c>
      <c r="O5" s="5"/>
      <c r="P5" s="5"/>
      <c r="Q5" s="5"/>
      <c r="R5">
        <v>1</v>
      </c>
      <c r="S5">
        <v>25</v>
      </c>
    </row>
    <row r="6" spans="1:19" x14ac:dyDescent="0.25">
      <c r="A6" s="5"/>
      <c r="B6" s="5" t="s">
        <v>19</v>
      </c>
      <c r="C6" s="5" t="s">
        <v>653</v>
      </c>
      <c r="D6" s="5" t="s">
        <v>654</v>
      </c>
      <c r="E6" s="5" t="s">
        <v>655</v>
      </c>
      <c r="F6" s="5" t="s">
        <v>163</v>
      </c>
      <c r="G6" s="5" t="s">
        <v>70</v>
      </c>
      <c r="H6" s="5">
        <v>715</v>
      </c>
      <c r="I6" s="5">
        <v>25</v>
      </c>
      <c r="J6" s="5">
        <f t="shared" si="0"/>
        <v>690</v>
      </c>
      <c r="K6" s="5" t="s">
        <v>125</v>
      </c>
      <c r="L6" s="5" t="s">
        <v>25</v>
      </c>
      <c r="M6" s="5" t="s">
        <v>644</v>
      </c>
      <c r="N6" s="5"/>
      <c r="O6" s="5"/>
      <c r="P6" s="5"/>
      <c r="Q6" s="5"/>
      <c r="R6">
        <v>1</v>
      </c>
    </row>
    <row r="7" spans="1:19" x14ac:dyDescent="0.25">
      <c r="A7" s="5"/>
      <c r="B7" s="5" t="s">
        <v>19</v>
      </c>
      <c r="C7" s="5" t="s">
        <v>656</v>
      </c>
      <c r="D7" s="5" t="s">
        <v>657</v>
      </c>
      <c r="E7" s="5" t="s">
        <v>658</v>
      </c>
      <c r="F7" s="5" t="s">
        <v>659</v>
      </c>
      <c r="G7" s="5" t="s">
        <v>151</v>
      </c>
      <c r="H7" s="5">
        <v>1060</v>
      </c>
      <c r="I7" s="5">
        <v>20</v>
      </c>
      <c r="J7" s="5">
        <f t="shared" si="0"/>
        <v>1040</v>
      </c>
      <c r="K7" s="5" t="s">
        <v>125</v>
      </c>
      <c r="L7" s="5" t="s">
        <v>25</v>
      </c>
      <c r="M7" s="5" t="s">
        <v>644</v>
      </c>
      <c r="N7" s="5"/>
      <c r="O7" s="5"/>
      <c r="P7" s="5"/>
      <c r="Q7" s="5"/>
      <c r="R7">
        <v>1</v>
      </c>
    </row>
    <row r="8" spans="1:19" x14ac:dyDescent="0.25">
      <c r="A8" s="5"/>
      <c r="B8" s="5" t="s">
        <v>19</v>
      </c>
      <c r="C8" s="5" t="s">
        <v>660</v>
      </c>
      <c r="D8" s="5" t="s">
        <v>661</v>
      </c>
      <c r="E8" s="5" t="s">
        <v>662</v>
      </c>
      <c r="F8" s="5" t="s">
        <v>97</v>
      </c>
      <c r="G8" s="5" t="s">
        <v>98</v>
      </c>
      <c r="H8" s="5">
        <v>1065</v>
      </c>
      <c r="I8" s="5">
        <v>25</v>
      </c>
      <c r="J8" s="5">
        <f t="shared" si="0"/>
        <v>1040</v>
      </c>
      <c r="K8" s="5" t="s">
        <v>125</v>
      </c>
      <c r="L8" s="5" t="s">
        <v>25</v>
      </c>
      <c r="M8" s="5" t="s">
        <v>644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663</v>
      </c>
      <c r="D9" s="5" t="s">
        <v>664</v>
      </c>
      <c r="E9" s="5">
        <v>19</v>
      </c>
      <c r="F9" s="5" t="s">
        <v>173</v>
      </c>
      <c r="G9" s="5" t="s">
        <v>98</v>
      </c>
      <c r="H9" s="5">
        <v>515</v>
      </c>
      <c r="I9" s="5">
        <v>25</v>
      </c>
      <c r="J9" s="5">
        <f t="shared" si="0"/>
        <v>490</v>
      </c>
      <c r="K9" s="5" t="s">
        <v>125</v>
      </c>
      <c r="L9" s="5" t="s">
        <v>25</v>
      </c>
      <c r="M9" s="5" t="s">
        <v>644</v>
      </c>
      <c r="N9" s="5"/>
      <c r="O9" s="5"/>
      <c r="P9" s="5"/>
      <c r="Q9" s="5"/>
      <c r="R9">
        <v>1</v>
      </c>
    </row>
    <row r="10" spans="1:19" x14ac:dyDescent="0.25">
      <c r="A10" s="5" t="s">
        <v>91</v>
      </c>
      <c r="B10" s="5" t="s">
        <v>19</v>
      </c>
      <c r="C10" s="5" t="s">
        <v>665</v>
      </c>
      <c r="D10" s="5"/>
      <c r="E10" s="5" t="s">
        <v>666</v>
      </c>
      <c r="F10" s="5" t="s">
        <v>667</v>
      </c>
      <c r="G10" s="5">
        <v>9</v>
      </c>
      <c r="H10" s="5">
        <v>35</v>
      </c>
      <c r="I10" s="5">
        <v>35</v>
      </c>
      <c r="J10" s="5">
        <f t="shared" si="0"/>
        <v>0</v>
      </c>
      <c r="K10" s="5" t="s">
        <v>120</v>
      </c>
      <c r="L10" s="5" t="s">
        <v>25</v>
      </c>
      <c r="M10" s="5" t="s">
        <v>644</v>
      </c>
      <c r="N10" s="5"/>
      <c r="O10" s="5"/>
      <c r="P10" s="5"/>
      <c r="Q10" s="5"/>
      <c r="R10">
        <v>1</v>
      </c>
    </row>
    <row r="11" spans="1:19" x14ac:dyDescent="0.25">
      <c r="A11" s="5" t="s">
        <v>91</v>
      </c>
      <c r="B11" s="5" t="s">
        <v>19</v>
      </c>
      <c r="C11" s="5" t="s">
        <v>668</v>
      </c>
      <c r="D11" s="5"/>
      <c r="E11" s="5" t="s">
        <v>669</v>
      </c>
      <c r="F11" s="5" t="s">
        <v>670</v>
      </c>
      <c r="G11" s="5">
        <v>9</v>
      </c>
      <c r="H11" s="5">
        <v>35</v>
      </c>
      <c r="I11" s="5">
        <v>35</v>
      </c>
      <c r="J11" s="5">
        <f t="shared" si="0"/>
        <v>0</v>
      </c>
      <c r="K11" s="5" t="s">
        <v>120</v>
      </c>
      <c r="L11" s="5" t="s">
        <v>25</v>
      </c>
      <c r="M11" s="5" t="s">
        <v>644</v>
      </c>
      <c r="N11" s="5"/>
      <c r="O11" s="5"/>
      <c r="P11" s="5"/>
      <c r="Q11" s="5"/>
      <c r="R11">
        <v>1</v>
      </c>
    </row>
    <row r="12" spans="1:19" x14ac:dyDescent="0.25">
      <c r="A12" s="5"/>
      <c r="B12" s="5" t="s">
        <v>19</v>
      </c>
      <c r="C12" s="5" t="s">
        <v>671</v>
      </c>
      <c r="D12" s="5" t="s">
        <v>672</v>
      </c>
      <c r="E12" s="5">
        <v>1</v>
      </c>
      <c r="F12" s="5" t="s">
        <v>243</v>
      </c>
      <c r="G12" s="5">
        <v>2</v>
      </c>
      <c r="H12" s="5">
        <v>0</v>
      </c>
      <c r="I12" s="5">
        <v>30</v>
      </c>
      <c r="J12" s="5">
        <f t="shared" si="0"/>
        <v>-30</v>
      </c>
      <c r="K12" s="5" t="s">
        <v>25</v>
      </c>
      <c r="L12" s="5" t="s">
        <v>25</v>
      </c>
      <c r="M12" s="5" t="s">
        <v>644</v>
      </c>
      <c r="N12" s="5"/>
      <c r="O12" s="5"/>
      <c r="P12" s="5"/>
      <c r="Q12" s="5"/>
      <c r="R12">
        <v>1</v>
      </c>
      <c r="S12">
        <v>30</v>
      </c>
    </row>
    <row r="13" spans="1:19" x14ac:dyDescent="0.25">
      <c r="A13" s="5"/>
      <c r="B13" s="5" t="s">
        <v>19</v>
      </c>
      <c r="C13" s="5" t="s">
        <v>673</v>
      </c>
      <c r="D13" s="5" t="s">
        <v>674</v>
      </c>
      <c r="E13" s="5" t="s">
        <v>675</v>
      </c>
      <c r="F13" s="5" t="s">
        <v>676</v>
      </c>
      <c r="G13" s="5" t="s">
        <v>58</v>
      </c>
      <c r="H13" s="5">
        <v>360</v>
      </c>
      <c r="I13" s="5">
        <v>20</v>
      </c>
      <c r="J13" s="5">
        <f t="shared" si="0"/>
        <v>340</v>
      </c>
      <c r="K13" s="5" t="s">
        <v>25</v>
      </c>
      <c r="L13" s="5" t="s">
        <v>25</v>
      </c>
      <c r="M13" s="5" t="s">
        <v>644</v>
      </c>
      <c r="N13" s="5"/>
      <c r="O13" s="5"/>
      <c r="P13" s="5"/>
      <c r="Q13" s="5"/>
      <c r="R13">
        <v>1</v>
      </c>
    </row>
    <row r="14" spans="1:19" x14ac:dyDescent="0.25">
      <c r="A14" s="20"/>
      <c r="B14" s="20" t="s">
        <v>19</v>
      </c>
      <c r="C14" s="20" t="s">
        <v>677</v>
      </c>
      <c r="D14" s="20" t="s">
        <v>678</v>
      </c>
      <c r="E14" s="20" t="s">
        <v>679</v>
      </c>
      <c r="F14" s="20" t="s">
        <v>670</v>
      </c>
      <c r="G14" s="20" t="s">
        <v>58</v>
      </c>
      <c r="H14" s="20">
        <v>20</v>
      </c>
      <c r="I14" s="20">
        <v>20</v>
      </c>
      <c r="J14" s="20">
        <f t="shared" si="0"/>
        <v>0</v>
      </c>
      <c r="K14" s="20" t="s">
        <v>25</v>
      </c>
      <c r="L14" s="20" t="s">
        <v>25</v>
      </c>
      <c r="M14" s="20" t="s">
        <v>644</v>
      </c>
      <c r="N14" s="20" t="s">
        <v>472</v>
      </c>
      <c r="O14" s="20"/>
      <c r="P14" s="20"/>
      <c r="Q14" s="20"/>
      <c r="R14">
        <v>1</v>
      </c>
    </row>
    <row r="15" spans="1:19" x14ac:dyDescent="0.25">
      <c r="A15" s="5"/>
      <c r="B15" s="5" t="s">
        <v>19</v>
      </c>
      <c r="C15" s="5" t="s">
        <v>680</v>
      </c>
      <c r="D15" s="5" t="s">
        <v>681</v>
      </c>
      <c r="E15" s="5">
        <v>13</v>
      </c>
      <c r="F15" s="5" t="s">
        <v>682</v>
      </c>
      <c r="G15" s="5" t="s">
        <v>70</v>
      </c>
      <c r="H15" s="5">
        <v>655</v>
      </c>
      <c r="I15" s="5">
        <v>25</v>
      </c>
      <c r="J15" s="5">
        <f t="shared" si="0"/>
        <v>630</v>
      </c>
      <c r="K15" s="5" t="s">
        <v>25</v>
      </c>
      <c r="L15" s="5" t="s">
        <v>25</v>
      </c>
      <c r="M15" s="5" t="s">
        <v>644</v>
      </c>
      <c r="N15" s="5"/>
      <c r="O15" s="5"/>
      <c r="P15" s="5"/>
      <c r="Q15" s="5"/>
      <c r="R15">
        <v>1</v>
      </c>
    </row>
    <row r="16" spans="1:19" x14ac:dyDescent="0.25">
      <c r="A16" s="5"/>
      <c r="B16" s="5" t="s">
        <v>19</v>
      </c>
      <c r="C16" s="5" t="s">
        <v>683</v>
      </c>
      <c r="D16" s="5" t="s">
        <v>684</v>
      </c>
      <c r="E16" s="5" t="s">
        <v>685</v>
      </c>
      <c r="F16" s="5" t="s">
        <v>686</v>
      </c>
      <c r="G16" s="5" t="s">
        <v>70</v>
      </c>
      <c r="H16" s="5">
        <v>515</v>
      </c>
      <c r="I16" s="5">
        <v>25</v>
      </c>
      <c r="J16" s="5">
        <f t="shared" si="0"/>
        <v>490</v>
      </c>
      <c r="K16" s="5" t="s">
        <v>25</v>
      </c>
      <c r="L16" s="5" t="s">
        <v>25</v>
      </c>
      <c r="M16" s="5" t="s">
        <v>644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687</v>
      </c>
      <c r="D17" s="5" t="s">
        <v>688</v>
      </c>
      <c r="E17" s="5" t="s">
        <v>689</v>
      </c>
      <c r="F17" s="5" t="s">
        <v>690</v>
      </c>
      <c r="G17" s="5" t="s">
        <v>103</v>
      </c>
      <c r="H17" s="5">
        <v>370</v>
      </c>
      <c r="I17" s="5">
        <v>0</v>
      </c>
      <c r="J17" s="5">
        <f t="shared" si="0"/>
        <v>370</v>
      </c>
      <c r="K17" s="5" t="s">
        <v>25</v>
      </c>
      <c r="L17" s="5" t="s">
        <v>25</v>
      </c>
      <c r="M17" s="5" t="s">
        <v>644</v>
      </c>
      <c r="N17" s="6" t="s">
        <v>350</v>
      </c>
      <c r="O17" s="5"/>
      <c r="P17" s="5"/>
      <c r="Q17" s="5"/>
      <c r="R17">
        <v>1</v>
      </c>
    </row>
    <row r="18" spans="1:19" x14ac:dyDescent="0.25">
      <c r="A18" s="5"/>
      <c r="B18" s="5" t="s">
        <v>19</v>
      </c>
      <c r="C18" s="5" t="s">
        <v>687</v>
      </c>
      <c r="D18" s="5" t="s">
        <v>691</v>
      </c>
      <c r="E18" s="5" t="s">
        <v>689</v>
      </c>
      <c r="F18" s="5" t="s">
        <v>690</v>
      </c>
      <c r="G18" s="5" t="s">
        <v>103</v>
      </c>
      <c r="H18" s="5">
        <v>450</v>
      </c>
      <c r="I18" s="5">
        <v>30</v>
      </c>
      <c r="J18" s="5">
        <f t="shared" si="0"/>
        <v>420</v>
      </c>
      <c r="K18" s="5" t="s">
        <v>25</v>
      </c>
      <c r="L18" s="5" t="s">
        <v>25</v>
      </c>
      <c r="M18" s="5" t="s">
        <v>644</v>
      </c>
      <c r="N18" s="5"/>
      <c r="O18" s="5"/>
      <c r="P18" s="5"/>
      <c r="Q18" s="5"/>
      <c r="R18">
        <v>1</v>
      </c>
    </row>
    <row r="19" spans="1:19" x14ac:dyDescent="0.25">
      <c r="A19" s="5"/>
      <c r="B19" s="5" t="s">
        <v>19</v>
      </c>
      <c r="C19" s="5" t="s">
        <v>692</v>
      </c>
      <c r="D19" s="5" t="s">
        <v>693</v>
      </c>
      <c r="E19" s="5">
        <v>148</v>
      </c>
      <c r="F19" s="5" t="s">
        <v>694</v>
      </c>
      <c r="G19" s="5" t="s">
        <v>103</v>
      </c>
      <c r="H19" s="5">
        <v>0</v>
      </c>
      <c r="I19" s="5">
        <v>30</v>
      </c>
      <c r="J19" s="5">
        <f t="shared" si="0"/>
        <v>-30</v>
      </c>
      <c r="K19" s="5" t="s">
        <v>25</v>
      </c>
      <c r="L19" s="5" t="s">
        <v>25</v>
      </c>
      <c r="M19" s="5" t="s">
        <v>644</v>
      </c>
      <c r="N19" s="5"/>
      <c r="O19" s="5"/>
      <c r="P19" s="5"/>
      <c r="Q19" s="5"/>
      <c r="R19">
        <v>1</v>
      </c>
      <c r="S19">
        <v>30</v>
      </c>
    </row>
    <row r="20" spans="1:19" x14ac:dyDescent="0.25">
      <c r="A20" s="5"/>
      <c r="B20" s="5" t="s">
        <v>19</v>
      </c>
      <c r="C20" s="5" t="s">
        <v>71</v>
      </c>
      <c r="D20" s="5" t="s">
        <v>695</v>
      </c>
      <c r="E20" s="5" t="s">
        <v>73</v>
      </c>
      <c r="F20" s="5" t="s">
        <v>74</v>
      </c>
      <c r="G20" s="5" t="s">
        <v>70</v>
      </c>
      <c r="H20" s="5">
        <v>715</v>
      </c>
      <c r="I20" s="5">
        <v>25</v>
      </c>
      <c r="J20" s="5">
        <f t="shared" si="0"/>
        <v>690</v>
      </c>
      <c r="K20" s="5" t="s">
        <v>25</v>
      </c>
      <c r="L20" s="5" t="s">
        <v>25</v>
      </c>
      <c r="M20" s="5" t="s">
        <v>644</v>
      </c>
      <c r="N20" s="5"/>
      <c r="O20" s="5"/>
      <c r="P20" s="5"/>
      <c r="Q20" s="5"/>
      <c r="R20">
        <v>1</v>
      </c>
    </row>
    <row r="21" spans="1:19" x14ac:dyDescent="0.25">
      <c r="A21" s="5"/>
      <c r="B21" s="5" t="s">
        <v>19</v>
      </c>
      <c r="C21" s="5" t="s">
        <v>696</v>
      </c>
      <c r="D21" s="5" t="s">
        <v>697</v>
      </c>
      <c r="E21" s="5" t="s">
        <v>698</v>
      </c>
      <c r="F21" s="5" t="s">
        <v>481</v>
      </c>
      <c r="G21" s="5" t="s">
        <v>70</v>
      </c>
      <c r="H21" s="5">
        <v>715</v>
      </c>
      <c r="I21" s="5">
        <v>25</v>
      </c>
      <c r="J21" s="5">
        <f t="shared" si="0"/>
        <v>690</v>
      </c>
      <c r="K21" s="5" t="s">
        <v>25</v>
      </c>
      <c r="L21" s="5" t="s">
        <v>25</v>
      </c>
      <c r="M21" s="5" t="s">
        <v>644</v>
      </c>
      <c r="N21" s="5"/>
      <c r="O21" s="5"/>
      <c r="P21" s="5"/>
      <c r="Q21" s="5"/>
      <c r="R21">
        <v>1</v>
      </c>
    </row>
    <row r="22" spans="1:19" x14ac:dyDescent="0.25">
      <c r="A22" s="5" t="s">
        <v>91</v>
      </c>
      <c r="B22" s="5" t="s">
        <v>19</v>
      </c>
      <c r="C22" s="5" t="s">
        <v>482</v>
      </c>
      <c r="D22" s="5"/>
      <c r="E22" s="5">
        <v>685</v>
      </c>
      <c r="F22" s="5" t="s">
        <v>93</v>
      </c>
      <c r="G22" s="5" t="s">
        <v>70</v>
      </c>
      <c r="H22" s="5">
        <v>30</v>
      </c>
      <c r="I22" s="5">
        <v>30</v>
      </c>
      <c r="J22" s="5">
        <f t="shared" si="0"/>
        <v>0</v>
      </c>
      <c r="K22" s="5" t="s">
        <v>25</v>
      </c>
      <c r="L22" s="5" t="s">
        <v>25</v>
      </c>
      <c r="M22" s="5" t="s">
        <v>644</v>
      </c>
      <c r="N22" s="5"/>
      <c r="O22" s="5"/>
      <c r="P22" s="5"/>
      <c r="Q22" s="5"/>
      <c r="R22">
        <v>1</v>
      </c>
    </row>
    <row r="23" spans="1:19" x14ac:dyDescent="0.25">
      <c r="A23" s="5"/>
      <c r="B23" s="5" t="s">
        <v>19</v>
      </c>
      <c r="C23" s="5" t="s">
        <v>699</v>
      </c>
      <c r="D23" s="5" t="s">
        <v>700</v>
      </c>
      <c r="E23" s="5" t="s">
        <v>701</v>
      </c>
      <c r="F23" s="5" t="s">
        <v>702</v>
      </c>
      <c r="G23" s="5">
        <v>6</v>
      </c>
      <c r="H23" s="5">
        <v>715</v>
      </c>
      <c r="I23" s="5">
        <v>25</v>
      </c>
      <c r="J23" s="5">
        <f t="shared" si="0"/>
        <v>690</v>
      </c>
      <c r="K23" s="5" t="s">
        <v>703</v>
      </c>
      <c r="L23" s="5" t="s">
        <v>25</v>
      </c>
      <c r="M23" s="5" t="s">
        <v>644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704</v>
      </c>
      <c r="D24" s="5" t="s">
        <v>705</v>
      </c>
      <c r="E24" s="5" t="s">
        <v>378</v>
      </c>
      <c r="F24" s="5" t="s">
        <v>583</v>
      </c>
      <c r="G24" s="5">
        <v>7</v>
      </c>
      <c r="H24" s="5">
        <v>30</v>
      </c>
      <c r="I24" s="5">
        <v>30</v>
      </c>
      <c r="J24" s="5">
        <f t="shared" si="0"/>
        <v>0</v>
      </c>
      <c r="K24" s="5" t="s">
        <v>703</v>
      </c>
      <c r="L24" s="5" t="s">
        <v>25</v>
      </c>
      <c r="M24" s="5" t="s">
        <v>644</v>
      </c>
      <c r="N24" s="6" t="s">
        <v>706</v>
      </c>
      <c r="O24" s="5"/>
      <c r="P24" s="5"/>
      <c r="Q24" s="5"/>
      <c r="R24">
        <v>1</v>
      </c>
    </row>
    <row r="25" spans="1:19" x14ac:dyDescent="0.25">
      <c r="A25" s="5"/>
      <c r="B25" s="5" t="s">
        <v>19</v>
      </c>
      <c r="C25" s="5" t="s">
        <v>707</v>
      </c>
      <c r="D25" s="5" t="s">
        <v>708</v>
      </c>
      <c r="E25" s="5" t="s">
        <v>326</v>
      </c>
      <c r="F25" s="5" t="s">
        <v>709</v>
      </c>
      <c r="G25" s="5">
        <v>7</v>
      </c>
      <c r="H25" s="5">
        <v>720</v>
      </c>
      <c r="I25" s="5">
        <v>30</v>
      </c>
      <c r="J25" s="5">
        <f t="shared" si="0"/>
        <v>690</v>
      </c>
      <c r="K25" s="5" t="s">
        <v>703</v>
      </c>
      <c r="L25" s="5" t="s">
        <v>25</v>
      </c>
      <c r="M25" s="5" t="s">
        <v>644</v>
      </c>
      <c r="N25" s="5"/>
      <c r="O25" s="5"/>
      <c r="P25" s="5"/>
      <c r="Q25" s="5"/>
      <c r="R25">
        <v>1</v>
      </c>
    </row>
    <row r="26" spans="1:19" x14ac:dyDescent="0.25">
      <c r="A26" s="5"/>
      <c r="B26" s="5" t="s">
        <v>19</v>
      </c>
      <c r="C26" s="5" t="s">
        <v>574</v>
      </c>
      <c r="D26" s="5" t="s">
        <v>710</v>
      </c>
      <c r="E26" s="5" t="s">
        <v>711</v>
      </c>
      <c r="F26" s="5" t="s">
        <v>577</v>
      </c>
      <c r="G26" s="5">
        <v>7</v>
      </c>
      <c r="H26" s="5">
        <v>320</v>
      </c>
      <c r="I26" s="5">
        <v>30</v>
      </c>
      <c r="J26" s="5">
        <f t="shared" si="0"/>
        <v>290</v>
      </c>
      <c r="K26" s="5" t="s">
        <v>703</v>
      </c>
      <c r="L26" s="5" t="s">
        <v>25</v>
      </c>
      <c r="M26" s="5" t="s">
        <v>644</v>
      </c>
      <c r="N26" s="5"/>
      <c r="O26" s="5"/>
      <c r="P26" s="5"/>
      <c r="Q26" s="5"/>
      <c r="R26">
        <v>1</v>
      </c>
    </row>
    <row r="27" spans="1:19" x14ac:dyDescent="0.25">
      <c r="A27" s="20"/>
      <c r="B27" s="20" t="s">
        <v>19</v>
      </c>
      <c r="C27" s="20" t="s">
        <v>712</v>
      </c>
      <c r="D27" s="20"/>
      <c r="E27" s="20" t="s">
        <v>713</v>
      </c>
      <c r="F27" s="20" t="s">
        <v>714</v>
      </c>
      <c r="G27" s="20">
        <v>7</v>
      </c>
      <c r="H27" s="20">
        <v>0</v>
      </c>
      <c r="I27" s="20">
        <v>30</v>
      </c>
      <c r="J27" s="20">
        <f t="shared" si="0"/>
        <v>-30</v>
      </c>
      <c r="K27" s="20" t="s">
        <v>703</v>
      </c>
      <c r="L27" s="20" t="s">
        <v>25</v>
      </c>
      <c r="M27" s="20" t="s">
        <v>644</v>
      </c>
      <c r="N27" s="20" t="s">
        <v>472</v>
      </c>
      <c r="O27" s="20"/>
      <c r="P27" s="20"/>
      <c r="Q27" s="20"/>
      <c r="R27">
        <v>1</v>
      </c>
      <c r="S27">
        <v>30</v>
      </c>
    </row>
    <row r="28" spans="1:19" x14ac:dyDescent="0.25">
      <c r="A28" s="5"/>
      <c r="B28" s="5" t="s">
        <v>19</v>
      </c>
      <c r="C28" s="5" t="s">
        <v>715</v>
      </c>
      <c r="D28" s="5" t="s">
        <v>716</v>
      </c>
      <c r="E28" s="5" t="s">
        <v>717</v>
      </c>
      <c r="F28" s="5" t="s">
        <v>604</v>
      </c>
      <c r="G28" s="5">
        <v>8</v>
      </c>
      <c r="H28" s="5">
        <v>720</v>
      </c>
      <c r="I28" s="5">
        <v>30</v>
      </c>
      <c r="J28" s="5">
        <f t="shared" si="0"/>
        <v>690</v>
      </c>
      <c r="K28" s="5" t="s">
        <v>703</v>
      </c>
      <c r="L28" s="5" t="s">
        <v>25</v>
      </c>
      <c r="M28" s="5" t="s">
        <v>644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718</v>
      </c>
      <c r="D29" s="5" t="s">
        <v>719</v>
      </c>
      <c r="E29" s="5">
        <v>1002</v>
      </c>
      <c r="F29" s="5" t="s">
        <v>212</v>
      </c>
      <c r="G29" s="5">
        <v>8</v>
      </c>
      <c r="H29" s="5">
        <v>850</v>
      </c>
      <c r="I29" s="5">
        <v>30</v>
      </c>
      <c r="J29" s="5">
        <f t="shared" si="0"/>
        <v>820</v>
      </c>
      <c r="K29" s="5" t="s">
        <v>703</v>
      </c>
      <c r="L29" s="5" t="s">
        <v>25</v>
      </c>
      <c r="M29" s="5" t="s">
        <v>644</v>
      </c>
      <c r="N29" s="5"/>
      <c r="O29" s="5"/>
      <c r="P29" s="5"/>
      <c r="Q29" s="5"/>
      <c r="R29">
        <v>1</v>
      </c>
    </row>
    <row r="30" spans="1:19" x14ac:dyDescent="0.25">
      <c r="A30" s="5"/>
      <c r="B30" s="5" t="s">
        <v>19</v>
      </c>
      <c r="C30" s="5" t="s">
        <v>720</v>
      </c>
      <c r="D30" s="5" t="s">
        <v>721</v>
      </c>
      <c r="E30" s="5" t="s">
        <v>722</v>
      </c>
      <c r="F30" s="5" t="s">
        <v>723</v>
      </c>
      <c r="G30" s="5">
        <v>9</v>
      </c>
      <c r="H30" s="5">
        <v>920</v>
      </c>
      <c r="I30" s="5">
        <v>30</v>
      </c>
      <c r="J30" s="5">
        <f t="shared" si="0"/>
        <v>890</v>
      </c>
      <c r="K30" s="5" t="s">
        <v>703</v>
      </c>
      <c r="L30" s="5" t="s">
        <v>25</v>
      </c>
      <c r="M30" s="5" t="s">
        <v>644</v>
      </c>
      <c r="N30" s="5"/>
      <c r="O30" s="5"/>
      <c r="P30" s="5"/>
      <c r="Q30" s="5"/>
      <c r="R30">
        <v>1</v>
      </c>
    </row>
    <row r="31" spans="1:19" x14ac:dyDescent="0.25">
      <c r="A31" s="5"/>
      <c r="B31" s="5" t="s">
        <v>19</v>
      </c>
      <c r="C31" s="5" t="s">
        <v>724</v>
      </c>
      <c r="D31" s="5" t="s">
        <v>725</v>
      </c>
      <c r="E31" s="5">
        <v>17</v>
      </c>
      <c r="F31" s="5" t="s">
        <v>246</v>
      </c>
      <c r="G31" s="5" t="s">
        <v>240</v>
      </c>
      <c r="H31" s="5">
        <v>610</v>
      </c>
      <c r="I31" s="5">
        <v>30</v>
      </c>
      <c r="J31" s="5">
        <f t="shared" si="0"/>
        <v>580</v>
      </c>
      <c r="K31" s="5" t="s">
        <v>703</v>
      </c>
      <c r="L31" s="5" t="s">
        <v>25</v>
      </c>
      <c r="M31" s="5" t="s">
        <v>644</v>
      </c>
      <c r="N31" s="5"/>
      <c r="O31" s="5"/>
      <c r="P31" s="5"/>
      <c r="Q31" s="5"/>
      <c r="R31">
        <v>1</v>
      </c>
    </row>
    <row r="32" spans="1:19" x14ac:dyDescent="0.25">
      <c r="A32" s="5"/>
      <c r="B32" s="5" t="s">
        <v>19</v>
      </c>
      <c r="C32" s="5" t="s">
        <v>244</v>
      </c>
      <c r="D32" s="5" t="s">
        <v>726</v>
      </c>
      <c r="E32" s="5">
        <v>17</v>
      </c>
      <c r="F32" s="5" t="s">
        <v>246</v>
      </c>
      <c r="G32" s="5" t="s">
        <v>240</v>
      </c>
      <c r="H32" s="5">
        <v>0</v>
      </c>
      <c r="I32" s="5">
        <v>30</v>
      </c>
      <c r="J32" s="5">
        <f t="shared" si="0"/>
        <v>-30</v>
      </c>
      <c r="K32" s="5" t="s">
        <v>703</v>
      </c>
      <c r="L32" s="5" t="s">
        <v>25</v>
      </c>
      <c r="M32" s="5" t="s">
        <v>644</v>
      </c>
      <c r="N32" s="5"/>
      <c r="O32" s="5"/>
      <c r="P32" s="5"/>
      <c r="Q32" s="5"/>
      <c r="R32">
        <v>1</v>
      </c>
      <c r="S32">
        <v>30</v>
      </c>
    </row>
    <row r="33" spans="1:20" x14ac:dyDescent="0.25">
      <c r="A33" s="5"/>
      <c r="B33" s="5" t="s">
        <v>19</v>
      </c>
      <c r="C33" s="5" t="s">
        <v>727</v>
      </c>
      <c r="D33" s="5" t="s">
        <v>728</v>
      </c>
      <c r="E33" s="5" t="s">
        <v>729</v>
      </c>
      <c r="F33" s="5" t="s">
        <v>618</v>
      </c>
      <c r="G33" s="5" t="s">
        <v>240</v>
      </c>
      <c r="H33" s="5">
        <v>590</v>
      </c>
      <c r="I33" s="5">
        <v>30</v>
      </c>
      <c r="J33" s="5">
        <f t="shared" si="0"/>
        <v>560</v>
      </c>
      <c r="K33" s="5" t="s">
        <v>703</v>
      </c>
      <c r="L33" s="5" t="s">
        <v>25</v>
      </c>
      <c r="M33" s="5" t="s">
        <v>644</v>
      </c>
      <c r="N33" s="5"/>
      <c r="O33" s="5"/>
      <c r="P33" s="5"/>
      <c r="Q33" s="5"/>
      <c r="R33">
        <v>1</v>
      </c>
    </row>
    <row r="34" spans="1:20" x14ac:dyDescent="0.25">
      <c r="A34" s="5"/>
      <c r="B34" s="5" t="s">
        <v>19</v>
      </c>
      <c r="C34" s="5" t="s">
        <v>730</v>
      </c>
      <c r="D34" s="5" t="s">
        <v>731</v>
      </c>
      <c r="E34" s="5" t="s">
        <v>732</v>
      </c>
      <c r="F34" s="5" t="s">
        <v>733</v>
      </c>
      <c r="G34" s="5" t="s">
        <v>98</v>
      </c>
      <c r="H34" s="5">
        <v>405</v>
      </c>
      <c r="I34" s="5">
        <v>25</v>
      </c>
      <c r="J34" s="5">
        <f t="shared" si="0"/>
        <v>380</v>
      </c>
      <c r="K34" s="5" t="s">
        <v>703</v>
      </c>
      <c r="L34" s="5" t="s">
        <v>25</v>
      </c>
      <c r="M34" s="5" t="s">
        <v>644</v>
      </c>
      <c r="N34" s="5"/>
      <c r="O34" s="5"/>
      <c r="P34" s="5"/>
      <c r="Q34" s="5"/>
      <c r="R34">
        <v>1</v>
      </c>
    </row>
    <row r="36" spans="1:20" x14ac:dyDescent="0.25">
      <c r="H36">
        <f t="shared" ref="H36:T36" si="1">SUBTOTAL(9,H3:H35)</f>
        <v>14595</v>
      </c>
      <c r="I36">
        <f t="shared" si="1"/>
        <v>850</v>
      </c>
      <c r="J36">
        <f t="shared" si="1"/>
        <v>13745</v>
      </c>
      <c r="K36">
        <f t="shared" si="1"/>
        <v>0</v>
      </c>
      <c r="L36">
        <f t="shared" si="1"/>
        <v>0</v>
      </c>
      <c r="M36">
        <f t="shared" si="1"/>
        <v>0</v>
      </c>
      <c r="N36">
        <f t="shared" si="1"/>
        <v>0</v>
      </c>
      <c r="O36">
        <f t="shared" si="1"/>
        <v>0</v>
      </c>
      <c r="P36">
        <f t="shared" si="1"/>
        <v>0</v>
      </c>
      <c r="Q36">
        <f t="shared" si="1"/>
        <v>0</v>
      </c>
      <c r="R36">
        <f t="shared" si="1"/>
        <v>32</v>
      </c>
      <c r="S36">
        <f t="shared" si="1"/>
        <v>145</v>
      </c>
      <c r="T36">
        <f t="shared" si="1"/>
        <v>0</v>
      </c>
    </row>
    <row r="37" spans="1:20" x14ac:dyDescent="0.25">
      <c r="J37">
        <v>-5668</v>
      </c>
      <c r="K37" t="s">
        <v>734</v>
      </c>
    </row>
    <row r="40" spans="1:20" ht="20.25" customHeight="1" x14ac:dyDescent="0.3">
      <c r="I40" s="7" t="s">
        <v>735</v>
      </c>
      <c r="J40" s="8" t="s">
        <v>313</v>
      </c>
      <c r="K40" s="9" t="s">
        <v>314</v>
      </c>
    </row>
    <row r="41" spans="1:20" ht="15.75" customHeight="1" x14ac:dyDescent="0.25">
      <c r="I41" s="10" t="s">
        <v>315</v>
      </c>
      <c r="J41" s="11">
        <f>SUM(J35:J39)</f>
        <v>8077</v>
      </c>
      <c r="K41" s="11">
        <f>R36</f>
        <v>32</v>
      </c>
    </row>
    <row r="42" spans="1:20" x14ac:dyDescent="0.25">
      <c r="I42" s="12" t="s">
        <v>316</v>
      </c>
      <c r="J42" s="13">
        <f>S36</f>
        <v>145</v>
      </c>
      <c r="K42" s="14"/>
    </row>
    <row r="43" spans="1:20" x14ac:dyDescent="0.25">
      <c r="I43" s="12" t="s">
        <v>317</v>
      </c>
      <c r="J43" s="13">
        <f>T35</f>
        <v>0</v>
      </c>
      <c r="K43" s="14"/>
    </row>
    <row r="44" spans="1:20" x14ac:dyDescent="0.25">
      <c r="I44" s="12" t="s">
        <v>318</v>
      </c>
      <c r="J44" s="13">
        <f>U35</f>
        <v>0</v>
      </c>
      <c r="K44" s="14"/>
    </row>
    <row r="45" spans="1:20" x14ac:dyDescent="0.25">
      <c r="I45" s="12" t="s">
        <v>319</v>
      </c>
      <c r="J45" s="13">
        <f>V35</f>
        <v>0</v>
      </c>
      <c r="K45" s="14"/>
    </row>
    <row r="46" spans="1:20" ht="15.75" customHeight="1" x14ac:dyDescent="0.25">
      <c r="I46" s="15" t="s">
        <v>320</v>
      </c>
      <c r="J46" s="16"/>
      <c r="K46" s="16"/>
    </row>
    <row r="47" spans="1:20" ht="15.75" customHeight="1" x14ac:dyDescent="0.25">
      <c r="I47" s="17" t="s">
        <v>321</v>
      </c>
      <c r="J47" s="16"/>
      <c r="K47" s="16"/>
    </row>
    <row r="48" spans="1:20" ht="21" customHeight="1" x14ac:dyDescent="0.35">
      <c r="I48" s="18" t="s">
        <v>322</v>
      </c>
      <c r="J48" s="19">
        <f>SUM(J41:J47)</f>
        <v>8222</v>
      </c>
      <c r="K48" s="19">
        <f>SUM(K41:K45)</f>
        <v>32</v>
      </c>
    </row>
    <row r="50" spans="1:13" x14ac:dyDescent="0.25">
      <c r="A50" t="s">
        <v>488</v>
      </c>
    </row>
    <row r="51" spans="1:13" s="4" customFormat="1" x14ac:dyDescent="0.25">
      <c r="A51" s="2" t="s">
        <v>19</v>
      </c>
      <c r="B51" s="2" t="s">
        <v>704</v>
      </c>
      <c r="C51" s="2" t="s">
        <v>705</v>
      </c>
      <c r="D51" s="2" t="s">
        <v>378</v>
      </c>
      <c r="E51" s="2" t="s">
        <v>583</v>
      </c>
      <c r="F51" s="2">
        <v>7</v>
      </c>
      <c r="G51" s="2">
        <v>880</v>
      </c>
      <c r="H51" s="2">
        <v>0</v>
      </c>
      <c r="I51" s="2">
        <f>G51-H51</f>
        <v>880</v>
      </c>
      <c r="J51" s="2" t="s">
        <v>703</v>
      </c>
      <c r="K51" s="2" t="s">
        <v>25</v>
      </c>
      <c r="L51" s="2" t="s">
        <v>644</v>
      </c>
      <c r="M51" s="3" t="s">
        <v>706</v>
      </c>
    </row>
    <row r="52" spans="1:13" x14ac:dyDescent="0.25">
      <c r="A52" s="2" t="s">
        <v>19</v>
      </c>
      <c r="B52" s="2" t="s">
        <v>648</v>
      </c>
      <c r="C52" s="2" t="s">
        <v>649</v>
      </c>
      <c r="D52" s="2" t="s">
        <v>650</v>
      </c>
      <c r="E52" s="2" t="s">
        <v>651</v>
      </c>
      <c r="F52" s="2">
        <v>10</v>
      </c>
      <c r="G52" s="2">
        <v>1325</v>
      </c>
      <c r="H52" s="2">
        <v>0</v>
      </c>
      <c r="I52" s="2">
        <f>G52-H52</f>
        <v>1325</v>
      </c>
      <c r="J52" s="2" t="s">
        <v>125</v>
      </c>
      <c r="K52" s="2" t="s">
        <v>25</v>
      </c>
      <c r="L52" s="2" t="s">
        <v>644</v>
      </c>
      <c r="M52" s="3" t="s">
        <v>652</v>
      </c>
    </row>
  </sheetData>
  <autoFilter ref="A2:Q34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DB09-9FDA-4D8A-A02A-E8809D13F947}">
  <dimension ref="A1:T79"/>
  <sheetViews>
    <sheetView topLeftCell="A43" workbookViewId="0">
      <selection activeCell="J68" sqref="J68"/>
    </sheetView>
  </sheetViews>
  <sheetFormatPr defaultRowHeight="15" x14ac:dyDescent="0.25"/>
  <sheetData>
    <row r="1" spans="1:19" x14ac:dyDescent="0.25">
      <c r="B1" t="s">
        <v>736</v>
      </c>
      <c r="C1" t="s">
        <v>737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x14ac:dyDescent="0.25">
      <c r="A3" s="5"/>
      <c r="B3" s="5" t="s">
        <v>19</v>
      </c>
      <c r="C3" s="5" t="s">
        <v>738</v>
      </c>
      <c r="D3" s="5" t="s">
        <v>739</v>
      </c>
      <c r="E3" s="5">
        <v>119</v>
      </c>
      <c r="F3" s="5" t="s">
        <v>334</v>
      </c>
      <c r="G3" s="5">
        <v>1</v>
      </c>
      <c r="H3" s="5">
        <v>710</v>
      </c>
      <c r="I3" s="5">
        <v>20</v>
      </c>
      <c r="J3" s="5">
        <f t="shared" ref="J3:J34" si="0">H3-I3</f>
        <v>690</v>
      </c>
      <c r="K3" s="5" t="s">
        <v>125</v>
      </c>
      <c r="L3" s="5" t="s">
        <v>25</v>
      </c>
      <c r="M3" s="5" t="s">
        <v>740</v>
      </c>
      <c r="N3" s="5"/>
      <c r="O3" s="5"/>
      <c r="P3" s="5"/>
      <c r="Q3" s="5"/>
      <c r="R3">
        <v>1</v>
      </c>
    </row>
    <row r="4" spans="1:19" x14ac:dyDescent="0.25">
      <c r="A4" s="5"/>
      <c r="B4" s="5" t="s">
        <v>19</v>
      </c>
      <c r="C4" s="5" t="s">
        <v>741</v>
      </c>
      <c r="D4" s="5" t="s">
        <v>742</v>
      </c>
      <c r="E4" s="5">
        <v>78</v>
      </c>
      <c r="F4" s="5" t="s">
        <v>743</v>
      </c>
      <c r="G4" s="5">
        <v>1</v>
      </c>
      <c r="H4" s="5">
        <v>780</v>
      </c>
      <c r="I4" s="5">
        <v>20</v>
      </c>
      <c r="J4" s="5">
        <f t="shared" si="0"/>
        <v>760</v>
      </c>
      <c r="K4" s="5" t="s">
        <v>125</v>
      </c>
      <c r="L4" s="5" t="s">
        <v>25</v>
      </c>
      <c r="M4" s="5" t="s">
        <v>740</v>
      </c>
      <c r="N4" s="5"/>
      <c r="O4" s="5"/>
      <c r="P4" s="5"/>
      <c r="Q4" s="5"/>
      <c r="R4">
        <v>1</v>
      </c>
    </row>
    <row r="5" spans="1:19" x14ac:dyDescent="0.25">
      <c r="A5" s="5"/>
      <c r="B5" s="5" t="s">
        <v>19</v>
      </c>
      <c r="C5" s="5" t="s">
        <v>744</v>
      </c>
      <c r="D5" s="5" t="s">
        <v>745</v>
      </c>
      <c r="E5" s="5" t="s">
        <v>746</v>
      </c>
      <c r="F5" s="5" t="s">
        <v>747</v>
      </c>
      <c r="G5" s="5">
        <v>3</v>
      </c>
      <c r="H5" s="5">
        <v>405</v>
      </c>
      <c r="I5" s="5">
        <v>25</v>
      </c>
      <c r="J5" s="5">
        <f t="shared" si="0"/>
        <v>380</v>
      </c>
      <c r="K5" s="5" t="s">
        <v>125</v>
      </c>
      <c r="L5" s="5" t="s">
        <v>25</v>
      </c>
      <c r="M5" s="5" t="s">
        <v>740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748</v>
      </c>
      <c r="D6" s="5" t="s">
        <v>749</v>
      </c>
      <c r="E6" s="5">
        <v>485</v>
      </c>
      <c r="F6" s="5" t="s">
        <v>750</v>
      </c>
      <c r="G6" s="5">
        <v>3</v>
      </c>
      <c r="H6" s="5">
        <v>865</v>
      </c>
      <c r="I6" s="5">
        <v>25</v>
      </c>
      <c r="J6" s="5">
        <f t="shared" si="0"/>
        <v>840</v>
      </c>
      <c r="K6" s="5" t="s">
        <v>125</v>
      </c>
      <c r="L6" s="5" t="s">
        <v>25</v>
      </c>
      <c r="M6" s="5" t="s">
        <v>740</v>
      </c>
      <c r="N6" s="5"/>
      <c r="O6" s="5"/>
      <c r="P6" s="5"/>
      <c r="Q6" s="5"/>
      <c r="R6">
        <v>1</v>
      </c>
    </row>
    <row r="7" spans="1:19" x14ac:dyDescent="0.25">
      <c r="A7" s="5"/>
      <c r="B7" s="5" t="s">
        <v>19</v>
      </c>
      <c r="C7" s="5" t="s">
        <v>751</v>
      </c>
      <c r="D7" s="5" t="s">
        <v>752</v>
      </c>
      <c r="E7" s="5" t="s">
        <v>753</v>
      </c>
      <c r="F7" s="5" t="s">
        <v>754</v>
      </c>
      <c r="G7" s="5">
        <v>3</v>
      </c>
      <c r="H7" s="5">
        <v>835</v>
      </c>
      <c r="I7" s="5">
        <v>25</v>
      </c>
      <c r="J7" s="5">
        <f t="shared" si="0"/>
        <v>810</v>
      </c>
      <c r="K7" s="5" t="s">
        <v>125</v>
      </c>
      <c r="L7" s="5" t="s">
        <v>25</v>
      </c>
      <c r="M7" s="5" t="s">
        <v>740</v>
      </c>
      <c r="N7" s="5"/>
      <c r="O7" s="5"/>
      <c r="P7" s="5"/>
      <c r="Q7" s="5"/>
      <c r="R7">
        <v>1</v>
      </c>
    </row>
    <row r="8" spans="1:19" x14ac:dyDescent="0.25">
      <c r="A8" s="5"/>
      <c r="B8" s="5" t="s">
        <v>19</v>
      </c>
      <c r="C8" s="5" t="s">
        <v>755</v>
      </c>
      <c r="D8" s="5" t="s">
        <v>756</v>
      </c>
      <c r="E8" s="5">
        <v>101</v>
      </c>
      <c r="F8" s="5" t="s">
        <v>757</v>
      </c>
      <c r="G8" s="5">
        <v>5</v>
      </c>
      <c r="H8" s="5">
        <v>515</v>
      </c>
      <c r="I8" s="5">
        <v>25</v>
      </c>
      <c r="J8" s="5">
        <f t="shared" si="0"/>
        <v>490</v>
      </c>
      <c r="K8" s="5" t="s">
        <v>125</v>
      </c>
      <c r="L8" s="5" t="s">
        <v>25</v>
      </c>
      <c r="M8" s="5" t="s">
        <v>740</v>
      </c>
      <c r="N8" s="5"/>
      <c r="O8" s="5"/>
      <c r="P8" s="5"/>
      <c r="Q8" s="5"/>
      <c r="R8">
        <v>1</v>
      </c>
    </row>
    <row r="9" spans="1:19" x14ac:dyDescent="0.25">
      <c r="A9" s="5" t="s">
        <v>91</v>
      </c>
      <c r="B9" s="5" t="s">
        <v>19</v>
      </c>
      <c r="C9" s="5"/>
      <c r="D9" s="5"/>
      <c r="E9" s="5" t="s">
        <v>758</v>
      </c>
      <c r="F9" s="5" t="s">
        <v>759</v>
      </c>
      <c r="G9" s="5">
        <v>5</v>
      </c>
      <c r="H9" s="5">
        <v>0</v>
      </c>
      <c r="I9" s="5">
        <v>30</v>
      </c>
      <c r="J9" s="5">
        <f t="shared" si="0"/>
        <v>-30</v>
      </c>
      <c r="K9" s="5" t="s">
        <v>125</v>
      </c>
      <c r="L9" s="5" t="s">
        <v>25</v>
      </c>
      <c r="M9" s="5" t="s">
        <v>740</v>
      </c>
      <c r="N9" s="5"/>
      <c r="O9" s="5"/>
      <c r="P9" s="5"/>
      <c r="Q9" s="5"/>
      <c r="R9">
        <v>1</v>
      </c>
      <c r="S9">
        <v>30</v>
      </c>
    </row>
    <row r="10" spans="1:19" x14ac:dyDescent="0.25">
      <c r="A10" s="5"/>
      <c r="B10" s="5" t="s">
        <v>19</v>
      </c>
      <c r="C10" s="5" t="s">
        <v>760</v>
      </c>
      <c r="D10" s="5" t="s">
        <v>761</v>
      </c>
      <c r="E10" s="5">
        <v>46</v>
      </c>
      <c r="F10" s="5" t="s">
        <v>357</v>
      </c>
      <c r="G10" s="5">
        <v>5</v>
      </c>
      <c r="H10" s="5">
        <v>775</v>
      </c>
      <c r="I10" s="5">
        <v>25</v>
      </c>
      <c r="J10" s="5">
        <f t="shared" si="0"/>
        <v>750</v>
      </c>
      <c r="K10" s="5" t="s">
        <v>125</v>
      </c>
      <c r="L10" s="5" t="s">
        <v>25</v>
      </c>
      <c r="M10" s="5" t="s">
        <v>740</v>
      </c>
      <c r="N10" s="5"/>
      <c r="O10" s="5"/>
      <c r="P10" s="5"/>
      <c r="Q10" s="5"/>
      <c r="R10">
        <v>1</v>
      </c>
    </row>
    <row r="11" spans="1:19" x14ac:dyDescent="0.25">
      <c r="A11" s="5"/>
      <c r="B11" s="5" t="s">
        <v>19</v>
      </c>
      <c r="C11" s="5" t="s">
        <v>762</v>
      </c>
      <c r="D11" s="5" t="s">
        <v>763</v>
      </c>
      <c r="E11" s="5" t="s">
        <v>764</v>
      </c>
      <c r="F11" s="5" t="s">
        <v>647</v>
      </c>
      <c r="G11" s="5">
        <v>10</v>
      </c>
      <c r="H11" s="5">
        <v>855</v>
      </c>
      <c r="I11" s="5">
        <v>25</v>
      </c>
      <c r="J11" s="5">
        <f t="shared" si="0"/>
        <v>830</v>
      </c>
      <c r="K11" s="5" t="s">
        <v>125</v>
      </c>
      <c r="L11" s="5" t="s">
        <v>25</v>
      </c>
      <c r="M11" s="5" t="s">
        <v>740</v>
      </c>
      <c r="N11" s="5"/>
      <c r="O11" s="5"/>
      <c r="P11" s="5"/>
      <c r="Q11" s="5"/>
      <c r="R11">
        <v>1</v>
      </c>
    </row>
    <row r="12" spans="1:19" x14ac:dyDescent="0.25">
      <c r="A12" s="5"/>
      <c r="B12" s="5" t="s">
        <v>19</v>
      </c>
      <c r="C12" s="5" t="s">
        <v>765</v>
      </c>
      <c r="D12" s="5" t="s">
        <v>766</v>
      </c>
      <c r="E12" s="5">
        <v>258</v>
      </c>
      <c r="F12" s="5" t="s">
        <v>767</v>
      </c>
      <c r="G12" s="5">
        <v>10</v>
      </c>
      <c r="H12" s="5">
        <v>0</v>
      </c>
      <c r="I12" s="5">
        <v>25</v>
      </c>
      <c r="J12" s="5">
        <f t="shared" si="0"/>
        <v>-25</v>
      </c>
      <c r="K12" s="5" t="s">
        <v>125</v>
      </c>
      <c r="L12" s="5" t="s">
        <v>25</v>
      </c>
      <c r="M12" s="5" t="s">
        <v>740</v>
      </c>
      <c r="N12" s="6" t="s">
        <v>768</v>
      </c>
      <c r="O12" s="5"/>
      <c r="P12" s="5"/>
      <c r="Q12" s="5"/>
      <c r="R12">
        <v>1</v>
      </c>
      <c r="S12">
        <v>25</v>
      </c>
    </row>
    <row r="13" spans="1:19" x14ac:dyDescent="0.25">
      <c r="A13" s="5"/>
      <c r="B13" s="5" t="s">
        <v>19</v>
      </c>
      <c r="C13" s="5" t="s">
        <v>769</v>
      </c>
      <c r="D13" s="5" t="s">
        <v>770</v>
      </c>
      <c r="E13" s="5">
        <v>43</v>
      </c>
      <c r="F13" s="5" t="s">
        <v>750</v>
      </c>
      <c r="G13" s="5" t="s">
        <v>151</v>
      </c>
      <c r="H13" s="5">
        <v>1510</v>
      </c>
      <c r="I13" s="5">
        <v>20</v>
      </c>
      <c r="J13" s="5">
        <f t="shared" si="0"/>
        <v>1490</v>
      </c>
      <c r="K13" s="5" t="s">
        <v>125</v>
      </c>
      <c r="L13" s="5" t="s">
        <v>25</v>
      </c>
      <c r="M13" s="5" t="s">
        <v>740</v>
      </c>
      <c r="N13" s="5"/>
      <c r="O13" s="5"/>
      <c r="P13" s="5"/>
      <c r="Q13" s="5"/>
      <c r="R13">
        <v>1</v>
      </c>
    </row>
    <row r="14" spans="1:19" x14ac:dyDescent="0.25">
      <c r="A14" s="5"/>
      <c r="B14" s="5" t="s">
        <v>19</v>
      </c>
      <c r="C14" s="5" t="s">
        <v>656</v>
      </c>
      <c r="D14" s="5" t="s">
        <v>771</v>
      </c>
      <c r="E14" s="5" t="s">
        <v>658</v>
      </c>
      <c r="F14" s="5" t="s">
        <v>659</v>
      </c>
      <c r="G14" s="5" t="s">
        <v>151</v>
      </c>
      <c r="H14" s="5">
        <v>710</v>
      </c>
      <c r="I14" s="5">
        <v>20</v>
      </c>
      <c r="J14" s="5">
        <f t="shared" si="0"/>
        <v>690</v>
      </c>
      <c r="K14" s="5" t="s">
        <v>125</v>
      </c>
      <c r="L14" s="5" t="s">
        <v>25</v>
      </c>
      <c r="M14" s="5" t="s">
        <v>740</v>
      </c>
      <c r="N14" s="5"/>
      <c r="O14" s="5"/>
      <c r="P14" s="5"/>
      <c r="Q14" s="5"/>
      <c r="R14">
        <v>1</v>
      </c>
    </row>
    <row r="15" spans="1:19" x14ac:dyDescent="0.25">
      <c r="A15" s="20"/>
      <c r="B15" s="20" t="s">
        <v>19</v>
      </c>
      <c r="C15" s="20" t="s">
        <v>772</v>
      </c>
      <c r="D15" s="20" t="s">
        <v>773</v>
      </c>
      <c r="E15" s="20" t="s">
        <v>774</v>
      </c>
      <c r="F15" s="20" t="s">
        <v>775</v>
      </c>
      <c r="G15" s="20" t="s">
        <v>98</v>
      </c>
      <c r="H15" s="20">
        <v>2340</v>
      </c>
      <c r="I15" s="20">
        <v>30</v>
      </c>
      <c r="J15" s="20">
        <f t="shared" si="0"/>
        <v>2310</v>
      </c>
      <c r="K15" s="20" t="s">
        <v>125</v>
      </c>
      <c r="L15" s="20" t="s">
        <v>25</v>
      </c>
      <c r="M15" s="20" t="s">
        <v>740</v>
      </c>
      <c r="N15" s="20" t="s">
        <v>498</v>
      </c>
      <c r="O15" s="20"/>
      <c r="P15" s="20"/>
      <c r="Q15" s="20"/>
      <c r="R15">
        <v>1</v>
      </c>
      <c r="S15">
        <v>30</v>
      </c>
    </row>
    <row r="16" spans="1:19" x14ac:dyDescent="0.25">
      <c r="A16" s="5"/>
      <c r="B16" s="5" t="s">
        <v>19</v>
      </c>
      <c r="C16" s="5" t="s">
        <v>776</v>
      </c>
      <c r="D16" s="5" t="s">
        <v>777</v>
      </c>
      <c r="E16" s="5">
        <v>30</v>
      </c>
      <c r="F16" s="5" t="s">
        <v>778</v>
      </c>
      <c r="G16" s="5" t="s">
        <v>98</v>
      </c>
      <c r="H16" s="5">
        <v>0</v>
      </c>
      <c r="I16" s="5">
        <v>25</v>
      </c>
      <c r="J16" s="5">
        <f t="shared" si="0"/>
        <v>-25</v>
      </c>
      <c r="K16" s="5" t="s">
        <v>125</v>
      </c>
      <c r="L16" s="5" t="s">
        <v>25</v>
      </c>
      <c r="M16" s="5" t="s">
        <v>740</v>
      </c>
      <c r="N16" s="5"/>
      <c r="O16" s="5"/>
      <c r="P16" s="5"/>
      <c r="Q16" s="5"/>
      <c r="R16">
        <v>1</v>
      </c>
      <c r="S16">
        <v>25</v>
      </c>
    </row>
    <row r="17" spans="1:18" x14ac:dyDescent="0.25">
      <c r="A17" s="5" t="s">
        <v>91</v>
      </c>
      <c r="B17" s="5" t="s">
        <v>19</v>
      </c>
      <c r="C17" s="5" t="s">
        <v>779</v>
      </c>
      <c r="D17" s="5"/>
      <c r="E17" s="5" t="s">
        <v>662</v>
      </c>
      <c r="F17" s="5" t="s">
        <v>780</v>
      </c>
      <c r="G17" s="5" t="s">
        <v>98</v>
      </c>
      <c r="H17" s="5">
        <v>30</v>
      </c>
      <c r="I17" s="5">
        <v>30</v>
      </c>
      <c r="J17" s="5">
        <f t="shared" si="0"/>
        <v>0</v>
      </c>
      <c r="K17" s="5" t="s">
        <v>125</v>
      </c>
      <c r="L17" s="5" t="s">
        <v>25</v>
      </c>
      <c r="M17" s="5" t="s">
        <v>740</v>
      </c>
      <c r="N17" s="5"/>
      <c r="O17" s="5"/>
      <c r="P17" s="5"/>
      <c r="Q17" s="5"/>
      <c r="R17">
        <v>1</v>
      </c>
    </row>
    <row r="18" spans="1:18" x14ac:dyDescent="0.25">
      <c r="A18" s="5"/>
      <c r="B18" s="5" t="s">
        <v>19</v>
      </c>
      <c r="C18" s="5" t="s">
        <v>781</v>
      </c>
      <c r="D18" s="5" t="s">
        <v>782</v>
      </c>
      <c r="E18" s="5">
        <v>17</v>
      </c>
      <c r="F18" s="5" t="s">
        <v>783</v>
      </c>
      <c r="G18" s="5" t="s">
        <v>98</v>
      </c>
      <c r="H18" s="5">
        <v>915</v>
      </c>
      <c r="I18" s="5">
        <v>25</v>
      </c>
      <c r="J18" s="5">
        <f t="shared" si="0"/>
        <v>890</v>
      </c>
      <c r="K18" s="5" t="s">
        <v>125</v>
      </c>
      <c r="L18" s="5" t="s">
        <v>25</v>
      </c>
      <c r="M18" s="5" t="s">
        <v>740</v>
      </c>
      <c r="N18" s="5"/>
      <c r="O18" s="5"/>
      <c r="P18" s="5"/>
      <c r="Q18" s="5"/>
      <c r="R18">
        <v>1</v>
      </c>
    </row>
    <row r="19" spans="1:18" x14ac:dyDescent="0.25">
      <c r="A19" s="5" t="s">
        <v>91</v>
      </c>
      <c r="B19" s="5" t="s">
        <v>19</v>
      </c>
      <c r="C19" s="5" t="s">
        <v>171</v>
      </c>
      <c r="D19" s="5"/>
      <c r="E19" s="5" t="s">
        <v>172</v>
      </c>
      <c r="F19" s="5" t="s">
        <v>173</v>
      </c>
      <c r="G19" s="5" t="s">
        <v>98</v>
      </c>
      <c r="H19" s="5">
        <v>30</v>
      </c>
      <c r="I19" s="5">
        <v>30</v>
      </c>
      <c r="J19" s="5">
        <f t="shared" si="0"/>
        <v>0</v>
      </c>
      <c r="K19" s="5" t="s">
        <v>125</v>
      </c>
      <c r="L19" s="5" t="s">
        <v>25</v>
      </c>
      <c r="M19" s="5" t="s">
        <v>740</v>
      </c>
      <c r="N19" s="5"/>
      <c r="O19" s="5"/>
      <c r="P19" s="5"/>
      <c r="Q19" s="5"/>
      <c r="R19">
        <v>1</v>
      </c>
    </row>
    <row r="20" spans="1:18" x14ac:dyDescent="0.25">
      <c r="A20" s="5" t="s">
        <v>91</v>
      </c>
      <c r="B20" s="5" t="s">
        <v>19</v>
      </c>
      <c r="C20" s="5" t="s">
        <v>622</v>
      </c>
      <c r="D20" s="5"/>
      <c r="E20" s="5">
        <v>40</v>
      </c>
      <c r="F20" s="5" t="s">
        <v>784</v>
      </c>
      <c r="G20" s="5">
        <v>6</v>
      </c>
      <c r="H20" s="5">
        <v>770</v>
      </c>
      <c r="I20" s="5">
        <v>30</v>
      </c>
      <c r="J20" s="5">
        <f t="shared" si="0"/>
        <v>740</v>
      </c>
      <c r="K20" s="5" t="s">
        <v>785</v>
      </c>
      <c r="L20" s="5" t="s">
        <v>25</v>
      </c>
      <c r="M20" s="5" t="s">
        <v>740</v>
      </c>
      <c r="N20" s="5"/>
      <c r="O20" s="5"/>
      <c r="P20" s="5"/>
      <c r="Q20" s="5"/>
      <c r="R20">
        <v>1</v>
      </c>
    </row>
    <row r="21" spans="1:18" x14ac:dyDescent="0.25">
      <c r="A21" s="5"/>
      <c r="B21" s="5" t="s">
        <v>19</v>
      </c>
      <c r="C21" s="5" t="s">
        <v>786</v>
      </c>
      <c r="D21" s="5" t="s">
        <v>787</v>
      </c>
      <c r="E21" s="5">
        <v>56</v>
      </c>
      <c r="F21" s="5" t="s">
        <v>788</v>
      </c>
      <c r="G21" s="5">
        <v>7</v>
      </c>
      <c r="H21" s="5">
        <v>520</v>
      </c>
      <c r="I21" s="5">
        <v>30</v>
      </c>
      <c r="J21" s="5">
        <f t="shared" si="0"/>
        <v>490</v>
      </c>
      <c r="K21" s="5" t="s">
        <v>785</v>
      </c>
      <c r="L21" s="5" t="s">
        <v>25</v>
      </c>
      <c r="M21" s="5" t="s">
        <v>740</v>
      </c>
      <c r="N21" s="5"/>
      <c r="O21" s="5"/>
      <c r="P21" s="5"/>
      <c r="Q21" s="5"/>
      <c r="R21">
        <v>1</v>
      </c>
    </row>
    <row r="22" spans="1:18" x14ac:dyDescent="0.25">
      <c r="A22" s="5"/>
      <c r="B22" s="5" t="s">
        <v>19</v>
      </c>
      <c r="C22" s="5" t="s">
        <v>789</v>
      </c>
      <c r="D22" s="5" t="s">
        <v>790</v>
      </c>
      <c r="E22" s="5">
        <v>20</v>
      </c>
      <c r="F22" s="5" t="s">
        <v>791</v>
      </c>
      <c r="G22" s="5">
        <v>7</v>
      </c>
      <c r="H22" s="5">
        <v>410</v>
      </c>
      <c r="I22" s="5">
        <v>30</v>
      </c>
      <c r="J22" s="5">
        <f t="shared" si="0"/>
        <v>380</v>
      </c>
      <c r="K22" s="5" t="s">
        <v>785</v>
      </c>
      <c r="L22" s="5" t="s">
        <v>25</v>
      </c>
      <c r="M22" s="5" t="s">
        <v>740</v>
      </c>
      <c r="N22" s="5"/>
      <c r="O22" s="5"/>
      <c r="P22" s="5"/>
      <c r="Q22" s="5"/>
      <c r="R22">
        <v>1</v>
      </c>
    </row>
    <row r="23" spans="1:18" s="4" customFormat="1" x14ac:dyDescent="0.25">
      <c r="A23" s="5"/>
      <c r="B23" s="5" t="s">
        <v>19</v>
      </c>
      <c r="C23" s="5" t="s">
        <v>792</v>
      </c>
      <c r="D23" s="5" t="s">
        <v>793</v>
      </c>
      <c r="E23" s="5">
        <v>33</v>
      </c>
      <c r="F23" s="5" t="s">
        <v>587</v>
      </c>
      <c r="G23" s="5">
        <v>7</v>
      </c>
      <c r="H23" s="5">
        <v>850</v>
      </c>
      <c r="I23" s="5">
        <v>30</v>
      </c>
      <c r="J23" s="5">
        <f t="shared" si="0"/>
        <v>820</v>
      </c>
      <c r="K23" s="5" t="s">
        <v>785</v>
      </c>
      <c r="L23" s="5" t="s">
        <v>25</v>
      </c>
      <c r="M23" s="5" t="s">
        <v>740</v>
      </c>
      <c r="N23" s="5"/>
      <c r="O23" s="5"/>
      <c r="P23" s="5"/>
      <c r="Q23" s="5"/>
      <c r="R23" s="4">
        <v>1</v>
      </c>
    </row>
    <row r="24" spans="1:18" x14ac:dyDescent="0.25">
      <c r="A24" s="5"/>
      <c r="B24" s="5" t="s">
        <v>19</v>
      </c>
      <c r="C24" s="5" t="s">
        <v>794</v>
      </c>
      <c r="D24" s="5" t="s">
        <v>795</v>
      </c>
      <c r="E24" s="5">
        <v>33</v>
      </c>
      <c r="F24" s="5" t="s">
        <v>587</v>
      </c>
      <c r="G24" s="5">
        <v>7</v>
      </c>
      <c r="H24" s="5">
        <v>850</v>
      </c>
      <c r="I24" s="5">
        <v>30</v>
      </c>
      <c r="J24" s="5">
        <f t="shared" si="0"/>
        <v>820</v>
      </c>
      <c r="K24" s="5" t="s">
        <v>785</v>
      </c>
      <c r="L24" s="5" t="s">
        <v>25</v>
      </c>
      <c r="M24" s="5" t="s">
        <v>740</v>
      </c>
      <c r="N24" s="5"/>
      <c r="O24" s="5"/>
      <c r="P24" s="5"/>
      <c r="Q24" s="5"/>
      <c r="R24">
        <v>1</v>
      </c>
    </row>
    <row r="25" spans="1:18" x14ac:dyDescent="0.25">
      <c r="A25" s="5"/>
      <c r="B25" s="5" t="s">
        <v>19</v>
      </c>
      <c r="C25" s="5" t="s">
        <v>796</v>
      </c>
      <c r="D25" s="5" t="s">
        <v>797</v>
      </c>
      <c r="E25" s="5">
        <v>469</v>
      </c>
      <c r="F25" s="5" t="s">
        <v>587</v>
      </c>
      <c r="G25" s="5">
        <v>7</v>
      </c>
      <c r="H25" s="5">
        <v>860</v>
      </c>
      <c r="I25" s="5">
        <v>30</v>
      </c>
      <c r="J25" s="5">
        <f t="shared" si="0"/>
        <v>830</v>
      </c>
      <c r="K25" s="5" t="s">
        <v>785</v>
      </c>
      <c r="L25" s="5" t="s">
        <v>25</v>
      </c>
      <c r="M25" s="5" t="s">
        <v>740</v>
      </c>
      <c r="N25" s="5"/>
      <c r="O25" s="5"/>
      <c r="P25" s="5"/>
      <c r="Q25" s="5"/>
      <c r="R25">
        <v>1</v>
      </c>
    </row>
    <row r="26" spans="1:18" x14ac:dyDescent="0.25">
      <c r="A26" s="5"/>
      <c r="B26" s="5" t="s">
        <v>19</v>
      </c>
      <c r="C26" s="5" t="s">
        <v>798</v>
      </c>
      <c r="D26" s="5" t="s">
        <v>799</v>
      </c>
      <c r="E26" s="5" t="s">
        <v>800</v>
      </c>
      <c r="F26" s="5" t="s">
        <v>801</v>
      </c>
      <c r="G26" s="5">
        <v>7</v>
      </c>
      <c r="H26" s="5">
        <v>1990</v>
      </c>
      <c r="I26" s="5">
        <v>30</v>
      </c>
      <c r="J26" s="5">
        <f t="shared" si="0"/>
        <v>1960</v>
      </c>
      <c r="K26" s="5" t="s">
        <v>785</v>
      </c>
      <c r="L26" s="5" t="s">
        <v>25</v>
      </c>
      <c r="M26" s="5" t="s">
        <v>740</v>
      </c>
      <c r="N26" s="5"/>
      <c r="O26" s="5"/>
      <c r="P26" s="5"/>
      <c r="Q26" s="5"/>
      <c r="R26">
        <v>1</v>
      </c>
    </row>
    <row r="27" spans="1:18" x14ac:dyDescent="0.25">
      <c r="A27" s="5"/>
      <c r="B27" s="5" t="s">
        <v>19</v>
      </c>
      <c r="C27" s="5" t="s">
        <v>802</v>
      </c>
      <c r="D27" s="5" t="s">
        <v>803</v>
      </c>
      <c r="E27" s="5" t="s">
        <v>804</v>
      </c>
      <c r="F27" s="5" t="s">
        <v>805</v>
      </c>
      <c r="G27" s="5">
        <v>7</v>
      </c>
      <c r="H27" s="5">
        <v>850</v>
      </c>
      <c r="I27" s="5">
        <v>30</v>
      </c>
      <c r="J27" s="5">
        <f t="shared" si="0"/>
        <v>820</v>
      </c>
      <c r="K27" s="5" t="s">
        <v>785</v>
      </c>
      <c r="L27" s="5" t="s">
        <v>25</v>
      </c>
      <c r="M27" s="5" t="s">
        <v>740</v>
      </c>
      <c r="N27" s="5"/>
      <c r="O27" s="5"/>
      <c r="P27" s="5"/>
      <c r="Q27" s="5"/>
      <c r="R27">
        <v>1</v>
      </c>
    </row>
    <row r="28" spans="1:18" x14ac:dyDescent="0.25">
      <c r="A28" s="5"/>
      <c r="B28" s="5" t="s">
        <v>19</v>
      </c>
      <c r="C28" s="5" t="s">
        <v>806</v>
      </c>
      <c r="D28" s="5" t="s">
        <v>807</v>
      </c>
      <c r="E28" s="5" t="s">
        <v>808</v>
      </c>
      <c r="F28" s="5" t="s">
        <v>809</v>
      </c>
      <c r="G28" s="5">
        <v>8</v>
      </c>
      <c r="H28" s="5">
        <v>515</v>
      </c>
      <c r="I28" s="5">
        <v>25</v>
      </c>
      <c r="J28" s="5">
        <f t="shared" si="0"/>
        <v>490</v>
      </c>
      <c r="K28" s="5" t="s">
        <v>785</v>
      </c>
      <c r="L28" s="5" t="s">
        <v>25</v>
      </c>
      <c r="M28" s="5" t="s">
        <v>740</v>
      </c>
      <c r="N28" s="5"/>
      <c r="O28" s="5"/>
      <c r="P28" s="5"/>
      <c r="Q28" s="5"/>
      <c r="R28">
        <v>1</v>
      </c>
    </row>
    <row r="29" spans="1:18" x14ac:dyDescent="0.25">
      <c r="A29" s="5"/>
      <c r="B29" s="5" t="s">
        <v>19</v>
      </c>
      <c r="C29" s="5" t="s">
        <v>810</v>
      </c>
      <c r="D29" s="5" t="s">
        <v>811</v>
      </c>
      <c r="E29" s="5" t="s">
        <v>812</v>
      </c>
      <c r="F29" s="5" t="s">
        <v>397</v>
      </c>
      <c r="G29" s="5">
        <v>8</v>
      </c>
      <c r="H29" s="5">
        <v>765</v>
      </c>
      <c r="I29" s="5">
        <v>25</v>
      </c>
      <c r="J29" s="5">
        <f t="shared" si="0"/>
        <v>740</v>
      </c>
      <c r="K29" s="5" t="s">
        <v>785</v>
      </c>
      <c r="L29" s="5" t="s">
        <v>25</v>
      </c>
      <c r="M29" s="5" t="s">
        <v>740</v>
      </c>
      <c r="N29" s="5"/>
      <c r="O29" s="5"/>
      <c r="P29" s="5"/>
      <c r="Q29" s="5"/>
      <c r="R29">
        <v>1</v>
      </c>
    </row>
    <row r="30" spans="1:18" x14ac:dyDescent="0.25">
      <c r="A30" s="5"/>
      <c r="B30" s="5" t="s">
        <v>19</v>
      </c>
      <c r="C30" s="5" t="s">
        <v>813</v>
      </c>
      <c r="D30" s="5" t="s">
        <v>814</v>
      </c>
      <c r="E30" s="5" t="s">
        <v>815</v>
      </c>
      <c r="F30" s="5" t="s">
        <v>816</v>
      </c>
      <c r="G30" s="5">
        <v>12</v>
      </c>
      <c r="H30" s="5">
        <v>740</v>
      </c>
      <c r="I30" s="5">
        <v>30</v>
      </c>
      <c r="J30" s="5">
        <f t="shared" si="0"/>
        <v>710</v>
      </c>
      <c r="K30" s="5" t="s">
        <v>785</v>
      </c>
      <c r="L30" s="5" t="s">
        <v>25</v>
      </c>
      <c r="M30" s="5" t="s">
        <v>740</v>
      </c>
      <c r="N30" s="5"/>
      <c r="O30" s="5"/>
      <c r="P30" s="5"/>
      <c r="Q30" s="5"/>
      <c r="R30">
        <v>1</v>
      </c>
    </row>
    <row r="31" spans="1:18" x14ac:dyDescent="0.25">
      <c r="A31" s="5"/>
      <c r="B31" s="5" t="s">
        <v>19</v>
      </c>
      <c r="C31" s="5" t="s">
        <v>229</v>
      </c>
      <c r="D31" s="5" t="s">
        <v>817</v>
      </c>
      <c r="E31" s="5">
        <v>67</v>
      </c>
      <c r="F31" s="5" t="s">
        <v>231</v>
      </c>
      <c r="G31" s="5" t="s">
        <v>232</v>
      </c>
      <c r="H31" s="5">
        <v>825</v>
      </c>
      <c r="I31" s="5">
        <v>35</v>
      </c>
      <c r="J31" s="5">
        <f t="shared" si="0"/>
        <v>790</v>
      </c>
      <c r="K31" s="5" t="s">
        <v>785</v>
      </c>
      <c r="L31" s="5" t="s">
        <v>25</v>
      </c>
      <c r="M31" s="5" t="s">
        <v>740</v>
      </c>
      <c r="N31" s="5"/>
      <c r="O31" s="5"/>
      <c r="P31" s="5"/>
      <c r="Q31" s="5"/>
      <c r="R31">
        <v>1</v>
      </c>
    </row>
    <row r="32" spans="1:18" x14ac:dyDescent="0.25">
      <c r="A32" s="5"/>
      <c r="B32" s="5" t="s">
        <v>19</v>
      </c>
      <c r="C32" s="5" t="s">
        <v>818</v>
      </c>
      <c r="D32" s="5" t="s">
        <v>819</v>
      </c>
      <c r="E32" s="5">
        <v>114</v>
      </c>
      <c r="F32" s="5" t="s">
        <v>820</v>
      </c>
      <c r="G32" s="5" t="s">
        <v>240</v>
      </c>
      <c r="H32" s="5">
        <v>720</v>
      </c>
      <c r="I32" s="5">
        <v>30</v>
      </c>
      <c r="J32" s="5">
        <f t="shared" si="0"/>
        <v>690</v>
      </c>
      <c r="K32" s="5" t="s">
        <v>785</v>
      </c>
      <c r="L32" s="5" t="s">
        <v>25</v>
      </c>
      <c r="M32" s="5" t="s">
        <v>740</v>
      </c>
      <c r="N32" s="5"/>
      <c r="O32" s="5"/>
      <c r="P32" s="5"/>
      <c r="Q32" s="5"/>
      <c r="R32">
        <v>1</v>
      </c>
    </row>
    <row r="33" spans="1:19" x14ac:dyDescent="0.25">
      <c r="A33" s="5"/>
      <c r="B33" s="5" t="s">
        <v>19</v>
      </c>
      <c r="C33" s="5" t="s">
        <v>821</v>
      </c>
      <c r="D33" s="5" t="s">
        <v>822</v>
      </c>
      <c r="E33" s="5" t="s">
        <v>823</v>
      </c>
      <c r="F33" s="5" t="s">
        <v>262</v>
      </c>
      <c r="G33" s="5" t="s">
        <v>240</v>
      </c>
      <c r="H33" s="5">
        <v>0</v>
      </c>
      <c r="I33" s="5">
        <v>30</v>
      </c>
      <c r="J33" s="5">
        <f t="shared" si="0"/>
        <v>-30</v>
      </c>
      <c r="K33" s="5" t="s">
        <v>785</v>
      </c>
      <c r="L33" s="5" t="s">
        <v>25</v>
      </c>
      <c r="M33" s="5" t="s">
        <v>740</v>
      </c>
      <c r="N33" s="5"/>
      <c r="O33" s="5"/>
      <c r="P33" s="5"/>
      <c r="Q33" s="5"/>
      <c r="R33">
        <v>1</v>
      </c>
      <c r="S33">
        <v>30</v>
      </c>
    </row>
    <row r="34" spans="1:19" x14ac:dyDescent="0.25">
      <c r="A34" s="5"/>
      <c r="B34" s="5" t="s">
        <v>19</v>
      </c>
      <c r="C34" s="5" t="s">
        <v>776</v>
      </c>
      <c r="D34" s="5" t="s">
        <v>824</v>
      </c>
      <c r="E34" s="5" t="s">
        <v>825</v>
      </c>
      <c r="F34" s="5" t="s">
        <v>826</v>
      </c>
      <c r="G34" s="5" t="s">
        <v>240</v>
      </c>
      <c r="H34" s="5">
        <v>880</v>
      </c>
      <c r="I34" s="5">
        <v>30</v>
      </c>
      <c r="J34" s="5">
        <f t="shared" si="0"/>
        <v>850</v>
      </c>
      <c r="K34" s="5" t="s">
        <v>785</v>
      </c>
      <c r="L34" s="5" t="s">
        <v>25</v>
      </c>
      <c r="M34" s="5" t="s">
        <v>740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827</v>
      </c>
      <c r="D35" s="5" t="s">
        <v>828</v>
      </c>
      <c r="E35" s="5" t="s">
        <v>829</v>
      </c>
      <c r="F35" s="5" t="s">
        <v>830</v>
      </c>
      <c r="G35" s="5" t="s">
        <v>240</v>
      </c>
      <c r="H35" s="5">
        <v>720</v>
      </c>
      <c r="I35" s="5">
        <v>30</v>
      </c>
      <c r="J35" s="5">
        <f t="shared" ref="J35:J59" si="1">H35-I35</f>
        <v>690</v>
      </c>
      <c r="K35" s="5" t="s">
        <v>785</v>
      </c>
      <c r="L35" s="5" t="s">
        <v>25</v>
      </c>
      <c r="M35" s="5" t="s">
        <v>740</v>
      </c>
      <c r="N35" s="5"/>
      <c r="O35" s="5"/>
      <c r="P35" s="5"/>
      <c r="Q35" s="5"/>
      <c r="R35">
        <v>1</v>
      </c>
    </row>
    <row r="36" spans="1:19" x14ac:dyDescent="0.25">
      <c r="A36" s="5"/>
      <c r="B36" s="5" t="s">
        <v>19</v>
      </c>
      <c r="C36" s="5" t="s">
        <v>727</v>
      </c>
      <c r="D36" s="5" t="s">
        <v>831</v>
      </c>
      <c r="E36" s="5" t="s">
        <v>832</v>
      </c>
      <c r="F36" s="5" t="s">
        <v>618</v>
      </c>
      <c r="G36" s="5" t="s">
        <v>240</v>
      </c>
      <c r="H36" s="5">
        <v>520</v>
      </c>
      <c r="I36" s="5">
        <v>30</v>
      </c>
      <c r="J36" s="5">
        <f t="shared" si="1"/>
        <v>490</v>
      </c>
      <c r="K36" s="5" t="s">
        <v>785</v>
      </c>
      <c r="L36" s="5" t="s">
        <v>25</v>
      </c>
      <c r="M36" s="5" t="s">
        <v>740</v>
      </c>
      <c r="N36" s="5"/>
      <c r="O36" s="5"/>
      <c r="P36" s="5"/>
      <c r="Q36" s="5"/>
      <c r="R36">
        <v>1</v>
      </c>
    </row>
    <row r="37" spans="1:19" x14ac:dyDescent="0.25">
      <c r="A37" s="20"/>
      <c r="B37" s="20" t="s">
        <v>19</v>
      </c>
      <c r="C37" s="20" t="s">
        <v>436</v>
      </c>
      <c r="D37" s="20" t="s">
        <v>833</v>
      </c>
      <c r="E37" s="20" t="s">
        <v>438</v>
      </c>
      <c r="F37" s="20" t="s">
        <v>439</v>
      </c>
      <c r="G37" s="20" t="s">
        <v>281</v>
      </c>
      <c r="H37" s="20">
        <v>0</v>
      </c>
      <c r="I37" s="20">
        <v>35</v>
      </c>
      <c r="J37" s="20">
        <f t="shared" si="1"/>
        <v>-35</v>
      </c>
      <c r="K37" s="20" t="s">
        <v>785</v>
      </c>
      <c r="L37" s="20" t="s">
        <v>25</v>
      </c>
      <c r="M37" s="20" t="s">
        <v>740</v>
      </c>
      <c r="N37" s="20" t="s">
        <v>472</v>
      </c>
      <c r="O37" s="20"/>
      <c r="P37" s="20"/>
      <c r="Q37" s="20"/>
      <c r="R37">
        <v>1</v>
      </c>
      <c r="S37">
        <v>35</v>
      </c>
    </row>
    <row r="38" spans="1:19" x14ac:dyDescent="0.25">
      <c r="A38" s="5"/>
      <c r="B38" s="5" t="s">
        <v>19</v>
      </c>
      <c r="C38" s="5" t="s">
        <v>834</v>
      </c>
      <c r="D38" s="5" t="s">
        <v>835</v>
      </c>
      <c r="E38" s="5" t="s">
        <v>836</v>
      </c>
      <c r="F38" s="5" t="s">
        <v>587</v>
      </c>
      <c r="G38" s="5" t="s">
        <v>444</v>
      </c>
      <c r="H38" s="5">
        <v>1185</v>
      </c>
      <c r="I38" s="5">
        <v>35</v>
      </c>
      <c r="J38" s="5">
        <f t="shared" si="1"/>
        <v>1150</v>
      </c>
      <c r="K38" s="5" t="s">
        <v>785</v>
      </c>
      <c r="L38" s="5" t="s">
        <v>25</v>
      </c>
      <c r="M38" s="5" t="s">
        <v>740</v>
      </c>
      <c r="N38" s="5"/>
      <c r="O38" s="5"/>
      <c r="P38" s="5"/>
      <c r="Q38" s="5"/>
      <c r="R38">
        <v>1</v>
      </c>
    </row>
    <row r="39" spans="1:19" x14ac:dyDescent="0.25">
      <c r="A39" s="5" t="s">
        <v>91</v>
      </c>
      <c r="B39" s="5" t="s">
        <v>19</v>
      </c>
      <c r="C39" s="5" t="s">
        <v>837</v>
      </c>
      <c r="D39" s="5"/>
      <c r="E39" s="5" t="s">
        <v>838</v>
      </c>
      <c r="F39" s="5" t="s">
        <v>759</v>
      </c>
      <c r="G39" s="5" t="s">
        <v>98</v>
      </c>
      <c r="H39" s="5">
        <v>0</v>
      </c>
      <c r="I39" s="5">
        <v>30</v>
      </c>
      <c r="J39" s="5">
        <f t="shared" si="1"/>
        <v>-30</v>
      </c>
      <c r="K39" s="5" t="s">
        <v>785</v>
      </c>
      <c r="L39" s="5" t="s">
        <v>25</v>
      </c>
      <c r="M39" s="5" t="s">
        <v>740</v>
      </c>
      <c r="N39" s="5"/>
      <c r="O39" s="5"/>
      <c r="P39" s="5"/>
      <c r="Q39" s="5"/>
      <c r="R39">
        <v>1</v>
      </c>
      <c r="S39">
        <v>30</v>
      </c>
    </row>
    <row r="40" spans="1:19" x14ac:dyDescent="0.25">
      <c r="A40" s="5"/>
      <c r="B40" s="5" t="s">
        <v>19</v>
      </c>
      <c r="C40" s="5"/>
      <c r="D40" s="5" t="s">
        <v>839</v>
      </c>
      <c r="E40" s="5" t="s">
        <v>840</v>
      </c>
      <c r="F40" s="5" t="s">
        <v>841</v>
      </c>
      <c r="G40" s="5">
        <v>2</v>
      </c>
      <c r="H40" s="5">
        <v>410</v>
      </c>
      <c r="I40" s="5">
        <v>30</v>
      </c>
      <c r="J40" s="5">
        <f t="shared" si="1"/>
        <v>380</v>
      </c>
      <c r="K40" s="5" t="s">
        <v>25</v>
      </c>
      <c r="L40" s="5" t="s">
        <v>25</v>
      </c>
      <c r="M40" s="5" t="s">
        <v>740</v>
      </c>
      <c r="N40" s="5"/>
      <c r="O40" s="5"/>
      <c r="P40" s="5"/>
      <c r="Q40" s="5"/>
      <c r="R40">
        <v>1</v>
      </c>
    </row>
    <row r="41" spans="1:19" x14ac:dyDescent="0.25">
      <c r="A41" s="5"/>
      <c r="B41" s="5" t="s">
        <v>19</v>
      </c>
      <c r="C41" s="5" t="s">
        <v>842</v>
      </c>
      <c r="D41" s="5" t="s">
        <v>843</v>
      </c>
      <c r="E41" s="5" t="s">
        <v>844</v>
      </c>
      <c r="F41" s="5" t="s">
        <v>845</v>
      </c>
      <c r="G41" s="5">
        <v>2</v>
      </c>
      <c r="H41" s="5">
        <v>0</v>
      </c>
      <c r="I41" s="5">
        <v>30</v>
      </c>
      <c r="J41" s="5">
        <f t="shared" si="1"/>
        <v>-30</v>
      </c>
      <c r="K41" s="5" t="s">
        <v>25</v>
      </c>
      <c r="L41" s="5" t="s">
        <v>25</v>
      </c>
      <c r="M41" s="5" t="s">
        <v>740</v>
      </c>
      <c r="N41" s="5"/>
      <c r="O41" s="5"/>
      <c r="P41" s="5"/>
      <c r="Q41" s="5"/>
      <c r="R41">
        <v>1</v>
      </c>
      <c r="S41">
        <v>30</v>
      </c>
    </row>
    <row r="42" spans="1:19" x14ac:dyDescent="0.25">
      <c r="A42" s="5"/>
      <c r="B42" s="5" t="s">
        <v>19</v>
      </c>
      <c r="C42" s="5" t="s">
        <v>846</v>
      </c>
      <c r="D42" s="5" t="s">
        <v>847</v>
      </c>
      <c r="E42" s="5" t="s">
        <v>848</v>
      </c>
      <c r="F42" s="5" t="s">
        <v>849</v>
      </c>
      <c r="G42" s="5">
        <v>2</v>
      </c>
      <c r="H42" s="5">
        <v>870</v>
      </c>
      <c r="I42" s="5">
        <v>30</v>
      </c>
      <c r="J42" s="5">
        <f t="shared" si="1"/>
        <v>840</v>
      </c>
      <c r="K42" s="5" t="s">
        <v>25</v>
      </c>
      <c r="L42" s="5" t="s">
        <v>25</v>
      </c>
      <c r="M42" s="5" t="s">
        <v>740</v>
      </c>
      <c r="N42" s="5"/>
      <c r="O42" s="5"/>
      <c r="P42" s="5"/>
      <c r="Q42" s="5"/>
      <c r="R42">
        <v>1</v>
      </c>
    </row>
    <row r="43" spans="1:19" x14ac:dyDescent="0.25">
      <c r="A43" s="5"/>
      <c r="B43" s="5" t="s">
        <v>19</v>
      </c>
      <c r="C43" s="5" t="s">
        <v>850</v>
      </c>
      <c r="D43" s="5" t="s">
        <v>851</v>
      </c>
      <c r="E43" s="5">
        <v>208</v>
      </c>
      <c r="F43" s="5" t="s">
        <v>62</v>
      </c>
      <c r="G43" s="5" t="s">
        <v>58</v>
      </c>
      <c r="H43" s="5">
        <v>400</v>
      </c>
      <c r="I43" s="5">
        <v>20</v>
      </c>
      <c r="J43" s="5">
        <f t="shared" si="1"/>
        <v>380</v>
      </c>
      <c r="K43" s="5" t="s">
        <v>25</v>
      </c>
      <c r="L43" s="5" t="s">
        <v>25</v>
      </c>
      <c r="M43" s="5" t="s">
        <v>740</v>
      </c>
      <c r="N43" s="5"/>
      <c r="O43" s="5"/>
      <c r="P43" s="5"/>
      <c r="Q43" s="5"/>
      <c r="R43">
        <v>1</v>
      </c>
    </row>
    <row r="44" spans="1:19" x14ac:dyDescent="0.25">
      <c r="A44" s="5"/>
      <c r="B44" s="5" t="s">
        <v>19</v>
      </c>
      <c r="C44" s="5" t="s">
        <v>852</v>
      </c>
      <c r="D44" s="5" t="s">
        <v>853</v>
      </c>
      <c r="E44" s="5">
        <v>208</v>
      </c>
      <c r="F44" s="5" t="s">
        <v>62</v>
      </c>
      <c r="G44" s="5" t="s">
        <v>58</v>
      </c>
      <c r="H44" s="5">
        <v>0</v>
      </c>
      <c r="I44" s="5">
        <v>20</v>
      </c>
      <c r="J44" s="5">
        <f t="shared" si="1"/>
        <v>-20</v>
      </c>
      <c r="K44" s="5" t="s">
        <v>25</v>
      </c>
      <c r="L44" s="5" t="s">
        <v>25</v>
      </c>
      <c r="M44" s="5" t="s">
        <v>740</v>
      </c>
      <c r="N44" s="5"/>
      <c r="O44" s="5"/>
      <c r="P44" s="5"/>
      <c r="Q44" s="5"/>
      <c r="R44">
        <v>1</v>
      </c>
      <c r="S44">
        <v>20</v>
      </c>
    </row>
    <row r="45" spans="1:19" x14ac:dyDescent="0.25">
      <c r="A45" s="5"/>
      <c r="B45" s="5" t="s">
        <v>19</v>
      </c>
      <c r="C45" s="5" t="s">
        <v>854</v>
      </c>
      <c r="D45" s="5" t="s">
        <v>855</v>
      </c>
      <c r="E45" s="5">
        <v>45</v>
      </c>
      <c r="F45" s="5" t="s">
        <v>856</v>
      </c>
      <c r="G45" s="5" t="s">
        <v>58</v>
      </c>
      <c r="H45" s="5">
        <v>780</v>
      </c>
      <c r="I45" s="5">
        <v>20</v>
      </c>
      <c r="J45" s="5">
        <f t="shared" si="1"/>
        <v>760</v>
      </c>
      <c r="K45" s="5" t="s">
        <v>25</v>
      </c>
      <c r="L45" s="5" t="s">
        <v>25</v>
      </c>
      <c r="M45" s="5" t="s">
        <v>740</v>
      </c>
      <c r="N45" s="5"/>
      <c r="O45" s="5"/>
      <c r="P45" s="5"/>
      <c r="Q45" s="5"/>
      <c r="R45">
        <v>1</v>
      </c>
    </row>
    <row r="46" spans="1:19" x14ac:dyDescent="0.25">
      <c r="A46" s="5"/>
      <c r="B46" s="5" t="s">
        <v>19</v>
      </c>
      <c r="C46" s="5" t="s">
        <v>857</v>
      </c>
      <c r="D46" s="5" t="s">
        <v>858</v>
      </c>
      <c r="E46" s="5" t="s">
        <v>859</v>
      </c>
      <c r="F46" s="5" t="s">
        <v>860</v>
      </c>
      <c r="G46" s="5" t="s">
        <v>70</v>
      </c>
      <c r="H46" s="5">
        <v>2015</v>
      </c>
      <c r="I46" s="5">
        <v>25</v>
      </c>
      <c r="J46" s="5">
        <f t="shared" si="1"/>
        <v>1990</v>
      </c>
      <c r="K46" s="5" t="s">
        <v>25</v>
      </c>
      <c r="L46" s="5" t="s">
        <v>25</v>
      </c>
      <c r="M46" s="5" t="s">
        <v>740</v>
      </c>
      <c r="N46" s="5"/>
      <c r="O46" s="5"/>
      <c r="P46" s="5"/>
      <c r="Q46" s="5"/>
      <c r="R46">
        <v>1</v>
      </c>
    </row>
    <row r="47" spans="1:19" x14ac:dyDescent="0.25">
      <c r="A47" s="5"/>
      <c r="B47" s="5" t="s">
        <v>19</v>
      </c>
      <c r="C47" s="5" t="s">
        <v>861</v>
      </c>
      <c r="D47" s="5" t="s">
        <v>862</v>
      </c>
      <c r="E47" s="5" t="s">
        <v>859</v>
      </c>
      <c r="F47" s="5" t="s">
        <v>860</v>
      </c>
      <c r="G47" s="5" t="s">
        <v>70</v>
      </c>
      <c r="H47" s="5">
        <v>0</v>
      </c>
      <c r="I47" s="5">
        <v>25</v>
      </c>
      <c r="J47" s="5">
        <f t="shared" si="1"/>
        <v>-25</v>
      </c>
      <c r="K47" s="5" t="s">
        <v>25</v>
      </c>
      <c r="L47" s="5" t="s">
        <v>25</v>
      </c>
      <c r="M47" s="5" t="s">
        <v>740</v>
      </c>
      <c r="N47" s="5"/>
      <c r="O47" s="5"/>
      <c r="P47" s="5"/>
      <c r="Q47" s="5"/>
      <c r="R47">
        <v>1</v>
      </c>
      <c r="S47">
        <v>25</v>
      </c>
    </row>
    <row r="48" spans="1:19" x14ac:dyDescent="0.25">
      <c r="A48" s="5"/>
      <c r="B48" s="5" t="s">
        <v>19</v>
      </c>
      <c r="C48" s="5" t="s">
        <v>863</v>
      </c>
      <c r="D48" s="5" t="s">
        <v>864</v>
      </c>
      <c r="E48" s="5" t="s">
        <v>865</v>
      </c>
      <c r="F48" s="5" t="s">
        <v>86</v>
      </c>
      <c r="G48" s="5" t="s">
        <v>70</v>
      </c>
      <c r="H48" s="5">
        <v>1755</v>
      </c>
      <c r="I48" s="5">
        <v>25</v>
      </c>
      <c r="J48" s="5">
        <f t="shared" si="1"/>
        <v>1730</v>
      </c>
      <c r="K48" s="5" t="s">
        <v>25</v>
      </c>
      <c r="L48" s="5" t="s">
        <v>25</v>
      </c>
      <c r="M48" s="5" t="s">
        <v>740</v>
      </c>
      <c r="N48" s="5"/>
      <c r="O48" s="5"/>
      <c r="P48" s="5"/>
      <c r="Q48" s="5"/>
      <c r="R48">
        <v>1</v>
      </c>
    </row>
    <row r="49" spans="1:20" x14ac:dyDescent="0.25">
      <c r="A49" s="5" t="s">
        <v>91</v>
      </c>
      <c r="B49" s="5" t="s">
        <v>19</v>
      </c>
      <c r="C49" s="5" t="s">
        <v>866</v>
      </c>
      <c r="D49" s="5"/>
      <c r="E49" s="5">
        <v>401</v>
      </c>
      <c r="F49" s="5" t="s">
        <v>481</v>
      </c>
      <c r="G49" s="5" t="s">
        <v>70</v>
      </c>
      <c r="H49" s="5">
        <v>3650</v>
      </c>
      <c r="I49" s="5">
        <v>30</v>
      </c>
      <c r="J49" s="5">
        <f t="shared" si="1"/>
        <v>3620</v>
      </c>
      <c r="K49" s="5" t="s">
        <v>25</v>
      </c>
      <c r="L49" s="5" t="s">
        <v>25</v>
      </c>
      <c r="M49" s="5" t="s">
        <v>740</v>
      </c>
      <c r="N49" s="5"/>
      <c r="O49" s="5"/>
      <c r="P49" s="5"/>
      <c r="Q49" s="5"/>
      <c r="R49">
        <v>1</v>
      </c>
    </row>
    <row r="50" spans="1:20" x14ac:dyDescent="0.25">
      <c r="A50" s="5"/>
      <c r="B50" s="5" t="s">
        <v>19</v>
      </c>
      <c r="C50" s="5" t="s">
        <v>696</v>
      </c>
      <c r="D50" s="5" t="s">
        <v>867</v>
      </c>
      <c r="E50" s="5" t="s">
        <v>698</v>
      </c>
      <c r="F50" s="5" t="s">
        <v>481</v>
      </c>
      <c r="G50" s="5" t="s">
        <v>70</v>
      </c>
      <c r="H50" s="5">
        <v>735</v>
      </c>
      <c r="I50" s="5">
        <v>25</v>
      </c>
      <c r="J50" s="5">
        <f t="shared" si="1"/>
        <v>710</v>
      </c>
      <c r="K50" s="5" t="s">
        <v>25</v>
      </c>
      <c r="L50" s="5" t="s">
        <v>25</v>
      </c>
      <c r="M50" s="5" t="s">
        <v>740</v>
      </c>
      <c r="N50" s="5"/>
      <c r="O50" s="5"/>
      <c r="P50" s="5"/>
      <c r="Q50" s="5"/>
      <c r="R50">
        <v>1</v>
      </c>
    </row>
    <row r="51" spans="1:20" x14ac:dyDescent="0.25">
      <c r="A51" s="5" t="s">
        <v>91</v>
      </c>
      <c r="B51" s="5" t="s">
        <v>19</v>
      </c>
      <c r="C51" s="5" t="s">
        <v>92</v>
      </c>
      <c r="D51" s="5"/>
      <c r="E51" s="5">
        <v>403</v>
      </c>
      <c r="F51" s="5" t="s">
        <v>93</v>
      </c>
      <c r="G51" s="5" t="s">
        <v>70</v>
      </c>
      <c r="H51" s="5">
        <v>30</v>
      </c>
      <c r="I51" s="5">
        <v>30</v>
      </c>
      <c r="J51" s="5">
        <f t="shared" si="1"/>
        <v>0</v>
      </c>
      <c r="K51" s="5" t="s">
        <v>25</v>
      </c>
      <c r="L51" s="5" t="s">
        <v>25</v>
      </c>
      <c r="M51" s="5" t="s">
        <v>740</v>
      </c>
      <c r="N51" s="5"/>
      <c r="O51" s="5"/>
      <c r="P51" s="5"/>
      <c r="Q51" s="5"/>
      <c r="R51">
        <v>1</v>
      </c>
    </row>
    <row r="52" spans="1:20" x14ac:dyDescent="0.25">
      <c r="A52" s="5" t="s">
        <v>91</v>
      </c>
      <c r="B52" s="5" t="s">
        <v>19</v>
      </c>
      <c r="C52" s="5" t="s">
        <v>482</v>
      </c>
      <c r="D52" s="5"/>
      <c r="E52" s="5">
        <v>685</v>
      </c>
      <c r="F52" s="5" t="s">
        <v>93</v>
      </c>
      <c r="G52" s="5" t="s">
        <v>70</v>
      </c>
      <c r="H52" s="5">
        <v>30</v>
      </c>
      <c r="I52" s="5">
        <v>30</v>
      </c>
      <c r="J52" s="5">
        <f t="shared" si="1"/>
        <v>0</v>
      </c>
      <c r="K52" s="5" t="s">
        <v>25</v>
      </c>
      <c r="L52" s="5" t="s">
        <v>25</v>
      </c>
      <c r="M52" s="5" t="s">
        <v>740</v>
      </c>
      <c r="N52" s="5"/>
      <c r="O52" s="5"/>
      <c r="P52" s="5"/>
      <c r="Q52" s="5"/>
      <c r="R52">
        <v>1</v>
      </c>
    </row>
    <row r="53" spans="1:20" x14ac:dyDescent="0.25">
      <c r="A53" s="20"/>
      <c r="B53" s="20" t="s">
        <v>19</v>
      </c>
      <c r="C53" s="20" t="s">
        <v>868</v>
      </c>
      <c r="D53" s="20" t="s">
        <v>869</v>
      </c>
      <c r="E53" s="20" t="s">
        <v>870</v>
      </c>
      <c r="F53" s="20" t="s">
        <v>871</v>
      </c>
      <c r="G53" s="20" t="s">
        <v>70</v>
      </c>
      <c r="H53" s="20">
        <v>2300</v>
      </c>
      <c r="I53" s="20">
        <v>30</v>
      </c>
      <c r="J53" s="20">
        <f t="shared" si="1"/>
        <v>2270</v>
      </c>
      <c r="K53" s="20" t="s">
        <v>25</v>
      </c>
      <c r="L53" s="20" t="s">
        <v>25</v>
      </c>
      <c r="M53" s="20" t="s">
        <v>740</v>
      </c>
      <c r="N53" s="20" t="s">
        <v>498</v>
      </c>
      <c r="O53" s="20"/>
      <c r="P53" s="20"/>
      <c r="Q53" s="20"/>
      <c r="R53">
        <v>1</v>
      </c>
      <c r="S53">
        <v>30</v>
      </c>
    </row>
    <row r="54" spans="1:20" x14ac:dyDescent="0.25">
      <c r="A54" s="5"/>
      <c r="B54" s="5" t="s">
        <v>19</v>
      </c>
      <c r="C54" s="5" t="s">
        <v>872</v>
      </c>
      <c r="D54" s="5" t="s">
        <v>873</v>
      </c>
      <c r="E54" s="5" t="s">
        <v>874</v>
      </c>
      <c r="F54" s="5" t="s">
        <v>875</v>
      </c>
      <c r="G54" s="5" t="s">
        <v>98</v>
      </c>
      <c r="H54" s="5">
        <v>735</v>
      </c>
      <c r="I54" s="5">
        <v>25</v>
      </c>
      <c r="J54" s="5">
        <f t="shared" si="1"/>
        <v>710</v>
      </c>
      <c r="K54" s="5" t="s">
        <v>25</v>
      </c>
      <c r="L54" s="5" t="s">
        <v>25</v>
      </c>
      <c r="M54" s="5" t="s">
        <v>740</v>
      </c>
      <c r="N54" s="5"/>
      <c r="O54" s="5"/>
      <c r="P54" s="5"/>
      <c r="Q54" s="5"/>
      <c r="R54">
        <v>1</v>
      </c>
    </row>
    <row r="55" spans="1:20" x14ac:dyDescent="0.25">
      <c r="A55" s="5"/>
      <c r="B55" s="5" t="s">
        <v>19</v>
      </c>
      <c r="C55" s="5" t="s">
        <v>876</v>
      </c>
      <c r="D55" s="5" t="s">
        <v>877</v>
      </c>
      <c r="E55" s="5">
        <v>48</v>
      </c>
      <c r="F55" s="5" t="s">
        <v>878</v>
      </c>
      <c r="G55" s="5" t="s">
        <v>103</v>
      </c>
      <c r="H55" s="5">
        <v>1020</v>
      </c>
      <c r="I55" s="5">
        <v>30</v>
      </c>
      <c r="J55" s="5">
        <f t="shared" si="1"/>
        <v>990</v>
      </c>
      <c r="K55" s="5" t="s">
        <v>25</v>
      </c>
      <c r="L55" s="5" t="s">
        <v>25</v>
      </c>
      <c r="M55" s="5" t="s">
        <v>740</v>
      </c>
      <c r="N55" s="5"/>
      <c r="O55" s="5"/>
      <c r="P55" s="5"/>
      <c r="Q55" s="5"/>
      <c r="R55">
        <v>1</v>
      </c>
    </row>
    <row r="56" spans="1:20" x14ac:dyDescent="0.25">
      <c r="A56" s="5"/>
      <c r="B56" s="5" t="s">
        <v>19</v>
      </c>
      <c r="C56" s="5" t="s">
        <v>879</v>
      </c>
      <c r="D56" s="5" t="s">
        <v>880</v>
      </c>
      <c r="E56" s="5" t="s">
        <v>881</v>
      </c>
      <c r="F56" s="5" t="s">
        <v>882</v>
      </c>
      <c r="G56" s="5" t="s">
        <v>103</v>
      </c>
      <c r="H56" s="5">
        <v>780</v>
      </c>
      <c r="I56" s="5">
        <v>30</v>
      </c>
      <c r="J56" s="5">
        <f t="shared" si="1"/>
        <v>750</v>
      </c>
      <c r="K56" s="5" t="s">
        <v>25</v>
      </c>
      <c r="L56" s="5" t="s">
        <v>25</v>
      </c>
      <c r="M56" s="5" t="s">
        <v>740</v>
      </c>
      <c r="N56" s="5"/>
      <c r="O56" s="5"/>
      <c r="P56" s="5"/>
      <c r="Q56" s="5"/>
      <c r="R56">
        <v>1</v>
      </c>
    </row>
    <row r="57" spans="1:20" x14ac:dyDescent="0.25">
      <c r="A57" s="5"/>
      <c r="B57" s="5" t="s">
        <v>19</v>
      </c>
      <c r="C57" s="5" t="s">
        <v>883</v>
      </c>
      <c r="D57" s="5" t="s">
        <v>884</v>
      </c>
      <c r="E57" s="5">
        <v>213</v>
      </c>
      <c r="F57" s="5" t="s">
        <v>218</v>
      </c>
      <c r="G57" s="5">
        <v>9</v>
      </c>
      <c r="H57" s="5">
        <v>850</v>
      </c>
      <c r="I57" s="5">
        <v>30</v>
      </c>
      <c r="J57" s="5">
        <f t="shared" si="1"/>
        <v>820</v>
      </c>
      <c r="K57" s="5" t="s">
        <v>120</v>
      </c>
      <c r="L57" s="5" t="s">
        <v>25</v>
      </c>
      <c r="M57" s="5" t="s">
        <v>740</v>
      </c>
      <c r="N57" s="5"/>
      <c r="O57" s="5"/>
      <c r="P57" s="5"/>
      <c r="Q57" s="5"/>
      <c r="R57">
        <v>1</v>
      </c>
    </row>
    <row r="58" spans="1:20" x14ac:dyDescent="0.25">
      <c r="A58" s="5"/>
      <c r="B58" s="5" t="s">
        <v>19</v>
      </c>
      <c r="C58" s="5" t="s">
        <v>885</v>
      </c>
      <c r="D58" s="5" t="s">
        <v>886</v>
      </c>
      <c r="E58" s="5" t="s">
        <v>887</v>
      </c>
      <c r="F58" s="5" t="s">
        <v>670</v>
      </c>
      <c r="G58" s="5">
        <v>9</v>
      </c>
      <c r="H58" s="5">
        <v>1760</v>
      </c>
      <c r="I58" s="5">
        <v>30</v>
      </c>
      <c r="J58" s="5">
        <f t="shared" si="1"/>
        <v>1730</v>
      </c>
      <c r="K58" s="5" t="s">
        <v>120</v>
      </c>
      <c r="L58" s="5" t="s">
        <v>25</v>
      </c>
      <c r="M58" s="5" t="s">
        <v>740</v>
      </c>
      <c r="N58" s="5"/>
      <c r="O58" s="5"/>
      <c r="P58" s="5"/>
      <c r="Q58" s="5"/>
      <c r="R58">
        <v>1</v>
      </c>
    </row>
    <row r="59" spans="1:20" x14ac:dyDescent="0.25">
      <c r="A59" s="5"/>
      <c r="B59" s="5" t="s">
        <v>19</v>
      </c>
      <c r="C59" s="5" t="s">
        <v>885</v>
      </c>
      <c r="D59" s="5" t="s">
        <v>888</v>
      </c>
      <c r="E59" s="5" t="s">
        <v>887</v>
      </c>
      <c r="F59" s="5" t="s">
        <v>670</v>
      </c>
      <c r="G59" s="5">
        <v>9</v>
      </c>
      <c r="H59" s="5">
        <v>290</v>
      </c>
      <c r="I59" s="5">
        <v>0</v>
      </c>
      <c r="J59" s="5">
        <f t="shared" si="1"/>
        <v>290</v>
      </c>
      <c r="K59" s="5" t="s">
        <v>120</v>
      </c>
      <c r="L59" s="5" t="s">
        <v>25</v>
      </c>
      <c r="M59" s="5" t="s">
        <v>740</v>
      </c>
      <c r="N59" s="6" t="s">
        <v>350</v>
      </c>
      <c r="O59" s="5"/>
      <c r="P59" s="5"/>
      <c r="Q59" s="5"/>
      <c r="R59">
        <v>1</v>
      </c>
    </row>
    <row r="61" spans="1:20" x14ac:dyDescent="0.25">
      <c r="H61">
        <f t="shared" ref="H61:T61" si="2">SUBTOTAL(9,H3:H60)</f>
        <v>43655</v>
      </c>
      <c r="I61">
        <f t="shared" si="2"/>
        <v>1545</v>
      </c>
      <c r="J61">
        <f t="shared" si="2"/>
        <v>42110</v>
      </c>
      <c r="K61">
        <f t="shared" si="2"/>
        <v>0</v>
      </c>
      <c r="L61">
        <f t="shared" si="2"/>
        <v>0</v>
      </c>
      <c r="M61">
        <f t="shared" si="2"/>
        <v>0</v>
      </c>
      <c r="N61">
        <f t="shared" si="2"/>
        <v>0</v>
      </c>
      <c r="O61">
        <f t="shared" si="2"/>
        <v>0</v>
      </c>
      <c r="P61">
        <f t="shared" si="2"/>
        <v>0</v>
      </c>
      <c r="Q61">
        <f t="shared" si="2"/>
        <v>0</v>
      </c>
      <c r="R61">
        <f t="shared" si="2"/>
        <v>57</v>
      </c>
      <c r="S61">
        <f t="shared" si="2"/>
        <v>310</v>
      </c>
      <c r="T61">
        <f t="shared" si="2"/>
        <v>0</v>
      </c>
    </row>
    <row r="62" spans="1:20" x14ac:dyDescent="0.25">
      <c r="J62">
        <v>-695</v>
      </c>
      <c r="K62" t="s">
        <v>311</v>
      </c>
    </row>
    <row r="63" spans="1:20" x14ac:dyDescent="0.25">
      <c r="J63">
        <v>-1300</v>
      </c>
      <c r="K63" t="s">
        <v>889</v>
      </c>
    </row>
    <row r="65" spans="1:13" ht="20.25" customHeight="1" x14ac:dyDescent="0.3">
      <c r="I65" s="7" t="s">
        <v>890</v>
      </c>
      <c r="J65" s="8" t="s">
        <v>313</v>
      </c>
      <c r="K65" s="9" t="s">
        <v>314</v>
      </c>
    </row>
    <row r="66" spans="1:13" ht="15.75" customHeight="1" x14ac:dyDescent="0.25">
      <c r="I66" s="10" t="s">
        <v>315</v>
      </c>
      <c r="J66" s="11">
        <f>SUM(J60:J64)</f>
        <v>40115</v>
      </c>
      <c r="K66" s="11">
        <f>R61</f>
        <v>57</v>
      </c>
    </row>
    <row r="67" spans="1:13" x14ac:dyDescent="0.25">
      <c r="I67" s="12" t="s">
        <v>316</v>
      </c>
      <c r="J67" s="13">
        <f>S61</f>
        <v>310</v>
      </c>
      <c r="K67" s="14"/>
    </row>
    <row r="68" spans="1:13" x14ac:dyDescent="0.25">
      <c r="I68" s="12" t="s">
        <v>317</v>
      </c>
      <c r="J68" s="13">
        <f>T60</f>
        <v>0</v>
      </c>
      <c r="K68" s="14"/>
    </row>
    <row r="69" spans="1:13" x14ac:dyDescent="0.25">
      <c r="I69" s="12" t="s">
        <v>318</v>
      </c>
      <c r="J69" s="13">
        <f>U60</f>
        <v>0</v>
      </c>
      <c r="K69" s="14"/>
    </row>
    <row r="70" spans="1:13" x14ac:dyDescent="0.25">
      <c r="I70" s="12" t="s">
        <v>319</v>
      </c>
      <c r="J70" s="13">
        <f>V60</f>
        <v>0</v>
      </c>
      <c r="K70" s="14"/>
    </row>
    <row r="71" spans="1:13" ht="15.75" customHeight="1" x14ac:dyDescent="0.25">
      <c r="I71" s="15" t="s">
        <v>320</v>
      </c>
      <c r="J71" s="16"/>
      <c r="K71" s="16"/>
    </row>
    <row r="72" spans="1:13" ht="15.75" customHeight="1" x14ac:dyDescent="0.25">
      <c r="I72" s="17" t="s">
        <v>321</v>
      </c>
      <c r="J72" s="16"/>
      <c r="K72" s="16"/>
    </row>
    <row r="73" spans="1:13" ht="21" customHeight="1" x14ac:dyDescent="0.35">
      <c r="I73" s="18" t="s">
        <v>322</v>
      </c>
      <c r="J73" s="19">
        <f>SUM(J66:J72)</f>
        <v>40425</v>
      </c>
      <c r="K73" s="19">
        <f>SUM(K66:K70)</f>
        <v>57</v>
      </c>
    </row>
    <row r="75" spans="1:13" x14ac:dyDescent="0.25">
      <c r="A75" t="s">
        <v>488</v>
      </c>
    </row>
    <row r="76" spans="1:13" s="4" customFormat="1" x14ac:dyDescent="0.25">
      <c r="A76" s="2" t="s">
        <v>19</v>
      </c>
      <c r="B76" s="2" t="s">
        <v>765</v>
      </c>
      <c r="C76" s="2" t="s">
        <v>766</v>
      </c>
      <c r="D76" s="2">
        <v>258</v>
      </c>
      <c r="E76" s="2" t="s">
        <v>767</v>
      </c>
      <c r="F76" s="2">
        <v>10</v>
      </c>
      <c r="G76" s="2">
        <v>1405</v>
      </c>
      <c r="H76" s="2">
        <v>0</v>
      </c>
      <c r="I76" s="2">
        <f>G76-H76</f>
        <v>1405</v>
      </c>
      <c r="J76" s="2" t="s">
        <v>125</v>
      </c>
      <c r="K76" s="2" t="s">
        <v>25</v>
      </c>
      <c r="L76" s="2" t="s">
        <v>740</v>
      </c>
      <c r="M76" s="3" t="s">
        <v>768</v>
      </c>
    </row>
    <row r="78" spans="1:13" x14ac:dyDescent="0.25">
      <c r="A78" t="s">
        <v>311</v>
      </c>
    </row>
    <row r="79" spans="1:13" x14ac:dyDescent="0.25">
      <c r="A79" s="2" t="s">
        <v>19</v>
      </c>
      <c r="B79" s="2" t="s">
        <v>394</v>
      </c>
      <c r="C79" s="2" t="s">
        <v>395</v>
      </c>
      <c r="D79" s="2" t="s">
        <v>396</v>
      </c>
      <c r="E79" s="2" t="s">
        <v>397</v>
      </c>
      <c r="F79" s="2">
        <v>8</v>
      </c>
      <c r="G79" s="2">
        <v>695</v>
      </c>
      <c r="H79" s="2">
        <v>0</v>
      </c>
      <c r="I79" s="2">
        <f>G79-H79</f>
        <v>695</v>
      </c>
      <c r="J79" s="2" t="s">
        <v>24</v>
      </c>
      <c r="K79" s="2" t="s">
        <v>25</v>
      </c>
      <c r="L79" s="2" t="s">
        <v>335</v>
      </c>
      <c r="M79" s="3" t="s">
        <v>891</v>
      </c>
    </row>
  </sheetData>
  <autoFilter ref="A2:Q5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0C63-FFD1-4F91-BE34-6057FA8F75A9}">
  <dimension ref="A1:S80"/>
  <sheetViews>
    <sheetView topLeftCell="A40" workbookViewId="0">
      <selection activeCell="J69" sqref="J69"/>
    </sheetView>
  </sheetViews>
  <sheetFormatPr defaultRowHeight="15" x14ac:dyDescent="0.25"/>
  <sheetData>
    <row r="1" spans="1:19" x14ac:dyDescent="0.25">
      <c r="B1" t="s">
        <v>892</v>
      </c>
      <c r="C1" t="s">
        <v>893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x14ac:dyDescent="0.25">
      <c r="A3" s="5"/>
      <c r="B3" s="5" t="s">
        <v>19</v>
      </c>
      <c r="C3" s="5" t="s">
        <v>894</v>
      </c>
      <c r="D3" s="5" t="s">
        <v>895</v>
      </c>
      <c r="E3" s="5" t="s">
        <v>896</v>
      </c>
      <c r="F3" s="5" t="s">
        <v>897</v>
      </c>
      <c r="G3" s="5">
        <v>1</v>
      </c>
      <c r="H3" s="5">
        <v>405</v>
      </c>
      <c r="I3" s="5">
        <v>25</v>
      </c>
      <c r="J3" s="5">
        <f t="shared" ref="J3:J34" si="0">H3-I3</f>
        <v>380</v>
      </c>
      <c r="K3" s="5" t="s">
        <v>125</v>
      </c>
      <c r="L3" s="5" t="s">
        <v>25</v>
      </c>
      <c r="M3" s="5" t="s">
        <v>898</v>
      </c>
      <c r="N3" s="5"/>
      <c r="O3" s="5"/>
      <c r="P3" s="5"/>
      <c r="Q3" s="5"/>
      <c r="R3">
        <v>1</v>
      </c>
    </row>
    <row r="4" spans="1:19" x14ac:dyDescent="0.25">
      <c r="A4" s="5"/>
      <c r="B4" s="5" t="s">
        <v>19</v>
      </c>
      <c r="C4" s="5" t="s">
        <v>899</v>
      </c>
      <c r="D4" s="5" t="s">
        <v>900</v>
      </c>
      <c r="E4" s="5">
        <v>388</v>
      </c>
      <c r="F4" s="5" t="s">
        <v>901</v>
      </c>
      <c r="G4" s="5">
        <v>1</v>
      </c>
      <c r="H4" s="5">
        <v>845</v>
      </c>
      <c r="I4" s="5">
        <v>25</v>
      </c>
      <c r="J4" s="5">
        <f t="shared" si="0"/>
        <v>820</v>
      </c>
      <c r="K4" s="5" t="s">
        <v>125</v>
      </c>
      <c r="L4" s="5" t="s">
        <v>25</v>
      </c>
      <c r="M4" s="5" t="s">
        <v>898</v>
      </c>
      <c r="N4" s="5"/>
      <c r="O4" s="5"/>
      <c r="P4" s="5"/>
      <c r="Q4" s="5"/>
      <c r="R4">
        <v>1</v>
      </c>
    </row>
    <row r="5" spans="1:19" x14ac:dyDescent="0.25">
      <c r="A5" s="5"/>
      <c r="B5" s="5" t="s">
        <v>19</v>
      </c>
      <c r="C5" s="5" t="s">
        <v>902</v>
      </c>
      <c r="D5" s="5" t="s">
        <v>903</v>
      </c>
      <c r="E5" s="5" t="s">
        <v>904</v>
      </c>
      <c r="F5" s="5" t="s">
        <v>905</v>
      </c>
      <c r="G5" s="5">
        <v>1</v>
      </c>
      <c r="H5" s="5">
        <v>1065</v>
      </c>
      <c r="I5" s="5">
        <v>25</v>
      </c>
      <c r="J5" s="5">
        <f t="shared" si="0"/>
        <v>1040</v>
      </c>
      <c r="K5" s="5" t="s">
        <v>125</v>
      </c>
      <c r="L5" s="5" t="s">
        <v>25</v>
      </c>
      <c r="M5" s="5" t="s">
        <v>898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906</v>
      </c>
      <c r="D6" s="5" t="s">
        <v>907</v>
      </c>
      <c r="E6" s="5">
        <v>84</v>
      </c>
      <c r="F6" s="5" t="s">
        <v>908</v>
      </c>
      <c r="G6" s="5">
        <v>1</v>
      </c>
      <c r="H6" s="5">
        <v>781</v>
      </c>
      <c r="I6" s="5">
        <v>25</v>
      </c>
      <c r="J6" s="5">
        <f t="shared" si="0"/>
        <v>756</v>
      </c>
      <c r="K6" s="5" t="s">
        <v>125</v>
      </c>
      <c r="L6" s="5" t="s">
        <v>25</v>
      </c>
      <c r="M6" s="5" t="s">
        <v>898</v>
      </c>
      <c r="N6" s="5"/>
      <c r="O6" s="5"/>
      <c r="P6" s="5"/>
      <c r="Q6" s="5"/>
      <c r="R6">
        <v>1</v>
      </c>
    </row>
    <row r="7" spans="1:19" x14ac:dyDescent="0.25">
      <c r="A7" s="5"/>
      <c r="B7" s="5" t="s">
        <v>19</v>
      </c>
      <c r="C7" s="5" t="s">
        <v>909</v>
      </c>
      <c r="D7" s="5" t="s">
        <v>910</v>
      </c>
      <c r="E7" s="5" t="s">
        <v>911</v>
      </c>
      <c r="F7" s="5" t="s">
        <v>912</v>
      </c>
      <c r="G7" s="5">
        <v>1</v>
      </c>
      <c r="H7" s="5">
        <v>0</v>
      </c>
      <c r="I7" s="5">
        <v>25</v>
      </c>
      <c r="J7" s="5">
        <f t="shared" si="0"/>
        <v>-25</v>
      </c>
      <c r="K7" s="5" t="s">
        <v>125</v>
      </c>
      <c r="L7" s="5" t="s">
        <v>25</v>
      </c>
      <c r="M7" s="5" t="s">
        <v>898</v>
      </c>
      <c r="N7" s="5"/>
      <c r="O7" s="5"/>
      <c r="P7" s="5"/>
      <c r="Q7" s="5"/>
      <c r="R7">
        <v>1</v>
      </c>
      <c r="S7">
        <v>25</v>
      </c>
    </row>
    <row r="8" spans="1:19" x14ac:dyDescent="0.25">
      <c r="A8" s="5"/>
      <c r="B8" s="5" t="s">
        <v>19</v>
      </c>
      <c r="C8" s="5" t="s">
        <v>913</v>
      </c>
      <c r="D8" s="5" t="s">
        <v>914</v>
      </c>
      <c r="E8" s="5">
        <v>42</v>
      </c>
      <c r="F8" s="5" t="s">
        <v>915</v>
      </c>
      <c r="G8" s="5">
        <v>3</v>
      </c>
      <c r="H8" s="5">
        <v>781</v>
      </c>
      <c r="I8" s="5">
        <v>25</v>
      </c>
      <c r="J8" s="5">
        <f t="shared" si="0"/>
        <v>756</v>
      </c>
      <c r="K8" s="5" t="s">
        <v>125</v>
      </c>
      <c r="L8" s="5" t="s">
        <v>25</v>
      </c>
      <c r="M8" s="5" t="s">
        <v>898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916</v>
      </c>
      <c r="D9" s="5" t="s">
        <v>917</v>
      </c>
      <c r="E9" s="5" t="s">
        <v>918</v>
      </c>
      <c r="F9" s="5" t="s">
        <v>754</v>
      </c>
      <c r="G9" s="5">
        <v>3</v>
      </c>
      <c r="H9" s="5">
        <v>515</v>
      </c>
      <c r="I9" s="5">
        <v>25</v>
      </c>
      <c r="J9" s="5">
        <f t="shared" si="0"/>
        <v>490</v>
      </c>
      <c r="K9" s="5" t="s">
        <v>125</v>
      </c>
      <c r="L9" s="5" t="s">
        <v>25</v>
      </c>
      <c r="M9" s="5" t="s">
        <v>898</v>
      </c>
      <c r="N9" s="5"/>
      <c r="O9" s="5"/>
      <c r="P9" s="5"/>
      <c r="Q9" s="5"/>
      <c r="R9">
        <v>1</v>
      </c>
    </row>
    <row r="10" spans="1:19" x14ac:dyDescent="0.25">
      <c r="A10" s="5"/>
      <c r="B10" s="5" t="s">
        <v>19</v>
      </c>
      <c r="C10" s="5" t="s">
        <v>919</v>
      </c>
      <c r="D10" s="5" t="s">
        <v>920</v>
      </c>
      <c r="E10" s="5" t="s">
        <v>921</v>
      </c>
      <c r="F10" s="5" t="s">
        <v>922</v>
      </c>
      <c r="G10" s="5">
        <v>3</v>
      </c>
      <c r="H10" s="5">
        <v>465</v>
      </c>
      <c r="I10" s="5">
        <v>25</v>
      </c>
      <c r="J10" s="5">
        <f t="shared" si="0"/>
        <v>440</v>
      </c>
      <c r="K10" s="5" t="s">
        <v>125</v>
      </c>
      <c r="L10" s="5" t="s">
        <v>25</v>
      </c>
      <c r="M10" s="5" t="s">
        <v>898</v>
      </c>
      <c r="N10" s="5"/>
      <c r="O10" s="5"/>
      <c r="P10" s="5"/>
      <c r="Q10" s="5"/>
      <c r="R10">
        <v>1</v>
      </c>
    </row>
    <row r="11" spans="1:19" x14ac:dyDescent="0.25">
      <c r="A11" s="5"/>
      <c r="B11" s="5" t="s">
        <v>19</v>
      </c>
      <c r="C11" s="5" t="s">
        <v>923</v>
      </c>
      <c r="D11" s="5" t="s">
        <v>924</v>
      </c>
      <c r="E11" s="5">
        <v>132</v>
      </c>
      <c r="F11" s="5" t="s">
        <v>131</v>
      </c>
      <c r="G11" s="5">
        <v>4</v>
      </c>
      <c r="H11" s="5">
        <v>765</v>
      </c>
      <c r="I11" s="5">
        <v>25</v>
      </c>
      <c r="J11" s="5">
        <f t="shared" si="0"/>
        <v>740</v>
      </c>
      <c r="K11" s="5" t="s">
        <v>125</v>
      </c>
      <c r="L11" s="5" t="s">
        <v>25</v>
      </c>
      <c r="M11" s="5" t="s">
        <v>898</v>
      </c>
      <c r="N11" s="5"/>
      <c r="O11" s="5"/>
      <c r="P11" s="5"/>
      <c r="Q11" s="5"/>
      <c r="R11">
        <v>1</v>
      </c>
    </row>
    <row r="12" spans="1:19" x14ac:dyDescent="0.25">
      <c r="A12" s="5" t="s">
        <v>91</v>
      </c>
      <c r="B12" s="5" t="s">
        <v>19</v>
      </c>
      <c r="C12" s="5" t="s">
        <v>514</v>
      </c>
      <c r="D12" s="5"/>
      <c r="E12" s="5">
        <v>12</v>
      </c>
      <c r="F12" s="5" t="s">
        <v>515</v>
      </c>
      <c r="G12" s="5">
        <v>4</v>
      </c>
      <c r="H12" s="5">
        <v>30</v>
      </c>
      <c r="I12" s="5">
        <v>30</v>
      </c>
      <c r="J12" s="5">
        <f t="shared" si="0"/>
        <v>0</v>
      </c>
      <c r="K12" s="5" t="s">
        <v>125</v>
      </c>
      <c r="L12" s="5" t="s">
        <v>25</v>
      </c>
      <c r="M12" s="5" t="s">
        <v>898</v>
      </c>
      <c r="N12" s="5"/>
      <c r="O12" s="5"/>
      <c r="P12" s="5"/>
      <c r="Q12" s="5"/>
      <c r="R12">
        <v>1</v>
      </c>
    </row>
    <row r="13" spans="1:19" x14ac:dyDescent="0.25">
      <c r="A13" s="5"/>
      <c r="B13" s="5" t="s">
        <v>19</v>
      </c>
      <c r="C13" s="5" t="s">
        <v>925</v>
      </c>
      <c r="D13" s="5" t="s">
        <v>926</v>
      </c>
      <c r="E13" s="5" t="s">
        <v>758</v>
      </c>
      <c r="F13" s="5" t="s">
        <v>759</v>
      </c>
      <c r="G13" s="5">
        <v>5</v>
      </c>
      <c r="H13" s="5">
        <v>0</v>
      </c>
      <c r="I13" s="5">
        <v>25</v>
      </c>
      <c r="J13" s="5">
        <f t="shared" si="0"/>
        <v>-25</v>
      </c>
      <c r="K13" s="5" t="s">
        <v>125</v>
      </c>
      <c r="L13" s="5" t="s">
        <v>25</v>
      </c>
      <c r="M13" s="5" t="s">
        <v>898</v>
      </c>
      <c r="N13" s="5"/>
      <c r="O13" s="5"/>
      <c r="P13" s="5"/>
      <c r="Q13" s="5"/>
      <c r="R13">
        <v>1</v>
      </c>
      <c r="S13">
        <v>25</v>
      </c>
    </row>
    <row r="14" spans="1:19" x14ac:dyDescent="0.25">
      <c r="A14" s="5"/>
      <c r="B14" s="5" t="s">
        <v>19</v>
      </c>
      <c r="C14" s="5" t="s">
        <v>927</v>
      </c>
      <c r="D14" s="5" t="s">
        <v>928</v>
      </c>
      <c r="E14" s="5" t="s">
        <v>929</v>
      </c>
      <c r="F14" s="5" t="s">
        <v>221</v>
      </c>
      <c r="G14" s="5">
        <v>5</v>
      </c>
      <c r="H14" s="5">
        <v>0</v>
      </c>
      <c r="I14" s="5">
        <v>25</v>
      </c>
      <c r="J14" s="5">
        <f t="shared" si="0"/>
        <v>-25</v>
      </c>
      <c r="K14" s="5" t="s">
        <v>125</v>
      </c>
      <c r="L14" s="5" t="s">
        <v>25</v>
      </c>
      <c r="M14" s="5" t="s">
        <v>898</v>
      </c>
      <c r="N14" s="5"/>
      <c r="O14" s="5"/>
      <c r="P14" s="5"/>
      <c r="Q14" s="5"/>
      <c r="R14">
        <v>1</v>
      </c>
      <c r="S14">
        <v>25</v>
      </c>
    </row>
    <row r="15" spans="1:19" x14ac:dyDescent="0.25">
      <c r="A15" s="5"/>
      <c r="B15" s="5" t="s">
        <v>19</v>
      </c>
      <c r="C15" s="5" t="s">
        <v>930</v>
      </c>
      <c r="D15" s="5" t="s">
        <v>931</v>
      </c>
      <c r="E15" s="5" t="s">
        <v>932</v>
      </c>
      <c r="F15" s="5" t="s">
        <v>933</v>
      </c>
      <c r="G15" s="5">
        <v>10</v>
      </c>
      <c r="H15" s="5">
        <v>845</v>
      </c>
      <c r="I15" s="5">
        <v>25</v>
      </c>
      <c r="J15" s="5">
        <f t="shared" si="0"/>
        <v>820</v>
      </c>
      <c r="K15" s="5" t="s">
        <v>125</v>
      </c>
      <c r="L15" s="5" t="s">
        <v>25</v>
      </c>
      <c r="M15" s="5" t="s">
        <v>898</v>
      </c>
      <c r="N15" s="5"/>
      <c r="O15" s="5"/>
      <c r="P15" s="5"/>
      <c r="Q15" s="5"/>
      <c r="R15">
        <v>1</v>
      </c>
    </row>
    <row r="16" spans="1:19" x14ac:dyDescent="0.25">
      <c r="A16" s="5"/>
      <c r="B16" s="5" t="s">
        <v>19</v>
      </c>
      <c r="C16" s="5" t="s">
        <v>934</v>
      </c>
      <c r="D16" s="5" t="s">
        <v>935</v>
      </c>
      <c r="E16" s="5" t="s">
        <v>936</v>
      </c>
      <c r="F16" s="5" t="s">
        <v>937</v>
      </c>
      <c r="G16" s="5">
        <v>10</v>
      </c>
      <c r="H16" s="5">
        <v>0</v>
      </c>
      <c r="I16" s="5">
        <v>25</v>
      </c>
      <c r="J16" s="5">
        <f t="shared" si="0"/>
        <v>-25</v>
      </c>
      <c r="K16" s="5" t="s">
        <v>125</v>
      </c>
      <c r="L16" s="5" t="s">
        <v>25</v>
      </c>
      <c r="M16" s="5" t="s">
        <v>898</v>
      </c>
      <c r="N16" s="5"/>
      <c r="O16" s="5"/>
      <c r="P16" s="5"/>
      <c r="Q16" s="5"/>
      <c r="R16">
        <v>1</v>
      </c>
      <c r="S16">
        <v>25</v>
      </c>
    </row>
    <row r="17" spans="1:19" x14ac:dyDescent="0.25">
      <c r="A17" s="5"/>
      <c r="B17" s="5" t="s">
        <v>19</v>
      </c>
      <c r="C17" s="5" t="s">
        <v>765</v>
      </c>
      <c r="D17" s="5" t="s">
        <v>938</v>
      </c>
      <c r="E17" s="5">
        <v>258</v>
      </c>
      <c r="F17" s="5" t="s">
        <v>767</v>
      </c>
      <c r="G17" s="5">
        <v>10</v>
      </c>
      <c r="H17" s="5">
        <v>0</v>
      </c>
      <c r="I17" s="5">
        <v>25</v>
      </c>
      <c r="J17" s="5">
        <f t="shared" si="0"/>
        <v>-25</v>
      </c>
      <c r="K17" s="5" t="s">
        <v>125</v>
      </c>
      <c r="L17" s="5" t="s">
        <v>25</v>
      </c>
      <c r="M17" s="5" t="s">
        <v>898</v>
      </c>
      <c r="N17" s="6" t="s">
        <v>566</v>
      </c>
      <c r="O17" s="5"/>
      <c r="P17" s="5"/>
      <c r="Q17" s="5"/>
      <c r="R17">
        <v>1</v>
      </c>
      <c r="S17">
        <v>25</v>
      </c>
    </row>
    <row r="18" spans="1:19" x14ac:dyDescent="0.25">
      <c r="A18" s="5"/>
      <c r="B18" s="5" t="s">
        <v>19</v>
      </c>
      <c r="C18" s="5" t="s">
        <v>939</v>
      </c>
      <c r="D18" s="5" t="s">
        <v>940</v>
      </c>
      <c r="E18" s="5">
        <v>334</v>
      </c>
      <c r="F18" s="5" t="s">
        <v>146</v>
      </c>
      <c r="G18" s="5">
        <v>10</v>
      </c>
      <c r="H18" s="5">
        <v>845</v>
      </c>
      <c r="I18" s="5">
        <v>25</v>
      </c>
      <c r="J18" s="5">
        <f t="shared" si="0"/>
        <v>820</v>
      </c>
      <c r="K18" s="5" t="s">
        <v>125</v>
      </c>
      <c r="L18" s="5" t="s">
        <v>25</v>
      </c>
      <c r="M18" s="5" t="s">
        <v>898</v>
      </c>
      <c r="N18" s="5"/>
      <c r="O18" s="5"/>
      <c r="P18" s="5"/>
      <c r="Q18" s="5"/>
      <c r="R18">
        <v>1</v>
      </c>
    </row>
    <row r="19" spans="1:19" x14ac:dyDescent="0.25">
      <c r="A19" s="5"/>
      <c r="B19" s="5" t="s">
        <v>19</v>
      </c>
      <c r="C19" s="5" t="s">
        <v>941</v>
      </c>
      <c r="D19" s="5" t="s">
        <v>942</v>
      </c>
      <c r="E19" s="5" t="s">
        <v>943</v>
      </c>
      <c r="F19" s="5" t="s">
        <v>944</v>
      </c>
      <c r="G19" s="5" t="s">
        <v>151</v>
      </c>
      <c r="H19" s="5">
        <v>840</v>
      </c>
      <c r="I19" s="5">
        <v>20</v>
      </c>
      <c r="J19" s="5">
        <f t="shared" si="0"/>
        <v>820</v>
      </c>
      <c r="K19" s="5" t="s">
        <v>125</v>
      </c>
      <c r="L19" s="5" t="s">
        <v>25</v>
      </c>
      <c r="M19" s="5" t="s">
        <v>898</v>
      </c>
      <c r="N19" s="5"/>
      <c r="O19" s="5"/>
      <c r="P19" s="5"/>
      <c r="Q19" s="5"/>
      <c r="R19">
        <v>1</v>
      </c>
    </row>
    <row r="20" spans="1:19" x14ac:dyDescent="0.25">
      <c r="A20" s="5"/>
      <c r="B20" s="5" t="s">
        <v>19</v>
      </c>
      <c r="C20" s="5" t="s">
        <v>945</v>
      </c>
      <c r="D20" s="5" t="s">
        <v>946</v>
      </c>
      <c r="E20" s="5" t="s">
        <v>947</v>
      </c>
      <c r="F20" s="5" t="s">
        <v>404</v>
      </c>
      <c r="G20" s="5" t="s">
        <v>98</v>
      </c>
      <c r="H20" s="5">
        <v>0</v>
      </c>
      <c r="I20" s="5">
        <v>25</v>
      </c>
      <c r="J20" s="5">
        <f t="shared" si="0"/>
        <v>-25</v>
      </c>
      <c r="K20" s="5" t="s">
        <v>125</v>
      </c>
      <c r="L20" s="5" t="s">
        <v>25</v>
      </c>
      <c r="M20" s="5" t="s">
        <v>898</v>
      </c>
      <c r="N20" s="5"/>
      <c r="O20" s="5"/>
      <c r="P20" s="5"/>
      <c r="Q20" s="5"/>
      <c r="R20">
        <v>1</v>
      </c>
      <c r="S20">
        <v>25</v>
      </c>
    </row>
    <row r="21" spans="1:19" x14ac:dyDescent="0.25">
      <c r="A21" s="5"/>
      <c r="B21" s="5" t="s">
        <v>19</v>
      </c>
      <c r="C21" s="5" t="s">
        <v>948</v>
      </c>
      <c r="D21" s="5" t="s">
        <v>949</v>
      </c>
      <c r="E21" s="5" t="s">
        <v>180</v>
      </c>
      <c r="F21" s="5" t="s">
        <v>181</v>
      </c>
      <c r="G21" s="5">
        <v>6</v>
      </c>
      <c r="H21" s="5">
        <v>0</v>
      </c>
      <c r="I21" s="5">
        <v>25</v>
      </c>
      <c r="J21" s="5">
        <f t="shared" si="0"/>
        <v>-25</v>
      </c>
      <c r="K21" s="5" t="s">
        <v>950</v>
      </c>
      <c r="L21" s="5" t="s">
        <v>25</v>
      </c>
      <c r="M21" s="5" t="s">
        <v>898</v>
      </c>
      <c r="N21" s="5"/>
      <c r="O21" s="5"/>
      <c r="P21" s="5"/>
      <c r="Q21" s="5"/>
      <c r="R21">
        <v>1</v>
      </c>
      <c r="S21">
        <v>25</v>
      </c>
    </row>
    <row r="22" spans="1:19" s="4" customFormat="1" x14ac:dyDescent="0.25">
      <c r="A22" s="5" t="s">
        <v>91</v>
      </c>
      <c r="B22" s="5" t="s">
        <v>19</v>
      </c>
      <c r="C22" s="5" t="s">
        <v>179</v>
      </c>
      <c r="D22" s="5"/>
      <c r="E22" s="5" t="s">
        <v>180</v>
      </c>
      <c r="F22" s="5" t="s">
        <v>181</v>
      </c>
      <c r="G22" s="5">
        <v>6</v>
      </c>
      <c r="H22" s="5">
        <v>0</v>
      </c>
      <c r="I22" s="5">
        <v>30</v>
      </c>
      <c r="J22" s="5">
        <f t="shared" si="0"/>
        <v>-30</v>
      </c>
      <c r="K22" s="5" t="s">
        <v>950</v>
      </c>
      <c r="L22" s="5" t="s">
        <v>25</v>
      </c>
      <c r="M22" s="5" t="s">
        <v>898</v>
      </c>
      <c r="N22" s="5"/>
      <c r="O22" s="5"/>
      <c r="P22" s="5"/>
      <c r="Q22" s="5"/>
      <c r="R22" s="4">
        <v>1</v>
      </c>
      <c r="S22" s="4">
        <v>30</v>
      </c>
    </row>
    <row r="23" spans="1:19" x14ac:dyDescent="0.25">
      <c r="A23" s="5" t="s">
        <v>91</v>
      </c>
      <c r="B23" s="5" t="s">
        <v>19</v>
      </c>
      <c r="C23" s="5" t="s">
        <v>951</v>
      </c>
      <c r="D23" s="5"/>
      <c r="E23" s="5">
        <v>491</v>
      </c>
      <c r="F23" s="5" t="s">
        <v>952</v>
      </c>
      <c r="G23" s="5">
        <v>6</v>
      </c>
      <c r="H23" s="5">
        <v>1370</v>
      </c>
      <c r="I23" s="5">
        <v>30</v>
      </c>
      <c r="J23" s="5">
        <f t="shared" si="0"/>
        <v>1340</v>
      </c>
      <c r="K23" s="5" t="s">
        <v>950</v>
      </c>
      <c r="L23" s="5" t="s">
        <v>25</v>
      </c>
      <c r="M23" s="5" t="s">
        <v>898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953</v>
      </c>
      <c r="D24" s="5" t="s">
        <v>954</v>
      </c>
      <c r="E24" s="5" t="s">
        <v>955</v>
      </c>
      <c r="F24" s="5" t="s">
        <v>463</v>
      </c>
      <c r="G24" s="5">
        <v>7</v>
      </c>
      <c r="H24" s="5">
        <v>0</v>
      </c>
      <c r="I24" s="5">
        <v>30</v>
      </c>
      <c r="J24" s="5">
        <f t="shared" si="0"/>
        <v>-30</v>
      </c>
      <c r="K24" s="5" t="s">
        <v>950</v>
      </c>
      <c r="L24" s="5" t="s">
        <v>25</v>
      </c>
      <c r="M24" s="5" t="s">
        <v>898</v>
      </c>
      <c r="N24" s="5"/>
      <c r="O24" s="5"/>
      <c r="P24" s="5"/>
      <c r="Q24" s="5"/>
      <c r="R24">
        <v>1</v>
      </c>
      <c r="S24" s="4">
        <v>30</v>
      </c>
    </row>
    <row r="25" spans="1:19" x14ac:dyDescent="0.25">
      <c r="A25" s="20"/>
      <c r="B25" s="20" t="s">
        <v>19</v>
      </c>
      <c r="C25" s="20" t="s">
        <v>956</v>
      </c>
      <c r="D25" s="20"/>
      <c r="E25" s="20" t="s">
        <v>378</v>
      </c>
      <c r="F25" s="20" t="s">
        <v>583</v>
      </c>
      <c r="G25" s="20">
        <v>7</v>
      </c>
      <c r="H25" s="20">
        <v>0</v>
      </c>
      <c r="I25" s="20">
        <v>30</v>
      </c>
      <c r="J25" s="20">
        <f t="shared" si="0"/>
        <v>-30</v>
      </c>
      <c r="K25" s="20" t="s">
        <v>950</v>
      </c>
      <c r="L25" s="20" t="s">
        <v>25</v>
      </c>
      <c r="M25" s="20" t="s">
        <v>898</v>
      </c>
      <c r="N25" s="20" t="s">
        <v>472</v>
      </c>
      <c r="O25" s="20"/>
      <c r="P25" s="20"/>
      <c r="Q25" s="20"/>
      <c r="R25">
        <v>1</v>
      </c>
      <c r="S25">
        <v>30</v>
      </c>
    </row>
    <row r="26" spans="1:19" x14ac:dyDescent="0.25">
      <c r="A26" s="5"/>
      <c r="B26" s="5" t="s">
        <v>19</v>
      </c>
      <c r="C26" s="5" t="s">
        <v>957</v>
      </c>
      <c r="D26" s="5" t="s">
        <v>958</v>
      </c>
      <c r="E26" s="5">
        <v>4</v>
      </c>
      <c r="F26" s="5" t="s">
        <v>709</v>
      </c>
      <c r="G26" s="5">
        <v>7</v>
      </c>
      <c r="H26" s="5">
        <v>0</v>
      </c>
      <c r="I26" s="5">
        <v>25</v>
      </c>
      <c r="J26" s="5">
        <f t="shared" si="0"/>
        <v>-25</v>
      </c>
      <c r="K26" s="5" t="s">
        <v>950</v>
      </c>
      <c r="L26" s="5" t="s">
        <v>25</v>
      </c>
      <c r="M26" s="5" t="s">
        <v>898</v>
      </c>
      <c r="N26" s="5"/>
      <c r="O26" s="5"/>
      <c r="P26" s="5"/>
      <c r="Q26" s="5"/>
      <c r="R26">
        <v>1</v>
      </c>
      <c r="S26" s="4">
        <v>25</v>
      </c>
    </row>
    <row r="27" spans="1:19" x14ac:dyDescent="0.25">
      <c r="A27" s="5"/>
      <c r="B27" s="5" t="s">
        <v>19</v>
      </c>
      <c r="C27" s="5" t="s">
        <v>959</v>
      </c>
      <c r="D27" s="5" t="s">
        <v>960</v>
      </c>
      <c r="E27" s="5">
        <v>110</v>
      </c>
      <c r="F27" s="5" t="s">
        <v>231</v>
      </c>
      <c r="G27" s="5">
        <v>7</v>
      </c>
      <c r="H27" s="5">
        <v>850</v>
      </c>
      <c r="I27" s="5">
        <v>30</v>
      </c>
      <c r="J27" s="5">
        <f t="shared" si="0"/>
        <v>820</v>
      </c>
      <c r="K27" s="5" t="s">
        <v>950</v>
      </c>
      <c r="L27" s="5" t="s">
        <v>25</v>
      </c>
      <c r="M27" s="5" t="s">
        <v>898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961</v>
      </c>
      <c r="D28" s="5" t="s">
        <v>962</v>
      </c>
      <c r="E28" s="5" t="s">
        <v>963</v>
      </c>
      <c r="F28" s="5" t="s">
        <v>577</v>
      </c>
      <c r="G28" s="5">
        <v>7</v>
      </c>
      <c r="H28" s="5">
        <v>470</v>
      </c>
      <c r="I28" s="5">
        <v>30</v>
      </c>
      <c r="J28" s="5">
        <f t="shared" si="0"/>
        <v>440</v>
      </c>
      <c r="K28" s="5" t="s">
        <v>950</v>
      </c>
      <c r="L28" s="5" t="s">
        <v>25</v>
      </c>
      <c r="M28" s="5" t="s">
        <v>898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964</v>
      </c>
      <c r="D29" s="5" t="s">
        <v>965</v>
      </c>
      <c r="E29" s="5" t="s">
        <v>966</v>
      </c>
      <c r="F29" s="5" t="s">
        <v>386</v>
      </c>
      <c r="G29" s="5">
        <v>7</v>
      </c>
      <c r="H29" s="5">
        <v>850</v>
      </c>
      <c r="I29" s="5">
        <v>30</v>
      </c>
      <c r="J29" s="5">
        <f t="shared" si="0"/>
        <v>820</v>
      </c>
      <c r="K29" s="5" t="s">
        <v>950</v>
      </c>
      <c r="L29" s="5" t="s">
        <v>25</v>
      </c>
      <c r="M29" s="5" t="s">
        <v>898</v>
      </c>
      <c r="N29" s="5"/>
      <c r="O29" s="5"/>
      <c r="P29" s="5"/>
      <c r="Q29" s="5"/>
      <c r="R29">
        <v>1</v>
      </c>
    </row>
    <row r="30" spans="1:19" x14ac:dyDescent="0.25">
      <c r="A30" s="5"/>
      <c r="B30" s="5" t="s">
        <v>19</v>
      </c>
      <c r="C30" s="5" t="s">
        <v>967</v>
      </c>
      <c r="D30" s="5" t="s">
        <v>968</v>
      </c>
      <c r="E30" s="5" t="s">
        <v>969</v>
      </c>
      <c r="F30" s="5" t="s">
        <v>203</v>
      </c>
      <c r="G30" s="5">
        <v>7</v>
      </c>
      <c r="H30" s="5">
        <v>0</v>
      </c>
      <c r="I30" s="5">
        <v>25</v>
      </c>
      <c r="J30" s="5">
        <f t="shared" si="0"/>
        <v>-25</v>
      </c>
      <c r="K30" s="5" t="s">
        <v>950</v>
      </c>
      <c r="L30" s="5" t="s">
        <v>25</v>
      </c>
      <c r="M30" s="5" t="s">
        <v>898</v>
      </c>
      <c r="N30" s="5"/>
      <c r="O30" s="5"/>
      <c r="P30" s="5"/>
      <c r="Q30" s="5"/>
      <c r="R30">
        <v>1</v>
      </c>
      <c r="S30" s="4">
        <v>25</v>
      </c>
    </row>
    <row r="31" spans="1:19" x14ac:dyDescent="0.25">
      <c r="A31" s="20"/>
      <c r="B31" s="20" t="s">
        <v>19</v>
      </c>
      <c r="C31" s="20" t="s">
        <v>398</v>
      </c>
      <c r="D31" s="20" t="s">
        <v>970</v>
      </c>
      <c r="E31" s="20" t="s">
        <v>400</v>
      </c>
      <c r="F31" s="20" t="s">
        <v>397</v>
      </c>
      <c r="G31" s="20">
        <v>8</v>
      </c>
      <c r="H31" s="20">
        <v>285</v>
      </c>
      <c r="I31" s="20">
        <v>25</v>
      </c>
      <c r="J31" s="20">
        <f t="shared" si="0"/>
        <v>260</v>
      </c>
      <c r="K31" s="20" t="s">
        <v>950</v>
      </c>
      <c r="L31" s="20" t="s">
        <v>25</v>
      </c>
      <c r="M31" s="20" t="s">
        <v>898</v>
      </c>
      <c r="N31" s="20" t="s">
        <v>472</v>
      </c>
      <c r="O31" s="20"/>
      <c r="P31" s="20"/>
      <c r="Q31" s="20"/>
      <c r="R31">
        <v>1</v>
      </c>
    </row>
    <row r="32" spans="1:19" x14ac:dyDescent="0.25">
      <c r="A32" s="5"/>
      <c r="B32" s="5" t="s">
        <v>19</v>
      </c>
      <c r="C32" s="5" t="s">
        <v>213</v>
      </c>
      <c r="D32" s="5" t="s">
        <v>971</v>
      </c>
      <c r="E32" s="5">
        <v>30</v>
      </c>
      <c r="F32" s="5" t="s">
        <v>972</v>
      </c>
      <c r="G32" s="5">
        <v>8</v>
      </c>
      <c r="H32" s="5">
        <v>915</v>
      </c>
      <c r="I32" s="5">
        <v>25</v>
      </c>
      <c r="J32" s="5">
        <f t="shared" si="0"/>
        <v>890</v>
      </c>
      <c r="K32" s="5" t="s">
        <v>950</v>
      </c>
      <c r="L32" s="5" t="s">
        <v>25</v>
      </c>
      <c r="M32" s="5" t="s">
        <v>898</v>
      </c>
      <c r="N32" s="5"/>
      <c r="O32" s="5"/>
      <c r="P32" s="5"/>
      <c r="Q32" s="5"/>
      <c r="R32">
        <v>1</v>
      </c>
    </row>
    <row r="33" spans="1:19" x14ac:dyDescent="0.25">
      <c r="A33" s="5"/>
      <c r="B33" s="5" t="s">
        <v>19</v>
      </c>
      <c r="C33" s="5" t="s">
        <v>973</v>
      </c>
      <c r="D33" s="5" t="s">
        <v>974</v>
      </c>
      <c r="E33" s="5">
        <v>114</v>
      </c>
      <c r="F33" s="5" t="s">
        <v>975</v>
      </c>
      <c r="G33" s="5">
        <v>8</v>
      </c>
      <c r="H33" s="5">
        <v>845</v>
      </c>
      <c r="I33" s="5">
        <v>25</v>
      </c>
      <c r="J33" s="5">
        <f t="shared" si="0"/>
        <v>820</v>
      </c>
      <c r="K33" s="5" t="s">
        <v>950</v>
      </c>
      <c r="L33" s="5" t="s">
        <v>25</v>
      </c>
      <c r="M33" s="5" t="s">
        <v>898</v>
      </c>
      <c r="N33" s="5"/>
      <c r="O33" s="5"/>
      <c r="P33" s="5"/>
      <c r="Q33" s="5"/>
      <c r="R33">
        <v>1</v>
      </c>
    </row>
    <row r="34" spans="1:19" x14ac:dyDescent="0.25">
      <c r="A34" s="5"/>
      <c r="B34" s="5" t="s">
        <v>19</v>
      </c>
      <c r="C34" s="5" t="s">
        <v>219</v>
      </c>
      <c r="D34" s="5" t="s">
        <v>976</v>
      </c>
      <c r="E34" s="5">
        <v>910</v>
      </c>
      <c r="F34" s="5" t="s">
        <v>221</v>
      </c>
      <c r="G34" s="5">
        <v>11</v>
      </c>
      <c r="H34" s="5">
        <v>1005</v>
      </c>
      <c r="I34" s="5">
        <v>25</v>
      </c>
      <c r="J34" s="5">
        <f t="shared" si="0"/>
        <v>980</v>
      </c>
      <c r="K34" s="5" t="s">
        <v>950</v>
      </c>
      <c r="L34" s="5" t="s">
        <v>25</v>
      </c>
      <c r="M34" s="5" t="s">
        <v>898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977</v>
      </c>
      <c r="D35" s="5" t="s">
        <v>978</v>
      </c>
      <c r="E35" s="5">
        <v>375</v>
      </c>
      <c r="F35" s="5" t="s">
        <v>228</v>
      </c>
      <c r="G35" s="5">
        <v>12</v>
      </c>
      <c r="H35" s="5">
        <v>0</v>
      </c>
      <c r="I35" s="5">
        <v>30</v>
      </c>
      <c r="J35" s="5">
        <f t="shared" ref="J35:J60" si="1">H35-I35</f>
        <v>-30</v>
      </c>
      <c r="K35" s="5" t="s">
        <v>950</v>
      </c>
      <c r="L35" s="5" t="s">
        <v>25</v>
      </c>
      <c r="M35" s="5" t="s">
        <v>898</v>
      </c>
      <c r="N35" s="5"/>
      <c r="O35" s="5"/>
      <c r="P35" s="5"/>
      <c r="Q35" s="5"/>
      <c r="R35">
        <v>1</v>
      </c>
      <c r="S35">
        <v>30</v>
      </c>
    </row>
    <row r="36" spans="1:19" x14ac:dyDescent="0.25">
      <c r="A36" s="5"/>
      <c r="B36" s="5" t="s">
        <v>19</v>
      </c>
      <c r="C36" s="5" t="s">
        <v>608</v>
      </c>
      <c r="D36" s="5" t="s">
        <v>979</v>
      </c>
      <c r="E36" s="5">
        <v>375</v>
      </c>
      <c r="F36" s="5" t="s">
        <v>228</v>
      </c>
      <c r="G36" s="5">
        <v>12</v>
      </c>
      <c r="H36" s="5">
        <v>0</v>
      </c>
      <c r="I36" s="5">
        <v>30</v>
      </c>
      <c r="J36" s="5">
        <f t="shared" si="1"/>
        <v>-30</v>
      </c>
      <c r="K36" s="5" t="s">
        <v>950</v>
      </c>
      <c r="L36" s="5" t="s">
        <v>25</v>
      </c>
      <c r="M36" s="5" t="s">
        <v>898</v>
      </c>
      <c r="N36" s="5"/>
      <c r="O36" s="5"/>
      <c r="P36" s="5"/>
      <c r="Q36" s="5"/>
      <c r="R36">
        <v>1</v>
      </c>
      <c r="S36">
        <v>30</v>
      </c>
    </row>
    <row r="37" spans="1:19" x14ac:dyDescent="0.25">
      <c r="A37" s="5"/>
      <c r="B37" s="5" t="s">
        <v>19</v>
      </c>
      <c r="C37" s="5" t="s">
        <v>980</v>
      </c>
      <c r="D37" s="5" t="s">
        <v>981</v>
      </c>
      <c r="E37" s="5">
        <v>163</v>
      </c>
      <c r="F37" s="5" t="s">
        <v>410</v>
      </c>
      <c r="G37" s="5">
        <v>12</v>
      </c>
      <c r="H37" s="5">
        <v>0</v>
      </c>
      <c r="I37" s="5">
        <v>30</v>
      </c>
      <c r="J37" s="5">
        <f t="shared" si="1"/>
        <v>-30</v>
      </c>
      <c r="K37" s="5" t="s">
        <v>950</v>
      </c>
      <c r="L37" s="5" t="s">
        <v>25</v>
      </c>
      <c r="M37" s="5" t="s">
        <v>898</v>
      </c>
      <c r="N37" s="5"/>
      <c r="O37" s="5"/>
      <c r="P37" s="5"/>
      <c r="Q37" s="5"/>
      <c r="R37">
        <v>1</v>
      </c>
      <c r="S37">
        <v>30</v>
      </c>
    </row>
    <row r="38" spans="1:19" x14ac:dyDescent="0.25">
      <c r="A38" s="20"/>
      <c r="B38" s="20" t="s">
        <v>19</v>
      </c>
      <c r="C38" s="20" t="s">
        <v>982</v>
      </c>
      <c r="D38" s="20" t="s">
        <v>983</v>
      </c>
      <c r="E38" s="20" t="s">
        <v>984</v>
      </c>
      <c r="F38" s="20" t="s">
        <v>985</v>
      </c>
      <c r="G38" s="20" t="s">
        <v>232</v>
      </c>
      <c r="H38" s="20">
        <v>2380</v>
      </c>
      <c r="I38" s="20">
        <v>40</v>
      </c>
      <c r="J38" s="20">
        <f t="shared" si="1"/>
        <v>2340</v>
      </c>
      <c r="K38" s="20" t="s">
        <v>950</v>
      </c>
      <c r="L38" s="20" t="s">
        <v>25</v>
      </c>
      <c r="M38" s="20" t="s">
        <v>898</v>
      </c>
      <c r="N38" s="20" t="s">
        <v>498</v>
      </c>
      <c r="O38" s="20"/>
      <c r="P38" s="20"/>
      <c r="Q38" s="20"/>
      <c r="R38">
        <v>1</v>
      </c>
    </row>
    <row r="39" spans="1:19" x14ac:dyDescent="0.25">
      <c r="A39" s="5"/>
      <c r="B39" s="5" t="s">
        <v>19</v>
      </c>
      <c r="C39" s="5" t="s">
        <v>986</v>
      </c>
      <c r="D39" s="5" t="s">
        <v>987</v>
      </c>
      <c r="E39" s="5" t="s">
        <v>988</v>
      </c>
      <c r="F39" s="5" t="s">
        <v>258</v>
      </c>
      <c r="G39" s="5" t="s">
        <v>240</v>
      </c>
      <c r="H39" s="5">
        <v>710</v>
      </c>
      <c r="I39" s="5">
        <v>30</v>
      </c>
      <c r="J39" s="5">
        <f t="shared" si="1"/>
        <v>680</v>
      </c>
      <c r="K39" s="5" t="s">
        <v>950</v>
      </c>
      <c r="L39" s="5" t="s">
        <v>25</v>
      </c>
      <c r="M39" s="5" t="s">
        <v>898</v>
      </c>
      <c r="N39" s="5"/>
      <c r="O39" s="5"/>
      <c r="P39" s="5"/>
      <c r="Q39" s="5"/>
      <c r="R39">
        <v>1</v>
      </c>
    </row>
    <row r="40" spans="1:19" x14ac:dyDescent="0.25">
      <c r="A40" s="20"/>
      <c r="B40" s="20" t="s">
        <v>19</v>
      </c>
      <c r="C40" s="20" t="s">
        <v>821</v>
      </c>
      <c r="D40" s="20" t="s">
        <v>989</v>
      </c>
      <c r="E40" s="20" t="s">
        <v>823</v>
      </c>
      <c r="F40" s="20" t="s">
        <v>262</v>
      </c>
      <c r="G40" s="20" t="s">
        <v>240</v>
      </c>
      <c r="H40" s="20">
        <v>30</v>
      </c>
      <c r="I40" s="20">
        <v>30</v>
      </c>
      <c r="J40" s="20">
        <f t="shared" si="1"/>
        <v>0</v>
      </c>
      <c r="K40" s="20" t="s">
        <v>950</v>
      </c>
      <c r="L40" s="20" t="s">
        <v>25</v>
      </c>
      <c r="M40" s="20" t="s">
        <v>898</v>
      </c>
      <c r="N40" s="20" t="s">
        <v>472</v>
      </c>
      <c r="O40" s="20"/>
      <c r="P40" s="20"/>
      <c r="Q40" s="20"/>
      <c r="R40">
        <v>1</v>
      </c>
    </row>
    <row r="41" spans="1:19" x14ac:dyDescent="0.25">
      <c r="A41" s="5"/>
      <c r="B41" s="5" t="s">
        <v>19</v>
      </c>
      <c r="C41" s="5" t="s">
        <v>776</v>
      </c>
      <c r="D41" s="5" t="s">
        <v>990</v>
      </c>
      <c r="E41" s="5" t="s">
        <v>825</v>
      </c>
      <c r="F41" s="5" t="s">
        <v>826</v>
      </c>
      <c r="G41" s="5" t="s">
        <v>240</v>
      </c>
      <c r="H41" s="5">
        <v>850</v>
      </c>
      <c r="I41" s="5">
        <v>30</v>
      </c>
      <c r="J41" s="5">
        <f t="shared" si="1"/>
        <v>820</v>
      </c>
      <c r="K41" s="5" t="s">
        <v>950</v>
      </c>
      <c r="L41" s="5" t="s">
        <v>25</v>
      </c>
      <c r="M41" s="5" t="s">
        <v>898</v>
      </c>
      <c r="N41" s="5"/>
      <c r="O41" s="5"/>
      <c r="P41" s="5"/>
      <c r="Q41" s="5"/>
      <c r="R41">
        <v>1</v>
      </c>
    </row>
    <row r="42" spans="1:19" x14ac:dyDescent="0.25">
      <c r="A42" s="5"/>
      <c r="B42" s="5" t="s">
        <v>19</v>
      </c>
      <c r="C42" s="5" t="s">
        <v>991</v>
      </c>
      <c r="D42" s="5" t="s">
        <v>992</v>
      </c>
      <c r="E42" s="5" t="s">
        <v>265</v>
      </c>
      <c r="F42" s="5" t="s">
        <v>266</v>
      </c>
      <c r="G42" s="5" t="s">
        <v>240</v>
      </c>
      <c r="H42" s="5">
        <v>850</v>
      </c>
      <c r="I42" s="5">
        <v>30</v>
      </c>
      <c r="J42" s="5">
        <f t="shared" si="1"/>
        <v>820</v>
      </c>
      <c r="K42" s="5" t="s">
        <v>950</v>
      </c>
      <c r="L42" s="5" t="s">
        <v>25</v>
      </c>
      <c r="M42" s="5" t="s">
        <v>898</v>
      </c>
      <c r="N42" s="5"/>
      <c r="O42" s="5"/>
      <c r="P42" s="5"/>
      <c r="Q42" s="5"/>
      <c r="R42">
        <v>1</v>
      </c>
    </row>
    <row r="43" spans="1:19" x14ac:dyDescent="0.25">
      <c r="A43" s="5"/>
      <c r="B43" s="5" t="s">
        <v>19</v>
      </c>
      <c r="C43" s="5" t="s">
        <v>993</v>
      </c>
      <c r="D43" s="5" t="s">
        <v>994</v>
      </c>
      <c r="E43" s="5" t="s">
        <v>995</v>
      </c>
      <c r="F43" s="5" t="s">
        <v>996</v>
      </c>
      <c r="G43" s="5" t="s">
        <v>281</v>
      </c>
      <c r="H43" s="5">
        <v>825</v>
      </c>
      <c r="I43" s="5">
        <v>35</v>
      </c>
      <c r="J43" s="5">
        <f t="shared" si="1"/>
        <v>790</v>
      </c>
      <c r="K43" s="5" t="s">
        <v>950</v>
      </c>
      <c r="L43" s="5" t="s">
        <v>25</v>
      </c>
      <c r="M43" s="5" t="s">
        <v>898</v>
      </c>
      <c r="N43" s="5"/>
      <c r="O43" s="5"/>
      <c r="P43" s="5"/>
      <c r="Q43" s="5"/>
      <c r="R43">
        <v>1</v>
      </c>
    </row>
    <row r="44" spans="1:19" x14ac:dyDescent="0.25">
      <c r="A44" s="5"/>
      <c r="B44" s="5" t="s">
        <v>19</v>
      </c>
      <c r="C44" s="5" t="s">
        <v>997</v>
      </c>
      <c r="D44" s="5" t="s">
        <v>998</v>
      </c>
      <c r="E44" s="5">
        <v>52</v>
      </c>
      <c r="F44" s="5" t="s">
        <v>999</v>
      </c>
      <c r="G44" s="5" t="s">
        <v>98</v>
      </c>
      <c r="H44" s="5">
        <v>735</v>
      </c>
      <c r="I44" s="5">
        <v>25</v>
      </c>
      <c r="J44" s="5">
        <f t="shared" si="1"/>
        <v>710</v>
      </c>
      <c r="K44" s="5" t="s">
        <v>950</v>
      </c>
      <c r="L44" s="5" t="s">
        <v>25</v>
      </c>
      <c r="M44" s="5" t="s">
        <v>898</v>
      </c>
      <c r="N44" s="5"/>
      <c r="O44" s="5"/>
      <c r="P44" s="5"/>
      <c r="Q44" s="5"/>
      <c r="R44">
        <v>1</v>
      </c>
    </row>
    <row r="45" spans="1:19" x14ac:dyDescent="0.25">
      <c r="A45" s="5" t="s">
        <v>91</v>
      </c>
      <c r="B45" s="5" t="s">
        <v>19</v>
      </c>
      <c r="C45" s="5" t="s">
        <v>1000</v>
      </c>
      <c r="D45" s="5"/>
      <c r="E45" s="5" t="s">
        <v>838</v>
      </c>
      <c r="F45" s="5" t="s">
        <v>759</v>
      </c>
      <c r="G45" s="5" t="s">
        <v>98</v>
      </c>
      <c r="H45" s="5">
        <v>0</v>
      </c>
      <c r="I45" s="5">
        <v>30</v>
      </c>
      <c r="J45" s="5">
        <f t="shared" si="1"/>
        <v>-30</v>
      </c>
      <c r="K45" s="5" t="s">
        <v>950</v>
      </c>
      <c r="L45" s="5" t="s">
        <v>25</v>
      </c>
      <c r="M45" s="5" t="s">
        <v>898</v>
      </c>
      <c r="N45" s="5"/>
      <c r="O45" s="5"/>
      <c r="P45" s="5"/>
      <c r="Q45" s="5"/>
      <c r="R45">
        <v>1</v>
      </c>
      <c r="S45">
        <v>30</v>
      </c>
    </row>
    <row r="46" spans="1:19" x14ac:dyDescent="0.25">
      <c r="A46" s="5"/>
      <c r="B46" s="5" t="s">
        <v>19</v>
      </c>
      <c r="C46" s="5" t="s">
        <v>1001</v>
      </c>
      <c r="D46" s="5" t="s">
        <v>1002</v>
      </c>
      <c r="E46" s="5" t="s">
        <v>1003</v>
      </c>
      <c r="F46" s="5" t="s">
        <v>1004</v>
      </c>
      <c r="G46" s="5" t="s">
        <v>286</v>
      </c>
      <c r="H46" s="5">
        <v>865</v>
      </c>
      <c r="I46" s="5">
        <v>25</v>
      </c>
      <c r="J46" s="5">
        <f t="shared" si="1"/>
        <v>840</v>
      </c>
      <c r="K46" s="5" t="s">
        <v>950</v>
      </c>
      <c r="L46" s="5" t="s">
        <v>25</v>
      </c>
      <c r="M46" s="5" t="s">
        <v>898</v>
      </c>
      <c r="N46" s="5"/>
      <c r="O46" s="5"/>
      <c r="P46" s="5"/>
      <c r="Q46" s="5"/>
      <c r="R46">
        <v>1</v>
      </c>
    </row>
    <row r="47" spans="1:19" x14ac:dyDescent="0.25">
      <c r="A47" s="5"/>
      <c r="B47" s="5" t="s">
        <v>19</v>
      </c>
      <c r="C47" s="5" t="s">
        <v>1005</v>
      </c>
      <c r="D47" s="5" t="s">
        <v>1006</v>
      </c>
      <c r="E47" s="5">
        <v>30</v>
      </c>
      <c r="F47" s="5" t="s">
        <v>615</v>
      </c>
      <c r="G47" s="5">
        <v>2</v>
      </c>
      <c r="H47" s="5">
        <v>850</v>
      </c>
      <c r="I47" s="5">
        <v>30</v>
      </c>
      <c r="J47" s="5">
        <f t="shared" si="1"/>
        <v>820</v>
      </c>
      <c r="K47" s="5" t="s">
        <v>25</v>
      </c>
      <c r="L47" s="5" t="s">
        <v>25</v>
      </c>
      <c r="M47" s="5" t="s">
        <v>898</v>
      </c>
      <c r="N47" s="5"/>
      <c r="O47" s="5"/>
      <c r="P47" s="5"/>
      <c r="Q47" s="5"/>
      <c r="R47">
        <v>1</v>
      </c>
    </row>
    <row r="48" spans="1:19" x14ac:dyDescent="0.25">
      <c r="A48" s="5"/>
      <c r="B48" s="5" t="s">
        <v>19</v>
      </c>
      <c r="C48" s="5" t="s">
        <v>1007</v>
      </c>
      <c r="D48" s="5" t="s">
        <v>1008</v>
      </c>
      <c r="E48" s="5" t="s">
        <v>1009</v>
      </c>
      <c r="F48" s="5" t="s">
        <v>1010</v>
      </c>
      <c r="G48" s="5">
        <v>2</v>
      </c>
      <c r="H48" s="5">
        <v>30</v>
      </c>
      <c r="I48" s="5">
        <v>30</v>
      </c>
      <c r="J48" s="5">
        <f t="shared" si="1"/>
        <v>0</v>
      </c>
      <c r="K48" s="5" t="s">
        <v>25</v>
      </c>
      <c r="L48" s="5" t="s">
        <v>25</v>
      </c>
      <c r="M48" s="5" t="s">
        <v>898</v>
      </c>
      <c r="N48" s="5"/>
      <c r="O48" s="5"/>
      <c r="P48" s="5"/>
      <c r="Q48" s="5"/>
      <c r="R48">
        <v>1</v>
      </c>
    </row>
    <row r="49" spans="1:19" x14ac:dyDescent="0.25">
      <c r="A49" s="5"/>
      <c r="B49" s="5" t="s">
        <v>19</v>
      </c>
      <c r="C49" s="5" t="s">
        <v>1011</v>
      </c>
      <c r="D49" s="5" t="s">
        <v>1012</v>
      </c>
      <c r="E49" s="5" t="s">
        <v>1013</v>
      </c>
      <c r="F49" s="5" t="s">
        <v>1014</v>
      </c>
      <c r="G49" s="5">
        <v>2</v>
      </c>
      <c r="H49" s="5">
        <v>786</v>
      </c>
      <c r="I49" s="5">
        <v>30</v>
      </c>
      <c r="J49" s="5">
        <f t="shared" si="1"/>
        <v>756</v>
      </c>
      <c r="K49" s="5" t="s">
        <v>25</v>
      </c>
      <c r="L49" s="5" t="s">
        <v>25</v>
      </c>
      <c r="M49" s="5" t="s">
        <v>898</v>
      </c>
      <c r="N49" s="5"/>
      <c r="O49" s="5"/>
      <c r="P49" s="5"/>
      <c r="Q49" s="5"/>
      <c r="R49">
        <v>1</v>
      </c>
    </row>
    <row r="50" spans="1:19" x14ac:dyDescent="0.25">
      <c r="A50" s="5"/>
      <c r="B50" s="5" t="s">
        <v>19</v>
      </c>
      <c r="C50" s="5" t="s">
        <v>1015</v>
      </c>
      <c r="D50" s="5" t="s">
        <v>1016</v>
      </c>
      <c r="E50" s="5" t="s">
        <v>1017</v>
      </c>
      <c r="F50" s="5" t="s">
        <v>670</v>
      </c>
      <c r="G50" s="5" t="s">
        <v>58</v>
      </c>
      <c r="H50" s="5">
        <v>880</v>
      </c>
      <c r="I50" s="5">
        <v>20</v>
      </c>
      <c r="J50" s="5">
        <f t="shared" si="1"/>
        <v>860</v>
      </c>
      <c r="K50" s="5" t="s">
        <v>25</v>
      </c>
      <c r="L50" s="5" t="s">
        <v>25</v>
      </c>
      <c r="M50" s="5" t="s">
        <v>898</v>
      </c>
      <c r="N50" s="5"/>
      <c r="O50" s="5"/>
      <c r="P50" s="5"/>
      <c r="Q50" s="5"/>
      <c r="R50">
        <v>1</v>
      </c>
    </row>
    <row r="51" spans="1:19" x14ac:dyDescent="0.25">
      <c r="A51" s="5"/>
      <c r="B51" s="5" t="s">
        <v>19</v>
      </c>
      <c r="C51" s="5" t="s">
        <v>1018</v>
      </c>
      <c r="D51" s="5" t="s">
        <v>1019</v>
      </c>
      <c r="E51" s="5" t="s">
        <v>1020</v>
      </c>
      <c r="F51" s="5" t="s">
        <v>1021</v>
      </c>
      <c r="G51" s="5" t="s">
        <v>70</v>
      </c>
      <c r="H51" s="5">
        <v>715</v>
      </c>
      <c r="I51" s="5">
        <v>25</v>
      </c>
      <c r="J51" s="5">
        <f t="shared" si="1"/>
        <v>690</v>
      </c>
      <c r="K51" s="5" t="s">
        <v>25</v>
      </c>
      <c r="L51" s="5" t="s">
        <v>25</v>
      </c>
      <c r="M51" s="5" t="s">
        <v>898</v>
      </c>
      <c r="N51" s="5"/>
      <c r="O51" s="5"/>
      <c r="P51" s="5"/>
      <c r="Q51" s="5"/>
      <c r="R51">
        <v>1</v>
      </c>
    </row>
    <row r="52" spans="1:19" x14ac:dyDescent="0.25">
      <c r="A52" s="5"/>
      <c r="B52" s="5" t="s">
        <v>19</v>
      </c>
      <c r="C52" s="5" t="s">
        <v>1022</v>
      </c>
      <c r="D52" s="5" t="s">
        <v>1023</v>
      </c>
      <c r="E52" s="5">
        <v>31</v>
      </c>
      <c r="F52" s="5" t="s">
        <v>74</v>
      </c>
      <c r="G52" s="5" t="s">
        <v>70</v>
      </c>
      <c r="H52" s="5">
        <v>0</v>
      </c>
      <c r="I52" s="5">
        <v>25</v>
      </c>
      <c r="J52" s="5">
        <f t="shared" si="1"/>
        <v>-25</v>
      </c>
      <c r="K52" s="5" t="s">
        <v>25</v>
      </c>
      <c r="L52" s="5" t="s">
        <v>25</v>
      </c>
      <c r="M52" s="5" t="s">
        <v>898</v>
      </c>
      <c r="N52" s="5"/>
      <c r="O52" s="5"/>
      <c r="P52" s="5"/>
      <c r="Q52" s="5"/>
      <c r="R52">
        <v>1</v>
      </c>
      <c r="S52">
        <v>25</v>
      </c>
    </row>
    <row r="53" spans="1:19" x14ac:dyDescent="0.25">
      <c r="A53" s="5" t="s">
        <v>91</v>
      </c>
      <c r="B53" s="5" t="s">
        <v>19</v>
      </c>
      <c r="C53" s="5" t="s">
        <v>866</v>
      </c>
      <c r="D53" s="5"/>
      <c r="E53" s="5">
        <v>401</v>
      </c>
      <c r="F53" s="5" t="s">
        <v>481</v>
      </c>
      <c r="G53" s="5" t="s">
        <v>70</v>
      </c>
      <c r="H53" s="5">
        <v>4290</v>
      </c>
      <c r="I53" s="5">
        <v>30</v>
      </c>
      <c r="J53" s="5">
        <f t="shared" si="1"/>
        <v>4260</v>
      </c>
      <c r="K53" s="5" t="s">
        <v>25</v>
      </c>
      <c r="L53" s="5" t="s">
        <v>25</v>
      </c>
      <c r="M53" s="5" t="s">
        <v>898</v>
      </c>
      <c r="N53" s="5"/>
      <c r="O53" s="5"/>
      <c r="P53" s="5"/>
      <c r="Q53" s="5"/>
      <c r="R53">
        <v>1</v>
      </c>
    </row>
    <row r="54" spans="1:19" x14ac:dyDescent="0.25">
      <c r="A54" s="5"/>
      <c r="B54" s="5" t="s">
        <v>19</v>
      </c>
      <c r="C54" s="5" t="s">
        <v>1024</v>
      </c>
      <c r="D54" s="5" t="s">
        <v>1025</v>
      </c>
      <c r="E54" s="5">
        <v>839</v>
      </c>
      <c r="F54" s="5" t="s">
        <v>481</v>
      </c>
      <c r="G54" s="5" t="s">
        <v>70</v>
      </c>
      <c r="H54" s="5">
        <v>0</v>
      </c>
      <c r="I54" s="5">
        <v>25</v>
      </c>
      <c r="J54" s="5">
        <f t="shared" si="1"/>
        <v>-25</v>
      </c>
      <c r="K54" s="5" t="s">
        <v>25</v>
      </c>
      <c r="L54" s="5" t="s">
        <v>25</v>
      </c>
      <c r="M54" s="5" t="s">
        <v>898</v>
      </c>
      <c r="N54" s="5"/>
      <c r="O54" s="5"/>
      <c r="P54" s="5"/>
      <c r="Q54" s="5"/>
      <c r="R54">
        <v>1</v>
      </c>
      <c r="S54">
        <v>25</v>
      </c>
    </row>
    <row r="55" spans="1:19" x14ac:dyDescent="0.25">
      <c r="A55" s="5" t="s">
        <v>91</v>
      </c>
      <c r="B55" s="5" t="s">
        <v>19</v>
      </c>
      <c r="C55" s="5" t="s">
        <v>482</v>
      </c>
      <c r="D55" s="5"/>
      <c r="E55" s="5">
        <v>685</v>
      </c>
      <c r="F55" s="5" t="s">
        <v>93</v>
      </c>
      <c r="G55" s="5" t="s">
        <v>70</v>
      </c>
      <c r="H55" s="5">
        <v>30</v>
      </c>
      <c r="I55" s="5">
        <v>30</v>
      </c>
      <c r="J55" s="5">
        <f t="shared" si="1"/>
        <v>0</v>
      </c>
      <c r="K55" s="5" t="s">
        <v>25</v>
      </c>
      <c r="L55" s="5" t="s">
        <v>25</v>
      </c>
      <c r="M55" s="5" t="s">
        <v>898</v>
      </c>
      <c r="N55" s="5"/>
      <c r="O55" s="5"/>
      <c r="P55" s="5"/>
      <c r="Q55" s="5"/>
      <c r="R55">
        <v>1</v>
      </c>
    </row>
    <row r="56" spans="1:19" x14ac:dyDescent="0.25">
      <c r="A56" s="5" t="s">
        <v>91</v>
      </c>
      <c r="B56" s="5" t="s">
        <v>19</v>
      </c>
      <c r="C56" s="5" t="s">
        <v>1026</v>
      </c>
      <c r="D56" s="5"/>
      <c r="E56" s="5">
        <v>5</v>
      </c>
      <c r="F56" s="5" t="s">
        <v>778</v>
      </c>
      <c r="G56" s="5" t="s">
        <v>98</v>
      </c>
      <c r="H56" s="5">
        <v>30</v>
      </c>
      <c r="I56" s="5">
        <v>30</v>
      </c>
      <c r="J56" s="5">
        <f t="shared" si="1"/>
        <v>0</v>
      </c>
      <c r="K56" s="5" t="s">
        <v>25</v>
      </c>
      <c r="L56" s="5" t="s">
        <v>25</v>
      </c>
      <c r="M56" s="5" t="s">
        <v>898</v>
      </c>
      <c r="N56" s="5"/>
      <c r="O56" s="5"/>
      <c r="P56" s="5"/>
      <c r="Q56" s="5"/>
      <c r="R56">
        <v>1</v>
      </c>
    </row>
    <row r="57" spans="1:19" x14ac:dyDescent="0.25">
      <c r="A57" s="5"/>
      <c r="B57" s="5" t="s">
        <v>19</v>
      </c>
      <c r="C57" s="5" t="s">
        <v>1027</v>
      </c>
      <c r="D57" s="5" t="s">
        <v>1028</v>
      </c>
      <c r="E57" s="5">
        <v>72</v>
      </c>
      <c r="F57" s="5" t="s">
        <v>1029</v>
      </c>
      <c r="G57" s="5" t="s">
        <v>98</v>
      </c>
      <c r="H57" s="5">
        <v>1315</v>
      </c>
      <c r="I57" s="5">
        <v>25</v>
      </c>
      <c r="J57" s="5">
        <f t="shared" si="1"/>
        <v>1290</v>
      </c>
      <c r="K57" s="5" t="s">
        <v>25</v>
      </c>
      <c r="L57" s="5" t="s">
        <v>25</v>
      </c>
      <c r="M57" s="5" t="s">
        <v>898</v>
      </c>
      <c r="N57" s="5"/>
      <c r="O57" s="5"/>
      <c r="P57" s="5"/>
      <c r="Q57" s="5"/>
      <c r="R57">
        <v>1</v>
      </c>
    </row>
    <row r="58" spans="1:19" x14ac:dyDescent="0.25">
      <c r="A58" s="5"/>
      <c r="B58" s="5" t="s">
        <v>19</v>
      </c>
      <c r="C58" s="5" t="s">
        <v>1030</v>
      </c>
      <c r="D58" s="5" t="s">
        <v>1031</v>
      </c>
      <c r="E58" s="5" t="s">
        <v>1032</v>
      </c>
      <c r="F58" s="5" t="s">
        <v>1033</v>
      </c>
      <c r="G58" s="5">
        <v>9</v>
      </c>
      <c r="H58" s="5">
        <v>850</v>
      </c>
      <c r="I58" s="5">
        <v>30</v>
      </c>
      <c r="J58" s="5">
        <f t="shared" si="1"/>
        <v>820</v>
      </c>
      <c r="K58" s="5" t="s">
        <v>120</v>
      </c>
      <c r="L58" s="5" t="s">
        <v>25</v>
      </c>
      <c r="M58" s="5" t="s">
        <v>898</v>
      </c>
      <c r="N58" s="5"/>
      <c r="O58" s="5"/>
      <c r="P58" s="5"/>
      <c r="Q58" s="5"/>
      <c r="R58">
        <v>1</v>
      </c>
    </row>
    <row r="59" spans="1:19" x14ac:dyDescent="0.25">
      <c r="A59" s="5"/>
      <c r="B59" s="5" t="s">
        <v>19</v>
      </c>
      <c r="C59" s="5" t="s">
        <v>1034</v>
      </c>
      <c r="D59" s="5" t="s">
        <v>1035</v>
      </c>
      <c r="E59" s="5" t="s">
        <v>1036</v>
      </c>
      <c r="F59" s="5" t="s">
        <v>1037</v>
      </c>
      <c r="G59" s="5">
        <v>9</v>
      </c>
      <c r="H59" s="5">
        <v>850</v>
      </c>
      <c r="I59" s="5">
        <v>30</v>
      </c>
      <c r="J59" s="5">
        <f t="shared" si="1"/>
        <v>820</v>
      </c>
      <c r="K59" s="5" t="s">
        <v>120</v>
      </c>
      <c r="L59" s="5" t="s">
        <v>25</v>
      </c>
      <c r="M59" s="5" t="s">
        <v>898</v>
      </c>
      <c r="N59" s="5"/>
      <c r="O59" s="5"/>
      <c r="P59" s="5"/>
      <c r="Q59" s="5"/>
      <c r="R59">
        <v>1</v>
      </c>
    </row>
    <row r="60" spans="1:19" x14ac:dyDescent="0.25">
      <c r="A60" s="5"/>
      <c r="B60" s="5" t="s">
        <v>19</v>
      </c>
      <c r="C60" s="5" t="s">
        <v>1038</v>
      </c>
      <c r="D60" s="5" t="s">
        <v>1039</v>
      </c>
      <c r="E60" s="5" t="s">
        <v>118</v>
      </c>
      <c r="F60" s="5" t="s">
        <v>670</v>
      </c>
      <c r="G60" s="5">
        <v>9</v>
      </c>
      <c r="H60" s="5">
        <v>850</v>
      </c>
      <c r="I60" s="5">
        <v>30</v>
      </c>
      <c r="J60" s="5">
        <f t="shared" si="1"/>
        <v>820</v>
      </c>
      <c r="K60" s="5" t="s">
        <v>120</v>
      </c>
      <c r="L60" s="5" t="s">
        <v>25</v>
      </c>
      <c r="M60" s="5" t="s">
        <v>898</v>
      </c>
      <c r="N60" s="5"/>
      <c r="O60" s="5"/>
      <c r="P60" s="5"/>
      <c r="Q60" s="5"/>
      <c r="R60">
        <v>1</v>
      </c>
    </row>
    <row r="62" spans="1:19" x14ac:dyDescent="0.25">
      <c r="H62">
        <f t="shared" ref="H62:S62" si="2">SUBTOTAL(9,H3:H61)</f>
        <v>33493</v>
      </c>
      <c r="I62">
        <f t="shared" si="2"/>
        <v>1590</v>
      </c>
      <c r="J62">
        <f t="shared" si="2"/>
        <v>31903</v>
      </c>
      <c r="K62">
        <f t="shared" si="2"/>
        <v>0</v>
      </c>
      <c r="L62">
        <f t="shared" si="2"/>
        <v>0</v>
      </c>
      <c r="M62">
        <f t="shared" si="2"/>
        <v>0</v>
      </c>
      <c r="N62">
        <f t="shared" si="2"/>
        <v>0</v>
      </c>
      <c r="O62">
        <f t="shared" si="2"/>
        <v>0</v>
      </c>
      <c r="P62">
        <f t="shared" si="2"/>
        <v>0</v>
      </c>
      <c r="Q62">
        <f t="shared" si="2"/>
        <v>0</v>
      </c>
      <c r="R62">
        <f t="shared" si="2"/>
        <v>58</v>
      </c>
      <c r="S62">
        <f t="shared" si="2"/>
        <v>485</v>
      </c>
    </row>
    <row r="63" spans="1:19" x14ac:dyDescent="0.25">
      <c r="J63">
        <v>-1765</v>
      </c>
      <c r="K63" t="s">
        <v>311</v>
      </c>
    </row>
    <row r="66" spans="1:13" ht="20.25" customHeight="1" x14ac:dyDescent="0.3">
      <c r="I66" s="7" t="s">
        <v>1040</v>
      </c>
      <c r="J66" s="8" t="s">
        <v>313</v>
      </c>
      <c r="K66" s="9" t="s">
        <v>314</v>
      </c>
    </row>
    <row r="67" spans="1:13" ht="15.75" customHeight="1" x14ac:dyDescent="0.25">
      <c r="I67" s="10" t="s">
        <v>315</v>
      </c>
      <c r="J67" s="11">
        <f>SUM(J61:J65)</f>
        <v>30138</v>
      </c>
      <c r="K67" s="11">
        <f>R62</f>
        <v>58</v>
      </c>
    </row>
    <row r="68" spans="1:13" x14ac:dyDescent="0.25">
      <c r="I68" s="12" t="s">
        <v>316</v>
      </c>
      <c r="J68" s="13">
        <f>S62</f>
        <v>485</v>
      </c>
      <c r="K68" s="14"/>
    </row>
    <row r="69" spans="1:13" x14ac:dyDescent="0.25">
      <c r="I69" s="12" t="s">
        <v>317</v>
      </c>
      <c r="J69" s="13">
        <f>T61</f>
        <v>0</v>
      </c>
      <c r="K69" s="14"/>
    </row>
    <row r="70" spans="1:13" x14ac:dyDescent="0.25">
      <c r="I70" s="12" t="s">
        <v>318</v>
      </c>
      <c r="J70" s="13">
        <f>U61</f>
        <v>0</v>
      </c>
      <c r="K70" s="14"/>
    </row>
    <row r="71" spans="1:13" x14ac:dyDescent="0.25">
      <c r="I71" s="12" t="s">
        <v>319</v>
      </c>
      <c r="J71" s="13">
        <f>V61</f>
        <v>0</v>
      </c>
      <c r="K71" s="14"/>
    </row>
    <row r="72" spans="1:13" ht="15.75" customHeight="1" x14ac:dyDescent="0.25">
      <c r="I72" s="15" t="s">
        <v>320</v>
      </c>
      <c r="J72" s="16"/>
      <c r="K72" s="16"/>
    </row>
    <row r="73" spans="1:13" ht="15.75" customHeight="1" x14ac:dyDescent="0.25">
      <c r="I73" s="17" t="s">
        <v>321</v>
      </c>
      <c r="J73" s="16"/>
      <c r="K73" s="16"/>
    </row>
    <row r="74" spans="1:13" ht="21" customHeight="1" x14ac:dyDescent="0.35">
      <c r="I74" s="18" t="s">
        <v>322</v>
      </c>
      <c r="J74" s="19">
        <f>SUM(J67:J73)</f>
        <v>30623</v>
      </c>
      <c r="K74" s="19">
        <f>SUM(K67:K71)</f>
        <v>58</v>
      </c>
    </row>
    <row r="76" spans="1:13" x14ac:dyDescent="0.25">
      <c r="A76" t="s">
        <v>488</v>
      </c>
    </row>
    <row r="77" spans="1:13" x14ac:dyDescent="0.25">
      <c r="A77" s="2" t="s">
        <v>19</v>
      </c>
      <c r="B77" s="2" t="s">
        <v>765</v>
      </c>
      <c r="C77" s="2" t="s">
        <v>938</v>
      </c>
      <c r="D77" s="2">
        <v>258</v>
      </c>
      <c r="E77" s="2" t="s">
        <v>767</v>
      </c>
      <c r="F77" s="2">
        <v>10</v>
      </c>
      <c r="G77" s="2">
        <v>845</v>
      </c>
      <c r="H77" s="2">
        <v>0</v>
      </c>
      <c r="I77" s="2">
        <f>G77-H77</f>
        <v>845</v>
      </c>
      <c r="J77" s="2" t="s">
        <v>125</v>
      </c>
      <c r="K77" s="2" t="s">
        <v>25</v>
      </c>
      <c r="L77" s="2" t="s">
        <v>898</v>
      </c>
      <c r="M77" s="3" t="s">
        <v>566</v>
      </c>
    </row>
    <row r="79" spans="1:13" x14ac:dyDescent="0.25">
      <c r="A79" t="s">
        <v>311</v>
      </c>
    </row>
    <row r="80" spans="1:13" x14ac:dyDescent="0.25">
      <c r="A80" s="2" t="s">
        <v>19</v>
      </c>
      <c r="B80" s="2" t="s">
        <v>634</v>
      </c>
      <c r="C80" s="2" t="s">
        <v>635</v>
      </c>
      <c r="D80" s="2" t="s">
        <v>636</v>
      </c>
      <c r="E80" s="2" t="s">
        <v>637</v>
      </c>
      <c r="F80" s="2" t="s">
        <v>286</v>
      </c>
      <c r="G80" s="2">
        <v>1765</v>
      </c>
      <c r="H80" s="2">
        <v>0</v>
      </c>
      <c r="I80" s="2">
        <f>G80-H80</f>
        <v>1765</v>
      </c>
      <c r="J80" s="2" t="s">
        <v>24</v>
      </c>
      <c r="K80" s="2" t="s">
        <v>25</v>
      </c>
      <c r="L80" s="2" t="s">
        <v>494</v>
      </c>
      <c r="M80" s="3" t="s">
        <v>1041</v>
      </c>
    </row>
  </sheetData>
  <autoFilter ref="A2:Q6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E1FA-A257-4DB1-A158-B07A0A13AA41}">
  <dimension ref="A1:S79"/>
  <sheetViews>
    <sheetView tabSelected="1" topLeftCell="A47" workbookViewId="0">
      <selection activeCell="J80" sqref="J80"/>
    </sheetView>
  </sheetViews>
  <sheetFormatPr defaultRowHeight="15" x14ac:dyDescent="0.25"/>
  <sheetData>
    <row r="1" spans="1:19" x14ac:dyDescent="0.25">
      <c r="B1" t="s">
        <v>0</v>
      </c>
      <c r="C1" t="s">
        <v>1042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s="4" customFormat="1" x14ac:dyDescent="0.25">
      <c r="A3" s="2"/>
      <c r="B3" s="2" t="s">
        <v>19</v>
      </c>
      <c r="C3" s="2" t="s">
        <v>1043</v>
      </c>
      <c r="D3" s="2" t="s">
        <v>1044</v>
      </c>
      <c r="E3" s="2" t="s">
        <v>1045</v>
      </c>
      <c r="F3" s="2" t="s">
        <v>922</v>
      </c>
      <c r="G3" s="2" t="s">
        <v>23</v>
      </c>
      <c r="H3" s="2">
        <v>840</v>
      </c>
      <c r="I3" s="2">
        <v>0</v>
      </c>
      <c r="J3" s="2">
        <f t="shared" ref="J3:J34" si="0">H3-I3</f>
        <v>840</v>
      </c>
      <c r="K3" s="2" t="s">
        <v>24</v>
      </c>
      <c r="L3" s="2" t="s">
        <v>25</v>
      </c>
      <c r="M3" s="2" t="s">
        <v>1046</v>
      </c>
      <c r="N3" s="3" t="s">
        <v>27</v>
      </c>
      <c r="O3" s="2" t="s">
        <v>28</v>
      </c>
      <c r="P3" s="2"/>
      <c r="Q3" s="2" t="s">
        <v>29</v>
      </c>
      <c r="R3" s="4">
        <v>1</v>
      </c>
    </row>
    <row r="4" spans="1:19" x14ac:dyDescent="0.25">
      <c r="A4" s="5"/>
      <c r="B4" s="5" t="s">
        <v>19</v>
      </c>
      <c r="C4" s="5" t="s">
        <v>1047</v>
      </c>
      <c r="D4" s="5" t="s">
        <v>1048</v>
      </c>
      <c r="E4" s="5">
        <v>48</v>
      </c>
      <c r="F4" s="5" t="s">
        <v>1049</v>
      </c>
      <c r="G4" s="5">
        <v>1</v>
      </c>
      <c r="H4" s="5">
        <v>765</v>
      </c>
      <c r="I4" s="5">
        <v>25</v>
      </c>
      <c r="J4" s="5">
        <f t="shared" si="0"/>
        <v>740</v>
      </c>
      <c r="K4" s="5" t="s">
        <v>125</v>
      </c>
      <c r="L4" s="5" t="s">
        <v>25</v>
      </c>
      <c r="M4" s="5" t="s">
        <v>1046</v>
      </c>
      <c r="N4" s="5"/>
      <c r="O4" s="5"/>
      <c r="P4" s="5"/>
      <c r="Q4" s="5"/>
      <c r="R4">
        <v>1</v>
      </c>
    </row>
    <row r="5" spans="1:19" x14ac:dyDescent="0.25">
      <c r="A5" s="20"/>
      <c r="B5" s="20" t="s">
        <v>19</v>
      </c>
      <c r="C5" s="20" t="s">
        <v>906</v>
      </c>
      <c r="D5" s="20" t="s">
        <v>1050</v>
      </c>
      <c r="E5" s="20">
        <v>84</v>
      </c>
      <c r="F5" s="20" t="s">
        <v>908</v>
      </c>
      <c r="G5" s="20">
        <v>1</v>
      </c>
      <c r="H5" s="20">
        <v>0</v>
      </c>
      <c r="I5" s="20">
        <v>25</v>
      </c>
      <c r="J5" s="20">
        <f t="shared" si="0"/>
        <v>-25</v>
      </c>
      <c r="K5" s="20" t="s">
        <v>125</v>
      </c>
      <c r="L5" s="20" t="s">
        <v>25</v>
      </c>
      <c r="M5" s="20" t="s">
        <v>1046</v>
      </c>
      <c r="N5" s="20" t="s">
        <v>472</v>
      </c>
      <c r="O5" s="20"/>
      <c r="P5" s="20"/>
      <c r="Q5" s="20"/>
      <c r="R5">
        <v>1</v>
      </c>
      <c r="S5">
        <v>25</v>
      </c>
    </row>
    <row r="6" spans="1:19" x14ac:dyDescent="0.25">
      <c r="A6" s="5"/>
      <c r="B6" s="5" t="s">
        <v>19</v>
      </c>
      <c r="C6" s="5" t="s">
        <v>1051</v>
      </c>
      <c r="D6" s="5" t="s">
        <v>1052</v>
      </c>
      <c r="E6" s="5">
        <v>301</v>
      </c>
      <c r="F6" s="5" t="s">
        <v>1053</v>
      </c>
      <c r="G6" s="5">
        <v>1</v>
      </c>
      <c r="H6" s="5">
        <v>0</v>
      </c>
      <c r="I6" s="5">
        <v>25</v>
      </c>
      <c r="J6" s="5">
        <f t="shared" si="0"/>
        <v>-25</v>
      </c>
      <c r="K6" s="5" t="s">
        <v>125</v>
      </c>
      <c r="L6" s="5" t="s">
        <v>25</v>
      </c>
      <c r="M6" s="5" t="s">
        <v>1046</v>
      </c>
      <c r="N6" s="5"/>
      <c r="O6" s="5"/>
      <c r="P6" s="5"/>
      <c r="Q6" s="5"/>
      <c r="R6">
        <v>1</v>
      </c>
      <c r="S6">
        <v>25</v>
      </c>
    </row>
    <row r="7" spans="1:19" x14ac:dyDescent="0.25">
      <c r="A7" s="5"/>
      <c r="B7" s="5" t="s">
        <v>19</v>
      </c>
      <c r="C7" s="5" t="s">
        <v>1054</v>
      </c>
      <c r="D7" s="5" t="s">
        <v>1055</v>
      </c>
      <c r="E7" s="5">
        <v>62</v>
      </c>
      <c r="F7" s="5" t="s">
        <v>280</v>
      </c>
      <c r="G7" s="5">
        <v>3</v>
      </c>
      <c r="H7" s="5">
        <v>0</v>
      </c>
      <c r="I7" s="5">
        <v>25</v>
      </c>
      <c r="J7" s="5">
        <f t="shared" si="0"/>
        <v>-25</v>
      </c>
      <c r="K7" s="5" t="s">
        <v>125</v>
      </c>
      <c r="L7" s="5" t="s">
        <v>25</v>
      </c>
      <c r="M7" s="5" t="s">
        <v>1046</v>
      </c>
      <c r="N7" s="5"/>
      <c r="O7" s="5"/>
      <c r="P7" s="5"/>
      <c r="Q7" s="5"/>
      <c r="R7">
        <v>1</v>
      </c>
      <c r="S7">
        <v>25</v>
      </c>
    </row>
    <row r="8" spans="1:19" x14ac:dyDescent="0.25">
      <c r="A8" s="5"/>
      <c r="B8" s="5" t="s">
        <v>19</v>
      </c>
      <c r="C8" s="5" t="s">
        <v>1056</v>
      </c>
      <c r="D8" s="5" t="s">
        <v>1057</v>
      </c>
      <c r="E8" s="5">
        <v>132</v>
      </c>
      <c r="F8" s="5" t="s">
        <v>131</v>
      </c>
      <c r="G8" s="5">
        <v>4</v>
      </c>
      <c r="H8" s="5">
        <v>515</v>
      </c>
      <c r="I8" s="5">
        <v>25</v>
      </c>
      <c r="J8" s="5">
        <f t="shared" si="0"/>
        <v>490</v>
      </c>
      <c r="K8" s="5" t="s">
        <v>125</v>
      </c>
      <c r="L8" s="5" t="s">
        <v>25</v>
      </c>
      <c r="M8" s="5" t="s">
        <v>1046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1058</v>
      </c>
      <c r="D9" s="5" t="s">
        <v>1059</v>
      </c>
      <c r="E9" s="5" t="s">
        <v>758</v>
      </c>
      <c r="F9" s="5" t="s">
        <v>759</v>
      </c>
      <c r="G9" s="5">
        <v>5</v>
      </c>
      <c r="H9" s="5">
        <v>0</v>
      </c>
      <c r="I9" s="5">
        <v>25</v>
      </c>
      <c r="J9" s="5">
        <f t="shared" si="0"/>
        <v>-25</v>
      </c>
      <c r="K9" s="5" t="s">
        <v>125</v>
      </c>
      <c r="L9" s="5" t="s">
        <v>25</v>
      </c>
      <c r="M9" s="5" t="s">
        <v>1046</v>
      </c>
      <c r="N9" s="5"/>
      <c r="O9" s="5"/>
      <c r="P9" s="5"/>
      <c r="Q9" s="5"/>
      <c r="R9">
        <v>1</v>
      </c>
      <c r="S9">
        <v>25</v>
      </c>
    </row>
    <row r="10" spans="1:19" x14ac:dyDescent="0.25">
      <c r="A10" s="5"/>
      <c r="B10" s="5" t="s">
        <v>19</v>
      </c>
      <c r="C10" s="5" t="s">
        <v>1060</v>
      </c>
      <c r="D10" s="5" t="s">
        <v>1061</v>
      </c>
      <c r="E10" s="5" t="s">
        <v>1062</v>
      </c>
      <c r="F10" s="5" t="s">
        <v>1063</v>
      </c>
      <c r="G10" s="5">
        <v>5</v>
      </c>
      <c r="H10" s="5">
        <v>865</v>
      </c>
      <c r="I10" s="5">
        <v>25</v>
      </c>
      <c r="J10" s="5">
        <f t="shared" si="0"/>
        <v>840</v>
      </c>
      <c r="K10" s="5" t="s">
        <v>125</v>
      </c>
      <c r="L10" s="5" t="s">
        <v>25</v>
      </c>
      <c r="M10" s="5" t="s">
        <v>1046</v>
      </c>
      <c r="N10" s="5"/>
      <c r="O10" s="5"/>
      <c r="P10" s="5"/>
      <c r="Q10" s="5"/>
      <c r="R10">
        <v>1</v>
      </c>
    </row>
    <row r="11" spans="1:19" x14ac:dyDescent="0.25">
      <c r="A11" s="5" t="s">
        <v>91</v>
      </c>
      <c r="B11" s="5" t="s">
        <v>19</v>
      </c>
      <c r="C11" s="5" t="s">
        <v>1064</v>
      </c>
      <c r="D11" s="5"/>
      <c r="E11" s="5">
        <v>279</v>
      </c>
      <c r="F11" s="5" t="s">
        <v>647</v>
      </c>
      <c r="G11" s="5">
        <v>10</v>
      </c>
      <c r="H11" s="5">
        <v>35</v>
      </c>
      <c r="I11" s="5">
        <v>35</v>
      </c>
      <c r="J11" s="5">
        <f t="shared" si="0"/>
        <v>0</v>
      </c>
      <c r="K11" s="5" t="s">
        <v>125</v>
      </c>
      <c r="L11" s="5" t="s">
        <v>25</v>
      </c>
      <c r="M11" s="5" t="s">
        <v>1046</v>
      </c>
      <c r="N11" s="5"/>
      <c r="O11" s="5"/>
      <c r="P11" s="5"/>
      <c r="Q11" s="5"/>
      <c r="R11">
        <v>1</v>
      </c>
    </row>
    <row r="12" spans="1:19" x14ac:dyDescent="0.25">
      <c r="A12" s="5"/>
      <c r="B12" s="5" t="s">
        <v>19</v>
      </c>
      <c r="C12" s="5" t="s">
        <v>1065</v>
      </c>
      <c r="D12" s="5" t="s">
        <v>1066</v>
      </c>
      <c r="E12" s="5" t="s">
        <v>1067</v>
      </c>
      <c r="F12" s="5" t="s">
        <v>404</v>
      </c>
      <c r="G12" s="5">
        <v>10</v>
      </c>
      <c r="H12" s="5">
        <v>865</v>
      </c>
      <c r="I12" s="5">
        <v>25</v>
      </c>
      <c r="J12" s="5">
        <f t="shared" si="0"/>
        <v>840</v>
      </c>
      <c r="K12" s="5" t="s">
        <v>125</v>
      </c>
      <c r="L12" s="5" t="s">
        <v>25</v>
      </c>
      <c r="M12" s="5" t="s">
        <v>1046</v>
      </c>
      <c r="N12" s="5"/>
      <c r="O12" s="5"/>
      <c r="P12" s="5"/>
      <c r="Q12" s="5"/>
      <c r="R12">
        <v>1</v>
      </c>
    </row>
    <row r="13" spans="1:19" x14ac:dyDescent="0.25">
      <c r="A13" s="20"/>
      <c r="B13" s="20" t="s">
        <v>19</v>
      </c>
      <c r="C13" s="20" t="s">
        <v>939</v>
      </c>
      <c r="D13" s="20" t="s">
        <v>1068</v>
      </c>
      <c r="E13" s="20">
        <v>334</v>
      </c>
      <c r="F13" s="20" t="s">
        <v>146</v>
      </c>
      <c r="G13" s="20">
        <v>10</v>
      </c>
      <c r="H13" s="20">
        <v>25</v>
      </c>
      <c r="I13" s="20">
        <v>25</v>
      </c>
      <c r="J13" s="20">
        <f t="shared" si="0"/>
        <v>0</v>
      </c>
      <c r="K13" s="20" t="s">
        <v>125</v>
      </c>
      <c r="L13" s="20" t="s">
        <v>25</v>
      </c>
      <c r="M13" s="20" t="s">
        <v>1046</v>
      </c>
      <c r="N13" s="20" t="s">
        <v>472</v>
      </c>
      <c r="O13" s="20"/>
      <c r="P13" s="20"/>
      <c r="Q13" s="20"/>
      <c r="R13">
        <v>1</v>
      </c>
    </row>
    <row r="14" spans="1:19" x14ac:dyDescent="0.25">
      <c r="A14" s="5"/>
      <c r="B14" s="5" t="s">
        <v>19</v>
      </c>
      <c r="C14" s="5" t="s">
        <v>1069</v>
      </c>
      <c r="D14" s="5" t="s">
        <v>1070</v>
      </c>
      <c r="E14" s="5" t="s">
        <v>1071</v>
      </c>
      <c r="F14" s="5" t="s">
        <v>146</v>
      </c>
      <c r="G14" s="5">
        <v>10</v>
      </c>
      <c r="H14" s="5">
        <v>715</v>
      </c>
      <c r="I14" s="5">
        <v>25</v>
      </c>
      <c r="J14" s="5">
        <f t="shared" si="0"/>
        <v>690</v>
      </c>
      <c r="K14" s="5" t="s">
        <v>125</v>
      </c>
      <c r="L14" s="5" t="s">
        <v>25</v>
      </c>
      <c r="M14" s="5" t="s">
        <v>1046</v>
      </c>
      <c r="N14" s="5"/>
      <c r="O14" s="5"/>
      <c r="P14" s="5"/>
      <c r="Q14" s="5"/>
      <c r="R14">
        <v>1</v>
      </c>
    </row>
    <row r="15" spans="1:19" x14ac:dyDescent="0.25">
      <c r="A15" s="5"/>
      <c r="B15" s="5" t="s">
        <v>19</v>
      </c>
      <c r="C15" s="5" t="s">
        <v>1072</v>
      </c>
      <c r="D15" s="5" t="s">
        <v>1073</v>
      </c>
      <c r="E15" s="5">
        <v>223</v>
      </c>
      <c r="F15" s="5" t="s">
        <v>1074</v>
      </c>
      <c r="G15" s="5" t="s">
        <v>151</v>
      </c>
      <c r="H15" s="5">
        <v>840</v>
      </c>
      <c r="I15" s="5">
        <v>20</v>
      </c>
      <c r="J15" s="5">
        <f t="shared" si="0"/>
        <v>820</v>
      </c>
      <c r="K15" s="5" t="s">
        <v>125</v>
      </c>
      <c r="L15" s="5" t="s">
        <v>25</v>
      </c>
      <c r="M15" s="5" t="s">
        <v>1046</v>
      </c>
      <c r="N15" s="5"/>
      <c r="O15" s="5"/>
      <c r="P15" s="5"/>
      <c r="Q15" s="5"/>
      <c r="R15">
        <v>1</v>
      </c>
    </row>
    <row r="16" spans="1:19" x14ac:dyDescent="0.25">
      <c r="A16" s="5"/>
      <c r="B16" s="5" t="s">
        <v>19</v>
      </c>
      <c r="C16" s="5" t="s">
        <v>1075</v>
      </c>
      <c r="D16" s="5" t="s">
        <v>1076</v>
      </c>
      <c r="E16" s="5" t="s">
        <v>1077</v>
      </c>
      <c r="F16" s="5" t="s">
        <v>361</v>
      </c>
      <c r="G16" s="5" t="s">
        <v>98</v>
      </c>
      <c r="H16" s="5">
        <v>815</v>
      </c>
      <c r="I16" s="5">
        <v>25</v>
      </c>
      <c r="J16" s="5">
        <f t="shared" si="0"/>
        <v>790</v>
      </c>
      <c r="K16" s="5" t="s">
        <v>125</v>
      </c>
      <c r="L16" s="5" t="s">
        <v>25</v>
      </c>
      <c r="M16" s="5" t="s">
        <v>1046</v>
      </c>
      <c r="N16" s="5"/>
      <c r="O16" s="5"/>
      <c r="P16" s="5"/>
      <c r="Q16" s="5"/>
      <c r="R16">
        <v>1</v>
      </c>
    </row>
    <row r="17" spans="1:19" x14ac:dyDescent="0.25">
      <c r="A17" s="5" t="s">
        <v>91</v>
      </c>
      <c r="B17" s="5" t="s">
        <v>19</v>
      </c>
      <c r="C17" s="5" t="s">
        <v>171</v>
      </c>
      <c r="D17" s="5"/>
      <c r="E17" s="5" t="s">
        <v>172</v>
      </c>
      <c r="F17" s="5" t="s">
        <v>173</v>
      </c>
      <c r="G17" s="5" t="s">
        <v>98</v>
      </c>
      <c r="H17" s="5">
        <v>25</v>
      </c>
      <c r="I17" s="5">
        <v>25</v>
      </c>
      <c r="J17" s="5">
        <f t="shared" si="0"/>
        <v>0</v>
      </c>
      <c r="K17" s="5" t="s">
        <v>125</v>
      </c>
      <c r="L17" s="5" t="s">
        <v>25</v>
      </c>
      <c r="M17" s="5" t="s">
        <v>1046</v>
      </c>
      <c r="N17" s="5"/>
      <c r="O17" s="5"/>
      <c r="P17" s="5"/>
      <c r="Q17" s="5"/>
      <c r="R17">
        <v>1</v>
      </c>
    </row>
    <row r="18" spans="1:19" x14ac:dyDescent="0.25">
      <c r="A18" s="5"/>
      <c r="B18" s="5" t="s">
        <v>19</v>
      </c>
      <c r="C18" s="5" t="s">
        <v>1078</v>
      </c>
      <c r="D18" s="5" t="s">
        <v>1079</v>
      </c>
      <c r="E18" s="5" t="s">
        <v>1080</v>
      </c>
      <c r="F18" s="5" t="s">
        <v>173</v>
      </c>
      <c r="G18" s="5" t="s">
        <v>98</v>
      </c>
      <c r="H18" s="5">
        <v>845</v>
      </c>
      <c r="I18" s="5">
        <v>25</v>
      </c>
      <c r="J18" s="5">
        <f t="shared" si="0"/>
        <v>820</v>
      </c>
      <c r="K18" s="5" t="s">
        <v>125</v>
      </c>
      <c r="L18" s="5" t="s">
        <v>25</v>
      </c>
      <c r="M18" s="5" t="s">
        <v>1046</v>
      </c>
      <c r="N18" s="5"/>
      <c r="O18" s="5"/>
      <c r="P18" s="5"/>
      <c r="Q18" s="5"/>
      <c r="R18">
        <v>1</v>
      </c>
    </row>
    <row r="19" spans="1:19" x14ac:dyDescent="0.25">
      <c r="A19" s="5"/>
      <c r="B19" s="5" t="s">
        <v>19</v>
      </c>
      <c r="C19" s="5" t="s">
        <v>1081</v>
      </c>
      <c r="D19" s="5" t="s">
        <v>1082</v>
      </c>
      <c r="E19" s="5" t="s">
        <v>180</v>
      </c>
      <c r="F19" s="5" t="s">
        <v>181</v>
      </c>
      <c r="G19" s="5">
        <v>6</v>
      </c>
      <c r="H19" s="5">
        <v>0</v>
      </c>
      <c r="I19" s="5">
        <v>25</v>
      </c>
      <c r="J19" s="5">
        <f t="shared" si="0"/>
        <v>-25</v>
      </c>
      <c r="K19" s="5" t="s">
        <v>1083</v>
      </c>
      <c r="L19" s="5" t="s">
        <v>25</v>
      </c>
      <c r="M19" s="5" t="s">
        <v>1046</v>
      </c>
      <c r="N19" s="5"/>
      <c r="O19" s="5"/>
      <c r="P19" s="5"/>
      <c r="Q19" s="5"/>
      <c r="R19">
        <v>1</v>
      </c>
      <c r="S19">
        <v>25</v>
      </c>
    </row>
    <row r="20" spans="1:19" x14ac:dyDescent="0.25">
      <c r="A20" s="5" t="s">
        <v>91</v>
      </c>
      <c r="B20" s="5" t="s">
        <v>19</v>
      </c>
      <c r="C20" s="5" t="s">
        <v>179</v>
      </c>
      <c r="D20" s="5"/>
      <c r="E20" s="5" t="s">
        <v>180</v>
      </c>
      <c r="F20" s="5" t="s">
        <v>181</v>
      </c>
      <c r="G20" s="5">
        <v>6</v>
      </c>
      <c r="H20" s="5">
        <v>0</v>
      </c>
      <c r="I20" s="5">
        <v>30</v>
      </c>
      <c r="J20" s="5">
        <f t="shared" si="0"/>
        <v>-30</v>
      </c>
      <c r="K20" s="5" t="s">
        <v>1083</v>
      </c>
      <c r="L20" s="5" t="s">
        <v>25</v>
      </c>
      <c r="M20" s="5" t="s">
        <v>1046</v>
      </c>
      <c r="N20" s="5"/>
      <c r="O20" s="5"/>
      <c r="P20" s="5"/>
      <c r="Q20" s="5"/>
      <c r="R20">
        <v>1</v>
      </c>
      <c r="S20">
        <v>30</v>
      </c>
    </row>
    <row r="21" spans="1:19" x14ac:dyDescent="0.25">
      <c r="A21" s="5"/>
      <c r="B21" s="5" t="s">
        <v>19</v>
      </c>
      <c r="C21" s="5" t="s">
        <v>1084</v>
      </c>
      <c r="D21" s="5" t="s">
        <v>1085</v>
      </c>
      <c r="E21" s="5">
        <v>111</v>
      </c>
      <c r="F21" s="5" t="s">
        <v>102</v>
      </c>
      <c r="G21" s="5">
        <v>6</v>
      </c>
      <c r="H21" s="5">
        <v>845</v>
      </c>
      <c r="I21" s="5">
        <v>25</v>
      </c>
      <c r="J21" s="5">
        <f t="shared" si="0"/>
        <v>820</v>
      </c>
      <c r="K21" s="5" t="s">
        <v>1083</v>
      </c>
      <c r="L21" s="5" t="s">
        <v>25</v>
      </c>
      <c r="M21" s="5" t="s">
        <v>1046</v>
      </c>
      <c r="N21" s="5"/>
      <c r="O21" s="5"/>
      <c r="P21" s="5"/>
      <c r="Q21" s="5"/>
      <c r="R21">
        <v>1</v>
      </c>
    </row>
    <row r="22" spans="1:19" x14ac:dyDescent="0.25">
      <c r="A22" s="5"/>
      <c r="B22" s="5" t="s">
        <v>19</v>
      </c>
      <c r="C22" s="5" t="s">
        <v>567</v>
      </c>
      <c r="D22" s="5" t="s">
        <v>1086</v>
      </c>
      <c r="E22" s="5" t="s">
        <v>569</v>
      </c>
      <c r="F22" s="5" t="s">
        <v>570</v>
      </c>
      <c r="G22" s="5">
        <v>6</v>
      </c>
      <c r="H22" s="5">
        <v>710</v>
      </c>
      <c r="I22" s="5">
        <v>0</v>
      </c>
      <c r="J22" s="5">
        <f t="shared" si="0"/>
        <v>710</v>
      </c>
      <c r="K22" s="5" t="s">
        <v>1083</v>
      </c>
      <c r="L22" s="5" t="s">
        <v>25</v>
      </c>
      <c r="M22" s="5" t="s">
        <v>1046</v>
      </c>
      <c r="N22" s="6" t="s">
        <v>350</v>
      </c>
      <c r="O22" s="5"/>
      <c r="P22" s="5"/>
      <c r="Q22" s="5"/>
      <c r="R22">
        <v>1</v>
      </c>
    </row>
    <row r="23" spans="1:19" x14ac:dyDescent="0.25">
      <c r="A23" s="5"/>
      <c r="B23" s="5" t="s">
        <v>19</v>
      </c>
      <c r="C23" s="5" t="s">
        <v>567</v>
      </c>
      <c r="D23" s="5" t="s">
        <v>1087</v>
      </c>
      <c r="E23" s="5" t="s">
        <v>569</v>
      </c>
      <c r="F23" s="5" t="s">
        <v>570</v>
      </c>
      <c r="G23" s="5">
        <v>6</v>
      </c>
      <c r="H23" s="5">
        <v>820</v>
      </c>
      <c r="I23" s="5">
        <v>0</v>
      </c>
      <c r="J23" s="5">
        <f t="shared" si="0"/>
        <v>820</v>
      </c>
      <c r="K23" s="5" t="s">
        <v>1083</v>
      </c>
      <c r="L23" s="5" t="s">
        <v>25</v>
      </c>
      <c r="M23" s="5" t="s">
        <v>1046</v>
      </c>
      <c r="N23" s="6" t="s">
        <v>350</v>
      </c>
      <c r="O23" s="5"/>
      <c r="P23" s="5"/>
      <c r="Q23" s="5"/>
      <c r="R23">
        <v>1</v>
      </c>
    </row>
    <row r="24" spans="1:19" x14ac:dyDescent="0.25">
      <c r="A24" s="20"/>
      <c r="B24" s="20" t="s">
        <v>19</v>
      </c>
      <c r="C24" s="20" t="s">
        <v>567</v>
      </c>
      <c r="D24" s="20" t="s">
        <v>1088</v>
      </c>
      <c r="E24" s="20" t="s">
        <v>569</v>
      </c>
      <c r="F24" s="20" t="s">
        <v>570</v>
      </c>
      <c r="G24" s="20">
        <v>6</v>
      </c>
      <c r="H24" s="20">
        <v>1040</v>
      </c>
      <c r="I24" s="20">
        <v>30</v>
      </c>
      <c r="J24" s="20">
        <f t="shared" si="0"/>
        <v>1010</v>
      </c>
      <c r="K24" s="20" t="s">
        <v>1083</v>
      </c>
      <c r="L24" s="20" t="s">
        <v>25</v>
      </c>
      <c r="M24" s="20" t="s">
        <v>1046</v>
      </c>
      <c r="N24" s="20" t="s">
        <v>498</v>
      </c>
      <c r="O24" s="20"/>
      <c r="P24" s="20"/>
      <c r="Q24" s="20"/>
      <c r="R24">
        <v>1</v>
      </c>
      <c r="S24">
        <v>30</v>
      </c>
    </row>
    <row r="25" spans="1:19" x14ac:dyDescent="0.25">
      <c r="A25" s="5"/>
      <c r="B25" s="5" t="s">
        <v>19</v>
      </c>
      <c r="C25" s="5" t="s">
        <v>1089</v>
      </c>
      <c r="D25" s="5" t="s">
        <v>1090</v>
      </c>
      <c r="E25" s="5" t="s">
        <v>1091</v>
      </c>
      <c r="F25" s="5" t="s">
        <v>1092</v>
      </c>
      <c r="G25" s="5">
        <v>6</v>
      </c>
      <c r="H25" s="5">
        <v>605</v>
      </c>
      <c r="I25" s="5">
        <v>25</v>
      </c>
      <c r="J25" s="5">
        <f t="shared" si="0"/>
        <v>580</v>
      </c>
      <c r="K25" s="5" t="s">
        <v>1083</v>
      </c>
      <c r="L25" s="5" t="s">
        <v>25</v>
      </c>
      <c r="M25" s="5" t="s">
        <v>1046</v>
      </c>
      <c r="N25" s="5"/>
      <c r="O25" s="5"/>
      <c r="P25" s="5"/>
      <c r="Q25" s="5"/>
      <c r="R25">
        <v>1</v>
      </c>
    </row>
    <row r="26" spans="1:19" x14ac:dyDescent="0.25">
      <c r="A26" s="5"/>
      <c r="B26" s="5" t="s">
        <v>19</v>
      </c>
      <c r="C26" s="5" t="s">
        <v>1093</v>
      </c>
      <c r="D26" s="5" t="s">
        <v>1094</v>
      </c>
      <c r="E26" s="5">
        <v>184</v>
      </c>
      <c r="F26" s="5" t="s">
        <v>1095</v>
      </c>
      <c r="G26" s="5">
        <v>6</v>
      </c>
      <c r="H26" s="5">
        <v>815</v>
      </c>
      <c r="I26" s="5">
        <v>25</v>
      </c>
      <c r="J26" s="5">
        <f t="shared" si="0"/>
        <v>790</v>
      </c>
      <c r="K26" s="5" t="s">
        <v>1083</v>
      </c>
      <c r="L26" s="5" t="s">
        <v>25</v>
      </c>
      <c r="M26" s="5" t="s">
        <v>1046</v>
      </c>
      <c r="N26" s="5"/>
      <c r="O26" s="5"/>
      <c r="P26" s="5"/>
      <c r="Q26" s="5"/>
      <c r="R26">
        <v>1</v>
      </c>
    </row>
    <row r="27" spans="1:19" x14ac:dyDescent="0.25">
      <c r="A27" s="5"/>
      <c r="B27" s="5" t="s">
        <v>19</v>
      </c>
      <c r="C27" s="5" t="s">
        <v>1096</v>
      </c>
      <c r="D27" s="5" t="s">
        <v>1097</v>
      </c>
      <c r="E27" s="5">
        <v>35</v>
      </c>
      <c r="F27" s="5" t="s">
        <v>1098</v>
      </c>
      <c r="G27" s="5">
        <v>7</v>
      </c>
      <c r="H27" s="5">
        <v>850</v>
      </c>
      <c r="I27" s="5">
        <v>30</v>
      </c>
      <c r="J27" s="5">
        <f t="shared" si="0"/>
        <v>820</v>
      </c>
      <c r="K27" s="5" t="s">
        <v>1083</v>
      </c>
      <c r="L27" s="5" t="s">
        <v>25</v>
      </c>
      <c r="M27" s="5" t="s">
        <v>1046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1099</v>
      </c>
      <c r="D28" s="5" t="s">
        <v>1100</v>
      </c>
      <c r="E28" s="5">
        <v>132</v>
      </c>
      <c r="F28" s="5" t="s">
        <v>878</v>
      </c>
      <c r="G28" s="5">
        <v>7</v>
      </c>
      <c r="H28" s="5">
        <v>850</v>
      </c>
      <c r="I28" s="5">
        <v>30</v>
      </c>
      <c r="J28" s="5">
        <f t="shared" si="0"/>
        <v>820</v>
      </c>
      <c r="K28" s="5" t="s">
        <v>1083</v>
      </c>
      <c r="L28" s="5" t="s">
        <v>25</v>
      </c>
      <c r="M28" s="5" t="s">
        <v>1046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1101</v>
      </c>
      <c r="D29" s="5" t="s">
        <v>1102</v>
      </c>
      <c r="E29" s="5" t="s">
        <v>1103</v>
      </c>
      <c r="F29" s="5" t="s">
        <v>584</v>
      </c>
      <c r="G29" s="5">
        <v>7</v>
      </c>
      <c r="H29" s="5">
        <v>590</v>
      </c>
      <c r="I29" s="5">
        <v>30</v>
      </c>
      <c r="J29" s="5">
        <f t="shared" si="0"/>
        <v>560</v>
      </c>
      <c r="K29" s="5" t="s">
        <v>1083</v>
      </c>
      <c r="L29" s="5" t="s">
        <v>25</v>
      </c>
      <c r="M29" s="5" t="s">
        <v>1046</v>
      </c>
      <c r="N29" s="5"/>
      <c r="O29" s="5"/>
      <c r="P29" s="5"/>
      <c r="Q29" s="5"/>
      <c r="R29">
        <v>1</v>
      </c>
    </row>
    <row r="30" spans="1:19" x14ac:dyDescent="0.25">
      <c r="A30" s="5"/>
      <c r="B30" s="5" t="s">
        <v>19</v>
      </c>
      <c r="C30" s="5" t="s">
        <v>1104</v>
      </c>
      <c r="D30" s="5" t="s">
        <v>1105</v>
      </c>
      <c r="E30" s="5" t="s">
        <v>1106</v>
      </c>
      <c r="F30" s="5" t="s">
        <v>1107</v>
      </c>
      <c r="G30" s="5">
        <v>12</v>
      </c>
      <c r="H30" s="5">
        <v>0</v>
      </c>
      <c r="I30" s="5">
        <v>30</v>
      </c>
      <c r="J30" s="5">
        <f t="shared" si="0"/>
        <v>-30</v>
      </c>
      <c r="K30" s="5" t="s">
        <v>1083</v>
      </c>
      <c r="L30" s="5" t="s">
        <v>25</v>
      </c>
      <c r="M30" s="5" t="s">
        <v>1046</v>
      </c>
      <c r="N30" s="5"/>
      <c r="O30" s="5"/>
      <c r="P30" s="5"/>
      <c r="Q30" s="5"/>
      <c r="R30">
        <v>1</v>
      </c>
      <c r="S30">
        <v>30</v>
      </c>
    </row>
    <row r="31" spans="1:19" x14ac:dyDescent="0.25">
      <c r="A31" s="5"/>
      <c r="B31" s="5" t="s">
        <v>19</v>
      </c>
      <c r="C31" s="5" t="s">
        <v>1108</v>
      </c>
      <c r="D31" s="5" t="s">
        <v>1109</v>
      </c>
      <c r="E31" s="5">
        <v>375</v>
      </c>
      <c r="F31" s="5" t="s">
        <v>228</v>
      </c>
      <c r="G31" s="5">
        <v>12</v>
      </c>
      <c r="H31" s="5">
        <v>0</v>
      </c>
      <c r="I31" s="5">
        <v>30</v>
      </c>
      <c r="J31" s="5">
        <f t="shared" si="0"/>
        <v>-30</v>
      </c>
      <c r="K31" s="5" t="s">
        <v>1083</v>
      </c>
      <c r="L31" s="5" t="s">
        <v>25</v>
      </c>
      <c r="M31" s="5" t="s">
        <v>1046</v>
      </c>
      <c r="N31" s="5"/>
      <c r="O31" s="5"/>
      <c r="P31" s="5"/>
      <c r="Q31" s="5"/>
      <c r="R31">
        <v>1</v>
      </c>
      <c r="S31">
        <v>30</v>
      </c>
    </row>
    <row r="32" spans="1:19" x14ac:dyDescent="0.25">
      <c r="A32" s="5" t="s">
        <v>91</v>
      </c>
      <c r="B32" s="5" t="s">
        <v>19</v>
      </c>
      <c r="C32" s="5" t="s">
        <v>1110</v>
      </c>
      <c r="D32" s="5"/>
      <c r="E32" s="5">
        <v>375</v>
      </c>
      <c r="F32" s="5" t="s">
        <v>228</v>
      </c>
      <c r="G32" s="5">
        <v>12</v>
      </c>
      <c r="H32" s="5">
        <v>0</v>
      </c>
      <c r="I32" s="5">
        <v>35</v>
      </c>
      <c r="J32" s="5">
        <f t="shared" si="0"/>
        <v>-35</v>
      </c>
      <c r="K32" s="5" t="s">
        <v>1083</v>
      </c>
      <c r="L32" s="5" t="s">
        <v>25</v>
      </c>
      <c r="M32" s="5" t="s">
        <v>1046</v>
      </c>
      <c r="N32" s="5"/>
      <c r="O32" s="5"/>
      <c r="P32" s="5"/>
      <c r="Q32" s="5"/>
      <c r="R32">
        <v>1</v>
      </c>
      <c r="S32">
        <v>35</v>
      </c>
    </row>
    <row r="33" spans="1:19" x14ac:dyDescent="0.25">
      <c r="A33" s="5"/>
      <c r="B33" s="5" t="s">
        <v>19</v>
      </c>
      <c r="C33" s="5" t="s">
        <v>1111</v>
      </c>
      <c r="D33" s="5" t="s">
        <v>1112</v>
      </c>
      <c r="E33" s="5">
        <v>163</v>
      </c>
      <c r="F33" s="5" t="s">
        <v>410</v>
      </c>
      <c r="G33" s="5">
        <v>12</v>
      </c>
      <c r="H33" s="5">
        <v>0</v>
      </c>
      <c r="I33" s="5">
        <v>30</v>
      </c>
      <c r="J33" s="5">
        <f t="shared" si="0"/>
        <v>-30</v>
      </c>
      <c r="K33" s="5" t="s">
        <v>1083</v>
      </c>
      <c r="L33" s="5" t="s">
        <v>25</v>
      </c>
      <c r="M33" s="5" t="s">
        <v>1046</v>
      </c>
      <c r="N33" s="5"/>
      <c r="O33" s="5"/>
      <c r="P33" s="5"/>
      <c r="Q33" s="5"/>
      <c r="R33">
        <v>1</v>
      </c>
      <c r="S33">
        <v>30</v>
      </c>
    </row>
    <row r="34" spans="1:19" x14ac:dyDescent="0.25">
      <c r="A34" s="5"/>
      <c r="B34" s="5" t="s">
        <v>19</v>
      </c>
      <c r="C34" s="5" t="s">
        <v>1113</v>
      </c>
      <c r="D34" s="5" t="s">
        <v>1114</v>
      </c>
      <c r="E34" s="5">
        <v>124</v>
      </c>
      <c r="F34" s="5" t="s">
        <v>421</v>
      </c>
      <c r="G34" s="5" t="s">
        <v>240</v>
      </c>
      <c r="H34" s="5">
        <v>850</v>
      </c>
      <c r="I34" s="5">
        <v>30</v>
      </c>
      <c r="J34" s="5">
        <f t="shared" si="0"/>
        <v>820</v>
      </c>
      <c r="K34" s="5" t="s">
        <v>1083</v>
      </c>
      <c r="L34" s="5" t="s">
        <v>25</v>
      </c>
      <c r="M34" s="5" t="s">
        <v>1046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275</v>
      </c>
      <c r="D35" s="5" t="s">
        <v>1115</v>
      </c>
      <c r="E35" s="5">
        <v>146</v>
      </c>
      <c r="F35" s="5" t="s">
        <v>277</v>
      </c>
      <c r="G35" s="5" t="s">
        <v>240</v>
      </c>
      <c r="H35" s="5">
        <v>860</v>
      </c>
      <c r="I35" s="5">
        <v>30</v>
      </c>
      <c r="J35" s="5">
        <f t="shared" ref="J35:J65" si="1">H35-I35</f>
        <v>830</v>
      </c>
      <c r="K35" s="5" t="s">
        <v>1083</v>
      </c>
      <c r="L35" s="5" t="s">
        <v>25</v>
      </c>
      <c r="M35" s="5" t="s">
        <v>1046</v>
      </c>
      <c r="N35" s="5"/>
      <c r="O35" s="5"/>
      <c r="P35" s="5"/>
      <c r="Q35" s="5"/>
      <c r="R35">
        <v>1</v>
      </c>
    </row>
    <row r="36" spans="1:19" x14ac:dyDescent="0.25">
      <c r="A36" s="5"/>
      <c r="B36" s="5" t="s">
        <v>19</v>
      </c>
      <c r="C36" s="5" t="s">
        <v>1116</v>
      </c>
      <c r="D36" s="5" t="s">
        <v>1117</v>
      </c>
      <c r="E36" s="5" t="s">
        <v>1118</v>
      </c>
      <c r="F36" s="5" t="s">
        <v>1119</v>
      </c>
      <c r="G36" s="5" t="s">
        <v>98</v>
      </c>
      <c r="H36" s="5">
        <v>845</v>
      </c>
      <c r="I36" s="5">
        <v>25</v>
      </c>
      <c r="J36" s="5">
        <f t="shared" si="1"/>
        <v>820</v>
      </c>
      <c r="K36" s="5" t="s">
        <v>1083</v>
      </c>
      <c r="L36" s="5" t="s">
        <v>25</v>
      </c>
      <c r="M36" s="5" t="s">
        <v>1046</v>
      </c>
      <c r="N36" s="5"/>
      <c r="O36" s="5"/>
      <c r="P36" s="5"/>
      <c r="Q36" s="5"/>
      <c r="R36">
        <v>1</v>
      </c>
    </row>
    <row r="37" spans="1:19" x14ac:dyDescent="0.25">
      <c r="A37" s="5"/>
      <c r="B37" s="5" t="s">
        <v>19</v>
      </c>
      <c r="C37" s="5" t="s">
        <v>1120</v>
      </c>
      <c r="D37" s="5" t="s">
        <v>1121</v>
      </c>
      <c r="E37" s="5" t="s">
        <v>1122</v>
      </c>
      <c r="F37" s="5" t="s">
        <v>285</v>
      </c>
      <c r="G37" s="5" t="s">
        <v>286</v>
      </c>
      <c r="H37" s="5">
        <v>1075</v>
      </c>
      <c r="I37" s="5">
        <v>25</v>
      </c>
      <c r="J37" s="5">
        <f t="shared" si="1"/>
        <v>1050</v>
      </c>
      <c r="K37" s="5" t="s">
        <v>1083</v>
      </c>
      <c r="L37" s="5" t="s">
        <v>25</v>
      </c>
      <c r="M37" s="5" t="s">
        <v>1046</v>
      </c>
      <c r="N37" s="5"/>
      <c r="O37" s="5"/>
      <c r="P37" s="5"/>
      <c r="Q37" s="5"/>
      <c r="R37">
        <v>1</v>
      </c>
    </row>
    <row r="38" spans="1:19" x14ac:dyDescent="0.25">
      <c r="A38" s="20"/>
      <c r="B38" s="20" t="s">
        <v>19</v>
      </c>
      <c r="C38" s="20" t="s">
        <v>1123</v>
      </c>
      <c r="D38" s="20" t="s">
        <v>1124</v>
      </c>
      <c r="E38" s="20">
        <v>147</v>
      </c>
      <c r="F38" s="20" t="s">
        <v>1125</v>
      </c>
      <c r="G38" s="20">
        <v>2</v>
      </c>
      <c r="H38" s="20">
        <v>0</v>
      </c>
      <c r="I38" s="20">
        <v>30</v>
      </c>
      <c r="J38" s="20">
        <f t="shared" si="1"/>
        <v>-30</v>
      </c>
      <c r="K38" s="20" t="s">
        <v>25</v>
      </c>
      <c r="L38" s="20" t="s">
        <v>25</v>
      </c>
      <c r="M38" s="20" t="s">
        <v>1046</v>
      </c>
      <c r="N38" s="20" t="s">
        <v>472</v>
      </c>
      <c r="O38" s="20"/>
      <c r="P38" s="20"/>
      <c r="Q38" s="20"/>
      <c r="R38">
        <v>1</v>
      </c>
      <c r="S38">
        <v>30</v>
      </c>
    </row>
    <row r="39" spans="1:19" x14ac:dyDescent="0.25">
      <c r="A39" s="5"/>
      <c r="B39" s="5" t="s">
        <v>19</v>
      </c>
      <c r="C39" s="5" t="s">
        <v>1126</v>
      </c>
      <c r="D39" s="5" t="s">
        <v>1127</v>
      </c>
      <c r="E39" s="5" t="s">
        <v>1128</v>
      </c>
      <c r="F39" s="5" t="s">
        <v>1129</v>
      </c>
      <c r="G39" s="5">
        <v>2</v>
      </c>
      <c r="H39" s="5">
        <v>0</v>
      </c>
      <c r="I39" s="5">
        <v>30</v>
      </c>
      <c r="J39" s="5">
        <f t="shared" si="1"/>
        <v>-30</v>
      </c>
      <c r="K39" s="5" t="s">
        <v>25</v>
      </c>
      <c r="L39" s="5" t="s">
        <v>25</v>
      </c>
      <c r="M39" s="5" t="s">
        <v>1046</v>
      </c>
      <c r="N39" s="5"/>
      <c r="O39" s="5"/>
      <c r="P39" s="5"/>
      <c r="Q39" s="5"/>
      <c r="R39">
        <v>1</v>
      </c>
      <c r="S39">
        <v>30</v>
      </c>
    </row>
    <row r="40" spans="1:19" x14ac:dyDescent="0.25">
      <c r="A40" s="5"/>
      <c r="B40" s="5" t="s">
        <v>19</v>
      </c>
      <c r="C40" s="5" t="s">
        <v>1130</v>
      </c>
      <c r="D40" s="5" t="s">
        <v>1131</v>
      </c>
      <c r="E40" s="5">
        <v>17</v>
      </c>
      <c r="F40" s="5" t="s">
        <v>36</v>
      </c>
      <c r="G40" s="5">
        <v>2</v>
      </c>
      <c r="H40" s="5">
        <v>870</v>
      </c>
      <c r="I40" s="5">
        <v>30</v>
      </c>
      <c r="J40" s="5">
        <f t="shared" si="1"/>
        <v>840</v>
      </c>
      <c r="K40" s="5" t="s">
        <v>25</v>
      </c>
      <c r="L40" s="5" t="s">
        <v>25</v>
      </c>
      <c r="M40" s="5" t="s">
        <v>1046</v>
      </c>
      <c r="N40" s="5"/>
      <c r="O40" s="5"/>
      <c r="P40" s="5"/>
      <c r="Q40" s="5"/>
      <c r="R40">
        <v>1</v>
      </c>
    </row>
    <row r="41" spans="1:19" x14ac:dyDescent="0.25">
      <c r="A41" s="5"/>
      <c r="B41" s="5" t="s">
        <v>19</v>
      </c>
      <c r="C41" s="5" t="s">
        <v>1132</v>
      </c>
      <c r="D41" s="5" t="s">
        <v>1133</v>
      </c>
      <c r="E41" s="5" t="s">
        <v>1134</v>
      </c>
      <c r="F41" s="5" t="s">
        <v>36</v>
      </c>
      <c r="G41" s="5">
        <v>2</v>
      </c>
      <c r="H41" s="5">
        <v>470</v>
      </c>
      <c r="I41" s="5">
        <v>30</v>
      </c>
      <c r="J41" s="5">
        <f t="shared" si="1"/>
        <v>440</v>
      </c>
      <c r="K41" s="5" t="s">
        <v>25</v>
      </c>
      <c r="L41" s="5" t="s">
        <v>25</v>
      </c>
      <c r="M41" s="5" t="s">
        <v>1046</v>
      </c>
      <c r="N41" s="5"/>
      <c r="O41" s="5"/>
      <c r="P41" s="5"/>
      <c r="Q41" s="5"/>
      <c r="R41">
        <v>1</v>
      </c>
    </row>
    <row r="42" spans="1:19" x14ac:dyDescent="0.25">
      <c r="A42" s="5"/>
      <c r="B42" s="5" t="s">
        <v>19</v>
      </c>
      <c r="C42" s="5" t="s">
        <v>1135</v>
      </c>
      <c r="D42" s="5" t="s">
        <v>1136</v>
      </c>
      <c r="E42" s="5">
        <v>50</v>
      </c>
      <c r="F42" s="5" t="s">
        <v>573</v>
      </c>
      <c r="G42" s="5" t="s">
        <v>58</v>
      </c>
      <c r="H42" s="5">
        <v>600</v>
      </c>
      <c r="I42" s="5">
        <v>20</v>
      </c>
      <c r="J42" s="5">
        <f t="shared" si="1"/>
        <v>580</v>
      </c>
      <c r="K42" s="5" t="s">
        <v>25</v>
      </c>
      <c r="L42" s="5" t="s">
        <v>25</v>
      </c>
      <c r="M42" s="5" t="s">
        <v>1046</v>
      </c>
      <c r="N42" s="5"/>
      <c r="O42" s="5"/>
      <c r="P42" s="5"/>
      <c r="Q42" s="5"/>
      <c r="R42">
        <v>1</v>
      </c>
    </row>
    <row r="43" spans="1:19" x14ac:dyDescent="0.25">
      <c r="A43" s="5"/>
      <c r="B43" s="5" t="s">
        <v>19</v>
      </c>
      <c r="C43" s="5" t="s">
        <v>1137</v>
      </c>
      <c r="D43" s="5" t="s">
        <v>1138</v>
      </c>
      <c r="E43" s="5" t="s">
        <v>1139</v>
      </c>
      <c r="F43" s="5" t="s">
        <v>1140</v>
      </c>
      <c r="G43" s="5" t="s">
        <v>58</v>
      </c>
      <c r="H43" s="5">
        <v>510</v>
      </c>
      <c r="I43" s="5">
        <v>20</v>
      </c>
      <c r="J43" s="5">
        <f t="shared" si="1"/>
        <v>490</v>
      </c>
      <c r="K43" s="5" t="s">
        <v>25</v>
      </c>
      <c r="L43" s="5" t="s">
        <v>25</v>
      </c>
      <c r="M43" s="5" t="s">
        <v>1046</v>
      </c>
      <c r="N43" s="5"/>
      <c r="O43" s="5"/>
      <c r="P43" s="5"/>
      <c r="Q43" s="5"/>
      <c r="R43">
        <v>1</v>
      </c>
    </row>
    <row r="44" spans="1:19" x14ac:dyDescent="0.25">
      <c r="A44" s="5"/>
      <c r="B44" s="5" t="s">
        <v>19</v>
      </c>
      <c r="C44" s="5" t="s">
        <v>1141</v>
      </c>
      <c r="D44" s="5" t="s">
        <v>1142</v>
      </c>
      <c r="E44" s="5">
        <v>74</v>
      </c>
      <c r="F44" s="5" t="s">
        <v>659</v>
      </c>
      <c r="G44" s="5" t="s">
        <v>58</v>
      </c>
      <c r="H44" s="5">
        <v>400</v>
      </c>
      <c r="I44" s="5">
        <v>20</v>
      </c>
      <c r="J44" s="5">
        <f t="shared" si="1"/>
        <v>380</v>
      </c>
      <c r="K44" s="5" t="s">
        <v>25</v>
      </c>
      <c r="L44" s="5" t="s">
        <v>25</v>
      </c>
      <c r="M44" s="5" t="s">
        <v>1046</v>
      </c>
      <c r="N44" s="5"/>
      <c r="O44" s="5"/>
      <c r="P44" s="5"/>
      <c r="Q44" s="5"/>
      <c r="R44">
        <v>1</v>
      </c>
    </row>
    <row r="45" spans="1:19" x14ac:dyDescent="0.25">
      <c r="A45" s="20"/>
      <c r="B45" s="20" t="s">
        <v>19</v>
      </c>
      <c r="C45" s="20" t="s">
        <v>1143</v>
      </c>
      <c r="D45" s="20" t="s">
        <v>1144</v>
      </c>
      <c r="E45" s="20" t="s">
        <v>1145</v>
      </c>
      <c r="F45" s="20" t="s">
        <v>670</v>
      </c>
      <c r="G45" s="20" t="s">
        <v>58</v>
      </c>
      <c r="H45" s="20">
        <v>2600</v>
      </c>
      <c r="I45" s="20">
        <v>25</v>
      </c>
      <c r="J45" s="20">
        <f t="shared" si="1"/>
        <v>2575</v>
      </c>
      <c r="K45" s="20" t="s">
        <v>25</v>
      </c>
      <c r="L45" s="20" t="s">
        <v>25</v>
      </c>
      <c r="M45" s="20" t="s">
        <v>1046</v>
      </c>
      <c r="N45" s="20" t="s">
        <v>498</v>
      </c>
      <c r="O45" s="20"/>
      <c r="P45" s="20"/>
      <c r="Q45" s="20"/>
      <c r="R45">
        <v>1</v>
      </c>
      <c r="S45">
        <v>25</v>
      </c>
    </row>
    <row r="46" spans="1:19" x14ac:dyDescent="0.25">
      <c r="A46" s="5"/>
      <c r="B46" s="5" t="s">
        <v>19</v>
      </c>
      <c r="C46" s="5" t="s">
        <v>1146</v>
      </c>
      <c r="D46" s="5" t="s">
        <v>1147</v>
      </c>
      <c r="E46" s="5" t="s">
        <v>1148</v>
      </c>
      <c r="F46" s="5" t="s">
        <v>65</v>
      </c>
      <c r="G46" s="5" t="s">
        <v>58</v>
      </c>
      <c r="H46" s="5">
        <v>600</v>
      </c>
      <c r="I46" s="5">
        <v>20</v>
      </c>
      <c r="J46" s="5">
        <f t="shared" si="1"/>
        <v>580</v>
      </c>
      <c r="K46" s="5" t="s">
        <v>25</v>
      </c>
      <c r="L46" s="5" t="s">
        <v>25</v>
      </c>
      <c r="M46" s="5" t="s">
        <v>1046</v>
      </c>
      <c r="N46" s="5"/>
      <c r="O46" s="5"/>
      <c r="P46" s="5"/>
      <c r="Q46" s="5"/>
      <c r="R46">
        <v>1</v>
      </c>
    </row>
    <row r="47" spans="1:19" x14ac:dyDescent="0.25">
      <c r="A47" s="5"/>
      <c r="B47" s="5" t="s">
        <v>19</v>
      </c>
      <c r="C47" s="5" t="s">
        <v>574</v>
      </c>
      <c r="D47" s="5" t="s">
        <v>1149</v>
      </c>
      <c r="E47" s="5" t="s">
        <v>1150</v>
      </c>
      <c r="F47" s="5" t="s">
        <v>1151</v>
      </c>
      <c r="G47" s="5" t="s">
        <v>58</v>
      </c>
      <c r="H47" s="5">
        <v>980</v>
      </c>
      <c r="I47" s="5">
        <v>20</v>
      </c>
      <c r="J47" s="5">
        <f t="shared" si="1"/>
        <v>960</v>
      </c>
      <c r="K47" s="5" t="s">
        <v>25</v>
      </c>
      <c r="L47" s="5" t="s">
        <v>25</v>
      </c>
      <c r="M47" s="5" t="s">
        <v>1046</v>
      </c>
      <c r="N47" s="5"/>
      <c r="O47" s="5"/>
      <c r="P47" s="5"/>
      <c r="Q47" s="5"/>
      <c r="R47">
        <v>1</v>
      </c>
    </row>
    <row r="48" spans="1:19" x14ac:dyDescent="0.25">
      <c r="A48" s="5"/>
      <c r="B48" s="5" t="s">
        <v>19</v>
      </c>
      <c r="C48" s="5" t="s">
        <v>1152</v>
      </c>
      <c r="D48" s="5" t="s">
        <v>1153</v>
      </c>
      <c r="E48" s="5" t="s">
        <v>1154</v>
      </c>
      <c r="F48" s="5" t="s">
        <v>820</v>
      </c>
      <c r="G48" s="5" t="s">
        <v>70</v>
      </c>
      <c r="H48" s="5">
        <v>735</v>
      </c>
      <c r="I48" s="5">
        <v>25</v>
      </c>
      <c r="J48" s="5">
        <f t="shared" si="1"/>
        <v>710</v>
      </c>
      <c r="K48" s="5" t="s">
        <v>25</v>
      </c>
      <c r="L48" s="5" t="s">
        <v>25</v>
      </c>
      <c r="M48" s="5" t="s">
        <v>1046</v>
      </c>
      <c r="N48" s="5"/>
      <c r="O48" s="5"/>
      <c r="P48" s="5"/>
      <c r="Q48" s="5"/>
      <c r="R48">
        <v>1</v>
      </c>
    </row>
    <row r="49" spans="1:19" x14ac:dyDescent="0.25">
      <c r="A49" s="5"/>
      <c r="B49" s="5" t="s">
        <v>19</v>
      </c>
      <c r="C49" s="5" t="s">
        <v>1152</v>
      </c>
      <c r="D49" s="5" t="s">
        <v>1155</v>
      </c>
      <c r="E49" s="5" t="s">
        <v>1156</v>
      </c>
      <c r="F49" s="5" t="s">
        <v>820</v>
      </c>
      <c r="G49" s="5" t="s">
        <v>70</v>
      </c>
      <c r="H49" s="5">
        <v>580</v>
      </c>
      <c r="I49" s="5">
        <v>0</v>
      </c>
      <c r="J49" s="5">
        <f t="shared" si="1"/>
        <v>580</v>
      </c>
      <c r="K49" s="5" t="s">
        <v>25</v>
      </c>
      <c r="L49" s="5" t="s">
        <v>25</v>
      </c>
      <c r="M49" s="5" t="s">
        <v>1046</v>
      </c>
      <c r="N49" s="6" t="s">
        <v>350</v>
      </c>
      <c r="O49" s="5"/>
      <c r="P49" s="5"/>
      <c r="Q49" s="5"/>
      <c r="R49">
        <v>1</v>
      </c>
    </row>
    <row r="50" spans="1:19" x14ac:dyDescent="0.25">
      <c r="A50" s="5" t="s">
        <v>91</v>
      </c>
      <c r="B50" s="5" t="s">
        <v>19</v>
      </c>
      <c r="C50" s="5" t="s">
        <v>1157</v>
      </c>
      <c r="D50" s="5"/>
      <c r="E50" s="5">
        <v>16</v>
      </c>
      <c r="F50" s="5" t="s">
        <v>1158</v>
      </c>
      <c r="G50" s="5" t="s">
        <v>70</v>
      </c>
      <c r="H50" s="5">
        <v>30</v>
      </c>
      <c r="I50" s="5">
        <v>30</v>
      </c>
      <c r="J50" s="5">
        <f t="shared" si="1"/>
        <v>0</v>
      </c>
      <c r="K50" s="5" t="s">
        <v>25</v>
      </c>
      <c r="L50" s="5" t="s">
        <v>25</v>
      </c>
      <c r="M50" s="5" t="s">
        <v>1046</v>
      </c>
      <c r="N50" s="5"/>
      <c r="O50" s="5"/>
      <c r="P50" s="5"/>
      <c r="Q50" s="5"/>
      <c r="R50">
        <v>1</v>
      </c>
    </row>
    <row r="51" spans="1:19" x14ac:dyDescent="0.25">
      <c r="A51" s="5"/>
      <c r="B51" s="5" t="s">
        <v>19</v>
      </c>
      <c r="C51" s="5" t="s">
        <v>1159</v>
      </c>
      <c r="D51" s="5" t="s">
        <v>1160</v>
      </c>
      <c r="E51" s="5" t="s">
        <v>1161</v>
      </c>
      <c r="F51" s="5" t="s">
        <v>845</v>
      </c>
      <c r="G51" s="5" t="s">
        <v>70</v>
      </c>
      <c r="H51" s="5">
        <v>405</v>
      </c>
      <c r="I51" s="5">
        <v>25</v>
      </c>
      <c r="J51" s="5">
        <f t="shared" si="1"/>
        <v>380</v>
      </c>
      <c r="K51" s="5" t="s">
        <v>25</v>
      </c>
      <c r="L51" s="5" t="s">
        <v>25</v>
      </c>
      <c r="M51" s="5" t="s">
        <v>1046</v>
      </c>
      <c r="N51" s="5"/>
      <c r="O51" s="5"/>
      <c r="P51" s="5"/>
      <c r="Q51" s="5"/>
      <c r="R51">
        <v>1</v>
      </c>
    </row>
    <row r="52" spans="1:19" x14ac:dyDescent="0.25">
      <c r="A52" s="5"/>
      <c r="B52" s="5" t="s">
        <v>19</v>
      </c>
      <c r="C52" s="5" t="s">
        <v>1162</v>
      </c>
      <c r="D52" s="5" t="s">
        <v>1163</v>
      </c>
      <c r="E52" s="5" t="s">
        <v>859</v>
      </c>
      <c r="F52" s="5" t="s">
        <v>860</v>
      </c>
      <c r="G52" s="5" t="s">
        <v>70</v>
      </c>
      <c r="H52" s="5">
        <v>605</v>
      </c>
      <c r="I52" s="5">
        <v>25</v>
      </c>
      <c r="J52" s="5">
        <f t="shared" si="1"/>
        <v>580</v>
      </c>
      <c r="K52" s="5" t="s">
        <v>25</v>
      </c>
      <c r="L52" s="5" t="s">
        <v>25</v>
      </c>
      <c r="M52" s="5" t="s">
        <v>1046</v>
      </c>
      <c r="N52" s="5"/>
      <c r="O52" s="5"/>
      <c r="P52" s="5"/>
      <c r="Q52" s="5"/>
      <c r="R52">
        <v>1</v>
      </c>
    </row>
    <row r="53" spans="1:19" x14ac:dyDescent="0.25">
      <c r="A53" s="5"/>
      <c r="B53" s="5" t="s">
        <v>19</v>
      </c>
      <c r="C53" s="5" t="s">
        <v>550</v>
      </c>
      <c r="D53" s="5" t="s">
        <v>1164</v>
      </c>
      <c r="E53" s="5">
        <v>119</v>
      </c>
      <c r="F53" s="5" t="s">
        <v>1165</v>
      </c>
      <c r="G53" s="5" t="s">
        <v>70</v>
      </c>
      <c r="H53" s="5">
        <v>855</v>
      </c>
      <c r="I53" s="5">
        <v>25</v>
      </c>
      <c r="J53" s="5">
        <f t="shared" si="1"/>
        <v>830</v>
      </c>
      <c r="K53" s="5" t="s">
        <v>25</v>
      </c>
      <c r="L53" s="5" t="s">
        <v>25</v>
      </c>
      <c r="M53" s="5" t="s">
        <v>1046</v>
      </c>
      <c r="N53" s="5"/>
      <c r="O53" s="5"/>
      <c r="P53" s="5"/>
      <c r="Q53" s="5"/>
      <c r="R53">
        <v>1</v>
      </c>
    </row>
    <row r="54" spans="1:19" x14ac:dyDescent="0.25">
      <c r="A54" s="5"/>
      <c r="B54" s="5" t="s">
        <v>19</v>
      </c>
      <c r="C54" s="5" t="s">
        <v>1166</v>
      </c>
      <c r="D54" s="5" t="s">
        <v>1167</v>
      </c>
      <c r="E54" s="5" t="s">
        <v>1168</v>
      </c>
      <c r="F54" s="5" t="s">
        <v>82</v>
      </c>
      <c r="G54" s="5" t="s">
        <v>70</v>
      </c>
      <c r="H54" s="5">
        <v>1555</v>
      </c>
      <c r="I54" s="5">
        <v>25</v>
      </c>
      <c r="J54" s="5">
        <f t="shared" si="1"/>
        <v>1530</v>
      </c>
      <c r="K54" s="5" t="s">
        <v>25</v>
      </c>
      <c r="L54" s="5" t="s">
        <v>25</v>
      </c>
      <c r="M54" s="5" t="s">
        <v>1046</v>
      </c>
      <c r="N54" s="5"/>
      <c r="O54" s="5"/>
      <c r="P54" s="5"/>
      <c r="Q54" s="5"/>
      <c r="R54">
        <v>1</v>
      </c>
    </row>
    <row r="55" spans="1:19" x14ac:dyDescent="0.25">
      <c r="A55" s="5"/>
      <c r="B55" s="5" t="s">
        <v>19</v>
      </c>
      <c r="C55" s="5" t="s">
        <v>302</v>
      </c>
      <c r="D55" s="5" t="s">
        <v>1169</v>
      </c>
      <c r="E55" s="5">
        <v>310</v>
      </c>
      <c r="F55" s="5" t="s">
        <v>86</v>
      </c>
      <c r="G55" s="5" t="s">
        <v>70</v>
      </c>
      <c r="H55" s="5">
        <v>845</v>
      </c>
      <c r="I55" s="5">
        <v>25</v>
      </c>
      <c r="J55" s="5">
        <f t="shared" si="1"/>
        <v>820</v>
      </c>
      <c r="K55" s="5" t="s">
        <v>25</v>
      </c>
      <c r="L55" s="5" t="s">
        <v>25</v>
      </c>
      <c r="M55" s="5" t="s">
        <v>1046</v>
      </c>
      <c r="N55" s="5"/>
      <c r="O55" s="5"/>
      <c r="P55" s="5"/>
      <c r="Q55" s="5"/>
      <c r="R55">
        <v>1</v>
      </c>
    </row>
    <row r="56" spans="1:19" x14ac:dyDescent="0.25">
      <c r="A56" s="5"/>
      <c r="B56" s="5" t="s">
        <v>19</v>
      </c>
      <c r="C56" s="5" t="s">
        <v>1170</v>
      </c>
      <c r="D56" s="5" t="s">
        <v>1171</v>
      </c>
      <c r="E56" s="5" t="s">
        <v>1172</v>
      </c>
      <c r="F56" s="5" t="s">
        <v>90</v>
      </c>
      <c r="G56" s="5" t="s">
        <v>70</v>
      </c>
      <c r="H56" s="5">
        <v>855</v>
      </c>
      <c r="I56" s="5">
        <v>25</v>
      </c>
      <c r="J56" s="5">
        <f t="shared" si="1"/>
        <v>830</v>
      </c>
      <c r="K56" s="5" t="s">
        <v>25</v>
      </c>
      <c r="L56" s="5" t="s">
        <v>25</v>
      </c>
      <c r="M56" s="5" t="s">
        <v>1046</v>
      </c>
      <c r="N56" s="5"/>
      <c r="O56" s="5"/>
      <c r="P56" s="5"/>
      <c r="Q56" s="5"/>
      <c r="R56">
        <v>1</v>
      </c>
    </row>
    <row r="57" spans="1:19" x14ac:dyDescent="0.25">
      <c r="A57" s="5" t="s">
        <v>91</v>
      </c>
      <c r="B57" s="5" t="s">
        <v>19</v>
      </c>
      <c r="C57" s="5" t="s">
        <v>92</v>
      </c>
      <c r="D57" s="5"/>
      <c r="E57" s="5">
        <v>403</v>
      </c>
      <c r="F57" s="5" t="s">
        <v>93</v>
      </c>
      <c r="G57" s="5" t="s">
        <v>70</v>
      </c>
      <c r="H57" s="5">
        <v>30</v>
      </c>
      <c r="I57" s="5">
        <v>30</v>
      </c>
      <c r="J57" s="5">
        <f t="shared" si="1"/>
        <v>0</v>
      </c>
      <c r="K57" s="5" t="s">
        <v>25</v>
      </c>
      <c r="L57" s="5" t="s">
        <v>25</v>
      </c>
      <c r="M57" s="5" t="s">
        <v>1046</v>
      </c>
      <c r="N57" s="5"/>
      <c r="O57" s="5"/>
      <c r="P57" s="5"/>
      <c r="Q57" s="5"/>
      <c r="R57">
        <v>1</v>
      </c>
    </row>
    <row r="58" spans="1:19" x14ac:dyDescent="0.25">
      <c r="A58" s="5"/>
      <c r="B58" s="5" t="s">
        <v>19</v>
      </c>
      <c r="C58" s="5" t="s">
        <v>1173</v>
      </c>
      <c r="D58" s="5" t="s">
        <v>1174</v>
      </c>
      <c r="E58" s="5" t="s">
        <v>1175</v>
      </c>
      <c r="F58" s="5" t="s">
        <v>871</v>
      </c>
      <c r="G58" s="5" t="s">
        <v>70</v>
      </c>
      <c r="H58" s="5">
        <v>0</v>
      </c>
      <c r="I58" s="5">
        <v>25</v>
      </c>
      <c r="J58" s="5">
        <f t="shared" si="1"/>
        <v>-25</v>
      </c>
      <c r="K58" s="5" t="s">
        <v>25</v>
      </c>
      <c r="L58" s="5" t="s">
        <v>25</v>
      </c>
      <c r="M58" s="5" t="s">
        <v>1046</v>
      </c>
      <c r="N58" s="5"/>
      <c r="O58" s="5"/>
      <c r="P58" s="5"/>
      <c r="Q58" s="5"/>
      <c r="R58">
        <v>1</v>
      </c>
      <c r="S58">
        <v>25</v>
      </c>
    </row>
    <row r="59" spans="1:19" x14ac:dyDescent="0.25">
      <c r="A59" s="5" t="s">
        <v>91</v>
      </c>
      <c r="B59" s="5" t="s">
        <v>19</v>
      </c>
      <c r="C59" s="5" t="s">
        <v>1176</v>
      </c>
      <c r="D59" s="5"/>
      <c r="E59" s="5">
        <v>58</v>
      </c>
      <c r="F59" s="5" t="s">
        <v>243</v>
      </c>
      <c r="G59" s="5" t="s">
        <v>103</v>
      </c>
      <c r="H59" s="5">
        <v>35</v>
      </c>
      <c r="I59" s="5">
        <v>35</v>
      </c>
      <c r="J59" s="5">
        <f t="shared" si="1"/>
        <v>0</v>
      </c>
      <c r="K59" s="5" t="s">
        <v>25</v>
      </c>
      <c r="L59" s="5" t="s">
        <v>25</v>
      </c>
      <c r="M59" s="5" t="s">
        <v>1046</v>
      </c>
      <c r="N59" s="5"/>
      <c r="O59" s="5"/>
      <c r="P59" s="5"/>
      <c r="Q59" s="5"/>
      <c r="R59">
        <v>1</v>
      </c>
    </row>
    <row r="60" spans="1:19" x14ac:dyDescent="0.25">
      <c r="A60" s="5"/>
      <c r="B60" s="5" t="s">
        <v>19</v>
      </c>
      <c r="C60" s="5" t="s">
        <v>1177</v>
      </c>
      <c r="D60" s="5" t="s">
        <v>1178</v>
      </c>
      <c r="E60" s="5">
        <v>55</v>
      </c>
      <c r="F60" s="5" t="s">
        <v>878</v>
      </c>
      <c r="G60" s="5" t="s">
        <v>103</v>
      </c>
      <c r="H60" s="5">
        <v>850</v>
      </c>
      <c r="I60" s="5">
        <v>30</v>
      </c>
      <c r="J60" s="5">
        <f t="shared" si="1"/>
        <v>820</v>
      </c>
      <c r="K60" s="5" t="s">
        <v>25</v>
      </c>
      <c r="L60" s="5" t="s">
        <v>25</v>
      </c>
      <c r="M60" s="5" t="s">
        <v>1046</v>
      </c>
      <c r="N60" s="5"/>
      <c r="O60" s="5"/>
      <c r="P60" s="5"/>
      <c r="Q60" s="5"/>
      <c r="R60">
        <v>1</v>
      </c>
    </row>
    <row r="61" spans="1:19" x14ac:dyDescent="0.25">
      <c r="A61" s="5"/>
      <c r="B61" s="5" t="s">
        <v>19</v>
      </c>
      <c r="C61" s="5" t="s">
        <v>1179</v>
      </c>
      <c r="D61" s="5" t="s">
        <v>1180</v>
      </c>
      <c r="E61" s="5" t="s">
        <v>1181</v>
      </c>
      <c r="F61" s="5" t="s">
        <v>258</v>
      </c>
      <c r="G61" s="5" t="s">
        <v>103</v>
      </c>
      <c r="H61" s="5">
        <v>470</v>
      </c>
      <c r="I61" s="5">
        <v>30</v>
      </c>
      <c r="J61" s="5">
        <f t="shared" si="1"/>
        <v>440</v>
      </c>
      <c r="K61" s="5" t="s">
        <v>25</v>
      </c>
      <c r="L61" s="5" t="s">
        <v>25</v>
      </c>
      <c r="M61" s="5" t="s">
        <v>1046</v>
      </c>
      <c r="N61" s="5"/>
      <c r="O61" s="5"/>
      <c r="P61" s="5"/>
      <c r="Q61" s="5"/>
      <c r="R61">
        <v>1</v>
      </c>
    </row>
    <row r="62" spans="1:19" x14ac:dyDescent="0.25">
      <c r="A62" s="5"/>
      <c r="B62" s="5" t="s">
        <v>19</v>
      </c>
      <c r="C62" s="5" t="s">
        <v>1182</v>
      </c>
      <c r="D62" s="5" t="s">
        <v>1183</v>
      </c>
      <c r="E62" s="5">
        <v>36</v>
      </c>
      <c r="F62" s="5" t="s">
        <v>1184</v>
      </c>
      <c r="G62" s="5">
        <v>9</v>
      </c>
      <c r="H62" s="5">
        <v>410</v>
      </c>
      <c r="I62" s="5">
        <v>30</v>
      </c>
      <c r="J62" s="5">
        <f t="shared" si="1"/>
        <v>380</v>
      </c>
      <c r="K62" s="5" t="s">
        <v>120</v>
      </c>
      <c r="L62" s="5" t="s">
        <v>25</v>
      </c>
      <c r="M62" s="5" t="s">
        <v>1046</v>
      </c>
      <c r="N62" s="5"/>
      <c r="O62" s="5"/>
      <c r="P62" s="5"/>
      <c r="Q62" s="5"/>
      <c r="R62">
        <v>1</v>
      </c>
    </row>
    <row r="63" spans="1:19" x14ac:dyDescent="0.25">
      <c r="A63" s="5"/>
      <c r="B63" s="5" t="s">
        <v>19</v>
      </c>
      <c r="C63" s="5" t="s">
        <v>1185</v>
      </c>
      <c r="D63" s="5" t="s">
        <v>1186</v>
      </c>
      <c r="E63" s="5" t="s">
        <v>1187</v>
      </c>
      <c r="F63" s="5" t="s">
        <v>1188</v>
      </c>
      <c r="G63" s="5">
        <v>9</v>
      </c>
      <c r="H63" s="5">
        <v>520</v>
      </c>
      <c r="I63" s="5">
        <v>30</v>
      </c>
      <c r="J63" s="5">
        <f t="shared" si="1"/>
        <v>490</v>
      </c>
      <c r="K63" s="5" t="s">
        <v>120</v>
      </c>
      <c r="L63" s="5" t="s">
        <v>25</v>
      </c>
      <c r="M63" s="5" t="s">
        <v>1046</v>
      </c>
      <c r="N63" s="5"/>
      <c r="O63" s="5"/>
      <c r="P63" s="5"/>
      <c r="Q63" s="5"/>
      <c r="R63">
        <v>1</v>
      </c>
    </row>
    <row r="64" spans="1:19" x14ac:dyDescent="0.25">
      <c r="A64" s="5"/>
      <c r="B64" s="5" t="s">
        <v>19</v>
      </c>
      <c r="C64" s="5" t="s">
        <v>1189</v>
      </c>
      <c r="D64" s="5" t="s">
        <v>1190</v>
      </c>
      <c r="E64" s="5">
        <v>76</v>
      </c>
      <c r="F64" s="5" t="s">
        <v>481</v>
      </c>
      <c r="G64" s="5">
        <v>9</v>
      </c>
      <c r="H64" s="5">
        <v>870</v>
      </c>
      <c r="I64" s="5">
        <v>30</v>
      </c>
      <c r="J64" s="5">
        <f t="shared" si="1"/>
        <v>840</v>
      </c>
      <c r="K64" s="5" t="s">
        <v>120</v>
      </c>
      <c r="L64" s="5" t="s">
        <v>25</v>
      </c>
      <c r="M64" s="5" t="s">
        <v>1046</v>
      </c>
      <c r="N64" s="5"/>
      <c r="O64" s="5"/>
      <c r="P64" s="5"/>
      <c r="Q64" s="5"/>
      <c r="R64">
        <v>1</v>
      </c>
    </row>
    <row r="65" spans="1:19" x14ac:dyDescent="0.25">
      <c r="A65" s="5"/>
      <c r="B65" s="5" t="s">
        <v>19</v>
      </c>
      <c r="C65" s="5" t="s">
        <v>1191</v>
      </c>
      <c r="D65" s="5" t="s">
        <v>1192</v>
      </c>
      <c r="E65" s="5" t="s">
        <v>1193</v>
      </c>
      <c r="F65" s="5" t="s">
        <v>1194</v>
      </c>
      <c r="G65" s="5">
        <v>9</v>
      </c>
      <c r="H65" s="5">
        <v>470</v>
      </c>
      <c r="I65" s="5">
        <v>30</v>
      </c>
      <c r="J65" s="5">
        <f t="shared" si="1"/>
        <v>440</v>
      </c>
      <c r="K65" s="5" t="s">
        <v>120</v>
      </c>
      <c r="L65" s="5" t="s">
        <v>25</v>
      </c>
      <c r="M65" s="5" t="s">
        <v>1046</v>
      </c>
      <c r="N65" s="5"/>
      <c r="O65" s="5"/>
      <c r="P65" s="5"/>
      <c r="Q65" s="5"/>
      <c r="R65">
        <v>1</v>
      </c>
    </row>
    <row r="67" spans="1:19" x14ac:dyDescent="0.25">
      <c r="H67">
        <f t="shared" ref="H67:S67" si="2">SUBTOTAL(9,H3:H66)</f>
        <v>35055</v>
      </c>
      <c r="I67">
        <f t="shared" si="2"/>
        <v>1585</v>
      </c>
      <c r="J67">
        <f t="shared" si="2"/>
        <v>33470</v>
      </c>
      <c r="K67">
        <f t="shared" si="2"/>
        <v>0</v>
      </c>
      <c r="L67">
        <f t="shared" si="2"/>
        <v>0</v>
      </c>
      <c r="M67">
        <f t="shared" si="2"/>
        <v>0</v>
      </c>
      <c r="N67">
        <f t="shared" si="2"/>
        <v>0</v>
      </c>
      <c r="O67">
        <f t="shared" si="2"/>
        <v>0</v>
      </c>
      <c r="P67">
        <f t="shared" si="2"/>
        <v>0</v>
      </c>
      <c r="Q67">
        <f t="shared" si="2"/>
        <v>0</v>
      </c>
      <c r="R67">
        <f t="shared" si="2"/>
        <v>63</v>
      </c>
      <c r="S67">
        <f t="shared" si="2"/>
        <v>420</v>
      </c>
    </row>
    <row r="68" spans="1:19" x14ac:dyDescent="0.25">
      <c r="J68">
        <v>-840</v>
      </c>
      <c r="K68" t="s">
        <v>1195</v>
      </c>
    </row>
    <row r="71" spans="1:19" ht="20.25" customHeight="1" x14ac:dyDescent="0.3">
      <c r="I71" s="7" t="s">
        <v>1196</v>
      </c>
      <c r="J71" s="8" t="s">
        <v>313</v>
      </c>
      <c r="K71" s="9" t="s">
        <v>314</v>
      </c>
    </row>
    <row r="72" spans="1:19" ht="15.75" customHeight="1" x14ac:dyDescent="0.25">
      <c r="I72" s="10" t="s">
        <v>315</v>
      </c>
      <c r="J72" s="11">
        <f>SUM(J66:J70)</f>
        <v>32630</v>
      </c>
      <c r="K72" s="11">
        <f>R67</f>
        <v>63</v>
      </c>
    </row>
    <row r="73" spans="1:19" x14ac:dyDescent="0.25">
      <c r="I73" s="12" t="s">
        <v>316</v>
      </c>
      <c r="J73" s="13">
        <f>S67</f>
        <v>420</v>
      </c>
      <c r="K73" s="14"/>
    </row>
    <row r="74" spans="1:19" x14ac:dyDescent="0.25">
      <c r="I74" s="12" t="s">
        <v>317</v>
      </c>
      <c r="J74" s="13">
        <f>T66</f>
        <v>0</v>
      </c>
      <c r="K74" s="14"/>
    </row>
    <row r="75" spans="1:19" x14ac:dyDescent="0.25">
      <c r="I75" s="12" t="s">
        <v>318</v>
      </c>
      <c r="J75" s="13">
        <f>U66</f>
        <v>0</v>
      </c>
      <c r="K75" s="14"/>
    </row>
    <row r="76" spans="1:19" x14ac:dyDescent="0.25">
      <c r="I76" s="12" t="s">
        <v>319</v>
      </c>
      <c r="J76" s="13">
        <f>V66</f>
        <v>0</v>
      </c>
      <c r="K76" s="14"/>
    </row>
    <row r="77" spans="1:19" ht="15.75" customHeight="1" x14ac:dyDescent="0.25">
      <c r="I77" s="15" t="s">
        <v>320</v>
      </c>
      <c r="J77" s="16"/>
      <c r="K77" s="16"/>
    </row>
    <row r="78" spans="1:19" ht="15.75" customHeight="1" x14ac:dyDescent="0.25">
      <c r="I78" s="17" t="s">
        <v>321</v>
      </c>
      <c r="J78" s="16"/>
      <c r="K78" s="16"/>
    </row>
    <row r="79" spans="1:19" ht="21" customHeight="1" x14ac:dyDescent="0.35">
      <c r="I79" s="18" t="s">
        <v>322</v>
      </c>
      <c r="J79" s="19">
        <f>SUM(J72:J78)</f>
        <v>33050</v>
      </c>
      <c r="K79" s="19">
        <f>SUM(K72:K76)</f>
        <v>63</v>
      </c>
    </row>
  </sheetData>
  <autoFilter ref="A2:Q65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56BA-AF5B-4830-AD42-B26F9FDBD9E9}">
  <dimension ref="A1:S54"/>
  <sheetViews>
    <sheetView workbookViewId="0">
      <selection activeCell="J46" sqref="J46"/>
    </sheetView>
  </sheetViews>
  <sheetFormatPr defaultRowHeight="15" x14ac:dyDescent="0.25"/>
  <sheetData>
    <row r="1" spans="1:19" x14ac:dyDescent="0.25">
      <c r="B1" t="s">
        <v>330</v>
      </c>
      <c r="C1" t="s">
        <v>1197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s="4" customFormat="1" x14ac:dyDescent="0.25">
      <c r="A3" s="5"/>
      <c r="B3" s="5" t="s">
        <v>19</v>
      </c>
      <c r="C3" s="5" t="s">
        <v>1198</v>
      </c>
      <c r="D3" s="5" t="s">
        <v>1199</v>
      </c>
      <c r="E3" s="5" t="s">
        <v>1200</v>
      </c>
      <c r="F3" s="5" t="s">
        <v>1201</v>
      </c>
      <c r="G3" s="5">
        <v>1</v>
      </c>
      <c r="H3" s="5">
        <v>0</v>
      </c>
      <c r="I3" s="5">
        <v>25</v>
      </c>
      <c r="J3" s="5">
        <f t="shared" ref="J3:J37" si="0">H3-I3</f>
        <v>-25</v>
      </c>
      <c r="K3" s="5" t="s">
        <v>125</v>
      </c>
      <c r="L3" s="5" t="s">
        <v>25</v>
      </c>
      <c r="M3" s="5" t="s">
        <v>1202</v>
      </c>
      <c r="N3" s="5"/>
      <c r="O3" s="5"/>
      <c r="P3" s="5"/>
      <c r="Q3" s="5"/>
      <c r="R3" s="4">
        <v>1</v>
      </c>
      <c r="S3" s="4">
        <v>25</v>
      </c>
    </row>
    <row r="4" spans="1:19" s="4" customFormat="1" x14ac:dyDescent="0.25">
      <c r="A4" s="5"/>
      <c r="B4" s="5" t="s">
        <v>19</v>
      </c>
      <c r="C4" s="5" t="s">
        <v>1203</v>
      </c>
      <c r="D4" s="5" t="s">
        <v>1204</v>
      </c>
      <c r="E4" s="5">
        <v>120</v>
      </c>
      <c r="F4" s="5" t="s">
        <v>1205</v>
      </c>
      <c r="G4" s="5">
        <v>1</v>
      </c>
      <c r="H4" s="5">
        <v>745</v>
      </c>
      <c r="I4" s="5">
        <v>25</v>
      </c>
      <c r="J4" s="5">
        <f t="shared" si="0"/>
        <v>720</v>
      </c>
      <c r="K4" s="5" t="s">
        <v>125</v>
      </c>
      <c r="L4" s="5" t="s">
        <v>25</v>
      </c>
      <c r="M4" s="5" t="s">
        <v>1202</v>
      </c>
      <c r="N4" s="5"/>
      <c r="O4" s="5"/>
      <c r="P4" s="5"/>
      <c r="Q4" s="5"/>
      <c r="R4" s="4">
        <v>1</v>
      </c>
    </row>
    <row r="5" spans="1:19" x14ac:dyDescent="0.25">
      <c r="A5" s="5"/>
      <c r="B5" s="5" t="s">
        <v>19</v>
      </c>
      <c r="C5" s="5" t="s">
        <v>1206</v>
      </c>
      <c r="D5" s="5" t="s">
        <v>1207</v>
      </c>
      <c r="E5" s="5">
        <v>242</v>
      </c>
      <c r="F5" s="5" t="s">
        <v>901</v>
      </c>
      <c r="G5" s="5">
        <v>1</v>
      </c>
      <c r="H5" s="5">
        <v>815</v>
      </c>
      <c r="I5" s="5">
        <v>25</v>
      </c>
      <c r="J5" s="5">
        <f t="shared" si="0"/>
        <v>790</v>
      </c>
      <c r="K5" s="5" t="s">
        <v>125</v>
      </c>
      <c r="L5" s="5" t="s">
        <v>25</v>
      </c>
      <c r="M5" s="5" t="s">
        <v>1202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1208</v>
      </c>
      <c r="D6" s="5" t="s">
        <v>1209</v>
      </c>
      <c r="E6" s="5" t="s">
        <v>1210</v>
      </c>
      <c r="F6" s="5" t="s">
        <v>905</v>
      </c>
      <c r="G6" s="5">
        <v>1</v>
      </c>
      <c r="H6" s="5">
        <v>815</v>
      </c>
      <c r="I6" s="5">
        <v>25</v>
      </c>
      <c r="J6" s="5">
        <f t="shared" si="0"/>
        <v>790</v>
      </c>
      <c r="K6" s="5" t="s">
        <v>125</v>
      </c>
      <c r="L6" s="5" t="s">
        <v>25</v>
      </c>
      <c r="M6" s="5" t="s">
        <v>1202</v>
      </c>
      <c r="N6" s="5"/>
      <c r="O6" s="5"/>
      <c r="P6" s="5"/>
      <c r="Q6" s="5"/>
      <c r="R6">
        <v>1</v>
      </c>
    </row>
    <row r="7" spans="1:19" x14ac:dyDescent="0.25">
      <c r="A7" s="5" t="s">
        <v>91</v>
      </c>
      <c r="B7" s="5" t="s">
        <v>19</v>
      </c>
      <c r="C7" s="5" t="s">
        <v>514</v>
      </c>
      <c r="D7" s="5"/>
      <c r="E7" s="5">
        <v>12</v>
      </c>
      <c r="F7" s="5" t="s">
        <v>515</v>
      </c>
      <c r="G7" s="5">
        <v>4</v>
      </c>
      <c r="H7" s="5">
        <v>30</v>
      </c>
      <c r="I7" s="5">
        <v>30</v>
      </c>
      <c r="J7" s="5">
        <f t="shared" si="0"/>
        <v>0</v>
      </c>
      <c r="K7" s="5" t="s">
        <v>125</v>
      </c>
      <c r="L7" s="5" t="s">
        <v>25</v>
      </c>
      <c r="M7" s="5" t="s">
        <v>1202</v>
      </c>
      <c r="N7" s="5"/>
      <c r="O7" s="5"/>
      <c r="P7" s="5"/>
      <c r="Q7" s="5"/>
      <c r="R7">
        <v>1</v>
      </c>
    </row>
    <row r="8" spans="1:19" x14ac:dyDescent="0.25">
      <c r="A8" s="5"/>
      <c r="B8" s="5" t="s">
        <v>19</v>
      </c>
      <c r="C8" s="5" t="s">
        <v>1211</v>
      </c>
      <c r="D8" s="5" t="s">
        <v>1212</v>
      </c>
      <c r="E8" s="5" t="s">
        <v>1213</v>
      </c>
      <c r="F8" s="5" t="s">
        <v>1214</v>
      </c>
      <c r="G8" s="5">
        <v>4</v>
      </c>
      <c r="H8" s="5">
        <v>895</v>
      </c>
      <c r="I8" s="5">
        <v>25</v>
      </c>
      <c r="J8" s="5">
        <f t="shared" si="0"/>
        <v>870</v>
      </c>
      <c r="K8" s="5" t="s">
        <v>125</v>
      </c>
      <c r="L8" s="5" t="s">
        <v>25</v>
      </c>
      <c r="M8" s="5" t="s">
        <v>1202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1058</v>
      </c>
      <c r="D9" s="5" t="s">
        <v>1215</v>
      </c>
      <c r="E9" s="5" t="s">
        <v>758</v>
      </c>
      <c r="F9" s="5" t="s">
        <v>759</v>
      </c>
      <c r="G9" s="5">
        <v>5</v>
      </c>
      <c r="H9" s="5">
        <v>0</v>
      </c>
      <c r="I9" s="5">
        <v>25</v>
      </c>
      <c r="J9" s="5">
        <f t="shared" si="0"/>
        <v>-25</v>
      </c>
      <c r="K9" s="5" t="s">
        <v>125</v>
      </c>
      <c r="L9" s="5" t="s">
        <v>25</v>
      </c>
      <c r="M9" s="5" t="s">
        <v>1202</v>
      </c>
      <c r="N9" s="5"/>
      <c r="O9" s="5"/>
      <c r="P9" s="5"/>
      <c r="Q9" s="5"/>
      <c r="R9">
        <v>1</v>
      </c>
      <c r="S9">
        <v>25</v>
      </c>
    </row>
    <row r="10" spans="1:19" x14ac:dyDescent="0.25">
      <c r="A10" s="5"/>
      <c r="B10" s="5" t="s">
        <v>19</v>
      </c>
      <c r="C10" s="5" t="s">
        <v>1216</v>
      </c>
      <c r="D10" s="5" t="s">
        <v>1217</v>
      </c>
      <c r="E10" s="5">
        <v>980</v>
      </c>
      <c r="F10" s="5" t="s">
        <v>1218</v>
      </c>
      <c r="G10" s="5">
        <v>5</v>
      </c>
      <c r="H10" s="5">
        <v>385</v>
      </c>
      <c r="I10" s="5">
        <v>25</v>
      </c>
      <c r="J10" s="5">
        <f t="shared" si="0"/>
        <v>360</v>
      </c>
      <c r="K10" s="5" t="s">
        <v>125</v>
      </c>
      <c r="L10" s="5" t="s">
        <v>25</v>
      </c>
      <c r="M10" s="5" t="s">
        <v>1202</v>
      </c>
      <c r="N10" s="5"/>
      <c r="O10" s="5"/>
      <c r="P10" s="5"/>
      <c r="Q10" s="5"/>
      <c r="R10">
        <v>1</v>
      </c>
    </row>
    <row r="11" spans="1:19" x14ac:dyDescent="0.25">
      <c r="A11" s="5"/>
      <c r="B11" s="5" t="s">
        <v>19</v>
      </c>
      <c r="C11" s="5" t="s">
        <v>1219</v>
      </c>
      <c r="D11" s="5" t="s">
        <v>1220</v>
      </c>
      <c r="E11" s="5" t="s">
        <v>137</v>
      </c>
      <c r="F11" s="5" t="s">
        <v>134</v>
      </c>
      <c r="G11" s="5">
        <v>10</v>
      </c>
      <c r="H11" s="5">
        <v>0</v>
      </c>
      <c r="I11" s="5">
        <v>25</v>
      </c>
      <c r="J11" s="5">
        <f t="shared" si="0"/>
        <v>-25</v>
      </c>
      <c r="K11" s="5" t="s">
        <v>125</v>
      </c>
      <c r="L11" s="5" t="s">
        <v>25</v>
      </c>
      <c r="M11" s="5" t="s">
        <v>1202</v>
      </c>
      <c r="N11" s="5"/>
      <c r="O11" s="5"/>
      <c r="P11" s="5"/>
      <c r="Q11" s="5"/>
      <c r="R11">
        <v>1</v>
      </c>
      <c r="S11">
        <v>25</v>
      </c>
    </row>
    <row r="12" spans="1:19" x14ac:dyDescent="0.25">
      <c r="A12" s="5"/>
      <c r="B12" s="5" t="s">
        <v>19</v>
      </c>
      <c r="C12" s="5" t="s">
        <v>1221</v>
      </c>
      <c r="D12" s="5" t="s">
        <v>1222</v>
      </c>
      <c r="E12" s="5" t="s">
        <v>1223</v>
      </c>
      <c r="F12" s="5" t="s">
        <v>709</v>
      </c>
      <c r="G12" s="5">
        <v>7</v>
      </c>
      <c r="H12" s="5">
        <v>470</v>
      </c>
      <c r="I12" s="5">
        <v>30</v>
      </c>
      <c r="J12" s="5">
        <f t="shared" si="0"/>
        <v>440</v>
      </c>
      <c r="K12" s="5" t="s">
        <v>1224</v>
      </c>
      <c r="L12" s="5" t="s">
        <v>25</v>
      </c>
      <c r="M12" s="5" t="s">
        <v>1202</v>
      </c>
      <c r="N12" s="5"/>
      <c r="O12" s="5"/>
      <c r="P12" s="5"/>
      <c r="Q12" s="5"/>
      <c r="R12">
        <v>1</v>
      </c>
    </row>
    <row r="13" spans="1:19" x14ac:dyDescent="0.25">
      <c r="A13" s="5"/>
      <c r="B13" s="5" t="s">
        <v>19</v>
      </c>
      <c r="C13" s="5" t="s">
        <v>1225</v>
      </c>
      <c r="D13" s="5" t="s">
        <v>1226</v>
      </c>
      <c r="E13" s="5" t="s">
        <v>1227</v>
      </c>
      <c r="F13" s="5" t="s">
        <v>1228</v>
      </c>
      <c r="G13" s="5">
        <v>7</v>
      </c>
      <c r="H13" s="5">
        <v>750</v>
      </c>
      <c r="I13" s="5">
        <v>30</v>
      </c>
      <c r="J13" s="5">
        <f t="shared" si="0"/>
        <v>720</v>
      </c>
      <c r="K13" s="5" t="s">
        <v>1224</v>
      </c>
      <c r="L13" s="5" t="s">
        <v>25</v>
      </c>
      <c r="M13" s="5" t="s">
        <v>1202</v>
      </c>
      <c r="N13" s="5"/>
      <c r="O13" s="5"/>
      <c r="P13" s="5"/>
      <c r="Q13" s="5"/>
      <c r="R13">
        <v>1</v>
      </c>
    </row>
    <row r="14" spans="1:19" x14ac:dyDescent="0.25">
      <c r="A14" s="5"/>
      <c r="B14" s="5" t="s">
        <v>19</v>
      </c>
      <c r="C14" s="5" t="s">
        <v>574</v>
      </c>
      <c r="D14" s="5" t="s">
        <v>1229</v>
      </c>
      <c r="E14" s="5" t="s">
        <v>1230</v>
      </c>
      <c r="F14" s="5" t="s">
        <v>1231</v>
      </c>
      <c r="G14" s="5">
        <v>7</v>
      </c>
      <c r="H14" s="5">
        <v>850</v>
      </c>
      <c r="I14" s="5">
        <v>30</v>
      </c>
      <c r="J14" s="5">
        <f t="shared" si="0"/>
        <v>820</v>
      </c>
      <c r="K14" s="5" t="s">
        <v>1224</v>
      </c>
      <c r="L14" s="5" t="s">
        <v>25</v>
      </c>
      <c r="M14" s="5" t="s">
        <v>1202</v>
      </c>
      <c r="N14" s="5"/>
      <c r="O14" s="5"/>
      <c r="P14" s="5"/>
      <c r="Q14" s="5"/>
      <c r="R14">
        <v>1</v>
      </c>
    </row>
    <row r="15" spans="1:19" x14ac:dyDescent="0.25">
      <c r="A15" s="5"/>
      <c r="B15" s="5" t="s">
        <v>19</v>
      </c>
      <c r="C15" s="5" t="s">
        <v>1232</v>
      </c>
      <c r="D15" s="5" t="s">
        <v>1233</v>
      </c>
      <c r="E15" s="5" t="s">
        <v>1234</v>
      </c>
      <c r="F15" s="5" t="s">
        <v>397</v>
      </c>
      <c r="G15" s="5">
        <v>8</v>
      </c>
      <c r="H15" s="5">
        <v>745</v>
      </c>
      <c r="I15" s="5">
        <v>25</v>
      </c>
      <c r="J15" s="5">
        <f t="shared" si="0"/>
        <v>720</v>
      </c>
      <c r="K15" s="5" t="s">
        <v>1224</v>
      </c>
      <c r="L15" s="5" t="s">
        <v>25</v>
      </c>
      <c r="M15" s="5" t="s">
        <v>1202</v>
      </c>
      <c r="N15" s="5"/>
      <c r="O15" s="5"/>
      <c r="P15" s="5"/>
      <c r="Q15" s="5"/>
      <c r="R15">
        <v>1</v>
      </c>
    </row>
    <row r="16" spans="1:19" x14ac:dyDescent="0.25">
      <c r="A16" s="5"/>
      <c r="B16" s="5" t="s">
        <v>19</v>
      </c>
      <c r="C16" s="5" t="s">
        <v>1235</v>
      </c>
      <c r="D16" s="5" t="s">
        <v>1236</v>
      </c>
      <c r="E16" s="5" t="s">
        <v>1237</v>
      </c>
      <c r="F16" s="5" t="s">
        <v>1238</v>
      </c>
      <c r="G16" s="5">
        <v>8</v>
      </c>
      <c r="H16" s="5">
        <v>1070</v>
      </c>
      <c r="I16" s="5">
        <v>30</v>
      </c>
      <c r="J16" s="5">
        <f t="shared" si="0"/>
        <v>1040</v>
      </c>
      <c r="K16" s="5" t="s">
        <v>1224</v>
      </c>
      <c r="L16" s="5" t="s">
        <v>25</v>
      </c>
      <c r="M16" s="5" t="s">
        <v>1202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1239</v>
      </c>
      <c r="D17" s="5" t="s">
        <v>1240</v>
      </c>
      <c r="E17" s="5">
        <v>747</v>
      </c>
      <c r="F17" s="5" t="s">
        <v>1241</v>
      </c>
      <c r="G17" s="5">
        <v>9</v>
      </c>
      <c r="H17" s="5">
        <v>850</v>
      </c>
      <c r="I17" s="5">
        <v>30</v>
      </c>
      <c r="J17" s="5">
        <f t="shared" si="0"/>
        <v>820</v>
      </c>
      <c r="K17" s="5" t="s">
        <v>1224</v>
      </c>
      <c r="L17" s="5" t="s">
        <v>25</v>
      </c>
      <c r="M17" s="5" t="s">
        <v>1202</v>
      </c>
      <c r="N17" s="5"/>
      <c r="O17" s="5"/>
      <c r="P17" s="5"/>
      <c r="Q17" s="5"/>
      <c r="R17">
        <v>1</v>
      </c>
    </row>
    <row r="18" spans="1:19" x14ac:dyDescent="0.25">
      <c r="A18" s="5"/>
      <c r="B18" s="5" t="s">
        <v>19</v>
      </c>
      <c r="C18" s="5" t="s">
        <v>1242</v>
      </c>
      <c r="D18" s="5" t="s">
        <v>1243</v>
      </c>
      <c r="E18" s="5">
        <v>375</v>
      </c>
      <c r="F18" s="5" t="s">
        <v>1244</v>
      </c>
      <c r="G18" s="5">
        <v>12</v>
      </c>
      <c r="H18" s="5">
        <v>0</v>
      </c>
      <c r="I18" s="5">
        <v>30</v>
      </c>
      <c r="J18" s="5">
        <f t="shared" si="0"/>
        <v>-30</v>
      </c>
      <c r="K18" s="5" t="s">
        <v>1224</v>
      </c>
      <c r="L18" s="5" t="s">
        <v>25</v>
      </c>
      <c r="M18" s="5" t="s">
        <v>1202</v>
      </c>
      <c r="N18" s="5"/>
      <c r="O18" s="5"/>
      <c r="P18" s="5"/>
      <c r="Q18" s="5"/>
      <c r="R18">
        <v>1</v>
      </c>
      <c r="S18">
        <v>30</v>
      </c>
    </row>
    <row r="19" spans="1:19" x14ac:dyDescent="0.25">
      <c r="A19" s="5"/>
      <c r="B19" s="5" t="s">
        <v>19</v>
      </c>
      <c r="C19" s="5" t="s">
        <v>1245</v>
      </c>
      <c r="D19" s="5" t="s">
        <v>1246</v>
      </c>
      <c r="E19" s="5" t="s">
        <v>1247</v>
      </c>
      <c r="F19" s="5" t="s">
        <v>1248</v>
      </c>
      <c r="G19" s="5" t="s">
        <v>240</v>
      </c>
      <c r="H19" s="5">
        <v>0</v>
      </c>
      <c r="I19" s="5">
        <v>30</v>
      </c>
      <c r="J19" s="5">
        <f t="shared" si="0"/>
        <v>-30</v>
      </c>
      <c r="K19" s="5" t="s">
        <v>1224</v>
      </c>
      <c r="L19" s="5" t="s">
        <v>25</v>
      </c>
      <c r="M19" s="5" t="s">
        <v>1202</v>
      </c>
      <c r="N19" s="5"/>
      <c r="O19" s="5"/>
      <c r="P19" s="5"/>
      <c r="Q19" s="5"/>
      <c r="R19">
        <v>1</v>
      </c>
      <c r="S19">
        <v>30</v>
      </c>
    </row>
    <row r="20" spans="1:19" x14ac:dyDescent="0.25">
      <c r="A20" s="5"/>
      <c r="B20" s="5" t="s">
        <v>19</v>
      </c>
      <c r="C20" s="5" t="s">
        <v>1249</v>
      </c>
      <c r="D20" s="5" t="s">
        <v>1250</v>
      </c>
      <c r="E20" s="5" t="s">
        <v>428</v>
      </c>
      <c r="F20" s="5" t="s">
        <v>429</v>
      </c>
      <c r="G20" s="5" t="s">
        <v>240</v>
      </c>
      <c r="H20" s="5">
        <v>0</v>
      </c>
      <c r="I20" s="5">
        <v>30</v>
      </c>
      <c r="J20" s="5">
        <f t="shared" si="0"/>
        <v>-30</v>
      </c>
      <c r="K20" s="5" t="s">
        <v>1224</v>
      </c>
      <c r="L20" s="5" t="s">
        <v>25</v>
      </c>
      <c r="M20" s="5" t="s">
        <v>1202</v>
      </c>
      <c r="N20" s="5"/>
      <c r="O20" s="5"/>
      <c r="P20" s="5"/>
      <c r="Q20" s="5"/>
      <c r="R20">
        <v>1</v>
      </c>
      <c r="S20">
        <v>30</v>
      </c>
    </row>
    <row r="21" spans="1:19" x14ac:dyDescent="0.25">
      <c r="A21" s="5" t="s">
        <v>91</v>
      </c>
      <c r="B21" s="5" t="s">
        <v>19</v>
      </c>
      <c r="C21" s="5" t="s">
        <v>837</v>
      </c>
      <c r="D21" s="5"/>
      <c r="E21" s="5" t="s">
        <v>838</v>
      </c>
      <c r="F21" s="5" t="s">
        <v>759</v>
      </c>
      <c r="G21" s="5" t="s">
        <v>98</v>
      </c>
      <c r="H21" s="5">
        <v>4365</v>
      </c>
      <c r="I21" s="5">
        <v>15</v>
      </c>
      <c r="J21" s="5">
        <f t="shared" si="0"/>
        <v>4350</v>
      </c>
      <c r="K21" s="5" t="s">
        <v>1224</v>
      </c>
      <c r="L21" s="5" t="s">
        <v>25</v>
      </c>
      <c r="M21" s="5" t="s">
        <v>1202</v>
      </c>
      <c r="N21" s="6" t="s">
        <v>1251</v>
      </c>
      <c r="O21" s="5"/>
      <c r="P21" s="5"/>
      <c r="Q21" s="5"/>
      <c r="R21">
        <v>1</v>
      </c>
    </row>
    <row r="22" spans="1:19" x14ac:dyDescent="0.25">
      <c r="A22" s="5"/>
      <c r="B22" s="5" t="s">
        <v>19</v>
      </c>
      <c r="C22" s="5" t="s">
        <v>1252</v>
      </c>
      <c r="D22" s="5" t="s">
        <v>1253</v>
      </c>
      <c r="E22" s="5">
        <v>41</v>
      </c>
      <c r="F22" s="5" t="s">
        <v>1254</v>
      </c>
      <c r="G22" s="5" t="s">
        <v>286</v>
      </c>
      <c r="H22" s="5">
        <v>835</v>
      </c>
      <c r="I22" s="5">
        <v>25</v>
      </c>
      <c r="J22" s="5">
        <f t="shared" si="0"/>
        <v>810</v>
      </c>
      <c r="K22" s="5" t="s">
        <v>1224</v>
      </c>
      <c r="L22" s="5" t="s">
        <v>25</v>
      </c>
      <c r="M22" s="5" t="s">
        <v>1202</v>
      </c>
      <c r="N22" s="5"/>
      <c r="O22" s="5"/>
      <c r="P22" s="5"/>
      <c r="Q22" s="5"/>
      <c r="R22">
        <v>1</v>
      </c>
    </row>
    <row r="23" spans="1:19" s="4" customFormat="1" x14ac:dyDescent="0.25">
      <c r="A23" s="5"/>
      <c r="B23" s="5" t="s">
        <v>19</v>
      </c>
      <c r="C23" s="5" t="s">
        <v>1255</v>
      </c>
      <c r="D23" s="5" t="s">
        <v>1256</v>
      </c>
      <c r="E23" s="5" t="s">
        <v>1257</v>
      </c>
      <c r="F23" s="5" t="s">
        <v>290</v>
      </c>
      <c r="G23" s="5">
        <v>2</v>
      </c>
      <c r="H23" s="5">
        <v>820</v>
      </c>
      <c r="I23" s="5">
        <v>30</v>
      </c>
      <c r="J23" s="5">
        <f t="shared" si="0"/>
        <v>790</v>
      </c>
      <c r="K23" s="5" t="s">
        <v>25</v>
      </c>
      <c r="L23" s="5" t="s">
        <v>25</v>
      </c>
      <c r="M23" s="5" t="s">
        <v>1202</v>
      </c>
      <c r="N23" s="5"/>
      <c r="O23" s="5"/>
      <c r="P23" s="5"/>
      <c r="Q23" s="5"/>
      <c r="R23" s="4">
        <v>1</v>
      </c>
    </row>
    <row r="24" spans="1:19" x14ac:dyDescent="0.25">
      <c r="A24" s="5"/>
      <c r="B24" s="5" t="s">
        <v>19</v>
      </c>
      <c r="C24" s="5" t="s">
        <v>1258</v>
      </c>
      <c r="D24" s="5" t="s">
        <v>1259</v>
      </c>
      <c r="E24" s="5" t="s">
        <v>1260</v>
      </c>
      <c r="F24" s="5" t="s">
        <v>1261</v>
      </c>
      <c r="G24" s="5">
        <v>2</v>
      </c>
      <c r="H24" s="5">
        <v>0</v>
      </c>
      <c r="I24" s="5">
        <v>30</v>
      </c>
      <c r="J24" s="5">
        <f t="shared" si="0"/>
        <v>-30</v>
      </c>
      <c r="K24" s="5" t="s">
        <v>25</v>
      </c>
      <c r="L24" s="5" t="s">
        <v>25</v>
      </c>
      <c r="M24" s="5" t="s">
        <v>1202</v>
      </c>
      <c r="N24" s="5"/>
      <c r="O24" s="5"/>
      <c r="P24" s="5"/>
      <c r="Q24" s="5"/>
      <c r="R24">
        <v>1</v>
      </c>
      <c r="S24">
        <v>30</v>
      </c>
    </row>
    <row r="25" spans="1:19" x14ac:dyDescent="0.25">
      <c r="A25" s="5"/>
      <c r="B25" s="5" t="s">
        <v>19</v>
      </c>
      <c r="C25" s="5" t="s">
        <v>1262</v>
      </c>
      <c r="D25" s="5" t="s">
        <v>1263</v>
      </c>
      <c r="E25" s="5" t="s">
        <v>1264</v>
      </c>
      <c r="F25" s="5" t="s">
        <v>1265</v>
      </c>
      <c r="G25" s="5">
        <v>2</v>
      </c>
      <c r="H25" s="5">
        <v>850</v>
      </c>
      <c r="I25" s="5">
        <v>30</v>
      </c>
      <c r="J25" s="5">
        <f t="shared" si="0"/>
        <v>820</v>
      </c>
      <c r="K25" s="5" t="s">
        <v>25</v>
      </c>
      <c r="L25" s="5" t="s">
        <v>25</v>
      </c>
      <c r="M25" s="5" t="s">
        <v>1202</v>
      </c>
      <c r="N25" s="5"/>
      <c r="O25" s="5"/>
      <c r="P25" s="5"/>
      <c r="Q25" s="5"/>
      <c r="R25">
        <v>1</v>
      </c>
    </row>
    <row r="26" spans="1:19" x14ac:dyDescent="0.25">
      <c r="A26" s="5"/>
      <c r="B26" s="5" t="s">
        <v>19</v>
      </c>
      <c r="C26" s="5" t="s">
        <v>529</v>
      </c>
      <c r="D26" s="5" t="s">
        <v>1266</v>
      </c>
      <c r="E26" s="5" t="s">
        <v>35</v>
      </c>
      <c r="F26" s="5" t="s">
        <v>36</v>
      </c>
      <c r="G26" s="5">
        <v>2</v>
      </c>
      <c r="H26" s="5">
        <v>0</v>
      </c>
      <c r="I26" s="5">
        <v>30</v>
      </c>
      <c r="J26" s="5">
        <f t="shared" si="0"/>
        <v>-30</v>
      </c>
      <c r="K26" s="5" t="s">
        <v>25</v>
      </c>
      <c r="L26" s="5" t="s">
        <v>25</v>
      </c>
      <c r="M26" s="5" t="s">
        <v>1202</v>
      </c>
      <c r="N26" s="5"/>
      <c r="O26" s="5"/>
      <c r="P26" s="5"/>
      <c r="Q26" s="5"/>
      <c r="R26">
        <v>1</v>
      </c>
      <c r="S26">
        <v>30</v>
      </c>
    </row>
    <row r="27" spans="1:19" x14ac:dyDescent="0.25">
      <c r="A27" s="5"/>
      <c r="B27" s="5" t="s">
        <v>19</v>
      </c>
      <c r="C27" s="5" t="s">
        <v>1267</v>
      </c>
      <c r="D27" s="5" t="s">
        <v>1268</v>
      </c>
      <c r="E27" s="5" t="s">
        <v>1269</v>
      </c>
      <c r="F27" s="5" t="s">
        <v>62</v>
      </c>
      <c r="G27" s="5" t="s">
        <v>58</v>
      </c>
      <c r="H27" s="5">
        <v>810</v>
      </c>
      <c r="I27" s="5">
        <v>20</v>
      </c>
      <c r="J27" s="5">
        <f t="shared" si="0"/>
        <v>790</v>
      </c>
      <c r="K27" s="5" t="s">
        <v>25</v>
      </c>
      <c r="L27" s="5" t="s">
        <v>25</v>
      </c>
      <c r="M27" s="5" t="s">
        <v>1202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1270</v>
      </c>
      <c r="D28" s="5" t="s">
        <v>1271</v>
      </c>
      <c r="E28" s="5" t="s">
        <v>1272</v>
      </c>
      <c r="F28" s="5" t="s">
        <v>860</v>
      </c>
      <c r="G28" s="5" t="s">
        <v>70</v>
      </c>
      <c r="H28" s="5">
        <v>1595</v>
      </c>
      <c r="I28" s="5">
        <v>25</v>
      </c>
      <c r="J28" s="5">
        <f t="shared" si="0"/>
        <v>1570</v>
      </c>
      <c r="K28" s="5" t="s">
        <v>25</v>
      </c>
      <c r="L28" s="5" t="s">
        <v>25</v>
      </c>
      <c r="M28" s="5" t="s">
        <v>1202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857</v>
      </c>
      <c r="D29" s="5" t="s">
        <v>1273</v>
      </c>
      <c r="E29" s="5" t="s">
        <v>859</v>
      </c>
      <c r="F29" s="5" t="s">
        <v>860</v>
      </c>
      <c r="G29" s="5" t="s">
        <v>70</v>
      </c>
      <c r="H29" s="5">
        <v>1105</v>
      </c>
      <c r="I29" s="5">
        <v>25</v>
      </c>
      <c r="J29" s="5">
        <f t="shared" si="0"/>
        <v>1080</v>
      </c>
      <c r="K29" s="5" t="s">
        <v>25</v>
      </c>
      <c r="L29" s="5" t="s">
        <v>25</v>
      </c>
      <c r="M29" s="5" t="s">
        <v>1202</v>
      </c>
      <c r="N29" s="5"/>
      <c r="O29" s="5"/>
      <c r="P29" s="5"/>
      <c r="Q29" s="5"/>
      <c r="R29">
        <v>1</v>
      </c>
    </row>
    <row r="30" spans="1:19" x14ac:dyDescent="0.25">
      <c r="A30" s="20"/>
      <c r="B30" s="20" t="s">
        <v>19</v>
      </c>
      <c r="C30" s="20" t="s">
        <v>1170</v>
      </c>
      <c r="D30" s="20" t="s">
        <v>1274</v>
      </c>
      <c r="E30" s="20" t="s">
        <v>1172</v>
      </c>
      <c r="F30" s="20" t="s">
        <v>90</v>
      </c>
      <c r="G30" s="20" t="s">
        <v>70</v>
      </c>
      <c r="H30" s="20">
        <v>0</v>
      </c>
      <c r="I30" s="20">
        <v>25</v>
      </c>
      <c r="J30" s="20">
        <f t="shared" si="0"/>
        <v>-25</v>
      </c>
      <c r="K30" s="20" t="s">
        <v>25</v>
      </c>
      <c r="L30" s="20" t="s">
        <v>25</v>
      </c>
      <c r="M30" s="20" t="s">
        <v>1202</v>
      </c>
      <c r="N30" s="20" t="s">
        <v>472</v>
      </c>
      <c r="O30" s="20"/>
      <c r="P30" s="20"/>
      <c r="Q30" s="20"/>
      <c r="R30">
        <v>1</v>
      </c>
      <c r="S30">
        <v>25</v>
      </c>
    </row>
    <row r="31" spans="1:19" x14ac:dyDescent="0.25">
      <c r="A31" s="5" t="s">
        <v>91</v>
      </c>
      <c r="B31" s="5" t="s">
        <v>19</v>
      </c>
      <c r="C31" s="5" t="s">
        <v>866</v>
      </c>
      <c r="D31" s="5"/>
      <c r="E31" s="5">
        <v>401</v>
      </c>
      <c r="F31" s="5" t="s">
        <v>481</v>
      </c>
      <c r="G31" s="5" t="s">
        <v>70</v>
      </c>
      <c r="H31" s="5">
        <v>2200</v>
      </c>
      <c r="I31" s="5">
        <v>30</v>
      </c>
      <c r="J31" s="5">
        <f t="shared" si="0"/>
        <v>2170</v>
      </c>
      <c r="K31" s="5" t="s">
        <v>25</v>
      </c>
      <c r="L31" s="5" t="s">
        <v>25</v>
      </c>
      <c r="M31" s="5" t="s">
        <v>1202</v>
      </c>
      <c r="N31" s="5"/>
      <c r="O31" s="5"/>
      <c r="P31" s="5"/>
      <c r="Q31" s="5"/>
      <c r="R31">
        <v>1</v>
      </c>
    </row>
    <row r="32" spans="1:19" x14ac:dyDescent="0.25">
      <c r="A32" s="5" t="s">
        <v>91</v>
      </c>
      <c r="B32" s="5" t="s">
        <v>19</v>
      </c>
      <c r="C32" s="5" t="s">
        <v>482</v>
      </c>
      <c r="D32" s="5"/>
      <c r="E32" s="5">
        <v>685</v>
      </c>
      <c r="F32" s="5" t="s">
        <v>93</v>
      </c>
      <c r="G32" s="5" t="s">
        <v>70</v>
      </c>
      <c r="H32" s="5">
        <v>30</v>
      </c>
      <c r="I32" s="5">
        <v>30</v>
      </c>
      <c r="J32" s="5">
        <f t="shared" si="0"/>
        <v>0</v>
      </c>
      <c r="K32" s="5" t="s">
        <v>25</v>
      </c>
      <c r="L32" s="5" t="s">
        <v>25</v>
      </c>
      <c r="M32" s="5" t="s">
        <v>1202</v>
      </c>
      <c r="N32" s="5"/>
      <c r="O32" s="5"/>
      <c r="P32" s="5"/>
      <c r="Q32" s="5"/>
      <c r="R32">
        <v>1</v>
      </c>
    </row>
    <row r="33" spans="1:19" x14ac:dyDescent="0.25">
      <c r="A33" s="5"/>
      <c r="B33" s="5" t="s">
        <v>19</v>
      </c>
      <c r="C33" s="5" t="s">
        <v>362</v>
      </c>
      <c r="D33" s="5" t="s">
        <v>1275</v>
      </c>
      <c r="E33" s="5" t="s">
        <v>364</v>
      </c>
      <c r="F33" s="5" t="s">
        <v>361</v>
      </c>
      <c r="G33" s="5" t="s">
        <v>98</v>
      </c>
      <c r="H33" s="5">
        <v>745</v>
      </c>
      <c r="I33" s="5">
        <v>25</v>
      </c>
      <c r="J33" s="5">
        <f t="shared" si="0"/>
        <v>720</v>
      </c>
      <c r="K33" s="5" t="s">
        <v>25</v>
      </c>
      <c r="L33" s="5" t="s">
        <v>25</v>
      </c>
      <c r="M33" s="5" t="s">
        <v>1202</v>
      </c>
      <c r="N33" s="5"/>
      <c r="O33" s="5"/>
      <c r="P33" s="5"/>
      <c r="Q33" s="5"/>
      <c r="R33">
        <v>1</v>
      </c>
    </row>
    <row r="34" spans="1:19" x14ac:dyDescent="0.25">
      <c r="A34" s="5"/>
      <c r="B34" s="5" t="s">
        <v>19</v>
      </c>
      <c r="C34" s="5" t="s">
        <v>1276</v>
      </c>
      <c r="D34" s="5" t="s">
        <v>1277</v>
      </c>
      <c r="E34" s="5" t="s">
        <v>1278</v>
      </c>
      <c r="F34" s="5" t="s">
        <v>1279</v>
      </c>
      <c r="G34" s="5" t="s">
        <v>103</v>
      </c>
      <c r="H34" s="5">
        <v>820</v>
      </c>
      <c r="I34" s="5">
        <v>30</v>
      </c>
      <c r="J34" s="5">
        <f t="shared" si="0"/>
        <v>790</v>
      </c>
      <c r="K34" s="5" t="s">
        <v>25</v>
      </c>
      <c r="L34" s="5" t="s">
        <v>25</v>
      </c>
      <c r="M34" s="5" t="s">
        <v>1202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1280</v>
      </c>
      <c r="D35" s="5" t="s">
        <v>1281</v>
      </c>
      <c r="E35" s="5" t="s">
        <v>1282</v>
      </c>
      <c r="F35" s="5" t="s">
        <v>1283</v>
      </c>
      <c r="G35" s="5" t="s">
        <v>103</v>
      </c>
      <c r="H35" s="5">
        <v>610</v>
      </c>
      <c r="I35" s="5">
        <v>30</v>
      </c>
      <c r="J35" s="5">
        <f t="shared" si="0"/>
        <v>580</v>
      </c>
      <c r="K35" s="5" t="s">
        <v>25</v>
      </c>
      <c r="L35" s="5" t="s">
        <v>25</v>
      </c>
      <c r="M35" s="5" t="s">
        <v>1202</v>
      </c>
      <c r="N35" s="5"/>
      <c r="O35" s="5"/>
      <c r="P35" s="5"/>
      <c r="Q35" s="5"/>
      <c r="R35">
        <v>1</v>
      </c>
    </row>
    <row r="36" spans="1:19" x14ac:dyDescent="0.25">
      <c r="A36" s="5"/>
      <c r="B36" s="5" t="s">
        <v>19</v>
      </c>
      <c r="C36" s="5" t="s">
        <v>1284</v>
      </c>
      <c r="D36" s="5" t="s">
        <v>1285</v>
      </c>
      <c r="E36" s="5" t="s">
        <v>1286</v>
      </c>
      <c r="F36" s="5" t="s">
        <v>670</v>
      </c>
      <c r="G36" s="5">
        <v>9</v>
      </c>
      <c r="H36" s="5">
        <v>390</v>
      </c>
      <c r="I36" s="5">
        <v>30</v>
      </c>
      <c r="J36" s="5">
        <f t="shared" si="0"/>
        <v>360</v>
      </c>
      <c r="K36" s="5" t="s">
        <v>120</v>
      </c>
      <c r="L36" s="5" t="s">
        <v>25</v>
      </c>
      <c r="M36" s="5" t="s">
        <v>1202</v>
      </c>
      <c r="N36" s="5"/>
      <c r="O36" s="5"/>
      <c r="P36" s="5"/>
      <c r="Q36" s="5"/>
      <c r="R36">
        <v>1</v>
      </c>
    </row>
    <row r="37" spans="1:19" x14ac:dyDescent="0.25">
      <c r="A37" s="5" t="s">
        <v>91</v>
      </c>
      <c r="B37" s="5" t="s">
        <v>19</v>
      </c>
      <c r="C37" s="5" t="s">
        <v>1287</v>
      </c>
      <c r="D37" s="5"/>
      <c r="E37" s="5" t="s">
        <v>1288</v>
      </c>
      <c r="F37" s="5" t="s">
        <v>670</v>
      </c>
      <c r="G37" s="5">
        <v>9</v>
      </c>
      <c r="H37" s="5">
        <v>1065</v>
      </c>
      <c r="I37" s="5">
        <v>35</v>
      </c>
      <c r="J37" s="5">
        <f t="shared" si="0"/>
        <v>1030</v>
      </c>
      <c r="K37" s="5" t="s">
        <v>120</v>
      </c>
      <c r="L37" s="5" t="s">
        <v>25</v>
      </c>
      <c r="M37" s="5" t="s">
        <v>1202</v>
      </c>
      <c r="N37" s="5"/>
      <c r="O37" s="5"/>
      <c r="P37" s="5"/>
      <c r="Q37" s="5"/>
      <c r="R37">
        <v>1</v>
      </c>
    </row>
    <row r="39" spans="1:19" x14ac:dyDescent="0.25">
      <c r="H39">
        <f t="shared" ref="H39:S39" si="1">SUBTOTAL(9,H3:H38)</f>
        <v>24660</v>
      </c>
      <c r="I39">
        <f t="shared" si="1"/>
        <v>960</v>
      </c>
      <c r="J39">
        <f t="shared" si="1"/>
        <v>23700</v>
      </c>
      <c r="K39">
        <f t="shared" si="1"/>
        <v>0</v>
      </c>
      <c r="L39">
        <f t="shared" si="1"/>
        <v>0</v>
      </c>
      <c r="M39">
        <f t="shared" si="1"/>
        <v>0</v>
      </c>
      <c r="N39">
        <f t="shared" si="1"/>
        <v>0</v>
      </c>
      <c r="O39">
        <f t="shared" si="1"/>
        <v>0</v>
      </c>
      <c r="P39">
        <f t="shared" si="1"/>
        <v>0</v>
      </c>
      <c r="Q39">
        <f t="shared" si="1"/>
        <v>0</v>
      </c>
      <c r="R39">
        <f t="shared" si="1"/>
        <v>35</v>
      </c>
      <c r="S39">
        <f t="shared" si="1"/>
        <v>250</v>
      </c>
    </row>
    <row r="40" spans="1:19" x14ac:dyDescent="0.25">
      <c r="J40">
        <v>-3445</v>
      </c>
      <c r="K40" t="s">
        <v>1289</v>
      </c>
    </row>
    <row r="41" spans="1:19" x14ac:dyDescent="0.25">
      <c r="J41">
        <v>-510</v>
      </c>
      <c r="K41" t="s">
        <v>311</v>
      </c>
    </row>
    <row r="43" spans="1:19" ht="20.25" customHeight="1" x14ac:dyDescent="0.3">
      <c r="I43" s="7" t="s">
        <v>1290</v>
      </c>
      <c r="J43" s="8" t="s">
        <v>313</v>
      </c>
      <c r="K43" s="9" t="s">
        <v>314</v>
      </c>
    </row>
    <row r="44" spans="1:19" ht="15.75" customHeight="1" x14ac:dyDescent="0.25">
      <c r="I44" s="10" t="s">
        <v>315</v>
      </c>
      <c r="J44" s="11">
        <f>SUM(J38:J42)</f>
        <v>19745</v>
      </c>
      <c r="K44" s="11">
        <f>R39</f>
        <v>35</v>
      </c>
    </row>
    <row r="45" spans="1:19" x14ac:dyDescent="0.25">
      <c r="I45" s="12" t="s">
        <v>316</v>
      </c>
      <c r="J45" s="13">
        <f>S39</f>
        <v>250</v>
      </c>
      <c r="K45" s="14"/>
    </row>
    <row r="46" spans="1:19" x14ac:dyDescent="0.25">
      <c r="I46" s="12" t="s">
        <v>317</v>
      </c>
      <c r="J46" s="13">
        <f>T38</f>
        <v>0</v>
      </c>
      <c r="K46" s="14"/>
    </row>
    <row r="47" spans="1:19" x14ac:dyDescent="0.25">
      <c r="I47" s="12" t="s">
        <v>318</v>
      </c>
      <c r="J47" s="13">
        <f>U38</f>
        <v>0</v>
      </c>
      <c r="K47" s="14"/>
    </row>
    <row r="48" spans="1:19" x14ac:dyDescent="0.25">
      <c r="I48" s="12" t="s">
        <v>319</v>
      </c>
      <c r="J48" s="13">
        <f>V38</f>
        <v>0</v>
      </c>
      <c r="K48" s="14"/>
    </row>
    <row r="49" spans="1:13" ht="15.75" customHeight="1" x14ac:dyDescent="0.25">
      <c r="I49" s="15" t="s">
        <v>320</v>
      </c>
      <c r="J49" s="16"/>
      <c r="K49" s="16"/>
    </row>
    <row r="50" spans="1:13" ht="15.75" customHeight="1" x14ac:dyDescent="0.25">
      <c r="I50" s="17" t="s">
        <v>321</v>
      </c>
      <c r="J50" s="16"/>
      <c r="K50" s="16"/>
    </row>
    <row r="51" spans="1:13" ht="21" customHeight="1" x14ac:dyDescent="0.35">
      <c r="I51" s="18" t="s">
        <v>322</v>
      </c>
      <c r="J51" s="19">
        <f>SUM(J44:J50)</f>
        <v>19995</v>
      </c>
      <c r="K51" s="19">
        <f>SUM(K44:K48)</f>
        <v>35</v>
      </c>
    </row>
    <row r="53" spans="1:13" x14ac:dyDescent="0.25">
      <c r="A53" t="s">
        <v>311</v>
      </c>
    </row>
    <row r="54" spans="1:13" x14ac:dyDescent="0.25">
      <c r="A54" s="2" t="s">
        <v>19</v>
      </c>
      <c r="B54" s="2" t="s">
        <v>1137</v>
      </c>
      <c r="C54" s="2" t="s">
        <v>1138</v>
      </c>
      <c r="D54" s="2" t="s">
        <v>1139</v>
      </c>
      <c r="E54" s="2" t="s">
        <v>1140</v>
      </c>
      <c r="F54" s="2" t="s">
        <v>58</v>
      </c>
      <c r="G54" s="2">
        <v>510</v>
      </c>
      <c r="H54" s="2">
        <v>0</v>
      </c>
      <c r="I54" s="2">
        <f>G54-H54</f>
        <v>510</v>
      </c>
      <c r="J54" s="2" t="s">
        <v>24</v>
      </c>
      <c r="K54" s="2" t="s">
        <v>25</v>
      </c>
      <c r="L54" s="2" t="s">
        <v>1046</v>
      </c>
      <c r="M54" s="3" t="s">
        <v>1291</v>
      </c>
    </row>
  </sheetData>
  <autoFilter ref="A2:Q3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C9ED-F8DE-469E-AE6A-E6CC89591140}">
  <dimension ref="A1:S38"/>
  <sheetViews>
    <sheetView workbookViewId="0">
      <selection activeCell="J33" sqref="J33"/>
    </sheetView>
  </sheetViews>
  <sheetFormatPr defaultRowHeight="15" x14ac:dyDescent="0.25"/>
  <sheetData>
    <row r="1" spans="1:19" x14ac:dyDescent="0.25">
      <c r="B1" t="s">
        <v>489</v>
      </c>
      <c r="C1" t="s">
        <v>1292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s="4" customFormat="1" x14ac:dyDescent="0.25">
      <c r="A3" s="2"/>
      <c r="B3" s="2" t="s">
        <v>19</v>
      </c>
      <c r="C3" s="2" t="s">
        <v>1293</v>
      </c>
      <c r="D3" s="2" t="s">
        <v>1294</v>
      </c>
      <c r="E3" s="2" t="s">
        <v>1295</v>
      </c>
      <c r="F3" s="2" t="s">
        <v>196</v>
      </c>
      <c r="G3" s="2" t="s">
        <v>70</v>
      </c>
      <c r="H3" s="2">
        <v>490</v>
      </c>
      <c r="I3" s="2">
        <v>0</v>
      </c>
      <c r="J3" s="2">
        <f t="shared" ref="J3:J24" si="0">H3-I3</f>
        <v>490</v>
      </c>
      <c r="K3" s="2" t="s">
        <v>24</v>
      </c>
      <c r="L3" s="2" t="s">
        <v>25</v>
      </c>
      <c r="M3" s="2" t="s">
        <v>1296</v>
      </c>
      <c r="N3" s="3" t="s">
        <v>1297</v>
      </c>
      <c r="O3" s="2" t="s">
        <v>28</v>
      </c>
      <c r="P3" s="2"/>
      <c r="Q3" s="2" t="s">
        <v>29</v>
      </c>
      <c r="R3" s="4">
        <v>1</v>
      </c>
    </row>
    <row r="4" spans="1:19" x14ac:dyDescent="0.25">
      <c r="A4" s="5"/>
      <c r="B4" s="5" t="s">
        <v>19</v>
      </c>
      <c r="C4" s="5" t="s">
        <v>1298</v>
      </c>
      <c r="D4" s="5" t="s">
        <v>1299</v>
      </c>
      <c r="E4" s="5" t="s">
        <v>1300</v>
      </c>
      <c r="F4" s="5" t="s">
        <v>1301</v>
      </c>
      <c r="G4" s="5">
        <v>4</v>
      </c>
      <c r="H4" s="5">
        <v>0</v>
      </c>
      <c r="I4" s="5">
        <v>25</v>
      </c>
      <c r="J4" s="5">
        <f t="shared" si="0"/>
        <v>-25</v>
      </c>
      <c r="K4" s="5" t="s">
        <v>125</v>
      </c>
      <c r="L4" s="5" t="s">
        <v>25</v>
      </c>
      <c r="M4" s="5" t="s">
        <v>1296</v>
      </c>
      <c r="N4" s="5"/>
      <c r="O4" s="5"/>
      <c r="P4" s="5"/>
      <c r="Q4" s="5"/>
      <c r="R4">
        <v>1</v>
      </c>
      <c r="S4">
        <v>25</v>
      </c>
    </row>
    <row r="5" spans="1:19" x14ac:dyDescent="0.25">
      <c r="A5" s="20"/>
      <c r="B5" s="20" t="s">
        <v>19</v>
      </c>
      <c r="C5" s="20" t="s">
        <v>1302</v>
      </c>
      <c r="D5" s="20" t="s">
        <v>1303</v>
      </c>
      <c r="E5" s="20" t="s">
        <v>1103</v>
      </c>
      <c r="F5" s="20" t="s">
        <v>584</v>
      </c>
      <c r="G5" s="20">
        <v>7</v>
      </c>
      <c r="H5" s="20">
        <v>130</v>
      </c>
      <c r="I5" s="20">
        <v>30</v>
      </c>
      <c r="J5" s="20">
        <f t="shared" si="0"/>
        <v>100</v>
      </c>
      <c r="K5" s="20" t="s">
        <v>125</v>
      </c>
      <c r="L5" s="20" t="s">
        <v>25</v>
      </c>
      <c r="M5" s="20" t="s">
        <v>1296</v>
      </c>
      <c r="N5" s="20" t="s">
        <v>472</v>
      </c>
      <c r="O5" s="20"/>
      <c r="P5" s="20"/>
      <c r="Q5" s="20"/>
      <c r="R5">
        <v>1</v>
      </c>
    </row>
    <row r="6" spans="1:19" x14ac:dyDescent="0.25">
      <c r="A6" s="5"/>
      <c r="B6" s="5" t="s">
        <v>19</v>
      </c>
      <c r="C6" s="5" t="s">
        <v>1304</v>
      </c>
      <c r="D6" s="5" t="s">
        <v>1305</v>
      </c>
      <c r="E6" s="5" t="s">
        <v>1306</v>
      </c>
      <c r="F6" s="5" t="s">
        <v>1307</v>
      </c>
      <c r="G6" s="5">
        <v>10</v>
      </c>
      <c r="H6" s="5">
        <v>385</v>
      </c>
      <c r="I6" s="5">
        <v>25</v>
      </c>
      <c r="J6" s="5">
        <f t="shared" si="0"/>
        <v>360</v>
      </c>
      <c r="K6" s="5" t="s">
        <v>125</v>
      </c>
      <c r="L6" s="5" t="s">
        <v>25</v>
      </c>
      <c r="M6" s="5" t="s">
        <v>1296</v>
      </c>
      <c r="N6" s="5"/>
      <c r="O6" s="5"/>
      <c r="P6" s="5"/>
      <c r="Q6" s="5"/>
      <c r="R6">
        <v>1</v>
      </c>
    </row>
    <row r="7" spans="1:19" x14ac:dyDescent="0.25">
      <c r="A7" s="5"/>
      <c r="B7" s="5" t="s">
        <v>19</v>
      </c>
      <c r="C7" s="5" t="s">
        <v>1308</v>
      </c>
      <c r="D7" s="5" t="s">
        <v>1309</v>
      </c>
      <c r="E7" s="5" t="s">
        <v>1310</v>
      </c>
      <c r="F7" s="5" t="s">
        <v>1311</v>
      </c>
      <c r="G7" s="5" t="s">
        <v>151</v>
      </c>
      <c r="H7" s="5">
        <v>390</v>
      </c>
      <c r="I7" s="5">
        <v>20</v>
      </c>
      <c r="J7" s="5">
        <f t="shared" si="0"/>
        <v>370</v>
      </c>
      <c r="K7" s="5" t="s">
        <v>125</v>
      </c>
      <c r="L7" s="5" t="s">
        <v>25</v>
      </c>
      <c r="M7" s="5" t="s">
        <v>1296</v>
      </c>
      <c r="N7" s="5"/>
      <c r="O7" s="5"/>
      <c r="P7" s="5"/>
      <c r="Q7" s="5"/>
      <c r="R7">
        <v>1</v>
      </c>
    </row>
    <row r="8" spans="1:19" x14ac:dyDescent="0.25">
      <c r="A8" s="5"/>
      <c r="B8" s="5" t="s">
        <v>19</v>
      </c>
      <c r="C8" s="5" t="s">
        <v>1312</v>
      </c>
      <c r="D8" s="5" t="s">
        <v>1313</v>
      </c>
      <c r="E8" s="5" t="s">
        <v>1314</v>
      </c>
      <c r="F8" s="5" t="s">
        <v>1315</v>
      </c>
      <c r="G8" s="5" t="s">
        <v>98</v>
      </c>
      <c r="H8" s="5">
        <v>395</v>
      </c>
      <c r="I8" s="5">
        <v>25</v>
      </c>
      <c r="J8" s="5">
        <f t="shared" si="0"/>
        <v>370</v>
      </c>
      <c r="K8" s="5" t="s">
        <v>125</v>
      </c>
      <c r="L8" s="5" t="s">
        <v>25</v>
      </c>
      <c r="M8" s="5" t="s">
        <v>1296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1316</v>
      </c>
      <c r="D9" s="5" t="s">
        <v>1317</v>
      </c>
      <c r="E9" s="5">
        <v>346</v>
      </c>
      <c r="F9" s="5" t="s">
        <v>131</v>
      </c>
      <c r="G9" s="5">
        <v>4</v>
      </c>
      <c r="H9" s="5">
        <v>605</v>
      </c>
      <c r="I9" s="5">
        <v>25</v>
      </c>
      <c r="J9" s="5">
        <f t="shared" si="0"/>
        <v>580</v>
      </c>
      <c r="K9" s="5" t="s">
        <v>125</v>
      </c>
      <c r="L9" s="5" t="s">
        <v>25</v>
      </c>
      <c r="M9" s="5" t="s">
        <v>1296</v>
      </c>
      <c r="N9" s="5"/>
      <c r="O9" s="5"/>
      <c r="P9" s="5"/>
      <c r="Q9" s="5"/>
      <c r="R9">
        <v>1</v>
      </c>
    </row>
    <row r="10" spans="1:19" x14ac:dyDescent="0.25">
      <c r="A10" s="5"/>
      <c r="B10" s="5" t="s">
        <v>19</v>
      </c>
      <c r="C10" s="5" t="s">
        <v>132</v>
      </c>
      <c r="D10" s="5" t="s">
        <v>1318</v>
      </c>
      <c r="E10" s="5">
        <v>230</v>
      </c>
      <c r="F10" s="5" t="s">
        <v>134</v>
      </c>
      <c r="G10" s="5">
        <v>10</v>
      </c>
      <c r="H10" s="5">
        <v>715</v>
      </c>
      <c r="I10" s="5">
        <v>25</v>
      </c>
      <c r="J10" s="5">
        <f t="shared" si="0"/>
        <v>690</v>
      </c>
      <c r="K10" s="5" t="s">
        <v>125</v>
      </c>
      <c r="L10" s="5" t="s">
        <v>25</v>
      </c>
      <c r="M10" s="5" t="s">
        <v>1296</v>
      </c>
      <c r="N10" s="5"/>
      <c r="O10" s="5"/>
      <c r="P10" s="5"/>
      <c r="Q10" s="5"/>
      <c r="R10">
        <v>1</v>
      </c>
    </row>
    <row r="11" spans="1:19" x14ac:dyDescent="0.25">
      <c r="A11" s="5"/>
      <c r="B11" s="5" t="s">
        <v>19</v>
      </c>
      <c r="C11" s="5" t="s">
        <v>1319</v>
      </c>
      <c r="D11" s="5" t="s">
        <v>1320</v>
      </c>
      <c r="E11" s="5" t="s">
        <v>1321</v>
      </c>
      <c r="F11" s="5" t="s">
        <v>1322</v>
      </c>
      <c r="G11" s="5" t="s">
        <v>151</v>
      </c>
      <c r="H11" s="5">
        <v>840</v>
      </c>
      <c r="I11" s="5">
        <v>20</v>
      </c>
      <c r="J11" s="5">
        <f t="shared" si="0"/>
        <v>820</v>
      </c>
      <c r="K11" s="5" t="s">
        <v>125</v>
      </c>
      <c r="L11" s="5" t="s">
        <v>25</v>
      </c>
      <c r="M11" s="5" t="s">
        <v>1296</v>
      </c>
      <c r="N11" s="5"/>
      <c r="O11" s="5"/>
      <c r="P11" s="5"/>
      <c r="Q11" s="5"/>
      <c r="R11">
        <v>1</v>
      </c>
    </row>
    <row r="12" spans="1:19" x14ac:dyDescent="0.25">
      <c r="A12" s="5"/>
      <c r="B12" s="5" t="s">
        <v>19</v>
      </c>
      <c r="C12" s="5" t="s">
        <v>1323</v>
      </c>
      <c r="D12" s="5" t="s">
        <v>1324</v>
      </c>
      <c r="E12" s="5">
        <v>23</v>
      </c>
      <c r="F12" s="5" t="s">
        <v>258</v>
      </c>
      <c r="G12" s="5">
        <v>7</v>
      </c>
      <c r="H12" s="5">
        <v>760</v>
      </c>
      <c r="I12" s="5">
        <v>30</v>
      </c>
      <c r="J12" s="5">
        <f t="shared" si="0"/>
        <v>730</v>
      </c>
      <c r="K12" s="5" t="s">
        <v>1325</v>
      </c>
      <c r="L12" s="5" t="s">
        <v>25</v>
      </c>
      <c r="M12" s="5" t="s">
        <v>1296</v>
      </c>
      <c r="N12" s="5"/>
      <c r="O12" s="5"/>
      <c r="P12" s="5"/>
      <c r="Q12" s="5"/>
      <c r="R12">
        <v>1</v>
      </c>
    </row>
    <row r="13" spans="1:19" x14ac:dyDescent="0.25">
      <c r="A13" s="5"/>
      <c r="B13" s="5" t="s">
        <v>19</v>
      </c>
      <c r="C13" s="5" t="s">
        <v>1232</v>
      </c>
      <c r="D13" s="5" t="s">
        <v>1326</v>
      </c>
      <c r="E13" s="5" t="s">
        <v>1234</v>
      </c>
      <c r="F13" s="5" t="s">
        <v>397</v>
      </c>
      <c r="G13" s="5">
        <v>8</v>
      </c>
      <c r="H13" s="5">
        <v>365</v>
      </c>
      <c r="I13" s="5">
        <v>25</v>
      </c>
      <c r="J13" s="5">
        <f t="shared" si="0"/>
        <v>340</v>
      </c>
      <c r="K13" s="5" t="s">
        <v>1325</v>
      </c>
      <c r="L13" s="5" t="s">
        <v>25</v>
      </c>
      <c r="M13" s="5" t="s">
        <v>1296</v>
      </c>
      <c r="N13" s="5"/>
      <c r="O13" s="5"/>
      <c r="P13" s="5"/>
      <c r="Q13" s="5"/>
      <c r="R13">
        <v>1</v>
      </c>
    </row>
    <row r="14" spans="1:19" x14ac:dyDescent="0.25">
      <c r="A14" s="5"/>
      <c r="B14" s="5" t="s">
        <v>19</v>
      </c>
      <c r="C14" s="5" t="s">
        <v>1327</v>
      </c>
      <c r="D14" s="5" t="s">
        <v>1328</v>
      </c>
      <c r="E14" s="5" t="s">
        <v>428</v>
      </c>
      <c r="F14" s="5" t="s">
        <v>429</v>
      </c>
      <c r="G14" s="5" t="s">
        <v>240</v>
      </c>
      <c r="H14" s="5">
        <v>0</v>
      </c>
      <c r="I14" s="5">
        <v>30</v>
      </c>
      <c r="J14" s="5">
        <f t="shared" si="0"/>
        <v>-30</v>
      </c>
      <c r="K14" s="5" t="s">
        <v>1325</v>
      </c>
      <c r="L14" s="5" t="s">
        <v>25</v>
      </c>
      <c r="M14" s="5" t="s">
        <v>1296</v>
      </c>
      <c r="N14" s="5"/>
      <c r="O14" s="5"/>
      <c r="P14" s="5"/>
      <c r="Q14" s="5"/>
      <c r="R14">
        <v>1</v>
      </c>
      <c r="S14">
        <v>30</v>
      </c>
    </row>
    <row r="15" spans="1:19" s="4" customFormat="1" x14ac:dyDescent="0.25">
      <c r="A15" s="5"/>
      <c r="B15" s="5" t="s">
        <v>19</v>
      </c>
      <c r="C15" s="5" t="s">
        <v>727</v>
      </c>
      <c r="D15" s="5" t="s">
        <v>1329</v>
      </c>
      <c r="E15" s="5" t="s">
        <v>1330</v>
      </c>
      <c r="F15" s="5" t="s">
        <v>618</v>
      </c>
      <c r="G15" s="5" t="s">
        <v>240</v>
      </c>
      <c r="H15" s="5">
        <v>710</v>
      </c>
      <c r="I15" s="5">
        <v>30</v>
      </c>
      <c r="J15" s="5">
        <f t="shared" si="0"/>
        <v>680</v>
      </c>
      <c r="K15" s="5" t="s">
        <v>1325</v>
      </c>
      <c r="L15" s="5" t="s">
        <v>25</v>
      </c>
      <c r="M15" s="5" t="s">
        <v>1296</v>
      </c>
      <c r="N15" s="5"/>
      <c r="O15" s="5"/>
      <c r="P15" s="5"/>
      <c r="Q15" s="5"/>
      <c r="R15" s="4">
        <v>1</v>
      </c>
    </row>
    <row r="16" spans="1:19" x14ac:dyDescent="0.25">
      <c r="A16" s="5" t="s">
        <v>91</v>
      </c>
      <c r="B16" s="5" t="s">
        <v>19</v>
      </c>
      <c r="C16" s="5" t="s">
        <v>1331</v>
      </c>
      <c r="D16" s="5"/>
      <c r="E16" s="5" t="s">
        <v>1332</v>
      </c>
      <c r="F16" s="5" t="s">
        <v>1333</v>
      </c>
      <c r="G16" s="5" t="s">
        <v>286</v>
      </c>
      <c r="H16" s="5">
        <v>7850</v>
      </c>
      <c r="I16" s="5">
        <v>50</v>
      </c>
      <c r="J16" s="5">
        <f t="shared" si="0"/>
        <v>7800</v>
      </c>
      <c r="K16" s="5" t="s">
        <v>1325</v>
      </c>
      <c r="L16" s="5" t="s">
        <v>25</v>
      </c>
      <c r="M16" s="5" t="s">
        <v>1296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769</v>
      </c>
      <c r="D17" s="5" t="s">
        <v>1334</v>
      </c>
      <c r="E17" s="5" t="s">
        <v>1335</v>
      </c>
      <c r="F17" s="5" t="s">
        <v>118</v>
      </c>
      <c r="G17" s="5">
        <v>2</v>
      </c>
      <c r="H17" s="5">
        <v>1690</v>
      </c>
      <c r="I17" s="5">
        <v>30</v>
      </c>
      <c r="J17" s="5">
        <f t="shared" si="0"/>
        <v>1660</v>
      </c>
      <c r="K17" s="5" t="s">
        <v>25</v>
      </c>
      <c r="L17" s="5" t="s">
        <v>25</v>
      </c>
      <c r="M17" s="5" t="s">
        <v>1296</v>
      </c>
      <c r="N17" s="5"/>
      <c r="O17" s="5"/>
      <c r="P17" s="5"/>
      <c r="Q17" s="5"/>
      <c r="R17">
        <v>1</v>
      </c>
    </row>
    <row r="18" spans="1:19" x14ac:dyDescent="0.25">
      <c r="A18" s="20"/>
      <c r="B18" s="20" t="s">
        <v>19</v>
      </c>
      <c r="C18" s="20" t="s">
        <v>641</v>
      </c>
      <c r="D18" s="20" t="s">
        <v>1336</v>
      </c>
      <c r="E18" s="20" t="s">
        <v>1337</v>
      </c>
      <c r="F18" s="20" t="s">
        <v>1014</v>
      </c>
      <c r="G18" s="20">
        <v>2</v>
      </c>
      <c r="H18" s="20">
        <v>30</v>
      </c>
      <c r="I18" s="20">
        <v>30</v>
      </c>
      <c r="J18" s="20">
        <f t="shared" si="0"/>
        <v>0</v>
      </c>
      <c r="K18" s="20" t="s">
        <v>25</v>
      </c>
      <c r="L18" s="20" t="s">
        <v>25</v>
      </c>
      <c r="M18" s="20" t="s">
        <v>1296</v>
      </c>
      <c r="N18" s="20" t="s">
        <v>472</v>
      </c>
      <c r="O18" s="20"/>
      <c r="P18" s="20"/>
      <c r="Q18" s="20"/>
      <c r="R18">
        <v>1</v>
      </c>
    </row>
    <row r="19" spans="1:19" x14ac:dyDescent="0.25">
      <c r="A19" s="5"/>
      <c r="B19" s="5" t="s">
        <v>19</v>
      </c>
      <c r="C19" s="5" t="s">
        <v>1338</v>
      </c>
      <c r="D19" s="5" t="s">
        <v>1339</v>
      </c>
      <c r="E19" s="5" t="s">
        <v>1340</v>
      </c>
      <c r="F19" s="5" t="s">
        <v>1341</v>
      </c>
      <c r="G19" s="5" t="s">
        <v>58</v>
      </c>
      <c r="H19" s="5">
        <v>0</v>
      </c>
      <c r="I19" s="5">
        <v>20</v>
      </c>
      <c r="J19" s="5">
        <f t="shared" si="0"/>
        <v>-20</v>
      </c>
      <c r="K19" s="5" t="s">
        <v>25</v>
      </c>
      <c r="L19" s="5" t="s">
        <v>25</v>
      </c>
      <c r="M19" s="5" t="s">
        <v>1296</v>
      </c>
      <c r="N19" s="5"/>
      <c r="O19" s="5"/>
      <c r="P19" s="5"/>
      <c r="Q19" s="5"/>
      <c r="R19">
        <v>1</v>
      </c>
      <c r="S19">
        <v>20</v>
      </c>
    </row>
    <row r="20" spans="1:19" x14ac:dyDescent="0.25">
      <c r="A20" s="5"/>
      <c r="B20" s="5" t="s">
        <v>19</v>
      </c>
      <c r="C20" s="5" t="s">
        <v>1342</v>
      </c>
      <c r="D20" s="5" t="s">
        <v>1343</v>
      </c>
      <c r="E20" s="5">
        <v>28</v>
      </c>
      <c r="F20" s="5" t="s">
        <v>1344</v>
      </c>
      <c r="G20" s="5" t="s">
        <v>58</v>
      </c>
      <c r="H20" s="5">
        <v>740</v>
      </c>
      <c r="I20" s="5">
        <v>20</v>
      </c>
      <c r="J20" s="5">
        <f t="shared" si="0"/>
        <v>720</v>
      </c>
      <c r="K20" s="5" t="s">
        <v>25</v>
      </c>
      <c r="L20" s="5" t="s">
        <v>25</v>
      </c>
      <c r="M20" s="5" t="s">
        <v>1296</v>
      </c>
      <c r="N20" s="5"/>
      <c r="O20" s="5"/>
      <c r="P20" s="5"/>
      <c r="Q20" s="5"/>
      <c r="R20">
        <v>1</v>
      </c>
    </row>
    <row r="21" spans="1:19" x14ac:dyDescent="0.25">
      <c r="A21" s="5"/>
      <c r="B21" s="5" t="s">
        <v>19</v>
      </c>
      <c r="C21" s="5" t="s">
        <v>1345</v>
      </c>
      <c r="D21" s="5" t="s">
        <v>1346</v>
      </c>
      <c r="E21" s="5" t="s">
        <v>1347</v>
      </c>
      <c r="F21" s="5" t="s">
        <v>86</v>
      </c>
      <c r="G21" s="5" t="s">
        <v>70</v>
      </c>
      <c r="H21" s="5">
        <v>815</v>
      </c>
      <c r="I21" s="5">
        <v>25</v>
      </c>
      <c r="J21" s="5">
        <f t="shared" si="0"/>
        <v>790</v>
      </c>
      <c r="K21" s="5" t="s">
        <v>25</v>
      </c>
      <c r="L21" s="5" t="s">
        <v>25</v>
      </c>
      <c r="M21" s="5" t="s">
        <v>1296</v>
      </c>
      <c r="N21" s="5"/>
      <c r="O21" s="5"/>
      <c r="P21" s="5"/>
      <c r="Q21" s="5"/>
      <c r="R21">
        <v>1</v>
      </c>
    </row>
    <row r="22" spans="1:19" x14ac:dyDescent="0.25">
      <c r="A22" s="5"/>
      <c r="B22" s="5" t="s">
        <v>19</v>
      </c>
      <c r="C22" s="5" t="s">
        <v>1348</v>
      </c>
      <c r="D22" s="5" t="s">
        <v>1349</v>
      </c>
      <c r="E22" s="5" t="s">
        <v>1350</v>
      </c>
      <c r="F22" s="5" t="s">
        <v>90</v>
      </c>
      <c r="G22" s="5" t="s">
        <v>98</v>
      </c>
      <c r="H22" s="5">
        <v>385</v>
      </c>
      <c r="I22" s="5">
        <v>25</v>
      </c>
      <c r="J22" s="5">
        <f t="shared" si="0"/>
        <v>360</v>
      </c>
      <c r="K22" s="5" t="s">
        <v>25</v>
      </c>
      <c r="L22" s="5" t="s">
        <v>25</v>
      </c>
      <c r="M22" s="5" t="s">
        <v>1296</v>
      </c>
      <c r="N22" s="5"/>
      <c r="O22" s="5"/>
      <c r="P22" s="5"/>
      <c r="Q22" s="5"/>
      <c r="R22">
        <v>1</v>
      </c>
    </row>
    <row r="23" spans="1:19" x14ac:dyDescent="0.25">
      <c r="A23" s="5"/>
      <c r="B23" s="5" t="s">
        <v>19</v>
      </c>
      <c r="C23" s="5" t="s">
        <v>1351</v>
      </c>
      <c r="D23" s="5" t="s">
        <v>1352</v>
      </c>
      <c r="E23" s="5">
        <v>49</v>
      </c>
      <c r="F23" s="5" t="s">
        <v>374</v>
      </c>
      <c r="G23" s="5" t="s">
        <v>98</v>
      </c>
      <c r="H23" s="5">
        <v>1565</v>
      </c>
      <c r="I23" s="5">
        <v>25</v>
      </c>
      <c r="J23" s="5">
        <f t="shared" si="0"/>
        <v>1540</v>
      </c>
      <c r="K23" s="5" t="s">
        <v>25</v>
      </c>
      <c r="L23" s="5" t="s">
        <v>25</v>
      </c>
      <c r="M23" s="5" t="s">
        <v>1296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1353</v>
      </c>
      <c r="D24" s="5" t="s">
        <v>1354</v>
      </c>
      <c r="E24" s="5">
        <v>213</v>
      </c>
      <c r="F24" s="5" t="s">
        <v>1355</v>
      </c>
      <c r="G24" s="5">
        <v>9</v>
      </c>
      <c r="H24" s="5">
        <v>820</v>
      </c>
      <c r="I24" s="5">
        <v>30</v>
      </c>
      <c r="J24" s="5">
        <f t="shared" si="0"/>
        <v>790</v>
      </c>
      <c r="K24" s="5" t="s">
        <v>120</v>
      </c>
      <c r="L24" s="5" t="s">
        <v>25</v>
      </c>
      <c r="M24" s="5" t="s">
        <v>1296</v>
      </c>
      <c r="N24" s="5"/>
      <c r="O24" s="5"/>
      <c r="P24" s="5"/>
      <c r="Q24" s="5"/>
      <c r="R24">
        <v>1</v>
      </c>
    </row>
    <row r="26" spans="1:19" x14ac:dyDescent="0.25">
      <c r="H26">
        <f t="shared" ref="H26:S26" si="1">SUBTOTAL(9,H3:H25)</f>
        <v>19680</v>
      </c>
      <c r="I26">
        <f t="shared" si="1"/>
        <v>565</v>
      </c>
      <c r="J26">
        <f t="shared" si="1"/>
        <v>19115</v>
      </c>
      <c r="K26">
        <f t="shared" si="1"/>
        <v>0</v>
      </c>
      <c r="L26">
        <f t="shared" si="1"/>
        <v>0</v>
      </c>
      <c r="M26">
        <f t="shared" si="1"/>
        <v>0</v>
      </c>
      <c r="N26">
        <f t="shared" si="1"/>
        <v>0</v>
      </c>
      <c r="O26">
        <f t="shared" si="1"/>
        <v>0</v>
      </c>
      <c r="P26">
        <f t="shared" si="1"/>
        <v>0</v>
      </c>
      <c r="Q26">
        <f t="shared" si="1"/>
        <v>0</v>
      </c>
      <c r="R26">
        <f t="shared" si="1"/>
        <v>22</v>
      </c>
      <c r="S26">
        <f t="shared" si="1"/>
        <v>75</v>
      </c>
    </row>
    <row r="27" spans="1:19" x14ac:dyDescent="0.25">
      <c r="J27">
        <v>-930</v>
      </c>
      <c r="K27" t="s">
        <v>1356</v>
      </c>
    </row>
    <row r="30" spans="1:19" ht="20.25" customHeight="1" x14ac:dyDescent="0.3">
      <c r="I30" s="7" t="s">
        <v>1357</v>
      </c>
      <c r="J30" s="8" t="s">
        <v>313</v>
      </c>
      <c r="K30" s="9" t="s">
        <v>314</v>
      </c>
    </row>
    <row r="31" spans="1:19" ht="15.75" customHeight="1" x14ac:dyDescent="0.25">
      <c r="I31" s="10" t="s">
        <v>315</v>
      </c>
      <c r="J31" s="11">
        <f>SUM(J25:J29)</f>
        <v>18185</v>
      </c>
      <c r="K31" s="11">
        <f>R26</f>
        <v>22</v>
      </c>
    </row>
    <row r="32" spans="1:19" x14ac:dyDescent="0.25">
      <c r="I32" s="12" t="s">
        <v>316</v>
      </c>
      <c r="J32" s="13">
        <f>S26</f>
        <v>75</v>
      </c>
      <c r="K32" s="14"/>
    </row>
    <row r="33" spans="9:11" x14ac:dyDescent="0.25">
      <c r="I33" s="12" t="s">
        <v>317</v>
      </c>
      <c r="J33" s="13">
        <f>T25</f>
        <v>0</v>
      </c>
      <c r="K33" s="14"/>
    </row>
    <row r="34" spans="9:11" x14ac:dyDescent="0.25">
      <c r="I34" s="12" t="s">
        <v>318</v>
      </c>
      <c r="J34" s="13">
        <f>U25</f>
        <v>0</v>
      </c>
      <c r="K34" s="14"/>
    </row>
    <row r="35" spans="9:11" x14ac:dyDescent="0.25">
      <c r="I35" s="12" t="s">
        <v>319</v>
      </c>
      <c r="J35" s="13">
        <f>V25</f>
        <v>0</v>
      </c>
      <c r="K35" s="14"/>
    </row>
    <row r="36" spans="9:11" ht="15.75" customHeight="1" x14ac:dyDescent="0.25">
      <c r="I36" s="15" t="s">
        <v>320</v>
      </c>
      <c r="J36" s="16"/>
      <c r="K36" s="16"/>
    </row>
    <row r="37" spans="9:11" ht="15.75" customHeight="1" x14ac:dyDescent="0.25">
      <c r="I37" s="17" t="s">
        <v>321</v>
      </c>
      <c r="J37" s="16"/>
      <c r="K37" s="16"/>
    </row>
    <row r="38" spans="9:11" ht="21" customHeight="1" x14ac:dyDescent="0.35">
      <c r="I38" s="18" t="s">
        <v>322</v>
      </c>
      <c r="J38" s="19">
        <f>SUM(J31:J37)</f>
        <v>18260</v>
      </c>
      <c r="K38" s="19">
        <f>SUM(K31:K35)</f>
        <v>22</v>
      </c>
    </row>
  </sheetData>
  <autoFilter ref="A2:Q24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A4DE-3BE4-4CEC-9847-0B3313B3F64B}">
  <dimension ref="A1:S58"/>
  <sheetViews>
    <sheetView workbookViewId="0">
      <selection activeCell="J53" sqref="J53"/>
    </sheetView>
  </sheetViews>
  <sheetFormatPr defaultRowHeight="15" x14ac:dyDescent="0.25"/>
  <sheetData>
    <row r="1" spans="1:19" x14ac:dyDescent="0.25">
      <c r="B1" t="s">
        <v>639</v>
      </c>
      <c r="C1" t="s">
        <v>1358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s="4" customFormat="1" x14ac:dyDescent="0.25">
      <c r="A3" s="5"/>
      <c r="B3" s="5" t="s">
        <v>19</v>
      </c>
      <c r="C3" s="5" t="s">
        <v>1359</v>
      </c>
      <c r="D3" s="5" t="s">
        <v>1360</v>
      </c>
      <c r="E3" s="5">
        <v>193</v>
      </c>
      <c r="F3" s="5" t="s">
        <v>1361</v>
      </c>
      <c r="G3" s="5">
        <v>1</v>
      </c>
      <c r="H3" s="5">
        <v>655</v>
      </c>
      <c r="I3" s="5">
        <v>25</v>
      </c>
      <c r="J3" s="5">
        <f t="shared" ref="J3:J44" si="0">H3-I3</f>
        <v>630</v>
      </c>
      <c r="K3" s="5" t="s">
        <v>125</v>
      </c>
      <c r="L3" s="5" t="s">
        <v>25</v>
      </c>
      <c r="M3" s="5" t="s">
        <v>1362</v>
      </c>
      <c r="N3" s="5"/>
      <c r="O3" s="5"/>
      <c r="P3" s="5"/>
      <c r="Q3" s="5"/>
      <c r="R3" s="4">
        <v>1</v>
      </c>
    </row>
    <row r="4" spans="1:19" x14ac:dyDescent="0.25">
      <c r="A4" s="5"/>
      <c r="B4" s="5" t="s">
        <v>19</v>
      </c>
      <c r="C4" s="5" t="s">
        <v>1363</v>
      </c>
      <c r="D4" s="5" t="s">
        <v>1364</v>
      </c>
      <c r="E4" s="5" t="s">
        <v>1365</v>
      </c>
      <c r="F4" s="5" t="s">
        <v>1366</v>
      </c>
      <c r="G4" s="5">
        <v>1</v>
      </c>
      <c r="H4" s="5">
        <v>745</v>
      </c>
      <c r="I4" s="5">
        <v>25</v>
      </c>
      <c r="J4" s="5">
        <f t="shared" si="0"/>
        <v>720</v>
      </c>
      <c r="K4" s="5" t="s">
        <v>125</v>
      </c>
      <c r="L4" s="5" t="s">
        <v>25</v>
      </c>
      <c r="M4" s="5" t="s">
        <v>1362</v>
      </c>
      <c r="N4" s="5"/>
      <c r="O4" s="5"/>
      <c r="P4" s="5"/>
      <c r="Q4" s="5"/>
      <c r="R4">
        <v>1</v>
      </c>
    </row>
    <row r="5" spans="1:19" x14ac:dyDescent="0.25">
      <c r="A5" s="5" t="s">
        <v>91</v>
      </c>
      <c r="B5" s="5" t="s">
        <v>19</v>
      </c>
      <c r="C5" s="5" t="s">
        <v>514</v>
      </c>
      <c r="D5" s="5"/>
      <c r="E5" s="5">
        <v>12</v>
      </c>
      <c r="F5" s="5" t="s">
        <v>515</v>
      </c>
      <c r="G5" s="5">
        <v>4</v>
      </c>
      <c r="H5" s="5">
        <v>30</v>
      </c>
      <c r="I5" s="5">
        <v>30</v>
      </c>
      <c r="J5" s="5">
        <f t="shared" si="0"/>
        <v>0</v>
      </c>
      <c r="K5" s="5" t="s">
        <v>125</v>
      </c>
      <c r="L5" s="5" t="s">
        <v>25</v>
      </c>
      <c r="M5" s="5" t="s">
        <v>1362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1367</v>
      </c>
      <c r="D6" s="5" t="s">
        <v>1368</v>
      </c>
      <c r="E6" s="5">
        <v>172</v>
      </c>
      <c r="F6" s="5" t="s">
        <v>1369</v>
      </c>
      <c r="G6" s="5">
        <v>5</v>
      </c>
      <c r="H6" s="5">
        <v>605</v>
      </c>
      <c r="I6" s="5">
        <v>25</v>
      </c>
      <c r="J6" s="5">
        <f t="shared" si="0"/>
        <v>580</v>
      </c>
      <c r="K6" s="5" t="s">
        <v>125</v>
      </c>
      <c r="L6" s="5" t="s">
        <v>25</v>
      </c>
      <c r="M6" s="5" t="s">
        <v>1362</v>
      </c>
      <c r="N6" s="5"/>
      <c r="O6" s="5"/>
      <c r="P6" s="5"/>
      <c r="Q6" s="5"/>
      <c r="R6">
        <v>1</v>
      </c>
    </row>
    <row r="7" spans="1:19" x14ac:dyDescent="0.25">
      <c r="A7" s="5"/>
      <c r="B7" s="5" t="s">
        <v>19</v>
      </c>
      <c r="C7" s="5" t="s">
        <v>1370</v>
      </c>
      <c r="D7" s="5" t="s">
        <v>1371</v>
      </c>
      <c r="E7" s="5" t="s">
        <v>1372</v>
      </c>
      <c r="F7" s="5" t="s">
        <v>647</v>
      </c>
      <c r="G7" s="5">
        <v>10</v>
      </c>
      <c r="H7" s="5">
        <v>705</v>
      </c>
      <c r="I7" s="5">
        <v>25</v>
      </c>
      <c r="J7" s="5">
        <f t="shared" si="0"/>
        <v>680</v>
      </c>
      <c r="K7" s="5" t="s">
        <v>125</v>
      </c>
      <c r="L7" s="5" t="s">
        <v>25</v>
      </c>
      <c r="M7" s="5" t="s">
        <v>1362</v>
      </c>
      <c r="N7" s="5"/>
      <c r="O7" s="5"/>
      <c r="P7" s="5"/>
      <c r="Q7" s="5"/>
      <c r="R7">
        <v>1</v>
      </c>
    </row>
    <row r="8" spans="1:19" x14ac:dyDescent="0.25">
      <c r="A8" s="5"/>
      <c r="B8" s="5" t="s">
        <v>19</v>
      </c>
      <c r="C8" s="5" t="s">
        <v>1308</v>
      </c>
      <c r="D8" s="5" t="s">
        <v>1373</v>
      </c>
      <c r="E8" s="5" t="s">
        <v>1310</v>
      </c>
      <c r="F8" s="5" t="s">
        <v>1311</v>
      </c>
      <c r="G8" s="5" t="s">
        <v>151</v>
      </c>
      <c r="H8" s="5">
        <v>390</v>
      </c>
      <c r="I8" s="5">
        <v>20</v>
      </c>
      <c r="J8" s="5">
        <f t="shared" si="0"/>
        <v>370</v>
      </c>
      <c r="K8" s="5" t="s">
        <v>125</v>
      </c>
      <c r="L8" s="5" t="s">
        <v>25</v>
      </c>
      <c r="M8" s="5" t="s">
        <v>1362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1374</v>
      </c>
      <c r="D9" s="5" t="s">
        <v>1375</v>
      </c>
      <c r="E9" s="5" t="s">
        <v>1376</v>
      </c>
      <c r="F9" s="5" t="s">
        <v>404</v>
      </c>
      <c r="G9" s="5" t="s">
        <v>98</v>
      </c>
      <c r="H9" s="5">
        <v>0</v>
      </c>
      <c r="I9" s="5">
        <v>25</v>
      </c>
      <c r="J9" s="5">
        <f t="shared" si="0"/>
        <v>-25</v>
      </c>
      <c r="K9" s="5" t="s">
        <v>125</v>
      </c>
      <c r="L9" s="5" t="s">
        <v>25</v>
      </c>
      <c r="M9" s="5" t="s">
        <v>1362</v>
      </c>
      <c r="N9" s="5"/>
      <c r="O9" s="5"/>
      <c r="P9" s="5"/>
      <c r="Q9" s="5"/>
      <c r="R9">
        <v>1</v>
      </c>
      <c r="S9">
        <v>25</v>
      </c>
    </row>
    <row r="10" spans="1:19" x14ac:dyDescent="0.25">
      <c r="A10" s="5" t="s">
        <v>91</v>
      </c>
      <c r="B10" s="5" t="s">
        <v>19</v>
      </c>
      <c r="C10" s="5" t="s">
        <v>1377</v>
      </c>
      <c r="D10" s="5"/>
      <c r="E10" s="5" t="s">
        <v>1378</v>
      </c>
      <c r="F10" s="5" t="s">
        <v>1379</v>
      </c>
      <c r="G10" s="5" t="s">
        <v>98</v>
      </c>
      <c r="H10" s="5">
        <v>1270</v>
      </c>
      <c r="I10" s="5">
        <v>30</v>
      </c>
      <c r="J10" s="5">
        <f t="shared" si="0"/>
        <v>1240</v>
      </c>
      <c r="K10" s="5" t="s">
        <v>125</v>
      </c>
      <c r="L10" s="5" t="s">
        <v>25</v>
      </c>
      <c r="M10" s="5" t="s">
        <v>1362</v>
      </c>
      <c r="N10" s="5"/>
      <c r="O10" s="5"/>
      <c r="P10" s="5"/>
      <c r="Q10" s="5"/>
      <c r="R10">
        <v>1</v>
      </c>
    </row>
    <row r="11" spans="1:19" x14ac:dyDescent="0.25">
      <c r="A11" s="5"/>
      <c r="B11" s="5" t="s">
        <v>19</v>
      </c>
      <c r="C11" s="5" t="s">
        <v>1380</v>
      </c>
      <c r="D11" s="5" t="s">
        <v>1381</v>
      </c>
      <c r="E11" s="5" t="s">
        <v>1382</v>
      </c>
      <c r="F11" s="5" t="s">
        <v>1383</v>
      </c>
      <c r="G11" s="5" t="s">
        <v>98</v>
      </c>
      <c r="H11" s="5">
        <v>605</v>
      </c>
      <c r="I11" s="5">
        <v>25</v>
      </c>
      <c r="J11" s="5">
        <f t="shared" si="0"/>
        <v>580</v>
      </c>
      <c r="K11" s="5" t="s">
        <v>125</v>
      </c>
      <c r="L11" s="5" t="s">
        <v>25</v>
      </c>
      <c r="M11" s="5" t="s">
        <v>1362</v>
      </c>
      <c r="N11" s="5"/>
      <c r="O11" s="5"/>
      <c r="P11" s="5"/>
      <c r="Q11" s="5"/>
      <c r="R11">
        <v>1</v>
      </c>
    </row>
    <row r="12" spans="1:19" x14ac:dyDescent="0.25">
      <c r="A12" s="5"/>
      <c r="B12" s="5" t="s">
        <v>19</v>
      </c>
      <c r="C12" s="5" t="s">
        <v>1384</v>
      </c>
      <c r="D12" s="5" t="s">
        <v>1385</v>
      </c>
      <c r="E12" s="5">
        <v>34</v>
      </c>
      <c r="F12" s="5" t="s">
        <v>1386</v>
      </c>
      <c r="G12" s="5" t="s">
        <v>98</v>
      </c>
      <c r="H12" s="5">
        <v>0</v>
      </c>
      <c r="I12" s="5">
        <v>25</v>
      </c>
      <c r="J12" s="5">
        <f t="shared" si="0"/>
        <v>-25</v>
      </c>
      <c r="K12" s="5" t="s">
        <v>125</v>
      </c>
      <c r="L12" s="5" t="s">
        <v>25</v>
      </c>
      <c r="M12" s="5" t="s">
        <v>1362</v>
      </c>
      <c r="N12" s="5"/>
      <c r="O12" s="5"/>
      <c r="P12" s="5"/>
      <c r="Q12" s="5"/>
      <c r="R12">
        <v>1</v>
      </c>
      <c r="S12">
        <v>25</v>
      </c>
    </row>
    <row r="13" spans="1:19" x14ac:dyDescent="0.25">
      <c r="A13" s="5"/>
      <c r="B13" s="5" t="s">
        <v>19</v>
      </c>
      <c r="C13" s="5" t="s">
        <v>394</v>
      </c>
      <c r="D13" s="5" t="s">
        <v>1387</v>
      </c>
      <c r="E13" s="5">
        <v>57</v>
      </c>
      <c r="F13" s="5" t="s">
        <v>1388</v>
      </c>
      <c r="G13" s="5" t="s">
        <v>98</v>
      </c>
      <c r="H13" s="5">
        <v>385</v>
      </c>
      <c r="I13" s="5">
        <v>25</v>
      </c>
      <c r="J13" s="5">
        <f t="shared" si="0"/>
        <v>360</v>
      </c>
      <c r="K13" s="5" t="s">
        <v>125</v>
      </c>
      <c r="L13" s="5" t="s">
        <v>25</v>
      </c>
      <c r="M13" s="5" t="s">
        <v>1362</v>
      </c>
      <c r="N13" s="5"/>
      <c r="O13" s="5"/>
      <c r="P13" s="5"/>
      <c r="Q13" s="5"/>
      <c r="R13">
        <v>1</v>
      </c>
    </row>
    <row r="14" spans="1:19" x14ac:dyDescent="0.25">
      <c r="A14" s="5"/>
      <c r="B14" s="5" t="s">
        <v>19</v>
      </c>
      <c r="C14" s="5" t="s">
        <v>1389</v>
      </c>
      <c r="D14" s="5" t="s">
        <v>1390</v>
      </c>
      <c r="E14" s="5">
        <v>24</v>
      </c>
      <c r="F14" s="5" t="s">
        <v>173</v>
      </c>
      <c r="G14" s="5" t="s">
        <v>98</v>
      </c>
      <c r="H14" s="5">
        <v>995</v>
      </c>
      <c r="I14" s="5">
        <v>25</v>
      </c>
      <c r="J14" s="5">
        <f t="shared" si="0"/>
        <v>970</v>
      </c>
      <c r="K14" s="5" t="s">
        <v>125</v>
      </c>
      <c r="L14" s="5" t="s">
        <v>25</v>
      </c>
      <c r="M14" s="5" t="s">
        <v>1362</v>
      </c>
      <c r="N14" s="5"/>
      <c r="O14" s="5"/>
      <c r="P14" s="5"/>
      <c r="Q14" s="5"/>
      <c r="R14">
        <v>1</v>
      </c>
    </row>
    <row r="15" spans="1:19" x14ac:dyDescent="0.25">
      <c r="A15" s="5" t="s">
        <v>91</v>
      </c>
      <c r="B15" s="5" t="s">
        <v>19</v>
      </c>
      <c r="C15" s="5" t="s">
        <v>171</v>
      </c>
      <c r="D15" s="5"/>
      <c r="E15" s="5" t="s">
        <v>172</v>
      </c>
      <c r="F15" s="5" t="s">
        <v>173</v>
      </c>
      <c r="G15" s="5" t="s">
        <v>98</v>
      </c>
      <c r="H15" s="5">
        <v>0</v>
      </c>
      <c r="I15" s="5">
        <v>25</v>
      </c>
      <c r="J15" s="5">
        <f t="shared" si="0"/>
        <v>-25</v>
      </c>
      <c r="K15" s="5" t="s">
        <v>125</v>
      </c>
      <c r="L15" s="5" t="s">
        <v>25</v>
      </c>
      <c r="M15" s="5" t="s">
        <v>1362</v>
      </c>
      <c r="N15" s="5"/>
      <c r="O15" s="5"/>
      <c r="P15" s="5"/>
      <c r="Q15" s="5"/>
      <c r="R15">
        <v>1</v>
      </c>
      <c r="S15">
        <v>25</v>
      </c>
    </row>
    <row r="16" spans="1:19" x14ac:dyDescent="0.25">
      <c r="A16" s="5"/>
      <c r="B16" s="5" t="s">
        <v>19</v>
      </c>
      <c r="C16" s="5" t="s">
        <v>1391</v>
      </c>
      <c r="D16" s="5" t="s">
        <v>1392</v>
      </c>
      <c r="E16" s="5" t="s">
        <v>1393</v>
      </c>
      <c r="F16" s="5" t="s">
        <v>102</v>
      </c>
      <c r="G16" s="5">
        <v>2</v>
      </c>
      <c r="H16" s="5">
        <v>850</v>
      </c>
      <c r="I16" s="5">
        <v>30</v>
      </c>
      <c r="J16" s="5">
        <f t="shared" si="0"/>
        <v>820</v>
      </c>
      <c r="K16" s="5" t="s">
        <v>25</v>
      </c>
      <c r="L16" s="5" t="s">
        <v>25</v>
      </c>
      <c r="M16" s="5" t="s">
        <v>1362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1394</v>
      </c>
      <c r="D17" s="5" t="s">
        <v>1395</v>
      </c>
      <c r="E17" s="5" t="s">
        <v>1396</v>
      </c>
      <c r="F17" s="5" t="s">
        <v>1397</v>
      </c>
      <c r="G17" s="5">
        <v>2</v>
      </c>
      <c r="H17" s="5">
        <v>750</v>
      </c>
      <c r="I17" s="5">
        <v>30</v>
      </c>
      <c r="J17" s="5">
        <f t="shared" si="0"/>
        <v>720</v>
      </c>
      <c r="K17" s="5" t="s">
        <v>25</v>
      </c>
      <c r="L17" s="5" t="s">
        <v>25</v>
      </c>
      <c r="M17" s="5" t="s">
        <v>1362</v>
      </c>
      <c r="N17" s="5"/>
      <c r="O17" s="5"/>
      <c r="P17" s="5"/>
      <c r="Q17" s="5"/>
      <c r="R17">
        <v>1</v>
      </c>
    </row>
    <row r="18" spans="1:19" x14ac:dyDescent="0.25">
      <c r="A18" s="5" t="s">
        <v>91</v>
      </c>
      <c r="B18" s="5" t="s">
        <v>19</v>
      </c>
      <c r="C18" s="5" t="s">
        <v>1398</v>
      </c>
      <c r="D18" s="5"/>
      <c r="E18" s="5">
        <v>78</v>
      </c>
      <c r="F18" s="5" t="s">
        <v>467</v>
      </c>
      <c r="G18" s="5">
        <v>2</v>
      </c>
      <c r="H18" s="5">
        <v>35</v>
      </c>
      <c r="I18" s="5">
        <v>35</v>
      </c>
      <c r="J18" s="5">
        <f t="shared" si="0"/>
        <v>0</v>
      </c>
      <c r="K18" s="5" t="s">
        <v>25</v>
      </c>
      <c r="L18" s="5" t="s">
        <v>25</v>
      </c>
      <c r="M18" s="5" t="s">
        <v>1362</v>
      </c>
      <c r="N18" s="5"/>
      <c r="O18" s="5"/>
      <c r="P18" s="5"/>
      <c r="Q18" s="5"/>
      <c r="R18">
        <v>1</v>
      </c>
    </row>
    <row r="19" spans="1:19" x14ac:dyDescent="0.25">
      <c r="A19" s="5"/>
      <c r="B19" s="5" t="s">
        <v>19</v>
      </c>
      <c r="C19" s="5" t="s">
        <v>1399</v>
      </c>
      <c r="D19" s="5" t="s">
        <v>1400</v>
      </c>
      <c r="E19" s="5">
        <v>276</v>
      </c>
      <c r="F19" s="5" t="s">
        <v>1401</v>
      </c>
      <c r="G19" s="5">
        <v>2</v>
      </c>
      <c r="H19" s="5">
        <v>0</v>
      </c>
      <c r="I19" s="5">
        <v>30</v>
      </c>
      <c r="J19" s="5">
        <f t="shared" si="0"/>
        <v>-30</v>
      </c>
      <c r="K19" s="5" t="s">
        <v>25</v>
      </c>
      <c r="L19" s="5" t="s">
        <v>25</v>
      </c>
      <c r="M19" s="5" t="s">
        <v>1362</v>
      </c>
      <c r="N19" s="5"/>
      <c r="O19" s="5"/>
      <c r="P19" s="5"/>
      <c r="Q19" s="5"/>
      <c r="R19">
        <v>1</v>
      </c>
      <c r="S19">
        <v>30</v>
      </c>
    </row>
    <row r="20" spans="1:19" x14ac:dyDescent="0.25">
      <c r="A20" s="5"/>
      <c r="B20" s="5" t="s">
        <v>19</v>
      </c>
      <c r="C20" s="5" t="s">
        <v>1402</v>
      </c>
      <c r="D20" s="5" t="s">
        <v>1403</v>
      </c>
      <c r="E20" s="5">
        <v>82</v>
      </c>
      <c r="F20" s="5" t="s">
        <v>102</v>
      </c>
      <c r="G20" s="5" t="s">
        <v>70</v>
      </c>
      <c r="H20" s="5">
        <v>1435</v>
      </c>
      <c r="I20" s="5">
        <v>25</v>
      </c>
      <c r="J20" s="5">
        <f t="shared" si="0"/>
        <v>1410</v>
      </c>
      <c r="K20" s="5" t="s">
        <v>25</v>
      </c>
      <c r="L20" s="5" t="s">
        <v>25</v>
      </c>
      <c r="M20" s="5" t="s">
        <v>1362</v>
      </c>
      <c r="N20" s="5"/>
      <c r="O20" s="5"/>
      <c r="P20" s="5"/>
      <c r="Q20" s="5"/>
      <c r="R20">
        <v>1</v>
      </c>
    </row>
    <row r="21" spans="1:19" x14ac:dyDescent="0.25">
      <c r="A21" s="5"/>
      <c r="B21" s="5" t="s">
        <v>19</v>
      </c>
      <c r="C21" s="5" t="s">
        <v>1404</v>
      </c>
      <c r="D21" s="5" t="s">
        <v>1405</v>
      </c>
      <c r="E21" s="5">
        <v>18</v>
      </c>
      <c r="F21" s="5" t="s">
        <v>1406</v>
      </c>
      <c r="G21" s="5" t="s">
        <v>70</v>
      </c>
      <c r="H21" s="5">
        <v>785</v>
      </c>
      <c r="I21" s="5">
        <v>25</v>
      </c>
      <c r="J21" s="5">
        <f t="shared" si="0"/>
        <v>760</v>
      </c>
      <c r="K21" s="5" t="s">
        <v>25</v>
      </c>
      <c r="L21" s="5" t="s">
        <v>25</v>
      </c>
      <c r="M21" s="5" t="s">
        <v>1362</v>
      </c>
      <c r="N21" s="5"/>
      <c r="O21" s="5"/>
      <c r="P21" s="5"/>
      <c r="Q21" s="5"/>
      <c r="R21">
        <v>1</v>
      </c>
    </row>
    <row r="22" spans="1:19" x14ac:dyDescent="0.25">
      <c r="A22" s="5"/>
      <c r="B22" s="5" t="s">
        <v>19</v>
      </c>
      <c r="C22" s="5" t="s">
        <v>1407</v>
      </c>
      <c r="D22" s="5" t="s">
        <v>1408</v>
      </c>
      <c r="E22" s="5" t="s">
        <v>1409</v>
      </c>
      <c r="F22" s="5" t="s">
        <v>1406</v>
      </c>
      <c r="G22" s="5" t="s">
        <v>70</v>
      </c>
      <c r="H22" s="5">
        <v>815</v>
      </c>
      <c r="I22" s="5">
        <v>25</v>
      </c>
      <c r="J22" s="5">
        <f t="shared" si="0"/>
        <v>790</v>
      </c>
      <c r="K22" s="5" t="s">
        <v>25</v>
      </c>
      <c r="L22" s="5" t="s">
        <v>25</v>
      </c>
      <c r="M22" s="5" t="s">
        <v>1362</v>
      </c>
      <c r="N22" s="5"/>
      <c r="O22" s="5"/>
      <c r="P22" s="5"/>
      <c r="Q22" s="5"/>
      <c r="R22">
        <v>1</v>
      </c>
    </row>
    <row r="23" spans="1:19" x14ac:dyDescent="0.25">
      <c r="A23" s="5" t="s">
        <v>91</v>
      </c>
      <c r="B23" s="5" t="s">
        <v>19</v>
      </c>
      <c r="C23" s="5" t="s">
        <v>92</v>
      </c>
      <c r="D23" s="5"/>
      <c r="E23" s="5">
        <v>403</v>
      </c>
      <c r="F23" s="5" t="s">
        <v>93</v>
      </c>
      <c r="G23" s="5" t="s">
        <v>70</v>
      </c>
      <c r="H23" s="5">
        <v>30</v>
      </c>
      <c r="I23" s="5">
        <v>30</v>
      </c>
      <c r="J23" s="5">
        <f t="shared" si="0"/>
        <v>0</v>
      </c>
      <c r="K23" s="5" t="s">
        <v>25</v>
      </c>
      <c r="L23" s="5" t="s">
        <v>25</v>
      </c>
      <c r="M23" s="5" t="s">
        <v>1362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440</v>
      </c>
      <c r="D24" s="5" t="s">
        <v>1410</v>
      </c>
      <c r="E24" s="5">
        <v>192</v>
      </c>
      <c r="F24" s="5" t="s">
        <v>1411</v>
      </c>
      <c r="G24" s="5" t="s">
        <v>70</v>
      </c>
      <c r="H24" s="5">
        <v>1045</v>
      </c>
      <c r="I24" s="5">
        <v>25</v>
      </c>
      <c r="J24" s="5">
        <f t="shared" si="0"/>
        <v>1020</v>
      </c>
      <c r="K24" s="5" t="s">
        <v>25</v>
      </c>
      <c r="L24" s="5" t="s">
        <v>25</v>
      </c>
      <c r="M24" s="5" t="s">
        <v>1362</v>
      </c>
      <c r="N24" s="5"/>
      <c r="O24" s="5"/>
      <c r="P24" s="5"/>
      <c r="Q24" s="5"/>
      <c r="R24">
        <v>1</v>
      </c>
    </row>
    <row r="25" spans="1:19" x14ac:dyDescent="0.25">
      <c r="A25" s="5"/>
      <c r="B25" s="5" t="s">
        <v>19</v>
      </c>
      <c r="C25" s="5" t="s">
        <v>1099</v>
      </c>
      <c r="D25" s="5" t="s">
        <v>1412</v>
      </c>
      <c r="E25" s="5" t="s">
        <v>1413</v>
      </c>
      <c r="F25" s="5" t="s">
        <v>1414</v>
      </c>
      <c r="G25" s="5" t="s">
        <v>103</v>
      </c>
      <c r="H25" s="5">
        <v>790</v>
      </c>
      <c r="I25" s="5">
        <v>30</v>
      </c>
      <c r="J25" s="5">
        <f t="shared" si="0"/>
        <v>760</v>
      </c>
      <c r="K25" s="5" t="s">
        <v>25</v>
      </c>
      <c r="L25" s="5" t="s">
        <v>25</v>
      </c>
      <c r="M25" s="5" t="s">
        <v>1362</v>
      </c>
      <c r="N25" s="5"/>
      <c r="O25" s="5"/>
      <c r="P25" s="5"/>
      <c r="Q25" s="5"/>
      <c r="R25">
        <v>1</v>
      </c>
    </row>
    <row r="26" spans="1:19" x14ac:dyDescent="0.25">
      <c r="A26" s="5" t="s">
        <v>91</v>
      </c>
      <c r="B26" s="5" t="s">
        <v>19</v>
      </c>
      <c r="C26" s="5" t="s">
        <v>1415</v>
      </c>
      <c r="D26" s="5"/>
      <c r="E26" s="5" t="s">
        <v>1416</v>
      </c>
      <c r="F26" s="5" t="s">
        <v>1417</v>
      </c>
      <c r="G26" s="5" t="s">
        <v>70</v>
      </c>
      <c r="H26" s="5">
        <v>30</v>
      </c>
      <c r="I26" s="5">
        <v>30</v>
      </c>
      <c r="J26" s="5">
        <f t="shared" si="0"/>
        <v>0</v>
      </c>
      <c r="K26" s="5" t="s">
        <v>25</v>
      </c>
      <c r="L26" s="5" t="s">
        <v>25</v>
      </c>
      <c r="M26" s="5" t="s">
        <v>1362</v>
      </c>
      <c r="N26" s="5"/>
      <c r="O26" s="5"/>
      <c r="P26" s="5"/>
      <c r="Q26" s="5"/>
      <c r="R26">
        <v>1</v>
      </c>
    </row>
    <row r="27" spans="1:19" x14ac:dyDescent="0.25">
      <c r="A27" s="5"/>
      <c r="B27" s="5" t="s">
        <v>19</v>
      </c>
      <c r="C27" s="5" t="s">
        <v>1084</v>
      </c>
      <c r="D27" s="5" t="s">
        <v>1418</v>
      </c>
      <c r="E27" s="5">
        <v>111</v>
      </c>
      <c r="F27" s="5" t="s">
        <v>102</v>
      </c>
      <c r="G27" s="5">
        <v>6</v>
      </c>
      <c r="H27" s="5">
        <v>1525</v>
      </c>
      <c r="I27" s="5">
        <v>25</v>
      </c>
      <c r="J27" s="5">
        <f t="shared" si="0"/>
        <v>1500</v>
      </c>
      <c r="K27" s="5" t="s">
        <v>1419</v>
      </c>
      <c r="L27" s="5" t="s">
        <v>25</v>
      </c>
      <c r="M27" s="5" t="s">
        <v>1362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1420</v>
      </c>
      <c r="D28" s="5" t="s">
        <v>1421</v>
      </c>
      <c r="E28" s="5" t="s">
        <v>1422</v>
      </c>
      <c r="F28" s="5" t="s">
        <v>1423</v>
      </c>
      <c r="G28" s="5">
        <v>7</v>
      </c>
      <c r="H28" s="5">
        <v>1620</v>
      </c>
      <c r="I28" s="5">
        <v>30</v>
      </c>
      <c r="J28" s="5">
        <f t="shared" si="0"/>
        <v>1590</v>
      </c>
      <c r="K28" s="5" t="s">
        <v>1419</v>
      </c>
      <c r="L28" s="5" t="s">
        <v>25</v>
      </c>
      <c r="M28" s="5" t="s">
        <v>1362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1424</v>
      </c>
      <c r="D29" s="5" t="s">
        <v>1425</v>
      </c>
      <c r="E29" s="5" t="s">
        <v>1426</v>
      </c>
      <c r="F29" s="5" t="s">
        <v>565</v>
      </c>
      <c r="G29" s="5">
        <v>7</v>
      </c>
      <c r="H29" s="5">
        <v>0</v>
      </c>
      <c r="I29" s="5">
        <v>30</v>
      </c>
      <c r="J29" s="5">
        <f t="shared" si="0"/>
        <v>-30</v>
      </c>
      <c r="K29" s="5" t="s">
        <v>1419</v>
      </c>
      <c r="L29" s="5" t="s">
        <v>25</v>
      </c>
      <c r="M29" s="5" t="s">
        <v>1362</v>
      </c>
      <c r="N29" s="5"/>
      <c r="O29" s="5"/>
      <c r="P29" s="5"/>
      <c r="Q29" s="5"/>
      <c r="R29">
        <v>1</v>
      </c>
      <c r="S29">
        <v>30</v>
      </c>
    </row>
    <row r="30" spans="1:19" x14ac:dyDescent="0.25">
      <c r="A30" s="5"/>
      <c r="B30" s="5" t="s">
        <v>19</v>
      </c>
      <c r="C30" s="5" t="s">
        <v>1427</v>
      </c>
      <c r="D30" s="5" t="s">
        <v>1428</v>
      </c>
      <c r="E30" s="5">
        <v>4</v>
      </c>
      <c r="F30" s="5" t="s">
        <v>251</v>
      </c>
      <c r="G30" s="5">
        <v>7</v>
      </c>
      <c r="H30" s="5">
        <v>790</v>
      </c>
      <c r="I30" s="5">
        <v>30</v>
      </c>
      <c r="J30" s="5">
        <f t="shared" si="0"/>
        <v>760</v>
      </c>
      <c r="K30" s="5" t="s">
        <v>1419</v>
      </c>
      <c r="L30" s="5" t="s">
        <v>25</v>
      </c>
      <c r="M30" s="5" t="s">
        <v>1362</v>
      </c>
      <c r="N30" s="5"/>
      <c r="O30" s="5"/>
      <c r="P30" s="5"/>
      <c r="Q30" s="5"/>
      <c r="R30">
        <v>1</v>
      </c>
    </row>
    <row r="31" spans="1:19" x14ac:dyDescent="0.25">
      <c r="A31" s="5"/>
      <c r="B31" s="5" t="s">
        <v>19</v>
      </c>
      <c r="C31" s="5" t="s">
        <v>1429</v>
      </c>
      <c r="D31" s="5" t="s">
        <v>1430</v>
      </c>
      <c r="E31" s="5">
        <v>149</v>
      </c>
      <c r="F31" s="5" t="s">
        <v>878</v>
      </c>
      <c r="G31" s="5">
        <v>7</v>
      </c>
      <c r="H31" s="5">
        <v>790</v>
      </c>
      <c r="I31" s="5">
        <v>30</v>
      </c>
      <c r="J31" s="5">
        <f t="shared" si="0"/>
        <v>760</v>
      </c>
      <c r="K31" s="5" t="s">
        <v>1419</v>
      </c>
      <c r="L31" s="5" t="s">
        <v>25</v>
      </c>
      <c r="M31" s="5" t="s">
        <v>1362</v>
      </c>
      <c r="N31" s="5"/>
      <c r="O31" s="5"/>
      <c r="P31" s="5"/>
      <c r="Q31" s="5"/>
      <c r="R31">
        <v>1</v>
      </c>
    </row>
    <row r="32" spans="1:19" x14ac:dyDescent="0.25">
      <c r="A32" s="5"/>
      <c r="B32" s="5" t="s">
        <v>19</v>
      </c>
      <c r="C32" s="5" t="s">
        <v>1431</v>
      </c>
      <c r="D32" s="5" t="s">
        <v>1432</v>
      </c>
      <c r="E32" s="5">
        <v>71</v>
      </c>
      <c r="F32" s="5" t="s">
        <v>784</v>
      </c>
      <c r="G32" s="5">
        <v>7</v>
      </c>
      <c r="H32" s="5">
        <v>790</v>
      </c>
      <c r="I32" s="5">
        <v>30</v>
      </c>
      <c r="J32" s="5">
        <f t="shared" si="0"/>
        <v>760</v>
      </c>
      <c r="K32" s="5" t="s">
        <v>1419</v>
      </c>
      <c r="L32" s="5" t="s">
        <v>25</v>
      </c>
      <c r="M32" s="5" t="s">
        <v>1362</v>
      </c>
      <c r="N32" s="5"/>
      <c r="O32" s="5"/>
      <c r="P32" s="5"/>
      <c r="Q32" s="5"/>
      <c r="R32">
        <v>1</v>
      </c>
    </row>
    <row r="33" spans="1:19" x14ac:dyDescent="0.25">
      <c r="A33" s="5"/>
      <c r="B33" s="5" t="s">
        <v>19</v>
      </c>
      <c r="C33" s="5" t="s">
        <v>1433</v>
      </c>
      <c r="D33" s="5" t="s">
        <v>1434</v>
      </c>
      <c r="E33" s="5" t="s">
        <v>1435</v>
      </c>
      <c r="F33" s="5" t="s">
        <v>784</v>
      </c>
      <c r="G33" s="5">
        <v>7</v>
      </c>
      <c r="H33" s="5">
        <v>820</v>
      </c>
      <c r="I33" s="5">
        <v>30</v>
      </c>
      <c r="J33" s="5">
        <f t="shared" si="0"/>
        <v>790</v>
      </c>
      <c r="K33" s="5" t="s">
        <v>1419</v>
      </c>
      <c r="L33" s="5" t="s">
        <v>25</v>
      </c>
      <c r="M33" s="5" t="s">
        <v>1362</v>
      </c>
      <c r="N33" s="5"/>
      <c r="O33" s="5"/>
      <c r="P33" s="5"/>
      <c r="Q33" s="5"/>
      <c r="R33">
        <v>1</v>
      </c>
    </row>
    <row r="34" spans="1:19" x14ac:dyDescent="0.25">
      <c r="A34" s="5"/>
      <c r="B34" s="5" t="s">
        <v>19</v>
      </c>
      <c r="C34" s="5" t="s">
        <v>967</v>
      </c>
      <c r="D34" s="5" t="s">
        <v>1436</v>
      </c>
      <c r="E34" s="5" t="s">
        <v>1437</v>
      </c>
      <c r="F34" s="5" t="s">
        <v>203</v>
      </c>
      <c r="G34" s="5">
        <v>7</v>
      </c>
      <c r="H34" s="5">
        <v>790</v>
      </c>
      <c r="I34" s="5">
        <v>30</v>
      </c>
      <c r="J34" s="5">
        <f t="shared" si="0"/>
        <v>760</v>
      </c>
      <c r="K34" s="5" t="s">
        <v>1419</v>
      </c>
      <c r="L34" s="5" t="s">
        <v>25</v>
      </c>
      <c r="M34" s="5" t="s">
        <v>1362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1438</v>
      </c>
      <c r="D35" s="5" t="s">
        <v>1439</v>
      </c>
      <c r="E35" s="5" t="s">
        <v>1440</v>
      </c>
      <c r="F35" s="5" t="s">
        <v>1441</v>
      </c>
      <c r="G35" s="5">
        <v>8</v>
      </c>
      <c r="H35" s="5">
        <v>605</v>
      </c>
      <c r="I35" s="5">
        <v>25</v>
      </c>
      <c r="J35" s="5">
        <f t="shared" si="0"/>
        <v>580</v>
      </c>
      <c r="K35" s="5" t="s">
        <v>1419</v>
      </c>
      <c r="L35" s="5" t="s">
        <v>25</v>
      </c>
      <c r="M35" s="5" t="s">
        <v>1362</v>
      </c>
      <c r="N35" s="5"/>
      <c r="O35" s="5"/>
      <c r="P35" s="5"/>
      <c r="Q35" s="5"/>
      <c r="R35">
        <v>1</v>
      </c>
    </row>
    <row r="36" spans="1:19" x14ac:dyDescent="0.25">
      <c r="A36" s="5"/>
      <c r="B36" s="5" t="s">
        <v>19</v>
      </c>
      <c r="C36" s="5" t="s">
        <v>1442</v>
      </c>
      <c r="D36" s="5" t="s">
        <v>1443</v>
      </c>
      <c r="E36" s="5" t="s">
        <v>1444</v>
      </c>
      <c r="F36" s="5" t="s">
        <v>1445</v>
      </c>
      <c r="G36" s="5">
        <v>8</v>
      </c>
      <c r="H36" s="5">
        <v>25</v>
      </c>
      <c r="I36" s="5">
        <v>25</v>
      </c>
      <c r="J36" s="5">
        <f t="shared" si="0"/>
        <v>0</v>
      </c>
      <c r="K36" s="5" t="s">
        <v>1419</v>
      </c>
      <c r="L36" s="5" t="s">
        <v>25</v>
      </c>
      <c r="M36" s="5" t="s">
        <v>1362</v>
      </c>
      <c r="N36" s="5"/>
      <c r="O36" s="5"/>
      <c r="P36" s="5"/>
      <c r="Q36" s="5"/>
      <c r="R36">
        <v>1</v>
      </c>
    </row>
    <row r="37" spans="1:19" x14ac:dyDescent="0.25">
      <c r="A37" s="5"/>
      <c r="B37" s="5" t="s">
        <v>19</v>
      </c>
      <c r="C37" s="5" t="s">
        <v>1446</v>
      </c>
      <c r="D37" s="5" t="s">
        <v>1447</v>
      </c>
      <c r="E37" s="5">
        <v>33</v>
      </c>
      <c r="F37" s="5" t="s">
        <v>690</v>
      </c>
      <c r="G37" s="5">
        <v>8</v>
      </c>
      <c r="H37" s="5">
        <v>860</v>
      </c>
      <c r="I37" s="5">
        <v>30</v>
      </c>
      <c r="J37" s="5">
        <f t="shared" si="0"/>
        <v>830</v>
      </c>
      <c r="K37" s="5" t="s">
        <v>1419</v>
      </c>
      <c r="L37" s="5" t="s">
        <v>25</v>
      </c>
      <c r="M37" s="5" t="s">
        <v>1362</v>
      </c>
      <c r="N37" s="5"/>
      <c r="O37" s="5"/>
      <c r="P37" s="5"/>
      <c r="Q37" s="5"/>
      <c r="R37">
        <v>1</v>
      </c>
    </row>
    <row r="38" spans="1:19" x14ac:dyDescent="0.25">
      <c r="A38" s="5"/>
      <c r="B38" s="5" t="s">
        <v>19</v>
      </c>
      <c r="C38" s="5" t="s">
        <v>1448</v>
      </c>
      <c r="D38" s="5" t="s">
        <v>1449</v>
      </c>
      <c r="E38" s="5" t="s">
        <v>1450</v>
      </c>
      <c r="F38" s="5" t="s">
        <v>212</v>
      </c>
      <c r="G38" s="5">
        <v>8</v>
      </c>
      <c r="H38" s="5">
        <v>750</v>
      </c>
      <c r="I38" s="5">
        <v>30</v>
      </c>
      <c r="J38" s="5">
        <f t="shared" si="0"/>
        <v>720</v>
      </c>
      <c r="K38" s="5" t="s">
        <v>1419</v>
      </c>
      <c r="L38" s="5" t="s">
        <v>25</v>
      </c>
      <c r="M38" s="5" t="s">
        <v>1362</v>
      </c>
      <c r="N38" s="5"/>
      <c r="O38" s="5"/>
      <c r="P38" s="5"/>
      <c r="Q38" s="5"/>
      <c r="R38">
        <v>1</v>
      </c>
    </row>
    <row r="39" spans="1:19" x14ac:dyDescent="0.25">
      <c r="A39" s="5"/>
      <c r="B39" s="5" t="s">
        <v>19</v>
      </c>
      <c r="C39" s="5" t="s">
        <v>1451</v>
      </c>
      <c r="D39" s="5" t="s">
        <v>1452</v>
      </c>
      <c r="E39" s="5" t="s">
        <v>597</v>
      </c>
      <c r="F39" s="5" t="s">
        <v>212</v>
      </c>
      <c r="G39" s="5">
        <v>8</v>
      </c>
      <c r="H39" s="5">
        <v>0</v>
      </c>
      <c r="I39" s="5">
        <v>25</v>
      </c>
      <c r="J39" s="5">
        <f t="shared" si="0"/>
        <v>-25</v>
      </c>
      <c r="K39" s="5" t="s">
        <v>1419</v>
      </c>
      <c r="L39" s="5" t="s">
        <v>25</v>
      </c>
      <c r="M39" s="5" t="s">
        <v>1362</v>
      </c>
      <c r="N39" s="5"/>
      <c r="O39" s="5"/>
      <c r="P39" s="5"/>
      <c r="Q39" s="5"/>
      <c r="R39">
        <v>1</v>
      </c>
      <c r="S39">
        <v>25</v>
      </c>
    </row>
    <row r="40" spans="1:19" x14ac:dyDescent="0.25">
      <c r="A40" s="5"/>
      <c r="B40" s="5" t="s">
        <v>19</v>
      </c>
      <c r="C40" s="5" t="s">
        <v>1453</v>
      </c>
      <c r="D40" s="5" t="s">
        <v>1454</v>
      </c>
      <c r="E40" s="5" t="s">
        <v>1455</v>
      </c>
      <c r="F40" s="5" t="s">
        <v>1456</v>
      </c>
      <c r="G40" s="5" t="s">
        <v>232</v>
      </c>
      <c r="H40" s="5">
        <v>795</v>
      </c>
      <c r="I40" s="5">
        <v>35</v>
      </c>
      <c r="J40" s="5">
        <f t="shared" si="0"/>
        <v>760</v>
      </c>
      <c r="K40" s="5" t="s">
        <v>1419</v>
      </c>
      <c r="L40" s="5" t="s">
        <v>25</v>
      </c>
      <c r="M40" s="5" t="s">
        <v>1362</v>
      </c>
      <c r="N40" s="5"/>
      <c r="O40" s="5"/>
      <c r="P40" s="5"/>
      <c r="Q40" s="5"/>
      <c r="R40">
        <v>1</v>
      </c>
    </row>
    <row r="41" spans="1:19" x14ac:dyDescent="0.25">
      <c r="A41" s="5"/>
      <c r="B41" s="5" t="s">
        <v>19</v>
      </c>
      <c r="C41" s="5" t="s">
        <v>1457</v>
      </c>
      <c r="D41" s="5" t="s">
        <v>1458</v>
      </c>
      <c r="E41" s="5" t="s">
        <v>1459</v>
      </c>
      <c r="F41" s="5" t="s">
        <v>262</v>
      </c>
      <c r="G41" s="5" t="s">
        <v>240</v>
      </c>
      <c r="H41" s="5">
        <v>740</v>
      </c>
      <c r="I41" s="5">
        <v>30</v>
      </c>
      <c r="J41" s="5">
        <f t="shared" si="0"/>
        <v>710</v>
      </c>
      <c r="K41" s="5" t="s">
        <v>1419</v>
      </c>
      <c r="L41" s="5" t="s">
        <v>25</v>
      </c>
      <c r="M41" s="5" t="s">
        <v>1362</v>
      </c>
      <c r="N41" s="5"/>
      <c r="O41" s="5"/>
      <c r="P41" s="5"/>
      <c r="Q41" s="5"/>
      <c r="R41">
        <v>1</v>
      </c>
    </row>
    <row r="42" spans="1:19" x14ac:dyDescent="0.25">
      <c r="A42" s="5"/>
      <c r="B42" s="5" t="s">
        <v>19</v>
      </c>
      <c r="C42" s="5" t="s">
        <v>1460</v>
      </c>
      <c r="D42" s="5" t="s">
        <v>1461</v>
      </c>
      <c r="E42" s="5" t="s">
        <v>1462</v>
      </c>
      <c r="F42" s="5" t="s">
        <v>266</v>
      </c>
      <c r="G42" s="5" t="s">
        <v>240</v>
      </c>
      <c r="H42" s="5">
        <v>0</v>
      </c>
      <c r="I42" s="5">
        <v>30</v>
      </c>
      <c r="J42" s="5">
        <f t="shared" si="0"/>
        <v>-30</v>
      </c>
      <c r="K42" s="5" t="s">
        <v>1419</v>
      </c>
      <c r="L42" s="5" t="s">
        <v>25</v>
      </c>
      <c r="M42" s="5" t="s">
        <v>1362</v>
      </c>
      <c r="N42" s="5"/>
      <c r="O42" s="5"/>
      <c r="P42" s="5"/>
      <c r="Q42" s="5"/>
      <c r="R42">
        <v>1</v>
      </c>
      <c r="S42">
        <v>30</v>
      </c>
    </row>
    <row r="43" spans="1:19" x14ac:dyDescent="0.25">
      <c r="A43" s="5" t="s">
        <v>91</v>
      </c>
      <c r="B43" s="5" t="s">
        <v>19</v>
      </c>
      <c r="C43" s="5" t="s">
        <v>837</v>
      </c>
      <c r="D43" s="5"/>
      <c r="E43" s="5" t="s">
        <v>838</v>
      </c>
      <c r="F43" s="5" t="s">
        <v>1463</v>
      </c>
      <c r="G43" s="5" t="s">
        <v>98</v>
      </c>
      <c r="H43" s="5">
        <v>0</v>
      </c>
      <c r="I43" s="5">
        <v>30</v>
      </c>
      <c r="J43" s="5">
        <f t="shared" si="0"/>
        <v>-30</v>
      </c>
      <c r="K43" s="5" t="s">
        <v>1419</v>
      </c>
      <c r="L43" s="5" t="s">
        <v>25</v>
      </c>
      <c r="M43" s="5" t="s">
        <v>1362</v>
      </c>
      <c r="N43" s="5"/>
      <c r="O43" s="5"/>
      <c r="P43" s="5"/>
      <c r="Q43" s="5"/>
      <c r="R43">
        <v>1</v>
      </c>
      <c r="S43">
        <v>30</v>
      </c>
    </row>
    <row r="44" spans="1:19" x14ac:dyDescent="0.25">
      <c r="A44" s="5"/>
      <c r="B44" s="5" t="s">
        <v>19</v>
      </c>
      <c r="C44" s="5" t="s">
        <v>1464</v>
      </c>
      <c r="D44" s="5" t="s">
        <v>1465</v>
      </c>
      <c r="E44" s="5" t="s">
        <v>1466</v>
      </c>
      <c r="F44" s="5" t="s">
        <v>1467</v>
      </c>
      <c r="G44" s="5" t="s">
        <v>286</v>
      </c>
      <c r="H44" s="5">
        <v>365</v>
      </c>
      <c r="I44" s="5">
        <v>25</v>
      </c>
      <c r="J44" s="5">
        <f t="shared" si="0"/>
        <v>340</v>
      </c>
      <c r="K44" s="5" t="s">
        <v>1419</v>
      </c>
      <c r="L44" s="5" t="s">
        <v>25</v>
      </c>
      <c r="M44" s="5" t="s">
        <v>1362</v>
      </c>
      <c r="N44" s="5"/>
      <c r="O44" s="5"/>
      <c r="P44" s="5"/>
      <c r="Q44" s="5"/>
      <c r="R44">
        <v>1</v>
      </c>
    </row>
    <row r="46" spans="1:19" x14ac:dyDescent="0.25">
      <c r="H46">
        <f t="shared" ref="H46:S46" si="1">SUBTOTAL(9,H3:H45)</f>
        <v>24215</v>
      </c>
      <c r="I46">
        <f t="shared" si="1"/>
        <v>1165</v>
      </c>
      <c r="J46">
        <f t="shared" si="1"/>
        <v>23050</v>
      </c>
      <c r="K46">
        <f t="shared" si="1"/>
        <v>0</v>
      </c>
      <c r="L46">
        <f t="shared" si="1"/>
        <v>0</v>
      </c>
      <c r="M46">
        <f t="shared" si="1"/>
        <v>0</v>
      </c>
      <c r="N46">
        <f t="shared" si="1"/>
        <v>0</v>
      </c>
      <c r="O46">
        <f t="shared" si="1"/>
        <v>0</v>
      </c>
      <c r="P46">
        <f t="shared" si="1"/>
        <v>0</v>
      </c>
      <c r="Q46">
        <f t="shared" si="1"/>
        <v>0</v>
      </c>
      <c r="R46">
        <f t="shared" si="1"/>
        <v>42</v>
      </c>
      <c r="S46">
        <f t="shared" si="1"/>
        <v>220</v>
      </c>
    </row>
    <row r="47" spans="1:19" x14ac:dyDescent="0.25">
      <c r="J47">
        <v>-580</v>
      </c>
      <c r="K47" t="s">
        <v>1468</v>
      </c>
    </row>
    <row r="50" spans="9:11" ht="20.25" customHeight="1" x14ac:dyDescent="0.3">
      <c r="I50" s="7" t="s">
        <v>1469</v>
      </c>
      <c r="J50" s="8" t="s">
        <v>313</v>
      </c>
      <c r="K50" s="9" t="s">
        <v>314</v>
      </c>
    </row>
    <row r="51" spans="9:11" ht="15.75" customHeight="1" x14ac:dyDescent="0.25">
      <c r="I51" s="10" t="s">
        <v>315</v>
      </c>
      <c r="J51" s="11">
        <f>SUM(J45:J49)</f>
        <v>22470</v>
      </c>
      <c r="K51" s="11">
        <f>R46</f>
        <v>42</v>
      </c>
    </row>
    <row r="52" spans="9:11" x14ac:dyDescent="0.25">
      <c r="I52" s="12" t="s">
        <v>316</v>
      </c>
      <c r="J52" s="13">
        <f>S46</f>
        <v>220</v>
      </c>
      <c r="K52" s="14"/>
    </row>
    <row r="53" spans="9:11" x14ac:dyDescent="0.25">
      <c r="I53" s="12" t="s">
        <v>317</v>
      </c>
      <c r="J53" s="13">
        <f>T45</f>
        <v>0</v>
      </c>
      <c r="K53" s="14"/>
    </row>
    <row r="54" spans="9:11" x14ac:dyDescent="0.25">
      <c r="I54" s="12" t="s">
        <v>318</v>
      </c>
      <c r="J54" s="13">
        <f>U45</f>
        <v>0</v>
      </c>
      <c r="K54" s="14"/>
    </row>
    <row r="55" spans="9:11" x14ac:dyDescent="0.25">
      <c r="I55" s="12" t="s">
        <v>319</v>
      </c>
      <c r="J55" s="13">
        <f>V45</f>
        <v>0</v>
      </c>
      <c r="K55" s="14"/>
    </row>
    <row r="56" spans="9:11" ht="15.75" customHeight="1" x14ac:dyDescent="0.25">
      <c r="I56" s="15" t="s">
        <v>320</v>
      </c>
      <c r="J56" s="16"/>
      <c r="K56" s="16"/>
    </row>
    <row r="57" spans="9:11" ht="15.75" customHeight="1" x14ac:dyDescent="0.25">
      <c r="I57" s="17" t="s">
        <v>321</v>
      </c>
      <c r="J57" s="16"/>
      <c r="K57" s="16"/>
    </row>
    <row r="58" spans="9:11" ht="21" customHeight="1" x14ac:dyDescent="0.35">
      <c r="I58" s="18" t="s">
        <v>322</v>
      </c>
      <c r="J58" s="19">
        <f>SUM(J51:J57)</f>
        <v>22690</v>
      </c>
      <c r="K58" s="19">
        <f>SUM(K51:K55)</f>
        <v>42</v>
      </c>
    </row>
  </sheetData>
  <autoFilter ref="A2:Q44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65E1-DC1C-450A-97BF-A07C95C14756}">
  <dimension ref="A1:S55"/>
  <sheetViews>
    <sheetView workbookViewId="0">
      <selection activeCell="T20" sqref="T20"/>
    </sheetView>
  </sheetViews>
  <sheetFormatPr defaultRowHeight="15" x14ac:dyDescent="0.25"/>
  <sheetData>
    <row r="1" spans="1:19" x14ac:dyDescent="0.25">
      <c r="B1" t="s">
        <v>736</v>
      </c>
      <c r="C1" t="s">
        <v>1470</v>
      </c>
    </row>
    <row r="2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x14ac:dyDescent="0.25">
      <c r="A3" s="5"/>
      <c r="B3" s="5" t="s">
        <v>19</v>
      </c>
      <c r="C3" s="5" t="s">
        <v>1471</v>
      </c>
      <c r="D3" s="5" t="s">
        <v>1472</v>
      </c>
      <c r="E3" s="5">
        <v>47</v>
      </c>
      <c r="F3" s="5" t="s">
        <v>1473</v>
      </c>
      <c r="G3" s="5">
        <v>1</v>
      </c>
      <c r="H3" s="5">
        <v>785</v>
      </c>
      <c r="I3" s="5">
        <v>25</v>
      </c>
      <c r="J3" s="5">
        <f t="shared" ref="J3:J41" si="0">H3-I3</f>
        <v>760</v>
      </c>
      <c r="K3" s="5" t="s">
        <v>125</v>
      </c>
      <c r="L3" s="5" t="s">
        <v>25</v>
      </c>
      <c r="M3" s="5" t="s">
        <v>1474</v>
      </c>
      <c r="N3" s="5"/>
      <c r="O3" s="5"/>
      <c r="P3" s="5"/>
      <c r="Q3" s="5"/>
      <c r="R3">
        <v>1</v>
      </c>
    </row>
    <row r="4" spans="1:19" x14ac:dyDescent="0.25">
      <c r="A4" s="5"/>
      <c r="B4" s="5" t="s">
        <v>19</v>
      </c>
      <c r="C4" s="5" t="s">
        <v>1475</v>
      </c>
      <c r="D4" s="5" t="s">
        <v>1476</v>
      </c>
      <c r="E4" s="5" t="s">
        <v>1477</v>
      </c>
      <c r="F4" s="5" t="s">
        <v>905</v>
      </c>
      <c r="G4" s="5">
        <v>1</v>
      </c>
      <c r="H4" s="5">
        <v>785</v>
      </c>
      <c r="I4" s="5">
        <v>25</v>
      </c>
      <c r="J4" s="5">
        <f t="shared" si="0"/>
        <v>760</v>
      </c>
      <c r="K4" s="5" t="s">
        <v>125</v>
      </c>
      <c r="L4" s="5" t="s">
        <v>25</v>
      </c>
      <c r="M4" s="5" t="s">
        <v>1474</v>
      </c>
      <c r="N4" s="5"/>
      <c r="O4" s="5"/>
      <c r="P4" s="5"/>
      <c r="Q4" s="5"/>
      <c r="R4">
        <v>1</v>
      </c>
    </row>
    <row r="5" spans="1:19" x14ac:dyDescent="0.25">
      <c r="A5" s="5"/>
      <c r="B5" s="5" t="s">
        <v>19</v>
      </c>
      <c r="C5" s="5" t="s">
        <v>1478</v>
      </c>
      <c r="D5" s="5" t="s">
        <v>1479</v>
      </c>
      <c r="E5" s="5">
        <v>109</v>
      </c>
      <c r="F5" s="5" t="s">
        <v>131</v>
      </c>
      <c r="G5" s="5">
        <v>4</v>
      </c>
      <c r="H5" s="5">
        <v>655</v>
      </c>
      <c r="I5" s="5">
        <v>25</v>
      </c>
      <c r="J5" s="5">
        <f t="shared" si="0"/>
        <v>630</v>
      </c>
      <c r="K5" s="5" t="s">
        <v>125</v>
      </c>
      <c r="L5" s="5" t="s">
        <v>25</v>
      </c>
      <c r="M5" s="5" t="s">
        <v>1474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1480</v>
      </c>
      <c r="D6" s="5" t="s">
        <v>1481</v>
      </c>
      <c r="E6" s="5">
        <v>346</v>
      </c>
      <c r="F6" s="5" t="s">
        <v>131</v>
      </c>
      <c r="G6" s="5">
        <v>4</v>
      </c>
      <c r="H6" s="5">
        <v>775</v>
      </c>
      <c r="I6" s="5">
        <v>25</v>
      </c>
      <c r="J6" s="5">
        <f t="shared" si="0"/>
        <v>750</v>
      </c>
      <c r="K6" s="5" t="s">
        <v>125</v>
      </c>
      <c r="L6" s="5" t="s">
        <v>25</v>
      </c>
      <c r="M6" s="5" t="s">
        <v>1474</v>
      </c>
      <c r="N6" s="5"/>
      <c r="O6" s="5"/>
      <c r="P6" s="5"/>
      <c r="Q6" s="5"/>
      <c r="R6">
        <v>1</v>
      </c>
    </row>
    <row r="7" spans="1:19" x14ac:dyDescent="0.25">
      <c r="A7" s="5"/>
      <c r="B7" s="5" t="s">
        <v>19</v>
      </c>
      <c r="C7" s="5" t="s">
        <v>1482</v>
      </c>
      <c r="D7" s="5" t="s">
        <v>1483</v>
      </c>
      <c r="E7" s="5">
        <v>21</v>
      </c>
      <c r="F7" s="5" t="s">
        <v>196</v>
      </c>
      <c r="G7" s="5">
        <v>4</v>
      </c>
      <c r="H7" s="5">
        <v>605</v>
      </c>
      <c r="I7" s="5">
        <v>25</v>
      </c>
      <c r="J7" s="5">
        <f t="shared" si="0"/>
        <v>580</v>
      </c>
      <c r="K7" s="5" t="s">
        <v>125</v>
      </c>
      <c r="L7" s="5" t="s">
        <v>25</v>
      </c>
      <c r="M7" s="5" t="s">
        <v>1474</v>
      </c>
      <c r="N7" s="5"/>
      <c r="O7" s="5"/>
      <c r="P7" s="5"/>
      <c r="Q7" s="5"/>
      <c r="R7">
        <v>1</v>
      </c>
    </row>
    <row r="8" spans="1:19" x14ac:dyDescent="0.25">
      <c r="A8" s="5"/>
      <c r="B8" s="5" t="s">
        <v>19</v>
      </c>
      <c r="C8" s="5" t="s">
        <v>1484</v>
      </c>
      <c r="D8" s="5" t="s">
        <v>1485</v>
      </c>
      <c r="E8" s="5" t="s">
        <v>1486</v>
      </c>
      <c r="F8" s="5" t="s">
        <v>1487</v>
      </c>
      <c r="G8" s="5">
        <v>4</v>
      </c>
      <c r="H8" s="5">
        <v>605</v>
      </c>
      <c r="I8" s="5">
        <v>25</v>
      </c>
      <c r="J8" s="5">
        <f t="shared" si="0"/>
        <v>580</v>
      </c>
      <c r="K8" s="5" t="s">
        <v>125</v>
      </c>
      <c r="L8" s="5" t="s">
        <v>25</v>
      </c>
      <c r="M8" s="5" t="s">
        <v>1474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1488</v>
      </c>
      <c r="D9" s="5" t="s">
        <v>1489</v>
      </c>
      <c r="E9" s="5">
        <v>334</v>
      </c>
      <c r="F9" s="5" t="s">
        <v>146</v>
      </c>
      <c r="G9" s="5">
        <v>10</v>
      </c>
      <c r="H9" s="5">
        <v>785</v>
      </c>
      <c r="I9" s="5">
        <v>25</v>
      </c>
      <c r="J9" s="5">
        <f t="shared" si="0"/>
        <v>760</v>
      </c>
      <c r="K9" s="5" t="s">
        <v>125</v>
      </c>
      <c r="L9" s="5" t="s">
        <v>25</v>
      </c>
      <c r="M9" s="5" t="s">
        <v>1474</v>
      </c>
      <c r="N9" s="5"/>
      <c r="O9" s="5"/>
      <c r="P9" s="5"/>
      <c r="Q9" s="5"/>
      <c r="R9">
        <v>1</v>
      </c>
    </row>
    <row r="10" spans="1:19" x14ac:dyDescent="0.25">
      <c r="A10" s="5"/>
      <c r="B10" s="5" t="s">
        <v>19</v>
      </c>
      <c r="C10" s="5" t="s">
        <v>574</v>
      </c>
      <c r="D10" s="5" t="s">
        <v>1490</v>
      </c>
      <c r="E10" s="5" t="s">
        <v>1491</v>
      </c>
      <c r="F10" s="5" t="s">
        <v>944</v>
      </c>
      <c r="G10" s="5" t="s">
        <v>151</v>
      </c>
      <c r="H10" s="5">
        <v>0</v>
      </c>
      <c r="I10" s="5">
        <v>20</v>
      </c>
      <c r="J10" s="5">
        <f t="shared" si="0"/>
        <v>-20</v>
      </c>
      <c r="K10" s="5" t="s">
        <v>125</v>
      </c>
      <c r="L10" s="5" t="s">
        <v>25</v>
      </c>
      <c r="M10" s="5" t="s">
        <v>1474</v>
      </c>
      <c r="N10" s="5"/>
      <c r="O10" s="5"/>
      <c r="P10" s="5"/>
      <c r="Q10" s="5"/>
      <c r="R10">
        <v>1</v>
      </c>
      <c r="S10">
        <v>20</v>
      </c>
    </row>
    <row r="11" spans="1:19" x14ac:dyDescent="0.25">
      <c r="A11" s="5"/>
      <c r="B11" s="5" t="s">
        <v>19</v>
      </c>
      <c r="C11" s="5" t="s">
        <v>1492</v>
      </c>
      <c r="D11" s="5" t="s">
        <v>1493</v>
      </c>
      <c r="E11" s="5">
        <v>55</v>
      </c>
      <c r="F11" s="5" t="s">
        <v>1494</v>
      </c>
      <c r="G11" s="5" t="s">
        <v>98</v>
      </c>
      <c r="H11" s="5">
        <v>745</v>
      </c>
      <c r="I11" s="5">
        <v>25</v>
      </c>
      <c r="J11" s="5">
        <f t="shared" si="0"/>
        <v>720</v>
      </c>
      <c r="K11" s="5" t="s">
        <v>125</v>
      </c>
      <c r="L11" s="5" t="s">
        <v>25</v>
      </c>
      <c r="M11" s="5" t="s">
        <v>1474</v>
      </c>
      <c r="N11" s="5"/>
      <c r="O11" s="5"/>
      <c r="P11" s="5"/>
      <c r="Q11" s="5"/>
      <c r="R11">
        <v>1</v>
      </c>
    </row>
    <row r="12" spans="1:19" x14ac:dyDescent="0.25">
      <c r="A12" s="5"/>
      <c r="B12" s="5" t="s">
        <v>19</v>
      </c>
      <c r="C12" s="5" t="s">
        <v>1495</v>
      </c>
      <c r="D12" s="5" t="s">
        <v>1496</v>
      </c>
      <c r="E12" s="5" t="s">
        <v>1497</v>
      </c>
      <c r="F12" s="5" t="s">
        <v>1498</v>
      </c>
      <c r="G12" s="5" t="s">
        <v>98</v>
      </c>
      <c r="H12" s="5">
        <v>815</v>
      </c>
      <c r="I12" s="5">
        <v>25</v>
      </c>
      <c r="J12" s="5">
        <f t="shared" si="0"/>
        <v>790</v>
      </c>
      <c r="K12" s="5" t="s">
        <v>125</v>
      </c>
      <c r="L12" s="5" t="s">
        <v>25</v>
      </c>
      <c r="M12" s="5" t="s">
        <v>1474</v>
      </c>
      <c r="N12" s="5"/>
      <c r="O12" s="5"/>
      <c r="P12" s="5"/>
      <c r="Q12" s="5"/>
      <c r="R12">
        <v>1</v>
      </c>
    </row>
    <row r="13" spans="1:19" x14ac:dyDescent="0.25">
      <c r="A13" s="5" t="s">
        <v>91</v>
      </c>
      <c r="B13" s="5" t="s">
        <v>19</v>
      </c>
      <c r="C13" s="5" t="s">
        <v>1499</v>
      </c>
      <c r="D13" s="5"/>
      <c r="E13" s="5" t="s">
        <v>1500</v>
      </c>
      <c r="F13" s="5" t="s">
        <v>173</v>
      </c>
      <c r="G13" s="5" t="s">
        <v>98</v>
      </c>
      <c r="H13" s="5">
        <v>25</v>
      </c>
      <c r="I13" s="5">
        <v>25</v>
      </c>
      <c r="J13" s="5">
        <f t="shared" si="0"/>
        <v>0</v>
      </c>
      <c r="K13" s="5" t="s">
        <v>125</v>
      </c>
      <c r="L13" s="5" t="s">
        <v>25</v>
      </c>
      <c r="M13" s="5" t="s">
        <v>1474</v>
      </c>
      <c r="N13" s="5"/>
      <c r="O13" s="5"/>
      <c r="P13" s="5"/>
      <c r="Q13" s="5"/>
      <c r="R13">
        <v>1</v>
      </c>
    </row>
    <row r="14" spans="1:19" x14ac:dyDescent="0.25">
      <c r="A14" s="5" t="s">
        <v>91</v>
      </c>
      <c r="B14" s="5" t="s">
        <v>19</v>
      </c>
      <c r="C14" s="5" t="s">
        <v>1501</v>
      </c>
      <c r="D14" s="5"/>
      <c r="E14" s="5">
        <v>66</v>
      </c>
      <c r="F14" s="5" t="s">
        <v>565</v>
      </c>
      <c r="G14" s="5">
        <v>6</v>
      </c>
      <c r="H14" s="5">
        <v>30</v>
      </c>
      <c r="I14" s="5">
        <v>30</v>
      </c>
      <c r="J14" s="5">
        <f t="shared" si="0"/>
        <v>0</v>
      </c>
      <c r="K14" s="5" t="s">
        <v>1502</v>
      </c>
      <c r="L14" s="5" t="s">
        <v>25</v>
      </c>
      <c r="M14" s="5" t="s">
        <v>1474</v>
      </c>
      <c r="N14" s="5"/>
      <c r="O14" s="5"/>
      <c r="P14" s="5"/>
      <c r="Q14" s="5"/>
      <c r="R14">
        <v>1</v>
      </c>
    </row>
    <row r="15" spans="1:19" x14ac:dyDescent="0.25">
      <c r="A15" s="5"/>
      <c r="B15" s="5" t="s">
        <v>19</v>
      </c>
      <c r="C15" s="5" t="s">
        <v>1093</v>
      </c>
      <c r="D15" s="5" t="s">
        <v>1503</v>
      </c>
      <c r="E15" s="5">
        <v>184</v>
      </c>
      <c r="F15" s="5" t="s">
        <v>1504</v>
      </c>
      <c r="G15" s="5">
        <v>6</v>
      </c>
      <c r="H15" s="5">
        <v>785</v>
      </c>
      <c r="I15" s="5">
        <v>25</v>
      </c>
      <c r="J15" s="5">
        <f t="shared" si="0"/>
        <v>760</v>
      </c>
      <c r="K15" s="5" t="s">
        <v>1502</v>
      </c>
      <c r="L15" s="5" t="s">
        <v>25</v>
      </c>
      <c r="M15" s="5" t="s">
        <v>1474</v>
      </c>
      <c r="N15" s="5"/>
      <c r="O15" s="5"/>
      <c r="P15" s="5"/>
      <c r="Q15" s="5"/>
      <c r="R15">
        <v>1</v>
      </c>
    </row>
    <row r="16" spans="1:19" x14ac:dyDescent="0.25">
      <c r="A16" s="5"/>
      <c r="B16" s="5" t="s">
        <v>19</v>
      </c>
      <c r="C16" s="5" t="s">
        <v>857</v>
      </c>
      <c r="D16" s="5" t="s">
        <v>1505</v>
      </c>
      <c r="E16" s="5" t="s">
        <v>1506</v>
      </c>
      <c r="F16" s="5" t="s">
        <v>1507</v>
      </c>
      <c r="G16" s="5">
        <v>7</v>
      </c>
      <c r="H16" s="5">
        <v>390</v>
      </c>
      <c r="I16" s="5">
        <v>30</v>
      </c>
      <c r="J16" s="5">
        <f t="shared" si="0"/>
        <v>360</v>
      </c>
      <c r="K16" s="5" t="s">
        <v>1502</v>
      </c>
      <c r="L16" s="5" t="s">
        <v>25</v>
      </c>
      <c r="M16" s="5" t="s">
        <v>1474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1508</v>
      </c>
      <c r="D17" s="5" t="s">
        <v>1509</v>
      </c>
      <c r="E17" s="5">
        <v>89</v>
      </c>
      <c r="F17" s="5" t="s">
        <v>1510</v>
      </c>
      <c r="G17" s="5">
        <v>7</v>
      </c>
      <c r="H17" s="5">
        <v>790</v>
      </c>
      <c r="I17" s="5">
        <v>30</v>
      </c>
      <c r="J17" s="5">
        <f t="shared" si="0"/>
        <v>760</v>
      </c>
      <c r="K17" s="5" t="s">
        <v>1502</v>
      </c>
      <c r="L17" s="5" t="s">
        <v>25</v>
      </c>
      <c r="M17" s="5" t="s">
        <v>1474</v>
      </c>
      <c r="N17" s="5"/>
      <c r="O17" s="5"/>
      <c r="P17" s="5"/>
      <c r="Q17" s="5"/>
      <c r="R17">
        <v>1</v>
      </c>
    </row>
    <row r="18" spans="1:19" x14ac:dyDescent="0.25">
      <c r="A18" s="5"/>
      <c r="B18" s="5" t="s">
        <v>19</v>
      </c>
      <c r="C18" s="5" t="s">
        <v>1511</v>
      </c>
      <c r="D18" s="5" t="s">
        <v>1512</v>
      </c>
      <c r="E18" s="5">
        <v>600</v>
      </c>
      <c r="F18" s="5" t="s">
        <v>386</v>
      </c>
      <c r="G18" s="5">
        <v>7</v>
      </c>
      <c r="H18" s="5">
        <v>870</v>
      </c>
      <c r="I18" s="5">
        <v>30</v>
      </c>
      <c r="J18" s="5">
        <f t="shared" si="0"/>
        <v>840</v>
      </c>
      <c r="K18" s="5" t="s">
        <v>1502</v>
      </c>
      <c r="L18" s="5" t="s">
        <v>25</v>
      </c>
      <c r="M18" s="5" t="s">
        <v>1474</v>
      </c>
      <c r="N18" s="5"/>
      <c r="O18" s="5"/>
      <c r="P18" s="5"/>
      <c r="Q18" s="5"/>
      <c r="R18">
        <v>1</v>
      </c>
    </row>
    <row r="19" spans="1:19" x14ac:dyDescent="0.25">
      <c r="A19" s="5"/>
      <c r="B19" s="5" t="s">
        <v>19</v>
      </c>
      <c r="C19" s="5" t="s">
        <v>1513</v>
      </c>
      <c r="D19" s="5" t="s">
        <v>1514</v>
      </c>
      <c r="E19" s="5" t="s">
        <v>1515</v>
      </c>
      <c r="F19" s="5" t="s">
        <v>1516</v>
      </c>
      <c r="G19" s="5">
        <v>7</v>
      </c>
      <c r="H19" s="5">
        <v>710</v>
      </c>
      <c r="I19" s="5">
        <v>30</v>
      </c>
      <c r="J19" s="5">
        <f t="shared" si="0"/>
        <v>680</v>
      </c>
      <c r="K19" s="5" t="s">
        <v>1502</v>
      </c>
      <c r="L19" s="5" t="s">
        <v>25</v>
      </c>
      <c r="M19" s="5" t="s">
        <v>1474</v>
      </c>
      <c r="N19" s="5"/>
      <c r="O19" s="5"/>
      <c r="P19" s="5"/>
      <c r="Q19" s="5"/>
      <c r="R19">
        <v>1</v>
      </c>
    </row>
    <row r="20" spans="1:19" x14ac:dyDescent="0.25">
      <c r="A20" s="5"/>
      <c r="B20" s="5" t="s">
        <v>19</v>
      </c>
      <c r="C20" s="5" t="s">
        <v>1517</v>
      </c>
      <c r="D20" s="5" t="s">
        <v>1518</v>
      </c>
      <c r="E20" s="5" t="s">
        <v>1519</v>
      </c>
      <c r="F20" s="5" t="s">
        <v>203</v>
      </c>
      <c r="G20" s="5">
        <v>7</v>
      </c>
      <c r="H20" s="5">
        <v>750</v>
      </c>
      <c r="I20" s="5">
        <v>30</v>
      </c>
      <c r="J20" s="5">
        <f t="shared" si="0"/>
        <v>720</v>
      </c>
      <c r="K20" s="5" t="s">
        <v>1502</v>
      </c>
      <c r="L20" s="5" t="s">
        <v>25</v>
      </c>
      <c r="M20" s="5" t="s">
        <v>1474</v>
      </c>
      <c r="N20" s="5"/>
      <c r="O20" s="5"/>
      <c r="P20" s="5"/>
      <c r="Q20" s="5"/>
      <c r="R20">
        <v>1</v>
      </c>
    </row>
    <row r="21" spans="1:19" x14ac:dyDescent="0.25">
      <c r="A21" s="20"/>
      <c r="B21" s="20" t="s">
        <v>19</v>
      </c>
      <c r="C21" s="20" t="s">
        <v>1520</v>
      </c>
      <c r="D21" s="20" t="s">
        <v>1521</v>
      </c>
      <c r="E21" s="20">
        <v>12</v>
      </c>
      <c r="F21" s="20" t="s">
        <v>243</v>
      </c>
      <c r="G21" s="20">
        <v>8</v>
      </c>
      <c r="H21" s="20">
        <v>2770</v>
      </c>
      <c r="I21" s="20">
        <v>35</v>
      </c>
      <c r="J21" s="20">
        <f t="shared" si="0"/>
        <v>2735</v>
      </c>
      <c r="K21" s="20" t="s">
        <v>1502</v>
      </c>
      <c r="L21" s="20" t="s">
        <v>25</v>
      </c>
      <c r="M21" s="20" t="s">
        <v>1474</v>
      </c>
      <c r="N21" s="20" t="s">
        <v>498</v>
      </c>
      <c r="O21" s="20"/>
      <c r="P21" s="20"/>
      <c r="Q21" s="20"/>
      <c r="R21">
        <v>1</v>
      </c>
      <c r="S21">
        <v>35</v>
      </c>
    </row>
    <row r="22" spans="1:19" x14ac:dyDescent="0.25">
      <c r="A22" s="5"/>
      <c r="B22" s="5" t="s">
        <v>19</v>
      </c>
      <c r="C22" s="5" t="s">
        <v>1522</v>
      </c>
      <c r="D22" s="5" t="s">
        <v>1523</v>
      </c>
      <c r="E22" s="5" t="s">
        <v>1450</v>
      </c>
      <c r="F22" s="5" t="s">
        <v>1524</v>
      </c>
      <c r="G22" s="5">
        <v>8</v>
      </c>
      <c r="H22" s="5">
        <v>400</v>
      </c>
      <c r="I22" s="5">
        <v>30</v>
      </c>
      <c r="J22" s="5">
        <f t="shared" si="0"/>
        <v>370</v>
      </c>
      <c r="K22" s="5" t="s">
        <v>1502</v>
      </c>
      <c r="L22" s="5" t="s">
        <v>25</v>
      </c>
      <c r="M22" s="5" t="s">
        <v>1474</v>
      </c>
      <c r="N22" s="5"/>
      <c r="O22" s="5"/>
      <c r="P22" s="5"/>
      <c r="Q22" s="5"/>
      <c r="R22">
        <v>1</v>
      </c>
    </row>
    <row r="23" spans="1:19" x14ac:dyDescent="0.25">
      <c r="A23" s="5"/>
      <c r="B23" s="5" t="s">
        <v>19</v>
      </c>
      <c r="C23" s="5" t="s">
        <v>213</v>
      </c>
      <c r="D23" s="5" t="s">
        <v>1525</v>
      </c>
      <c r="E23" s="5">
        <v>30</v>
      </c>
      <c r="F23" s="5" t="s">
        <v>215</v>
      </c>
      <c r="G23" s="5">
        <v>8</v>
      </c>
      <c r="H23" s="5">
        <v>985</v>
      </c>
      <c r="I23" s="5">
        <v>25</v>
      </c>
      <c r="J23" s="5">
        <f t="shared" si="0"/>
        <v>960</v>
      </c>
      <c r="K23" s="5" t="s">
        <v>1502</v>
      </c>
      <c r="L23" s="5" t="s">
        <v>25</v>
      </c>
      <c r="M23" s="5" t="s">
        <v>1474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1526</v>
      </c>
      <c r="D24" s="5" t="s">
        <v>1527</v>
      </c>
      <c r="E24" s="5" t="s">
        <v>1528</v>
      </c>
      <c r="F24" s="5" t="s">
        <v>1529</v>
      </c>
      <c r="G24" s="5">
        <v>8</v>
      </c>
      <c r="H24" s="5">
        <v>790</v>
      </c>
      <c r="I24" s="5">
        <v>30</v>
      </c>
      <c r="J24" s="5">
        <f t="shared" si="0"/>
        <v>760</v>
      </c>
      <c r="K24" s="5" t="s">
        <v>1502</v>
      </c>
      <c r="L24" s="5" t="s">
        <v>25</v>
      </c>
      <c r="M24" s="5" t="s">
        <v>1474</v>
      </c>
      <c r="N24" s="5"/>
      <c r="O24" s="5"/>
      <c r="P24" s="5"/>
      <c r="Q24" s="5"/>
      <c r="R24">
        <v>1</v>
      </c>
    </row>
    <row r="25" spans="1:19" x14ac:dyDescent="0.25">
      <c r="A25" s="5"/>
      <c r="B25" s="5" t="s">
        <v>19</v>
      </c>
      <c r="C25" s="5" t="s">
        <v>1530</v>
      </c>
      <c r="D25" s="5" t="s">
        <v>1531</v>
      </c>
      <c r="E25" s="5" t="s">
        <v>1532</v>
      </c>
      <c r="F25" s="5" t="s">
        <v>1533</v>
      </c>
      <c r="G25" s="5">
        <v>9</v>
      </c>
      <c r="H25" s="5">
        <v>750</v>
      </c>
      <c r="I25" s="5">
        <v>30</v>
      </c>
      <c r="J25" s="5">
        <f t="shared" si="0"/>
        <v>720</v>
      </c>
      <c r="K25" s="5" t="s">
        <v>1502</v>
      </c>
      <c r="L25" s="5" t="s">
        <v>25</v>
      </c>
      <c r="M25" s="5" t="s">
        <v>1474</v>
      </c>
      <c r="N25" s="5"/>
      <c r="O25" s="5"/>
      <c r="P25" s="5"/>
      <c r="Q25" s="5"/>
      <c r="R25">
        <v>1</v>
      </c>
    </row>
    <row r="26" spans="1:19" x14ac:dyDescent="0.25">
      <c r="A26" s="5"/>
      <c r="B26" s="5" t="s">
        <v>19</v>
      </c>
      <c r="C26" s="5" t="s">
        <v>1534</v>
      </c>
      <c r="D26" s="5" t="s">
        <v>1535</v>
      </c>
      <c r="E26" s="5">
        <v>17</v>
      </c>
      <c r="F26" s="5" t="s">
        <v>246</v>
      </c>
      <c r="G26" s="5" t="s">
        <v>240</v>
      </c>
      <c r="H26" s="5">
        <v>1070</v>
      </c>
      <c r="I26" s="5">
        <v>30</v>
      </c>
      <c r="J26" s="5">
        <f t="shared" si="0"/>
        <v>1040</v>
      </c>
      <c r="K26" s="5" t="s">
        <v>1502</v>
      </c>
      <c r="L26" s="5" t="s">
        <v>25</v>
      </c>
      <c r="M26" s="5" t="s">
        <v>1474</v>
      </c>
      <c r="N26" s="5"/>
      <c r="O26" s="5"/>
      <c r="P26" s="5"/>
      <c r="Q26" s="5"/>
      <c r="R26">
        <v>1</v>
      </c>
    </row>
    <row r="27" spans="1:19" x14ac:dyDescent="0.25">
      <c r="A27" s="5"/>
      <c r="B27" s="5" t="s">
        <v>19</v>
      </c>
      <c r="C27" s="5" t="s">
        <v>249</v>
      </c>
      <c r="D27" s="5" t="s">
        <v>1536</v>
      </c>
      <c r="E27" s="5">
        <v>2</v>
      </c>
      <c r="F27" s="5" t="s">
        <v>251</v>
      </c>
      <c r="G27" s="5" t="s">
        <v>240</v>
      </c>
      <c r="H27" s="5">
        <v>780</v>
      </c>
      <c r="I27" s="5">
        <v>30</v>
      </c>
      <c r="J27" s="5">
        <f t="shared" si="0"/>
        <v>750</v>
      </c>
      <c r="K27" s="5" t="s">
        <v>1502</v>
      </c>
      <c r="L27" s="5" t="s">
        <v>25</v>
      </c>
      <c r="M27" s="5" t="s">
        <v>1474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1537</v>
      </c>
      <c r="D28" s="5" t="s">
        <v>1538</v>
      </c>
      <c r="E28" s="5" t="s">
        <v>1539</v>
      </c>
      <c r="F28" s="5" t="s">
        <v>1540</v>
      </c>
      <c r="G28" s="5" t="s">
        <v>98</v>
      </c>
      <c r="H28" s="5">
        <v>605</v>
      </c>
      <c r="I28" s="5">
        <v>25</v>
      </c>
      <c r="J28" s="5">
        <f t="shared" si="0"/>
        <v>580</v>
      </c>
      <c r="K28" s="5" t="s">
        <v>1502</v>
      </c>
      <c r="L28" s="5" t="s">
        <v>25</v>
      </c>
      <c r="M28" s="5" t="s">
        <v>1474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1541</v>
      </c>
      <c r="D29" s="5" t="s">
        <v>1542</v>
      </c>
      <c r="E29" s="5" t="s">
        <v>1543</v>
      </c>
      <c r="F29" s="5" t="s">
        <v>1544</v>
      </c>
      <c r="G29" s="5" t="s">
        <v>286</v>
      </c>
      <c r="H29" s="5">
        <v>1015</v>
      </c>
      <c r="I29" s="5">
        <v>25</v>
      </c>
      <c r="J29" s="5">
        <f t="shared" si="0"/>
        <v>990</v>
      </c>
      <c r="K29" s="5" t="s">
        <v>1502</v>
      </c>
      <c r="L29" s="5" t="s">
        <v>25</v>
      </c>
      <c r="M29" s="5" t="s">
        <v>1474</v>
      </c>
      <c r="N29" s="5"/>
      <c r="O29" s="5"/>
      <c r="P29" s="5"/>
      <c r="Q29" s="5"/>
      <c r="R29">
        <v>1</v>
      </c>
    </row>
    <row r="30" spans="1:19" x14ac:dyDescent="0.25">
      <c r="A30" s="5"/>
      <c r="B30" s="5" t="s">
        <v>19</v>
      </c>
      <c r="C30" s="5" t="s">
        <v>1545</v>
      </c>
      <c r="D30" s="5" t="s">
        <v>1546</v>
      </c>
      <c r="E30" s="5" t="s">
        <v>1547</v>
      </c>
      <c r="F30" s="5" t="s">
        <v>467</v>
      </c>
      <c r="G30" s="5">
        <v>2</v>
      </c>
      <c r="H30" s="5">
        <v>790</v>
      </c>
      <c r="I30" s="5">
        <v>30</v>
      </c>
      <c r="J30" s="5">
        <f t="shared" si="0"/>
        <v>760</v>
      </c>
      <c r="K30" s="5" t="s">
        <v>25</v>
      </c>
      <c r="L30" s="5" t="s">
        <v>25</v>
      </c>
      <c r="M30" s="5" t="s">
        <v>1474</v>
      </c>
      <c r="N30" s="5"/>
      <c r="O30" s="5"/>
      <c r="P30" s="5"/>
      <c r="Q30" s="5"/>
      <c r="R30">
        <v>1</v>
      </c>
    </row>
    <row r="31" spans="1:19" x14ac:dyDescent="0.25">
      <c r="A31" s="5"/>
      <c r="B31" s="5" t="s">
        <v>19</v>
      </c>
      <c r="C31" s="5" t="s">
        <v>1548</v>
      </c>
      <c r="D31" s="5" t="s">
        <v>1549</v>
      </c>
      <c r="E31" s="5" t="s">
        <v>1550</v>
      </c>
      <c r="F31" s="5" t="s">
        <v>670</v>
      </c>
      <c r="G31" s="5" t="s">
        <v>58</v>
      </c>
      <c r="H31" s="5">
        <v>390</v>
      </c>
      <c r="I31" s="5">
        <v>20</v>
      </c>
      <c r="J31" s="5">
        <f t="shared" si="0"/>
        <v>370</v>
      </c>
      <c r="K31" s="5" t="s">
        <v>25</v>
      </c>
      <c r="L31" s="5" t="s">
        <v>25</v>
      </c>
      <c r="M31" s="5" t="s">
        <v>1474</v>
      </c>
      <c r="N31" s="5"/>
      <c r="O31" s="5"/>
      <c r="P31" s="5"/>
      <c r="Q31" s="5"/>
      <c r="R31">
        <v>1</v>
      </c>
    </row>
    <row r="32" spans="1:19" x14ac:dyDescent="0.25">
      <c r="A32" s="5"/>
      <c r="B32" s="5" t="s">
        <v>19</v>
      </c>
      <c r="C32" s="5" t="s">
        <v>1551</v>
      </c>
      <c r="D32" s="5" t="s">
        <v>1552</v>
      </c>
      <c r="E32" s="5" t="s">
        <v>1553</v>
      </c>
      <c r="F32" s="5" t="s">
        <v>280</v>
      </c>
      <c r="G32" s="5" t="s">
        <v>70</v>
      </c>
      <c r="H32" s="5">
        <v>1505</v>
      </c>
      <c r="I32" s="5">
        <v>25</v>
      </c>
      <c r="J32" s="5">
        <f t="shared" si="0"/>
        <v>1480</v>
      </c>
      <c r="K32" s="5" t="s">
        <v>25</v>
      </c>
      <c r="L32" s="5" t="s">
        <v>25</v>
      </c>
      <c r="M32" s="5" t="s">
        <v>1474</v>
      </c>
      <c r="N32" s="5"/>
      <c r="O32" s="5"/>
      <c r="P32" s="5"/>
      <c r="Q32" s="5"/>
      <c r="R32">
        <v>1</v>
      </c>
    </row>
    <row r="33" spans="1:19" x14ac:dyDescent="0.25">
      <c r="A33" s="20"/>
      <c r="B33" s="20" t="s">
        <v>19</v>
      </c>
      <c r="C33" s="20" t="s">
        <v>1554</v>
      </c>
      <c r="D33" s="20" t="s">
        <v>1555</v>
      </c>
      <c r="E33" s="20" t="s">
        <v>1409</v>
      </c>
      <c r="F33" s="20" t="s">
        <v>1406</v>
      </c>
      <c r="G33" s="20" t="s">
        <v>70</v>
      </c>
      <c r="H33" s="20">
        <v>85</v>
      </c>
      <c r="I33" s="20">
        <v>25</v>
      </c>
      <c r="J33" s="20">
        <f t="shared" si="0"/>
        <v>60</v>
      </c>
      <c r="K33" s="20" t="s">
        <v>25</v>
      </c>
      <c r="L33" s="20" t="s">
        <v>25</v>
      </c>
      <c r="M33" s="20" t="s">
        <v>1474</v>
      </c>
      <c r="N33" s="20" t="s">
        <v>472</v>
      </c>
      <c r="O33" s="20"/>
      <c r="P33" s="20"/>
      <c r="Q33" s="20"/>
      <c r="R33">
        <v>1</v>
      </c>
    </row>
    <row r="34" spans="1:19" x14ac:dyDescent="0.25">
      <c r="A34" s="5" t="s">
        <v>91</v>
      </c>
      <c r="B34" s="5" t="s">
        <v>19</v>
      </c>
      <c r="C34" s="5" t="s">
        <v>779</v>
      </c>
      <c r="D34" s="5"/>
      <c r="E34" s="5" t="s">
        <v>662</v>
      </c>
      <c r="F34" s="5" t="s">
        <v>97</v>
      </c>
      <c r="G34" s="5" t="s">
        <v>98</v>
      </c>
      <c r="H34" s="5">
        <v>30</v>
      </c>
      <c r="I34" s="5">
        <v>30</v>
      </c>
      <c r="J34" s="5">
        <f t="shared" si="0"/>
        <v>0</v>
      </c>
      <c r="K34" s="5" t="s">
        <v>25</v>
      </c>
      <c r="L34" s="5" t="s">
        <v>25</v>
      </c>
      <c r="M34" s="5" t="s">
        <v>1474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1027</v>
      </c>
      <c r="D35" s="5" t="s">
        <v>1556</v>
      </c>
      <c r="E35" s="5">
        <v>72</v>
      </c>
      <c r="F35" s="5" t="s">
        <v>1029</v>
      </c>
      <c r="G35" s="5" t="s">
        <v>98</v>
      </c>
      <c r="H35" s="5">
        <v>1505</v>
      </c>
      <c r="I35" s="5">
        <v>25</v>
      </c>
      <c r="J35" s="5">
        <f t="shared" si="0"/>
        <v>1480</v>
      </c>
      <c r="K35" s="5" t="s">
        <v>25</v>
      </c>
      <c r="L35" s="5" t="s">
        <v>25</v>
      </c>
      <c r="M35" s="5" t="s">
        <v>1474</v>
      </c>
      <c r="N35" s="5"/>
      <c r="O35" s="5"/>
      <c r="P35" s="5"/>
      <c r="Q35" s="5"/>
      <c r="R35">
        <v>1</v>
      </c>
    </row>
    <row r="36" spans="1:19" x14ac:dyDescent="0.25">
      <c r="A36" s="5"/>
      <c r="B36" s="5" t="s">
        <v>19</v>
      </c>
      <c r="C36" s="5" t="s">
        <v>872</v>
      </c>
      <c r="D36" s="5" t="s">
        <v>1557</v>
      </c>
      <c r="E36" s="5" t="s">
        <v>874</v>
      </c>
      <c r="F36" s="5" t="s">
        <v>875</v>
      </c>
      <c r="G36" s="5" t="s">
        <v>98</v>
      </c>
      <c r="H36" s="5">
        <v>1535</v>
      </c>
      <c r="I36" s="5">
        <v>25</v>
      </c>
      <c r="J36" s="5">
        <f t="shared" si="0"/>
        <v>1510</v>
      </c>
      <c r="K36" s="5" t="s">
        <v>25</v>
      </c>
      <c r="L36" s="5" t="s">
        <v>25</v>
      </c>
      <c r="M36" s="5" t="s">
        <v>1474</v>
      </c>
      <c r="N36" s="5"/>
      <c r="O36" s="5"/>
      <c r="P36" s="5"/>
      <c r="Q36" s="5"/>
      <c r="R36">
        <v>1</v>
      </c>
    </row>
    <row r="37" spans="1:19" x14ac:dyDescent="0.25">
      <c r="A37" s="5"/>
      <c r="B37" s="5" t="s">
        <v>19</v>
      </c>
      <c r="C37" s="5" t="s">
        <v>1558</v>
      </c>
      <c r="D37" s="5" t="s">
        <v>1559</v>
      </c>
      <c r="E37" s="5">
        <v>55</v>
      </c>
      <c r="F37" s="5" t="s">
        <v>878</v>
      </c>
      <c r="G37" s="5" t="s">
        <v>103</v>
      </c>
      <c r="H37" s="5">
        <v>750</v>
      </c>
      <c r="I37" s="5">
        <v>30</v>
      </c>
      <c r="J37" s="5">
        <f t="shared" si="0"/>
        <v>720</v>
      </c>
      <c r="K37" s="5" t="s">
        <v>25</v>
      </c>
      <c r="L37" s="5" t="s">
        <v>25</v>
      </c>
      <c r="M37" s="5" t="s">
        <v>1474</v>
      </c>
      <c r="N37" s="5"/>
      <c r="O37" s="5"/>
      <c r="P37" s="5"/>
      <c r="Q37" s="5"/>
      <c r="R37">
        <v>1</v>
      </c>
    </row>
    <row r="38" spans="1:19" x14ac:dyDescent="0.25">
      <c r="A38" s="5"/>
      <c r="B38" s="5" t="s">
        <v>19</v>
      </c>
      <c r="C38" s="5" t="s">
        <v>1560</v>
      </c>
      <c r="D38" s="5" t="s">
        <v>1561</v>
      </c>
      <c r="E38" s="5" t="s">
        <v>1562</v>
      </c>
      <c r="F38" s="5" t="s">
        <v>111</v>
      </c>
      <c r="G38" s="5" t="s">
        <v>103</v>
      </c>
      <c r="H38" s="5">
        <v>800</v>
      </c>
      <c r="I38" s="5">
        <v>30</v>
      </c>
      <c r="J38" s="5">
        <f t="shared" si="0"/>
        <v>770</v>
      </c>
      <c r="K38" s="5" t="s">
        <v>25</v>
      </c>
      <c r="L38" s="5" t="s">
        <v>25</v>
      </c>
      <c r="M38" s="5" t="s">
        <v>1474</v>
      </c>
      <c r="N38" s="5"/>
      <c r="O38" s="5"/>
      <c r="P38" s="5"/>
      <c r="Q38" s="5"/>
      <c r="R38">
        <v>1</v>
      </c>
    </row>
    <row r="39" spans="1:19" x14ac:dyDescent="0.25">
      <c r="A39" s="5"/>
      <c r="B39" s="5" t="s">
        <v>19</v>
      </c>
      <c r="C39" s="5" t="s">
        <v>1280</v>
      </c>
      <c r="D39" s="5" t="s">
        <v>1563</v>
      </c>
      <c r="E39" s="5" t="s">
        <v>1282</v>
      </c>
      <c r="F39" s="5" t="s">
        <v>1283</v>
      </c>
      <c r="G39" s="5" t="s">
        <v>103</v>
      </c>
      <c r="H39" s="5">
        <v>0</v>
      </c>
      <c r="I39" s="5">
        <v>30</v>
      </c>
      <c r="J39" s="5">
        <f t="shared" si="0"/>
        <v>-30</v>
      </c>
      <c r="K39" s="5" t="s">
        <v>25</v>
      </c>
      <c r="L39" s="5" t="s">
        <v>25</v>
      </c>
      <c r="M39" s="5" t="s">
        <v>1474</v>
      </c>
      <c r="N39" s="5"/>
      <c r="O39" s="5"/>
      <c r="P39" s="5"/>
      <c r="Q39" s="5"/>
      <c r="R39">
        <v>1</v>
      </c>
      <c r="S39">
        <v>30</v>
      </c>
    </row>
    <row r="40" spans="1:19" x14ac:dyDescent="0.25">
      <c r="A40" s="5" t="s">
        <v>91</v>
      </c>
      <c r="B40" s="5" t="s">
        <v>19</v>
      </c>
      <c r="C40" s="5" t="s">
        <v>665</v>
      </c>
      <c r="D40" s="5"/>
      <c r="E40" s="5" t="s">
        <v>666</v>
      </c>
      <c r="F40" s="5" t="s">
        <v>667</v>
      </c>
      <c r="G40" s="5">
        <v>9</v>
      </c>
      <c r="H40" s="5">
        <v>35</v>
      </c>
      <c r="I40" s="5">
        <v>35</v>
      </c>
      <c r="J40" s="5">
        <f t="shared" si="0"/>
        <v>0</v>
      </c>
      <c r="K40" s="5" t="s">
        <v>120</v>
      </c>
      <c r="L40" s="5" t="s">
        <v>25</v>
      </c>
      <c r="M40" s="5" t="s">
        <v>1474</v>
      </c>
      <c r="N40" s="5"/>
      <c r="O40" s="5"/>
      <c r="P40" s="5"/>
      <c r="Q40" s="5"/>
      <c r="R40">
        <v>1</v>
      </c>
    </row>
    <row r="41" spans="1:19" x14ac:dyDescent="0.25">
      <c r="A41" s="5"/>
      <c r="B41" s="5" t="s">
        <v>19</v>
      </c>
      <c r="C41" s="5" t="s">
        <v>1034</v>
      </c>
      <c r="D41" s="5" t="s">
        <v>1564</v>
      </c>
      <c r="E41" s="5" t="s">
        <v>1565</v>
      </c>
      <c r="F41" s="5" t="s">
        <v>1037</v>
      </c>
      <c r="G41" s="5">
        <v>9</v>
      </c>
      <c r="H41" s="5">
        <v>750</v>
      </c>
      <c r="I41" s="5">
        <v>30</v>
      </c>
      <c r="J41" s="5">
        <f t="shared" si="0"/>
        <v>720</v>
      </c>
      <c r="K41" s="5" t="s">
        <v>120</v>
      </c>
      <c r="L41" s="5" t="s">
        <v>25</v>
      </c>
      <c r="M41" s="5" t="s">
        <v>1474</v>
      </c>
      <c r="N41" s="5"/>
      <c r="O41" s="5"/>
      <c r="P41" s="5"/>
      <c r="Q41" s="5"/>
      <c r="R41">
        <v>1</v>
      </c>
    </row>
    <row r="43" spans="1:19" x14ac:dyDescent="0.25">
      <c r="H43">
        <f t="shared" ref="H43:S43" si="1">SUBTOTAL(9,H3:H42)</f>
        <v>28245</v>
      </c>
      <c r="I43">
        <f t="shared" si="1"/>
        <v>1070</v>
      </c>
      <c r="J43">
        <f t="shared" si="1"/>
        <v>27175</v>
      </c>
      <c r="K43">
        <f t="shared" si="1"/>
        <v>0</v>
      </c>
      <c r="L43">
        <f t="shared" si="1"/>
        <v>0</v>
      </c>
      <c r="M43">
        <f t="shared" si="1"/>
        <v>0</v>
      </c>
      <c r="N43">
        <f t="shared" si="1"/>
        <v>0</v>
      </c>
      <c r="O43">
        <f t="shared" si="1"/>
        <v>0</v>
      </c>
      <c r="P43">
        <f t="shared" si="1"/>
        <v>0</v>
      </c>
      <c r="Q43">
        <f t="shared" si="1"/>
        <v>0</v>
      </c>
      <c r="R43">
        <f t="shared" si="1"/>
        <v>39</v>
      </c>
      <c r="S43">
        <f t="shared" si="1"/>
        <v>85</v>
      </c>
    </row>
    <row r="47" spans="1:19" ht="20.25" customHeight="1" x14ac:dyDescent="0.3">
      <c r="I47" s="7" t="s">
        <v>1566</v>
      </c>
      <c r="J47" s="8" t="s">
        <v>313</v>
      </c>
      <c r="K47" s="9" t="s">
        <v>314</v>
      </c>
    </row>
    <row r="48" spans="1:19" ht="15.75" customHeight="1" x14ac:dyDescent="0.25">
      <c r="I48" s="10" t="s">
        <v>315</v>
      </c>
      <c r="J48" s="11">
        <f>SUM(J42:J46)</f>
        <v>27175</v>
      </c>
      <c r="K48" s="11">
        <f>R43</f>
        <v>39</v>
      </c>
    </row>
    <row r="49" spans="9:11" x14ac:dyDescent="0.25">
      <c r="I49" s="12" t="s">
        <v>316</v>
      </c>
      <c r="J49" s="13">
        <f>S43</f>
        <v>85</v>
      </c>
      <c r="K49" s="14"/>
    </row>
    <row r="50" spans="9:11" x14ac:dyDescent="0.25">
      <c r="I50" s="12" t="s">
        <v>317</v>
      </c>
      <c r="J50" s="13">
        <f>T42</f>
        <v>0</v>
      </c>
      <c r="K50" s="14"/>
    </row>
    <row r="51" spans="9:11" x14ac:dyDescent="0.25">
      <c r="I51" s="12" t="s">
        <v>318</v>
      </c>
      <c r="J51" s="13">
        <f>U42</f>
        <v>0</v>
      </c>
      <c r="K51" s="14"/>
    </row>
    <row r="52" spans="9:11" x14ac:dyDescent="0.25">
      <c r="I52" s="12" t="s">
        <v>319</v>
      </c>
      <c r="J52" s="13">
        <f>V42</f>
        <v>0</v>
      </c>
      <c r="K52" s="14"/>
    </row>
    <row r="53" spans="9:11" ht="15.75" customHeight="1" x14ac:dyDescent="0.25">
      <c r="I53" s="15" t="s">
        <v>320</v>
      </c>
      <c r="J53" s="16"/>
      <c r="K53" s="16"/>
    </row>
    <row r="54" spans="9:11" ht="15.75" customHeight="1" x14ac:dyDescent="0.25">
      <c r="I54" s="17" t="s">
        <v>321</v>
      </c>
      <c r="J54" s="16"/>
      <c r="K54" s="16"/>
    </row>
    <row r="55" spans="9:11" ht="21" customHeight="1" x14ac:dyDescent="0.35">
      <c r="I55" s="18" t="s">
        <v>322</v>
      </c>
      <c r="J55" s="19">
        <f>SUM(J48:J54)</f>
        <v>27260</v>
      </c>
      <c r="K55" s="19">
        <f>SUM(K48:K52)</f>
        <v>39</v>
      </c>
    </row>
  </sheetData>
  <autoFilter ref="A2:Q41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4FA0-9234-4A34-A692-42F7E963D2C5}">
  <dimension ref="A1:S48"/>
  <sheetViews>
    <sheetView workbookViewId="0">
      <selection activeCell="J41" sqref="J41"/>
    </sheetView>
  </sheetViews>
  <sheetFormatPr defaultRowHeight="15" x14ac:dyDescent="0.25"/>
  <sheetData>
    <row r="1" spans="1:19" x14ac:dyDescent="0.25">
      <c r="B1" t="s">
        <v>892</v>
      </c>
      <c r="C1" t="s">
        <v>1567</v>
      </c>
    </row>
    <row r="2" spans="1:19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s="4" customFormat="1" x14ac:dyDescent="0.25">
      <c r="A3" s="5"/>
      <c r="B3" s="5" t="s">
        <v>19</v>
      </c>
      <c r="C3" s="5" t="s">
        <v>622</v>
      </c>
      <c r="D3" s="5" t="s">
        <v>1568</v>
      </c>
      <c r="E3" s="5">
        <v>190</v>
      </c>
      <c r="F3" s="5" t="s">
        <v>1569</v>
      </c>
      <c r="G3" s="5">
        <v>1</v>
      </c>
      <c r="H3" s="5">
        <v>0</v>
      </c>
      <c r="I3" s="5">
        <v>25</v>
      </c>
      <c r="J3" s="5">
        <f t="shared" ref="J3:J32" si="0">H3-I3</f>
        <v>-25</v>
      </c>
      <c r="K3" s="5" t="s">
        <v>125</v>
      </c>
      <c r="L3" s="5" t="s">
        <v>25</v>
      </c>
      <c r="M3" s="5" t="s">
        <v>1570</v>
      </c>
      <c r="N3" s="5"/>
      <c r="O3" s="5"/>
      <c r="P3" s="5"/>
      <c r="Q3" s="5"/>
      <c r="R3" s="4">
        <v>1</v>
      </c>
      <c r="S3" s="4">
        <v>25</v>
      </c>
    </row>
    <row r="4" spans="1:19" s="4" customFormat="1" x14ac:dyDescent="0.25">
      <c r="A4" s="5"/>
      <c r="B4" s="5" t="s">
        <v>19</v>
      </c>
      <c r="C4" s="5" t="s">
        <v>1571</v>
      </c>
      <c r="D4" s="5" t="s">
        <v>1572</v>
      </c>
      <c r="E4" s="5" t="s">
        <v>1573</v>
      </c>
      <c r="F4" s="5" t="s">
        <v>128</v>
      </c>
      <c r="G4" s="5">
        <v>1</v>
      </c>
      <c r="H4" s="5">
        <v>0</v>
      </c>
      <c r="I4" s="5">
        <v>25</v>
      </c>
      <c r="J4" s="5">
        <f t="shared" si="0"/>
        <v>-25</v>
      </c>
      <c r="K4" s="5" t="s">
        <v>125</v>
      </c>
      <c r="L4" s="5" t="s">
        <v>25</v>
      </c>
      <c r="M4" s="5" t="s">
        <v>1570</v>
      </c>
      <c r="N4" s="5"/>
      <c r="O4" s="5"/>
      <c r="P4" s="5"/>
      <c r="Q4" s="5"/>
      <c r="R4" s="4">
        <v>1</v>
      </c>
      <c r="S4" s="4">
        <v>25</v>
      </c>
    </row>
    <row r="5" spans="1:19" x14ac:dyDescent="0.25">
      <c r="A5" s="5"/>
      <c r="B5" s="5" t="s">
        <v>19</v>
      </c>
      <c r="C5" s="5" t="s">
        <v>1574</v>
      </c>
      <c r="D5" s="5" t="s">
        <v>1575</v>
      </c>
      <c r="E5" s="5" t="s">
        <v>1576</v>
      </c>
      <c r="F5" s="5" t="s">
        <v>497</v>
      </c>
      <c r="G5" s="5">
        <v>1</v>
      </c>
      <c r="H5" s="5">
        <v>395</v>
      </c>
      <c r="I5" s="5">
        <v>25</v>
      </c>
      <c r="J5" s="5">
        <f t="shared" si="0"/>
        <v>370</v>
      </c>
      <c r="K5" s="5" t="s">
        <v>125</v>
      </c>
      <c r="L5" s="5" t="s">
        <v>25</v>
      </c>
      <c r="M5" s="5" t="s">
        <v>1570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1577</v>
      </c>
      <c r="D6" s="5" t="s">
        <v>1578</v>
      </c>
      <c r="E6" s="5">
        <v>80</v>
      </c>
      <c r="F6" s="5" t="s">
        <v>1579</v>
      </c>
      <c r="G6" s="5">
        <v>3</v>
      </c>
      <c r="H6" s="5">
        <v>0</v>
      </c>
      <c r="I6" s="5">
        <v>25</v>
      </c>
      <c r="J6" s="5">
        <f t="shared" si="0"/>
        <v>-25</v>
      </c>
      <c r="K6" s="5" t="s">
        <v>125</v>
      </c>
      <c r="L6" s="5" t="s">
        <v>25</v>
      </c>
      <c r="M6" s="5" t="s">
        <v>1570</v>
      </c>
      <c r="N6" s="5"/>
      <c r="O6" s="5"/>
      <c r="P6" s="5"/>
      <c r="Q6" s="5"/>
      <c r="R6">
        <v>1</v>
      </c>
      <c r="S6">
        <v>25</v>
      </c>
    </row>
    <row r="7" spans="1:19" x14ac:dyDescent="0.25">
      <c r="A7" s="5"/>
      <c r="B7" s="5" t="s">
        <v>19</v>
      </c>
      <c r="C7" s="5" t="s">
        <v>1580</v>
      </c>
      <c r="D7" s="5" t="s">
        <v>1581</v>
      </c>
      <c r="E7" s="5" t="s">
        <v>921</v>
      </c>
      <c r="F7" s="5" t="s">
        <v>922</v>
      </c>
      <c r="G7" s="5">
        <v>3</v>
      </c>
      <c r="H7" s="5">
        <v>405</v>
      </c>
      <c r="I7" s="5">
        <v>25</v>
      </c>
      <c r="J7" s="5">
        <f t="shared" si="0"/>
        <v>380</v>
      </c>
      <c r="K7" s="5" t="s">
        <v>125</v>
      </c>
      <c r="L7" s="5" t="s">
        <v>25</v>
      </c>
      <c r="M7" s="5" t="s">
        <v>1570</v>
      </c>
      <c r="N7" s="5"/>
      <c r="O7" s="5"/>
      <c r="P7" s="5"/>
      <c r="Q7" s="5"/>
      <c r="R7">
        <v>1</v>
      </c>
    </row>
    <row r="8" spans="1:19" x14ac:dyDescent="0.25">
      <c r="A8" s="5"/>
      <c r="B8" s="5" t="s">
        <v>19</v>
      </c>
      <c r="C8" s="5" t="s">
        <v>1582</v>
      </c>
      <c r="D8" s="5" t="s">
        <v>1583</v>
      </c>
      <c r="E8" s="5">
        <v>109</v>
      </c>
      <c r="F8" s="5" t="s">
        <v>131</v>
      </c>
      <c r="G8" s="5">
        <v>4</v>
      </c>
      <c r="H8" s="5">
        <v>0</v>
      </c>
      <c r="I8" s="5">
        <v>25</v>
      </c>
      <c r="J8" s="5">
        <f t="shared" si="0"/>
        <v>-25</v>
      </c>
      <c r="K8" s="5" t="s">
        <v>125</v>
      </c>
      <c r="L8" s="5" t="s">
        <v>25</v>
      </c>
      <c r="M8" s="5" t="s">
        <v>1570</v>
      </c>
      <c r="N8" s="6" t="s">
        <v>1584</v>
      </c>
      <c r="O8" s="5"/>
      <c r="P8" s="5"/>
      <c r="Q8" s="5"/>
      <c r="R8">
        <v>1</v>
      </c>
      <c r="S8">
        <v>25</v>
      </c>
    </row>
    <row r="9" spans="1:19" x14ac:dyDescent="0.25">
      <c r="A9" s="5" t="s">
        <v>91</v>
      </c>
      <c r="B9" s="5" t="s">
        <v>19</v>
      </c>
      <c r="C9" s="5" t="s">
        <v>514</v>
      </c>
      <c r="D9" s="5"/>
      <c r="E9" s="5">
        <v>12</v>
      </c>
      <c r="F9" s="5" t="s">
        <v>515</v>
      </c>
      <c r="G9" s="5">
        <v>4</v>
      </c>
      <c r="H9" s="5">
        <v>30</v>
      </c>
      <c r="I9" s="5">
        <v>30</v>
      </c>
      <c r="J9" s="5">
        <f t="shared" si="0"/>
        <v>0</v>
      </c>
      <c r="K9" s="5" t="s">
        <v>125</v>
      </c>
      <c r="L9" s="5" t="s">
        <v>25</v>
      </c>
      <c r="M9" s="5" t="s">
        <v>1570</v>
      </c>
      <c r="N9" s="5"/>
      <c r="O9" s="5"/>
      <c r="P9" s="5"/>
      <c r="Q9" s="5"/>
      <c r="R9">
        <v>1</v>
      </c>
    </row>
    <row r="10" spans="1:19" x14ac:dyDescent="0.25">
      <c r="A10" s="5" t="s">
        <v>91</v>
      </c>
      <c r="B10" s="5" t="s">
        <v>19</v>
      </c>
      <c r="C10" s="5" t="s">
        <v>1585</v>
      </c>
      <c r="D10" s="5"/>
      <c r="E10" s="5" t="s">
        <v>758</v>
      </c>
      <c r="F10" s="5" t="s">
        <v>759</v>
      </c>
      <c r="G10" s="5">
        <v>5</v>
      </c>
      <c r="H10" s="5">
        <v>0</v>
      </c>
      <c r="I10" s="5">
        <v>30</v>
      </c>
      <c r="J10" s="5">
        <f t="shared" si="0"/>
        <v>-30</v>
      </c>
      <c r="K10" s="5" t="s">
        <v>125</v>
      </c>
      <c r="L10" s="5" t="s">
        <v>25</v>
      </c>
      <c r="M10" s="5" t="s">
        <v>1570</v>
      </c>
      <c r="N10" s="5"/>
      <c r="O10" s="5"/>
      <c r="P10" s="5"/>
      <c r="Q10" s="5"/>
      <c r="R10">
        <v>1</v>
      </c>
      <c r="S10">
        <v>30</v>
      </c>
    </row>
    <row r="11" spans="1:19" x14ac:dyDescent="0.25">
      <c r="A11" s="20"/>
      <c r="B11" s="20" t="s">
        <v>19</v>
      </c>
      <c r="C11" s="20" t="s">
        <v>1586</v>
      </c>
      <c r="D11" s="20" t="s">
        <v>1587</v>
      </c>
      <c r="E11" s="20" t="s">
        <v>1588</v>
      </c>
      <c r="F11" s="20" t="s">
        <v>142</v>
      </c>
      <c r="G11" s="20">
        <v>10</v>
      </c>
      <c r="H11" s="20">
        <v>2250</v>
      </c>
      <c r="I11" s="20">
        <v>30</v>
      </c>
      <c r="J11" s="20">
        <f t="shared" si="0"/>
        <v>2220</v>
      </c>
      <c r="K11" s="20" t="s">
        <v>125</v>
      </c>
      <c r="L11" s="20" t="s">
        <v>25</v>
      </c>
      <c r="M11" s="20" t="s">
        <v>1570</v>
      </c>
      <c r="N11" s="20" t="s">
        <v>498</v>
      </c>
      <c r="O11" s="20"/>
      <c r="P11" s="20"/>
      <c r="Q11" s="20"/>
      <c r="R11">
        <v>1</v>
      </c>
      <c r="S11">
        <v>30</v>
      </c>
    </row>
    <row r="12" spans="1:19" x14ac:dyDescent="0.25">
      <c r="A12" s="5"/>
      <c r="B12" s="5" t="s">
        <v>19</v>
      </c>
      <c r="C12" s="5" t="s">
        <v>1589</v>
      </c>
      <c r="D12" s="5" t="s">
        <v>1590</v>
      </c>
      <c r="E12" s="5">
        <v>246</v>
      </c>
      <c r="F12" s="5" t="s">
        <v>1591</v>
      </c>
      <c r="G12" s="5">
        <v>10</v>
      </c>
      <c r="H12" s="5">
        <v>25</v>
      </c>
      <c r="I12" s="5">
        <v>25</v>
      </c>
      <c r="J12" s="5">
        <f t="shared" si="0"/>
        <v>0</v>
      </c>
      <c r="K12" s="5" t="s">
        <v>125</v>
      </c>
      <c r="L12" s="5" t="s">
        <v>25</v>
      </c>
      <c r="M12" s="5" t="s">
        <v>1570</v>
      </c>
      <c r="N12" s="5"/>
      <c r="O12" s="5"/>
      <c r="P12" s="5"/>
      <c r="Q12" s="5"/>
      <c r="R12">
        <v>1</v>
      </c>
    </row>
    <row r="13" spans="1:19" x14ac:dyDescent="0.25">
      <c r="A13" s="5"/>
      <c r="B13" s="5" t="s">
        <v>19</v>
      </c>
      <c r="C13" s="5" t="s">
        <v>842</v>
      </c>
      <c r="D13" s="5" t="s">
        <v>1592</v>
      </c>
      <c r="E13" s="5">
        <v>312</v>
      </c>
      <c r="F13" s="5" t="s">
        <v>1593</v>
      </c>
      <c r="G13" s="5" t="s">
        <v>151</v>
      </c>
      <c r="H13" s="5">
        <v>520</v>
      </c>
      <c r="I13" s="5">
        <v>20</v>
      </c>
      <c r="J13" s="5">
        <f t="shared" si="0"/>
        <v>500</v>
      </c>
      <c r="K13" s="5" t="s">
        <v>125</v>
      </c>
      <c r="L13" s="5" t="s">
        <v>25</v>
      </c>
      <c r="M13" s="5" t="s">
        <v>1570</v>
      </c>
      <c r="N13" s="5"/>
      <c r="O13" s="5"/>
      <c r="P13" s="5"/>
      <c r="Q13" s="5"/>
      <c r="R13">
        <v>1</v>
      </c>
    </row>
    <row r="14" spans="1:19" x14ac:dyDescent="0.25">
      <c r="A14" s="5"/>
      <c r="B14" s="5" t="s">
        <v>19</v>
      </c>
      <c r="C14" s="5" t="s">
        <v>1594</v>
      </c>
      <c r="D14" s="5" t="s">
        <v>1595</v>
      </c>
      <c r="E14" s="5" t="s">
        <v>1596</v>
      </c>
      <c r="F14" s="5" t="s">
        <v>1322</v>
      </c>
      <c r="G14" s="5" t="s">
        <v>151</v>
      </c>
      <c r="H14" s="5">
        <v>730</v>
      </c>
      <c r="I14" s="5">
        <v>20</v>
      </c>
      <c r="J14" s="5">
        <f t="shared" si="0"/>
        <v>710</v>
      </c>
      <c r="K14" s="5" t="s">
        <v>125</v>
      </c>
      <c r="L14" s="5" t="s">
        <v>25</v>
      </c>
      <c r="M14" s="5" t="s">
        <v>1570</v>
      </c>
      <c r="N14" s="5"/>
      <c r="O14" s="5"/>
      <c r="P14" s="5"/>
      <c r="Q14" s="5"/>
      <c r="R14">
        <v>1</v>
      </c>
    </row>
    <row r="15" spans="1:19" x14ac:dyDescent="0.25">
      <c r="A15" s="5"/>
      <c r="B15" s="5" t="s">
        <v>19</v>
      </c>
      <c r="C15" s="5" t="s">
        <v>945</v>
      </c>
      <c r="D15" s="5" t="s">
        <v>1597</v>
      </c>
      <c r="E15" s="5" t="s">
        <v>947</v>
      </c>
      <c r="F15" s="5" t="s">
        <v>404</v>
      </c>
      <c r="G15" s="5" t="s">
        <v>98</v>
      </c>
      <c r="H15" s="5">
        <v>0</v>
      </c>
      <c r="I15" s="5">
        <v>30</v>
      </c>
      <c r="J15" s="5">
        <f t="shared" si="0"/>
        <v>-30</v>
      </c>
      <c r="K15" s="5" t="s">
        <v>125</v>
      </c>
      <c r="L15" s="5" t="s">
        <v>25</v>
      </c>
      <c r="M15" s="5" t="s">
        <v>1570</v>
      </c>
      <c r="N15" s="5"/>
      <c r="O15" s="5"/>
      <c r="P15" s="5"/>
      <c r="Q15" s="5"/>
      <c r="R15">
        <v>1</v>
      </c>
      <c r="S15">
        <v>30</v>
      </c>
    </row>
    <row r="16" spans="1:19" x14ac:dyDescent="0.25">
      <c r="A16" s="5"/>
      <c r="B16" s="5" t="s">
        <v>19</v>
      </c>
      <c r="C16" s="5" t="s">
        <v>1598</v>
      </c>
      <c r="D16" s="5" t="s">
        <v>1599</v>
      </c>
      <c r="E16" s="5" t="s">
        <v>1600</v>
      </c>
      <c r="F16" s="5" t="s">
        <v>1601</v>
      </c>
      <c r="G16" s="5" t="s">
        <v>98</v>
      </c>
      <c r="H16" s="5">
        <v>25</v>
      </c>
      <c r="I16" s="5">
        <v>25</v>
      </c>
      <c r="J16" s="5">
        <f t="shared" si="0"/>
        <v>0</v>
      </c>
      <c r="K16" s="5" t="s">
        <v>125</v>
      </c>
      <c r="L16" s="5" t="s">
        <v>25</v>
      </c>
      <c r="M16" s="5" t="s">
        <v>1570</v>
      </c>
      <c r="N16" s="5"/>
      <c r="O16" s="5"/>
      <c r="P16" s="5"/>
      <c r="Q16" s="5"/>
      <c r="R16">
        <v>1</v>
      </c>
    </row>
    <row r="17" spans="1:19" x14ac:dyDescent="0.25">
      <c r="A17" s="5"/>
      <c r="B17" s="5" t="s">
        <v>19</v>
      </c>
      <c r="C17" s="5" t="s">
        <v>1602</v>
      </c>
      <c r="D17" s="5" t="s">
        <v>1603</v>
      </c>
      <c r="E17" s="5">
        <v>66</v>
      </c>
      <c r="F17" s="5" t="s">
        <v>565</v>
      </c>
      <c r="G17" s="5">
        <v>6</v>
      </c>
      <c r="H17" s="5">
        <v>0</v>
      </c>
      <c r="I17" s="5">
        <v>25</v>
      </c>
      <c r="J17" s="5">
        <f t="shared" si="0"/>
        <v>-25</v>
      </c>
      <c r="K17" s="5" t="s">
        <v>1604</v>
      </c>
      <c r="L17" s="5" t="s">
        <v>25</v>
      </c>
      <c r="M17" s="5" t="s">
        <v>1570</v>
      </c>
      <c r="N17" s="5"/>
      <c r="O17" s="5"/>
      <c r="P17" s="5"/>
      <c r="Q17" s="5"/>
      <c r="R17">
        <v>1</v>
      </c>
      <c r="S17">
        <v>25</v>
      </c>
    </row>
    <row r="18" spans="1:19" x14ac:dyDescent="0.25">
      <c r="A18" s="5"/>
      <c r="B18" s="5" t="s">
        <v>19</v>
      </c>
      <c r="C18" s="5" t="s">
        <v>1605</v>
      </c>
      <c r="D18" s="5" t="s">
        <v>1606</v>
      </c>
      <c r="E18" s="5">
        <v>13</v>
      </c>
      <c r="F18" s="5" t="s">
        <v>1607</v>
      </c>
      <c r="G18" s="5">
        <v>6</v>
      </c>
      <c r="H18" s="5">
        <v>735</v>
      </c>
      <c r="I18" s="5">
        <v>25</v>
      </c>
      <c r="J18" s="5">
        <f t="shared" si="0"/>
        <v>710</v>
      </c>
      <c r="K18" s="5" t="s">
        <v>1604</v>
      </c>
      <c r="L18" s="5" t="s">
        <v>25</v>
      </c>
      <c r="M18" s="5" t="s">
        <v>1570</v>
      </c>
      <c r="N18" s="5"/>
      <c r="O18" s="5"/>
      <c r="P18" s="5"/>
      <c r="Q18" s="5"/>
      <c r="R18">
        <v>1</v>
      </c>
    </row>
    <row r="19" spans="1:19" x14ac:dyDescent="0.25">
      <c r="A19" s="5" t="s">
        <v>91</v>
      </c>
      <c r="B19" s="5" t="s">
        <v>19</v>
      </c>
      <c r="C19" s="5" t="s">
        <v>191</v>
      </c>
      <c r="D19" s="5"/>
      <c r="E19" s="5" t="s">
        <v>192</v>
      </c>
      <c r="F19" s="5" t="s">
        <v>193</v>
      </c>
      <c r="G19" s="5">
        <v>6</v>
      </c>
      <c r="H19" s="5">
        <v>770</v>
      </c>
      <c r="I19" s="5">
        <v>30</v>
      </c>
      <c r="J19" s="5">
        <f t="shared" si="0"/>
        <v>740</v>
      </c>
      <c r="K19" s="5" t="s">
        <v>1604</v>
      </c>
      <c r="L19" s="5" t="s">
        <v>25</v>
      </c>
      <c r="M19" s="5" t="s">
        <v>1570</v>
      </c>
      <c r="N19" s="5"/>
      <c r="O19" s="5"/>
      <c r="P19" s="5"/>
      <c r="Q19" s="5"/>
      <c r="R19">
        <v>1</v>
      </c>
    </row>
    <row r="20" spans="1:19" x14ac:dyDescent="0.25">
      <c r="A20" s="5"/>
      <c r="B20" s="5" t="s">
        <v>19</v>
      </c>
      <c r="C20" s="5" t="s">
        <v>1608</v>
      </c>
      <c r="D20" s="5" t="s">
        <v>1609</v>
      </c>
      <c r="E20" s="5" t="s">
        <v>1610</v>
      </c>
      <c r="F20" s="5" t="s">
        <v>1445</v>
      </c>
      <c r="G20" s="5">
        <v>8</v>
      </c>
      <c r="H20" s="5">
        <v>815</v>
      </c>
      <c r="I20" s="5">
        <v>25</v>
      </c>
      <c r="J20" s="5">
        <f t="shared" si="0"/>
        <v>790</v>
      </c>
      <c r="K20" s="5" t="s">
        <v>1604</v>
      </c>
      <c r="L20" s="5" t="s">
        <v>25</v>
      </c>
      <c r="M20" s="5" t="s">
        <v>1570</v>
      </c>
      <c r="N20" s="5"/>
      <c r="O20" s="5"/>
      <c r="P20" s="5"/>
      <c r="Q20" s="5"/>
      <c r="R20">
        <v>1</v>
      </c>
    </row>
    <row r="21" spans="1:19" x14ac:dyDescent="0.25">
      <c r="A21" s="5"/>
      <c r="B21" s="5" t="s">
        <v>19</v>
      </c>
      <c r="C21" s="5" t="s">
        <v>1611</v>
      </c>
      <c r="D21" s="5" t="s">
        <v>1612</v>
      </c>
      <c r="E21" s="5">
        <v>49</v>
      </c>
      <c r="F21" s="5" t="s">
        <v>1613</v>
      </c>
      <c r="G21" s="5">
        <v>8</v>
      </c>
      <c r="H21" s="5">
        <v>410</v>
      </c>
      <c r="I21" s="5">
        <v>30</v>
      </c>
      <c r="J21" s="5">
        <f t="shared" si="0"/>
        <v>380</v>
      </c>
      <c r="K21" s="5" t="s">
        <v>1604</v>
      </c>
      <c r="L21" s="5" t="s">
        <v>25</v>
      </c>
      <c r="M21" s="5" t="s">
        <v>1570</v>
      </c>
      <c r="N21" s="5"/>
      <c r="O21" s="5"/>
      <c r="P21" s="5"/>
      <c r="Q21" s="5"/>
      <c r="R21">
        <v>1</v>
      </c>
    </row>
    <row r="22" spans="1:19" x14ac:dyDescent="0.25">
      <c r="A22" s="5"/>
      <c r="B22" s="5" t="s">
        <v>19</v>
      </c>
      <c r="C22" s="5" t="s">
        <v>213</v>
      </c>
      <c r="D22" s="5" t="s">
        <v>1614</v>
      </c>
      <c r="E22" s="5">
        <v>30</v>
      </c>
      <c r="F22" s="5" t="s">
        <v>215</v>
      </c>
      <c r="G22" s="5">
        <v>8</v>
      </c>
      <c r="H22" s="5">
        <v>835</v>
      </c>
      <c r="I22" s="5">
        <v>25</v>
      </c>
      <c r="J22" s="5">
        <f t="shared" si="0"/>
        <v>810</v>
      </c>
      <c r="K22" s="5" t="s">
        <v>1604</v>
      </c>
      <c r="L22" s="5" t="s">
        <v>25</v>
      </c>
      <c r="M22" s="5" t="s">
        <v>1570</v>
      </c>
      <c r="N22" s="5"/>
      <c r="O22" s="5"/>
      <c r="P22" s="5"/>
      <c r="Q22" s="5"/>
      <c r="R22">
        <v>1</v>
      </c>
    </row>
    <row r="23" spans="1:19" x14ac:dyDescent="0.25">
      <c r="A23" s="5"/>
      <c r="B23" s="5" t="s">
        <v>19</v>
      </c>
      <c r="C23" s="5" t="s">
        <v>1615</v>
      </c>
      <c r="D23" s="5" t="s">
        <v>1616</v>
      </c>
      <c r="E23" s="5" t="s">
        <v>1617</v>
      </c>
      <c r="F23" s="5" t="s">
        <v>667</v>
      </c>
      <c r="G23" s="5" t="s">
        <v>240</v>
      </c>
      <c r="H23" s="5">
        <v>1640</v>
      </c>
      <c r="I23" s="5">
        <v>30</v>
      </c>
      <c r="J23" s="5">
        <f t="shared" si="0"/>
        <v>1610</v>
      </c>
      <c r="K23" s="5" t="s">
        <v>1604</v>
      </c>
      <c r="L23" s="5" t="s">
        <v>25</v>
      </c>
      <c r="M23" s="5" t="s">
        <v>1570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1618</v>
      </c>
      <c r="D24" s="5" t="s">
        <v>1619</v>
      </c>
      <c r="E24" s="5" t="s">
        <v>1620</v>
      </c>
      <c r="F24" s="5" t="s">
        <v>1621</v>
      </c>
      <c r="G24" s="5" t="s">
        <v>240</v>
      </c>
      <c r="H24" s="5">
        <v>820</v>
      </c>
      <c r="I24" s="5">
        <v>30</v>
      </c>
      <c r="J24" s="5">
        <f t="shared" si="0"/>
        <v>790</v>
      </c>
      <c r="K24" s="5" t="s">
        <v>1604</v>
      </c>
      <c r="L24" s="5" t="s">
        <v>25</v>
      </c>
      <c r="M24" s="5" t="s">
        <v>1570</v>
      </c>
      <c r="N24" s="5"/>
      <c r="O24" s="5"/>
      <c r="P24" s="5"/>
      <c r="Q24" s="5"/>
      <c r="R24">
        <v>1</v>
      </c>
    </row>
    <row r="25" spans="1:19" x14ac:dyDescent="0.25">
      <c r="A25" s="5"/>
      <c r="B25" s="5" t="s">
        <v>19</v>
      </c>
      <c r="C25" s="5" t="s">
        <v>1622</v>
      </c>
      <c r="D25" s="5" t="s">
        <v>1623</v>
      </c>
      <c r="E25" s="5" t="s">
        <v>1624</v>
      </c>
      <c r="F25" s="5" t="s">
        <v>1625</v>
      </c>
      <c r="G25" s="5" t="s">
        <v>281</v>
      </c>
      <c r="H25" s="5">
        <v>825</v>
      </c>
      <c r="I25" s="5">
        <v>35</v>
      </c>
      <c r="J25" s="5">
        <f t="shared" si="0"/>
        <v>790</v>
      </c>
      <c r="K25" s="5" t="s">
        <v>1604</v>
      </c>
      <c r="L25" s="5" t="s">
        <v>25</v>
      </c>
      <c r="M25" s="5" t="s">
        <v>1570</v>
      </c>
      <c r="N25" s="5"/>
      <c r="O25" s="5"/>
      <c r="P25" s="5"/>
      <c r="Q25" s="5"/>
      <c r="R25">
        <v>1</v>
      </c>
    </row>
    <row r="26" spans="1:19" x14ac:dyDescent="0.25">
      <c r="A26" s="5"/>
      <c r="B26" s="5" t="s">
        <v>19</v>
      </c>
      <c r="C26" s="5" t="s">
        <v>1626</v>
      </c>
      <c r="D26" s="5" t="s">
        <v>1627</v>
      </c>
      <c r="E26" s="5">
        <v>56</v>
      </c>
      <c r="F26" s="5" t="s">
        <v>1628</v>
      </c>
      <c r="G26" s="5">
        <v>2</v>
      </c>
      <c r="H26" s="5">
        <v>1350</v>
      </c>
      <c r="I26" s="5">
        <v>30</v>
      </c>
      <c r="J26" s="5">
        <f t="shared" si="0"/>
        <v>1320</v>
      </c>
      <c r="K26" s="5" t="s">
        <v>25</v>
      </c>
      <c r="L26" s="5" t="s">
        <v>25</v>
      </c>
      <c r="M26" s="5" t="s">
        <v>1570</v>
      </c>
      <c r="N26" s="5"/>
      <c r="O26" s="5"/>
      <c r="P26" s="5"/>
      <c r="Q26" s="5"/>
      <c r="R26">
        <v>1</v>
      </c>
    </row>
    <row r="27" spans="1:19" x14ac:dyDescent="0.25">
      <c r="A27" s="5"/>
      <c r="B27" s="5" t="s">
        <v>19</v>
      </c>
      <c r="C27" s="5" t="s">
        <v>846</v>
      </c>
      <c r="D27" s="5" t="s">
        <v>1629</v>
      </c>
      <c r="E27" s="5" t="s">
        <v>848</v>
      </c>
      <c r="F27" s="5" t="s">
        <v>849</v>
      </c>
      <c r="G27" s="5">
        <v>2</v>
      </c>
      <c r="H27" s="5">
        <v>410</v>
      </c>
      <c r="I27" s="5">
        <v>30</v>
      </c>
      <c r="J27" s="5">
        <f t="shared" si="0"/>
        <v>380</v>
      </c>
      <c r="K27" s="5" t="s">
        <v>25</v>
      </c>
      <c r="L27" s="5" t="s">
        <v>25</v>
      </c>
      <c r="M27" s="5" t="s">
        <v>1570</v>
      </c>
      <c r="N27" s="5"/>
      <c r="O27" s="5"/>
      <c r="P27" s="5"/>
      <c r="Q27" s="5"/>
      <c r="R27">
        <v>1</v>
      </c>
    </row>
    <row r="28" spans="1:19" x14ac:dyDescent="0.25">
      <c r="A28" s="5"/>
      <c r="B28" s="5" t="s">
        <v>19</v>
      </c>
      <c r="C28" s="5" t="s">
        <v>1630</v>
      </c>
      <c r="D28" s="5" t="s">
        <v>1631</v>
      </c>
      <c r="E28" s="5" t="s">
        <v>1632</v>
      </c>
      <c r="F28" s="5" t="s">
        <v>860</v>
      </c>
      <c r="G28" s="5" t="s">
        <v>70</v>
      </c>
      <c r="H28" s="5">
        <v>1575</v>
      </c>
      <c r="I28" s="5">
        <v>25</v>
      </c>
      <c r="J28" s="5">
        <f t="shared" si="0"/>
        <v>1550</v>
      </c>
      <c r="K28" s="5" t="s">
        <v>25</v>
      </c>
      <c r="L28" s="5" t="s">
        <v>25</v>
      </c>
      <c r="M28" s="5" t="s">
        <v>1570</v>
      </c>
      <c r="N28" s="5"/>
      <c r="O28" s="5"/>
      <c r="P28" s="5"/>
      <c r="Q28" s="5"/>
      <c r="R28">
        <v>1</v>
      </c>
    </row>
    <row r="29" spans="1:19" x14ac:dyDescent="0.25">
      <c r="A29" s="5" t="s">
        <v>91</v>
      </c>
      <c r="B29" s="5" t="s">
        <v>19</v>
      </c>
      <c r="C29" s="5" t="s">
        <v>482</v>
      </c>
      <c r="D29" s="5"/>
      <c r="E29" s="5">
        <v>685</v>
      </c>
      <c r="F29" s="5" t="s">
        <v>93</v>
      </c>
      <c r="G29" s="5" t="s">
        <v>70</v>
      </c>
      <c r="H29" s="5">
        <v>650</v>
      </c>
      <c r="I29" s="5">
        <v>30</v>
      </c>
      <c r="J29" s="5">
        <f t="shared" si="0"/>
        <v>620</v>
      </c>
      <c r="K29" s="5" t="s">
        <v>25</v>
      </c>
      <c r="L29" s="5" t="s">
        <v>25</v>
      </c>
      <c r="M29" s="5" t="s">
        <v>1570</v>
      </c>
      <c r="N29" s="5"/>
      <c r="O29" s="5"/>
      <c r="P29" s="5"/>
      <c r="Q29" s="5"/>
      <c r="R29">
        <v>1</v>
      </c>
    </row>
    <row r="30" spans="1:19" x14ac:dyDescent="0.25">
      <c r="A30" s="5"/>
      <c r="B30" s="5" t="s">
        <v>19</v>
      </c>
      <c r="C30" s="5" t="s">
        <v>1099</v>
      </c>
      <c r="D30" s="5" t="s">
        <v>1633</v>
      </c>
      <c r="E30" s="5" t="s">
        <v>1413</v>
      </c>
      <c r="F30" s="5" t="s">
        <v>1414</v>
      </c>
      <c r="G30" s="5" t="s">
        <v>103</v>
      </c>
      <c r="H30" s="5">
        <v>770</v>
      </c>
      <c r="I30" s="5">
        <v>30</v>
      </c>
      <c r="J30" s="5">
        <f t="shared" si="0"/>
        <v>740</v>
      </c>
      <c r="K30" s="5" t="s">
        <v>25</v>
      </c>
      <c r="L30" s="5" t="s">
        <v>25</v>
      </c>
      <c r="M30" s="5" t="s">
        <v>1570</v>
      </c>
      <c r="N30" s="5"/>
      <c r="O30" s="5"/>
      <c r="P30" s="5"/>
      <c r="Q30" s="5"/>
      <c r="R30">
        <v>1</v>
      </c>
    </row>
    <row r="31" spans="1:19" x14ac:dyDescent="0.25">
      <c r="A31" s="5"/>
      <c r="B31" s="5" t="s">
        <v>19</v>
      </c>
      <c r="C31" s="5" t="s">
        <v>1634</v>
      </c>
      <c r="D31" s="5" t="s">
        <v>1635</v>
      </c>
      <c r="E31" s="5" t="s">
        <v>1636</v>
      </c>
      <c r="F31" s="5" t="s">
        <v>1637</v>
      </c>
      <c r="G31" s="5" t="s">
        <v>103</v>
      </c>
      <c r="H31" s="5">
        <v>390</v>
      </c>
      <c r="I31" s="5">
        <v>30</v>
      </c>
      <c r="J31" s="5">
        <f t="shared" si="0"/>
        <v>360</v>
      </c>
      <c r="K31" s="5" t="s">
        <v>25</v>
      </c>
      <c r="L31" s="5" t="s">
        <v>25</v>
      </c>
      <c r="M31" s="5" t="s">
        <v>1570</v>
      </c>
      <c r="N31" s="5"/>
      <c r="O31" s="5"/>
      <c r="P31" s="5"/>
      <c r="Q31" s="5"/>
      <c r="R31">
        <v>1</v>
      </c>
    </row>
    <row r="32" spans="1:19" x14ac:dyDescent="0.25">
      <c r="A32" s="5"/>
      <c r="B32" s="5" t="s">
        <v>19</v>
      </c>
      <c r="C32" s="5" t="s">
        <v>1638</v>
      </c>
      <c r="D32" s="5" t="s">
        <v>1639</v>
      </c>
      <c r="E32" s="5" t="s">
        <v>1640</v>
      </c>
      <c r="F32" s="5" t="s">
        <v>69</v>
      </c>
      <c r="G32" s="5" t="s">
        <v>103</v>
      </c>
      <c r="H32" s="5">
        <v>820</v>
      </c>
      <c r="I32" s="5">
        <v>30</v>
      </c>
      <c r="J32" s="5">
        <f t="shared" si="0"/>
        <v>790</v>
      </c>
      <c r="K32" s="5" t="s">
        <v>25</v>
      </c>
      <c r="L32" s="5" t="s">
        <v>25</v>
      </c>
      <c r="M32" s="5" t="s">
        <v>1570</v>
      </c>
      <c r="N32" s="5"/>
      <c r="O32" s="5"/>
      <c r="P32" s="5"/>
      <c r="Q32" s="5"/>
      <c r="R32">
        <v>1</v>
      </c>
    </row>
    <row r="34" spans="1:19" x14ac:dyDescent="0.25">
      <c r="H34">
        <f t="shared" ref="H34:S34" si="1">SUBTOTAL(9,H3:H33)</f>
        <v>17195</v>
      </c>
      <c r="I34">
        <f t="shared" si="1"/>
        <v>820</v>
      </c>
      <c r="J34">
        <f t="shared" si="1"/>
        <v>16375</v>
      </c>
      <c r="K34">
        <f t="shared" si="1"/>
        <v>0</v>
      </c>
      <c r="L34">
        <f t="shared" si="1"/>
        <v>0</v>
      </c>
      <c r="M34">
        <f t="shared" si="1"/>
        <v>0</v>
      </c>
      <c r="N34">
        <f t="shared" si="1"/>
        <v>0</v>
      </c>
      <c r="O34">
        <f t="shared" si="1"/>
        <v>0</v>
      </c>
      <c r="P34">
        <f t="shared" si="1"/>
        <v>0</v>
      </c>
      <c r="Q34">
        <f t="shared" si="1"/>
        <v>0</v>
      </c>
      <c r="R34">
        <f t="shared" si="1"/>
        <v>30</v>
      </c>
      <c r="S34">
        <f t="shared" si="1"/>
        <v>215</v>
      </c>
    </row>
    <row r="35" spans="1:19" x14ac:dyDescent="0.25">
      <c r="J35">
        <v>-390</v>
      </c>
      <c r="K35" t="s">
        <v>1641</v>
      </c>
    </row>
    <row r="38" spans="1:19" ht="20.25" customHeight="1" x14ac:dyDescent="0.3">
      <c r="I38" s="7" t="s">
        <v>1642</v>
      </c>
      <c r="J38" s="8" t="s">
        <v>313</v>
      </c>
      <c r="K38" s="9" t="s">
        <v>314</v>
      </c>
    </row>
    <row r="39" spans="1:19" ht="15.75" customHeight="1" x14ac:dyDescent="0.25">
      <c r="I39" s="10" t="s">
        <v>315</v>
      </c>
      <c r="J39" s="11">
        <f>SUM(J33:J37)</f>
        <v>15985</v>
      </c>
      <c r="K39" s="11">
        <f>R34</f>
        <v>30</v>
      </c>
    </row>
    <row r="40" spans="1:19" x14ac:dyDescent="0.25">
      <c r="I40" s="12" t="s">
        <v>316</v>
      </c>
      <c r="J40" s="13">
        <f>S34</f>
        <v>215</v>
      </c>
      <c r="K40" s="14"/>
    </row>
    <row r="41" spans="1:19" x14ac:dyDescent="0.25">
      <c r="I41" s="12" t="s">
        <v>317</v>
      </c>
      <c r="J41" s="13">
        <f>T33</f>
        <v>0</v>
      </c>
      <c r="K41" s="14"/>
    </row>
    <row r="42" spans="1:19" x14ac:dyDescent="0.25">
      <c r="I42" s="12" t="s">
        <v>318</v>
      </c>
      <c r="J42" s="13">
        <f>U33</f>
        <v>0</v>
      </c>
      <c r="K42" s="14"/>
    </row>
    <row r="43" spans="1:19" x14ac:dyDescent="0.25">
      <c r="I43" s="12" t="s">
        <v>319</v>
      </c>
      <c r="J43" s="13">
        <f>V33</f>
        <v>0</v>
      </c>
      <c r="K43" s="14"/>
    </row>
    <row r="44" spans="1:19" ht="15.75" customHeight="1" x14ac:dyDescent="0.25">
      <c r="I44" s="15" t="s">
        <v>320</v>
      </c>
      <c r="J44" s="16"/>
      <c r="K44" s="16"/>
    </row>
    <row r="45" spans="1:19" ht="15.75" customHeight="1" x14ac:dyDescent="0.25">
      <c r="I45" s="17" t="s">
        <v>321</v>
      </c>
      <c r="J45" s="16"/>
      <c r="K45" s="16"/>
    </row>
    <row r="46" spans="1:19" ht="21" customHeight="1" x14ac:dyDescent="0.35">
      <c r="I46" s="18" t="s">
        <v>322</v>
      </c>
      <c r="J46" s="19">
        <f>SUM(J39:J45)</f>
        <v>16200</v>
      </c>
      <c r="K46" s="19">
        <f>SUM(K39:K43)</f>
        <v>30</v>
      </c>
    </row>
    <row r="47" spans="1:19" x14ac:dyDescent="0.25">
      <c r="A47" t="s">
        <v>488</v>
      </c>
    </row>
    <row r="48" spans="1:19" s="4" customFormat="1" x14ac:dyDescent="0.25">
      <c r="A48" s="2" t="s">
        <v>19</v>
      </c>
      <c r="B48" s="2" t="s">
        <v>1582</v>
      </c>
      <c r="C48" s="2" t="s">
        <v>1583</v>
      </c>
      <c r="D48" s="2">
        <v>109</v>
      </c>
      <c r="E48" s="2" t="s">
        <v>131</v>
      </c>
      <c r="F48" s="2">
        <v>4</v>
      </c>
      <c r="G48" s="2">
        <v>0</v>
      </c>
      <c r="H48" s="2">
        <v>25</v>
      </c>
      <c r="I48" s="2">
        <f>G48-H48</f>
        <v>-25</v>
      </c>
      <c r="J48" s="2" t="s">
        <v>125</v>
      </c>
      <c r="K48" s="2" t="s">
        <v>25</v>
      </c>
      <c r="L48" s="2" t="s">
        <v>1570</v>
      </c>
      <c r="M48" s="3" t="s">
        <v>1584</v>
      </c>
    </row>
  </sheetData>
  <autoFilter ref="A2:Q32" xr:uid="{00000000-0009-0000-0000-00000B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14B3-91C2-4A35-9139-792FE289E983}">
  <dimension ref="A1:T98"/>
  <sheetViews>
    <sheetView topLeftCell="A68" workbookViewId="0">
      <selection activeCell="J90" sqref="J90"/>
    </sheetView>
  </sheetViews>
  <sheetFormatPr defaultRowHeight="15" x14ac:dyDescent="0.25"/>
  <sheetData>
    <row r="1" spans="1:19" x14ac:dyDescent="0.25">
      <c r="B1" t="s">
        <v>0</v>
      </c>
      <c r="C1" t="s">
        <v>1643</v>
      </c>
    </row>
    <row r="2" spans="1:19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</row>
    <row r="3" spans="1:19" s="4" customFormat="1" x14ac:dyDescent="0.25">
      <c r="A3" s="5"/>
      <c r="B3" s="5" t="s">
        <v>19</v>
      </c>
      <c r="C3" s="5" t="s">
        <v>1644</v>
      </c>
      <c r="D3" s="5" t="s">
        <v>1645</v>
      </c>
      <c r="E3" s="5" t="s">
        <v>670</v>
      </c>
      <c r="F3" s="5" t="s">
        <v>1646</v>
      </c>
      <c r="G3" s="5">
        <v>1</v>
      </c>
      <c r="H3" s="5">
        <v>735</v>
      </c>
      <c r="I3" s="5">
        <v>25</v>
      </c>
      <c r="J3" s="5">
        <f t="shared" ref="J3:J34" si="0">H3-I3</f>
        <v>710</v>
      </c>
      <c r="K3" s="5" t="s">
        <v>125</v>
      </c>
      <c r="L3" s="5" t="s">
        <v>25</v>
      </c>
      <c r="M3" s="5" t="s">
        <v>1647</v>
      </c>
      <c r="N3" s="5"/>
      <c r="O3" s="5"/>
      <c r="P3" s="5"/>
      <c r="Q3" s="5"/>
      <c r="R3" s="4">
        <v>1</v>
      </c>
    </row>
    <row r="4" spans="1:19" x14ac:dyDescent="0.25">
      <c r="A4" s="5"/>
      <c r="B4" s="5" t="s">
        <v>19</v>
      </c>
      <c r="C4" s="5" t="s">
        <v>1047</v>
      </c>
      <c r="D4" s="5" t="s">
        <v>1648</v>
      </c>
      <c r="E4" s="5">
        <v>48</v>
      </c>
      <c r="F4" s="5" t="s">
        <v>1049</v>
      </c>
      <c r="G4" s="5">
        <v>1</v>
      </c>
      <c r="H4" s="5">
        <v>805</v>
      </c>
      <c r="I4" s="5">
        <v>25</v>
      </c>
      <c r="J4" s="5">
        <f t="shared" si="0"/>
        <v>780</v>
      </c>
      <c r="K4" s="5" t="s">
        <v>125</v>
      </c>
      <c r="L4" s="5" t="s">
        <v>25</v>
      </c>
      <c r="M4" s="5" t="s">
        <v>1647</v>
      </c>
      <c r="N4" s="5"/>
      <c r="O4" s="5"/>
      <c r="P4" s="5"/>
      <c r="Q4" s="5"/>
      <c r="R4">
        <v>1</v>
      </c>
    </row>
    <row r="5" spans="1:19" x14ac:dyDescent="0.25">
      <c r="A5" s="5"/>
      <c r="B5" s="5" t="s">
        <v>19</v>
      </c>
      <c r="C5" s="5" t="s">
        <v>1649</v>
      </c>
      <c r="D5" s="5" t="s">
        <v>1650</v>
      </c>
      <c r="E5" s="5" t="s">
        <v>1651</v>
      </c>
      <c r="F5" s="5" t="s">
        <v>1652</v>
      </c>
      <c r="G5" s="5">
        <v>1</v>
      </c>
      <c r="H5" s="5">
        <v>805</v>
      </c>
      <c r="I5" s="5">
        <v>25</v>
      </c>
      <c r="J5" s="5">
        <f t="shared" si="0"/>
        <v>780</v>
      </c>
      <c r="K5" s="5" t="s">
        <v>125</v>
      </c>
      <c r="L5" s="5" t="s">
        <v>25</v>
      </c>
      <c r="M5" s="5" t="s">
        <v>1647</v>
      </c>
      <c r="N5" s="5"/>
      <c r="O5" s="5"/>
      <c r="P5" s="5"/>
      <c r="Q5" s="5"/>
      <c r="R5">
        <v>1</v>
      </c>
    </row>
    <row r="6" spans="1:19" x14ac:dyDescent="0.25">
      <c r="A6" s="5"/>
      <c r="B6" s="5" t="s">
        <v>19</v>
      </c>
      <c r="C6" s="5" t="s">
        <v>1653</v>
      </c>
      <c r="D6" s="5" t="s">
        <v>1654</v>
      </c>
      <c r="E6" s="5" t="s">
        <v>1655</v>
      </c>
      <c r="F6" s="5" t="s">
        <v>1656</v>
      </c>
      <c r="G6" s="5">
        <v>1</v>
      </c>
      <c r="H6" s="5">
        <v>735</v>
      </c>
      <c r="I6" s="5">
        <v>25</v>
      </c>
      <c r="J6" s="5">
        <f t="shared" si="0"/>
        <v>710</v>
      </c>
      <c r="K6" s="5" t="s">
        <v>125</v>
      </c>
      <c r="L6" s="5" t="s">
        <v>25</v>
      </c>
      <c r="M6" s="5" t="s">
        <v>1647</v>
      </c>
      <c r="N6" s="5"/>
      <c r="O6" s="5"/>
      <c r="P6" s="5"/>
      <c r="Q6" s="5"/>
      <c r="R6">
        <v>1</v>
      </c>
    </row>
    <row r="7" spans="1:19" x14ac:dyDescent="0.25">
      <c r="A7" s="20"/>
      <c r="B7" s="20" t="s">
        <v>19</v>
      </c>
      <c r="C7" s="20" t="s">
        <v>1208</v>
      </c>
      <c r="D7" s="20" t="s">
        <v>1657</v>
      </c>
      <c r="E7" s="20" t="s">
        <v>1658</v>
      </c>
      <c r="F7" s="20" t="s">
        <v>497</v>
      </c>
      <c r="G7" s="20">
        <v>1</v>
      </c>
      <c r="H7" s="20">
        <v>25</v>
      </c>
      <c r="I7" s="20">
        <v>25</v>
      </c>
      <c r="J7" s="20">
        <f t="shared" si="0"/>
        <v>0</v>
      </c>
      <c r="K7" s="20" t="s">
        <v>125</v>
      </c>
      <c r="L7" s="20" t="s">
        <v>25</v>
      </c>
      <c r="M7" s="20" t="s">
        <v>1647</v>
      </c>
      <c r="N7" s="20" t="s">
        <v>472</v>
      </c>
      <c r="O7" s="20"/>
      <c r="P7" s="20"/>
      <c r="Q7" s="20"/>
      <c r="R7">
        <v>1</v>
      </c>
    </row>
    <row r="8" spans="1:19" x14ac:dyDescent="0.25">
      <c r="A8" s="5"/>
      <c r="B8" s="5" t="s">
        <v>19</v>
      </c>
      <c r="C8" s="5" t="s">
        <v>1659</v>
      </c>
      <c r="D8" s="5" t="s">
        <v>1660</v>
      </c>
      <c r="E8" s="5">
        <v>140</v>
      </c>
      <c r="F8" s="5" t="s">
        <v>743</v>
      </c>
      <c r="G8" s="5">
        <v>1</v>
      </c>
      <c r="H8" s="5">
        <v>1495</v>
      </c>
      <c r="I8" s="5">
        <v>25</v>
      </c>
      <c r="J8" s="5">
        <f t="shared" si="0"/>
        <v>1470</v>
      </c>
      <c r="K8" s="5" t="s">
        <v>125</v>
      </c>
      <c r="L8" s="5" t="s">
        <v>25</v>
      </c>
      <c r="M8" s="5" t="s">
        <v>1647</v>
      </c>
      <c r="N8" s="5"/>
      <c r="O8" s="5"/>
      <c r="P8" s="5"/>
      <c r="Q8" s="5"/>
      <c r="R8">
        <v>1</v>
      </c>
    </row>
    <row r="9" spans="1:19" x14ac:dyDescent="0.25">
      <c r="A9" s="5"/>
      <c r="B9" s="5" t="s">
        <v>19</v>
      </c>
      <c r="C9" s="5" t="s">
        <v>1661</v>
      </c>
      <c r="D9" s="5" t="s">
        <v>1662</v>
      </c>
      <c r="E9" s="5" t="s">
        <v>1663</v>
      </c>
      <c r="F9" s="5" t="s">
        <v>128</v>
      </c>
      <c r="G9" s="5">
        <v>1</v>
      </c>
      <c r="H9" s="5">
        <v>815</v>
      </c>
      <c r="I9" s="5">
        <v>25</v>
      </c>
      <c r="J9" s="5">
        <f t="shared" si="0"/>
        <v>790</v>
      </c>
      <c r="K9" s="5" t="s">
        <v>125</v>
      </c>
      <c r="L9" s="5" t="s">
        <v>25</v>
      </c>
      <c r="M9" s="5" t="s">
        <v>1647</v>
      </c>
      <c r="N9" s="5"/>
      <c r="O9" s="5"/>
      <c r="P9" s="5"/>
      <c r="Q9" s="5"/>
      <c r="R9">
        <v>1</v>
      </c>
    </row>
    <row r="10" spans="1:19" x14ac:dyDescent="0.25">
      <c r="A10" s="5"/>
      <c r="B10" s="5" t="s">
        <v>19</v>
      </c>
      <c r="C10" s="5" t="s">
        <v>1664</v>
      </c>
      <c r="D10" s="5" t="s">
        <v>1665</v>
      </c>
      <c r="E10" s="5">
        <v>76</v>
      </c>
      <c r="F10" s="5" t="s">
        <v>508</v>
      </c>
      <c r="G10" s="5">
        <v>1</v>
      </c>
      <c r="H10" s="5">
        <v>745</v>
      </c>
      <c r="I10" s="5">
        <v>25</v>
      </c>
      <c r="J10" s="5">
        <f t="shared" si="0"/>
        <v>720</v>
      </c>
      <c r="K10" s="5" t="s">
        <v>125</v>
      </c>
      <c r="L10" s="5" t="s">
        <v>25</v>
      </c>
      <c r="M10" s="5" t="s">
        <v>1647</v>
      </c>
      <c r="N10" s="5"/>
      <c r="O10" s="5"/>
      <c r="P10" s="5"/>
      <c r="Q10" s="5"/>
      <c r="R10">
        <v>1</v>
      </c>
    </row>
    <row r="11" spans="1:19" x14ac:dyDescent="0.25">
      <c r="A11" s="5"/>
      <c r="B11" s="5" t="s">
        <v>19</v>
      </c>
      <c r="C11" s="5" t="s">
        <v>1666</v>
      </c>
      <c r="D11" s="5" t="s">
        <v>1667</v>
      </c>
      <c r="E11" s="5" t="s">
        <v>1668</v>
      </c>
      <c r="F11" s="5" t="s">
        <v>670</v>
      </c>
      <c r="G11" s="5">
        <v>1</v>
      </c>
      <c r="H11" s="5">
        <v>0</v>
      </c>
      <c r="I11" s="5">
        <v>25</v>
      </c>
      <c r="J11" s="5">
        <f t="shared" si="0"/>
        <v>-25</v>
      </c>
      <c r="K11" s="5" t="s">
        <v>125</v>
      </c>
      <c r="L11" s="5" t="s">
        <v>25</v>
      </c>
      <c r="M11" s="5" t="s">
        <v>1647</v>
      </c>
      <c r="N11" s="5"/>
      <c r="O11" s="5"/>
      <c r="P11" s="5"/>
      <c r="Q11" s="5"/>
      <c r="R11">
        <v>1</v>
      </c>
      <c r="S11">
        <v>25</v>
      </c>
    </row>
    <row r="12" spans="1:19" x14ac:dyDescent="0.25">
      <c r="A12" s="5" t="s">
        <v>91</v>
      </c>
      <c r="B12" s="5" t="s">
        <v>19</v>
      </c>
      <c r="C12" s="5" t="s">
        <v>514</v>
      </c>
      <c r="D12" s="5"/>
      <c r="E12" s="5">
        <v>12</v>
      </c>
      <c r="F12" s="5" t="s">
        <v>515</v>
      </c>
      <c r="G12" s="5">
        <v>4</v>
      </c>
      <c r="H12" s="5">
        <v>30</v>
      </c>
      <c r="I12" s="5">
        <v>30</v>
      </c>
      <c r="J12" s="5">
        <f t="shared" si="0"/>
        <v>0</v>
      </c>
      <c r="K12" s="5" t="s">
        <v>125</v>
      </c>
      <c r="L12" s="5" t="s">
        <v>25</v>
      </c>
      <c r="M12" s="5" t="s">
        <v>1647</v>
      </c>
      <c r="N12" s="5"/>
      <c r="O12" s="5"/>
      <c r="P12" s="5"/>
      <c r="Q12" s="5"/>
      <c r="R12">
        <v>1</v>
      </c>
    </row>
    <row r="13" spans="1:19" x14ac:dyDescent="0.25">
      <c r="A13" s="5"/>
      <c r="B13" s="5" t="s">
        <v>19</v>
      </c>
      <c r="C13" s="5" t="s">
        <v>182</v>
      </c>
      <c r="D13" s="5" t="s">
        <v>1669</v>
      </c>
      <c r="E13" s="5" t="s">
        <v>1670</v>
      </c>
      <c r="F13" s="5" t="s">
        <v>757</v>
      </c>
      <c r="G13" s="5">
        <v>5</v>
      </c>
      <c r="H13" s="5">
        <v>815</v>
      </c>
      <c r="I13" s="5">
        <v>25</v>
      </c>
      <c r="J13" s="5">
        <f t="shared" si="0"/>
        <v>790</v>
      </c>
      <c r="K13" s="5" t="s">
        <v>125</v>
      </c>
      <c r="L13" s="5" t="s">
        <v>25</v>
      </c>
      <c r="M13" s="5" t="s">
        <v>1647</v>
      </c>
      <c r="N13" s="5"/>
      <c r="O13" s="5"/>
      <c r="P13" s="5"/>
      <c r="Q13" s="5"/>
      <c r="R13">
        <v>1</v>
      </c>
    </row>
    <row r="14" spans="1:19" x14ac:dyDescent="0.25">
      <c r="A14" s="5"/>
      <c r="B14" s="5" t="s">
        <v>19</v>
      </c>
      <c r="C14" s="5" t="s">
        <v>132</v>
      </c>
      <c r="D14" s="5" t="s">
        <v>1671</v>
      </c>
      <c r="E14" s="5">
        <v>230</v>
      </c>
      <c r="F14" s="5" t="s">
        <v>134</v>
      </c>
      <c r="G14" s="5">
        <v>10</v>
      </c>
      <c r="H14" s="5">
        <v>745</v>
      </c>
      <c r="I14" s="5">
        <v>25</v>
      </c>
      <c r="J14" s="5">
        <f t="shared" si="0"/>
        <v>720</v>
      </c>
      <c r="K14" s="5" t="s">
        <v>125</v>
      </c>
      <c r="L14" s="5" t="s">
        <v>25</v>
      </c>
      <c r="M14" s="5" t="s">
        <v>1647</v>
      </c>
      <c r="N14" s="5"/>
      <c r="O14" s="5"/>
      <c r="P14" s="5"/>
      <c r="Q14" s="5"/>
      <c r="R14">
        <v>1</v>
      </c>
    </row>
    <row r="15" spans="1:19" x14ac:dyDescent="0.25">
      <c r="A15" s="5"/>
      <c r="B15" s="5" t="s">
        <v>19</v>
      </c>
      <c r="C15" s="5" t="s">
        <v>1672</v>
      </c>
      <c r="D15" s="5" t="s">
        <v>1673</v>
      </c>
      <c r="E15" s="5" t="s">
        <v>1122</v>
      </c>
      <c r="F15" s="5" t="s">
        <v>1674</v>
      </c>
      <c r="G15" s="5">
        <v>10</v>
      </c>
      <c r="H15" s="5">
        <v>745</v>
      </c>
      <c r="I15" s="5">
        <v>25</v>
      </c>
      <c r="J15" s="5">
        <f t="shared" si="0"/>
        <v>720</v>
      </c>
      <c r="K15" s="5" t="s">
        <v>125</v>
      </c>
      <c r="L15" s="5" t="s">
        <v>25</v>
      </c>
      <c r="M15" s="5" t="s">
        <v>1647</v>
      </c>
      <c r="N15" s="5"/>
      <c r="O15" s="5"/>
      <c r="P15" s="5"/>
      <c r="Q15" s="5"/>
      <c r="R15">
        <v>1</v>
      </c>
    </row>
    <row r="16" spans="1:19" x14ac:dyDescent="0.25">
      <c r="A16" s="5" t="s">
        <v>91</v>
      </c>
      <c r="B16" s="5" t="s">
        <v>19</v>
      </c>
      <c r="C16" s="5" t="s">
        <v>1675</v>
      </c>
      <c r="D16" s="5"/>
      <c r="E16" s="5">
        <v>12</v>
      </c>
      <c r="F16" s="5" t="s">
        <v>1676</v>
      </c>
      <c r="G16" s="5" t="s">
        <v>151</v>
      </c>
      <c r="H16" s="5">
        <v>20</v>
      </c>
      <c r="I16" s="5">
        <v>20</v>
      </c>
      <c r="J16" s="5">
        <f t="shared" si="0"/>
        <v>0</v>
      </c>
      <c r="K16" s="5" t="s">
        <v>125</v>
      </c>
      <c r="L16" s="5" t="s">
        <v>25</v>
      </c>
      <c r="M16" s="5" t="s">
        <v>1647</v>
      </c>
      <c r="N16" s="5"/>
      <c r="O16" s="5"/>
      <c r="P16" s="5"/>
      <c r="Q16" s="5"/>
      <c r="R16">
        <v>1</v>
      </c>
    </row>
    <row r="17" spans="1:19" x14ac:dyDescent="0.25">
      <c r="A17" s="5" t="s">
        <v>91</v>
      </c>
      <c r="B17" s="5" t="s">
        <v>19</v>
      </c>
      <c r="C17" s="5" t="s">
        <v>665</v>
      </c>
      <c r="D17" s="5"/>
      <c r="E17" s="5">
        <v>112</v>
      </c>
      <c r="F17" s="5" t="s">
        <v>1677</v>
      </c>
      <c r="G17" s="5" t="s">
        <v>98</v>
      </c>
      <c r="H17" s="5">
        <v>0</v>
      </c>
      <c r="I17" s="5">
        <v>25</v>
      </c>
      <c r="J17" s="5">
        <f t="shared" si="0"/>
        <v>-25</v>
      </c>
      <c r="K17" s="5" t="s">
        <v>125</v>
      </c>
      <c r="L17" s="5" t="s">
        <v>25</v>
      </c>
      <c r="M17" s="5" t="s">
        <v>1647</v>
      </c>
      <c r="N17" s="5"/>
      <c r="O17" s="5"/>
      <c r="P17" s="5"/>
      <c r="Q17" s="5"/>
      <c r="R17">
        <v>1</v>
      </c>
      <c r="S17">
        <v>25</v>
      </c>
    </row>
    <row r="18" spans="1:19" x14ac:dyDescent="0.25">
      <c r="A18" s="5" t="s">
        <v>91</v>
      </c>
      <c r="B18" s="5" t="s">
        <v>19</v>
      </c>
      <c r="C18" s="5" t="s">
        <v>1377</v>
      </c>
      <c r="D18" s="5"/>
      <c r="E18" s="5" t="s">
        <v>1378</v>
      </c>
      <c r="F18" s="5" t="s">
        <v>1379</v>
      </c>
      <c r="G18" s="5" t="s">
        <v>98</v>
      </c>
      <c r="H18" s="5">
        <v>780</v>
      </c>
      <c r="I18" s="5">
        <v>30</v>
      </c>
      <c r="J18" s="5">
        <f t="shared" si="0"/>
        <v>750</v>
      </c>
      <c r="K18" s="5" t="s">
        <v>125</v>
      </c>
      <c r="L18" s="5" t="s">
        <v>25</v>
      </c>
      <c r="M18" s="5" t="s">
        <v>1647</v>
      </c>
      <c r="N18" s="5"/>
      <c r="O18" s="5"/>
      <c r="P18" s="5"/>
      <c r="Q18" s="5"/>
      <c r="R18">
        <v>1</v>
      </c>
    </row>
    <row r="19" spans="1:19" x14ac:dyDescent="0.25">
      <c r="A19" s="5"/>
      <c r="B19" s="5" t="s">
        <v>19</v>
      </c>
      <c r="C19" s="5" t="s">
        <v>1678</v>
      </c>
      <c r="D19" s="5" t="s">
        <v>1679</v>
      </c>
      <c r="E19" s="5" t="s">
        <v>1680</v>
      </c>
      <c r="F19" s="5" t="s">
        <v>1681</v>
      </c>
      <c r="G19" s="5" t="s">
        <v>98</v>
      </c>
      <c r="H19" s="5">
        <v>0</v>
      </c>
      <c r="I19" s="5">
        <v>25</v>
      </c>
      <c r="J19" s="5">
        <f t="shared" si="0"/>
        <v>-25</v>
      </c>
      <c r="K19" s="5" t="s">
        <v>125</v>
      </c>
      <c r="L19" s="5" t="s">
        <v>25</v>
      </c>
      <c r="M19" s="5" t="s">
        <v>1647</v>
      </c>
      <c r="N19" s="5"/>
      <c r="O19" s="5"/>
      <c r="P19" s="5"/>
      <c r="Q19" s="5"/>
      <c r="R19">
        <v>1</v>
      </c>
      <c r="S19">
        <v>25</v>
      </c>
    </row>
    <row r="20" spans="1:19" x14ac:dyDescent="0.25">
      <c r="A20" s="5"/>
      <c r="B20" s="5" t="s">
        <v>19</v>
      </c>
      <c r="C20" s="5" t="s">
        <v>1682</v>
      </c>
      <c r="D20" s="5" t="s">
        <v>1683</v>
      </c>
      <c r="E20" s="5" t="s">
        <v>662</v>
      </c>
      <c r="F20" s="5" t="s">
        <v>97</v>
      </c>
      <c r="G20" s="5" t="s">
        <v>98</v>
      </c>
      <c r="H20" s="5">
        <v>735</v>
      </c>
      <c r="I20" s="5">
        <v>25</v>
      </c>
      <c r="J20" s="5">
        <f t="shared" si="0"/>
        <v>710</v>
      </c>
      <c r="K20" s="5" t="s">
        <v>125</v>
      </c>
      <c r="L20" s="5" t="s">
        <v>25</v>
      </c>
      <c r="M20" s="5" t="s">
        <v>1647</v>
      </c>
      <c r="N20" s="5"/>
      <c r="O20" s="5"/>
      <c r="P20" s="5"/>
      <c r="Q20" s="5"/>
      <c r="R20">
        <v>1</v>
      </c>
    </row>
    <row r="21" spans="1:19" x14ac:dyDescent="0.25">
      <c r="A21" s="5"/>
      <c r="B21" s="5" t="s">
        <v>19</v>
      </c>
      <c r="C21" s="5" t="s">
        <v>94</v>
      </c>
      <c r="D21" s="5" t="s">
        <v>1684</v>
      </c>
      <c r="E21" s="5" t="s">
        <v>96</v>
      </c>
      <c r="F21" s="5" t="s">
        <v>97</v>
      </c>
      <c r="G21" s="5" t="s">
        <v>98</v>
      </c>
      <c r="H21" s="5">
        <v>0</v>
      </c>
      <c r="I21" s="5">
        <v>25</v>
      </c>
      <c r="J21" s="5">
        <f t="shared" si="0"/>
        <v>-25</v>
      </c>
      <c r="K21" s="5" t="s">
        <v>125</v>
      </c>
      <c r="L21" s="5" t="s">
        <v>25</v>
      </c>
      <c r="M21" s="5" t="s">
        <v>1647</v>
      </c>
      <c r="N21" s="5"/>
      <c r="O21" s="5"/>
      <c r="P21" s="5"/>
      <c r="Q21" s="5"/>
      <c r="R21">
        <v>1</v>
      </c>
      <c r="S21">
        <v>25</v>
      </c>
    </row>
    <row r="22" spans="1:19" x14ac:dyDescent="0.25">
      <c r="A22" s="5" t="s">
        <v>91</v>
      </c>
      <c r="B22" s="5" t="s">
        <v>19</v>
      </c>
      <c r="C22" s="5" t="s">
        <v>179</v>
      </c>
      <c r="D22" s="5"/>
      <c r="E22" s="5" t="s">
        <v>180</v>
      </c>
      <c r="F22" s="5" t="s">
        <v>181</v>
      </c>
      <c r="G22" s="5">
        <v>6</v>
      </c>
      <c r="H22" s="5">
        <v>0</v>
      </c>
      <c r="I22" s="5">
        <v>30</v>
      </c>
      <c r="J22" s="5">
        <f t="shared" si="0"/>
        <v>-30</v>
      </c>
      <c r="K22" s="5" t="s">
        <v>1685</v>
      </c>
      <c r="L22" s="5" t="s">
        <v>25</v>
      </c>
      <c r="M22" s="5" t="s">
        <v>1647</v>
      </c>
      <c r="N22" s="5"/>
      <c r="O22" s="5"/>
      <c r="P22" s="5"/>
      <c r="Q22" s="5"/>
      <c r="R22">
        <v>1</v>
      </c>
      <c r="S22">
        <v>30</v>
      </c>
    </row>
    <row r="23" spans="1:19" x14ac:dyDescent="0.25">
      <c r="A23" s="5" t="s">
        <v>91</v>
      </c>
      <c r="B23" s="5" t="s">
        <v>19</v>
      </c>
      <c r="C23" s="5" t="s">
        <v>1501</v>
      </c>
      <c r="D23" s="5"/>
      <c r="E23" s="5">
        <v>66</v>
      </c>
      <c r="F23" s="5" t="s">
        <v>565</v>
      </c>
      <c r="G23" s="5">
        <v>6</v>
      </c>
      <c r="H23" s="5">
        <v>30</v>
      </c>
      <c r="I23" s="5">
        <v>30</v>
      </c>
      <c r="J23" s="5">
        <f t="shared" si="0"/>
        <v>0</v>
      </c>
      <c r="K23" s="5" t="s">
        <v>1685</v>
      </c>
      <c r="L23" s="5" t="s">
        <v>25</v>
      </c>
      <c r="M23" s="5" t="s">
        <v>1647</v>
      </c>
      <c r="N23" s="5"/>
      <c r="O23" s="5"/>
      <c r="P23" s="5"/>
      <c r="Q23" s="5"/>
      <c r="R23">
        <v>1</v>
      </c>
    </row>
    <row r="24" spans="1:19" x14ac:dyDescent="0.25">
      <c r="A24" s="5"/>
      <c r="B24" s="5" t="s">
        <v>19</v>
      </c>
      <c r="C24" s="5" t="s">
        <v>1686</v>
      </c>
      <c r="D24" s="5" t="s">
        <v>1687</v>
      </c>
      <c r="E24" s="5">
        <v>988</v>
      </c>
      <c r="F24" s="5" t="s">
        <v>952</v>
      </c>
      <c r="G24" s="5">
        <v>6</v>
      </c>
      <c r="H24" s="5">
        <v>735</v>
      </c>
      <c r="I24" s="5">
        <v>25</v>
      </c>
      <c r="J24" s="5">
        <f t="shared" si="0"/>
        <v>710</v>
      </c>
      <c r="K24" s="5" t="s">
        <v>1685</v>
      </c>
      <c r="L24" s="5" t="s">
        <v>25</v>
      </c>
      <c r="M24" s="5" t="s">
        <v>1647</v>
      </c>
      <c r="N24" s="5"/>
      <c r="O24" s="5"/>
      <c r="P24" s="5"/>
      <c r="Q24" s="5"/>
      <c r="R24">
        <v>1</v>
      </c>
    </row>
    <row r="25" spans="1:19" x14ac:dyDescent="0.25">
      <c r="A25" s="5"/>
      <c r="B25" s="5" t="s">
        <v>19</v>
      </c>
      <c r="C25" s="5" t="s">
        <v>1688</v>
      </c>
      <c r="D25" s="5" t="s">
        <v>1689</v>
      </c>
      <c r="E25" s="5">
        <v>4</v>
      </c>
      <c r="F25" s="5" t="s">
        <v>709</v>
      </c>
      <c r="G25" s="5">
        <v>7</v>
      </c>
      <c r="H25" s="5">
        <v>0</v>
      </c>
      <c r="I25" s="5">
        <v>30</v>
      </c>
      <c r="J25" s="5">
        <f t="shared" si="0"/>
        <v>-30</v>
      </c>
      <c r="K25" s="5" t="s">
        <v>1685</v>
      </c>
      <c r="L25" s="5" t="s">
        <v>25</v>
      </c>
      <c r="M25" s="5" t="s">
        <v>1647</v>
      </c>
      <c r="N25" s="5"/>
      <c r="O25" s="5"/>
      <c r="P25" s="5"/>
      <c r="Q25" s="5"/>
      <c r="R25">
        <v>1</v>
      </c>
      <c r="S25">
        <v>30</v>
      </c>
    </row>
    <row r="26" spans="1:19" x14ac:dyDescent="0.25">
      <c r="A26" s="5"/>
      <c r="B26" s="5" t="s">
        <v>19</v>
      </c>
      <c r="C26" s="5" t="s">
        <v>1690</v>
      </c>
      <c r="D26" s="5" t="s">
        <v>1691</v>
      </c>
      <c r="E26" s="5">
        <v>5</v>
      </c>
      <c r="F26" s="5" t="s">
        <v>258</v>
      </c>
      <c r="G26" s="5">
        <v>7</v>
      </c>
      <c r="H26" s="5">
        <v>750</v>
      </c>
      <c r="I26" s="5">
        <v>30</v>
      </c>
      <c r="J26" s="5">
        <f t="shared" si="0"/>
        <v>720</v>
      </c>
      <c r="K26" s="5" t="s">
        <v>1685</v>
      </c>
      <c r="L26" s="5" t="s">
        <v>25</v>
      </c>
      <c r="M26" s="5" t="s">
        <v>1647</v>
      </c>
      <c r="N26" s="5"/>
      <c r="O26" s="5"/>
      <c r="P26" s="5"/>
      <c r="Q26" s="5"/>
      <c r="R26">
        <v>1</v>
      </c>
    </row>
    <row r="27" spans="1:19" x14ac:dyDescent="0.25">
      <c r="A27" s="20"/>
      <c r="B27" s="20" t="s">
        <v>19</v>
      </c>
      <c r="C27" s="20" t="s">
        <v>1508</v>
      </c>
      <c r="D27" s="20" t="s">
        <v>1692</v>
      </c>
      <c r="E27" s="20">
        <v>89</v>
      </c>
      <c r="F27" s="20" t="s">
        <v>1510</v>
      </c>
      <c r="G27" s="20">
        <v>7</v>
      </c>
      <c r="H27" s="20">
        <v>0</v>
      </c>
      <c r="I27" s="20">
        <v>30</v>
      </c>
      <c r="J27" s="20">
        <f t="shared" si="0"/>
        <v>-30</v>
      </c>
      <c r="K27" s="20" t="s">
        <v>1685</v>
      </c>
      <c r="L27" s="20" t="s">
        <v>25</v>
      </c>
      <c r="M27" s="20" t="s">
        <v>1647</v>
      </c>
      <c r="N27" s="20" t="s">
        <v>472</v>
      </c>
      <c r="O27" s="20"/>
      <c r="P27" s="20"/>
      <c r="Q27" s="20"/>
      <c r="R27">
        <v>1</v>
      </c>
      <c r="S27">
        <v>30</v>
      </c>
    </row>
    <row r="28" spans="1:19" x14ac:dyDescent="0.25">
      <c r="A28" s="5"/>
      <c r="B28" s="5" t="s">
        <v>19</v>
      </c>
      <c r="C28" s="5" t="s">
        <v>1693</v>
      </c>
      <c r="D28" s="5" t="s">
        <v>1694</v>
      </c>
      <c r="E28" s="5" t="s">
        <v>1695</v>
      </c>
      <c r="F28" s="5" t="s">
        <v>1696</v>
      </c>
      <c r="G28" s="5">
        <v>7</v>
      </c>
      <c r="H28" s="5">
        <v>660</v>
      </c>
      <c r="I28" s="5">
        <v>30</v>
      </c>
      <c r="J28" s="5">
        <f t="shared" si="0"/>
        <v>630</v>
      </c>
      <c r="K28" s="5" t="s">
        <v>1685</v>
      </c>
      <c r="L28" s="5" t="s">
        <v>25</v>
      </c>
      <c r="M28" s="5" t="s">
        <v>1647</v>
      </c>
      <c r="N28" s="5"/>
      <c r="O28" s="5"/>
      <c r="P28" s="5"/>
      <c r="Q28" s="5"/>
      <c r="R28">
        <v>1</v>
      </c>
    </row>
    <row r="29" spans="1:19" x14ac:dyDescent="0.25">
      <c r="A29" s="5"/>
      <c r="B29" s="5" t="s">
        <v>19</v>
      </c>
      <c r="C29" s="5" t="s">
        <v>1697</v>
      </c>
      <c r="D29" s="5" t="s">
        <v>1698</v>
      </c>
      <c r="E29" s="5" t="s">
        <v>1699</v>
      </c>
      <c r="F29" s="5" t="s">
        <v>805</v>
      </c>
      <c r="G29" s="5">
        <v>7</v>
      </c>
      <c r="H29" s="5">
        <v>410</v>
      </c>
      <c r="I29" s="5">
        <v>30</v>
      </c>
      <c r="J29" s="5">
        <f t="shared" si="0"/>
        <v>380</v>
      </c>
      <c r="K29" s="5" t="s">
        <v>1685</v>
      </c>
      <c r="L29" s="5" t="s">
        <v>25</v>
      </c>
      <c r="M29" s="5" t="s">
        <v>1647</v>
      </c>
      <c r="N29" s="5"/>
      <c r="O29" s="5"/>
      <c r="P29" s="5"/>
      <c r="Q29" s="5"/>
      <c r="R29">
        <v>1</v>
      </c>
    </row>
    <row r="30" spans="1:19" x14ac:dyDescent="0.25">
      <c r="A30" s="5"/>
      <c r="B30" s="5" t="s">
        <v>19</v>
      </c>
      <c r="C30" s="5" t="s">
        <v>1700</v>
      </c>
      <c r="D30" s="5" t="s">
        <v>1701</v>
      </c>
      <c r="E30" s="5">
        <v>230</v>
      </c>
      <c r="F30" s="5" t="s">
        <v>397</v>
      </c>
      <c r="G30" s="5">
        <v>8</v>
      </c>
      <c r="H30" s="5">
        <v>745</v>
      </c>
      <c r="I30" s="5">
        <v>25</v>
      </c>
      <c r="J30" s="5">
        <f t="shared" si="0"/>
        <v>720</v>
      </c>
      <c r="K30" s="5" t="s">
        <v>1685</v>
      </c>
      <c r="L30" s="5" t="s">
        <v>25</v>
      </c>
      <c r="M30" s="5" t="s">
        <v>1647</v>
      </c>
      <c r="N30" s="5"/>
      <c r="O30" s="5"/>
      <c r="P30" s="5"/>
      <c r="Q30" s="5"/>
      <c r="R30">
        <v>1</v>
      </c>
    </row>
    <row r="31" spans="1:19" x14ac:dyDescent="0.25">
      <c r="A31" s="5"/>
      <c r="B31" s="5" t="s">
        <v>19</v>
      </c>
      <c r="C31" s="5" t="s">
        <v>1702</v>
      </c>
      <c r="D31" s="5" t="s">
        <v>1703</v>
      </c>
      <c r="E31" s="5" t="s">
        <v>1704</v>
      </c>
      <c r="F31" s="5" t="s">
        <v>1705</v>
      </c>
      <c r="G31" s="5">
        <v>8</v>
      </c>
      <c r="H31" s="5">
        <v>465</v>
      </c>
      <c r="I31" s="5">
        <v>25</v>
      </c>
      <c r="J31" s="5">
        <f t="shared" si="0"/>
        <v>440</v>
      </c>
      <c r="K31" s="5" t="s">
        <v>1685</v>
      </c>
      <c r="L31" s="5" t="s">
        <v>25</v>
      </c>
      <c r="M31" s="5" t="s">
        <v>1647</v>
      </c>
      <c r="N31" s="5"/>
      <c r="O31" s="5"/>
      <c r="P31" s="5"/>
      <c r="Q31" s="5"/>
      <c r="R31">
        <v>1</v>
      </c>
    </row>
    <row r="32" spans="1:19" x14ac:dyDescent="0.25">
      <c r="A32" s="5"/>
      <c r="B32" s="5" t="s">
        <v>19</v>
      </c>
      <c r="C32" s="5" t="s">
        <v>1706</v>
      </c>
      <c r="D32" s="5" t="s">
        <v>1707</v>
      </c>
      <c r="E32" s="5">
        <v>3273</v>
      </c>
      <c r="F32" s="5" t="s">
        <v>604</v>
      </c>
      <c r="G32" s="5">
        <v>8</v>
      </c>
      <c r="H32" s="5">
        <v>610</v>
      </c>
      <c r="I32" s="5">
        <v>30</v>
      </c>
      <c r="J32" s="5">
        <f t="shared" si="0"/>
        <v>580</v>
      </c>
      <c r="K32" s="5" t="s">
        <v>1685</v>
      </c>
      <c r="L32" s="5" t="s">
        <v>25</v>
      </c>
      <c r="M32" s="5" t="s">
        <v>1647</v>
      </c>
      <c r="N32" s="5"/>
      <c r="O32" s="5"/>
      <c r="P32" s="5"/>
      <c r="Q32" s="5"/>
      <c r="R32">
        <v>1</v>
      </c>
    </row>
    <row r="33" spans="1:19" x14ac:dyDescent="0.25">
      <c r="A33" s="5"/>
      <c r="B33" s="5" t="s">
        <v>19</v>
      </c>
      <c r="C33" s="5" t="s">
        <v>1708</v>
      </c>
      <c r="D33" s="5" t="s">
        <v>1709</v>
      </c>
      <c r="E33" s="5" t="s">
        <v>1710</v>
      </c>
      <c r="F33" s="5" t="s">
        <v>1711</v>
      </c>
      <c r="G33" s="5">
        <v>12</v>
      </c>
      <c r="H33" s="5">
        <v>0</v>
      </c>
      <c r="I33" s="5">
        <v>30</v>
      </c>
      <c r="J33" s="5">
        <f t="shared" si="0"/>
        <v>-30</v>
      </c>
      <c r="K33" s="5" t="s">
        <v>1685</v>
      </c>
      <c r="L33" s="5" t="s">
        <v>25</v>
      </c>
      <c r="M33" s="5" t="s">
        <v>1647</v>
      </c>
      <c r="N33" s="5"/>
      <c r="O33" s="5"/>
      <c r="P33" s="5"/>
      <c r="Q33" s="5"/>
      <c r="R33">
        <v>1</v>
      </c>
      <c r="S33">
        <v>30</v>
      </c>
    </row>
    <row r="34" spans="1:19" x14ac:dyDescent="0.25">
      <c r="A34" s="5" t="s">
        <v>91</v>
      </c>
      <c r="B34" s="5" t="s">
        <v>19</v>
      </c>
      <c r="C34" s="5" t="s">
        <v>1712</v>
      </c>
      <c r="D34" s="5"/>
      <c r="E34" s="5">
        <v>631</v>
      </c>
      <c r="F34" s="5" t="s">
        <v>1713</v>
      </c>
      <c r="G34" s="5">
        <v>12</v>
      </c>
      <c r="H34" s="5">
        <v>655</v>
      </c>
      <c r="I34" s="5">
        <v>35</v>
      </c>
      <c r="J34" s="5">
        <f t="shared" si="0"/>
        <v>620</v>
      </c>
      <c r="K34" s="5" t="s">
        <v>1685</v>
      </c>
      <c r="L34" s="5" t="s">
        <v>25</v>
      </c>
      <c r="M34" s="5" t="s">
        <v>1647</v>
      </c>
      <c r="N34" s="5"/>
      <c r="O34" s="5"/>
      <c r="P34" s="5"/>
      <c r="Q34" s="5"/>
      <c r="R34">
        <v>1</v>
      </c>
    </row>
    <row r="35" spans="1:19" x14ac:dyDescent="0.25">
      <c r="A35" s="5"/>
      <c r="B35" s="5" t="s">
        <v>19</v>
      </c>
      <c r="C35" s="5" t="s">
        <v>1714</v>
      </c>
      <c r="D35" s="5" t="s">
        <v>1715</v>
      </c>
      <c r="E35" s="5">
        <v>22</v>
      </c>
      <c r="F35" s="5" t="s">
        <v>1716</v>
      </c>
      <c r="G35" s="5">
        <v>12</v>
      </c>
      <c r="H35" s="5">
        <v>270</v>
      </c>
      <c r="I35" s="5">
        <v>30</v>
      </c>
      <c r="J35" s="5">
        <f t="shared" ref="J35:J66" si="1">H35-I35</f>
        <v>240</v>
      </c>
      <c r="K35" s="5" t="s">
        <v>1685</v>
      </c>
      <c r="L35" s="5" t="s">
        <v>25</v>
      </c>
      <c r="M35" s="5" t="s">
        <v>1647</v>
      </c>
      <c r="N35" s="5"/>
      <c r="O35" s="5"/>
      <c r="P35" s="5"/>
      <c r="Q35" s="5"/>
      <c r="R35">
        <v>1</v>
      </c>
    </row>
    <row r="36" spans="1:19" x14ac:dyDescent="0.25">
      <c r="A36" s="5" t="s">
        <v>91</v>
      </c>
      <c r="B36" s="5" t="s">
        <v>19</v>
      </c>
      <c r="C36" s="5" t="s">
        <v>1717</v>
      </c>
      <c r="D36" s="5"/>
      <c r="E36" s="5">
        <v>61</v>
      </c>
      <c r="F36" s="5" t="s">
        <v>1283</v>
      </c>
      <c r="G36" s="5">
        <v>12</v>
      </c>
      <c r="H36" s="5">
        <v>35</v>
      </c>
      <c r="I36" s="5">
        <v>35</v>
      </c>
      <c r="J36" s="5">
        <f t="shared" si="1"/>
        <v>0</v>
      </c>
      <c r="K36" s="5" t="s">
        <v>1685</v>
      </c>
      <c r="L36" s="5" t="s">
        <v>25</v>
      </c>
      <c r="M36" s="5" t="s">
        <v>1647</v>
      </c>
      <c r="N36" s="5"/>
      <c r="O36" s="5"/>
      <c r="P36" s="5"/>
      <c r="Q36" s="5"/>
      <c r="R36">
        <v>1</v>
      </c>
    </row>
    <row r="37" spans="1:19" x14ac:dyDescent="0.25">
      <c r="A37" s="5"/>
      <c r="B37" s="5" t="s">
        <v>19</v>
      </c>
      <c r="C37" s="5" t="s">
        <v>1718</v>
      </c>
      <c r="D37" s="5" t="s">
        <v>1719</v>
      </c>
      <c r="E37" s="5">
        <v>56</v>
      </c>
      <c r="F37" s="5" t="s">
        <v>1720</v>
      </c>
      <c r="G37" s="5" t="s">
        <v>232</v>
      </c>
      <c r="H37" s="5">
        <v>0</v>
      </c>
      <c r="I37" s="5">
        <v>35</v>
      </c>
      <c r="J37" s="5">
        <f t="shared" si="1"/>
        <v>-35</v>
      </c>
      <c r="K37" s="5" t="s">
        <v>1685</v>
      </c>
      <c r="L37" s="5" t="s">
        <v>25</v>
      </c>
      <c r="M37" s="5" t="s">
        <v>1647</v>
      </c>
      <c r="N37" s="5"/>
      <c r="O37" s="5"/>
      <c r="P37" s="5"/>
      <c r="Q37" s="5"/>
      <c r="R37">
        <v>1</v>
      </c>
      <c r="S37">
        <v>35</v>
      </c>
    </row>
    <row r="38" spans="1:19" x14ac:dyDescent="0.25">
      <c r="A38" s="5"/>
      <c r="B38" s="5" t="s">
        <v>19</v>
      </c>
      <c r="C38" s="5" t="s">
        <v>1721</v>
      </c>
      <c r="D38" s="5" t="s">
        <v>1722</v>
      </c>
      <c r="E38" s="5">
        <v>89</v>
      </c>
      <c r="F38" s="5" t="s">
        <v>102</v>
      </c>
      <c r="G38" s="5" t="s">
        <v>240</v>
      </c>
      <c r="H38" s="5">
        <v>1560</v>
      </c>
      <c r="I38" s="5">
        <v>30</v>
      </c>
      <c r="J38" s="5">
        <f t="shared" si="1"/>
        <v>1530</v>
      </c>
      <c r="K38" s="5" t="s">
        <v>1685</v>
      </c>
      <c r="L38" s="5" t="s">
        <v>25</v>
      </c>
      <c r="M38" s="5" t="s">
        <v>1647</v>
      </c>
      <c r="N38" s="5"/>
      <c r="O38" s="5"/>
      <c r="P38" s="5"/>
      <c r="Q38" s="5"/>
      <c r="R38">
        <v>1</v>
      </c>
    </row>
    <row r="39" spans="1:19" x14ac:dyDescent="0.25">
      <c r="A39" s="20"/>
      <c r="B39" s="20" t="s">
        <v>19</v>
      </c>
      <c r="C39" s="20" t="s">
        <v>1723</v>
      </c>
      <c r="D39" s="20" t="s">
        <v>1724</v>
      </c>
      <c r="E39" s="20">
        <v>17</v>
      </c>
      <c r="F39" s="20" t="s">
        <v>246</v>
      </c>
      <c r="G39" s="20" t="s">
        <v>240</v>
      </c>
      <c r="H39" s="20">
        <v>2530</v>
      </c>
      <c r="I39" s="20">
        <v>35</v>
      </c>
      <c r="J39" s="20">
        <f t="shared" si="1"/>
        <v>2495</v>
      </c>
      <c r="K39" s="20" t="s">
        <v>1685</v>
      </c>
      <c r="L39" s="20" t="s">
        <v>25</v>
      </c>
      <c r="M39" s="20" t="s">
        <v>1647</v>
      </c>
      <c r="N39" s="20" t="s">
        <v>498</v>
      </c>
      <c r="O39" s="20"/>
      <c r="P39" s="20"/>
      <c r="Q39" s="20"/>
      <c r="R39">
        <v>1</v>
      </c>
      <c r="S39">
        <v>35</v>
      </c>
    </row>
    <row r="40" spans="1:19" x14ac:dyDescent="0.25">
      <c r="A40" s="20"/>
      <c r="B40" s="20" t="s">
        <v>19</v>
      </c>
      <c r="C40" s="20" t="s">
        <v>1725</v>
      </c>
      <c r="D40" s="20" t="s">
        <v>1726</v>
      </c>
      <c r="E40" s="20">
        <v>124</v>
      </c>
      <c r="F40" s="20" t="s">
        <v>421</v>
      </c>
      <c r="G40" s="20" t="s">
        <v>240</v>
      </c>
      <c r="H40" s="20">
        <v>2890</v>
      </c>
      <c r="I40" s="20">
        <v>35</v>
      </c>
      <c r="J40" s="20">
        <f t="shared" si="1"/>
        <v>2855</v>
      </c>
      <c r="K40" s="20" t="s">
        <v>1685</v>
      </c>
      <c r="L40" s="20" t="s">
        <v>25</v>
      </c>
      <c r="M40" s="20" t="s">
        <v>1647</v>
      </c>
      <c r="N40" s="20" t="s">
        <v>498</v>
      </c>
      <c r="O40" s="20"/>
      <c r="P40" s="20"/>
      <c r="Q40" s="20"/>
      <c r="R40">
        <v>1</v>
      </c>
      <c r="S40">
        <v>35</v>
      </c>
    </row>
    <row r="41" spans="1:19" x14ac:dyDescent="0.25">
      <c r="A41" s="5"/>
      <c r="B41" s="5" t="s">
        <v>19</v>
      </c>
      <c r="C41" s="5" t="s">
        <v>769</v>
      </c>
      <c r="D41" s="5" t="s">
        <v>1727</v>
      </c>
      <c r="E41" s="5">
        <v>104</v>
      </c>
      <c r="F41" s="5" t="s">
        <v>820</v>
      </c>
      <c r="G41" s="5" t="s">
        <v>240</v>
      </c>
      <c r="H41" s="5">
        <v>950</v>
      </c>
      <c r="I41" s="5">
        <v>30</v>
      </c>
      <c r="J41" s="5">
        <f t="shared" si="1"/>
        <v>920</v>
      </c>
      <c r="K41" s="5" t="s">
        <v>1685</v>
      </c>
      <c r="L41" s="5" t="s">
        <v>25</v>
      </c>
      <c r="M41" s="5" t="s">
        <v>1647</v>
      </c>
      <c r="N41" s="5"/>
      <c r="O41" s="5"/>
      <c r="P41" s="5"/>
      <c r="Q41" s="5"/>
      <c r="R41">
        <v>1</v>
      </c>
    </row>
    <row r="42" spans="1:19" x14ac:dyDescent="0.25">
      <c r="A42" s="5"/>
      <c r="B42" s="5" t="s">
        <v>19</v>
      </c>
      <c r="C42" s="5" t="s">
        <v>776</v>
      </c>
      <c r="D42" s="5" t="s">
        <v>1728</v>
      </c>
      <c r="E42" s="5" t="s">
        <v>825</v>
      </c>
      <c r="F42" s="5" t="s">
        <v>826</v>
      </c>
      <c r="G42" s="5" t="s">
        <v>240</v>
      </c>
      <c r="H42" s="5">
        <v>1660</v>
      </c>
      <c r="I42" s="5">
        <v>30</v>
      </c>
      <c r="J42" s="5">
        <f t="shared" si="1"/>
        <v>1630</v>
      </c>
      <c r="K42" s="5" t="s">
        <v>1685</v>
      </c>
      <c r="L42" s="5" t="s">
        <v>25</v>
      </c>
      <c r="M42" s="5" t="s">
        <v>1647</v>
      </c>
      <c r="N42" s="5"/>
      <c r="O42" s="5"/>
      <c r="P42" s="5"/>
      <c r="Q42" s="5"/>
      <c r="R42">
        <v>1</v>
      </c>
    </row>
    <row r="43" spans="1:19" x14ac:dyDescent="0.25">
      <c r="A43" s="5"/>
      <c r="B43" s="5" t="s">
        <v>19</v>
      </c>
      <c r="C43" s="5" t="s">
        <v>1729</v>
      </c>
      <c r="D43" s="5" t="s">
        <v>1730</v>
      </c>
      <c r="E43" s="5" t="s">
        <v>1462</v>
      </c>
      <c r="F43" s="5" t="s">
        <v>266</v>
      </c>
      <c r="G43" s="5" t="s">
        <v>240</v>
      </c>
      <c r="H43" s="5">
        <v>750</v>
      </c>
      <c r="I43" s="5">
        <v>30</v>
      </c>
      <c r="J43" s="5">
        <f t="shared" si="1"/>
        <v>720</v>
      </c>
      <c r="K43" s="5" t="s">
        <v>1685</v>
      </c>
      <c r="L43" s="5" t="s">
        <v>25</v>
      </c>
      <c r="M43" s="5" t="s">
        <v>1647</v>
      </c>
      <c r="N43" s="5"/>
      <c r="O43" s="5"/>
      <c r="P43" s="5"/>
      <c r="Q43" s="5"/>
      <c r="R43">
        <v>1</v>
      </c>
    </row>
    <row r="44" spans="1:19" x14ac:dyDescent="0.25">
      <c r="A44" s="5"/>
      <c r="B44" s="5" t="s">
        <v>19</v>
      </c>
      <c r="C44" s="5" t="s">
        <v>1327</v>
      </c>
      <c r="D44" s="5" t="s">
        <v>1731</v>
      </c>
      <c r="E44" s="5" t="s">
        <v>428</v>
      </c>
      <c r="F44" s="5" t="s">
        <v>429</v>
      </c>
      <c r="G44" s="5" t="s">
        <v>240</v>
      </c>
      <c r="H44" s="5">
        <v>0</v>
      </c>
      <c r="I44" s="5">
        <v>45</v>
      </c>
      <c r="J44" s="5">
        <f t="shared" si="1"/>
        <v>-45</v>
      </c>
      <c r="K44" s="5" t="s">
        <v>1685</v>
      </c>
      <c r="L44" s="5" t="s">
        <v>25</v>
      </c>
      <c r="M44" s="5" t="s">
        <v>1647</v>
      </c>
      <c r="N44" s="5"/>
      <c r="O44" s="5"/>
      <c r="P44" s="5"/>
      <c r="Q44" s="5"/>
      <c r="R44">
        <v>1</v>
      </c>
      <c r="S44">
        <v>45</v>
      </c>
    </row>
    <row r="45" spans="1:19" x14ac:dyDescent="0.25">
      <c r="A45" s="5"/>
      <c r="B45" s="5" t="s">
        <v>19</v>
      </c>
      <c r="C45" s="5" t="s">
        <v>1732</v>
      </c>
      <c r="D45" s="5" t="s">
        <v>1733</v>
      </c>
      <c r="E45" s="5">
        <v>17</v>
      </c>
      <c r="F45" s="5" t="s">
        <v>293</v>
      </c>
      <c r="G45" s="5" t="s">
        <v>286</v>
      </c>
      <c r="H45" s="5">
        <v>375</v>
      </c>
      <c r="I45" s="5">
        <v>25</v>
      </c>
      <c r="J45" s="5">
        <f t="shared" si="1"/>
        <v>350</v>
      </c>
      <c r="K45" s="5" t="s">
        <v>1685</v>
      </c>
      <c r="L45" s="5" t="s">
        <v>25</v>
      </c>
      <c r="M45" s="5" t="s">
        <v>1647</v>
      </c>
      <c r="N45" s="5"/>
      <c r="O45" s="5"/>
      <c r="P45" s="5"/>
      <c r="Q45" s="5"/>
      <c r="R45">
        <v>1</v>
      </c>
    </row>
    <row r="46" spans="1:19" x14ac:dyDescent="0.25">
      <c r="A46" s="5"/>
      <c r="B46" s="5" t="s">
        <v>19</v>
      </c>
      <c r="C46" s="5" t="s">
        <v>1734</v>
      </c>
      <c r="D46" s="5" t="s">
        <v>1735</v>
      </c>
      <c r="E46" s="5" t="s">
        <v>1736</v>
      </c>
      <c r="F46" s="5" t="s">
        <v>408</v>
      </c>
      <c r="G46" s="5" t="s">
        <v>286</v>
      </c>
      <c r="H46" s="5">
        <v>875</v>
      </c>
      <c r="I46" s="5">
        <v>25</v>
      </c>
      <c r="J46" s="5">
        <f t="shared" si="1"/>
        <v>850</v>
      </c>
      <c r="K46" s="5" t="s">
        <v>1685</v>
      </c>
      <c r="L46" s="5" t="s">
        <v>25</v>
      </c>
      <c r="M46" s="5" t="s">
        <v>1647</v>
      </c>
      <c r="N46" s="5"/>
      <c r="O46" s="5"/>
      <c r="P46" s="5"/>
      <c r="Q46" s="5"/>
      <c r="R46">
        <v>1</v>
      </c>
    </row>
    <row r="47" spans="1:19" x14ac:dyDescent="0.25">
      <c r="A47" s="5"/>
      <c r="B47" s="5" t="s">
        <v>19</v>
      </c>
      <c r="C47" s="5" t="s">
        <v>1737</v>
      </c>
      <c r="D47" s="5" t="s">
        <v>1738</v>
      </c>
      <c r="E47" s="5">
        <v>350</v>
      </c>
      <c r="F47" s="5" t="s">
        <v>1739</v>
      </c>
      <c r="G47" s="5" t="s">
        <v>286</v>
      </c>
      <c r="H47" s="5">
        <v>515</v>
      </c>
      <c r="I47" s="5">
        <v>25</v>
      </c>
      <c r="J47" s="5">
        <f t="shared" si="1"/>
        <v>490</v>
      </c>
      <c r="K47" s="5" t="s">
        <v>1685</v>
      </c>
      <c r="L47" s="5" t="s">
        <v>25</v>
      </c>
      <c r="M47" s="5" t="s">
        <v>1647</v>
      </c>
      <c r="N47" s="5"/>
      <c r="O47" s="5"/>
      <c r="P47" s="5"/>
      <c r="Q47" s="5"/>
      <c r="R47">
        <v>1</v>
      </c>
    </row>
    <row r="48" spans="1:19" x14ac:dyDescent="0.25">
      <c r="A48" s="5"/>
      <c r="B48" s="5" t="s">
        <v>19</v>
      </c>
      <c r="C48" s="5" t="s">
        <v>1740</v>
      </c>
      <c r="D48" s="5" t="s">
        <v>1741</v>
      </c>
      <c r="E48" s="5">
        <v>126</v>
      </c>
      <c r="F48" s="5" t="s">
        <v>1742</v>
      </c>
      <c r="G48" s="5" t="s">
        <v>286</v>
      </c>
      <c r="H48" s="5">
        <v>0</v>
      </c>
      <c r="I48" s="5">
        <v>25</v>
      </c>
      <c r="J48" s="5">
        <f t="shared" si="1"/>
        <v>-25</v>
      </c>
      <c r="K48" s="5" t="s">
        <v>1685</v>
      </c>
      <c r="L48" s="5" t="s">
        <v>25</v>
      </c>
      <c r="M48" s="5" t="s">
        <v>1647</v>
      </c>
      <c r="N48" s="5"/>
      <c r="O48" s="5"/>
      <c r="P48" s="5"/>
      <c r="Q48" s="5"/>
      <c r="R48">
        <v>1</v>
      </c>
      <c r="S48">
        <v>25</v>
      </c>
    </row>
    <row r="49" spans="1:18" x14ac:dyDescent="0.25">
      <c r="A49" s="5"/>
      <c r="B49" s="5" t="s">
        <v>19</v>
      </c>
      <c r="C49" s="5" t="s">
        <v>1743</v>
      </c>
      <c r="D49" s="5" t="s">
        <v>1744</v>
      </c>
      <c r="E49" s="5" t="s">
        <v>1745</v>
      </c>
      <c r="F49" s="5" t="s">
        <v>1746</v>
      </c>
      <c r="G49" s="5">
        <v>2</v>
      </c>
      <c r="H49" s="5">
        <v>740</v>
      </c>
      <c r="I49" s="5">
        <v>30</v>
      </c>
      <c r="J49" s="5">
        <f t="shared" si="1"/>
        <v>710</v>
      </c>
      <c r="K49" s="5" t="s">
        <v>25</v>
      </c>
      <c r="L49" s="5" t="s">
        <v>25</v>
      </c>
      <c r="M49" s="5" t="s">
        <v>1647</v>
      </c>
      <c r="N49" s="5"/>
      <c r="O49" s="5"/>
      <c r="P49" s="5"/>
      <c r="Q49" s="5"/>
      <c r="R49">
        <v>1</v>
      </c>
    </row>
    <row r="50" spans="1:18" x14ac:dyDescent="0.25">
      <c r="A50" s="5"/>
      <c r="B50" s="5" t="s">
        <v>19</v>
      </c>
      <c r="C50" s="5" t="s">
        <v>1747</v>
      </c>
      <c r="D50" s="5" t="s">
        <v>1748</v>
      </c>
      <c r="E50" s="5">
        <v>145</v>
      </c>
      <c r="F50" s="5" t="s">
        <v>1158</v>
      </c>
      <c r="G50" s="5">
        <v>2</v>
      </c>
      <c r="H50" s="5">
        <v>1470</v>
      </c>
      <c r="I50" s="5">
        <v>30</v>
      </c>
      <c r="J50" s="5">
        <f t="shared" si="1"/>
        <v>1440</v>
      </c>
      <c r="K50" s="5" t="s">
        <v>25</v>
      </c>
      <c r="L50" s="5" t="s">
        <v>25</v>
      </c>
      <c r="M50" s="5" t="s">
        <v>1647</v>
      </c>
      <c r="N50" s="5"/>
      <c r="O50" s="5"/>
      <c r="P50" s="5"/>
      <c r="Q50" s="5"/>
      <c r="R50">
        <v>1</v>
      </c>
    </row>
    <row r="51" spans="1:18" x14ac:dyDescent="0.25">
      <c r="A51" s="5"/>
      <c r="B51" s="5" t="s">
        <v>19</v>
      </c>
      <c r="C51" s="5" t="s">
        <v>1749</v>
      </c>
      <c r="D51" s="5" t="s">
        <v>1750</v>
      </c>
      <c r="E51" s="5">
        <v>35</v>
      </c>
      <c r="F51" s="5" t="s">
        <v>1751</v>
      </c>
      <c r="G51" s="5">
        <v>2</v>
      </c>
      <c r="H51" s="5">
        <v>1190</v>
      </c>
      <c r="I51" s="5">
        <v>30</v>
      </c>
      <c r="J51" s="5">
        <f t="shared" si="1"/>
        <v>1160</v>
      </c>
      <c r="K51" s="5" t="s">
        <v>25</v>
      </c>
      <c r="L51" s="5" t="s">
        <v>25</v>
      </c>
      <c r="M51" s="5" t="s">
        <v>1647</v>
      </c>
      <c r="N51" s="5"/>
      <c r="O51" s="5"/>
      <c r="P51" s="5"/>
      <c r="Q51" s="5"/>
      <c r="R51">
        <v>1</v>
      </c>
    </row>
    <row r="52" spans="1:18" x14ac:dyDescent="0.25">
      <c r="A52" s="5"/>
      <c r="B52" s="5" t="s">
        <v>19</v>
      </c>
      <c r="C52" s="5" t="s">
        <v>1752</v>
      </c>
      <c r="D52" s="5" t="s">
        <v>1753</v>
      </c>
      <c r="E52" s="5">
        <v>22</v>
      </c>
      <c r="F52" s="5" t="s">
        <v>1754</v>
      </c>
      <c r="G52" s="5">
        <v>2</v>
      </c>
      <c r="H52" s="5">
        <v>380</v>
      </c>
      <c r="I52" s="5">
        <v>30</v>
      </c>
      <c r="J52" s="5">
        <f t="shared" si="1"/>
        <v>350</v>
      </c>
      <c r="K52" s="5" t="s">
        <v>25</v>
      </c>
      <c r="L52" s="5" t="s">
        <v>25</v>
      </c>
      <c r="M52" s="5" t="s">
        <v>1647</v>
      </c>
      <c r="N52" s="5"/>
      <c r="O52" s="5"/>
      <c r="P52" s="5"/>
      <c r="Q52" s="5"/>
      <c r="R52">
        <v>1</v>
      </c>
    </row>
    <row r="53" spans="1:18" x14ac:dyDescent="0.25">
      <c r="A53" s="5"/>
      <c r="B53" s="5" t="s">
        <v>19</v>
      </c>
      <c r="C53" s="5" t="s">
        <v>1755</v>
      </c>
      <c r="D53" s="5" t="s">
        <v>1756</v>
      </c>
      <c r="E53" s="5" t="s">
        <v>848</v>
      </c>
      <c r="F53" s="5" t="s">
        <v>36</v>
      </c>
      <c r="G53" s="5">
        <v>2</v>
      </c>
      <c r="H53" s="5">
        <v>750</v>
      </c>
      <c r="I53" s="5">
        <v>30</v>
      </c>
      <c r="J53" s="5">
        <f t="shared" si="1"/>
        <v>720</v>
      </c>
      <c r="K53" s="5" t="s">
        <v>25</v>
      </c>
      <c r="L53" s="5" t="s">
        <v>25</v>
      </c>
      <c r="M53" s="5" t="s">
        <v>1647</v>
      </c>
      <c r="N53" s="5"/>
      <c r="O53" s="5"/>
      <c r="P53" s="5"/>
      <c r="Q53" s="5"/>
      <c r="R53">
        <v>1</v>
      </c>
    </row>
    <row r="54" spans="1:18" x14ac:dyDescent="0.25">
      <c r="A54" s="5"/>
      <c r="B54" s="5" t="s">
        <v>19</v>
      </c>
      <c r="C54" s="5" t="s">
        <v>529</v>
      </c>
      <c r="D54" s="5" t="s">
        <v>1757</v>
      </c>
      <c r="E54" s="5" t="s">
        <v>35</v>
      </c>
      <c r="F54" s="5" t="s">
        <v>36</v>
      </c>
      <c r="G54" s="5">
        <v>2</v>
      </c>
      <c r="H54" s="5">
        <v>750</v>
      </c>
      <c r="I54" s="5">
        <v>30</v>
      </c>
      <c r="J54" s="5">
        <f t="shared" si="1"/>
        <v>720</v>
      </c>
      <c r="K54" s="5" t="s">
        <v>25</v>
      </c>
      <c r="L54" s="5" t="s">
        <v>25</v>
      </c>
      <c r="M54" s="5" t="s">
        <v>1647</v>
      </c>
      <c r="N54" s="5"/>
      <c r="O54" s="5"/>
      <c r="P54" s="5"/>
      <c r="Q54" s="5"/>
      <c r="R54">
        <v>1</v>
      </c>
    </row>
    <row r="55" spans="1:18" x14ac:dyDescent="0.25">
      <c r="A55" s="5"/>
      <c r="B55" s="5" t="s">
        <v>19</v>
      </c>
      <c r="C55" s="5" t="s">
        <v>769</v>
      </c>
      <c r="D55" s="5" t="s">
        <v>1758</v>
      </c>
      <c r="E55" s="5" t="s">
        <v>1335</v>
      </c>
      <c r="F55" s="5" t="s">
        <v>118</v>
      </c>
      <c r="G55" s="5">
        <v>2</v>
      </c>
      <c r="H55" s="5">
        <v>750</v>
      </c>
      <c r="I55" s="5">
        <v>30</v>
      </c>
      <c r="J55" s="5">
        <f t="shared" si="1"/>
        <v>720</v>
      </c>
      <c r="K55" s="5" t="s">
        <v>25</v>
      </c>
      <c r="L55" s="5" t="s">
        <v>25</v>
      </c>
      <c r="M55" s="5" t="s">
        <v>1647</v>
      </c>
      <c r="N55" s="5"/>
      <c r="O55" s="5"/>
      <c r="P55" s="5"/>
      <c r="Q55" s="5"/>
      <c r="R55">
        <v>1</v>
      </c>
    </row>
    <row r="56" spans="1:18" x14ac:dyDescent="0.25">
      <c r="A56" s="5"/>
      <c r="B56" s="5" t="s">
        <v>19</v>
      </c>
      <c r="C56" s="5" t="s">
        <v>1759</v>
      </c>
      <c r="D56" s="5" t="s">
        <v>1760</v>
      </c>
      <c r="E56" s="5" t="s">
        <v>1761</v>
      </c>
      <c r="F56" s="5" t="s">
        <v>44</v>
      </c>
      <c r="G56" s="5">
        <v>2</v>
      </c>
      <c r="H56" s="5">
        <v>870</v>
      </c>
      <c r="I56" s="5">
        <v>30</v>
      </c>
      <c r="J56" s="5">
        <f t="shared" si="1"/>
        <v>840</v>
      </c>
      <c r="K56" s="5" t="s">
        <v>25</v>
      </c>
      <c r="L56" s="5" t="s">
        <v>25</v>
      </c>
      <c r="M56" s="5" t="s">
        <v>1647</v>
      </c>
      <c r="N56" s="5"/>
      <c r="O56" s="5"/>
      <c r="P56" s="5"/>
      <c r="Q56" s="5"/>
      <c r="R56">
        <v>1</v>
      </c>
    </row>
    <row r="57" spans="1:18" x14ac:dyDescent="0.25">
      <c r="A57" s="5"/>
      <c r="B57" s="5" t="s">
        <v>19</v>
      </c>
      <c r="C57" s="5" t="s">
        <v>1398</v>
      </c>
      <c r="D57" s="5" t="s">
        <v>1762</v>
      </c>
      <c r="E57" s="5">
        <v>16</v>
      </c>
      <c r="F57" s="5" t="s">
        <v>1763</v>
      </c>
      <c r="G57" s="5" t="s">
        <v>58</v>
      </c>
      <c r="H57" s="5">
        <v>600</v>
      </c>
      <c r="I57" s="5">
        <v>20</v>
      </c>
      <c r="J57" s="5">
        <f t="shared" si="1"/>
        <v>580</v>
      </c>
      <c r="K57" s="5" t="s">
        <v>25</v>
      </c>
      <c r="L57" s="5" t="s">
        <v>25</v>
      </c>
      <c r="M57" s="5" t="s">
        <v>1647</v>
      </c>
      <c r="N57" s="5"/>
      <c r="O57" s="5"/>
      <c r="P57" s="5"/>
      <c r="Q57" s="5"/>
      <c r="R57">
        <v>1</v>
      </c>
    </row>
    <row r="58" spans="1:18" x14ac:dyDescent="0.25">
      <c r="A58" s="5"/>
      <c r="B58" s="5" t="s">
        <v>19</v>
      </c>
      <c r="C58" s="5" t="s">
        <v>1764</v>
      </c>
      <c r="D58" s="5" t="s">
        <v>1765</v>
      </c>
      <c r="E58" s="5" t="s">
        <v>1766</v>
      </c>
      <c r="F58" s="5" t="s">
        <v>471</v>
      </c>
      <c r="G58" s="5" t="s">
        <v>58</v>
      </c>
      <c r="H58" s="5">
        <v>870</v>
      </c>
      <c r="I58" s="5">
        <v>20</v>
      </c>
      <c r="J58" s="5">
        <f t="shared" si="1"/>
        <v>850</v>
      </c>
      <c r="K58" s="5" t="s">
        <v>25</v>
      </c>
      <c r="L58" s="5" t="s">
        <v>25</v>
      </c>
      <c r="M58" s="5" t="s">
        <v>1647</v>
      </c>
      <c r="N58" s="5"/>
      <c r="O58" s="5"/>
      <c r="P58" s="5"/>
      <c r="Q58" s="5"/>
      <c r="R58">
        <v>1</v>
      </c>
    </row>
    <row r="59" spans="1:18" x14ac:dyDescent="0.25">
      <c r="A59" s="5"/>
      <c r="B59" s="5" t="s">
        <v>19</v>
      </c>
      <c r="C59" s="5" t="s">
        <v>1767</v>
      </c>
      <c r="D59" s="5" t="s">
        <v>1768</v>
      </c>
      <c r="E59" s="5">
        <v>208</v>
      </c>
      <c r="F59" s="5" t="s">
        <v>62</v>
      </c>
      <c r="G59" s="5" t="s">
        <v>58</v>
      </c>
      <c r="H59" s="5">
        <v>1070</v>
      </c>
      <c r="I59" s="5">
        <v>20</v>
      </c>
      <c r="J59" s="5">
        <f t="shared" si="1"/>
        <v>1050</v>
      </c>
      <c r="K59" s="5" t="s">
        <v>25</v>
      </c>
      <c r="L59" s="5" t="s">
        <v>25</v>
      </c>
      <c r="M59" s="5" t="s">
        <v>1647</v>
      </c>
      <c r="N59" s="5"/>
      <c r="O59" s="5"/>
      <c r="P59" s="5"/>
      <c r="Q59" s="5"/>
      <c r="R59">
        <v>1</v>
      </c>
    </row>
    <row r="60" spans="1:18" x14ac:dyDescent="0.25">
      <c r="A60" s="5"/>
      <c r="B60" s="5" t="s">
        <v>19</v>
      </c>
      <c r="C60" s="5" t="s">
        <v>1769</v>
      </c>
      <c r="D60" s="5" t="s">
        <v>1770</v>
      </c>
      <c r="E60" s="5" t="s">
        <v>1771</v>
      </c>
      <c r="F60" s="5" t="s">
        <v>107</v>
      </c>
      <c r="G60" s="5" t="s">
        <v>58</v>
      </c>
      <c r="H60" s="5">
        <v>810</v>
      </c>
      <c r="I60" s="5">
        <v>20</v>
      </c>
      <c r="J60" s="5">
        <f t="shared" si="1"/>
        <v>790</v>
      </c>
      <c r="K60" s="5" t="s">
        <v>25</v>
      </c>
      <c r="L60" s="5" t="s">
        <v>25</v>
      </c>
      <c r="M60" s="5" t="s">
        <v>1647</v>
      </c>
      <c r="N60" s="5"/>
      <c r="O60" s="5"/>
      <c r="P60" s="5"/>
      <c r="Q60" s="5"/>
      <c r="R60">
        <v>1</v>
      </c>
    </row>
    <row r="61" spans="1:18" x14ac:dyDescent="0.25">
      <c r="A61" s="5"/>
      <c r="B61" s="5" t="s">
        <v>19</v>
      </c>
      <c r="C61" s="5" t="s">
        <v>1772</v>
      </c>
      <c r="D61" s="5" t="s">
        <v>1773</v>
      </c>
      <c r="E61" s="5" t="s">
        <v>1774</v>
      </c>
      <c r="F61" s="5" t="s">
        <v>670</v>
      </c>
      <c r="G61" s="5" t="s">
        <v>58</v>
      </c>
      <c r="H61" s="5">
        <v>750</v>
      </c>
      <c r="I61" s="5">
        <v>20</v>
      </c>
      <c r="J61" s="5">
        <f t="shared" si="1"/>
        <v>730</v>
      </c>
      <c r="K61" s="5" t="s">
        <v>25</v>
      </c>
      <c r="L61" s="5" t="s">
        <v>25</v>
      </c>
      <c r="M61" s="5" t="s">
        <v>1647</v>
      </c>
      <c r="N61" s="5"/>
      <c r="O61" s="5"/>
      <c r="P61" s="5"/>
      <c r="Q61" s="5"/>
      <c r="R61">
        <v>1</v>
      </c>
    </row>
    <row r="62" spans="1:18" x14ac:dyDescent="0.25">
      <c r="A62" s="5"/>
      <c r="B62" s="5" t="s">
        <v>19</v>
      </c>
      <c r="C62" s="5" t="s">
        <v>1775</v>
      </c>
      <c r="D62" s="5" t="s">
        <v>1776</v>
      </c>
      <c r="E62" s="5" t="s">
        <v>1777</v>
      </c>
      <c r="F62" s="5" t="s">
        <v>670</v>
      </c>
      <c r="G62" s="5" t="s">
        <v>58</v>
      </c>
      <c r="H62" s="5">
        <v>850</v>
      </c>
      <c r="I62" s="5">
        <v>20</v>
      </c>
      <c r="J62" s="5">
        <f t="shared" si="1"/>
        <v>830</v>
      </c>
      <c r="K62" s="5" t="s">
        <v>25</v>
      </c>
      <c r="L62" s="5" t="s">
        <v>25</v>
      </c>
      <c r="M62" s="5" t="s">
        <v>1647</v>
      </c>
      <c r="N62" s="5"/>
      <c r="O62" s="5"/>
      <c r="P62" s="5"/>
      <c r="Q62" s="5"/>
      <c r="R62">
        <v>1</v>
      </c>
    </row>
    <row r="63" spans="1:18" x14ac:dyDescent="0.25">
      <c r="A63" s="5"/>
      <c r="B63" s="5" t="s">
        <v>19</v>
      </c>
      <c r="C63" s="5" t="s">
        <v>1778</v>
      </c>
      <c r="D63" s="5" t="s">
        <v>1779</v>
      </c>
      <c r="E63" s="5" t="s">
        <v>1780</v>
      </c>
      <c r="F63" s="5" t="s">
        <v>65</v>
      </c>
      <c r="G63" s="5" t="s">
        <v>58</v>
      </c>
      <c r="H63" s="5">
        <v>780</v>
      </c>
      <c r="I63" s="5">
        <v>20</v>
      </c>
      <c r="J63" s="5">
        <f t="shared" si="1"/>
        <v>760</v>
      </c>
      <c r="K63" s="5" t="s">
        <v>25</v>
      </c>
      <c r="L63" s="5" t="s">
        <v>25</v>
      </c>
      <c r="M63" s="5" t="s">
        <v>1647</v>
      </c>
      <c r="N63" s="5"/>
      <c r="O63" s="5"/>
      <c r="P63" s="5"/>
      <c r="Q63" s="5"/>
      <c r="R63">
        <v>1</v>
      </c>
    </row>
    <row r="64" spans="1:18" x14ac:dyDescent="0.25">
      <c r="A64" s="5" t="s">
        <v>91</v>
      </c>
      <c r="B64" s="5" t="s">
        <v>19</v>
      </c>
      <c r="C64" s="5" t="s">
        <v>1781</v>
      </c>
      <c r="D64" s="5"/>
      <c r="E64" s="5" t="s">
        <v>655</v>
      </c>
      <c r="F64" s="5" t="s">
        <v>163</v>
      </c>
      <c r="G64" s="5" t="s">
        <v>70</v>
      </c>
      <c r="H64" s="5">
        <v>4110</v>
      </c>
      <c r="I64" s="5">
        <v>30</v>
      </c>
      <c r="J64" s="5">
        <f t="shared" si="1"/>
        <v>4080</v>
      </c>
      <c r="K64" s="5" t="s">
        <v>25</v>
      </c>
      <c r="L64" s="5" t="s">
        <v>25</v>
      </c>
      <c r="M64" s="5" t="s">
        <v>1647</v>
      </c>
      <c r="N64" s="5"/>
      <c r="O64" s="5"/>
      <c r="P64" s="5"/>
      <c r="Q64" s="5"/>
      <c r="R64">
        <v>1</v>
      </c>
    </row>
    <row r="65" spans="1:19" x14ac:dyDescent="0.25">
      <c r="A65" s="5" t="s">
        <v>91</v>
      </c>
      <c r="B65" s="5" t="s">
        <v>19</v>
      </c>
      <c r="C65" s="5" t="s">
        <v>1782</v>
      </c>
      <c r="D65" s="5"/>
      <c r="E65" s="5" t="s">
        <v>1783</v>
      </c>
      <c r="F65" s="5" t="s">
        <v>163</v>
      </c>
      <c r="G65" s="5" t="s">
        <v>70</v>
      </c>
      <c r="H65" s="5">
        <v>30</v>
      </c>
      <c r="I65" s="5">
        <v>30</v>
      </c>
      <c r="J65" s="5">
        <f t="shared" si="1"/>
        <v>0</v>
      </c>
      <c r="K65" s="5" t="s">
        <v>25</v>
      </c>
      <c r="L65" s="5" t="s">
        <v>25</v>
      </c>
      <c r="M65" s="5" t="s">
        <v>1647</v>
      </c>
      <c r="N65" s="5"/>
      <c r="O65" s="5"/>
      <c r="P65" s="5"/>
      <c r="Q65" s="5"/>
      <c r="R65">
        <v>1</v>
      </c>
    </row>
    <row r="66" spans="1:19" x14ac:dyDescent="0.25">
      <c r="A66" s="5"/>
      <c r="B66" s="5" t="s">
        <v>19</v>
      </c>
      <c r="C66" s="5" t="s">
        <v>1784</v>
      </c>
      <c r="D66" s="5" t="s">
        <v>1785</v>
      </c>
      <c r="E66" s="5" t="s">
        <v>1786</v>
      </c>
      <c r="F66" s="5" t="s">
        <v>1787</v>
      </c>
      <c r="G66" s="5" t="s">
        <v>70</v>
      </c>
      <c r="H66" s="5">
        <v>0</v>
      </c>
      <c r="I66" s="5">
        <v>25</v>
      </c>
      <c r="J66" s="5">
        <f t="shared" si="1"/>
        <v>-25</v>
      </c>
      <c r="K66" s="5" t="s">
        <v>25</v>
      </c>
      <c r="L66" s="5" t="s">
        <v>25</v>
      </c>
      <c r="M66" s="5" t="s">
        <v>1647</v>
      </c>
      <c r="N66" s="6" t="s">
        <v>1584</v>
      </c>
      <c r="O66" s="5"/>
      <c r="P66" s="5"/>
      <c r="Q66" s="5"/>
      <c r="R66">
        <v>1</v>
      </c>
      <c r="S66">
        <v>25</v>
      </c>
    </row>
    <row r="67" spans="1:19" x14ac:dyDescent="0.25">
      <c r="A67" s="5"/>
      <c r="B67" s="5" t="s">
        <v>19</v>
      </c>
      <c r="C67" s="5" t="s">
        <v>1788</v>
      </c>
      <c r="D67" s="5" t="s">
        <v>1789</v>
      </c>
      <c r="E67" s="5" t="s">
        <v>1790</v>
      </c>
      <c r="F67" s="5" t="s">
        <v>871</v>
      </c>
      <c r="G67" s="5" t="s">
        <v>70</v>
      </c>
      <c r="H67" s="5">
        <v>1075</v>
      </c>
      <c r="I67" s="5">
        <v>25</v>
      </c>
      <c r="J67" s="5">
        <f t="shared" ref="J67:J81" si="2">H67-I67</f>
        <v>1050</v>
      </c>
      <c r="K67" s="5" t="s">
        <v>25</v>
      </c>
      <c r="L67" s="5" t="s">
        <v>25</v>
      </c>
      <c r="M67" s="5" t="s">
        <v>1647</v>
      </c>
      <c r="N67" s="5"/>
      <c r="O67" s="5"/>
      <c r="P67" s="5"/>
      <c r="Q67" s="5"/>
      <c r="R67">
        <v>1</v>
      </c>
    </row>
    <row r="68" spans="1:19" x14ac:dyDescent="0.25">
      <c r="A68" s="5"/>
      <c r="B68" s="5" t="s">
        <v>19</v>
      </c>
      <c r="C68" s="5" t="s">
        <v>1630</v>
      </c>
      <c r="D68" s="5" t="s">
        <v>1791</v>
      </c>
      <c r="E68" s="5" t="s">
        <v>1632</v>
      </c>
      <c r="F68" s="5" t="s">
        <v>860</v>
      </c>
      <c r="G68" s="5" t="s">
        <v>70</v>
      </c>
      <c r="H68" s="5">
        <v>1985</v>
      </c>
      <c r="I68" s="5">
        <v>25</v>
      </c>
      <c r="J68" s="5">
        <f t="shared" si="2"/>
        <v>1960</v>
      </c>
      <c r="K68" s="5" t="s">
        <v>25</v>
      </c>
      <c r="L68" s="5" t="s">
        <v>25</v>
      </c>
      <c r="M68" s="5" t="s">
        <v>1647</v>
      </c>
      <c r="N68" s="5"/>
      <c r="O68" s="5"/>
      <c r="P68" s="5"/>
      <c r="Q68" s="5"/>
      <c r="R68">
        <v>1</v>
      </c>
    </row>
    <row r="69" spans="1:19" x14ac:dyDescent="0.25">
      <c r="A69" s="5"/>
      <c r="B69" s="5" t="s">
        <v>19</v>
      </c>
      <c r="C69" s="5" t="s">
        <v>1792</v>
      </c>
      <c r="D69" s="5" t="s">
        <v>1793</v>
      </c>
      <c r="E69" s="5" t="s">
        <v>1794</v>
      </c>
      <c r="F69" s="5" t="s">
        <v>74</v>
      </c>
      <c r="G69" s="5" t="s">
        <v>70</v>
      </c>
      <c r="H69" s="5">
        <v>385</v>
      </c>
      <c r="I69" s="5">
        <v>25</v>
      </c>
      <c r="J69" s="5">
        <f t="shared" si="2"/>
        <v>360</v>
      </c>
      <c r="K69" s="5" t="s">
        <v>25</v>
      </c>
      <c r="L69" s="5" t="s">
        <v>25</v>
      </c>
      <c r="M69" s="5" t="s">
        <v>1647</v>
      </c>
      <c r="N69" s="5"/>
      <c r="O69" s="5"/>
      <c r="P69" s="5"/>
      <c r="Q69" s="5"/>
      <c r="R69">
        <v>1</v>
      </c>
    </row>
    <row r="70" spans="1:19" x14ac:dyDescent="0.25">
      <c r="A70" s="5"/>
      <c r="B70" s="5" t="s">
        <v>19</v>
      </c>
      <c r="C70" s="5" t="s">
        <v>71</v>
      </c>
      <c r="D70" s="5" t="s">
        <v>1795</v>
      </c>
      <c r="E70" s="5" t="s">
        <v>73</v>
      </c>
      <c r="F70" s="5" t="s">
        <v>74</v>
      </c>
      <c r="G70" s="5" t="s">
        <v>70</v>
      </c>
      <c r="H70" s="5">
        <v>815</v>
      </c>
      <c r="I70" s="5">
        <v>25</v>
      </c>
      <c r="J70" s="5">
        <f t="shared" si="2"/>
        <v>790</v>
      </c>
      <c r="K70" s="5" t="s">
        <v>25</v>
      </c>
      <c r="L70" s="5" t="s">
        <v>25</v>
      </c>
      <c r="M70" s="5" t="s">
        <v>1647</v>
      </c>
      <c r="N70" s="5"/>
      <c r="O70" s="5"/>
      <c r="P70" s="5"/>
      <c r="Q70" s="5"/>
      <c r="R70">
        <v>1</v>
      </c>
    </row>
    <row r="71" spans="1:19" x14ac:dyDescent="0.25">
      <c r="A71" s="5"/>
      <c r="B71" s="5" t="s">
        <v>19</v>
      </c>
      <c r="C71" s="5" t="s">
        <v>1796</v>
      </c>
      <c r="D71" s="5" t="s">
        <v>1797</v>
      </c>
      <c r="E71" s="5" t="s">
        <v>1798</v>
      </c>
      <c r="F71" s="5" t="s">
        <v>86</v>
      </c>
      <c r="G71" s="5" t="s">
        <v>70</v>
      </c>
      <c r="H71" s="5">
        <v>765</v>
      </c>
      <c r="I71" s="5">
        <v>25</v>
      </c>
      <c r="J71" s="5">
        <f t="shared" si="2"/>
        <v>740</v>
      </c>
      <c r="K71" s="5" t="s">
        <v>25</v>
      </c>
      <c r="L71" s="5" t="s">
        <v>25</v>
      </c>
      <c r="M71" s="5" t="s">
        <v>1647</v>
      </c>
      <c r="N71" s="5"/>
      <c r="O71" s="5"/>
      <c r="P71" s="5"/>
      <c r="Q71" s="5"/>
      <c r="R71">
        <v>1</v>
      </c>
    </row>
    <row r="72" spans="1:19" x14ac:dyDescent="0.25">
      <c r="A72" s="5"/>
      <c r="B72" s="5" t="s">
        <v>19</v>
      </c>
      <c r="C72" s="5" t="s">
        <v>1488</v>
      </c>
      <c r="D72" s="5" t="s">
        <v>1799</v>
      </c>
      <c r="E72" s="5" t="s">
        <v>1800</v>
      </c>
      <c r="F72" s="5" t="s">
        <v>86</v>
      </c>
      <c r="G72" s="5" t="s">
        <v>70</v>
      </c>
      <c r="H72" s="5">
        <v>945</v>
      </c>
      <c r="I72" s="5">
        <v>25</v>
      </c>
      <c r="J72" s="5">
        <f t="shared" si="2"/>
        <v>920</v>
      </c>
      <c r="K72" s="5" t="s">
        <v>25</v>
      </c>
      <c r="L72" s="5" t="s">
        <v>25</v>
      </c>
      <c r="M72" s="5" t="s">
        <v>1647</v>
      </c>
      <c r="N72" s="5"/>
      <c r="O72" s="5"/>
      <c r="P72" s="5"/>
      <c r="Q72" s="5"/>
      <c r="R72">
        <v>1</v>
      </c>
    </row>
    <row r="73" spans="1:19" x14ac:dyDescent="0.25">
      <c r="A73" s="5"/>
      <c r="B73" s="5" t="s">
        <v>19</v>
      </c>
      <c r="C73" s="5" t="s">
        <v>1801</v>
      </c>
      <c r="D73" s="5" t="s">
        <v>1802</v>
      </c>
      <c r="E73" s="5" t="s">
        <v>1803</v>
      </c>
      <c r="F73" s="5" t="s">
        <v>565</v>
      </c>
      <c r="G73" s="5" t="s">
        <v>103</v>
      </c>
      <c r="H73" s="5">
        <v>820</v>
      </c>
      <c r="I73" s="5">
        <v>30</v>
      </c>
      <c r="J73" s="5">
        <f t="shared" si="2"/>
        <v>790</v>
      </c>
      <c r="K73" s="5" t="s">
        <v>25</v>
      </c>
      <c r="L73" s="5" t="s">
        <v>25</v>
      </c>
      <c r="M73" s="5" t="s">
        <v>1647</v>
      </c>
      <c r="N73" s="5"/>
      <c r="O73" s="5"/>
      <c r="P73" s="5"/>
      <c r="Q73" s="5"/>
      <c r="R73">
        <v>1</v>
      </c>
    </row>
    <row r="74" spans="1:19" x14ac:dyDescent="0.25">
      <c r="A74" s="5"/>
      <c r="B74" s="5" t="s">
        <v>19</v>
      </c>
      <c r="C74" s="5" t="s">
        <v>1804</v>
      </c>
      <c r="D74" s="5" t="s">
        <v>1805</v>
      </c>
      <c r="E74" s="5" t="s">
        <v>1806</v>
      </c>
      <c r="F74" s="5" t="s">
        <v>694</v>
      </c>
      <c r="G74" s="5" t="s">
        <v>103</v>
      </c>
      <c r="H74" s="5">
        <v>970</v>
      </c>
      <c r="I74" s="5">
        <v>30</v>
      </c>
      <c r="J74" s="5">
        <f t="shared" si="2"/>
        <v>940</v>
      </c>
      <c r="K74" s="5" t="s">
        <v>25</v>
      </c>
      <c r="L74" s="5" t="s">
        <v>25</v>
      </c>
      <c r="M74" s="5" t="s">
        <v>1647</v>
      </c>
      <c r="N74" s="5"/>
      <c r="O74" s="5"/>
      <c r="P74" s="5"/>
      <c r="Q74" s="5"/>
      <c r="R74">
        <v>1</v>
      </c>
    </row>
    <row r="75" spans="1:19" x14ac:dyDescent="0.25">
      <c r="A75" s="5"/>
      <c r="B75" s="5" t="s">
        <v>19</v>
      </c>
      <c r="C75" s="5" t="s">
        <v>1807</v>
      </c>
      <c r="D75" s="5" t="s">
        <v>1808</v>
      </c>
      <c r="E75" s="5">
        <v>63</v>
      </c>
      <c r="F75" s="5" t="s">
        <v>1607</v>
      </c>
      <c r="G75" s="5" t="s">
        <v>103</v>
      </c>
      <c r="H75" s="5">
        <v>1540</v>
      </c>
      <c r="I75" s="5">
        <v>30</v>
      </c>
      <c r="J75" s="5">
        <f t="shared" si="2"/>
        <v>1510</v>
      </c>
      <c r="K75" s="5" t="s">
        <v>25</v>
      </c>
      <c r="L75" s="5" t="s">
        <v>25</v>
      </c>
      <c r="M75" s="5" t="s">
        <v>1647</v>
      </c>
      <c r="N75" s="5"/>
      <c r="O75" s="5"/>
      <c r="P75" s="5"/>
      <c r="Q75" s="5"/>
      <c r="R75">
        <v>1</v>
      </c>
    </row>
    <row r="76" spans="1:19" x14ac:dyDescent="0.25">
      <c r="A76" s="5"/>
      <c r="B76" s="5" t="s">
        <v>19</v>
      </c>
      <c r="C76" s="5" t="s">
        <v>1809</v>
      </c>
      <c r="D76" s="5" t="s">
        <v>1810</v>
      </c>
      <c r="E76" s="5" t="s">
        <v>1565</v>
      </c>
      <c r="F76" s="5" t="s">
        <v>1811</v>
      </c>
      <c r="G76" s="5">
        <v>9</v>
      </c>
      <c r="H76" s="5">
        <v>380</v>
      </c>
      <c r="I76" s="5">
        <v>30</v>
      </c>
      <c r="J76" s="5">
        <f t="shared" si="2"/>
        <v>350</v>
      </c>
      <c r="K76" s="5" t="s">
        <v>120</v>
      </c>
      <c r="L76" s="5" t="s">
        <v>25</v>
      </c>
      <c r="M76" s="5" t="s">
        <v>1647</v>
      </c>
      <c r="N76" s="5"/>
      <c r="O76" s="5"/>
      <c r="P76" s="5"/>
      <c r="Q76" s="5"/>
      <c r="R76">
        <v>1</v>
      </c>
    </row>
    <row r="77" spans="1:19" x14ac:dyDescent="0.25">
      <c r="A77" s="5"/>
      <c r="B77" s="5" t="s">
        <v>19</v>
      </c>
      <c r="C77" s="5" t="s">
        <v>1809</v>
      </c>
      <c r="D77" s="5" t="s">
        <v>1812</v>
      </c>
      <c r="E77" s="5" t="s">
        <v>1565</v>
      </c>
      <c r="F77" s="5" t="s">
        <v>1811</v>
      </c>
      <c r="G77" s="5">
        <v>9</v>
      </c>
      <c r="H77" s="5">
        <v>790</v>
      </c>
      <c r="I77" s="5">
        <v>30</v>
      </c>
      <c r="J77" s="5">
        <f t="shared" si="2"/>
        <v>760</v>
      </c>
      <c r="K77" s="5" t="s">
        <v>120</v>
      </c>
      <c r="L77" s="5" t="s">
        <v>25</v>
      </c>
      <c r="M77" s="5" t="s">
        <v>1647</v>
      </c>
      <c r="N77" s="5"/>
      <c r="O77" s="5"/>
      <c r="P77" s="5"/>
      <c r="Q77" s="5"/>
      <c r="R77">
        <v>1</v>
      </c>
    </row>
    <row r="78" spans="1:19" x14ac:dyDescent="0.25">
      <c r="A78" s="5"/>
      <c r="B78" s="5" t="s">
        <v>19</v>
      </c>
      <c r="C78" s="5" t="s">
        <v>1813</v>
      </c>
      <c r="D78" s="5" t="s">
        <v>1814</v>
      </c>
      <c r="E78" s="5" t="s">
        <v>1815</v>
      </c>
      <c r="F78" s="5" t="s">
        <v>670</v>
      </c>
      <c r="G78" s="5">
        <v>9</v>
      </c>
      <c r="H78" s="5">
        <v>740</v>
      </c>
      <c r="I78" s="5">
        <v>30</v>
      </c>
      <c r="J78" s="5">
        <f t="shared" si="2"/>
        <v>710</v>
      </c>
      <c r="K78" s="5" t="s">
        <v>120</v>
      </c>
      <c r="L78" s="5" t="s">
        <v>25</v>
      </c>
      <c r="M78" s="5" t="s">
        <v>1647</v>
      </c>
      <c r="N78" s="5"/>
      <c r="O78" s="5"/>
      <c r="P78" s="5"/>
      <c r="Q78" s="5"/>
      <c r="R78">
        <v>1</v>
      </c>
    </row>
    <row r="79" spans="1:19" x14ac:dyDescent="0.25">
      <c r="A79" s="5"/>
      <c r="B79" s="5" t="s">
        <v>19</v>
      </c>
      <c r="C79" s="5" t="s">
        <v>1816</v>
      </c>
      <c r="D79" s="5" t="s">
        <v>1817</v>
      </c>
      <c r="E79" s="5" t="s">
        <v>1818</v>
      </c>
      <c r="F79" s="5" t="s">
        <v>670</v>
      </c>
      <c r="G79" s="5">
        <v>9</v>
      </c>
      <c r="H79" s="5">
        <v>1740</v>
      </c>
      <c r="I79" s="5">
        <v>30</v>
      </c>
      <c r="J79" s="5">
        <f t="shared" si="2"/>
        <v>1710</v>
      </c>
      <c r="K79" s="5" t="s">
        <v>120</v>
      </c>
      <c r="L79" s="5" t="s">
        <v>25</v>
      </c>
      <c r="M79" s="5" t="s">
        <v>1647</v>
      </c>
      <c r="N79" s="5"/>
      <c r="O79" s="5"/>
      <c r="P79" s="5"/>
      <c r="Q79" s="5"/>
      <c r="R79">
        <v>1</v>
      </c>
    </row>
    <row r="80" spans="1:19" x14ac:dyDescent="0.25">
      <c r="A80" s="5"/>
      <c r="B80" s="5" t="s">
        <v>19</v>
      </c>
      <c r="C80" s="5" t="s">
        <v>1284</v>
      </c>
      <c r="D80" s="5" t="s">
        <v>1819</v>
      </c>
      <c r="E80" s="5" t="s">
        <v>1286</v>
      </c>
      <c r="F80" s="5" t="s">
        <v>670</v>
      </c>
      <c r="G80" s="5">
        <v>9</v>
      </c>
      <c r="H80" s="5">
        <v>85</v>
      </c>
      <c r="I80" s="5">
        <v>30</v>
      </c>
      <c r="J80" s="5">
        <f t="shared" si="2"/>
        <v>55</v>
      </c>
      <c r="K80" s="5" t="s">
        <v>120</v>
      </c>
      <c r="L80" s="5" t="s">
        <v>25</v>
      </c>
      <c r="M80" s="5" t="s">
        <v>1647</v>
      </c>
      <c r="N80" s="5"/>
      <c r="O80" s="5"/>
      <c r="P80" s="5"/>
      <c r="Q80" s="5"/>
      <c r="R80">
        <v>1</v>
      </c>
    </row>
    <row r="81" spans="1:20" x14ac:dyDescent="0.25">
      <c r="A81" s="5"/>
      <c r="B81" s="5" t="s">
        <v>19</v>
      </c>
      <c r="C81" s="5" t="s">
        <v>1820</v>
      </c>
      <c r="D81" s="5" t="s">
        <v>1821</v>
      </c>
      <c r="E81" s="5">
        <v>454</v>
      </c>
      <c r="F81" s="5" t="s">
        <v>1822</v>
      </c>
      <c r="G81" s="5">
        <v>9</v>
      </c>
      <c r="H81" s="5">
        <v>730</v>
      </c>
      <c r="I81" s="5">
        <v>30</v>
      </c>
      <c r="J81" s="5">
        <f t="shared" si="2"/>
        <v>700</v>
      </c>
      <c r="K81" s="5" t="s">
        <v>120</v>
      </c>
      <c r="L81" s="5" t="s">
        <v>25</v>
      </c>
      <c r="M81" s="5" t="s">
        <v>1647</v>
      </c>
      <c r="N81" s="5"/>
      <c r="O81" s="5"/>
      <c r="P81" s="5"/>
      <c r="Q81" s="5"/>
      <c r="R81">
        <v>1</v>
      </c>
    </row>
    <row r="83" spans="1:20" x14ac:dyDescent="0.25">
      <c r="H83">
        <f t="shared" ref="H83:T83" si="3">SUBTOTAL(9,H3:H82)</f>
        <v>58035</v>
      </c>
      <c r="I83">
        <f t="shared" si="3"/>
        <v>2180</v>
      </c>
      <c r="J83">
        <f t="shared" si="3"/>
        <v>55855</v>
      </c>
      <c r="K83">
        <f t="shared" si="3"/>
        <v>0</v>
      </c>
      <c r="L83">
        <f t="shared" si="3"/>
        <v>0</v>
      </c>
      <c r="M83">
        <f t="shared" si="3"/>
        <v>0</v>
      </c>
      <c r="N83">
        <f t="shared" si="3"/>
        <v>0</v>
      </c>
      <c r="O83">
        <f t="shared" si="3"/>
        <v>0</v>
      </c>
      <c r="P83">
        <f t="shared" si="3"/>
        <v>0</v>
      </c>
      <c r="Q83">
        <f t="shared" si="3"/>
        <v>0</v>
      </c>
      <c r="R83">
        <f t="shared" si="3"/>
        <v>79</v>
      </c>
      <c r="S83">
        <f t="shared" si="3"/>
        <v>420</v>
      </c>
      <c r="T83">
        <f t="shared" si="3"/>
        <v>0</v>
      </c>
    </row>
    <row r="84" spans="1:20" x14ac:dyDescent="0.25">
      <c r="J84">
        <v>-1600</v>
      </c>
      <c r="K84" t="s">
        <v>1823</v>
      </c>
    </row>
    <row r="87" spans="1:20" ht="20.25" customHeight="1" x14ac:dyDescent="0.3">
      <c r="I87" s="7" t="s">
        <v>1824</v>
      </c>
      <c r="J87" s="8" t="s">
        <v>313</v>
      </c>
      <c r="K87" s="9" t="s">
        <v>314</v>
      </c>
    </row>
    <row r="88" spans="1:20" ht="15.75" customHeight="1" x14ac:dyDescent="0.25">
      <c r="I88" s="10" t="s">
        <v>315</v>
      </c>
      <c r="J88" s="11">
        <f>SUM(J82:J86)</f>
        <v>54255</v>
      </c>
      <c r="K88" s="11">
        <f>R83</f>
        <v>79</v>
      </c>
    </row>
    <row r="89" spans="1:20" x14ac:dyDescent="0.25">
      <c r="I89" s="12" t="s">
        <v>316</v>
      </c>
      <c r="J89" s="13">
        <f>S83</f>
        <v>420</v>
      </c>
      <c r="K89" s="14"/>
    </row>
    <row r="90" spans="1:20" x14ac:dyDescent="0.25">
      <c r="I90" s="12" t="s">
        <v>317</v>
      </c>
      <c r="J90" s="13">
        <f>T82</f>
        <v>0</v>
      </c>
      <c r="K90" s="14"/>
    </row>
    <row r="91" spans="1:20" x14ac:dyDescent="0.25">
      <c r="I91" s="12" t="s">
        <v>318</v>
      </c>
      <c r="J91" s="13">
        <f>U82</f>
        <v>0</v>
      </c>
      <c r="K91" s="14"/>
    </row>
    <row r="92" spans="1:20" x14ac:dyDescent="0.25">
      <c r="I92" s="12" t="s">
        <v>319</v>
      </c>
      <c r="J92" s="13">
        <f>V82</f>
        <v>0</v>
      </c>
      <c r="K92" s="14"/>
    </row>
    <row r="93" spans="1:20" ht="15.75" customHeight="1" x14ac:dyDescent="0.25">
      <c r="I93" s="15" t="s">
        <v>320</v>
      </c>
      <c r="J93" s="16"/>
      <c r="K93" s="16"/>
    </row>
    <row r="94" spans="1:20" ht="15.75" customHeight="1" x14ac:dyDescent="0.25">
      <c r="I94" s="17" t="s">
        <v>321</v>
      </c>
      <c r="J94" s="16"/>
      <c r="K94" s="16"/>
    </row>
    <row r="95" spans="1:20" ht="21" customHeight="1" x14ac:dyDescent="0.35">
      <c r="I95" s="18" t="s">
        <v>322</v>
      </c>
      <c r="J95" s="19">
        <f>SUM(J88:J94)</f>
        <v>54675</v>
      </c>
      <c r="K95" s="19">
        <f>SUM(K88:K92)</f>
        <v>79</v>
      </c>
    </row>
    <row r="97" spans="1:13" x14ac:dyDescent="0.25">
      <c r="A97" t="s">
        <v>488</v>
      </c>
    </row>
    <row r="98" spans="1:13" s="4" customFormat="1" x14ac:dyDescent="0.25">
      <c r="A98" s="2" t="s">
        <v>19</v>
      </c>
      <c r="B98" s="2" t="s">
        <v>1784</v>
      </c>
      <c r="C98" s="2" t="s">
        <v>1785</v>
      </c>
      <c r="D98" s="2" t="s">
        <v>1786</v>
      </c>
      <c r="E98" s="2" t="s">
        <v>1787</v>
      </c>
      <c r="F98" s="2" t="s">
        <v>70</v>
      </c>
      <c r="G98" s="2">
        <v>875</v>
      </c>
      <c r="H98" s="2">
        <v>0</v>
      </c>
      <c r="I98" s="2">
        <f>G98-H98</f>
        <v>875</v>
      </c>
      <c r="J98" s="2" t="s">
        <v>25</v>
      </c>
      <c r="K98" s="2" t="s">
        <v>25</v>
      </c>
      <c r="L98" s="2" t="s">
        <v>1647</v>
      </c>
      <c r="M98" s="3" t="s">
        <v>1584</v>
      </c>
    </row>
  </sheetData>
  <autoFilter ref="A2:Q81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619-C46A-47D8-9E24-6675DE76E0E5}">
  <dimension ref="A1:S38"/>
  <sheetViews>
    <sheetView topLeftCell="A3" zoomScale="90" zoomScaleNormal="90" workbookViewId="0">
      <selection activeCell="E6" sqref="E6"/>
    </sheetView>
  </sheetViews>
  <sheetFormatPr defaultRowHeight="15" x14ac:dyDescent="0.25"/>
  <cols>
    <col min="1" max="1" width="9.140625" customWidth="1"/>
    <col min="2" max="2" width="18" bestFit="1" customWidth="1"/>
    <col min="3" max="3" width="27.85546875" bestFit="1" customWidth="1"/>
    <col min="4" max="4" width="9.5703125" bestFit="1" customWidth="1"/>
    <col min="5" max="5" width="55.28515625" bestFit="1" customWidth="1"/>
    <col min="6" max="7" width="9.140625" customWidth="1"/>
    <col min="8" max="8" width="21.28515625" bestFit="1" customWidth="1"/>
    <col min="9" max="11" width="9.140625" customWidth="1"/>
    <col min="12" max="12" width="12.28515625" bestFit="1" customWidth="1"/>
  </cols>
  <sheetData>
    <row r="1" spans="1:18" x14ac:dyDescent="0.25">
      <c r="B1" t="s">
        <v>330</v>
      </c>
      <c r="C1" t="s">
        <v>1825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 spans="1:18" s="4" customFormat="1" x14ac:dyDescent="0.25">
      <c r="A3" s="5"/>
      <c r="B3" s="5" t="s">
        <v>1827</v>
      </c>
      <c r="C3" s="5" t="s">
        <v>1828</v>
      </c>
      <c r="D3" s="5" t="s">
        <v>1829</v>
      </c>
      <c r="E3" s="5" t="s">
        <v>1830</v>
      </c>
      <c r="F3" s="5">
        <v>9</v>
      </c>
      <c r="G3" s="5">
        <v>820</v>
      </c>
      <c r="H3" s="5">
        <v>30</v>
      </c>
      <c r="I3" s="23">
        <f>G3-H3</f>
        <v>790</v>
      </c>
      <c r="J3" s="5" t="s">
        <v>1831</v>
      </c>
      <c r="K3" s="5" t="s">
        <v>25</v>
      </c>
      <c r="L3" s="5" t="s">
        <v>1832</v>
      </c>
      <c r="M3" s="5"/>
      <c r="N3" s="5"/>
      <c r="O3" s="5"/>
      <c r="P3" s="5"/>
      <c r="Q3" s="4">
        <v>1</v>
      </c>
    </row>
    <row r="4" spans="1:18" x14ac:dyDescent="0.25">
      <c r="A4" s="5" t="s">
        <v>1833</v>
      </c>
      <c r="B4" s="5" t="s">
        <v>1827</v>
      </c>
      <c r="C4" s="5" t="s">
        <v>1834</v>
      </c>
      <c r="D4" s="5"/>
      <c r="E4" s="5" t="s">
        <v>1835</v>
      </c>
      <c r="F4" s="5">
        <v>9</v>
      </c>
      <c r="G4" s="5">
        <v>805</v>
      </c>
      <c r="H4" s="5">
        <v>35</v>
      </c>
      <c r="I4" s="23">
        <f>G4-H4</f>
        <v>770</v>
      </c>
      <c r="J4" s="5" t="s">
        <v>1831</v>
      </c>
      <c r="K4" s="5" t="s">
        <v>25</v>
      </c>
      <c r="L4" s="5" t="s">
        <v>1832</v>
      </c>
      <c r="M4" s="5"/>
      <c r="N4" s="5"/>
      <c r="O4" s="5"/>
      <c r="P4" s="5"/>
      <c r="Q4">
        <v>1</v>
      </c>
    </row>
    <row r="5" spans="1:18" x14ac:dyDescent="0.25">
      <c r="A5" s="5"/>
      <c r="B5" s="5" t="s">
        <v>1827</v>
      </c>
      <c r="C5" s="5" t="s">
        <v>1836</v>
      </c>
      <c r="D5" s="5" t="s">
        <v>1837</v>
      </c>
      <c r="E5" s="5" t="s">
        <v>1838</v>
      </c>
      <c r="F5" s="5">
        <v>6</v>
      </c>
      <c r="G5" s="5">
        <v>745</v>
      </c>
      <c r="H5" s="5">
        <v>25</v>
      </c>
      <c r="I5" s="23">
        <f>G5-H5</f>
        <v>720</v>
      </c>
      <c r="J5" s="5" t="s">
        <v>1839</v>
      </c>
      <c r="K5" s="5" t="s">
        <v>25</v>
      </c>
      <c r="L5" s="5" t="s">
        <v>1832</v>
      </c>
      <c r="M5" s="5"/>
      <c r="N5" s="5"/>
      <c r="O5" s="5"/>
      <c r="P5" s="5"/>
      <c r="Q5">
        <v>1</v>
      </c>
    </row>
    <row r="6" spans="1:18" x14ac:dyDescent="0.25">
      <c r="A6" s="5" t="s">
        <v>1833</v>
      </c>
      <c r="B6" s="5" t="s">
        <v>1827</v>
      </c>
      <c r="C6" s="5" t="s">
        <v>1840</v>
      </c>
      <c r="D6" s="5"/>
      <c r="E6" s="5" t="s">
        <v>1841</v>
      </c>
      <c r="F6" s="5">
        <v>6</v>
      </c>
      <c r="G6" s="5">
        <v>0</v>
      </c>
      <c r="H6" s="5">
        <v>30</v>
      </c>
      <c r="I6" s="23">
        <f>-H6</f>
        <v>-30</v>
      </c>
      <c r="J6" s="5" t="s">
        <v>1839</v>
      </c>
      <c r="K6" s="5" t="s">
        <v>25</v>
      </c>
      <c r="L6" s="5" t="s">
        <v>1832</v>
      </c>
      <c r="M6" s="5"/>
      <c r="N6" s="5"/>
      <c r="O6" s="5"/>
      <c r="P6" s="5"/>
      <c r="Q6">
        <v>1</v>
      </c>
      <c r="R6">
        <f>H6</f>
        <v>30</v>
      </c>
    </row>
    <row r="7" spans="1:18" s="22" customFormat="1" x14ac:dyDescent="0.25">
      <c r="A7" s="21" t="s">
        <v>1833</v>
      </c>
      <c r="B7" s="21" t="s">
        <v>1827</v>
      </c>
      <c r="C7" s="21" t="s">
        <v>1842</v>
      </c>
      <c r="D7" s="21"/>
      <c r="E7" s="21" t="s">
        <v>1843</v>
      </c>
      <c r="F7" s="21">
        <v>6</v>
      </c>
      <c r="G7" s="21">
        <v>650</v>
      </c>
      <c r="H7" s="21">
        <v>30</v>
      </c>
      <c r="I7" s="24">
        <f t="shared" ref="I7:I13" si="0">G7-H7</f>
        <v>620</v>
      </c>
      <c r="J7" s="21" t="s">
        <v>1839</v>
      </c>
      <c r="K7" s="21" t="s">
        <v>25</v>
      </c>
      <c r="L7" s="21" t="s">
        <v>1832</v>
      </c>
      <c r="M7" s="21"/>
      <c r="N7" s="21"/>
      <c r="O7" s="21"/>
      <c r="P7" s="21"/>
      <c r="Q7" s="22">
        <v>1</v>
      </c>
    </row>
    <row r="8" spans="1:18" x14ac:dyDescent="0.25">
      <c r="A8" s="5"/>
      <c r="B8" s="5" t="s">
        <v>1827</v>
      </c>
      <c r="C8" s="5" t="s">
        <v>1844</v>
      </c>
      <c r="D8" s="5" t="s">
        <v>1845</v>
      </c>
      <c r="E8" s="5" t="s">
        <v>1846</v>
      </c>
      <c r="F8" s="5">
        <v>7</v>
      </c>
      <c r="G8" s="5">
        <v>610</v>
      </c>
      <c r="H8" s="5">
        <v>30</v>
      </c>
      <c r="I8" s="23">
        <f t="shared" si="0"/>
        <v>580</v>
      </c>
      <c r="J8" s="5" t="s">
        <v>1839</v>
      </c>
      <c r="K8" s="5" t="s">
        <v>25</v>
      </c>
      <c r="L8" s="5" t="s">
        <v>1832</v>
      </c>
      <c r="M8" s="5"/>
      <c r="N8" s="5"/>
      <c r="O8" s="5"/>
      <c r="P8" s="5"/>
      <c r="Q8">
        <v>1</v>
      </c>
    </row>
    <row r="9" spans="1:18" x14ac:dyDescent="0.25">
      <c r="A9" s="5"/>
      <c r="B9" s="5" t="s">
        <v>1827</v>
      </c>
      <c r="C9" s="5" t="s">
        <v>1847</v>
      </c>
      <c r="D9" s="5" t="s">
        <v>1848</v>
      </c>
      <c r="E9" s="5" t="s">
        <v>1849</v>
      </c>
      <c r="F9" s="5">
        <v>7</v>
      </c>
      <c r="G9" s="5">
        <v>820</v>
      </c>
      <c r="H9" s="5">
        <v>30</v>
      </c>
      <c r="I9" s="23">
        <f t="shared" si="0"/>
        <v>790</v>
      </c>
      <c r="J9" s="5" t="s">
        <v>1839</v>
      </c>
      <c r="K9" s="5" t="s">
        <v>25</v>
      </c>
      <c r="L9" s="5" t="s">
        <v>1832</v>
      </c>
      <c r="M9" s="5"/>
      <c r="N9" s="5"/>
      <c r="O9" s="5"/>
      <c r="P9" s="5"/>
      <c r="Q9">
        <v>1</v>
      </c>
    </row>
    <row r="10" spans="1:18" x14ac:dyDescent="0.25">
      <c r="A10" s="5"/>
      <c r="B10" s="5" t="s">
        <v>1827</v>
      </c>
      <c r="C10" s="5" t="s">
        <v>1850</v>
      </c>
      <c r="D10" s="5" t="s">
        <v>1851</v>
      </c>
      <c r="E10" s="5" t="s">
        <v>1852</v>
      </c>
      <c r="F10" s="5" t="s">
        <v>1853</v>
      </c>
      <c r="G10" s="5">
        <v>770</v>
      </c>
      <c r="H10" s="5">
        <v>30</v>
      </c>
      <c r="I10" s="23">
        <f t="shared" si="0"/>
        <v>740</v>
      </c>
      <c r="J10" s="5" t="s">
        <v>1839</v>
      </c>
      <c r="K10" s="5" t="s">
        <v>25</v>
      </c>
      <c r="L10" s="5" t="s">
        <v>1832</v>
      </c>
      <c r="M10" s="5"/>
      <c r="N10" s="5"/>
      <c r="O10" s="5"/>
      <c r="P10" s="5"/>
      <c r="Q10">
        <v>1</v>
      </c>
    </row>
    <row r="11" spans="1:18" x14ac:dyDescent="0.25">
      <c r="A11" s="5"/>
      <c r="B11" s="5" t="s">
        <v>1827</v>
      </c>
      <c r="C11" s="5" t="s">
        <v>1854</v>
      </c>
      <c r="D11" s="5" t="s">
        <v>1855</v>
      </c>
      <c r="E11" s="5" t="s">
        <v>1856</v>
      </c>
      <c r="F11" s="5" t="s">
        <v>1853</v>
      </c>
      <c r="G11" s="5">
        <v>820</v>
      </c>
      <c r="H11" s="5">
        <v>30</v>
      </c>
      <c r="I11" s="23">
        <f t="shared" si="0"/>
        <v>790</v>
      </c>
      <c r="J11" s="5" t="s">
        <v>1839</v>
      </c>
      <c r="K11" s="5" t="s">
        <v>25</v>
      </c>
      <c r="L11" s="5" t="s">
        <v>1832</v>
      </c>
      <c r="M11" s="5"/>
      <c r="N11" s="5"/>
      <c r="O11" s="5"/>
      <c r="P11" s="5"/>
      <c r="Q11">
        <v>1</v>
      </c>
    </row>
    <row r="12" spans="1:18" x14ac:dyDescent="0.25">
      <c r="A12" s="5"/>
      <c r="B12" s="5" t="s">
        <v>1827</v>
      </c>
      <c r="C12" s="5" t="s">
        <v>1857</v>
      </c>
      <c r="D12" s="5" t="s">
        <v>1858</v>
      </c>
      <c r="E12" s="5" t="s">
        <v>1859</v>
      </c>
      <c r="F12" s="5" t="s">
        <v>98</v>
      </c>
      <c r="G12" s="5">
        <v>945</v>
      </c>
      <c r="H12" s="5">
        <v>25</v>
      </c>
      <c r="I12" s="23">
        <f t="shared" si="0"/>
        <v>920</v>
      </c>
      <c r="J12" s="5" t="s">
        <v>1839</v>
      </c>
      <c r="K12" s="5" t="s">
        <v>25</v>
      </c>
      <c r="L12" s="5" t="s">
        <v>1832</v>
      </c>
      <c r="M12" s="5"/>
      <c r="N12" s="5"/>
      <c r="O12" s="5"/>
      <c r="P12" s="5"/>
      <c r="Q12">
        <v>1</v>
      </c>
    </row>
    <row r="13" spans="1:18" x14ac:dyDescent="0.25">
      <c r="A13" s="5"/>
      <c r="B13" s="5" t="s">
        <v>1827</v>
      </c>
      <c r="C13" s="5" t="s">
        <v>1860</v>
      </c>
      <c r="D13" s="5" t="s">
        <v>1861</v>
      </c>
      <c r="E13" s="5" t="s">
        <v>1862</v>
      </c>
      <c r="F13" s="5" t="s">
        <v>607</v>
      </c>
      <c r="G13" s="5">
        <v>730</v>
      </c>
      <c r="H13" s="5">
        <v>30</v>
      </c>
      <c r="I13" s="23">
        <f t="shared" si="0"/>
        <v>700</v>
      </c>
      <c r="J13" s="5" t="s">
        <v>1839</v>
      </c>
      <c r="K13" s="5" t="s">
        <v>25</v>
      </c>
      <c r="L13" s="5" t="s">
        <v>1832</v>
      </c>
      <c r="M13" s="5"/>
      <c r="N13" s="5"/>
      <c r="O13" s="5"/>
      <c r="P13" s="5"/>
      <c r="Q13">
        <v>1</v>
      </c>
    </row>
    <row r="14" spans="1:18" x14ac:dyDescent="0.25">
      <c r="A14" s="5"/>
      <c r="B14" s="5" t="s">
        <v>1827</v>
      </c>
      <c r="C14" s="5" t="s">
        <v>1863</v>
      </c>
      <c r="D14" s="5" t="s">
        <v>1864</v>
      </c>
      <c r="E14" s="5" t="s">
        <v>1865</v>
      </c>
      <c r="F14" s="5" t="s">
        <v>607</v>
      </c>
      <c r="G14" s="5">
        <v>0</v>
      </c>
      <c r="H14" s="5">
        <v>25</v>
      </c>
      <c r="I14" s="23">
        <f>-H14</f>
        <v>-25</v>
      </c>
      <c r="J14" s="5" t="s">
        <v>1839</v>
      </c>
      <c r="K14" s="5" t="s">
        <v>25</v>
      </c>
      <c r="L14" s="5" t="s">
        <v>1832</v>
      </c>
      <c r="M14" s="5"/>
      <c r="N14" s="5"/>
      <c r="O14" s="5"/>
      <c r="P14" s="5"/>
      <c r="Q14">
        <v>1</v>
      </c>
      <c r="R14">
        <f>H14</f>
        <v>25</v>
      </c>
    </row>
    <row r="15" spans="1:18" x14ac:dyDescent="0.25">
      <c r="A15" s="5"/>
      <c r="B15" s="5" t="s">
        <v>1827</v>
      </c>
      <c r="C15" s="5" t="s">
        <v>1866</v>
      </c>
      <c r="D15" s="5" t="s">
        <v>1867</v>
      </c>
      <c r="E15" s="5" t="s">
        <v>1868</v>
      </c>
      <c r="F15" s="5" t="s">
        <v>70</v>
      </c>
      <c r="G15" s="5">
        <v>745</v>
      </c>
      <c r="H15" s="5">
        <v>25</v>
      </c>
      <c r="I15" s="23">
        <f>G15-H15</f>
        <v>720</v>
      </c>
      <c r="J15" s="5" t="s">
        <v>25</v>
      </c>
      <c r="K15" s="5" t="s">
        <v>25</v>
      </c>
      <c r="L15" s="5" t="s">
        <v>1832</v>
      </c>
      <c r="M15" s="5"/>
      <c r="N15" s="5"/>
      <c r="O15" s="5"/>
      <c r="P15" s="5"/>
      <c r="Q15">
        <v>1</v>
      </c>
    </row>
    <row r="16" spans="1:18" x14ac:dyDescent="0.25">
      <c r="A16" s="5"/>
      <c r="B16" s="5" t="s">
        <v>1827</v>
      </c>
      <c r="C16" s="5" t="s">
        <v>1869</v>
      </c>
      <c r="D16" s="5" t="s">
        <v>1870</v>
      </c>
      <c r="E16" s="5" t="s">
        <v>1871</v>
      </c>
      <c r="F16" s="5" t="s">
        <v>58</v>
      </c>
      <c r="G16" s="5">
        <v>0</v>
      </c>
      <c r="H16" s="5">
        <v>20</v>
      </c>
      <c r="I16" s="23">
        <f>-H16</f>
        <v>-20</v>
      </c>
      <c r="J16" s="5" t="s">
        <v>25</v>
      </c>
      <c r="K16" s="5" t="s">
        <v>25</v>
      </c>
      <c r="L16" s="5" t="s">
        <v>1832</v>
      </c>
      <c r="M16" s="5"/>
      <c r="N16" s="5"/>
      <c r="O16" s="5"/>
      <c r="P16" s="5"/>
      <c r="Q16">
        <v>1</v>
      </c>
      <c r="R16">
        <f>H16</f>
        <v>20</v>
      </c>
    </row>
    <row r="17" spans="1:19" x14ac:dyDescent="0.25">
      <c r="A17" s="5"/>
      <c r="B17" s="5" t="s">
        <v>1827</v>
      </c>
      <c r="C17" s="5" t="s">
        <v>1872</v>
      </c>
      <c r="D17" s="5" t="s">
        <v>1873</v>
      </c>
      <c r="E17" s="5" t="s">
        <v>1874</v>
      </c>
      <c r="F17" s="5" t="s">
        <v>70</v>
      </c>
      <c r="G17" s="5">
        <v>915</v>
      </c>
      <c r="H17" s="5">
        <v>25</v>
      </c>
      <c r="I17" s="23">
        <f>G17-H17</f>
        <v>890</v>
      </c>
      <c r="J17" s="5" t="s">
        <v>25</v>
      </c>
      <c r="K17" s="5" t="s">
        <v>25</v>
      </c>
      <c r="L17" s="5" t="s">
        <v>1832</v>
      </c>
      <c r="M17" s="5"/>
      <c r="N17" s="5"/>
      <c r="O17" s="5"/>
      <c r="P17" s="5"/>
      <c r="Q17">
        <v>1</v>
      </c>
    </row>
    <row r="18" spans="1:19" x14ac:dyDescent="0.25">
      <c r="A18" s="5" t="s">
        <v>1833</v>
      </c>
      <c r="B18" s="5" t="s">
        <v>1827</v>
      </c>
      <c r="C18" s="5" t="s">
        <v>1875</v>
      </c>
      <c r="D18" s="5"/>
      <c r="E18" s="5" t="s">
        <v>1876</v>
      </c>
      <c r="F18" s="5" t="s">
        <v>70</v>
      </c>
      <c r="G18" s="5">
        <v>1920</v>
      </c>
      <c r="H18" s="5">
        <v>30</v>
      </c>
      <c r="I18" s="23">
        <f>G18-H18</f>
        <v>1890</v>
      </c>
      <c r="J18" s="5" t="s">
        <v>25</v>
      </c>
      <c r="K18" s="5" t="s">
        <v>25</v>
      </c>
      <c r="L18" s="5" t="s">
        <v>1832</v>
      </c>
      <c r="M18" s="5"/>
      <c r="N18" s="5"/>
      <c r="O18" s="5"/>
      <c r="P18" s="5"/>
      <c r="Q18">
        <v>1</v>
      </c>
    </row>
    <row r="19" spans="1:19" x14ac:dyDescent="0.25">
      <c r="A19" s="5" t="s">
        <v>1833</v>
      </c>
      <c r="B19" s="5" t="s">
        <v>1827</v>
      </c>
      <c r="C19" s="5" t="s">
        <v>1877</v>
      </c>
      <c r="D19" s="5"/>
      <c r="E19" s="5" t="s">
        <v>1878</v>
      </c>
      <c r="F19" s="5" t="s">
        <v>70</v>
      </c>
      <c r="G19" s="5">
        <v>30</v>
      </c>
      <c r="H19" s="5">
        <v>30</v>
      </c>
      <c r="I19" s="23">
        <f>G19-H19</f>
        <v>0</v>
      </c>
      <c r="J19" s="5" t="s">
        <v>25</v>
      </c>
      <c r="K19" s="5" t="s">
        <v>25</v>
      </c>
      <c r="L19" s="5" t="s">
        <v>1832</v>
      </c>
      <c r="M19" s="5"/>
      <c r="N19" s="5"/>
      <c r="O19" s="5"/>
      <c r="P19" s="5"/>
      <c r="Q19">
        <v>1</v>
      </c>
    </row>
    <row r="20" spans="1:19" x14ac:dyDescent="0.25">
      <c r="A20" s="5" t="s">
        <v>1833</v>
      </c>
      <c r="B20" s="5" t="s">
        <v>1827</v>
      </c>
      <c r="C20" s="5" t="s">
        <v>1879</v>
      </c>
      <c r="D20" s="5"/>
      <c r="E20" s="5" t="s">
        <v>1880</v>
      </c>
      <c r="F20" s="5" t="s">
        <v>98</v>
      </c>
      <c r="G20" s="5">
        <v>35</v>
      </c>
      <c r="H20" s="5">
        <v>35</v>
      </c>
      <c r="I20" s="23">
        <f>G20-H20</f>
        <v>0</v>
      </c>
      <c r="J20" s="5" t="s">
        <v>25</v>
      </c>
      <c r="K20" s="5" t="s">
        <v>25</v>
      </c>
      <c r="L20" s="5" t="s">
        <v>1832</v>
      </c>
      <c r="M20" s="5"/>
      <c r="N20" s="5"/>
      <c r="O20" s="5"/>
      <c r="P20" s="5"/>
      <c r="Q20">
        <v>1</v>
      </c>
    </row>
    <row r="21" spans="1:19" x14ac:dyDescent="0.25">
      <c r="A21" s="5"/>
      <c r="B21" s="5" t="s">
        <v>1827</v>
      </c>
      <c r="C21" s="5" t="s">
        <v>1881</v>
      </c>
      <c r="D21" s="5" t="s">
        <v>1882</v>
      </c>
      <c r="E21" s="5" t="s">
        <v>1883</v>
      </c>
      <c r="F21" s="5" t="s">
        <v>98</v>
      </c>
      <c r="G21" s="5">
        <v>0</v>
      </c>
      <c r="H21" s="5">
        <v>25</v>
      </c>
      <c r="I21" s="23">
        <f>-H21</f>
        <v>-25</v>
      </c>
      <c r="J21" s="5" t="s">
        <v>1884</v>
      </c>
      <c r="K21" s="5" t="s">
        <v>25</v>
      </c>
      <c r="L21" s="5" t="s">
        <v>1832</v>
      </c>
      <c r="M21" s="5"/>
      <c r="N21" s="5"/>
      <c r="O21" s="5"/>
      <c r="P21" s="5"/>
      <c r="Q21">
        <v>1</v>
      </c>
      <c r="R21">
        <f>H21</f>
        <v>25</v>
      </c>
    </row>
    <row r="22" spans="1:19" x14ac:dyDescent="0.25">
      <c r="A22" s="5"/>
      <c r="B22" s="5" t="s">
        <v>1827</v>
      </c>
      <c r="C22" s="5" t="s">
        <v>1885</v>
      </c>
      <c r="D22" s="5" t="s">
        <v>1886</v>
      </c>
      <c r="E22" s="5" t="s">
        <v>1887</v>
      </c>
      <c r="F22" s="5">
        <v>1</v>
      </c>
      <c r="G22" s="5">
        <v>755</v>
      </c>
      <c r="H22" s="5">
        <v>25</v>
      </c>
      <c r="I22" s="23">
        <f>G22-H22</f>
        <v>730</v>
      </c>
      <c r="J22" s="5" t="s">
        <v>1884</v>
      </c>
      <c r="K22" s="5" t="s">
        <v>25</v>
      </c>
      <c r="L22" s="5" t="s">
        <v>1832</v>
      </c>
      <c r="M22" s="5"/>
      <c r="N22" s="5"/>
      <c r="O22" s="5"/>
      <c r="P22" s="5"/>
      <c r="Q22">
        <v>1</v>
      </c>
    </row>
    <row r="23" spans="1:19" x14ac:dyDescent="0.25">
      <c r="A23" s="5"/>
      <c r="B23" s="5" t="s">
        <v>1827</v>
      </c>
      <c r="C23" s="5" t="s">
        <v>1888</v>
      </c>
      <c r="D23" s="5" t="s">
        <v>1889</v>
      </c>
      <c r="E23" s="5" t="s">
        <v>1890</v>
      </c>
      <c r="F23" s="5">
        <v>4</v>
      </c>
      <c r="G23" s="5">
        <v>815</v>
      </c>
      <c r="H23" s="5">
        <v>25</v>
      </c>
      <c r="I23" s="23">
        <f>G23-H23</f>
        <v>790</v>
      </c>
      <c r="J23" s="5" t="s">
        <v>1884</v>
      </c>
      <c r="K23" s="5" t="s">
        <v>25</v>
      </c>
      <c r="L23" s="5" t="s">
        <v>1832</v>
      </c>
      <c r="M23" s="5"/>
      <c r="N23" s="5"/>
      <c r="O23" s="5"/>
      <c r="P23" s="5"/>
      <c r="Q23">
        <v>1</v>
      </c>
    </row>
    <row r="24" spans="1:19" x14ac:dyDescent="0.25">
      <c r="A24" s="5" t="s">
        <v>1833</v>
      </c>
      <c r="B24" s="5" t="s">
        <v>1827</v>
      </c>
      <c r="C24" s="5" t="s">
        <v>1891</v>
      </c>
      <c r="D24" s="5"/>
      <c r="E24" s="5" t="s">
        <v>1892</v>
      </c>
      <c r="F24" s="5">
        <v>12</v>
      </c>
      <c r="G24" s="5">
        <v>0</v>
      </c>
      <c r="H24" s="5">
        <v>45</v>
      </c>
      <c r="I24" s="23">
        <f>G24-H24</f>
        <v>-45</v>
      </c>
      <c r="J24" s="5" t="s">
        <v>1884</v>
      </c>
      <c r="K24" s="5" t="s">
        <v>25</v>
      </c>
      <c r="L24" s="5" t="s">
        <v>1832</v>
      </c>
      <c r="M24" s="5"/>
      <c r="N24" s="5"/>
      <c r="O24" s="5"/>
      <c r="P24" s="5"/>
      <c r="Q24">
        <v>1</v>
      </c>
      <c r="R24">
        <f>H24</f>
        <v>45</v>
      </c>
    </row>
    <row r="26" spans="1:19" x14ac:dyDescent="0.25">
      <c r="G26">
        <f t="shared" ref="G26:S26" si="1">SUBTOTAL(9,G3:G25)</f>
        <v>12930</v>
      </c>
      <c r="H26">
        <f t="shared" si="1"/>
        <v>635</v>
      </c>
      <c r="I26">
        <f t="shared" si="1"/>
        <v>12295</v>
      </c>
      <c r="J26">
        <f t="shared" si="1"/>
        <v>0</v>
      </c>
      <c r="K26">
        <f t="shared" si="1"/>
        <v>0</v>
      </c>
      <c r="L26">
        <f t="shared" si="1"/>
        <v>0</v>
      </c>
      <c r="M26">
        <f t="shared" si="1"/>
        <v>0</v>
      </c>
      <c r="N26">
        <f t="shared" si="1"/>
        <v>0</v>
      </c>
      <c r="O26">
        <f t="shared" si="1"/>
        <v>0</v>
      </c>
      <c r="P26">
        <f t="shared" si="1"/>
        <v>0</v>
      </c>
      <c r="Q26">
        <f t="shared" si="1"/>
        <v>22</v>
      </c>
      <c r="R26">
        <f t="shared" si="1"/>
        <v>145</v>
      </c>
      <c r="S26">
        <f t="shared" si="1"/>
        <v>0</v>
      </c>
    </row>
    <row r="30" spans="1:19" ht="20.25" customHeight="1" x14ac:dyDescent="0.3">
      <c r="H30" s="7" t="s">
        <v>1893</v>
      </c>
      <c r="I30" s="8" t="s">
        <v>313</v>
      </c>
      <c r="J30" s="9" t="s">
        <v>314</v>
      </c>
    </row>
    <row r="31" spans="1:19" ht="15.75" customHeight="1" x14ac:dyDescent="0.25">
      <c r="H31" s="10" t="s">
        <v>315</v>
      </c>
      <c r="I31" s="11">
        <f>SUM(I25:I29)</f>
        <v>12295</v>
      </c>
      <c r="J31" s="11">
        <f>Q26</f>
        <v>22</v>
      </c>
    </row>
    <row r="32" spans="1:19" x14ac:dyDescent="0.25">
      <c r="H32" s="12" t="s">
        <v>316</v>
      </c>
      <c r="I32" s="13">
        <f>R26</f>
        <v>145</v>
      </c>
      <c r="J32" s="14"/>
    </row>
    <row r="33" spans="8:10" x14ac:dyDescent="0.25">
      <c r="H33" s="12" t="s">
        <v>317</v>
      </c>
      <c r="I33" s="13">
        <f>S25</f>
        <v>0</v>
      </c>
      <c r="J33" s="14"/>
    </row>
    <row r="34" spans="8:10" x14ac:dyDescent="0.25">
      <c r="H34" s="12" t="s">
        <v>318</v>
      </c>
      <c r="I34" s="13">
        <f>T25</f>
        <v>0</v>
      </c>
      <c r="J34" s="14"/>
    </row>
    <row r="35" spans="8:10" x14ac:dyDescent="0.25">
      <c r="H35" s="12" t="s">
        <v>319</v>
      </c>
      <c r="I35" s="13">
        <f>U25</f>
        <v>0</v>
      </c>
      <c r="J35" s="14"/>
    </row>
    <row r="36" spans="8:10" ht="15.75" customHeight="1" x14ac:dyDescent="0.25">
      <c r="H36" s="15" t="s">
        <v>320</v>
      </c>
      <c r="I36" s="16"/>
      <c r="J36" s="16"/>
    </row>
    <row r="37" spans="8:10" ht="15.75" customHeight="1" x14ac:dyDescent="0.25">
      <c r="H37" s="17" t="s">
        <v>321</v>
      </c>
      <c r="I37" s="16"/>
      <c r="J37" s="16"/>
    </row>
    <row r="38" spans="8:10" ht="21" customHeight="1" x14ac:dyDescent="0.35">
      <c r="H38" s="18" t="s">
        <v>322</v>
      </c>
      <c r="I38" s="19">
        <f>SUM(I31:I37)</f>
        <v>12440</v>
      </c>
      <c r="J38" s="19">
        <f>SUM(J31:J35)</f>
        <v>22</v>
      </c>
    </row>
  </sheetData>
  <autoFilter ref="A2:P24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A3E6-5335-46FB-860A-11F21DF4CA9C}">
  <dimension ref="A1:S38"/>
  <sheetViews>
    <sheetView topLeftCell="A6" zoomScale="85" zoomScaleNormal="85" workbookViewId="0">
      <selection activeCell="Q3" sqref="Q3:Q21"/>
    </sheetView>
  </sheetViews>
  <sheetFormatPr defaultRowHeight="15" x14ac:dyDescent="0.25"/>
  <cols>
    <col min="1" max="1" width="9.140625" customWidth="1"/>
    <col min="2" max="2" width="18" bestFit="1" customWidth="1"/>
    <col min="3" max="3" width="27.85546875" bestFit="1" customWidth="1"/>
    <col min="4" max="4" width="9.5703125" bestFit="1" customWidth="1"/>
    <col min="5" max="5" width="55.28515625" bestFit="1" customWidth="1"/>
    <col min="6" max="7" width="9.140625" customWidth="1"/>
    <col min="8" max="8" width="21.28515625" bestFit="1" customWidth="1"/>
    <col min="9" max="11" width="9.140625" customWidth="1"/>
    <col min="12" max="12" width="12.28515625" bestFit="1" customWidth="1"/>
    <col min="13" max="13" width="12.140625" bestFit="1" customWidth="1"/>
  </cols>
  <sheetData>
    <row r="1" spans="1:18" x14ac:dyDescent="0.25">
      <c r="B1" t="s">
        <v>489</v>
      </c>
      <c r="C1" t="s">
        <v>1894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 spans="1:18" s="4" customFormat="1" x14ac:dyDescent="0.25">
      <c r="A3" s="5"/>
      <c r="B3" s="5" t="s">
        <v>1827</v>
      </c>
      <c r="C3" s="5" t="s">
        <v>1895</v>
      </c>
      <c r="D3" s="5" t="s">
        <v>1896</v>
      </c>
      <c r="E3" s="5" t="s">
        <v>1897</v>
      </c>
      <c r="F3" s="5">
        <v>7</v>
      </c>
      <c r="G3" s="5">
        <v>670</v>
      </c>
      <c r="H3" s="5">
        <v>30</v>
      </c>
      <c r="I3" s="23">
        <v>640</v>
      </c>
      <c r="J3" s="5" t="s">
        <v>1898</v>
      </c>
      <c r="K3" s="5" t="s">
        <v>25</v>
      </c>
      <c r="L3" s="5" t="s">
        <v>1899</v>
      </c>
      <c r="M3" s="5" t="s">
        <v>350</v>
      </c>
      <c r="N3" s="5"/>
      <c r="O3" s="5"/>
      <c r="P3" s="5"/>
      <c r="Q3" s="50">
        <v>1</v>
      </c>
    </row>
    <row r="4" spans="1:18" x14ac:dyDescent="0.25">
      <c r="A4" s="5"/>
      <c r="B4" s="5" t="s">
        <v>1827</v>
      </c>
      <c r="C4" s="5" t="s">
        <v>1895</v>
      </c>
      <c r="D4" s="5" t="s">
        <v>1900</v>
      </c>
      <c r="E4" s="5" t="s">
        <v>1897</v>
      </c>
      <c r="F4" s="5">
        <v>7</v>
      </c>
      <c r="G4" s="5">
        <v>350</v>
      </c>
      <c r="H4" s="5">
        <v>0</v>
      </c>
      <c r="I4" s="23">
        <v>350</v>
      </c>
      <c r="J4" s="5" t="s">
        <v>1898</v>
      </c>
      <c r="K4" s="5" t="s">
        <v>25</v>
      </c>
      <c r="L4" s="5" t="s">
        <v>1899</v>
      </c>
      <c r="M4" s="5" t="s">
        <v>350</v>
      </c>
      <c r="N4" s="5"/>
      <c r="O4" s="5"/>
      <c r="P4" s="5"/>
      <c r="Q4" s="50">
        <v>1</v>
      </c>
    </row>
    <row r="5" spans="1:18" x14ac:dyDescent="0.25">
      <c r="A5" s="5"/>
      <c r="B5" s="5" t="s">
        <v>1827</v>
      </c>
      <c r="C5" s="5" t="s">
        <v>1901</v>
      </c>
      <c r="D5" s="5" t="s">
        <v>1902</v>
      </c>
      <c r="E5" s="5" t="s">
        <v>1903</v>
      </c>
      <c r="F5" s="5">
        <v>9</v>
      </c>
      <c r="G5" s="5">
        <v>670</v>
      </c>
      <c r="H5" s="5">
        <v>30</v>
      </c>
      <c r="I5" s="23">
        <v>640</v>
      </c>
      <c r="J5" s="5" t="s">
        <v>1898</v>
      </c>
      <c r="K5" s="5" t="s">
        <v>25</v>
      </c>
      <c r="L5" s="5" t="s">
        <v>1899</v>
      </c>
      <c r="M5" s="5"/>
      <c r="N5" s="5"/>
      <c r="O5" s="5"/>
      <c r="P5" s="5"/>
      <c r="Q5" s="50">
        <v>1</v>
      </c>
    </row>
    <row r="6" spans="1:18" x14ac:dyDescent="0.25">
      <c r="A6" s="5"/>
      <c r="B6" s="5" t="s">
        <v>1827</v>
      </c>
      <c r="C6" s="5" t="s">
        <v>1904</v>
      </c>
      <c r="D6" s="5" t="s">
        <v>1905</v>
      </c>
      <c r="E6" s="5" t="s">
        <v>1906</v>
      </c>
      <c r="F6" s="5">
        <v>12</v>
      </c>
      <c r="G6" s="5">
        <v>730</v>
      </c>
      <c r="H6" s="5">
        <v>30</v>
      </c>
      <c r="I6" s="23">
        <v>700</v>
      </c>
      <c r="J6" s="5" t="s">
        <v>1898</v>
      </c>
      <c r="K6" s="5" t="s">
        <v>25</v>
      </c>
      <c r="L6" s="5" t="s">
        <v>1899</v>
      </c>
      <c r="M6" s="5"/>
      <c r="N6" s="5"/>
      <c r="O6" s="5"/>
      <c r="P6" s="5"/>
      <c r="Q6" s="50">
        <v>1</v>
      </c>
    </row>
    <row r="7" spans="1:18" s="22" customFormat="1" x14ac:dyDescent="0.25">
      <c r="A7" s="21"/>
      <c r="B7" s="21" t="s">
        <v>1827</v>
      </c>
      <c r="C7" s="21" t="s">
        <v>1907</v>
      </c>
      <c r="D7" s="21" t="s">
        <v>1908</v>
      </c>
      <c r="E7" s="21" t="s">
        <v>1909</v>
      </c>
      <c r="F7" s="21">
        <v>12</v>
      </c>
      <c r="G7" s="21">
        <v>0</v>
      </c>
      <c r="H7" s="21">
        <v>30</v>
      </c>
      <c r="I7" s="24">
        <v>-30</v>
      </c>
      <c r="J7" s="21" t="s">
        <v>1898</v>
      </c>
      <c r="K7" s="21" t="s">
        <v>25</v>
      </c>
      <c r="L7" s="21" t="s">
        <v>1899</v>
      </c>
      <c r="M7" s="21"/>
      <c r="N7" s="21"/>
      <c r="O7" s="21"/>
      <c r="P7" s="21"/>
      <c r="Q7" s="42">
        <v>1</v>
      </c>
      <c r="R7" s="22">
        <f>H7</f>
        <v>30</v>
      </c>
    </row>
    <row r="8" spans="1:18" x14ac:dyDescent="0.25">
      <c r="A8" s="5"/>
      <c r="B8" s="5" t="s">
        <v>1827</v>
      </c>
      <c r="C8" s="5" t="s">
        <v>1910</v>
      </c>
      <c r="D8" s="5" t="s">
        <v>1911</v>
      </c>
      <c r="E8" s="5" t="s">
        <v>1912</v>
      </c>
      <c r="F8" s="5">
        <v>12</v>
      </c>
      <c r="G8" s="5">
        <v>0</v>
      </c>
      <c r="H8" s="5">
        <v>30</v>
      </c>
      <c r="I8" s="23">
        <v>-30</v>
      </c>
      <c r="J8" s="5" t="s">
        <v>1898</v>
      </c>
      <c r="K8" s="5" t="s">
        <v>25</v>
      </c>
      <c r="L8" s="5" t="s">
        <v>1899</v>
      </c>
      <c r="M8" s="5" t="s">
        <v>472</v>
      </c>
      <c r="N8" s="5"/>
      <c r="O8" s="5"/>
      <c r="P8" s="5"/>
      <c r="Q8" s="50">
        <v>1</v>
      </c>
      <c r="R8" s="22">
        <f>H8</f>
        <v>30</v>
      </c>
    </row>
    <row r="9" spans="1:18" x14ac:dyDescent="0.25">
      <c r="A9" s="5"/>
      <c r="B9" s="5" t="s">
        <v>1827</v>
      </c>
      <c r="C9" s="5" t="s">
        <v>1913</v>
      </c>
      <c r="D9" s="5" t="s">
        <v>1914</v>
      </c>
      <c r="E9" s="5" t="s">
        <v>1915</v>
      </c>
      <c r="F9" s="5" t="s">
        <v>607</v>
      </c>
      <c r="G9" s="5">
        <v>755</v>
      </c>
      <c r="H9" s="5">
        <v>25</v>
      </c>
      <c r="I9" s="23">
        <v>730</v>
      </c>
      <c r="J9" s="5" t="s">
        <v>1898</v>
      </c>
      <c r="K9" s="5" t="s">
        <v>25</v>
      </c>
      <c r="L9" s="5" t="s">
        <v>1899</v>
      </c>
      <c r="M9" s="5"/>
      <c r="N9" s="5"/>
      <c r="O9" s="5"/>
      <c r="P9" s="5"/>
      <c r="Q9" s="50">
        <v>1</v>
      </c>
    </row>
    <row r="10" spans="1:18" x14ac:dyDescent="0.25">
      <c r="A10" s="5" t="s">
        <v>1833</v>
      </c>
      <c r="B10" s="5" t="s">
        <v>1827</v>
      </c>
      <c r="C10" s="5" t="s">
        <v>1916</v>
      </c>
      <c r="D10" s="5"/>
      <c r="E10" s="5" t="s">
        <v>1917</v>
      </c>
      <c r="F10" s="5" t="s">
        <v>98</v>
      </c>
      <c r="G10" s="5">
        <v>1860</v>
      </c>
      <c r="H10" s="5">
        <v>30</v>
      </c>
      <c r="I10" s="23">
        <v>1830</v>
      </c>
      <c r="J10" s="5" t="s">
        <v>1898</v>
      </c>
      <c r="K10" s="5" t="s">
        <v>25</v>
      </c>
      <c r="L10" s="5" t="s">
        <v>1899</v>
      </c>
      <c r="M10" s="5" t="s">
        <v>1918</v>
      </c>
      <c r="N10" s="5"/>
      <c r="O10" s="5"/>
      <c r="P10" s="5"/>
      <c r="Q10" s="50">
        <v>1</v>
      </c>
    </row>
    <row r="11" spans="1:18" x14ac:dyDescent="0.25">
      <c r="A11" s="5"/>
      <c r="B11" s="5" t="s">
        <v>1827</v>
      </c>
      <c r="C11" s="5" t="s">
        <v>1919</v>
      </c>
      <c r="D11" s="5" t="s">
        <v>1920</v>
      </c>
      <c r="E11" s="5" t="s">
        <v>1921</v>
      </c>
      <c r="F11" s="5">
        <v>2</v>
      </c>
      <c r="G11" s="5">
        <v>870</v>
      </c>
      <c r="H11" s="5">
        <v>30</v>
      </c>
      <c r="I11" s="23">
        <v>840</v>
      </c>
      <c r="J11" s="5" t="s">
        <v>25</v>
      </c>
      <c r="K11" s="5" t="s">
        <v>25</v>
      </c>
      <c r="L11" s="5" t="s">
        <v>1899</v>
      </c>
      <c r="M11" s="5"/>
      <c r="N11" s="5"/>
      <c r="O11" s="5"/>
      <c r="P11" s="5"/>
      <c r="Q11" s="50">
        <v>1</v>
      </c>
    </row>
    <row r="12" spans="1:18" x14ac:dyDescent="0.25">
      <c r="A12" s="5"/>
      <c r="B12" s="5" t="s">
        <v>1827</v>
      </c>
      <c r="C12" s="5" t="s">
        <v>1922</v>
      </c>
      <c r="D12" s="5" t="s">
        <v>1923</v>
      </c>
      <c r="E12" s="5" t="s">
        <v>1924</v>
      </c>
      <c r="F12" s="5" t="s">
        <v>58</v>
      </c>
      <c r="G12" s="5">
        <v>1630</v>
      </c>
      <c r="H12" s="5">
        <v>20</v>
      </c>
      <c r="I12" s="23">
        <v>1610</v>
      </c>
      <c r="J12" s="5" t="s">
        <v>25</v>
      </c>
      <c r="K12" s="5" t="s">
        <v>25</v>
      </c>
      <c r="L12" s="5" t="s">
        <v>1899</v>
      </c>
      <c r="M12" s="5"/>
      <c r="N12" s="5"/>
      <c r="O12" s="5"/>
      <c r="P12" s="5"/>
      <c r="Q12" s="50">
        <v>1</v>
      </c>
    </row>
    <row r="13" spans="1:18" x14ac:dyDescent="0.25">
      <c r="A13" s="5"/>
      <c r="B13" s="5" t="s">
        <v>1827</v>
      </c>
      <c r="C13" s="5" t="s">
        <v>1925</v>
      </c>
      <c r="D13" s="5" t="s">
        <v>1926</v>
      </c>
      <c r="E13" s="5" t="s">
        <v>1927</v>
      </c>
      <c r="F13" s="5" t="s">
        <v>58</v>
      </c>
      <c r="G13" s="5">
        <v>0</v>
      </c>
      <c r="H13" s="5">
        <v>20</v>
      </c>
      <c r="I13" s="23">
        <v>-20</v>
      </c>
      <c r="J13" s="5" t="s">
        <v>25</v>
      </c>
      <c r="K13" s="5" t="s">
        <v>25</v>
      </c>
      <c r="L13" s="5" t="s">
        <v>1899</v>
      </c>
      <c r="M13" s="5"/>
      <c r="N13" s="5"/>
      <c r="O13" s="5"/>
      <c r="P13" s="5"/>
      <c r="Q13" s="50">
        <v>1</v>
      </c>
      <c r="R13" s="22">
        <f>H13</f>
        <v>20</v>
      </c>
    </row>
    <row r="14" spans="1:18" x14ac:dyDescent="0.25">
      <c r="A14" s="5"/>
      <c r="B14" s="5" t="s">
        <v>1827</v>
      </c>
      <c r="C14" s="5" t="s">
        <v>1928</v>
      </c>
      <c r="D14" s="5" t="s">
        <v>1929</v>
      </c>
      <c r="E14" s="5" t="s">
        <v>1930</v>
      </c>
      <c r="F14" s="5" t="s">
        <v>58</v>
      </c>
      <c r="G14" s="5">
        <v>810</v>
      </c>
      <c r="H14" s="5">
        <v>20</v>
      </c>
      <c r="I14" s="23">
        <v>790</v>
      </c>
      <c r="J14" s="5" t="s">
        <v>25</v>
      </c>
      <c r="K14" s="5" t="s">
        <v>25</v>
      </c>
      <c r="L14" s="5" t="s">
        <v>1899</v>
      </c>
      <c r="M14" s="5"/>
      <c r="N14" s="5"/>
      <c r="O14" s="5"/>
      <c r="P14" s="5"/>
      <c r="Q14" s="50">
        <v>1</v>
      </c>
    </row>
    <row r="15" spans="1:18" x14ac:dyDescent="0.25">
      <c r="A15" s="5" t="s">
        <v>1833</v>
      </c>
      <c r="B15" s="5" t="s">
        <v>1827</v>
      </c>
      <c r="C15" s="5" t="s">
        <v>1931</v>
      </c>
      <c r="D15" s="5"/>
      <c r="E15" s="5" t="s">
        <v>1932</v>
      </c>
      <c r="F15" s="5" t="s">
        <v>58</v>
      </c>
      <c r="G15" s="5">
        <v>30</v>
      </c>
      <c r="H15" s="5">
        <v>30</v>
      </c>
      <c r="I15" s="23">
        <v>0</v>
      </c>
      <c r="J15" s="5" t="s">
        <v>25</v>
      </c>
      <c r="K15" s="5" t="s">
        <v>25</v>
      </c>
      <c r="L15" s="5" t="s">
        <v>1899</v>
      </c>
      <c r="M15" s="5"/>
      <c r="N15" s="5"/>
      <c r="O15" s="5"/>
      <c r="P15" s="5"/>
      <c r="Q15" s="50">
        <v>1</v>
      </c>
    </row>
    <row r="16" spans="1:18" x14ac:dyDescent="0.25">
      <c r="A16" s="5" t="s">
        <v>1833</v>
      </c>
      <c r="B16" s="5" t="s">
        <v>1827</v>
      </c>
      <c r="C16" s="5" t="s">
        <v>1933</v>
      </c>
      <c r="D16" s="5"/>
      <c r="E16" s="5" t="s">
        <v>1934</v>
      </c>
      <c r="F16" s="5" t="s">
        <v>70</v>
      </c>
      <c r="G16" s="5">
        <v>30</v>
      </c>
      <c r="H16" s="5">
        <v>30</v>
      </c>
      <c r="I16" s="23">
        <v>0</v>
      </c>
      <c r="J16" s="5" t="s">
        <v>25</v>
      </c>
      <c r="K16" s="5" t="s">
        <v>25</v>
      </c>
      <c r="L16" s="5" t="s">
        <v>1899</v>
      </c>
      <c r="M16" s="5"/>
      <c r="N16" s="5"/>
      <c r="O16" s="5"/>
      <c r="P16" s="5"/>
      <c r="Q16" s="50">
        <v>1</v>
      </c>
    </row>
    <row r="17" spans="1:19" x14ac:dyDescent="0.25">
      <c r="A17" s="5" t="s">
        <v>1833</v>
      </c>
      <c r="B17" s="5" t="s">
        <v>1827</v>
      </c>
      <c r="C17" s="5" t="s">
        <v>1935</v>
      </c>
      <c r="D17" s="5"/>
      <c r="E17" s="5" t="s">
        <v>1936</v>
      </c>
      <c r="F17" s="5" t="s">
        <v>70</v>
      </c>
      <c r="G17" s="5">
        <v>0</v>
      </c>
      <c r="H17" s="5">
        <v>30</v>
      </c>
      <c r="I17" s="23">
        <v>-30</v>
      </c>
      <c r="J17" s="5" t="s">
        <v>25</v>
      </c>
      <c r="K17" s="5" t="s">
        <v>25</v>
      </c>
      <c r="L17" s="5" t="s">
        <v>1899</v>
      </c>
      <c r="M17" s="5"/>
      <c r="N17" s="5"/>
      <c r="O17" s="5"/>
      <c r="P17" s="5"/>
      <c r="Q17" s="50">
        <v>1</v>
      </c>
      <c r="R17" s="22">
        <f>H17</f>
        <v>30</v>
      </c>
    </row>
    <row r="18" spans="1:19" x14ac:dyDescent="0.25">
      <c r="A18" s="5"/>
      <c r="B18" s="5" t="s">
        <v>1827</v>
      </c>
      <c r="C18" s="5" t="s">
        <v>1937</v>
      </c>
      <c r="D18" s="5" t="s">
        <v>1938</v>
      </c>
      <c r="E18" s="5" t="s">
        <v>1939</v>
      </c>
      <c r="F18" s="5">
        <v>10</v>
      </c>
      <c r="G18" s="5">
        <v>1455</v>
      </c>
      <c r="H18" s="5">
        <v>25</v>
      </c>
      <c r="I18" s="23">
        <v>1430</v>
      </c>
      <c r="J18" s="5" t="s">
        <v>1884</v>
      </c>
      <c r="K18" s="5" t="s">
        <v>25</v>
      </c>
      <c r="L18" s="5" t="s">
        <v>1899</v>
      </c>
      <c r="M18" s="5"/>
      <c r="N18" s="5"/>
      <c r="O18" s="5"/>
      <c r="P18" s="5"/>
      <c r="Q18" s="50">
        <v>1</v>
      </c>
    </row>
    <row r="19" spans="1:19" x14ac:dyDescent="0.25">
      <c r="A19" s="5"/>
      <c r="B19" s="5" t="s">
        <v>1827</v>
      </c>
      <c r="C19" s="5" t="s">
        <v>1940</v>
      </c>
      <c r="D19" s="5" t="s">
        <v>1941</v>
      </c>
      <c r="E19" s="5" t="s">
        <v>1942</v>
      </c>
      <c r="F19" s="5" t="s">
        <v>151</v>
      </c>
      <c r="G19" s="5">
        <v>660</v>
      </c>
      <c r="H19" s="5">
        <v>20</v>
      </c>
      <c r="I19" s="23">
        <v>640</v>
      </c>
      <c r="J19" s="5" t="s">
        <v>1884</v>
      </c>
      <c r="K19" s="5" t="s">
        <v>25</v>
      </c>
      <c r="L19" s="5" t="s">
        <v>1899</v>
      </c>
      <c r="M19" s="5"/>
      <c r="N19" s="5"/>
      <c r="O19" s="5"/>
      <c r="P19" s="5"/>
      <c r="Q19" s="50">
        <v>1</v>
      </c>
    </row>
    <row r="20" spans="1:19" x14ac:dyDescent="0.25">
      <c r="A20" s="5"/>
      <c r="B20" s="5" t="s">
        <v>1827</v>
      </c>
      <c r="C20" s="5" t="s">
        <v>1943</v>
      </c>
      <c r="D20" s="5" t="s">
        <v>1944</v>
      </c>
      <c r="E20" s="5" t="s">
        <v>1945</v>
      </c>
      <c r="F20" s="5" t="s">
        <v>151</v>
      </c>
      <c r="G20" s="5">
        <v>600</v>
      </c>
      <c r="H20" s="5">
        <v>20</v>
      </c>
      <c r="I20" s="23">
        <v>580</v>
      </c>
      <c r="J20" s="5" t="s">
        <v>1884</v>
      </c>
      <c r="K20" s="5" t="s">
        <v>25</v>
      </c>
      <c r="L20" s="5" t="s">
        <v>1899</v>
      </c>
      <c r="M20" s="5"/>
      <c r="N20" s="5"/>
      <c r="O20" s="5"/>
      <c r="P20" s="5"/>
      <c r="Q20" s="50">
        <v>1</v>
      </c>
    </row>
    <row r="21" spans="1:19" x14ac:dyDescent="0.25">
      <c r="A21" s="5"/>
      <c r="B21" s="5" t="s">
        <v>1827</v>
      </c>
      <c r="C21" s="5" t="s">
        <v>1946</v>
      </c>
      <c r="D21" s="5" t="s">
        <v>1947</v>
      </c>
      <c r="E21" s="5" t="s">
        <v>1948</v>
      </c>
      <c r="F21" s="5" t="s">
        <v>98</v>
      </c>
      <c r="G21" s="5">
        <v>875</v>
      </c>
      <c r="H21" s="5">
        <v>25</v>
      </c>
      <c r="I21" s="23">
        <v>850</v>
      </c>
      <c r="J21" s="5" t="s">
        <v>1884</v>
      </c>
      <c r="K21" s="5" t="s">
        <v>25</v>
      </c>
      <c r="L21" s="5" t="s">
        <v>1899</v>
      </c>
      <c r="M21" s="5"/>
      <c r="N21" s="5"/>
      <c r="O21" s="5"/>
      <c r="P21" s="5"/>
      <c r="Q21" s="50">
        <v>1</v>
      </c>
    </row>
    <row r="23" spans="1:19" x14ac:dyDescent="0.25">
      <c r="G23">
        <f t="shared" ref="G23:S23" si="0">SUBTOTAL(9,G3:G22)</f>
        <v>11995</v>
      </c>
      <c r="H23">
        <f t="shared" si="0"/>
        <v>475</v>
      </c>
      <c r="I23">
        <f t="shared" si="0"/>
        <v>11520</v>
      </c>
      <c r="J23">
        <f t="shared" si="0"/>
        <v>0</v>
      </c>
      <c r="K23">
        <f t="shared" si="0"/>
        <v>0</v>
      </c>
      <c r="L23">
        <f t="shared" si="0"/>
        <v>0</v>
      </c>
      <c r="M23">
        <f t="shared" si="0"/>
        <v>0</v>
      </c>
      <c r="N23">
        <f t="shared" si="0"/>
        <v>0</v>
      </c>
      <c r="O23">
        <f t="shared" si="0"/>
        <v>0</v>
      </c>
      <c r="P23">
        <f t="shared" si="0"/>
        <v>0</v>
      </c>
      <c r="Q23">
        <f t="shared" si="0"/>
        <v>19</v>
      </c>
      <c r="R23">
        <f t="shared" si="0"/>
        <v>110</v>
      </c>
      <c r="S23">
        <f t="shared" si="0"/>
        <v>0</v>
      </c>
    </row>
    <row r="24" spans="1:19" x14ac:dyDescent="0.25">
      <c r="I24" s="25"/>
    </row>
    <row r="27" spans="1:19" ht="20.25" customHeight="1" x14ac:dyDescent="0.3">
      <c r="H27" s="7" t="s">
        <v>1949</v>
      </c>
      <c r="I27" s="8" t="s">
        <v>313</v>
      </c>
      <c r="J27" s="9" t="s">
        <v>314</v>
      </c>
    </row>
    <row r="28" spans="1:19" ht="15.75" customHeight="1" x14ac:dyDescent="0.25">
      <c r="H28" s="10" t="s">
        <v>315</v>
      </c>
      <c r="I28" s="11">
        <f>SUM(I22:I26)</f>
        <v>11520</v>
      </c>
      <c r="J28" s="11">
        <f>Q23</f>
        <v>19</v>
      </c>
    </row>
    <row r="29" spans="1:19" x14ac:dyDescent="0.25">
      <c r="H29" s="12" t="s">
        <v>316</v>
      </c>
      <c r="I29" s="13">
        <f>R23</f>
        <v>110</v>
      </c>
      <c r="J29" s="14"/>
    </row>
    <row r="30" spans="1:19" x14ac:dyDescent="0.25">
      <c r="H30" s="12" t="s">
        <v>317</v>
      </c>
      <c r="I30" s="13">
        <f>S23</f>
        <v>0</v>
      </c>
      <c r="J30" s="14"/>
    </row>
    <row r="31" spans="1:19" x14ac:dyDescent="0.25">
      <c r="H31" s="12" t="s">
        <v>318</v>
      </c>
      <c r="I31" s="13">
        <f>T23</f>
        <v>0</v>
      </c>
      <c r="J31" s="14"/>
    </row>
    <row r="32" spans="1:19" x14ac:dyDescent="0.25">
      <c r="H32" s="12" t="s">
        <v>319</v>
      </c>
      <c r="I32" s="13">
        <f>U23</f>
        <v>0</v>
      </c>
      <c r="J32" s="14"/>
    </row>
    <row r="33" spans="1:12" ht="15.75" customHeight="1" x14ac:dyDescent="0.25">
      <c r="H33" s="15" t="s">
        <v>320</v>
      </c>
      <c r="I33" s="16"/>
      <c r="J33" s="16"/>
    </row>
    <row r="34" spans="1:12" ht="15.75" customHeight="1" x14ac:dyDescent="0.25">
      <c r="H34" s="17" t="s">
        <v>321</v>
      </c>
      <c r="I34" s="16"/>
      <c r="J34" s="16"/>
    </row>
    <row r="35" spans="1:12" ht="21" customHeight="1" x14ac:dyDescent="0.35">
      <c r="H35" s="18" t="s">
        <v>322</v>
      </c>
      <c r="I35" s="19">
        <f>SUM(I28:I34)</f>
        <v>11630</v>
      </c>
      <c r="J35" s="19">
        <f>SUM(J28:J32)</f>
        <v>19</v>
      </c>
    </row>
    <row r="37" spans="1:12" x14ac:dyDescent="0.25">
      <c r="A37" t="s">
        <v>311</v>
      </c>
    </row>
    <row r="38" spans="1:12" x14ac:dyDescent="0.25">
      <c r="A38" s="2" t="s">
        <v>19</v>
      </c>
      <c r="B38" s="2" t="s">
        <v>1729</v>
      </c>
      <c r="C38" s="2" t="s">
        <v>1730</v>
      </c>
      <c r="D38" s="2" t="s">
        <v>1950</v>
      </c>
      <c r="E38" s="2" t="s">
        <v>1853</v>
      </c>
      <c r="F38" s="2">
        <v>750</v>
      </c>
      <c r="G38" s="2">
        <v>0</v>
      </c>
      <c r="H38" s="2">
        <f>F38-G38</f>
        <v>750</v>
      </c>
      <c r="I38" s="2" t="s">
        <v>24</v>
      </c>
      <c r="J38" s="2" t="s">
        <v>25</v>
      </c>
      <c r="K38" s="2" t="s">
        <v>1951</v>
      </c>
      <c r="L38" s="3" t="s">
        <v>1952</v>
      </c>
    </row>
  </sheetData>
  <autoFilter ref="A2:P21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C3523-A7E3-4CC1-8375-C845D3F25091}">
  <dimension ref="A1:R51"/>
  <sheetViews>
    <sheetView topLeftCell="A16" workbookViewId="0">
      <selection activeCell="M30" sqref="M30"/>
    </sheetView>
  </sheetViews>
  <sheetFormatPr defaultRowHeight="15" x14ac:dyDescent="0.25"/>
  <cols>
    <col min="1" max="2" width="9.140625" customWidth="1"/>
    <col min="3" max="3" width="30" bestFit="1" customWidth="1"/>
    <col min="4" max="4" width="9.5703125" bestFit="1" customWidth="1"/>
    <col min="11" max="11" width="13.42578125" bestFit="1" customWidth="1"/>
  </cols>
  <sheetData>
    <row r="1" spans="1:18" x14ac:dyDescent="0.25">
      <c r="B1" t="s">
        <v>639</v>
      </c>
      <c r="C1" t="s">
        <v>1953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 spans="1:18" x14ac:dyDescent="0.25">
      <c r="A3" s="5"/>
      <c r="B3" s="5" t="s">
        <v>1827</v>
      </c>
      <c r="C3" s="5" t="s">
        <v>1954</v>
      </c>
      <c r="D3" s="5" t="s">
        <v>1955</v>
      </c>
      <c r="E3" s="5" t="s">
        <v>1956</v>
      </c>
      <c r="F3" s="23">
        <v>9</v>
      </c>
      <c r="G3" s="23">
        <v>870</v>
      </c>
      <c r="H3" s="23">
        <v>30</v>
      </c>
      <c r="I3" s="23">
        <f t="shared" ref="I3:I34" si="0">G3-H3</f>
        <v>840</v>
      </c>
      <c r="J3" s="5" t="s">
        <v>1831</v>
      </c>
      <c r="K3" s="5" t="s">
        <v>25</v>
      </c>
      <c r="L3" s="5" t="s">
        <v>1957</v>
      </c>
      <c r="M3" s="5"/>
      <c r="N3" s="5"/>
      <c r="O3" s="5"/>
      <c r="P3" s="5"/>
      <c r="Q3" s="25">
        <v>1</v>
      </c>
    </row>
    <row r="4" spans="1:18" x14ac:dyDescent="0.25">
      <c r="A4" s="5" t="s">
        <v>1833</v>
      </c>
      <c r="B4" s="5" t="s">
        <v>1827</v>
      </c>
      <c r="C4" s="5" t="s">
        <v>1834</v>
      </c>
      <c r="D4" s="5"/>
      <c r="E4" s="5" t="s">
        <v>1958</v>
      </c>
      <c r="F4" s="23">
        <v>9</v>
      </c>
      <c r="G4" s="23">
        <v>1625</v>
      </c>
      <c r="H4" s="23">
        <v>35</v>
      </c>
      <c r="I4" s="23">
        <f t="shared" si="0"/>
        <v>1590</v>
      </c>
      <c r="J4" s="5" t="s">
        <v>1831</v>
      </c>
      <c r="K4" s="5" t="s">
        <v>25</v>
      </c>
      <c r="L4" s="5" t="s">
        <v>1957</v>
      </c>
      <c r="M4" s="5"/>
      <c r="N4" s="5"/>
      <c r="O4" s="5"/>
      <c r="P4" s="5"/>
      <c r="Q4" s="25">
        <v>1</v>
      </c>
    </row>
    <row r="5" spans="1:18" x14ac:dyDescent="0.25">
      <c r="A5" s="5" t="s">
        <v>1833</v>
      </c>
      <c r="B5" s="5" t="s">
        <v>1827</v>
      </c>
      <c r="C5" s="5" t="s">
        <v>1840</v>
      </c>
      <c r="D5" s="5"/>
      <c r="E5" s="5" t="s">
        <v>1841</v>
      </c>
      <c r="F5" s="23">
        <v>6</v>
      </c>
      <c r="G5" s="23">
        <v>0</v>
      </c>
      <c r="H5" s="23">
        <v>25</v>
      </c>
      <c r="I5" s="23">
        <f t="shared" si="0"/>
        <v>-25</v>
      </c>
      <c r="J5" s="5" t="s">
        <v>1959</v>
      </c>
      <c r="K5" s="5" t="s">
        <v>25</v>
      </c>
      <c r="L5" s="5" t="s">
        <v>1957</v>
      </c>
      <c r="M5" s="5"/>
      <c r="N5" s="5"/>
      <c r="O5" s="5"/>
      <c r="P5" s="5"/>
      <c r="Q5" s="25">
        <v>1</v>
      </c>
      <c r="R5" s="25">
        <f>H5</f>
        <v>25</v>
      </c>
    </row>
    <row r="6" spans="1:18" x14ac:dyDescent="0.25">
      <c r="A6" s="5"/>
      <c r="B6" s="5" t="s">
        <v>1827</v>
      </c>
      <c r="C6" s="5" t="s">
        <v>1960</v>
      </c>
      <c r="D6" s="5" t="s">
        <v>1961</v>
      </c>
      <c r="E6" s="5" t="s">
        <v>1962</v>
      </c>
      <c r="F6" s="23">
        <v>7</v>
      </c>
      <c r="G6" s="23">
        <v>30</v>
      </c>
      <c r="H6" s="23">
        <v>30</v>
      </c>
      <c r="I6" s="23">
        <f t="shared" si="0"/>
        <v>0</v>
      </c>
      <c r="J6" s="5" t="s">
        <v>1959</v>
      </c>
      <c r="K6" s="5" t="s">
        <v>25</v>
      </c>
      <c r="L6" s="5" t="s">
        <v>1957</v>
      </c>
      <c r="M6" s="6" t="s">
        <v>1963</v>
      </c>
      <c r="N6" s="5"/>
      <c r="O6" s="5"/>
      <c r="P6" s="5"/>
      <c r="Q6" s="25">
        <v>1</v>
      </c>
    </row>
    <row r="7" spans="1:18" x14ac:dyDescent="0.25">
      <c r="A7" s="5"/>
      <c r="B7" s="5" t="s">
        <v>1827</v>
      </c>
      <c r="C7" s="5" t="s">
        <v>1964</v>
      </c>
      <c r="D7" s="5" t="s">
        <v>1965</v>
      </c>
      <c r="E7" s="5" t="s">
        <v>1966</v>
      </c>
      <c r="F7" s="23">
        <v>7</v>
      </c>
      <c r="G7" s="23">
        <v>1610</v>
      </c>
      <c r="H7" s="23">
        <v>30</v>
      </c>
      <c r="I7" s="23">
        <f t="shared" si="0"/>
        <v>1580</v>
      </c>
      <c r="J7" s="5" t="s">
        <v>1959</v>
      </c>
      <c r="K7" s="5" t="s">
        <v>25</v>
      </c>
      <c r="L7" s="5" t="s">
        <v>1957</v>
      </c>
      <c r="M7" s="5"/>
      <c r="N7" s="5"/>
      <c r="O7" s="5"/>
      <c r="P7" s="5"/>
      <c r="Q7" s="25">
        <v>1</v>
      </c>
    </row>
    <row r="8" spans="1:18" x14ac:dyDescent="0.25">
      <c r="A8" s="5"/>
      <c r="B8" s="5" t="s">
        <v>1827</v>
      </c>
      <c r="C8" s="5" t="s">
        <v>1967</v>
      </c>
      <c r="D8" s="5" t="s">
        <v>1968</v>
      </c>
      <c r="E8" s="5" t="s">
        <v>1969</v>
      </c>
      <c r="F8" s="23">
        <v>8</v>
      </c>
      <c r="G8" s="23">
        <v>850</v>
      </c>
      <c r="H8" s="23">
        <v>30</v>
      </c>
      <c r="I8" s="23">
        <f t="shared" si="0"/>
        <v>820</v>
      </c>
      <c r="J8" s="5" t="s">
        <v>1959</v>
      </c>
      <c r="K8" s="5" t="s">
        <v>25</v>
      </c>
      <c r="L8" s="5" t="s">
        <v>1957</v>
      </c>
      <c r="M8" s="5"/>
      <c r="N8" s="5"/>
      <c r="O8" s="5"/>
      <c r="P8" s="5"/>
      <c r="Q8" s="25">
        <v>1</v>
      </c>
    </row>
    <row r="9" spans="1:18" x14ac:dyDescent="0.25">
      <c r="A9" s="5"/>
      <c r="B9" s="5" t="s">
        <v>1827</v>
      </c>
      <c r="C9" s="5" t="s">
        <v>1970</v>
      </c>
      <c r="D9" s="5" t="s">
        <v>1971</v>
      </c>
      <c r="E9" s="5" t="s">
        <v>1972</v>
      </c>
      <c r="F9" s="23">
        <v>12</v>
      </c>
      <c r="G9" s="23">
        <v>820</v>
      </c>
      <c r="H9" s="23">
        <v>30</v>
      </c>
      <c r="I9" s="23">
        <f t="shared" si="0"/>
        <v>790</v>
      </c>
      <c r="J9" s="5" t="s">
        <v>1959</v>
      </c>
      <c r="K9" s="5" t="s">
        <v>25</v>
      </c>
      <c r="L9" s="5" t="s">
        <v>1957</v>
      </c>
      <c r="M9" s="5"/>
      <c r="N9" s="5"/>
      <c r="O9" s="5"/>
      <c r="P9" s="5"/>
      <c r="Q9" s="25">
        <v>1</v>
      </c>
    </row>
    <row r="10" spans="1:18" x14ac:dyDescent="0.25">
      <c r="A10" s="5"/>
      <c r="B10" s="5" t="s">
        <v>1827</v>
      </c>
      <c r="C10" s="5" t="s">
        <v>1973</v>
      </c>
      <c r="D10" s="5" t="s">
        <v>1974</v>
      </c>
      <c r="E10" s="5" t="s">
        <v>1975</v>
      </c>
      <c r="F10" s="5" t="s">
        <v>1976</v>
      </c>
      <c r="G10" s="23">
        <v>745</v>
      </c>
      <c r="H10" s="23">
        <v>35</v>
      </c>
      <c r="I10" s="23">
        <f t="shared" si="0"/>
        <v>710</v>
      </c>
      <c r="J10" s="5" t="s">
        <v>1959</v>
      </c>
      <c r="K10" s="5" t="s">
        <v>25</v>
      </c>
      <c r="L10" s="5" t="s">
        <v>1957</v>
      </c>
      <c r="M10" s="5"/>
      <c r="N10" s="5"/>
      <c r="O10" s="5"/>
      <c r="P10" s="5"/>
      <c r="Q10" s="25">
        <v>1</v>
      </c>
    </row>
    <row r="11" spans="1:18" x14ac:dyDescent="0.25">
      <c r="A11" s="5"/>
      <c r="B11" s="5" t="s">
        <v>1827</v>
      </c>
      <c r="C11" s="5" t="s">
        <v>1977</v>
      </c>
      <c r="D11" s="5" t="s">
        <v>1978</v>
      </c>
      <c r="E11" s="5" t="s">
        <v>1979</v>
      </c>
      <c r="F11" s="5" t="s">
        <v>1976</v>
      </c>
      <c r="G11" s="23">
        <v>35</v>
      </c>
      <c r="H11" s="23">
        <v>35</v>
      </c>
      <c r="I11" s="23">
        <f t="shared" si="0"/>
        <v>0</v>
      </c>
      <c r="J11" s="5" t="s">
        <v>1959</v>
      </c>
      <c r="K11" s="5" t="s">
        <v>25</v>
      </c>
      <c r="L11" s="5" t="s">
        <v>1957</v>
      </c>
      <c r="M11" s="5"/>
      <c r="N11" s="5"/>
      <c r="O11" s="5"/>
      <c r="P11" s="5"/>
      <c r="Q11" s="25">
        <v>1</v>
      </c>
    </row>
    <row r="12" spans="1:18" x14ac:dyDescent="0.25">
      <c r="A12" s="5"/>
      <c r="B12" s="5" t="s">
        <v>1827</v>
      </c>
      <c r="C12" s="5" t="s">
        <v>1980</v>
      </c>
      <c r="D12" s="5" t="s">
        <v>1981</v>
      </c>
      <c r="E12" s="5" t="s">
        <v>1982</v>
      </c>
      <c r="F12" s="5" t="s">
        <v>1853</v>
      </c>
      <c r="G12" s="23">
        <v>1760</v>
      </c>
      <c r="H12" s="23">
        <v>30</v>
      </c>
      <c r="I12" s="23">
        <f t="shared" si="0"/>
        <v>1730</v>
      </c>
      <c r="J12" s="5" t="s">
        <v>1959</v>
      </c>
      <c r="K12" s="5" t="s">
        <v>25</v>
      </c>
      <c r="L12" s="5" t="s">
        <v>1957</v>
      </c>
      <c r="M12" s="5"/>
      <c r="N12" s="5"/>
      <c r="O12" s="5"/>
      <c r="P12" s="5"/>
      <c r="Q12" s="25">
        <v>1</v>
      </c>
    </row>
    <row r="13" spans="1:18" x14ac:dyDescent="0.25">
      <c r="A13" s="5"/>
      <c r="B13" s="5" t="s">
        <v>1827</v>
      </c>
      <c r="C13" s="5" t="s">
        <v>1983</v>
      </c>
      <c r="D13" s="5" t="s">
        <v>1984</v>
      </c>
      <c r="E13" s="5" t="s">
        <v>1985</v>
      </c>
      <c r="F13" s="5" t="s">
        <v>1853</v>
      </c>
      <c r="G13" s="23">
        <v>670</v>
      </c>
      <c r="H13" s="23">
        <v>30</v>
      </c>
      <c r="I13" s="23">
        <f t="shared" si="0"/>
        <v>640</v>
      </c>
      <c r="J13" s="5" t="s">
        <v>1959</v>
      </c>
      <c r="K13" s="5" t="s">
        <v>25</v>
      </c>
      <c r="L13" s="5" t="s">
        <v>1957</v>
      </c>
      <c r="M13" s="5"/>
      <c r="N13" s="5"/>
      <c r="O13" s="5"/>
      <c r="P13" s="5"/>
      <c r="Q13" s="25">
        <v>1</v>
      </c>
    </row>
    <row r="14" spans="1:18" x14ac:dyDescent="0.25">
      <c r="A14" s="5"/>
      <c r="B14" s="5" t="s">
        <v>1827</v>
      </c>
      <c r="C14" s="5" t="s">
        <v>1986</v>
      </c>
      <c r="D14" s="5" t="s">
        <v>1987</v>
      </c>
      <c r="E14" s="5" t="s">
        <v>1988</v>
      </c>
      <c r="F14" s="5" t="s">
        <v>1989</v>
      </c>
      <c r="G14" s="23">
        <v>115</v>
      </c>
      <c r="H14" s="23">
        <v>35</v>
      </c>
      <c r="I14" s="23">
        <f t="shared" si="0"/>
        <v>80</v>
      </c>
      <c r="J14" s="5" t="s">
        <v>1959</v>
      </c>
      <c r="K14" s="5" t="s">
        <v>25</v>
      </c>
      <c r="L14" s="5" t="s">
        <v>1957</v>
      </c>
      <c r="M14" s="5"/>
      <c r="N14" s="5"/>
      <c r="O14" s="5"/>
      <c r="P14" s="5"/>
      <c r="Q14" s="25">
        <v>1</v>
      </c>
    </row>
    <row r="15" spans="1:18" x14ac:dyDescent="0.25">
      <c r="A15" s="5"/>
      <c r="B15" s="5" t="s">
        <v>1827</v>
      </c>
      <c r="C15" s="5" t="s">
        <v>1990</v>
      </c>
      <c r="D15" s="5" t="s">
        <v>1991</v>
      </c>
      <c r="E15" s="5" t="s">
        <v>1992</v>
      </c>
      <c r="F15" s="5" t="s">
        <v>98</v>
      </c>
      <c r="G15" s="23">
        <v>0</v>
      </c>
      <c r="H15" s="23">
        <v>25</v>
      </c>
      <c r="I15" s="23">
        <f t="shared" si="0"/>
        <v>-25</v>
      </c>
      <c r="J15" s="5" t="s">
        <v>1959</v>
      </c>
      <c r="K15" s="5" t="s">
        <v>25</v>
      </c>
      <c r="L15" s="5" t="s">
        <v>1957</v>
      </c>
      <c r="M15" s="5"/>
      <c r="N15" s="5"/>
      <c r="O15" s="5"/>
      <c r="P15" s="5"/>
      <c r="Q15" s="25">
        <v>1</v>
      </c>
      <c r="R15" s="25">
        <f>H15</f>
        <v>25</v>
      </c>
    </row>
    <row r="16" spans="1:18" x14ac:dyDescent="0.25">
      <c r="A16" s="5"/>
      <c r="B16" s="5" t="s">
        <v>1827</v>
      </c>
      <c r="C16" s="5" t="s">
        <v>1993</v>
      </c>
      <c r="D16" s="5" t="s">
        <v>1994</v>
      </c>
      <c r="E16" s="5" t="s">
        <v>1995</v>
      </c>
      <c r="F16" s="5" t="s">
        <v>607</v>
      </c>
      <c r="G16" s="23">
        <v>885</v>
      </c>
      <c r="H16" s="23">
        <v>25</v>
      </c>
      <c r="I16" s="23">
        <f t="shared" si="0"/>
        <v>860</v>
      </c>
      <c r="J16" s="5" t="s">
        <v>1959</v>
      </c>
      <c r="K16" s="5" t="s">
        <v>25</v>
      </c>
      <c r="L16" s="5" t="s">
        <v>1957</v>
      </c>
      <c r="M16" s="5"/>
      <c r="N16" s="5"/>
      <c r="O16" s="5"/>
      <c r="P16" s="5"/>
      <c r="Q16" s="25">
        <v>1</v>
      </c>
    </row>
    <row r="17" spans="1:18" x14ac:dyDescent="0.25">
      <c r="A17" s="5"/>
      <c r="B17" s="5" t="s">
        <v>1827</v>
      </c>
      <c r="C17" s="5" t="s">
        <v>1996</v>
      </c>
      <c r="D17" s="5" t="s">
        <v>1997</v>
      </c>
      <c r="E17" s="5" t="s">
        <v>1998</v>
      </c>
      <c r="F17" s="5" t="s">
        <v>607</v>
      </c>
      <c r="G17" s="23">
        <v>745</v>
      </c>
      <c r="H17" s="23">
        <v>25</v>
      </c>
      <c r="I17" s="23">
        <f t="shared" si="0"/>
        <v>720</v>
      </c>
      <c r="J17" s="5" t="s">
        <v>1959</v>
      </c>
      <c r="K17" s="5" t="s">
        <v>25</v>
      </c>
      <c r="L17" s="5" t="s">
        <v>1957</v>
      </c>
      <c r="M17" s="5"/>
      <c r="N17" s="5"/>
      <c r="O17" s="5"/>
      <c r="P17" s="5"/>
      <c r="Q17" s="25">
        <v>1</v>
      </c>
    </row>
    <row r="18" spans="1:18" x14ac:dyDescent="0.25">
      <c r="A18" s="5"/>
      <c r="B18" s="5" t="s">
        <v>1827</v>
      </c>
      <c r="C18" s="5" t="s">
        <v>1999</v>
      </c>
      <c r="D18" s="5" t="s">
        <v>2000</v>
      </c>
      <c r="E18" s="5" t="s">
        <v>2001</v>
      </c>
      <c r="F18" s="23">
        <v>6</v>
      </c>
      <c r="G18" s="23">
        <v>735</v>
      </c>
      <c r="H18" s="23">
        <v>25</v>
      </c>
      <c r="I18" s="23">
        <f t="shared" si="0"/>
        <v>710</v>
      </c>
      <c r="J18" s="5" t="s">
        <v>1959</v>
      </c>
      <c r="K18" s="5" t="s">
        <v>25</v>
      </c>
      <c r="L18" s="5" t="s">
        <v>1957</v>
      </c>
      <c r="M18" s="5"/>
      <c r="N18" s="5"/>
      <c r="O18" s="5"/>
      <c r="P18" s="5"/>
      <c r="Q18" s="25">
        <v>1</v>
      </c>
    </row>
    <row r="19" spans="1:18" x14ac:dyDescent="0.25">
      <c r="A19" s="5"/>
      <c r="B19" s="5" t="s">
        <v>1827</v>
      </c>
      <c r="C19" s="5" t="s">
        <v>2002</v>
      </c>
      <c r="D19" s="5" t="s">
        <v>2003</v>
      </c>
      <c r="E19" s="5" t="s">
        <v>2004</v>
      </c>
      <c r="F19" s="23">
        <v>2</v>
      </c>
      <c r="G19" s="23">
        <v>890</v>
      </c>
      <c r="H19" s="23">
        <v>30</v>
      </c>
      <c r="I19" s="23">
        <f t="shared" si="0"/>
        <v>860</v>
      </c>
      <c r="J19" s="5" t="s">
        <v>25</v>
      </c>
      <c r="K19" s="5" t="s">
        <v>25</v>
      </c>
      <c r="L19" s="5" t="s">
        <v>1957</v>
      </c>
      <c r="M19" s="5"/>
      <c r="N19" s="5"/>
      <c r="O19" s="5"/>
      <c r="P19" s="5"/>
      <c r="Q19" s="25">
        <v>1</v>
      </c>
    </row>
    <row r="20" spans="1:18" x14ac:dyDescent="0.25">
      <c r="A20" s="5"/>
      <c r="B20" s="5" t="s">
        <v>1827</v>
      </c>
      <c r="C20" s="5" t="s">
        <v>2005</v>
      </c>
      <c r="D20" s="5" t="s">
        <v>2006</v>
      </c>
      <c r="E20" s="5" t="s">
        <v>2007</v>
      </c>
      <c r="F20" s="5" t="s">
        <v>58</v>
      </c>
      <c r="G20" s="23">
        <v>1450</v>
      </c>
      <c r="H20" s="23">
        <v>20</v>
      </c>
      <c r="I20" s="23">
        <f t="shared" si="0"/>
        <v>1430</v>
      </c>
      <c r="J20" s="5" t="s">
        <v>25</v>
      </c>
      <c r="K20" s="5" t="s">
        <v>25</v>
      </c>
      <c r="L20" s="5" t="s">
        <v>1957</v>
      </c>
      <c r="M20" s="5"/>
      <c r="N20" s="5"/>
      <c r="O20" s="5"/>
      <c r="P20" s="5"/>
      <c r="Q20" s="25">
        <v>1</v>
      </c>
    </row>
    <row r="21" spans="1:18" x14ac:dyDescent="0.25">
      <c r="A21" s="20"/>
      <c r="B21" s="20" t="s">
        <v>1827</v>
      </c>
      <c r="C21" s="20" t="s">
        <v>2008</v>
      </c>
      <c r="D21" s="20" t="s">
        <v>2009</v>
      </c>
      <c r="E21" s="20" t="s">
        <v>2010</v>
      </c>
      <c r="F21" s="20" t="s">
        <v>58</v>
      </c>
      <c r="G21" s="26">
        <v>20</v>
      </c>
      <c r="H21" s="26">
        <v>20</v>
      </c>
      <c r="I21" s="26">
        <f t="shared" si="0"/>
        <v>0</v>
      </c>
      <c r="J21" s="20" t="s">
        <v>25</v>
      </c>
      <c r="K21" s="20" t="s">
        <v>25</v>
      </c>
      <c r="L21" s="20" t="s">
        <v>1957</v>
      </c>
      <c r="M21" s="20" t="s">
        <v>472</v>
      </c>
      <c r="N21" s="20"/>
      <c r="O21" s="20"/>
      <c r="P21" s="20"/>
      <c r="Q21" s="25">
        <v>1</v>
      </c>
    </row>
    <row r="22" spans="1:18" x14ac:dyDescent="0.25">
      <c r="A22" s="5" t="s">
        <v>1833</v>
      </c>
      <c r="B22" s="5" t="s">
        <v>1827</v>
      </c>
      <c r="C22" s="5" t="s">
        <v>1875</v>
      </c>
      <c r="D22" s="5"/>
      <c r="E22" s="5" t="s">
        <v>2011</v>
      </c>
      <c r="F22" s="5" t="s">
        <v>70</v>
      </c>
      <c r="G22" s="23">
        <v>1530</v>
      </c>
      <c r="H22" s="23">
        <v>30</v>
      </c>
      <c r="I22" s="23">
        <f t="shared" si="0"/>
        <v>1500</v>
      </c>
      <c r="J22" s="5" t="s">
        <v>25</v>
      </c>
      <c r="K22" s="5" t="s">
        <v>25</v>
      </c>
      <c r="L22" s="5" t="s">
        <v>1957</v>
      </c>
      <c r="M22" s="5"/>
      <c r="N22" s="5"/>
      <c r="O22" s="5"/>
      <c r="P22" s="5"/>
      <c r="Q22" s="25">
        <v>1</v>
      </c>
    </row>
    <row r="23" spans="1:18" x14ac:dyDescent="0.25">
      <c r="A23" s="5"/>
      <c r="B23" s="5" t="s">
        <v>1827</v>
      </c>
      <c r="C23" s="5" t="s">
        <v>2012</v>
      </c>
      <c r="D23" s="5" t="s">
        <v>2013</v>
      </c>
      <c r="E23" s="5" t="s">
        <v>2014</v>
      </c>
      <c r="F23" s="5" t="s">
        <v>98</v>
      </c>
      <c r="G23" s="23">
        <v>765</v>
      </c>
      <c r="H23" s="23">
        <v>25</v>
      </c>
      <c r="I23" s="23">
        <f t="shared" si="0"/>
        <v>740</v>
      </c>
      <c r="J23" s="5" t="s">
        <v>25</v>
      </c>
      <c r="K23" s="5" t="s">
        <v>25</v>
      </c>
      <c r="L23" s="5" t="s">
        <v>1957</v>
      </c>
      <c r="M23" s="5"/>
      <c r="N23" s="5"/>
      <c r="O23" s="5"/>
      <c r="P23" s="5"/>
      <c r="Q23" s="25">
        <v>1</v>
      </c>
    </row>
    <row r="24" spans="1:18" x14ac:dyDescent="0.25">
      <c r="A24" s="5" t="s">
        <v>1833</v>
      </c>
      <c r="B24" s="5" t="s">
        <v>1827</v>
      </c>
      <c r="C24" s="5" t="s">
        <v>2015</v>
      </c>
      <c r="D24" s="5"/>
      <c r="E24" s="5" t="s">
        <v>2016</v>
      </c>
      <c r="F24" s="5" t="s">
        <v>98</v>
      </c>
      <c r="G24" s="23">
        <v>30</v>
      </c>
      <c r="H24" s="23">
        <v>30</v>
      </c>
      <c r="I24" s="23">
        <f t="shared" si="0"/>
        <v>0</v>
      </c>
      <c r="J24" s="5" t="s">
        <v>25</v>
      </c>
      <c r="K24" s="5" t="s">
        <v>25</v>
      </c>
      <c r="L24" s="5" t="s">
        <v>1957</v>
      </c>
      <c r="M24" s="5"/>
      <c r="N24" s="5"/>
      <c r="O24" s="5"/>
      <c r="P24" s="5"/>
      <c r="Q24" s="25">
        <v>1</v>
      </c>
    </row>
    <row r="25" spans="1:18" x14ac:dyDescent="0.25">
      <c r="A25" s="5"/>
      <c r="B25" s="5" t="s">
        <v>1827</v>
      </c>
      <c r="C25" s="5" t="s">
        <v>2017</v>
      </c>
      <c r="D25" s="5" t="s">
        <v>2018</v>
      </c>
      <c r="E25" s="5" t="s">
        <v>2019</v>
      </c>
      <c r="F25" s="23">
        <v>1</v>
      </c>
      <c r="G25" s="23">
        <v>945</v>
      </c>
      <c r="H25" s="23">
        <v>25</v>
      </c>
      <c r="I25" s="23">
        <f t="shared" si="0"/>
        <v>920</v>
      </c>
      <c r="J25" s="5" t="s">
        <v>1884</v>
      </c>
      <c r="K25" s="5" t="s">
        <v>25</v>
      </c>
      <c r="L25" s="5" t="s">
        <v>1957</v>
      </c>
      <c r="M25" s="5"/>
      <c r="N25" s="5"/>
      <c r="O25" s="5"/>
      <c r="P25" s="5"/>
      <c r="Q25" s="25">
        <v>1</v>
      </c>
    </row>
    <row r="26" spans="1:18" x14ac:dyDescent="0.25">
      <c r="A26" s="5"/>
      <c r="B26" s="5" t="s">
        <v>1827</v>
      </c>
      <c r="C26" s="5" t="s">
        <v>2020</v>
      </c>
      <c r="D26" s="5" t="s">
        <v>2021</v>
      </c>
      <c r="E26" s="5" t="s">
        <v>2022</v>
      </c>
      <c r="F26" s="23">
        <v>1</v>
      </c>
      <c r="G26" s="23">
        <v>1015</v>
      </c>
      <c r="H26" s="23">
        <v>25</v>
      </c>
      <c r="I26" s="23">
        <f t="shared" si="0"/>
        <v>990</v>
      </c>
      <c r="J26" s="5" t="s">
        <v>1884</v>
      </c>
      <c r="K26" s="5" t="s">
        <v>25</v>
      </c>
      <c r="L26" s="5" t="s">
        <v>1957</v>
      </c>
      <c r="M26" s="5"/>
      <c r="N26" s="5"/>
      <c r="O26" s="5"/>
      <c r="P26" s="5"/>
      <c r="Q26" s="25">
        <v>1</v>
      </c>
    </row>
    <row r="27" spans="1:18" x14ac:dyDescent="0.25">
      <c r="A27" s="5"/>
      <c r="B27" s="5" t="s">
        <v>1827</v>
      </c>
      <c r="C27" s="5" t="s">
        <v>2023</v>
      </c>
      <c r="D27" s="5" t="s">
        <v>2024</v>
      </c>
      <c r="E27" s="5" t="s">
        <v>2025</v>
      </c>
      <c r="F27" s="23">
        <v>1</v>
      </c>
      <c r="G27" s="23">
        <v>1155</v>
      </c>
      <c r="H27" s="23">
        <v>25</v>
      </c>
      <c r="I27" s="23">
        <f t="shared" si="0"/>
        <v>1130</v>
      </c>
      <c r="J27" s="5" t="s">
        <v>1884</v>
      </c>
      <c r="K27" s="5" t="s">
        <v>25</v>
      </c>
      <c r="L27" s="5" t="s">
        <v>1957</v>
      </c>
      <c r="M27" s="5"/>
      <c r="N27" s="5"/>
      <c r="O27" s="5"/>
      <c r="P27" s="5"/>
      <c r="Q27" s="25">
        <v>1</v>
      </c>
    </row>
    <row r="28" spans="1:18" x14ac:dyDescent="0.25">
      <c r="A28" s="5"/>
      <c r="B28" s="5" t="s">
        <v>1827</v>
      </c>
      <c r="C28" s="5" t="s">
        <v>2026</v>
      </c>
      <c r="D28" s="5" t="s">
        <v>2027</v>
      </c>
      <c r="E28" s="5" t="s">
        <v>2028</v>
      </c>
      <c r="F28" s="23">
        <v>3</v>
      </c>
      <c r="G28" s="23">
        <v>1455</v>
      </c>
      <c r="H28" s="23">
        <v>25</v>
      </c>
      <c r="I28" s="23">
        <f t="shared" si="0"/>
        <v>1430</v>
      </c>
      <c r="J28" s="5" t="s">
        <v>1884</v>
      </c>
      <c r="K28" s="5" t="s">
        <v>25</v>
      </c>
      <c r="L28" s="5" t="s">
        <v>1957</v>
      </c>
      <c r="M28" s="5"/>
      <c r="N28" s="5"/>
      <c r="O28" s="5"/>
      <c r="P28" s="5"/>
      <c r="Q28" s="25">
        <v>1</v>
      </c>
    </row>
    <row r="29" spans="1:18" x14ac:dyDescent="0.25">
      <c r="A29" s="5"/>
      <c r="B29" s="5" t="s">
        <v>1827</v>
      </c>
      <c r="C29" s="5" t="s">
        <v>2029</v>
      </c>
      <c r="D29" s="5" t="s">
        <v>2030</v>
      </c>
      <c r="E29" s="5" t="s">
        <v>2031</v>
      </c>
      <c r="F29" s="23">
        <v>4</v>
      </c>
      <c r="G29" s="23">
        <v>885</v>
      </c>
      <c r="H29" s="23">
        <v>25</v>
      </c>
      <c r="I29" s="23">
        <f t="shared" si="0"/>
        <v>860</v>
      </c>
      <c r="J29" s="5" t="s">
        <v>1884</v>
      </c>
      <c r="K29" s="5" t="s">
        <v>25</v>
      </c>
      <c r="L29" s="5" t="s">
        <v>1957</v>
      </c>
      <c r="M29" s="5"/>
      <c r="N29" s="5"/>
      <c r="O29" s="5"/>
      <c r="P29" s="5"/>
      <c r="Q29" s="25">
        <v>1</v>
      </c>
    </row>
    <row r="30" spans="1:18" x14ac:dyDescent="0.25">
      <c r="A30" s="5"/>
      <c r="B30" s="5" t="s">
        <v>1827</v>
      </c>
      <c r="C30" s="5" t="s">
        <v>2032</v>
      </c>
      <c r="D30" s="5" t="s">
        <v>2033</v>
      </c>
      <c r="E30" s="5" t="s">
        <v>2034</v>
      </c>
      <c r="F30" s="23">
        <v>4</v>
      </c>
      <c r="G30" s="23">
        <v>0</v>
      </c>
      <c r="H30" s="23">
        <v>25</v>
      </c>
      <c r="I30" s="23">
        <f t="shared" si="0"/>
        <v>-25</v>
      </c>
      <c r="J30" s="5" t="s">
        <v>1884</v>
      </c>
      <c r="K30" s="5" t="s">
        <v>25</v>
      </c>
      <c r="L30" s="5" t="s">
        <v>1957</v>
      </c>
      <c r="M30" s="6" t="s">
        <v>2035</v>
      </c>
      <c r="N30" s="5"/>
      <c r="O30" s="5"/>
      <c r="P30" s="5"/>
      <c r="Q30" s="25">
        <v>1</v>
      </c>
      <c r="R30" s="25">
        <f>H30</f>
        <v>25</v>
      </c>
    </row>
    <row r="31" spans="1:18" x14ac:dyDescent="0.25">
      <c r="A31" s="5" t="s">
        <v>1833</v>
      </c>
      <c r="B31" s="5" t="s">
        <v>1827</v>
      </c>
      <c r="C31" s="5" t="s">
        <v>2036</v>
      </c>
      <c r="D31" s="5"/>
      <c r="E31" s="5" t="s">
        <v>2037</v>
      </c>
      <c r="F31" s="23">
        <v>4</v>
      </c>
      <c r="G31" s="23">
        <v>30</v>
      </c>
      <c r="H31" s="23">
        <v>30</v>
      </c>
      <c r="I31" s="23">
        <f t="shared" si="0"/>
        <v>0</v>
      </c>
      <c r="J31" s="5" t="s">
        <v>1884</v>
      </c>
      <c r="K31" s="5" t="s">
        <v>25</v>
      </c>
      <c r="L31" s="5" t="s">
        <v>1957</v>
      </c>
      <c r="M31" s="5"/>
      <c r="N31" s="5"/>
      <c r="O31" s="5"/>
      <c r="P31" s="5"/>
      <c r="Q31" s="25">
        <v>1</v>
      </c>
    </row>
    <row r="32" spans="1:18" x14ac:dyDescent="0.25">
      <c r="A32" s="5"/>
      <c r="B32" s="5" t="s">
        <v>1827</v>
      </c>
      <c r="C32" s="5" t="s">
        <v>2038</v>
      </c>
      <c r="D32" s="5" t="s">
        <v>2039</v>
      </c>
      <c r="E32" s="5" t="s">
        <v>2040</v>
      </c>
      <c r="F32" s="5" t="s">
        <v>1976</v>
      </c>
      <c r="G32" s="23">
        <v>765</v>
      </c>
      <c r="H32" s="23">
        <v>35</v>
      </c>
      <c r="I32" s="23">
        <f t="shared" si="0"/>
        <v>730</v>
      </c>
      <c r="J32" s="5" t="s">
        <v>1884</v>
      </c>
      <c r="K32" s="5" t="s">
        <v>25</v>
      </c>
      <c r="L32" s="5" t="s">
        <v>1957</v>
      </c>
      <c r="M32" s="5"/>
      <c r="N32" s="5"/>
      <c r="O32" s="5"/>
      <c r="P32" s="5"/>
      <c r="Q32" s="25">
        <v>1</v>
      </c>
    </row>
    <row r="33" spans="1:18" x14ac:dyDescent="0.25">
      <c r="A33" s="5"/>
      <c r="B33" s="5" t="s">
        <v>1827</v>
      </c>
      <c r="C33" s="5" t="s">
        <v>2041</v>
      </c>
      <c r="D33" s="5" t="s">
        <v>2042</v>
      </c>
      <c r="E33" s="5" t="s">
        <v>2043</v>
      </c>
      <c r="F33" s="5" t="s">
        <v>1976</v>
      </c>
      <c r="G33" s="23">
        <v>415</v>
      </c>
      <c r="H33" s="23">
        <v>35</v>
      </c>
      <c r="I33" s="23">
        <f t="shared" si="0"/>
        <v>380</v>
      </c>
      <c r="J33" s="5" t="s">
        <v>1884</v>
      </c>
      <c r="K33" s="5" t="s">
        <v>25</v>
      </c>
      <c r="L33" s="5" t="s">
        <v>1957</v>
      </c>
      <c r="M33" s="5"/>
      <c r="N33" s="5"/>
      <c r="O33" s="5"/>
      <c r="P33" s="5"/>
      <c r="Q33" s="25">
        <v>1</v>
      </c>
    </row>
    <row r="34" spans="1:18" x14ac:dyDescent="0.25">
      <c r="A34" s="5" t="s">
        <v>1833</v>
      </c>
      <c r="B34" s="5" t="s">
        <v>1827</v>
      </c>
      <c r="C34" s="5" t="s">
        <v>2044</v>
      </c>
      <c r="D34" s="5"/>
      <c r="E34" s="5" t="s">
        <v>2045</v>
      </c>
      <c r="F34" s="5" t="s">
        <v>98</v>
      </c>
      <c r="G34" s="23">
        <v>0</v>
      </c>
      <c r="H34" s="23">
        <v>30</v>
      </c>
      <c r="I34" s="23">
        <f t="shared" si="0"/>
        <v>-30</v>
      </c>
      <c r="J34" s="5" t="s">
        <v>1884</v>
      </c>
      <c r="K34" s="5" t="s">
        <v>25</v>
      </c>
      <c r="L34" s="5" t="s">
        <v>1957</v>
      </c>
      <c r="M34" s="5"/>
      <c r="N34" s="5"/>
      <c r="O34" s="5"/>
      <c r="P34" s="5"/>
      <c r="Q34" s="25">
        <v>1</v>
      </c>
      <c r="R34" s="25">
        <f>H34</f>
        <v>30</v>
      </c>
    </row>
    <row r="36" spans="1:18" x14ac:dyDescent="0.25">
      <c r="G36">
        <f t="shared" ref="G36:R36" si="1">SUBTOTAL(9,G3:G35)</f>
        <v>22845</v>
      </c>
      <c r="H36">
        <f t="shared" si="1"/>
        <v>910</v>
      </c>
      <c r="I36">
        <f t="shared" si="1"/>
        <v>21935</v>
      </c>
      <c r="J36">
        <f t="shared" si="1"/>
        <v>0</v>
      </c>
      <c r="K36">
        <f t="shared" si="1"/>
        <v>0</v>
      </c>
      <c r="L36">
        <f t="shared" si="1"/>
        <v>0</v>
      </c>
      <c r="M36">
        <f t="shared" si="1"/>
        <v>0</v>
      </c>
      <c r="N36">
        <f t="shared" si="1"/>
        <v>0</v>
      </c>
      <c r="O36">
        <f t="shared" si="1"/>
        <v>0</v>
      </c>
      <c r="P36">
        <f t="shared" si="1"/>
        <v>0</v>
      </c>
      <c r="Q36">
        <f t="shared" si="1"/>
        <v>32</v>
      </c>
      <c r="R36">
        <f t="shared" si="1"/>
        <v>105</v>
      </c>
    </row>
    <row r="40" spans="1:18" ht="20.25" customHeight="1" x14ac:dyDescent="0.3">
      <c r="H40" s="7" t="s">
        <v>2046</v>
      </c>
      <c r="I40" s="8" t="s">
        <v>313</v>
      </c>
      <c r="J40" s="9" t="s">
        <v>314</v>
      </c>
    </row>
    <row r="41" spans="1:18" ht="15.75" customHeight="1" x14ac:dyDescent="0.25">
      <c r="H41" s="10" t="s">
        <v>315</v>
      </c>
      <c r="I41" s="11">
        <f>SUM(I35:I39)</f>
        <v>21935</v>
      </c>
      <c r="J41" s="11">
        <f>Q36</f>
        <v>32</v>
      </c>
    </row>
    <row r="42" spans="1:18" x14ac:dyDescent="0.25">
      <c r="H42" s="12" t="s">
        <v>316</v>
      </c>
      <c r="I42" s="13">
        <f>R36</f>
        <v>105</v>
      </c>
      <c r="J42" s="14"/>
    </row>
    <row r="43" spans="1:18" x14ac:dyDescent="0.25">
      <c r="H43" s="12" t="s">
        <v>317</v>
      </c>
      <c r="I43" s="13">
        <f>S36</f>
        <v>0</v>
      </c>
      <c r="J43" s="14"/>
    </row>
    <row r="44" spans="1:18" x14ac:dyDescent="0.25">
      <c r="H44" s="12" t="s">
        <v>318</v>
      </c>
      <c r="I44" s="13">
        <f>T36</f>
        <v>0</v>
      </c>
      <c r="J44" s="14"/>
    </row>
    <row r="45" spans="1:18" x14ac:dyDescent="0.25">
      <c r="H45" s="12" t="s">
        <v>319</v>
      </c>
      <c r="I45" s="13">
        <f>U36</f>
        <v>0</v>
      </c>
      <c r="J45" s="14"/>
    </row>
    <row r="46" spans="1:18" ht="15.75" customHeight="1" x14ac:dyDescent="0.25">
      <c r="H46" s="15" t="s">
        <v>320</v>
      </c>
      <c r="I46" s="16"/>
      <c r="J46" s="16"/>
    </row>
    <row r="47" spans="1:18" ht="15.75" customHeight="1" x14ac:dyDescent="0.25">
      <c r="H47" s="17" t="s">
        <v>321</v>
      </c>
      <c r="I47" s="16"/>
      <c r="J47" s="16"/>
    </row>
    <row r="48" spans="1:18" ht="21" customHeight="1" x14ac:dyDescent="0.35">
      <c r="H48" s="18" t="s">
        <v>322</v>
      </c>
      <c r="I48" s="19">
        <f>SUM(I41:I47)</f>
        <v>22040</v>
      </c>
      <c r="J48" s="19">
        <f>SUM(J41:J45)</f>
        <v>32</v>
      </c>
    </row>
    <row r="49" spans="1:11" x14ac:dyDescent="0.25">
      <c r="A49" t="s">
        <v>488</v>
      </c>
    </row>
    <row r="50" spans="1:11" s="4" customFormat="1" x14ac:dyDescent="0.25">
      <c r="A50" s="2" t="s">
        <v>1960</v>
      </c>
      <c r="B50" s="2" t="s">
        <v>1961</v>
      </c>
      <c r="C50" s="2" t="s">
        <v>1962</v>
      </c>
      <c r="D50" s="27">
        <v>7</v>
      </c>
      <c r="E50" s="27">
        <v>480</v>
      </c>
      <c r="F50" s="27">
        <v>0</v>
      </c>
      <c r="G50" s="27">
        <f>E50-F50</f>
        <v>480</v>
      </c>
      <c r="H50" s="2" t="s">
        <v>1959</v>
      </c>
      <c r="I50" s="2" t="s">
        <v>25</v>
      </c>
      <c r="J50" s="2" t="s">
        <v>1957</v>
      </c>
      <c r="K50" s="3" t="s">
        <v>1963</v>
      </c>
    </row>
    <row r="51" spans="1:11" s="4" customFormat="1" x14ac:dyDescent="0.25">
      <c r="A51" s="2" t="s">
        <v>2032</v>
      </c>
      <c r="B51" s="2" t="s">
        <v>2033</v>
      </c>
      <c r="C51" s="2" t="s">
        <v>2034</v>
      </c>
      <c r="D51" s="27">
        <v>4</v>
      </c>
      <c r="E51" s="27">
        <v>1525</v>
      </c>
      <c r="F51" s="27">
        <v>0</v>
      </c>
      <c r="G51" s="27">
        <f>E51-F51</f>
        <v>1525</v>
      </c>
      <c r="H51" s="2" t="s">
        <v>1884</v>
      </c>
      <c r="I51" s="2" t="s">
        <v>25</v>
      </c>
      <c r="J51" s="2" t="s">
        <v>1957</v>
      </c>
      <c r="K51" s="3" t="s">
        <v>2035</v>
      </c>
    </row>
  </sheetData>
  <autoFilter ref="A2:P34" xr:uid="{00000000-0009-0000-0000-00000F000000}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68EF-0B24-46A3-87F2-E8254CC1AE4A}">
  <dimension ref="A1:R44"/>
  <sheetViews>
    <sheetView topLeftCell="A7" zoomScale="80" zoomScaleNormal="80" workbookViewId="0">
      <selection activeCell="D5" sqref="D5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0.7109375" bestFit="1" customWidth="1"/>
    <col min="7" max="7" width="9.140625" customWidth="1"/>
    <col min="8" max="8" width="5.5703125" customWidth="1"/>
    <col min="9" max="10" width="9.140625" customWidth="1"/>
    <col min="11" max="11" width="16.425781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736</v>
      </c>
      <c r="C1" t="s">
        <v>2047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</row>
    <row r="3" spans="1:18" x14ac:dyDescent="0.25">
      <c r="A3" s="21"/>
      <c r="B3" s="21" t="s">
        <v>1827</v>
      </c>
      <c r="C3" s="21" t="s">
        <v>2048</v>
      </c>
      <c r="D3" s="21" t="s">
        <v>2049</v>
      </c>
      <c r="E3" s="21" t="s">
        <v>2050</v>
      </c>
      <c r="F3" s="28">
        <v>9</v>
      </c>
      <c r="G3" s="24">
        <v>470</v>
      </c>
      <c r="H3" s="24">
        <v>30</v>
      </c>
      <c r="I3" s="24">
        <v>440</v>
      </c>
      <c r="J3" s="21" t="s">
        <v>1831</v>
      </c>
      <c r="K3" s="21" t="s">
        <v>25</v>
      </c>
      <c r="L3" s="21" t="s">
        <v>2051</v>
      </c>
      <c r="M3" s="21"/>
      <c r="N3" s="21"/>
      <c r="O3" s="21"/>
      <c r="P3" s="21"/>
      <c r="Q3" s="25">
        <v>1</v>
      </c>
    </row>
    <row r="4" spans="1:18" x14ac:dyDescent="0.25">
      <c r="A4" s="21" t="s">
        <v>1833</v>
      </c>
      <c r="B4" s="21" t="s">
        <v>1827</v>
      </c>
      <c r="C4" s="21" t="s">
        <v>2052</v>
      </c>
      <c r="D4" s="21"/>
      <c r="E4" s="21" t="s">
        <v>2053</v>
      </c>
      <c r="F4" s="28">
        <v>9</v>
      </c>
      <c r="G4" s="24">
        <v>35</v>
      </c>
      <c r="H4" s="24">
        <v>35</v>
      </c>
      <c r="I4" s="24">
        <v>0</v>
      </c>
      <c r="J4" s="21" t="s">
        <v>1831</v>
      </c>
      <c r="K4" s="21" t="s">
        <v>25</v>
      </c>
      <c r="L4" s="21" t="s">
        <v>2051</v>
      </c>
      <c r="M4" s="21"/>
      <c r="N4" s="21"/>
      <c r="O4" s="21"/>
      <c r="P4" s="21"/>
      <c r="Q4" s="25">
        <v>1</v>
      </c>
    </row>
    <row r="5" spans="1:18" x14ac:dyDescent="0.25">
      <c r="A5" s="21"/>
      <c r="B5" s="21" t="s">
        <v>1827</v>
      </c>
      <c r="C5" s="21" t="s">
        <v>2054</v>
      </c>
      <c r="D5" s="21" t="s">
        <v>2055</v>
      </c>
      <c r="E5" s="21" t="s">
        <v>2056</v>
      </c>
      <c r="F5" s="28">
        <v>7</v>
      </c>
      <c r="G5" s="24">
        <v>0</v>
      </c>
      <c r="H5" s="24">
        <v>30</v>
      </c>
      <c r="I5" s="24">
        <v>-30</v>
      </c>
      <c r="J5" s="21" t="s">
        <v>2057</v>
      </c>
      <c r="K5" s="21" t="s">
        <v>25</v>
      </c>
      <c r="L5" s="21" t="s">
        <v>2051</v>
      </c>
      <c r="M5" s="6" t="s">
        <v>2058</v>
      </c>
      <c r="N5" s="21"/>
      <c r="O5" s="21"/>
      <c r="P5" s="21"/>
      <c r="Q5" s="25">
        <v>1</v>
      </c>
      <c r="R5" s="25">
        <v>30</v>
      </c>
    </row>
    <row r="6" spans="1:18" x14ac:dyDescent="0.25">
      <c r="A6" s="21"/>
      <c r="B6" s="21" t="s">
        <v>1827</v>
      </c>
      <c r="C6" s="21" t="s">
        <v>2059</v>
      </c>
      <c r="D6" s="21" t="s">
        <v>2060</v>
      </c>
      <c r="E6" s="21" t="s">
        <v>2061</v>
      </c>
      <c r="F6" s="28">
        <v>11</v>
      </c>
      <c r="G6" s="24">
        <v>0</v>
      </c>
      <c r="H6" s="24">
        <v>25</v>
      </c>
      <c r="I6" s="24">
        <v>-25</v>
      </c>
      <c r="J6" s="21" t="s">
        <v>2057</v>
      </c>
      <c r="K6" s="21" t="s">
        <v>25</v>
      </c>
      <c r="L6" s="21" t="s">
        <v>2051</v>
      </c>
      <c r="M6" s="21"/>
      <c r="N6" s="21"/>
      <c r="O6" s="21"/>
      <c r="P6" s="21"/>
      <c r="Q6" s="25">
        <v>1</v>
      </c>
      <c r="R6" s="25">
        <f>H6</f>
        <v>25</v>
      </c>
    </row>
    <row r="7" spans="1:18" x14ac:dyDescent="0.25">
      <c r="A7" s="21"/>
      <c r="B7" s="21" t="s">
        <v>1827</v>
      </c>
      <c r="C7" s="21" t="s">
        <v>2062</v>
      </c>
      <c r="D7" s="21" t="s">
        <v>2063</v>
      </c>
      <c r="E7" s="21" t="s">
        <v>2064</v>
      </c>
      <c r="F7" s="28">
        <v>12</v>
      </c>
      <c r="G7" s="24">
        <v>820</v>
      </c>
      <c r="H7" s="24">
        <v>30</v>
      </c>
      <c r="I7" s="24">
        <v>790</v>
      </c>
      <c r="J7" s="21" t="s">
        <v>2057</v>
      </c>
      <c r="K7" s="21" t="s">
        <v>25</v>
      </c>
      <c r="L7" s="21" t="s">
        <v>2051</v>
      </c>
      <c r="M7" s="21"/>
      <c r="N7" s="21"/>
      <c r="O7" s="21"/>
      <c r="P7" s="21"/>
      <c r="Q7" s="25">
        <v>1</v>
      </c>
    </row>
    <row r="8" spans="1:18" s="20" customFormat="1" x14ac:dyDescent="0.25">
      <c r="B8" s="20" t="s">
        <v>1827</v>
      </c>
      <c r="C8" s="20" t="s">
        <v>2065</v>
      </c>
      <c r="D8" s="20" t="s">
        <v>2066</v>
      </c>
      <c r="E8" s="20" t="s">
        <v>2067</v>
      </c>
      <c r="F8" s="20" t="s">
        <v>1976</v>
      </c>
      <c r="G8" s="20">
        <v>155</v>
      </c>
      <c r="H8" s="20">
        <v>35</v>
      </c>
      <c r="I8" s="20">
        <v>120</v>
      </c>
      <c r="J8" s="20" t="s">
        <v>2057</v>
      </c>
      <c r="K8" s="20" t="s">
        <v>25</v>
      </c>
      <c r="L8" s="20" t="s">
        <v>2051</v>
      </c>
      <c r="M8" s="20" t="s">
        <v>472</v>
      </c>
      <c r="Q8" s="20">
        <v>1</v>
      </c>
    </row>
    <row r="9" spans="1:18" x14ac:dyDescent="0.25">
      <c r="A9" s="21"/>
      <c r="B9" s="21" t="s">
        <v>1827</v>
      </c>
      <c r="C9" s="21" t="s">
        <v>2068</v>
      </c>
      <c r="D9" s="21" t="s">
        <v>2069</v>
      </c>
      <c r="E9" s="21" t="s">
        <v>2070</v>
      </c>
      <c r="F9" s="28" t="s">
        <v>1853</v>
      </c>
      <c r="G9" s="24">
        <v>410</v>
      </c>
      <c r="H9" s="24">
        <v>30</v>
      </c>
      <c r="I9" s="24">
        <v>380</v>
      </c>
      <c r="J9" s="21" t="s">
        <v>2057</v>
      </c>
      <c r="K9" s="21" t="s">
        <v>25</v>
      </c>
      <c r="L9" s="21" t="s">
        <v>2051</v>
      </c>
      <c r="M9" s="21"/>
      <c r="N9" s="21"/>
      <c r="O9" s="21"/>
      <c r="P9" s="21"/>
      <c r="Q9" s="25">
        <v>1</v>
      </c>
    </row>
    <row r="10" spans="1:18" x14ac:dyDescent="0.25">
      <c r="A10" s="21"/>
      <c r="B10" s="21" t="s">
        <v>1827</v>
      </c>
      <c r="C10" s="21" t="s">
        <v>2071</v>
      </c>
      <c r="D10" s="21" t="s">
        <v>2072</v>
      </c>
      <c r="E10" s="21" t="s">
        <v>2073</v>
      </c>
      <c r="F10" s="28" t="s">
        <v>444</v>
      </c>
      <c r="G10" s="24">
        <v>415</v>
      </c>
      <c r="H10" s="24">
        <v>35</v>
      </c>
      <c r="I10" s="24">
        <v>380</v>
      </c>
      <c r="J10" s="21" t="s">
        <v>2057</v>
      </c>
      <c r="K10" s="21" t="s">
        <v>25</v>
      </c>
      <c r="L10" s="21" t="s">
        <v>2051</v>
      </c>
      <c r="M10" s="21"/>
      <c r="N10" s="21"/>
      <c r="O10" s="21"/>
      <c r="P10" s="21"/>
      <c r="Q10" s="25">
        <v>1</v>
      </c>
    </row>
    <row r="11" spans="1:18" x14ac:dyDescent="0.25">
      <c r="A11" s="21"/>
      <c r="B11" s="21" t="s">
        <v>1827</v>
      </c>
      <c r="C11" s="21" t="s">
        <v>1925</v>
      </c>
      <c r="D11" s="21" t="s">
        <v>2074</v>
      </c>
      <c r="E11" s="21" t="s">
        <v>2075</v>
      </c>
      <c r="F11" s="28" t="s">
        <v>607</v>
      </c>
      <c r="G11" s="24">
        <v>815</v>
      </c>
      <c r="H11" s="24">
        <v>25</v>
      </c>
      <c r="I11" s="24">
        <v>790</v>
      </c>
      <c r="J11" s="21" t="s">
        <v>2057</v>
      </c>
      <c r="K11" s="21" t="s">
        <v>25</v>
      </c>
      <c r="L11" s="21" t="s">
        <v>2051</v>
      </c>
      <c r="M11" s="21"/>
      <c r="N11" s="21"/>
      <c r="O11" s="21"/>
      <c r="P11" s="21"/>
      <c r="Q11" s="25">
        <v>1</v>
      </c>
    </row>
    <row r="12" spans="1:18" x14ac:dyDescent="0.25">
      <c r="A12" s="21"/>
      <c r="B12" s="21" t="s">
        <v>1827</v>
      </c>
      <c r="C12" s="21" t="s">
        <v>1869</v>
      </c>
      <c r="D12" s="21" t="s">
        <v>2076</v>
      </c>
      <c r="E12" s="21" t="s">
        <v>1871</v>
      </c>
      <c r="F12" s="28" t="s">
        <v>58</v>
      </c>
      <c r="G12" s="24">
        <v>0</v>
      </c>
      <c r="H12" s="24">
        <v>20</v>
      </c>
      <c r="I12" s="24">
        <v>-20</v>
      </c>
      <c r="J12" s="21" t="s">
        <v>25</v>
      </c>
      <c r="K12" s="21" t="s">
        <v>25</v>
      </c>
      <c r="L12" s="21" t="s">
        <v>2051</v>
      </c>
      <c r="M12" s="21"/>
      <c r="N12" s="21"/>
      <c r="O12" s="21"/>
      <c r="P12" s="21"/>
      <c r="Q12" s="25">
        <v>1</v>
      </c>
      <c r="R12" s="25">
        <f>H12</f>
        <v>20</v>
      </c>
    </row>
    <row r="13" spans="1:18" x14ac:dyDescent="0.25">
      <c r="A13" s="21"/>
      <c r="B13" s="21" t="s">
        <v>1827</v>
      </c>
      <c r="C13" s="21" t="s">
        <v>2077</v>
      </c>
      <c r="D13" s="21" t="s">
        <v>2078</v>
      </c>
      <c r="E13" s="21" t="s">
        <v>2079</v>
      </c>
      <c r="F13" s="28" t="s">
        <v>58</v>
      </c>
      <c r="G13" s="24">
        <v>720</v>
      </c>
      <c r="H13" s="24">
        <v>20</v>
      </c>
      <c r="I13" s="24">
        <v>700</v>
      </c>
      <c r="J13" s="21" t="s">
        <v>25</v>
      </c>
      <c r="K13" s="21" t="s">
        <v>25</v>
      </c>
      <c r="L13" s="21" t="s">
        <v>2051</v>
      </c>
      <c r="M13" s="21"/>
      <c r="N13" s="21"/>
      <c r="O13" s="21"/>
      <c r="P13" s="21"/>
      <c r="Q13" s="25">
        <v>1</v>
      </c>
    </row>
    <row r="14" spans="1:18" x14ac:dyDescent="0.25">
      <c r="A14" s="21" t="s">
        <v>1833</v>
      </c>
      <c r="B14" s="21" t="s">
        <v>1827</v>
      </c>
      <c r="C14" s="21" t="s">
        <v>2080</v>
      </c>
      <c r="D14" s="21"/>
      <c r="E14" s="21" t="s">
        <v>2081</v>
      </c>
      <c r="F14" s="28" t="s">
        <v>58</v>
      </c>
      <c r="G14" s="24">
        <v>305</v>
      </c>
      <c r="H14" s="24">
        <v>25</v>
      </c>
      <c r="I14" s="24">
        <v>280</v>
      </c>
      <c r="J14" s="21" t="s">
        <v>25</v>
      </c>
      <c r="K14" s="21" t="s">
        <v>25</v>
      </c>
      <c r="L14" s="21" t="s">
        <v>2051</v>
      </c>
      <c r="M14" s="21"/>
      <c r="N14" s="21"/>
      <c r="O14" s="21"/>
      <c r="P14" s="21"/>
      <c r="Q14" s="25">
        <v>1</v>
      </c>
    </row>
    <row r="15" spans="1:18" x14ac:dyDescent="0.25">
      <c r="A15" s="21" t="s">
        <v>1833</v>
      </c>
      <c r="B15" s="21" t="s">
        <v>1827</v>
      </c>
      <c r="C15" s="21" t="s">
        <v>2082</v>
      </c>
      <c r="D15" s="21"/>
      <c r="E15" s="21" t="s">
        <v>1878</v>
      </c>
      <c r="F15" s="28" t="s">
        <v>70</v>
      </c>
      <c r="G15" s="24">
        <v>30</v>
      </c>
      <c r="H15" s="24">
        <v>30</v>
      </c>
      <c r="I15" s="24">
        <v>0</v>
      </c>
      <c r="J15" s="21" t="s">
        <v>25</v>
      </c>
      <c r="K15" s="21" t="s">
        <v>25</v>
      </c>
      <c r="L15" s="21" t="s">
        <v>2051</v>
      </c>
      <c r="M15" s="21"/>
      <c r="N15" s="21"/>
      <c r="O15" s="21"/>
      <c r="P15" s="21"/>
      <c r="Q15" s="25">
        <v>1</v>
      </c>
      <c r="R15" s="25"/>
    </row>
    <row r="16" spans="1:18" x14ac:dyDescent="0.25">
      <c r="A16" s="21"/>
      <c r="B16" s="21" t="s">
        <v>1827</v>
      </c>
      <c r="C16" s="21" t="s">
        <v>2083</v>
      </c>
      <c r="D16" s="21" t="s">
        <v>2084</v>
      </c>
      <c r="E16" s="21" t="s">
        <v>2085</v>
      </c>
      <c r="F16" s="28" t="s">
        <v>98</v>
      </c>
      <c r="G16" s="24">
        <v>0</v>
      </c>
      <c r="H16" s="24">
        <v>25</v>
      </c>
      <c r="I16" s="24">
        <v>-25</v>
      </c>
      <c r="J16" s="21" t="s">
        <v>25</v>
      </c>
      <c r="K16" s="21" t="s">
        <v>25</v>
      </c>
      <c r="L16" s="21" t="s">
        <v>2051</v>
      </c>
      <c r="M16" s="21"/>
      <c r="N16" s="21"/>
      <c r="O16" s="21"/>
      <c r="P16" s="21"/>
      <c r="Q16" s="25">
        <v>1</v>
      </c>
      <c r="R16" s="25">
        <f>H16</f>
        <v>25</v>
      </c>
    </row>
    <row r="17" spans="1:18" x14ac:dyDescent="0.25">
      <c r="A17" s="21"/>
      <c r="B17" s="21" t="s">
        <v>1827</v>
      </c>
      <c r="C17" s="21" t="s">
        <v>2086</v>
      </c>
      <c r="D17" s="21" t="s">
        <v>2087</v>
      </c>
      <c r="E17" s="21" t="s">
        <v>2088</v>
      </c>
      <c r="F17" s="28" t="s">
        <v>103</v>
      </c>
      <c r="G17" s="24">
        <v>1100</v>
      </c>
      <c r="H17" s="24">
        <v>30</v>
      </c>
      <c r="I17" s="24">
        <v>1070</v>
      </c>
      <c r="J17" s="21" t="s">
        <v>25</v>
      </c>
      <c r="K17" s="21" t="s">
        <v>25</v>
      </c>
      <c r="L17" s="21" t="s">
        <v>2051</v>
      </c>
      <c r="M17" s="21"/>
      <c r="N17" s="21"/>
      <c r="O17" s="21"/>
      <c r="P17" s="21"/>
      <c r="Q17" s="25">
        <v>1</v>
      </c>
    </row>
    <row r="18" spans="1:18" x14ac:dyDescent="0.25">
      <c r="A18" s="21"/>
      <c r="B18" s="21" t="s">
        <v>1827</v>
      </c>
      <c r="C18" s="21" t="s">
        <v>2089</v>
      </c>
      <c r="D18" s="21" t="s">
        <v>2090</v>
      </c>
      <c r="E18" s="21" t="s">
        <v>2091</v>
      </c>
      <c r="F18" s="28" t="s">
        <v>2092</v>
      </c>
      <c r="G18" s="24">
        <v>760</v>
      </c>
      <c r="H18" s="24">
        <v>30</v>
      </c>
      <c r="I18" s="24">
        <v>730</v>
      </c>
      <c r="J18" s="21" t="s">
        <v>25</v>
      </c>
      <c r="K18" s="21" t="s">
        <v>25</v>
      </c>
      <c r="L18" s="21" t="s">
        <v>2051</v>
      </c>
      <c r="M18" s="21"/>
      <c r="N18" s="21"/>
      <c r="O18" s="21"/>
      <c r="P18" s="21"/>
      <c r="Q18" s="25">
        <v>1</v>
      </c>
    </row>
    <row r="19" spans="1:18" x14ac:dyDescent="0.25">
      <c r="A19" s="21"/>
      <c r="B19" s="21" t="s">
        <v>1827</v>
      </c>
      <c r="C19" s="21" t="s">
        <v>2093</v>
      </c>
      <c r="D19" s="21" t="s">
        <v>2094</v>
      </c>
      <c r="E19" s="21" t="s">
        <v>2095</v>
      </c>
      <c r="F19" s="28">
        <v>1</v>
      </c>
      <c r="G19" s="24">
        <v>875</v>
      </c>
      <c r="H19" s="24">
        <v>25</v>
      </c>
      <c r="I19" s="24">
        <v>850</v>
      </c>
      <c r="J19" s="21" t="s">
        <v>1884</v>
      </c>
      <c r="K19" s="21" t="s">
        <v>25</v>
      </c>
      <c r="L19" s="21" t="s">
        <v>2051</v>
      </c>
      <c r="M19" s="21"/>
      <c r="N19" s="21"/>
      <c r="O19" s="21"/>
      <c r="P19" s="21"/>
      <c r="Q19" s="25">
        <v>1</v>
      </c>
    </row>
    <row r="20" spans="1:18" x14ac:dyDescent="0.25">
      <c r="A20" s="21"/>
      <c r="B20" s="21" t="s">
        <v>1827</v>
      </c>
      <c r="C20" s="21" t="s">
        <v>2020</v>
      </c>
      <c r="D20" s="21" t="s">
        <v>2096</v>
      </c>
      <c r="E20" s="21" t="s">
        <v>2022</v>
      </c>
      <c r="F20" s="28">
        <v>1</v>
      </c>
      <c r="G20" s="24">
        <v>375</v>
      </c>
      <c r="H20" s="24">
        <v>25</v>
      </c>
      <c r="I20" s="24">
        <v>350</v>
      </c>
      <c r="J20" s="21" t="s">
        <v>1884</v>
      </c>
      <c r="K20" s="21" t="s">
        <v>25</v>
      </c>
      <c r="L20" s="21" t="s">
        <v>2051</v>
      </c>
      <c r="M20" s="21"/>
      <c r="N20" s="21"/>
      <c r="O20" s="21"/>
      <c r="P20" s="21"/>
      <c r="Q20" s="25">
        <v>1</v>
      </c>
    </row>
    <row r="21" spans="1:18" x14ac:dyDescent="0.25">
      <c r="A21" s="21"/>
      <c r="B21" s="21" t="s">
        <v>1827</v>
      </c>
      <c r="C21" s="21" t="s">
        <v>2097</v>
      </c>
      <c r="D21" s="21" t="s">
        <v>2098</v>
      </c>
      <c r="E21" s="21" t="s">
        <v>2099</v>
      </c>
      <c r="F21" s="28">
        <v>1</v>
      </c>
      <c r="G21" s="24">
        <v>405</v>
      </c>
      <c r="H21" s="24">
        <v>25</v>
      </c>
      <c r="I21" s="24">
        <v>380</v>
      </c>
      <c r="J21" s="21" t="s">
        <v>1884</v>
      </c>
      <c r="K21" s="21" t="s">
        <v>25</v>
      </c>
      <c r="L21" s="21" t="s">
        <v>2051</v>
      </c>
      <c r="M21" s="21"/>
      <c r="N21" s="21"/>
      <c r="O21" s="21"/>
      <c r="P21" s="21"/>
      <c r="Q21" s="25">
        <v>1</v>
      </c>
    </row>
    <row r="22" spans="1:18" x14ac:dyDescent="0.25">
      <c r="A22" s="21"/>
      <c r="B22" s="21" t="s">
        <v>1827</v>
      </c>
      <c r="C22" s="21" t="s">
        <v>2100</v>
      </c>
      <c r="D22" s="21" t="s">
        <v>2101</v>
      </c>
      <c r="E22" s="21" t="s">
        <v>2102</v>
      </c>
      <c r="F22" s="28">
        <v>1</v>
      </c>
      <c r="G22" s="24">
        <v>885</v>
      </c>
      <c r="H22" s="24">
        <v>25</v>
      </c>
      <c r="I22" s="24">
        <v>860</v>
      </c>
      <c r="J22" s="21" t="s">
        <v>1884</v>
      </c>
      <c r="K22" s="21" t="s">
        <v>25</v>
      </c>
      <c r="L22" s="21" t="s">
        <v>2051</v>
      </c>
      <c r="M22" s="21"/>
      <c r="N22" s="21"/>
      <c r="O22" s="21"/>
      <c r="P22" s="21"/>
      <c r="Q22" s="25">
        <v>1</v>
      </c>
    </row>
    <row r="23" spans="1:18" x14ac:dyDescent="0.25">
      <c r="A23" s="21"/>
      <c r="B23" s="21" t="s">
        <v>1827</v>
      </c>
      <c r="C23" s="21" t="s">
        <v>2103</v>
      </c>
      <c r="D23" s="21" t="s">
        <v>2104</v>
      </c>
      <c r="E23" s="21" t="s">
        <v>2105</v>
      </c>
      <c r="F23" s="28">
        <v>4</v>
      </c>
      <c r="G23" s="24">
        <v>405</v>
      </c>
      <c r="H23" s="24">
        <v>25</v>
      </c>
      <c r="I23" s="24">
        <v>380</v>
      </c>
      <c r="J23" s="21" t="s">
        <v>1884</v>
      </c>
      <c r="K23" s="21" t="s">
        <v>25</v>
      </c>
      <c r="L23" s="21" t="s">
        <v>2051</v>
      </c>
      <c r="M23" s="21"/>
      <c r="N23" s="21"/>
      <c r="O23" s="21"/>
      <c r="P23" s="21"/>
      <c r="Q23" s="25">
        <v>1</v>
      </c>
    </row>
    <row r="24" spans="1:18" x14ac:dyDescent="0.25">
      <c r="A24" s="21"/>
      <c r="B24" s="21" t="s">
        <v>1827</v>
      </c>
      <c r="C24" s="21" t="s">
        <v>2106</v>
      </c>
      <c r="D24" s="21" t="s">
        <v>2107</v>
      </c>
      <c r="E24" s="21" t="s">
        <v>2108</v>
      </c>
      <c r="F24" s="28">
        <v>5</v>
      </c>
      <c r="G24" s="24">
        <v>0</v>
      </c>
      <c r="H24" s="24">
        <v>25</v>
      </c>
      <c r="I24" s="24">
        <v>-25</v>
      </c>
      <c r="J24" s="21" t="s">
        <v>1884</v>
      </c>
      <c r="K24" s="21" t="s">
        <v>25</v>
      </c>
      <c r="L24" s="21" t="s">
        <v>2051</v>
      </c>
      <c r="M24" s="21"/>
      <c r="N24" s="21"/>
      <c r="O24" s="21"/>
      <c r="P24" s="21"/>
      <c r="Q24" s="25">
        <v>1</v>
      </c>
      <c r="R24" s="25">
        <f>H24</f>
        <v>25</v>
      </c>
    </row>
    <row r="25" spans="1:18" x14ac:dyDescent="0.25">
      <c r="A25" s="21"/>
      <c r="B25" s="21" t="s">
        <v>1827</v>
      </c>
      <c r="C25" s="21" t="s">
        <v>2109</v>
      </c>
      <c r="D25" s="21" t="s">
        <v>2110</v>
      </c>
      <c r="E25" s="21" t="s">
        <v>2111</v>
      </c>
      <c r="F25" s="28">
        <v>10</v>
      </c>
      <c r="G25" s="24">
        <v>405</v>
      </c>
      <c r="H25" s="24">
        <v>25</v>
      </c>
      <c r="I25" s="24">
        <v>380</v>
      </c>
      <c r="J25" s="21" t="s">
        <v>1884</v>
      </c>
      <c r="K25" s="21" t="s">
        <v>25</v>
      </c>
      <c r="L25" s="21" t="s">
        <v>2051</v>
      </c>
      <c r="M25" s="21"/>
      <c r="N25" s="21"/>
      <c r="O25" s="21"/>
      <c r="P25" s="21"/>
      <c r="Q25" s="25">
        <v>1</v>
      </c>
    </row>
    <row r="26" spans="1:18" x14ac:dyDescent="0.25">
      <c r="A26" s="21"/>
      <c r="B26" s="21" t="s">
        <v>1827</v>
      </c>
      <c r="C26" s="21" t="s">
        <v>2112</v>
      </c>
      <c r="D26" s="21" t="s">
        <v>2113</v>
      </c>
      <c r="E26" s="21" t="s">
        <v>2114</v>
      </c>
      <c r="F26" s="28" t="s">
        <v>98</v>
      </c>
      <c r="G26" s="24">
        <v>0</v>
      </c>
      <c r="H26" s="24">
        <v>25</v>
      </c>
      <c r="I26" s="24">
        <v>-25</v>
      </c>
      <c r="J26" s="21" t="s">
        <v>1884</v>
      </c>
      <c r="K26" s="21" t="s">
        <v>25</v>
      </c>
      <c r="L26" s="21" t="s">
        <v>2051</v>
      </c>
      <c r="M26" s="21"/>
      <c r="N26" s="21"/>
      <c r="O26" s="21"/>
      <c r="P26" s="21"/>
      <c r="Q26" s="25">
        <v>1</v>
      </c>
      <c r="R26" s="25">
        <f>H26</f>
        <v>25</v>
      </c>
    </row>
    <row r="28" spans="1:18" x14ac:dyDescent="0.25">
      <c r="G28">
        <f t="shared" ref="G28:R28" si="0">SUBTOTAL(9,G3:G27)</f>
        <v>9385</v>
      </c>
      <c r="H28">
        <f t="shared" si="0"/>
        <v>655</v>
      </c>
      <c r="I28">
        <f t="shared" si="0"/>
        <v>8730</v>
      </c>
      <c r="J28">
        <f t="shared" si="0"/>
        <v>0</v>
      </c>
      <c r="K28">
        <f t="shared" si="0"/>
        <v>0</v>
      </c>
      <c r="L28">
        <f t="shared" si="0"/>
        <v>0</v>
      </c>
      <c r="M28">
        <f t="shared" si="0"/>
        <v>0</v>
      </c>
      <c r="N28">
        <f t="shared" si="0"/>
        <v>0</v>
      </c>
      <c r="O28">
        <f t="shared" si="0"/>
        <v>0</v>
      </c>
      <c r="P28">
        <f t="shared" si="0"/>
        <v>0</v>
      </c>
      <c r="Q28">
        <f t="shared" si="0"/>
        <v>24</v>
      </c>
      <c r="R28">
        <f t="shared" si="0"/>
        <v>150</v>
      </c>
    </row>
    <row r="29" spans="1:18" x14ac:dyDescent="0.25">
      <c r="I29" s="29">
        <v>-1450</v>
      </c>
      <c r="J29" s="22" t="s">
        <v>311</v>
      </c>
    </row>
    <row r="32" spans="1:18" ht="20.25" customHeight="1" x14ac:dyDescent="0.3">
      <c r="H32" s="7" t="s">
        <v>2115</v>
      </c>
      <c r="I32" s="8" t="s">
        <v>313</v>
      </c>
      <c r="J32" s="9" t="s">
        <v>314</v>
      </c>
    </row>
    <row r="33" spans="1:11" ht="15.75" customHeight="1" x14ac:dyDescent="0.25">
      <c r="H33" s="10" t="s">
        <v>315</v>
      </c>
      <c r="I33" s="11">
        <f>SUM(I27:I31)</f>
        <v>7280</v>
      </c>
      <c r="J33" s="11">
        <f>Q28</f>
        <v>24</v>
      </c>
    </row>
    <row r="34" spans="1:11" x14ac:dyDescent="0.25">
      <c r="H34" s="12" t="s">
        <v>316</v>
      </c>
      <c r="I34" s="13">
        <f>R28</f>
        <v>150</v>
      </c>
      <c r="J34" s="14"/>
    </row>
    <row r="35" spans="1:11" x14ac:dyDescent="0.25">
      <c r="H35" s="12" t="s">
        <v>317</v>
      </c>
      <c r="I35" s="13">
        <f>S28</f>
        <v>0</v>
      </c>
      <c r="J35" s="14"/>
    </row>
    <row r="36" spans="1:11" x14ac:dyDescent="0.25">
      <c r="H36" s="12" t="s">
        <v>318</v>
      </c>
      <c r="I36" s="13">
        <f>T28</f>
        <v>0</v>
      </c>
      <c r="J36" s="14"/>
    </row>
    <row r="37" spans="1:11" x14ac:dyDescent="0.25">
      <c r="H37" s="12" t="s">
        <v>319</v>
      </c>
      <c r="I37" s="13">
        <f>U28</f>
        <v>0</v>
      </c>
      <c r="J37" s="14"/>
    </row>
    <row r="38" spans="1:11" ht="15.75" customHeight="1" x14ac:dyDescent="0.25">
      <c r="H38" s="15" t="s">
        <v>320</v>
      </c>
      <c r="I38" s="16"/>
      <c r="J38" s="16"/>
    </row>
    <row r="39" spans="1:11" ht="15.75" customHeight="1" x14ac:dyDescent="0.25">
      <c r="H39" s="17" t="s">
        <v>321</v>
      </c>
      <c r="I39" s="16"/>
      <c r="J39" s="16"/>
    </row>
    <row r="40" spans="1:11" ht="21" customHeight="1" x14ac:dyDescent="0.35">
      <c r="H40" s="18" t="s">
        <v>322</v>
      </c>
      <c r="I40" s="19">
        <f>SUM(I33:I39)</f>
        <v>7430</v>
      </c>
      <c r="J40" s="19">
        <f>SUM(J33:J37)</f>
        <v>24</v>
      </c>
    </row>
    <row r="41" spans="1:11" x14ac:dyDescent="0.25">
      <c r="A41" t="s">
        <v>311</v>
      </c>
    </row>
    <row r="42" spans="1:11" s="4" customFormat="1" x14ac:dyDescent="0.25">
      <c r="A42" s="2" t="s">
        <v>2005</v>
      </c>
      <c r="B42" s="2" t="s">
        <v>2006</v>
      </c>
      <c r="C42" s="2" t="s">
        <v>2007</v>
      </c>
      <c r="D42" s="27" t="s">
        <v>58</v>
      </c>
      <c r="E42" s="27">
        <v>1450</v>
      </c>
      <c r="F42" s="27">
        <v>0</v>
      </c>
      <c r="G42" s="27">
        <v>1450</v>
      </c>
      <c r="H42" s="2" t="s">
        <v>24</v>
      </c>
      <c r="I42" s="2" t="s">
        <v>25</v>
      </c>
      <c r="J42" s="2" t="s">
        <v>1957</v>
      </c>
      <c r="K42" s="3" t="s">
        <v>2116</v>
      </c>
    </row>
    <row r="43" spans="1:11" x14ac:dyDescent="0.25">
      <c r="A43" t="s">
        <v>488</v>
      </c>
    </row>
    <row r="44" spans="1:11" s="4" customFormat="1" x14ac:dyDescent="0.25">
      <c r="A44" s="30" t="s">
        <v>2054</v>
      </c>
      <c r="B44" s="30" t="s">
        <v>2055</v>
      </c>
      <c r="C44" s="30" t="s">
        <v>2056</v>
      </c>
      <c r="D44" s="31">
        <v>7</v>
      </c>
      <c r="E44" s="32">
        <v>1320</v>
      </c>
      <c r="F44" s="32">
        <v>0</v>
      </c>
      <c r="G44" s="32">
        <v>1320</v>
      </c>
      <c r="H44" s="30" t="s">
        <v>2057</v>
      </c>
      <c r="I44" s="30" t="s">
        <v>25</v>
      </c>
      <c r="J44" s="30" t="s">
        <v>2051</v>
      </c>
      <c r="K44" s="3" t="s">
        <v>2058</v>
      </c>
    </row>
  </sheetData>
  <autoFilter ref="A2:P26" xr:uid="{00000000-0009-0000-0000-000010000000}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7F64-476C-4050-A86D-BF329FE968BC}">
  <dimension ref="A1:R50"/>
  <sheetViews>
    <sheetView topLeftCell="A15" zoomScale="80" zoomScaleNormal="80" workbookViewId="0">
      <selection activeCell="E55" sqref="E55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0.7109375" bestFit="1" customWidth="1"/>
    <col min="7" max="7" width="9.140625" customWidth="1"/>
    <col min="8" max="8" width="5.5703125" customWidth="1"/>
    <col min="9" max="9" width="14.28515625" bestFit="1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892</v>
      </c>
      <c r="C1" t="s">
        <v>2117</v>
      </c>
    </row>
    <row r="2" spans="1:18" ht="15.75" customHeight="1" x14ac:dyDescent="0.25">
      <c r="A2" s="35" t="s">
        <v>2</v>
      </c>
      <c r="B2" s="35" t="s">
        <v>3</v>
      </c>
      <c r="C2" s="35" t="s">
        <v>4</v>
      </c>
      <c r="D2" s="35" t="s">
        <v>5</v>
      </c>
      <c r="E2" s="35" t="s">
        <v>1826</v>
      </c>
      <c r="F2" s="35" t="s">
        <v>8</v>
      </c>
      <c r="G2" s="35" t="s">
        <v>9</v>
      </c>
      <c r="H2" s="35" t="s">
        <v>10</v>
      </c>
      <c r="I2" s="35" t="s">
        <v>11</v>
      </c>
      <c r="J2" s="35" t="s">
        <v>12</v>
      </c>
      <c r="K2" s="35" t="s">
        <v>13</v>
      </c>
      <c r="L2" s="35" t="s">
        <v>14</v>
      </c>
      <c r="M2" s="35" t="s">
        <v>15</v>
      </c>
      <c r="N2" s="35" t="s">
        <v>16</v>
      </c>
      <c r="O2" s="35" t="s">
        <v>17</v>
      </c>
      <c r="P2" s="35" t="s">
        <v>18</v>
      </c>
    </row>
    <row r="3" spans="1:18" x14ac:dyDescent="0.25">
      <c r="A3" s="5"/>
      <c r="B3" s="5" t="s">
        <v>1827</v>
      </c>
      <c r="C3" s="5" t="s">
        <v>2118</v>
      </c>
      <c r="D3" s="5" t="s">
        <v>2119</v>
      </c>
      <c r="E3" s="5" t="s">
        <v>2120</v>
      </c>
      <c r="F3" s="23">
        <v>7</v>
      </c>
      <c r="G3" s="23">
        <v>890</v>
      </c>
      <c r="H3" s="23">
        <v>30</v>
      </c>
      <c r="I3" s="23">
        <f>G3-H3</f>
        <v>860</v>
      </c>
      <c r="J3" s="5" t="s">
        <v>2121</v>
      </c>
      <c r="K3" s="5" t="s">
        <v>25</v>
      </c>
      <c r="L3" s="5" t="s">
        <v>2122</v>
      </c>
      <c r="M3" s="5"/>
      <c r="N3" s="5"/>
      <c r="O3" s="5"/>
      <c r="P3" s="5"/>
      <c r="Q3" s="23">
        <v>1</v>
      </c>
    </row>
    <row r="4" spans="1:18" x14ac:dyDescent="0.25">
      <c r="A4" s="5"/>
      <c r="B4" s="5" t="s">
        <v>1827</v>
      </c>
      <c r="C4" s="5" t="s">
        <v>2123</v>
      </c>
      <c r="D4" s="5" t="s">
        <v>2124</v>
      </c>
      <c r="E4" s="5" t="s">
        <v>2125</v>
      </c>
      <c r="F4" s="5" t="s">
        <v>607</v>
      </c>
      <c r="G4" s="23">
        <v>1325</v>
      </c>
      <c r="H4" s="23">
        <v>25</v>
      </c>
      <c r="I4" s="23">
        <f>G4-H4</f>
        <v>1300</v>
      </c>
      <c r="J4" s="5" t="s">
        <v>2121</v>
      </c>
      <c r="K4" s="5" t="s">
        <v>25</v>
      </c>
      <c r="L4" s="5" t="s">
        <v>2122</v>
      </c>
      <c r="M4" s="5"/>
      <c r="N4" s="5"/>
      <c r="O4" s="5"/>
      <c r="P4" s="5"/>
      <c r="Q4" s="23">
        <v>1</v>
      </c>
    </row>
    <row r="5" spans="1:18" x14ac:dyDescent="0.25">
      <c r="A5" s="5"/>
      <c r="B5" s="5" t="s">
        <v>1827</v>
      </c>
      <c r="C5" s="5" t="s">
        <v>2126</v>
      </c>
      <c r="D5" s="5" t="s">
        <v>2127</v>
      </c>
      <c r="E5" s="5" t="s">
        <v>2128</v>
      </c>
      <c r="F5" s="5" t="s">
        <v>607</v>
      </c>
      <c r="G5" s="23">
        <v>765</v>
      </c>
      <c r="H5" s="23">
        <v>25</v>
      </c>
      <c r="I5" s="23">
        <f>G5-H5</f>
        <v>740</v>
      </c>
      <c r="J5" s="5" t="s">
        <v>2121</v>
      </c>
      <c r="K5" s="5" t="s">
        <v>25</v>
      </c>
      <c r="L5" s="5" t="s">
        <v>2122</v>
      </c>
      <c r="M5" s="5"/>
      <c r="N5" s="5"/>
      <c r="O5" s="5"/>
      <c r="P5" s="5"/>
      <c r="Q5" s="23">
        <v>1</v>
      </c>
    </row>
    <row r="6" spans="1:18" x14ac:dyDescent="0.25">
      <c r="A6" s="5"/>
      <c r="B6" s="5" t="s">
        <v>1827</v>
      </c>
      <c r="C6" s="5" t="s">
        <v>2129</v>
      </c>
      <c r="D6" s="5" t="s">
        <v>2130</v>
      </c>
      <c r="E6" s="5" t="s">
        <v>2131</v>
      </c>
      <c r="F6" s="23">
        <v>8</v>
      </c>
      <c r="G6" s="23">
        <v>0</v>
      </c>
      <c r="H6" s="23">
        <v>25</v>
      </c>
      <c r="I6" s="23">
        <f>-H6</f>
        <v>-25</v>
      </c>
      <c r="J6" s="5" t="s">
        <v>2121</v>
      </c>
      <c r="K6" s="5" t="s">
        <v>25</v>
      </c>
      <c r="L6" s="5" t="s">
        <v>2122</v>
      </c>
      <c r="M6" s="5"/>
      <c r="N6" s="5"/>
      <c r="O6" s="5"/>
      <c r="P6" s="5"/>
      <c r="Q6" s="23">
        <v>1</v>
      </c>
      <c r="R6" s="25">
        <f>H6</f>
        <v>25</v>
      </c>
    </row>
    <row r="7" spans="1:18" x14ac:dyDescent="0.25">
      <c r="A7" s="5"/>
      <c r="B7" s="5" t="s">
        <v>1827</v>
      </c>
      <c r="C7" s="5" t="s">
        <v>2132</v>
      </c>
      <c r="D7" s="5" t="s">
        <v>2133</v>
      </c>
      <c r="E7" s="5" t="s">
        <v>2134</v>
      </c>
      <c r="F7" s="23">
        <v>7</v>
      </c>
      <c r="G7" s="23">
        <v>670</v>
      </c>
      <c r="H7" s="23">
        <v>30</v>
      </c>
      <c r="I7" s="23">
        <f>G7-H7</f>
        <v>640</v>
      </c>
      <c r="J7" s="5" t="s">
        <v>2121</v>
      </c>
      <c r="K7" s="5" t="s">
        <v>25</v>
      </c>
      <c r="L7" s="5" t="s">
        <v>2122</v>
      </c>
      <c r="M7" s="5"/>
      <c r="N7" s="5"/>
      <c r="O7" s="5"/>
      <c r="P7" s="5"/>
      <c r="Q7" s="23">
        <v>1</v>
      </c>
    </row>
    <row r="8" spans="1:18" x14ac:dyDescent="0.25">
      <c r="A8" s="5"/>
      <c r="B8" s="5" t="s">
        <v>1827</v>
      </c>
      <c r="C8" s="5" t="s">
        <v>2135</v>
      </c>
      <c r="D8" s="5" t="s">
        <v>2136</v>
      </c>
      <c r="E8" s="5" t="s">
        <v>2137</v>
      </c>
      <c r="F8" s="5" t="s">
        <v>1853</v>
      </c>
      <c r="G8" s="23">
        <v>890</v>
      </c>
      <c r="H8" s="23">
        <v>30</v>
      </c>
      <c r="I8" s="23">
        <f>G8-H8</f>
        <v>860</v>
      </c>
      <c r="J8" s="5" t="s">
        <v>2121</v>
      </c>
      <c r="K8" s="5" t="s">
        <v>25</v>
      </c>
      <c r="L8" s="5" t="s">
        <v>2122</v>
      </c>
      <c r="M8" s="5"/>
      <c r="N8" s="5"/>
      <c r="O8" s="5"/>
      <c r="P8" s="5"/>
      <c r="Q8" s="23">
        <v>1</v>
      </c>
    </row>
    <row r="9" spans="1:18" x14ac:dyDescent="0.25">
      <c r="A9" s="5"/>
      <c r="B9" s="5" t="s">
        <v>1827</v>
      </c>
      <c r="C9" s="5" t="s">
        <v>2138</v>
      </c>
      <c r="D9" s="5" t="s">
        <v>2139</v>
      </c>
      <c r="E9" s="5" t="s">
        <v>2140</v>
      </c>
      <c r="F9" s="5" t="s">
        <v>1853</v>
      </c>
      <c r="G9" s="23">
        <v>2010</v>
      </c>
      <c r="H9" s="23">
        <v>30</v>
      </c>
      <c r="I9" s="23">
        <f>G9-H9</f>
        <v>1980</v>
      </c>
      <c r="J9" s="5" t="s">
        <v>2121</v>
      </c>
      <c r="K9" s="5" t="s">
        <v>25</v>
      </c>
      <c r="L9" s="5" t="s">
        <v>2122</v>
      </c>
      <c r="M9" s="5"/>
      <c r="N9" s="5"/>
      <c r="O9" s="5"/>
      <c r="P9" s="5"/>
      <c r="Q9" s="23">
        <v>1</v>
      </c>
    </row>
    <row r="10" spans="1:18" x14ac:dyDescent="0.25">
      <c r="A10" s="5"/>
      <c r="B10" s="5" t="s">
        <v>1827</v>
      </c>
      <c r="C10" s="5" t="s">
        <v>2141</v>
      </c>
      <c r="D10" s="5" t="s">
        <v>2142</v>
      </c>
      <c r="E10" s="5" t="s">
        <v>2143</v>
      </c>
      <c r="F10" s="5" t="s">
        <v>607</v>
      </c>
      <c r="G10" s="23">
        <v>405</v>
      </c>
      <c r="H10" s="23">
        <v>25</v>
      </c>
      <c r="I10" s="23">
        <f>G10-H10</f>
        <v>380</v>
      </c>
      <c r="J10" s="5" t="s">
        <v>2121</v>
      </c>
      <c r="K10" s="5" t="s">
        <v>25</v>
      </c>
      <c r="L10" s="5" t="s">
        <v>2122</v>
      </c>
      <c r="M10" s="5"/>
      <c r="N10" s="5"/>
      <c r="O10" s="5"/>
      <c r="P10" s="5"/>
      <c r="Q10" s="23">
        <v>1</v>
      </c>
    </row>
    <row r="11" spans="1:18" x14ac:dyDescent="0.25">
      <c r="A11" s="5"/>
      <c r="B11" s="5" t="s">
        <v>1827</v>
      </c>
      <c r="C11" s="5" t="s">
        <v>2144</v>
      </c>
      <c r="D11" s="5" t="s">
        <v>2145</v>
      </c>
      <c r="E11" s="5" t="s">
        <v>2146</v>
      </c>
      <c r="F11" s="5" t="s">
        <v>1853</v>
      </c>
      <c r="G11" s="23">
        <v>0</v>
      </c>
      <c r="H11" s="23">
        <v>25</v>
      </c>
      <c r="I11" s="23">
        <f>-H11</f>
        <v>-25</v>
      </c>
      <c r="J11" s="5" t="s">
        <v>2121</v>
      </c>
      <c r="K11" s="5" t="s">
        <v>25</v>
      </c>
      <c r="L11" s="5" t="s">
        <v>2122</v>
      </c>
      <c r="M11" s="5"/>
      <c r="N11" s="5"/>
      <c r="O11" s="5"/>
      <c r="P11" s="5"/>
      <c r="Q11" s="23">
        <v>1</v>
      </c>
      <c r="R11" s="25">
        <f>H11</f>
        <v>25</v>
      </c>
    </row>
    <row r="12" spans="1:18" x14ac:dyDescent="0.25">
      <c r="A12" s="5"/>
      <c r="B12" s="5" t="s">
        <v>1827</v>
      </c>
      <c r="C12" s="5" t="s">
        <v>2147</v>
      </c>
      <c r="D12" s="5" t="s">
        <v>2148</v>
      </c>
      <c r="E12" s="5" t="s">
        <v>2149</v>
      </c>
      <c r="F12" s="5" t="s">
        <v>1853</v>
      </c>
      <c r="G12" s="23">
        <v>610</v>
      </c>
      <c r="H12" s="23">
        <v>30</v>
      </c>
      <c r="I12" s="23">
        <f>G12-H12</f>
        <v>580</v>
      </c>
      <c r="J12" s="5" t="s">
        <v>2121</v>
      </c>
      <c r="K12" s="5" t="s">
        <v>25</v>
      </c>
      <c r="L12" s="5" t="s">
        <v>2122</v>
      </c>
      <c r="M12" s="5"/>
      <c r="N12" s="5"/>
      <c r="O12" s="5"/>
      <c r="P12" s="5"/>
      <c r="Q12" s="23">
        <v>1</v>
      </c>
    </row>
    <row r="13" spans="1:18" x14ac:dyDescent="0.25">
      <c r="A13" s="5"/>
      <c r="B13" s="5" t="s">
        <v>1827</v>
      </c>
      <c r="C13" s="5" t="s">
        <v>2041</v>
      </c>
      <c r="D13" s="5" t="s">
        <v>2150</v>
      </c>
      <c r="E13" s="5" t="s">
        <v>2151</v>
      </c>
      <c r="F13" s="5" t="s">
        <v>2152</v>
      </c>
      <c r="G13" s="23">
        <v>380</v>
      </c>
      <c r="H13" s="23">
        <v>30</v>
      </c>
      <c r="I13" s="23">
        <f>G13-H13</f>
        <v>350</v>
      </c>
      <c r="J13" s="5" t="s">
        <v>2121</v>
      </c>
      <c r="K13" s="5" t="s">
        <v>25</v>
      </c>
      <c r="L13" s="5" t="s">
        <v>2122</v>
      </c>
      <c r="M13" s="5"/>
      <c r="N13" s="5"/>
      <c r="O13" s="5"/>
      <c r="P13" s="5"/>
      <c r="Q13" s="23">
        <v>1</v>
      </c>
    </row>
    <row r="14" spans="1:18" x14ac:dyDescent="0.25">
      <c r="A14" s="5"/>
      <c r="B14" s="5" t="s">
        <v>1827</v>
      </c>
      <c r="C14" s="5" t="s">
        <v>2153</v>
      </c>
      <c r="D14" s="5" t="s">
        <v>2154</v>
      </c>
      <c r="E14" s="5" t="s">
        <v>2155</v>
      </c>
      <c r="F14" s="5" t="s">
        <v>444</v>
      </c>
      <c r="G14" s="23">
        <v>625</v>
      </c>
      <c r="H14" s="23">
        <v>35</v>
      </c>
      <c r="I14" s="23">
        <f>G14-H14</f>
        <v>590</v>
      </c>
      <c r="J14" s="5" t="s">
        <v>2121</v>
      </c>
      <c r="K14" s="5" t="s">
        <v>25</v>
      </c>
      <c r="L14" s="5" t="s">
        <v>2122</v>
      </c>
      <c r="M14" s="5"/>
      <c r="N14" s="5"/>
      <c r="O14" s="5"/>
      <c r="P14" s="5"/>
      <c r="Q14" s="23">
        <v>1</v>
      </c>
    </row>
    <row r="15" spans="1:18" x14ac:dyDescent="0.25">
      <c r="A15" s="5"/>
      <c r="B15" s="5" t="s">
        <v>1827</v>
      </c>
      <c r="C15" s="5" t="s">
        <v>2156</v>
      </c>
      <c r="D15" s="5" t="s">
        <v>2157</v>
      </c>
      <c r="E15" s="5" t="s">
        <v>2158</v>
      </c>
      <c r="F15" s="23">
        <v>8</v>
      </c>
      <c r="G15" s="23">
        <v>405</v>
      </c>
      <c r="H15" s="23">
        <v>25</v>
      </c>
      <c r="I15" s="23">
        <f>G15-H15</f>
        <v>380</v>
      </c>
      <c r="J15" s="5" t="s">
        <v>2121</v>
      </c>
      <c r="K15" s="5" t="s">
        <v>25</v>
      </c>
      <c r="L15" s="5" t="s">
        <v>2122</v>
      </c>
      <c r="M15" s="5"/>
      <c r="N15" s="5"/>
      <c r="O15" s="5"/>
      <c r="P15" s="5"/>
      <c r="Q15" s="23">
        <v>1</v>
      </c>
    </row>
    <row r="16" spans="1:18" x14ac:dyDescent="0.25">
      <c r="A16" s="5"/>
      <c r="B16" s="5" t="s">
        <v>1827</v>
      </c>
      <c r="C16" s="5" t="s">
        <v>2159</v>
      </c>
      <c r="D16" s="5" t="s">
        <v>2160</v>
      </c>
      <c r="E16" s="5" t="s">
        <v>2161</v>
      </c>
      <c r="F16" s="5" t="s">
        <v>1976</v>
      </c>
      <c r="G16" s="23">
        <v>995</v>
      </c>
      <c r="H16" s="23">
        <v>35</v>
      </c>
      <c r="I16" s="23">
        <f>G16-H16</f>
        <v>960</v>
      </c>
      <c r="J16" s="5" t="s">
        <v>2121</v>
      </c>
      <c r="K16" s="5" t="s">
        <v>25</v>
      </c>
      <c r="L16" s="5" t="s">
        <v>2122</v>
      </c>
      <c r="M16" s="5"/>
      <c r="N16" s="5"/>
      <c r="O16" s="5"/>
      <c r="P16" s="5"/>
      <c r="Q16" s="23">
        <v>1</v>
      </c>
    </row>
    <row r="17" spans="1:18" s="33" customFormat="1" x14ac:dyDescent="0.25">
      <c r="A17" s="36"/>
      <c r="B17" s="36" t="s">
        <v>1827</v>
      </c>
      <c r="C17" s="36" t="s">
        <v>2054</v>
      </c>
      <c r="D17" s="36" t="s">
        <v>2162</v>
      </c>
      <c r="E17" s="36" t="s">
        <v>2056</v>
      </c>
      <c r="F17" s="37">
        <v>7</v>
      </c>
      <c r="G17" s="37">
        <v>0</v>
      </c>
      <c r="H17" s="37">
        <v>30</v>
      </c>
      <c r="I17" s="37">
        <f>-H17</f>
        <v>-30</v>
      </c>
      <c r="J17" s="36" t="s">
        <v>2121</v>
      </c>
      <c r="K17" s="36" t="s">
        <v>25</v>
      </c>
      <c r="L17" s="36" t="s">
        <v>2122</v>
      </c>
      <c r="M17" s="36" t="s">
        <v>472</v>
      </c>
      <c r="N17" s="36"/>
      <c r="O17" s="36"/>
      <c r="P17" s="36"/>
      <c r="Q17" s="37">
        <v>1</v>
      </c>
      <c r="R17" s="34">
        <f>H17</f>
        <v>30</v>
      </c>
    </row>
    <row r="18" spans="1:18" x14ac:dyDescent="0.25">
      <c r="A18" s="5"/>
      <c r="B18" s="5" t="s">
        <v>1827</v>
      </c>
      <c r="C18" s="5" t="s">
        <v>2163</v>
      </c>
      <c r="D18" s="5" t="s">
        <v>2164</v>
      </c>
      <c r="E18" s="5" t="s">
        <v>2165</v>
      </c>
      <c r="F18" s="5" t="s">
        <v>70</v>
      </c>
      <c r="G18" s="23">
        <v>975</v>
      </c>
      <c r="H18" s="23">
        <v>25</v>
      </c>
      <c r="I18" s="23">
        <f>G18-H18</f>
        <v>950</v>
      </c>
      <c r="J18" s="5" t="s">
        <v>25</v>
      </c>
      <c r="K18" s="5" t="s">
        <v>25</v>
      </c>
      <c r="L18" s="5" t="s">
        <v>2122</v>
      </c>
      <c r="M18" s="5"/>
      <c r="N18" s="5"/>
      <c r="O18" s="5"/>
      <c r="P18" s="5"/>
      <c r="Q18" s="23">
        <v>1</v>
      </c>
    </row>
    <row r="19" spans="1:18" x14ac:dyDescent="0.25">
      <c r="A19" s="5"/>
      <c r="B19" s="5" t="s">
        <v>1827</v>
      </c>
      <c r="C19" s="5" t="s">
        <v>2166</v>
      </c>
      <c r="D19" s="5" t="s">
        <v>2167</v>
      </c>
      <c r="E19" s="5" t="s">
        <v>2168</v>
      </c>
      <c r="F19" s="5" t="s">
        <v>58</v>
      </c>
      <c r="G19" s="23">
        <v>600</v>
      </c>
      <c r="H19" s="23">
        <v>20</v>
      </c>
      <c r="I19" s="23">
        <f>G19-H19</f>
        <v>580</v>
      </c>
      <c r="J19" s="5" t="s">
        <v>25</v>
      </c>
      <c r="K19" s="5" t="s">
        <v>25</v>
      </c>
      <c r="L19" s="5" t="s">
        <v>2122</v>
      </c>
      <c r="M19" s="5"/>
      <c r="N19" s="5"/>
      <c r="O19" s="5"/>
      <c r="P19" s="5"/>
      <c r="Q19" s="23">
        <v>1</v>
      </c>
    </row>
    <row r="20" spans="1:18" x14ac:dyDescent="0.25">
      <c r="A20" s="5"/>
      <c r="B20" s="5" t="s">
        <v>1827</v>
      </c>
      <c r="C20" s="5" t="s">
        <v>2169</v>
      </c>
      <c r="D20" s="5" t="s">
        <v>2170</v>
      </c>
      <c r="E20" s="5" t="s">
        <v>2171</v>
      </c>
      <c r="F20" s="5" t="s">
        <v>58</v>
      </c>
      <c r="G20" s="23">
        <v>660</v>
      </c>
      <c r="H20" s="23">
        <v>20</v>
      </c>
      <c r="I20" s="23">
        <f>G20-H20</f>
        <v>640</v>
      </c>
      <c r="J20" s="5" t="s">
        <v>25</v>
      </c>
      <c r="K20" s="5" t="s">
        <v>25</v>
      </c>
      <c r="L20" s="5" t="s">
        <v>2122</v>
      </c>
      <c r="M20" s="5"/>
      <c r="N20" s="5"/>
      <c r="O20" s="5"/>
      <c r="P20" s="5"/>
      <c r="Q20" s="23">
        <v>1</v>
      </c>
    </row>
    <row r="21" spans="1:18" x14ac:dyDescent="0.25">
      <c r="A21" s="5"/>
      <c r="B21" s="5" t="s">
        <v>1827</v>
      </c>
      <c r="C21" s="5" t="s">
        <v>2172</v>
      </c>
      <c r="D21" s="5" t="s">
        <v>2173</v>
      </c>
      <c r="E21" s="5" t="s">
        <v>2174</v>
      </c>
      <c r="F21" s="23">
        <v>2</v>
      </c>
      <c r="G21" s="23">
        <v>750</v>
      </c>
      <c r="H21" s="23">
        <v>30</v>
      </c>
      <c r="I21" s="23">
        <f>G21-H21</f>
        <v>720</v>
      </c>
      <c r="J21" s="5" t="s">
        <v>25</v>
      </c>
      <c r="K21" s="5" t="s">
        <v>25</v>
      </c>
      <c r="L21" s="5" t="s">
        <v>2122</v>
      </c>
      <c r="M21" s="5"/>
      <c r="N21" s="5"/>
      <c r="O21" s="5"/>
      <c r="P21" s="5"/>
      <c r="Q21" s="23">
        <v>1</v>
      </c>
    </row>
    <row r="22" spans="1:18" x14ac:dyDescent="0.25">
      <c r="A22" s="5"/>
      <c r="B22" s="5" t="s">
        <v>1827</v>
      </c>
      <c r="C22" s="5" t="s">
        <v>2175</v>
      </c>
      <c r="D22" s="5" t="s">
        <v>2176</v>
      </c>
      <c r="E22" s="5" t="s">
        <v>2177</v>
      </c>
      <c r="F22" s="23">
        <v>2</v>
      </c>
      <c r="G22" s="23">
        <v>0</v>
      </c>
      <c r="H22" s="23">
        <v>30</v>
      </c>
      <c r="I22" s="23">
        <f>-H22</f>
        <v>-30</v>
      </c>
      <c r="J22" s="5" t="s">
        <v>25</v>
      </c>
      <c r="K22" s="5" t="s">
        <v>25</v>
      </c>
      <c r="L22" s="5" t="s">
        <v>2122</v>
      </c>
      <c r="M22" s="5"/>
      <c r="N22" s="5"/>
      <c r="O22" s="5"/>
      <c r="P22" s="5"/>
      <c r="Q22" s="23">
        <v>1</v>
      </c>
      <c r="R22" s="25">
        <f>H22</f>
        <v>30</v>
      </c>
    </row>
    <row r="23" spans="1:18" x14ac:dyDescent="0.25">
      <c r="A23" s="5"/>
      <c r="B23" s="5" t="s">
        <v>1827</v>
      </c>
      <c r="C23" s="5" t="s">
        <v>2178</v>
      </c>
      <c r="D23" s="5" t="s">
        <v>2179</v>
      </c>
      <c r="E23" s="5" t="s">
        <v>2180</v>
      </c>
      <c r="F23" s="5" t="s">
        <v>70</v>
      </c>
      <c r="G23" s="23">
        <v>745</v>
      </c>
      <c r="H23" s="23">
        <v>25</v>
      </c>
      <c r="I23" s="23">
        <f>G23-H23</f>
        <v>720</v>
      </c>
      <c r="J23" s="5" t="s">
        <v>25</v>
      </c>
      <c r="K23" s="5" t="s">
        <v>25</v>
      </c>
      <c r="L23" s="5" t="s">
        <v>2122</v>
      </c>
      <c r="M23" s="5"/>
      <c r="N23" s="5"/>
      <c r="O23" s="5"/>
      <c r="P23" s="5"/>
      <c r="Q23" s="23">
        <v>1</v>
      </c>
    </row>
    <row r="24" spans="1:18" x14ac:dyDescent="0.25">
      <c r="A24" s="5"/>
      <c r="B24" s="5" t="s">
        <v>1827</v>
      </c>
      <c r="C24" s="5" t="s">
        <v>2181</v>
      </c>
      <c r="D24" s="5" t="s">
        <v>2182</v>
      </c>
      <c r="E24" s="5" t="s">
        <v>2183</v>
      </c>
      <c r="F24" s="5" t="s">
        <v>70</v>
      </c>
      <c r="G24" s="23">
        <v>755</v>
      </c>
      <c r="H24" s="23">
        <v>25</v>
      </c>
      <c r="I24" s="23">
        <f>G24-H24</f>
        <v>730</v>
      </c>
      <c r="J24" s="5" t="s">
        <v>25</v>
      </c>
      <c r="K24" s="5" t="s">
        <v>25</v>
      </c>
      <c r="L24" s="5" t="s">
        <v>2122</v>
      </c>
      <c r="M24" s="5"/>
      <c r="N24" s="5"/>
      <c r="O24" s="5"/>
      <c r="P24" s="5"/>
      <c r="Q24" s="23">
        <v>1</v>
      </c>
    </row>
    <row r="25" spans="1:18" x14ac:dyDescent="0.25">
      <c r="A25" s="5"/>
      <c r="B25" s="5" t="s">
        <v>1827</v>
      </c>
      <c r="C25" s="5" t="s">
        <v>2184</v>
      </c>
      <c r="D25" s="5" t="s">
        <v>2185</v>
      </c>
      <c r="E25" s="5" t="s">
        <v>2186</v>
      </c>
      <c r="F25" s="5" t="s">
        <v>103</v>
      </c>
      <c r="G25" s="23">
        <v>520</v>
      </c>
      <c r="H25" s="23">
        <v>30</v>
      </c>
      <c r="I25" s="23">
        <f>G25-H25</f>
        <v>490</v>
      </c>
      <c r="J25" s="5" t="s">
        <v>25</v>
      </c>
      <c r="K25" s="5" t="s">
        <v>25</v>
      </c>
      <c r="L25" s="5" t="s">
        <v>2122</v>
      </c>
      <c r="M25" s="5"/>
      <c r="N25" s="5"/>
      <c r="O25" s="5"/>
      <c r="P25" s="5"/>
      <c r="Q25" s="23">
        <v>1</v>
      </c>
    </row>
    <row r="26" spans="1:18" x14ac:dyDescent="0.25">
      <c r="A26" s="5"/>
      <c r="B26" s="5" t="s">
        <v>1827</v>
      </c>
      <c r="C26" s="5" t="s">
        <v>2187</v>
      </c>
      <c r="D26" s="5" t="s">
        <v>2188</v>
      </c>
      <c r="E26" s="5" t="s">
        <v>2189</v>
      </c>
      <c r="F26" s="23">
        <v>1</v>
      </c>
      <c r="G26" s="23">
        <v>365</v>
      </c>
      <c r="H26" s="23">
        <v>25</v>
      </c>
      <c r="I26" s="23">
        <f>G26-H26</f>
        <v>340</v>
      </c>
      <c r="J26" s="5" t="s">
        <v>1884</v>
      </c>
      <c r="K26" s="5" t="s">
        <v>25</v>
      </c>
      <c r="L26" s="5" t="s">
        <v>2122</v>
      </c>
      <c r="M26" s="5"/>
      <c r="N26" s="5"/>
      <c r="O26" s="5"/>
      <c r="P26" s="5"/>
      <c r="Q26" s="23">
        <v>1</v>
      </c>
    </row>
    <row r="27" spans="1:18" x14ac:dyDescent="0.25">
      <c r="A27" s="5"/>
      <c r="B27" s="5" t="s">
        <v>1827</v>
      </c>
      <c r="C27" s="5" t="s">
        <v>2190</v>
      </c>
      <c r="D27" s="5" t="s">
        <v>2191</v>
      </c>
      <c r="E27" s="5" t="s">
        <v>2192</v>
      </c>
      <c r="F27" s="23">
        <v>10</v>
      </c>
      <c r="G27" s="23">
        <v>785</v>
      </c>
      <c r="H27" s="23">
        <v>25</v>
      </c>
      <c r="I27" s="23">
        <f>G27-H27</f>
        <v>760</v>
      </c>
      <c r="J27" s="5" t="s">
        <v>1884</v>
      </c>
      <c r="K27" s="5" t="s">
        <v>25</v>
      </c>
      <c r="L27" s="5" t="s">
        <v>2122</v>
      </c>
      <c r="M27" s="5"/>
      <c r="N27" s="5"/>
      <c r="O27" s="5"/>
      <c r="P27" s="5"/>
      <c r="Q27" s="23">
        <v>1</v>
      </c>
    </row>
    <row r="28" spans="1:18" x14ac:dyDescent="0.25">
      <c r="A28" s="5"/>
      <c r="B28" s="5" t="s">
        <v>1827</v>
      </c>
      <c r="C28" s="5" t="s">
        <v>2193</v>
      </c>
      <c r="D28" s="5" t="s">
        <v>2194</v>
      </c>
      <c r="E28" s="5" t="s">
        <v>2195</v>
      </c>
      <c r="F28" s="5" t="s">
        <v>98</v>
      </c>
      <c r="G28" s="23">
        <v>0</v>
      </c>
      <c r="H28" s="23">
        <v>25</v>
      </c>
      <c r="I28" s="23">
        <f>-H28</f>
        <v>-25</v>
      </c>
      <c r="J28" s="5" t="s">
        <v>1884</v>
      </c>
      <c r="K28" s="5" t="s">
        <v>25</v>
      </c>
      <c r="L28" s="5" t="s">
        <v>2122</v>
      </c>
      <c r="M28" s="5"/>
      <c r="N28" s="5"/>
      <c r="O28" s="5"/>
      <c r="P28" s="5"/>
      <c r="Q28" s="23">
        <v>1</v>
      </c>
      <c r="R28" s="25">
        <f>H28</f>
        <v>25</v>
      </c>
    </row>
    <row r="29" spans="1:18" x14ac:dyDescent="0.25">
      <c r="A29" s="5"/>
      <c r="B29" s="5" t="s">
        <v>1827</v>
      </c>
      <c r="C29" s="5" t="s">
        <v>2196</v>
      </c>
      <c r="D29" s="5" t="s">
        <v>2197</v>
      </c>
      <c r="E29" s="5" t="s">
        <v>2198</v>
      </c>
      <c r="F29" s="5" t="s">
        <v>151</v>
      </c>
      <c r="G29" s="23">
        <v>0</v>
      </c>
      <c r="H29" s="23">
        <v>20</v>
      </c>
      <c r="I29" s="23">
        <f>-H29</f>
        <v>-20</v>
      </c>
      <c r="J29" s="5" t="s">
        <v>1884</v>
      </c>
      <c r="K29" s="5" t="s">
        <v>25</v>
      </c>
      <c r="L29" s="5" t="s">
        <v>2122</v>
      </c>
      <c r="M29" s="5"/>
      <c r="N29" s="5"/>
      <c r="O29" s="5"/>
      <c r="P29" s="5"/>
      <c r="Q29" s="23">
        <v>1</v>
      </c>
      <c r="R29" s="25">
        <f>H29</f>
        <v>20</v>
      </c>
    </row>
    <row r="30" spans="1:18" x14ac:dyDescent="0.25">
      <c r="A30" s="5"/>
      <c r="B30" s="5" t="s">
        <v>1827</v>
      </c>
      <c r="C30" s="5" t="s">
        <v>2199</v>
      </c>
      <c r="D30" s="5" t="s">
        <v>2200</v>
      </c>
      <c r="E30" s="5" t="s">
        <v>2201</v>
      </c>
      <c r="F30" s="5" t="s">
        <v>151</v>
      </c>
      <c r="G30" s="23">
        <v>610</v>
      </c>
      <c r="H30" s="23">
        <v>20</v>
      </c>
      <c r="I30" s="23">
        <f>G30-H30</f>
        <v>590</v>
      </c>
      <c r="J30" s="5" t="s">
        <v>1884</v>
      </c>
      <c r="K30" s="5" t="s">
        <v>25</v>
      </c>
      <c r="L30" s="5" t="s">
        <v>2122</v>
      </c>
      <c r="M30" s="5"/>
      <c r="N30" s="5"/>
      <c r="O30" s="5"/>
      <c r="P30" s="5"/>
      <c r="Q30" s="23">
        <v>1</v>
      </c>
    </row>
    <row r="31" spans="1:18" x14ac:dyDescent="0.25">
      <c r="A31" s="5"/>
      <c r="B31" s="5" t="s">
        <v>1827</v>
      </c>
      <c r="C31" s="5" t="s">
        <v>2202</v>
      </c>
      <c r="D31" s="5" t="s">
        <v>2203</v>
      </c>
      <c r="E31" s="5" t="s">
        <v>2204</v>
      </c>
      <c r="F31" s="5" t="s">
        <v>98</v>
      </c>
      <c r="G31" s="23">
        <v>0</v>
      </c>
      <c r="H31" s="23">
        <v>25</v>
      </c>
      <c r="I31" s="23">
        <f>-H31</f>
        <v>-25</v>
      </c>
      <c r="J31" s="5" t="s">
        <v>1884</v>
      </c>
      <c r="K31" s="5" t="s">
        <v>25</v>
      </c>
      <c r="L31" s="5" t="s">
        <v>2122</v>
      </c>
      <c r="M31" s="5"/>
      <c r="N31" s="5"/>
      <c r="O31" s="5"/>
      <c r="P31" s="5"/>
      <c r="Q31" s="23">
        <v>1</v>
      </c>
      <c r="R31" s="25">
        <f>H31</f>
        <v>25</v>
      </c>
    </row>
    <row r="32" spans="1:18" x14ac:dyDescent="0.25">
      <c r="A32" s="5" t="s">
        <v>1833</v>
      </c>
      <c r="B32" s="5" t="s">
        <v>1827</v>
      </c>
      <c r="C32" s="5" t="s">
        <v>2205</v>
      </c>
      <c r="D32" s="5"/>
      <c r="E32" s="5" t="s">
        <v>2206</v>
      </c>
      <c r="F32" s="23">
        <v>5</v>
      </c>
      <c r="G32" s="23">
        <v>0</v>
      </c>
      <c r="H32" s="23">
        <v>30</v>
      </c>
      <c r="I32" s="23">
        <f>-H32</f>
        <v>-30</v>
      </c>
      <c r="J32" s="5" t="s">
        <v>1884</v>
      </c>
      <c r="K32" s="5" t="s">
        <v>25</v>
      </c>
      <c r="L32" s="5" t="s">
        <v>2122</v>
      </c>
      <c r="M32" s="5"/>
      <c r="N32" s="5"/>
      <c r="O32" s="5"/>
      <c r="P32" s="5"/>
      <c r="Q32" s="23">
        <v>1</v>
      </c>
      <c r="R32" s="25">
        <f>H32</f>
        <v>30</v>
      </c>
    </row>
    <row r="33" spans="1:18" x14ac:dyDescent="0.25">
      <c r="A33" s="5" t="s">
        <v>1833</v>
      </c>
      <c r="B33" s="5" t="s">
        <v>1827</v>
      </c>
      <c r="C33" s="5" t="s">
        <v>2036</v>
      </c>
      <c r="D33" s="5"/>
      <c r="E33" s="5" t="s">
        <v>2037</v>
      </c>
      <c r="F33" s="23">
        <v>4</v>
      </c>
      <c r="G33" s="23">
        <v>30</v>
      </c>
      <c r="H33" s="23">
        <v>30</v>
      </c>
      <c r="I33" s="23">
        <f>G33-H33</f>
        <v>0</v>
      </c>
      <c r="J33" s="5" t="s">
        <v>1884</v>
      </c>
      <c r="K33" s="5" t="s">
        <v>25</v>
      </c>
      <c r="L33" s="5" t="s">
        <v>2122</v>
      </c>
      <c r="M33" s="5"/>
      <c r="N33" s="5"/>
      <c r="O33" s="5"/>
      <c r="P33" s="5"/>
      <c r="Q33" s="23">
        <v>1</v>
      </c>
    </row>
    <row r="34" spans="1:18" x14ac:dyDescent="0.25">
      <c r="A34" s="5" t="s">
        <v>1833</v>
      </c>
      <c r="B34" s="5" t="s">
        <v>1827</v>
      </c>
      <c r="C34" s="5" t="s">
        <v>2207</v>
      </c>
      <c r="D34" s="5"/>
      <c r="E34" s="5" t="s">
        <v>2208</v>
      </c>
      <c r="F34" s="5" t="s">
        <v>607</v>
      </c>
      <c r="G34" s="23">
        <v>40</v>
      </c>
      <c r="H34" s="23">
        <v>40</v>
      </c>
      <c r="I34" s="23">
        <f>G34-H34</f>
        <v>0</v>
      </c>
      <c r="J34" s="5" t="s">
        <v>1884</v>
      </c>
      <c r="K34" s="5" t="s">
        <v>25</v>
      </c>
      <c r="L34" s="5" t="s">
        <v>2122</v>
      </c>
      <c r="M34" s="5"/>
      <c r="N34" s="5"/>
      <c r="O34" s="5"/>
      <c r="P34" s="5"/>
      <c r="Q34" s="23">
        <v>1</v>
      </c>
    </row>
    <row r="36" spans="1:18" x14ac:dyDescent="0.25">
      <c r="G36">
        <f t="shared" ref="G36:R36" si="0">SUBTOTAL(9,G3:G35)</f>
        <v>16805</v>
      </c>
      <c r="H36">
        <f t="shared" si="0"/>
        <v>875</v>
      </c>
      <c r="I36">
        <f t="shared" si="0"/>
        <v>15930</v>
      </c>
      <c r="J36">
        <f t="shared" si="0"/>
        <v>0</v>
      </c>
      <c r="K36">
        <f t="shared" si="0"/>
        <v>0</v>
      </c>
      <c r="L36">
        <f t="shared" si="0"/>
        <v>0</v>
      </c>
      <c r="M36">
        <f t="shared" si="0"/>
        <v>0</v>
      </c>
      <c r="N36">
        <f t="shared" si="0"/>
        <v>0</v>
      </c>
      <c r="O36">
        <f t="shared" si="0"/>
        <v>0</v>
      </c>
      <c r="P36">
        <f t="shared" si="0"/>
        <v>0</v>
      </c>
      <c r="Q36">
        <f t="shared" si="0"/>
        <v>32</v>
      </c>
      <c r="R36">
        <f t="shared" si="0"/>
        <v>210</v>
      </c>
    </row>
    <row r="37" spans="1:18" x14ac:dyDescent="0.25">
      <c r="I37" s="29">
        <v>-820</v>
      </c>
      <c r="J37" s="22" t="s">
        <v>311</v>
      </c>
    </row>
    <row r="38" spans="1:18" x14ac:dyDescent="0.25">
      <c r="I38" s="29"/>
      <c r="J38" s="22"/>
    </row>
    <row r="39" spans="1:18" x14ac:dyDescent="0.25">
      <c r="I39" s="29"/>
      <c r="J39" s="22"/>
    </row>
    <row r="40" spans="1:18" ht="18.75" customHeight="1" x14ac:dyDescent="0.3">
      <c r="H40" s="7" t="s">
        <v>2209</v>
      </c>
      <c r="I40" s="8" t="s">
        <v>313</v>
      </c>
      <c r="J40" s="9" t="s">
        <v>314</v>
      </c>
    </row>
    <row r="41" spans="1:18" ht="15.75" customHeight="1" x14ac:dyDescent="0.25">
      <c r="H41" s="10" t="s">
        <v>315</v>
      </c>
      <c r="I41" s="38">
        <f>SUM(I35:I39)</f>
        <v>15110</v>
      </c>
      <c r="J41" s="11">
        <f>Q36</f>
        <v>32</v>
      </c>
    </row>
    <row r="42" spans="1:18" x14ac:dyDescent="0.25">
      <c r="H42" s="12" t="s">
        <v>316</v>
      </c>
      <c r="I42" s="13">
        <f>R36</f>
        <v>210</v>
      </c>
      <c r="J42" s="14"/>
    </row>
    <row r="43" spans="1:18" x14ac:dyDescent="0.25">
      <c r="H43" s="12" t="s">
        <v>317</v>
      </c>
      <c r="I43" s="13">
        <f>S36</f>
        <v>0</v>
      </c>
      <c r="J43" s="14"/>
    </row>
    <row r="44" spans="1:18" x14ac:dyDescent="0.25">
      <c r="H44" s="12" t="s">
        <v>318</v>
      </c>
      <c r="I44" s="13">
        <f>T36</f>
        <v>0</v>
      </c>
      <c r="J44" s="14"/>
    </row>
    <row r="45" spans="1:18" x14ac:dyDescent="0.25">
      <c r="H45" s="12" t="s">
        <v>319</v>
      </c>
      <c r="I45" s="13">
        <f>U36</f>
        <v>0</v>
      </c>
      <c r="J45" s="14"/>
    </row>
    <row r="46" spans="1:18" ht="15.75" customHeight="1" x14ac:dyDescent="0.25">
      <c r="H46" s="15" t="s">
        <v>320</v>
      </c>
      <c r="I46" s="16"/>
      <c r="J46" s="16"/>
    </row>
    <row r="47" spans="1:18" ht="15.75" customHeight="1" x14ac:dyDescent="0.25">
      <c r="H47" s="17" t="s">
        <v>321</v>
      </c>
      <c r="I47" s="16"/>
      <c r="J47" s="16"/>
    </row>
    <row r="48" spans="1:18" ht="21" customHeight="1" x14ac:dyDescent="0.35">
      <c r="H48" s="18" t="s">
        <v>322</v>
      </c>
      <c r="I48" s="19">
        <f>SUM(I41:I47)</f>
        <v>15320</v>
      </c>
      <c r="J48" s="19">
        <f>SUM(J41:J45)</f>
        <v>32</v>
      </c>
    </row>
    <row r="49" spans="1:11" x14ac:dyDescent="0.25">
      <c r="A49" t="s">
        <v>311</v>
      </c>
    </row>
    <row r="50" spans="1:11" s="4" customFormat="1" x14ac:dyDescent="0.25">
      <c r="A50" s="2" t="s">
        <v>2062</v>
      </c>
      <c r="B50" s="2" t="s">
        <v>2063</v>
      </c>
      <c r="C50" s="2" t="s">
        <v>2064</v>
      </c>
      <c r="D50" s="27">
        <v>12</v>
      </c>
      <c r="E50" s="27">
        <v>820</v>
      </c>
      <c r="F50" s="27">
        <v>0</v>
      </c>
      <c r="G50" s="27">
        <v>820</v>
      </c>
      <c r="H50" s="2" t="s">
        <v>24</v>
      </c>
      <c r="I50" s="2" t="s">
        <v>25</v>
      </c>
      <c r="J50" s="2" t="s">
        <v>2051</v>
      </c>
      <c r="K50" s="3" t="s">
        <v>2210</v>
      </c>
    </row>
  </sheetData>
  <autoFilter ref="A2:P34" xr:uid="{00000000-0009-0000-0000-000011000000}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6D2C-6B49-4C53-AAE5-BE9D84BBC623}">
  <dimension ref="A1:R89"/>
  <sheetViews>
    <sheetView topLeftCell="A75" zoomScale="80" zoomScaleNormal="80" workbookViewId="0">
      <selection activeCell="I79" sqref="I79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2.140625" bestFit="1" customWidth="1"/>
    <col min="7" max="7" width="9.140625" customWidth="1"/>
    <col min="8" max="8" width="5.5703125" customWidth="1"/>
    <col min="9" max="9" width="14.28515625" bestFit="1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0</v>
      </c>
      <c r="C1" t="s">
        <v>2211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"/>
    </row>
    <row r="3" spans="1:18" s="4" customFormat="1" x14ac:dyDescent="0.25">
      <c r="A3" s="2"/>
      <c r="B3" s="2" t="s">
        <v>1827</v>
      </c>
      <c r="C3" s="2" t="s">
        <v>2212</v>
      </c>
      <c r="D3" s="2" t="s">
        <v>2213</v>
      </c>
      <c r="E3" s="2" t="s">
        <v>2214</v>
      </c>
      <c r="F3" s="2" t="s">
        <v>23</v>
      </c>
      <c r="G3" s="27">
        <v>820</v>
      </c>
      <c r="H3" s="27">
        <v>0</v>
      </c>
      <c r="I3" s="27">
        <f>G3-H3</f>
        <v>820</v>
      </c>
      <c r="J3" s="2" t="s">
        <v>24</v>
      </c>
      <c r="K3" s="2" t="s">
        <v>25</v>
      </c>
      <c r="L3" s="2" t="s">
        <v>2215</v>
      </c>
      <c r="M3" s="3" t="s">
        <v>27</v>
      </c>
      <c r="N3" s="2" t="s">
        <v>28</v>
      </c>
      <c r="O3" s="2"/>
      <c r="P3" s="2" t="s">
        <v>29</v>
      </c>
      <c r="Q3" s="27">
        <v>1</v>
      </c>
    </row>
    <row r="4" spans="1:18" x14ac:dyDescent="0.25">
      <c r="A4" s="5"/>
      <c r="B4" s="5" t="s">
        <v>1827</v>
      </c>
      <c r="C4" s="5" t="s">
        <v>2216</v>
      </c>
      <c r="D4" s="5" t="s">
        <v>2217</v>
      </c>
      <c r="E4" s="5" t="s">
        <v>2218</v>
      </c>
      <c r="F4" s="23">
        <v>9</v>
      </c>
      <c r="G4" s="23">
        <v>850</v>
      </c>
      <c r="H4" s="23">
        <v>30</v>
      </c>
      <c r="I4" s="23">
        <f>G4-H4</f>
        <v>820</v>
      </c>
      <c r="J4" s="5" t="s">
        <v>1831</v>
      </c>
      <c r="K4" s="5" t="s">
        <v>25</v>
      </c>
      <c r="L4" s="5" t="s">
        <v>2215</v>
      </c>
      <c r="M4" s="5"/>
      <c r="N4" s="5"/>
      <c r="O4" s="5"/>
      <c r="P4" s="5"/>
      <c r="Q4" s="23">
        <v>1</v>
      </c>
    </row>
    <row r="5" spans="1:18" x14ac:dyDescent="0.25">
      <c r="A5" s="5"/>
      <c r="B5" s="5" t="s">
        <v>1827</v>
      </c>
      <c r="C5" s="5" t="s">
        <v>2219</v>
      </c>
      <c r="D5" s="5" t="s">
        <v>2220</v>
      </c>
      <c r="E5" s="5" t="s">
        <v>2221</v>
      </c>
      <c r="F5" s="23">
        <v>9</v>
      </c>
      <c r="G5" s="23">
        <v>850</v>
      </c>
      <c r="H5" s="23">
        <v>30</v>
      </c>
      <c r="I5" s="23">
        <f>G5-H5</f>
        <v>820</v>
      </c>
      <c r="J5" s="5" t="s">
        <v>1831</v>
      </c>
      <c r="K5" s="5" t="s">
        <v>25</v>
      </c>
      <c r="L5" s="5" t="s">
        <v>2215</v>
      </c>
      <c r="M5" s="5"/>
      <c r="N5" s="5"/>
      <c r="O5" s="5"/>
      <c r="P5" s="5"/>
      <c r="Q5" s="23">
        <v>1</v>
      </c>
    </row>
    <row r="6" spans="1:18" x14ac:dyDescent="0.25">
      <c r="A6" s="5"/>
      <c r="B6" s="5" t="s">
        <v>1827</v>
      </c>
      <c r="C6" s="5" t="s">
        <v>2222</v>
      </c>
      <c r="D6" s="5" t="s">
        <v>2223</v>
      </c>
      <c r="E6" s="5" t="s">
        <v>2224</v>
      </c>
      <c r="F6" s="23">
        <v>7</v>
      </c>
      <c r="G6" s="23">
        <v>0</v>
      </c>
      <c r="H6" s="23">
        <v>30</v>
      </c>
      <c r="I6" s="23">
        <f>-H6</f>
        <v>-30</v>
      </c>
      <c r="J6" s="5" t="s">
        <v>2225</v>
      </c>
      <c r="K6" s="5" t="s">
        <v>25</v>
      </c>
      <c r="L6" s="5" t="s">
        <v>2215</v>
      </c>
      <c r="M6" s="5"/>
      <c r="N6" s="5"/>
      <c r="O6" s="5"/>
      <c r="P6" s="5"/>
      <c r="Q6" s="23">
        <v>1</v>
      </c>
      <c r="R6" s="25">
        <f>H6</f>
        <v>30</v>
      </c>
    </row>
    <row r="7" spans="1:18" x14ac:dyDescent="0.25">
      <c r="A7" s="5"/>
      <c r="B7" s="5" t="s">
        <v>1827</v>
      </c>
      <c r="C7" s="5" t="s">
        <v>2226</v>
      </c>
      <c r="D7" s="5" t="s">
        <v>2227</v>
      </c>
      <c r="E7" s="5" t="s">
        <v>2228</v>
      </c>
      <c r="F7" s="5" t="s">
        <v>607</v>
      </c>
      <c r="G7" s="23">
        <v>1315</v>
      </c>
      <c r="H7" s="23">
        <v>25</v>
      </c>
      <c r="I7" s="23">
        <f>G7-H7</f>
        <v>1290</v>
      </c>
      <c r="J7" s="5" t="s">
        <v>2225</v>
      </c>
      <c r="K7" s="5" t="s">
        <v>25</v>
      </c>
      <c r="L7" s="5" t="s">
        <v>2215</v>
      </c>
      <c r="M7" s="5"/>
      <c r="N7" s="5"/>
      <c r="O7" s="5"/>
      <c r="P7" s="5"/>
      <c r="Q7" s="23">
        <v>1</v>
      </c>
    </row>
    <row r="8" spans="1:18" x14ac:dyDescent="0.25">
      <c r="A8" s="5"/>
      <c r="B8" s="5" t="s">
        <v>1827</v>
      </c>
      <c r="C8" s="5" t="s">
        <v>2229</v>
      </c>
      <c r="D8" s="5" t="s">
        <v>2230</v>
      </c>
      <c r="E8" s="5" t="s">
        <v>2231</v>
      </c>
      <c r="F8" s="5" t="s">
        <v>1853</v>
      </c>
      <c r="G8" s="23">
        <v>510</v>
      </c>
      <c r="H8" s="23">
        <v>30</v>
      </c>
      <c r="I8" s="23">
        <f>G8-H8</f>
        <v>480</v>
      </c>
      <c r="J8" s="5" t="s">
        <v>2225</v>
      </c>
      <c r="K8" s="5" t="s">
        <v>25</v>
      </c>
      <c r="L8" s="5" t="s">
        <v>2215</v>
      </c>
      <c r="M8" s="5"/>
      <c r="N8" s="5"/>
      <c r="O8" s="5"/>
      <c r="P8" s="5"/>
      <c r="Q8" s="23">
        <v>1</v>
      </c>
    </row>
    <row r="9" spans="1:18" x14ac:dyDescent="0.25">
      <c r="A9" s="5"/>
      <c r="B9" s="5" t="s">
        <v>1827</v>
      </c>
      <c r="C9" s="5" t="s">
        <v>2232</v>
      </c>
      <c r="D9" s="5" t="s">
        <v>2233</v>
      </c>
      <c r="E9" s="5" t="s">
        <v>2234</v>
      </c>
      <c r="F9" s="23">
        <v>8</v>
      </c>
      <c r="G9" s="23">
        <v>935</v>
      </c>
      <c r="H9" s="23">
        <v>25</v>
      </c>
      <c r="I9" s="23">
        <f>G9-H9</f>
        <v>910</v>
      </c>
      <c r="J9" s="5" t="s">
        <v>2225</v>
      </c>
      <c r="K9" s="5" t="s">
        <v>25</v>
      </c>
      <c r="L9" s="5" t="s">
        <v>2215</v>
      </c>
      <c r="M9" s="5"/>
      <c r="N9" s="5"/>
      <c r="O9" s="5"/>
      <c r="P9" s="5"/>
      <c r="Q9" s="23">
        <v>1</v>
      </c>
    </row>
    <row r="10" spans="1:18" x14ac:dyDescent="0.25">
      <c r="A10" s="5"/>
      <c r="B10" s="5" t="s">
        <v>1827</v>
      </c>
      <c r="C10" s="5" t="s">
        <v>2235</v>
      </c>
      <c r="D10" s="5" t="s">
        <v>2236</v>
      </c>
      <c r="E10" s="5" t="s">
        <v>2237</v>
      </c>
      <c r="F10" s="5" t="s">
        <v>444</v>
      </c>
      <c r="G10" s="23">
        <v>675</v>
      </c>
      <c r="H10" s="23">
        <v>35</v>
      </c>
      <c r="I10" s="23">
        <f>G10-H10</f>
        <v>640</v>
      </c>
      <c r="J10" s="5" t="s">
        <v>2225</v>
      </c>
      <c r="K10" s="5" t="s">
        <v>25</v>
      </c>
      <c r="L10" s="5" t="s">
        <v>2215</v>
      </c>
      <c r="M10" s="5"/>
      <c r="N10" s="5"/>
      <c r="O10" s="5"/>
      <c r="P10" s="5"/>
      <c r="Q10" s="23">
        <v>1</v>
      </c>
    </row>
    <row r="11" spans="1:18" x14ac:dyDescent="0.25">
      <c r="A11" s="5"/>
      <c r="B11" s="5" t="s">
        <v>1827</v>
      </c>
      <c r="C11" s="5" t="s">
        <v>2238</v>
      </c>
      <c r="D11" s="5" t="s">
        <v>2239</v>
      </c>
      <c r="E11" s="5" t="s">
        <v>2240</v>
      </c>
      <c r="F11" s="5" t="s">
        <v>1853</v>
      </c>
      <c r="G11" s="23">
        <v>670</v>
      </c>
      <c r="H11" s="23">
        <v>30</v>
      </c>
      <c r="I11" s="23">
        <f>G11-H11</f>
        <v>640</v>
      </c>
      <c r="J11" s="5" t="s">
        <v>2225</v>
      </c>
      <c r="K11" s="5" t="s">
        <v>25</v>
      </c>
      <c r="L11" s="5" t="s">
        <v>2215</v>
      </c>
      <c r="M11" s="5"/>
      <c r="N11" s="5"/>
      <c r="O11" s="5"/>
      <c r="P11" s="5"/>
      <c r="Q11" s="23">
        <v>1</v>
      </c>
    </row>
    <row r="12" spans="1:18" x14ac:dyDescent="0.25">
      <c r="A12" s="5"/>
      <c r="B12" s="5" t="s">
        <v>1827</v>
      </c>
      <c r="C12" s="5" t="s">
        <v>2241</v>
      </c>
      <c r="D12" s="5" t="s">
        <v>2242</v>
      </c>
      <c r="E12" s="5" t="s">
        <v>2243</v>
      </c>
      <c r="F12" s="23">
        <v>8</v>
      </c>
      <c r="G12" s="23">
        <v>0</v>
      </c>
      <c r="H12" s="23">
        <v>25</v>
      </c>
      <c r="I12" s="23">
        <f>-H12</f>
        <v>-25</v>
      </c>
      <c r="J12" s="5" t="s">
        <v>2225</v>
      </c>
      <c r="K12" s="5" t="s">
        <v>25</v>
      </c>
      <c r="L12" s="5" t="s">
        <v>2215</v>
      </c>
      <c r="M12" s="5"/>
      <c r="N12" s="5"/>
      <c r="O12" s="5"/>
      <c r="P12" s="5"/>
      <c r="Q12" s="23">
        <v>1</v>
      </c>
      <c r="R12" s="25">
        <f>H12</f>
        <v>25</v>
      </c>
    </row>
    <row r="13" spans="1:18" x14ac:dyDescent="0.25">
      <c r="A13" s="5"/>
      <c r="B13" s="5" t="s">
        <v>1827</v>
      </c>
      <c r="C13" s="5" t="s">
        <v>2244</v>
      </c>
      <c r="D13" s="5" t="s">
        <v>2245</v>
      </c>
      <c r="E13" s="5" t="s">
        <v>2246</v>
      </c>
      <c r="F13" s="23">
        <v>12</v>
      </c>
      <c r="G13" s="23">
        <v>410</v>
      </c>
      <c r="H13" s="23">
        <v>30</v>
      </c>
      <c r="I13" s="23">
        <f>G13-H13</f>
        <v>380</v>
      </c>
      <c r="J13" s="5" t="s">
        <v>2225</v>
      </c>
      <c r="K13" s="5" t="s">
        <v>25</v>
      </c>
      <c r="L13" s="5" t="s">
        <v>2215</v>
      </c>
      <c r="M13" s="5"/>
      <c r="N13" s="5"/>
      <c r="O13" s="5"/>
      <c r="P13" s="5"/>
      <c r="Q13" s="23">
        <v>1</v>
      </c>
    </row>
    <row r="14" spans="1:18" x14ac:dyDescent="0.25">
      <c r="A14" s="5"/>
      <c r="B14" s="5" t="s">
        <v>1827</v>
      </c>
      <c r="C14" s="5" t="s">
        <v>2247</v>
      </c>
      <c r="D14" s="5" t="s">
        <v>2248</v>
      </c>
      <c r="E14" s="5" t="s">
        <v>2249</v>
      </c>
      <c r="F14" s="23">
        <v>7</v>
      </c>
      <c r="G14" s="23">
        <v>370</v>
      </c>
      <c r="H14" s="23">
        <v>30</v>
      </c>
      <c r="I14" s="23">
        <f>G14-H14</f>
        <v>340</v>
      </c>
      <c r="J14" s="5" t="s">
        <v>2225</v>
      </c>
      <c r="K14" s="5" t="s">
        <v>25</v>
      </c>
      <c r="L14" s="5" t="s">
        <v>2215</v>
      </c>
      <c r="M14" s="5"/>
      <c r="N14" s="5"/>
      <c r="O14" s="5"/>
      <c r="P14" s="5"/>
      <c r="Q14" s="23">
        <v>1</v>
      </c>
    </row>
    <row r="15" spans="1:18" x14ac:dyDescent="0.25">
      <c r="A15" s="5"/>
      <c r="B15" s="5" t="s">
        <v>1827</v>
      </c>
      <c r="C15" s="5" t="s">
        <v>2250</v>
      </c>
      <c r="D15" s="5" t="s">
        <v>2251</v>
      </c>
      <c r="E15" s="5" t="s">
        <v>2252</v>
      </c>
      <c r="F15" s="23">
        <v>8</v>
      </c>
      <c r="G15" s="23">
        <v>1065</v>
      </c>
      <c r="H15" s="23">
        <v>25</v>
      </c>
      <c r="I15" s="23">
        <f>G15-H15</f>
        <v>1040</v>
      </c>
      <c r="J15" s="5" t="s">
        <v>2225</v>
      </c>
      <c r="K15" s="5" t="s">
        <v>25</v>
      </c>
      <c r="L15" s="5" t="s">
        <v>2215</v>
      </c>
      <c r="M15" s="5"/>
      <c r="N15" s="5"/>
      <c r="O15" s="5"/>
      <c r="P15" s="5"/>
      <c r="Q15" s="23">
        <v>1</v>
      </c>
    </row>
    <row r="16" spans="1:18" x14ac:dyDescent="0.25">
      <c r="A16" s="5"/>
      <c r="B16" s="5" t="s">
        <v>1827</v>
      </c>
      <c r="C16" s="5" t="s">
        <v>2253</v>
      </c>
      <c r="D16" s="5" t="s">
        <v>2254</v>
      </c>
      <c r="E16" s="5" t="s">
        <v>2255</v>
      </c>
      <c r="F16" s="23">
        <v>11</v>
      </c>
      <c r="G16" s="23">
        <v>1695</v>
      </c>
      <c r="H16" s="23">
        <v>25</v>
      </c>
      <c r="I16" s="23">
        <f>G16-H16</f>
        <v>1670</v>
      </c>
      <c r="J16" s="5" t="s">
        <v>2225</v>
      </c>
      <c r="K16" s="5" t="s">
        <v>25</v>
      </c>
      <c r="L16" s="5" t="s">
        <v>2215</v>
      </c>
      <c r="M16" s="5"/>
      <c r="N16" s="5"/>
      <c r="O16" s="5"/>
      <c r="P16" s="5"/>
      <c r="Q16" s="23">
        <v>1</v>
      </c>
    </row>
    <row r="17" spans="1:18" x14ac:dyDescent="0.25">
      <c r="A17" s="5"/>
      <c r="B17" s="5" t="s">
        <v>1827</v>
      </c>
      <c r="C17" s="5" t="s">
        <v>2256</v>
      </c>
      <c r="D17" s="5" t="s">
        <v>2257</v>
      </c>
      <c r="E17" s="5" t="s">
        <v>2258</v>
      </c>
      <c r="F17" s="23">
        <v>8</v>
      </c>
      <c r="G17" s="23">
        <v>605</v>
      </c>
      <c r="H17" s="23">
        <v>25</v>
      </c>
      <c r="I17" s="23">
        <f>G17-H17</f>
        <v>580</v>
      </c>
      <c r="J17" s="5" t="s">
        <v>2225</v>
      </c>
      <c r="K17" s="5" t="s">
        <v>25</v>
      </c>
      <c r="L17" s="5" t="s">
        <v>2215</v>
      </c>
      <c r="M17" s="5"/>
      <c r="N17" s="5"/>
      <c r="O17" s="5"/>
      <c r="P17" s="5"/>
      <c r="Q17" s="23">
        <v>1</v>
      </c>
    </row>
    <row r="18" spans="1:18" x14ac:dyDescent="0.25">
      <c r="A18" s="5"/>
      <c r="B18" s="5" t="s">
        <v>1827</v>
      </c>
      <c r="C18" s="5" t="s">
        <v>2144</v>
      </c>
      <c r="D18" s="5" t="s">
        <v>2259</v>
      </c>
      <c r="E18" s="5" t="s">
        <v>2260</v>
      </c>
      <c r="F18" s="5" t="s">
        <v>1853</v>
      </c>
      <c r="G18" s="23">
        <v>0</v>
      </c>
      <c r="H18" s="23">
        <v>30</v>
      </c>
      <c r="I18" s="23">
        <f>-H18</f>
        <v>-30</v>
      </c>
      <c r="J18" s="5" t="s">
        <v>2225</v>
      </c>
      <c r="K18" s="5" t="s">
        <v>25</v>
      </c>
      <c r="L18" s="5" t="s">
        <v>2215</v>
      </c>
      <c r="M18" s="5"/>
      <c r="N18" s="5"/>
      <c r="O18" s="5"/>
      <c r="P18" s="5"/>
      <c r="Q18" s="23">
        <v>1</v>
      </c>
      <c r="R18" s="25">
        <f>H18</f>
        <v>30</v>
      </c>
    </row>
    <row r="19" spans="1:18" x14ac:dyDescent="0.25">
      <c r="A19" s="5"/>
      <c r="B19" s="5" t="s">
        <v>1827</v>
      </c>
      <c r="C19" s="5" t="s">
        <v>2261</v>
      </c>
      <c r="D19" s="5" t="s">
        <v>2262</v>
      </c>
      <c r="E19" s="5" t="s">
        <v>2263</v>
      </c>
      <c r="F19" s="23" t="s">
        <v>1976</v>
      </c>
      <c r="G19" s="23">
        <v>855</v>
      </c>
      <c r="H19" s="23">
        <v>35</v>
      </c>
      <c r="I19" s="23">
        <f>G19-H19</f>
        <v>820</v>
      </c>
      <c r="J19" s="5" t="s">
        <v>2225</v>
      </c>
      <c r="K19" s="5" t="s">
        <v>25</v>
      </c>
      <c r="L19" s="5" t="s">
        <v>2215</v>
      </c>
      <c r="M19" s="5"/>
      <c r="N19" s="5"/>
      <c r="O19" s="5"/>
      <c r="P19" s="5"/>
      <c r="Q19" s="23">
        <v>1</v>
      </c>
    </row>
    <row r="20" spans="1:18" x14ac:dyDescent="0.25">
      <c r="A20" s="5" t="s">
        <v>1833</v>
      </c>
      <c r="B20" s="5" t="s">
        <v>1827</v>
      </c>
      <c r="C20" s="5" t="s">
        <v>2207</v>
      </c>
      <c r="D20" s="5"/>
      <c r="E20" s="5" t="s">
        <v>2264</v>
      </c>
      <c r="F20" s="5" t="s">
        <v>607</v>
      </c>
      <c r="G20" s="23">
        <v>30</v>
      </c>
      <c r="H20" s="23">
        <v>30</v>
      </c>
      <c r="I20" s="23">
        <f>G20-H20</f>
        <v>0</v>
      </c>
      <c r="J20" s="5" t="s">
        <v>2225</v>
      </c>
      <c r="K20" s="5" t="s">
        <v>25</v>
      </c>
      <c r="L20" s="5" t="s">
        <v>2215</v>
      </c>
      <c r="M20" s="5"/>
      <c r="N20" s="5"/>
      <c r="O20" s="5"/>
      <c r="P20" s="5"/>
      <c r="Q20" s="23">
        <v>1</v>
      </c>
    </row>
    <row r="21" spans="1:18" x14ac:dyDescent="0.25">
      <c r="A21" s="5"/>
      <c r="B21" s="5" t="s">
        <v>1827</v>
      </c>
      <c r="C21" s="5" t="s">
        <v>2265</v>
      </c>
      <c r="D21" s="5" t="s">
        <v>2266</v>
      </c>
      <c r="E21" s="5" t="s">
        <v>2267</v>
      </c>
      <c r="F21" s="23">
        <v>12</v>
      </c>
      <c r="G21" s="23">
        <v>730</v>
      </c>
      <c r="H21" s="23">
        <v>30</v>
      </c>
      <c r="I21" s="23">
        <f>G21-H21</f>
        <v>700</v>
      </c>
      <c r="J21" s="5" t="s">
        <v>2225</v>
      </c>
      <c r="K21" s="5" t="s">
        <v>25</v>
      </c>
      <c r="L21" s="5" t="s">
        <v>2215</v>
      </c>
      <c r="M21" s="5"/>
      <c r="N21" s="5"/>
      <c r="O21" s="5"/>
      <c r="P21" s="5"/>
      <c r="Q21" s="23">
        <v>1</v>
      </c>
    </row>
    <row r="22" spans="1:18" x14ac:dyDescent="0.25">
      <c r="A22" s="5"/>
      <c r="B22" s="5" t="s">
        <v>1827</v>
      </c>
      <c r="C22" s="5" t="s">
        <v>2268</v>
      </c>
      <c r="D22" s="5" t="s">
        <v>2269</v>
      </c>
      <c r="E22" s="5" t="s">
        <v>2270</v>
      </c>
      <c r="F22" s="23">
        <v>7</v>
      </c>
      <c r="G22" s="23">
        <v>850</v>
      </c>
      <c r="H22" s="23">
        <v>30</v>
      </c>
      <c r="I22" s="23">
        <f>G22-H22</f>
        <v>820</v>
      </c>
      <c r="J22" s="5" t="s">
        <v>2225</v>
      </c>
      <c r="K22" s="5" t="s">
        <v>25</v>
      </c>
      <c r="L22" s="5" t="s">
        <v>2215</v>
      </c>
      <c r="M22" s="5"/>
      <c r="N22" s="5"/>
      <c r="O22" s="5"/>
      <c r="P22" s="5"/>
      <c r="Q22" s="23">
        <v>1</v>
      </c>
    </row>
    <row r="23" spans="1:18" x14ac:dyDescent="0.25">
      <c r="A23" s="5"/>
      <c r="B23" s="5" t="s">
        <v>1827</v>
      </c>
      <c r="C23" s="5" t="s">
        <v>2271</v>
      </c>
      <c r="D23" s="5" t="s">
        <v>2272</v>
      </c>
      <c r="E23" s="5" t="s">
        <v>2273</v>
      </c>
      <c r="F23" s="23">
        <v>7</v>
      </c>
      <c r="G23" s="23">
        <v>0</v>
      </c>
      <c r="H23" s="23">
        <v>30</v>
      </c>
      <c r="I23" s="23">
        <f>-H23</f>
        <v>-30</v>
      </c>
      <c r="J23" s="5" t="s">
        <v>2225</v>
      </c>
      <c r="K23" s="5" t="s">
        <v>25</v>
      </c>
      <c r="L23" s="5" t="s">
        <v>2215</v>
      </c>
      <c r="M23" s="5"/>
      <c r="N23" s="5"/>
      <c r="O23" s="5"/>
      <c r="P23" s="5"/>
      <c r="Q23" s="23">
        <v>1</v>
      </c>
      <c r="R23" s="25">
        <f>H23</f>
        <v>30</v>
      </c>
    </row>
    <row r="24" spans="1:18" x14ac:dyDescent="0.25">
      <c r="A24" s="5"/>
      <c r="B24" s="5" t="s">
        <v>1827</v>
      </c>
      <c r="C24" s="5" t="s">
        <v>2274</v>
      </c>
      <c r="D24" s="5" t="s">
        <v>2275</v>
      </c>
      <c r="E24" s="5" t="s">
        <v>2276</v>
      </c>
      <c r="F24" s="5" t="s">
        <v>1853</v>
      </c>
      <c r="G24" s="23">
        <v>0</v>
      </c>
      <c r="H24" s="23">
        <v>30</v>
      </c>
      <c r="I24" s="23">
        <f>-H24</f>
        <v>-30</v>
      </c>
      <c r="J24" s="5" t="s">
        <v>2225</v>
      </c>
      <c r="K24" s="5" t="s">
        <v>25</v>
      </c>
      <c r="L24" s="5" t="s">
        <v>2215</v>
      </c>
      <c r="M24" s="5"/>
      <c r="N24" s="5"/>
      <c r="O24" s="5"/>
      <c r="P24" s="5"/>
      <c r="Q24" s="23">
        <v>1</v>
      </c>
      <c r="R24" s="25">
        <f>H24</f>
        <v>30</v>
      </c>
    </row>
    <row r="25" spans="1:18" x14ac:dyDescent="0.25">
      <c r="A25" s="5"/>
      <c r="B25" s="5" t="s">
        <v>1827</v>
      </c>
      <c r="C25" s="5" t="s">
        <v>2277</v>
      </c>
      <c r="D25" s="5" t="s">
        <v>2278</v>
      </c>
      <c r="E25" s="5" t="s">
        <v>2279</v>
      </c>
      <c r="F25" s="5" t="s">
        <v>607</v>
      </c>
      <c r="G25" s="23">
        <v>695</v>
      </c>
      <c r="H25" s="23">
        <v>25</v>
      </c>
      <c r="I25" s="23">
        <f>G25-H25</f>
        <v>670</v>
      </c>
      <c r="J25" s="5" t="s">
        <v>2225</v>
      </c>
      <c r="K25" s="5" t="s">
        <v>25</v>
      </c>
      <c r="L25" s="5" t="s">
        <v>2215</v>
      </c>
      <c r="M25" s="5"/>
      <c r="N25" s="5"/>
      <c r="O25" s="5"/>
      <c r="P25" s="5"/>
      <c r="Q25" s="23">
        <v>1</v>
      </c>
    </row>
    <row r="26" spans="1:18" x14ac:dyDescent="0.25">
      <c r="A26" s="5"/>
      <c r="B26" s="5" t="s">
        <v>1827</v>
      </c>
      <c r="C26" s="5" t="s">
        <v>2280</v>
      </c>
      <c r="D26" s="5" t="s">
        <v>2281</v>
      </c>
      <c r="E26" s="5" t="s">
        <v>2282</v>
      </c>
      <c r="F26" s="5" t="s">
        <v>1853</v>
      </c>
      <c r="G26" s="23">
        <v>0</v>
      </c>
      <c r="H26" s="23">
        <v>50</v>
      </c>
      <c r="I26" s="23">
        <f>G26-H26</f>
        <v>-50</v>
      </c>
      <c r="J26" s="5" t="s">
        <v>2225</v>
      </c>
      <c r="K26" s="5" t="s">
        <v>25</v>
      </c>
      <c r="L26" s="5" t="s">
        <v>2215</v>
      </c>
      <c r="M26" s="5"/>
      <c r="N26" s="5"/>
      <c r="O26" s="5"/>
      <c r="P26" s="5"/>
      <c r="Q26" s="23">
        <v>1</v>
      </c>
      <c r="R26" s="25">
        <f>H26</f>
        <v>50</v>
      </c>
    </row>
    <row r="27" spans="1:18" x14ac:dyDescent="0.25">
      <c r="A27" s="5"/>
      <c r="B27" s="5" t="s">
        <v>1827</v>
      </c>
      <c r="C27" s="5" t="s">
        <v>2283</v>
      </c>
      <c r="D27" s="5" t="s">
        <v>2284</v>
      </c>
      <c r="E27" s="5" t="s">
        <v>2285</v>
      </c>
      <c r="F27" s="5" t="s">
        <v>1853</v>
      </c>
      <c r="G27" s="23">
        <v>750</v>
      </c>
      <c r="H27" s="23">
        <v>30</v>
      </c>
      <c r="I27" s="23">
        <f>G27-H27</f>
        <v>720</v>
      </c>
      <c r="J27" s="5" t="s">
        <v>2225</v>
      </c>
      <c r="K27" s="5" t="s">
        <v>25</v>
      </c>
      <c r="L27" s="5" t="s">
        <v>2215</v>
      </c>
      <c r="M27" s="5"/>
      <c r="N27" s="5"/>
      <c r="O27" s="5"/>
      <c r="P27" s="5"/>
      <c r="Q27" s="23">
        <v>1</v>
      </c>
    </row>
    <row r="28" spans="1:18" x14ac:dyDescent="0.25">
      <c r="A28" s="5"/>
      <c r="B28" s="5" t="s">
        <v>1827</v>
      </c>
      <c r="C28" s="5" t="s">
        <v>2286</v>
      </c>
      <c r="D28" s="5" t="s">
        <v>2287</v>
      </c>
      <c r="E28" s="5" t="s">
        <v>2288</v>
      </c>
      <c r="F28" s="23">
        <v>11</v>
      </c>
      <c r="G28" s="23">
        <v>0</v>
      </c>
      <c r="H28" s="23">
        <v>25</v>
      </c>
      <c r="I28" s="23">
        <f>-H28</f>
        <v>-25</v>
      </c>
      <c r="J28" s="5" t="s">
        <v>2225</v>
      </c>
      <c r="K28" s="5" t="s">
        <v>25</v>
      </c>
      <c r="L28" s="5" t="s">
        <v>2215</v>
      </c>
      <c r="M28" s="5"/>
      <c r="N28" s="5"/>
      <c r="O28" s="5"/>
      <c r="P28" s="5"/>
      <c r="Q28" s="23">
        <v>1</v>
      </c>
      <c r="R28" s="25">
        <f>H28</f>
        <v>25</v>
      </c>
    </row>
    <row r="29" spans="1:18" x14ac:dyDescent="0.25">
      <c r="A29" s="5"/>
      <c r="B29" s="5" t="s">
        <v>1827</v>
      </c>
      <c r="C29" s="5" t="s">
        <v>2289</v>
      </c>
      <c r="D29" s="5" t="s">
        <v>2290</v>
      </c>
      <c r="E29" s="5" t="s">
        <v>2291</v>
      </c>
      <c r="F29" s="23">
        <v>7</v>
      </c>
      <c r="G29" s="23">
        <v>0</v>
      </c>
      <c r="H29" s="23">
        <v>30</v>
      </c>
      <c r="I29" s="23">
        <f>-H29</f>
        <v>-30</v>
      </c>
      <c r="J29" s="5" t="s">
        <v>2225</v>
      </c>
      <c r="K29" s="5" t="s">
        <v>25</v>
      </c>
      <c r="L29" s="5" t="s">
        <v>2215</v>
      </c>
      <c r="M29" s="5"/>
      <c r="N29" s="5"/>
      <c r="O29" s="5"/>
      <c r="P29" s="5"/>
      <c r="Q29" s="23">
        <v>1</v>
      </c>
      <c r="R29" s="25">
        <f>H29</f>
        <v>30</v>
      </c>
    </row>
    <row r="30" spans="1:18" x14ac:dyDescent="0.25">
      <c r="A30" s="5" t="s">
        <v>1833</v>
      </c>
      <c r="B30" s="5" t="s">
        <v>1827</v>
      </c>
      <c r="C30" s="5" t="s">
        <v>2292</v>
      </c>
      <c r="D30" s="5"/>
      <c r="E30" s="5" t="s">
        <v>1841</v>
      </c>
      <c r="F30" s="23">
        <v>6</v>
      </c>
      <c r="G30" s="23">
        <v>0</v>
      </c>
      <c r="H30" s="23">
        <v>30</v>
      </c>
      <c r="I30" s="23">
        <f>-H30</f>
        <v>-30</v>
      </c>
      <c r="J30" s="5" t="s">
        <v>2225</v>
      </c>
      <c r="K30" s="5" t="s">
        <v>25</v>
      </c>
      <c r="L30" s="5" t="s">
        <v>2215</v>
      </c>
      <c r="M30" s="5"/>
      <c r="N30" s="5"/>
      <c r="O30" s="5"/>
      <c r="P30" s="5"/>
      <c r="Q30" s="23">
        <v>1</v>
      </c>
      <c r="R30" s="25">
        <f>H30</f>
        <v>30</v>
      </c>
    </row>
    <row r="31" spans="1:18" x14ac:dyDescent="0.25">
      <c r="A31" s="5" t="s">
        <v>1833</v>
      </c>
      <c r="B31" s="5" t="s">
        <v>1827</v>
      </c>
      <c r="C31" s="5" t="s">
        <v>2293</v>
      </c>
      <c r="D31" s="5"/>
      <c r="E31" s="5" t="s">
        <v>2294</v>
      </c>
      <c r="F31" s="23">
        <v>12</v>
      </c>
      <c r="G31" s="23">
        <v>645</v>
      </c>
      <c r="H31" s="23">
        <v>35</v>
      </c>
      <c r="I31" s="23">
        <f t="shared" ref="I31:I37" si="0">G31-H31</f>
        <v>610</v>
      </c>
      <c r="J31" s="5" t="s">
        <v>2225</v>
      </c>
      <c r="K31" s="5" t="s">
        <v>25</v>
      </c>
      <c r="L31" s="5" t="s">
        <v>2215</v>
      </c>
      <c r="M31" s="5"/>
      <c r="N31" s="5"/>
      <c r="O31" s="5"/>
      <c r="P31" s="5"/>
      <c r="Q31" s="23">
        <v>1</v>
      </c>
    </row>
    <row r="32" spans="1:18" x14ac:dyDescent="0.25">
      <c r="A32" s="5" t="s">
        <v>1833</v>
      </c>
      <c r="B32" s="5" t="s">
        <v>1827</v>
      </c>
      <c r="C32" s="5" t="s">
        <v>2295</v>
      </c>
      <c r="D32" s="5"/>
      <c r="E32" s="5" t="s">
        <v>2296</v>
      </c>
      <c r="F32" s="23">
        <v>6</v>
      </c>
      <c r="G32" s="23">
        <v>850</v>
      </c>
      <c r="H32" s="23">
        <v>30</v>
      </c>
      <c r="I32" s="23">
        <f t="shared" si="0"/>
        <v>820</v>
      </c>
      <c r="J32" s="5" t="s">
        <v>2225</v>
      </c>
      <c r="K32" s="5" t="s">
        <v>25</v>
      </c>
      <c r="L32" s="5" t="s">
        <v>2215</v>
      </c>
      <c r="M32" s="5"/>
      <c r="N32" s="5"/>
      <c r="O32" s="5"/>
      <c r="P32" s="5"/>
      <c r="Q32" s="23">
        <v>1</v>
      </c>
    </row>
    <row r="33" spans="1:18" x14ac:dyDescent="0.25">
      <c r="A33" s="5" t="s">
        <v>1833</v>
      </c>
      <c r="B33" s="5" t="s">
        <v>1827</v>
      </c>
      <c r="C33" s="5" t="s">
        <v>2297</v>
      </c>
      <c r="D33" s="5"/>
      <c r="E33" s="5" t="s">
        <v>2298</v>
      </c>
      <c r="F33" s="23">
        <v>6</v>
      </c>
      <c r="G33" s="23">
        <v>2425</v>
      </c>
      <c r="H33" s="23">
        <v>35</v>
      </c>
      <c r="I33" s="23">
        <f t="shared" si="0"/>
        <v>2390</v>
      </c>
      <c r="J33" s="5" t="s">
        <v>2225</v>
      </c>
      <c r="K33" s="5" t="s">
        <v>25</v>
      </c>
      <c r="L33" s="5" t="s">
        <v>2215</v>
      </c>
      <c r="M33" s="5"/>
      <c r="N33" s="5"/>
      <c r="O33" s="5"/>
      <c r="P33" s="5"/>
      <c r="Q33" s="23">
        <v>1</v>
      </c>
    </row>
    <row r="34" spans="1:18" s="33" customFormat="1" x14ac:dyDescent="0.25">
      <c r="A34" s="36"/>
      <c r="B34" s="36" t="s">
        <v>1827</v>
      </c>
      <c r="C34" s="36" t="s">
        <v>2299</v>
      </c>
      <c r="D34" s="36" t="s">
        <v>2300</v>
      </c>
      <c r="E34" s="36" t="s">
        <v>2301</v>
      </c>
      <c r="F34" s="36" t="s">
        <v>58</v>
      </c>
      <c r="G34" s="37">
        <v>40</v>
      </c>
      <c r="H34" s="37">
        <v>20</v>
      </c>
      <c r="I34" s="37">
        <f t="shared" si="0"/>
        <v>20</v>
      </c>
      <c r="J34" s="36" t="s">
        <v>25</v>
      </c>
      <c r="K34" s="36" t="s">
        <v>25</v>
      </c>
      <c r="L34" s="36" t="s">
        <v>2215</v>
      </c>
      <c r="M34" s="36" t="s">
        <v>2403</v>
      </c>
      <c r="N34" s="36"/>
      <c r="O34" s="36"/>
      <c r="P34" s="36"/>
      <c r="Q34" s="37">
        <v>1</v>
      </c>
      <c r="R34" s="34">
        <f>H34</f>
        <v>20</v>
      </c>
    </row>
    <row r="35" spans="1:18" x14ac:dyDescent="0.25">
      <c r="A35" s="5"/>
      <c r="B35" s="5" t="s">
        <v>1827</v>
      </c>
      <c r="C35" s="5" t="s">
        <v>2302</v>
      </c>
      <c r="D35" s="5" t="s">
        <v>2303</v>
      </c>
      <c r="E35" s="5" t="s">
        <v>2304</v>
      </c>
      <c r="F35" s="5" t="s">
        <v>70</v>
      </c>
      <c r="G35" s="23">
        <v>935</v>
      </c>
      <c r="H35" s="23">
        <v>25</v>
      </c>
      <c r="I35" s="23">
        <f t="shared" si="0"/>
        <v>910</v>
      </c>
      <c r="J35" s="5" t="s">
        <v>25</v>
      </c>
      <c r="K35" s="5" t="s">
        <v>25</v>
      </c>
      <c r="L35" s="5" t="s">
        <v>2215</v>
      </c>
      <c r="M35" s="5"/>
      <c r="N35" s="5"/>
      <c r="O35" s="5"/>
      <c r="P35" s="5"/>
      <c r="Q35" s="23">
        <v>1</v>
      </c>
    </row>
    <row r="36" spans="1:18" x14ac:dyDescent="0.25">
      <c r="A36" s="5"/>
      <c r="B36" s="5" t="s">
        <v>1827</v>
      </c>
      <c r="C36" s="5" t="s">
        <v>2305</v>
      </c>
      <c r="D36" s="5" t="s">
        <v>2306</v>
      </c>
      <c r="E36" s="5" t="s">
        <v>2307</v>
      </c>
      <c r="F36" s="5" t="s">
        <v>58</v>
      </c>
      <c r="G36" s="23">
        <v>690</v>
      </c>
      <c r="H36" s="23">
        <v>20</v>
      </c>
      <c r="I36" s="23">
        <f t="shared" si="0"/>
        <v>670</v>
      </c>
      <c r="J36" s="5" t="s">
        <v>25</v>
      </c>
      <c r="K36" s="5" t="s">
        <v>25</v>
      </c>
      <c r="L36" s="5" t="s">
        <v>2215</v>
      </c>
      <c r="M36" s="5"/>
      <c r="N36" s="5"/>
      <c r="O36" s="5"/>
      <c r="P36" s="5"/>
      <c r="Q36" s="23">
        <v>1</v>
      </c>
    </row>
    <row r="37" spans="1:18" x14ac:dyDescent="0.25">
      <c r="A37" s="5"/>
      <c r="B37" s="5" t="s">
        <v>1827</v>
      </c>
      <c r="C37" s="5" t="s">
        <v>2308</v>
      </c>
      <c r="D37" s="5" t="s">
        <v>2309</v>
      </c>
      <c r="E37" s="5" t="s">
        <v>2310</v>
      </c>
      <c r="F37" s="5" t="s">
        <v>70</v>
      </c>
      <c r="G37" s="23">
        <v>1325</v>
      </c>
      <c r="H37" s="23">
        <v>25</v>
      </c>
      <c r="I37" s="23">
        <f t="shared" si="0"/>
        <v>1300</v>
      </c>
      <c r="J37" s="5" t="s">
        <v>25</v>
      </c>
      <c r="K37" s="5" t="s">
        <v>25</v>
      </c>
      <c r="L37" s="5" t="s">
        <v>2215</v>
      </c>
      <c r="M37" s="5"/>
      <c r="N37" s="5"/>
      <c r="O37" s="5"/>
      <c r="P37" s="5"/>
      <c r="Q37" s="23">
        <v>1</v>
      </c>
    </row>
    <row r="38" spans="1:18" x14ac:dyDescent="0.25">
      <c r="A38" s="5"/>
      <c r="B38" s="5" t="s">
        <v>1827</v>
      </c>
      <c r="C38" s="5" t="s">
        <v>2311</v>
      </c>
      <c r="D38" s="5" t="s">
        <v>2312</v>
      </c>
      <c r="E38" s="5" t="s">
        <v>2313</v>
      </c>
      <c r="F38" s="5" t="s">
        <v>70</v>
      </c>
      <c r="G38" s="23">
        <v>0</v>
      </c>
      <c r="H38" s="23">
        <v>25</v>
      </c>
      <c r="I38" s="23">
        <f>-H38</f>
        <v>-25</v>
      </c>
      <c r="J38" s="5" t="s">
        <v>25</v>
      </c>
      <c r="K38" s="5" t="s">
        <v>25</v>
      </c>
      <c r="L38" s="5" t="s">
        <v>2215</v>
      </c>
      <c r="M38" s="5"/>
      <c r="N38" s="5"/>
      <c r="O38" s="5"/>
      <c r="P38" s="5"/>
      <c r="Q38" s="23">
        <v>1</v>
      </c>
      <c r="R38" s="25">
        <f>H38</f>
        <v>25</v>
      </c>
    </row>
    <row r="39" spans="1:18" x14ac:dyDescent="0.25">
      <c r="A39" s="5"/>
      <c r="B39" s="5" t="s">
        <v>1827</v>
      </c>
      <c r="C39" s="5" t="s">
        <v>2314</v>
      </c>
      <c r="D39" s="5" t="s">
        <v>2315</v>
      </c>
      <c r="E39" s="5" t="s">
        <v>2316</v>
      </c>
      <c r="F39" s="5" t="s">
        <v>98</v>
      </c>
      <c r="G39" s="23">
        <v>875</v>
      </c>
      <c r="H39" s="23">
        <v>25</v>
      </c>
      <c r="I39" s="23">
        <f>G39-H39</f>
        <v>850</v>
      </c>
      <c r="J39" s="5" t="s">
        <v>25</v>
      </c>
      <c r="K39" s="5" t="s">
        <v>25</v>
      </c>
      <c r="L39" s="5" t="s">
        <v>2215</v>
      </c>
      <c r="M39" s="5"/>
      <c r="N39" s="5"/>
      <c r="O39" s="5"/>
      <c r="P39" s="5"/>
      <c r="Q39" s="23">
        <v>1</v>
      </c>
    </row>
    <row r="40" spans="1:18" x14ac:dyDescent="0.25">
      <c r="A40" s="5"/>
      <c r="B40" s="5" t="s">
        <v>1827</v>
      </c>
      <c r="C40" s="5" t="s">
        <v>2317</v>
      </c>
      <c r="D40" s="5" t="s">
        <v>2318</v>
      </c>
      <c r="E40" s="5" t="s">
        <v>2319</v>
      </c>
      <c r="F40" s="5" t="s">
        <v>58</v>
      </c>
      <c r="G40" s="23">
        <v>810</v>
      </c>
      <c r="H40" s="23">
        <v>20</v>
      </c>
      <c r="I40" s="23">
        <f>G40-H40</f>
        <v>790</v>
      </c>
      <c r="J40" s="5" t="s">
        <v>25</v>
      </c>
      <c r="K40" s="5" t="s">
        <v>25</v>
      </c>
      <c r="L40" s="5" t="s">
        <v>2215</v>
      </c>
      <c r="M40" s="5"/>
      <c r="N40" s="5"/>
      <c r="O40" s="5"/>
      <c r="P40" s="5"/>
      <c r="Q40" s="23">
        <v>1</v>
      </c>
    </row>
    <row r="41" spans="1:18" x14ac:dyDescent="0.25">
      <c r="A41" s="5"/>
      <c r="B41" s="5" t="s">
        <v>1827</v>
      </c>
      <c r="C41" s="5" t="s">
        <v>2320</v>
      </c>
      <c r="D41" s="5" t="s">
        <v>2321</v>
      </c>
      <c r="E41" s="5" t="s">
        <v>2322</v>
      </c>
      <c r="F41" s="5" t="s">
        <v>58</v>
      </c>
      <c r="G41" s="23">
        <v>0</v>
      </c>
      <c r="H41" s="23">
        <v>20</v>
      </c>
      <c r="I41" s="23">
        <f>-H41</f>
        <v>-20</v>
      </c>
      <c r="J41" s="5" t="s">
        <v>25</v>
      </c>
      <c r="K41" s="5" t="s">
        <v>25</v>
      </c>
      <c r="L41" s="5" t="s">
        <v>2215</v>
      </c>
      <c r="M41" s="5"/>
      <c r="N41" s="5"/>
      <c r="O41" s="5"/>
      <c r="P41" s="5"/>
      <c r="Q41" s="23">
        <v>1</v>
      </c>
      <c r="R41" s="25">
        <f>H41</f>
        <v>20</v>
      </c>
    </row>
    <row r="42" spans="1:18" x14ac:dyDescent="0.25">
      <c r="A42" s="5"/>
      <c r="B42" s="5" t="s">
        <v>1827</v>
      </c>
      <c r="C42" s="5" t="s">
        <v>2323</v>
      </c>
      <c r="D42" s="5" t="s">
        <v>2324</v>
      </c>
      <c r="E42" s="5" t="s">
        <v>2325</v>
      </c>
      <c r="F42" s="23">
        <v>2</v>
      </c>
      <c r="G42" s="23">
        <v>870</v>
      </c>
      <c r="H42" s="23">
        <v>30</v>
      </c>
      <c r="I42" s="23">
        <f>G42-H42</f>
        <v>840</v>
      </c>
      <c r="J42" s="5" t="s">
        <v>25</v>
      </c>
      <c r="K42" s="5" t="s">
        <v>25</v>
      </c>
      <c r="L42" s="5" t="s">
        <v>2215</v>
      </c>
      <c r="M42" s="5"/>
      <c r="N42" s="5"/>
      <c r="O42" s="5"/>
      <c r="P42" s="5"/>
      <c r="Q42" s="23">
        <v>1</v>
      </c>
    </row>
    <row r="43" spans="1:18" x14ac:dyDescent="0.25">
      <c r="A43" s="5"/>
      <c r="B43" s="5" t="s">
        <v>1827</v>
      </c>
      <c r="C43" s="5" t="s">
        <v>2138</v>
      </c>
      <c r="D43" s="5" t="s">
        <v>2326</v>
      </c>
      <c r="E43" s="5" t="s">
        <v>2327</v>
      </c>
      <c r="F43" s="5" t="s">
        <v>70</v>
      </c>
      <c r="G43" s="23">
        <v>605</v>
      </c>
      <c r="H43" s="23">
        <v>25</v>
      </c>
      <c r="I43" s="23">
        <f>G43-H43</f>
        <v>580</v>
      </c>
      <c r="J43" s="5" t="s">
        <v>25</v>
      </c>
      <c r="K43" s="5" t="s">
        <v>25</v>
      </c>
      <c r="L43" s="5" t="s">
        <v>2215</v>
      </c>
      <c r="M43" s="5"/>
      <c r="N43" s="5"/>
      <c r="O43" s="5"/>
      <c r="P43" s="5"/>
      <c r="Q43" s="23">
        <v>1</v>
      </c>
    </row>
    <row r="44" spans="1:18" x14ac:dyDescent="0.25">
      <c r="A44" s="5"/>
      <c r="B44" s="5" t="s">
        <v>1827</v>
      </c>
      <c r="C44" s="5" t="s">
        <v>2328</v>
      </c>
      <c r="D44" s="5" t="s">
        <v>2329</v>
      </c>
      <c r="E44" s="5" t="s">
        <v>2330</v>
      </c>
      <c r="F44" s="5" t="s">
        <v>58</v>
      </c>
      <c r="G44" s="23">
        <v>1570</v>
      </c>
      <c r="H44" s="23">
        <v>20</v>
      </c>
      <c r="I44" s="23">
        <f>G44-H44</f>
        <v>1550</v>
      </c>
      <c r="J44" s="5" t="s">
        <v>25</v>
      </c>
      <c r="K44" s="5" t="s">
        <v>25</v>
      </c>
      <c r="L44" s="5" t="s">
        <v>2215</v>
      </c>
      <c r="M44" s="5"/>
      <c r="N44" s="5"/>
      <c r="O44" s="5"/>
      <c r="P44" s="5"/>
      <c r="Q44" s="23">
        <v>1</v>
      </c>
    </row>
    <row r="45" spans="1:18" x14ac:dyDescent="0.25">
      <c r="A45" s="5"/>
      <c r="B45" s="5" t="s">
        <v>1827</v>
      </c>
      <c r="C45" s="5" t="s">
        <v>2331</v>
      </c>
      <c r="D45" s="5" t="s">
        <v>2332</v>
      </c>
      <c r="E45" s="5" t="s">
        <v>2333</v>
      </c>
      <c r="F45" s="5" t="s">
        <v>103</v>
      </c>
      <c r="G45" s="23">
        <v>0</v>
      </c>
      <c r="H45" s="23">
        <v>30</v>
      </c>
      <c r="I45" s="23">
        <f>-H45</f>
        <v>-30</v>
      </c>
      <c r="J45" s="5" t="s">
        <v>25</v>
      </c>
      <c r="K45" s="5" t="s">
        <v>25</v>
      </c>
      <c r="L45" s="5" t="s">
        <v>2215</v>
      </c>
      <c r="M45" s="5"/>
      <c r="N45" s="5"/>
      <c r="O45" s="5"/>
      <c r="P45" s="5"/>
      <c r="Q45" s="23">
        <v>1</v>
      </c>
      <c r="R45" s="25">
        <f>H45</f>
        <v>30</v>
      </c>
    </row>
    <row r="46" spans="1:18" x14ac:dyDescent="0.25">
      <c r="A46" s="5"/>
      <c r="B46" s="5" t="s">
        <v>1827</v>
      </c>
      <c r="C46" s="5" t="s">
        <v>2334</v>
      </c>
      <c r="D46" s="5" t="s">
        <v>2335</v>
      </c>
      <c r="E46" s="5" t="s">
        <v>2336</v>
      </c>
      <c r="F46" s="5" t="s">
        <v>70</v>
      </c>
      <c r="G46" s="23">
        <v>1855</v>
      </c>
      <c r="H46" s="23">
        <v>25</v>
      </c>
      <c r="I46" s="23">
        <f>G46-H46</f>
        <v>1830</v>
      </c>
      <c r="J46" s="5" t="s">
        <v>25</v>
      </c>
      <c r="K46" s="5" t="s">
        <v>25</v>
      </c>
      <c r="L46" s="5" t="s">
        <v>2215</v>
      </c>
      <c r="M46" s="5"/>
      <c r="N46" s="5"/>
      <c r="O46" s="5"/>
      <c r="P46" s="5"/>
      <c r="Q46" s="23">
        <v>1</v>
      </c>
    </row>
    <row r="47" spans="1:18" x14ac:dyDescent="0.25">
      <c r="A47" s="5"/>
      <c r="B47" s="5" t="s">
        <v>1827</v>
      </c>
      <c r="C47" s="5" t="s">
        <v>2337</v>
      </c>
      <c r="D47" s="5" t="s">
        <v>2338</v>
      </c>
      <c r="E47" s="5" t="s">
        <v>2339</v>
      </c>
      <c r="F47" s="5" t="s">
        <v>98</v>
      </c>
      <c r="G47" s="23">
        <v>605</v>
      </c>
      <c r="H47" s="23">
        <v>25</v>
      </c>
      <c r="I47" s="23">
        <f>G47-H47</f>
        <v>580</v>
      </c>
      <c r="J47" s="5" t="s">
        <v>25</v>
      </c>
      <c r="K47" s="5" t="s">
        <v>25</v>
      </c>
      <c r="L47" s="5" t="s">
        <v>2215</v>
      </c>
      <c r="M47" s="5"/>
      <c r="N47" s="5"/>
      <c r="O47" s="5"/>
      <c r="P47" s="5"/>
      <c r="Q47" s="23">
        <v>1</v>
      </c>
    </row>
    <row r="48" spans="1:18" x14ac:dyDescent="0.25">
      <c r="A48" s="5"/>
      <c r="B48" s="5" t="s">
        <v>1827</v>
      </c>
      <c r="C48" s="5" t="s">
        <v>1869</v>
      </c>
      <c r="D48" s="5" t="s">
        <v>2340</v>
      </c>
      <c r="E48" s="5" t="s">
        <v>1871</v>
      </c>
      <c r="F48" s="5" t="s">
        <v>58</v>
      </c>
      <c r="G48" s="23">
        <v>0</v>
      </c>
      <c r="H48" s="23">
        <v>20</v>
      </c>
      <c r="I48" s="23">
        <f>-H48</f>
        <v>-20</v>
      </c>
      <c r="J48" s="5" t="s">
        <v>25</v>
      </c>
      <c r="K48" s="5" t="s">
        <v>25</v>
      </c>
      <c r="L48" s="5" t="s">
        <v>2215</v>
      </c>
      <c r="M48" s="5"/>
      <c r="N48" s="5"/>
      <c r="O48" s="5"/>
      <c r="P48" s="5"/>
      <c r="Q48" s="23">
        <v>1</v>
      </c>
      <c r="R48" s="25">
        <f>H48</f>
        <v>20</v>
      </c>
    </row>
    <row r="49" spans="1:18" x14ac:dyDescent="0.25">
      <c r="A49" s="5"/>
      <c r="B49" s="5" t="s">
        <v>1827</v>
      </c>
      <c r="C49" s="5" t="s">
        <v>2341</v>
      </c>
      <c r="D49" s="5" t="s">
        <v>2342</v>
      </c>
      <c r="E49" s="5" t="s">
        <v>2343</v>
      </c>
      <c r="F49" s="5" t="s">
        <v>103</v>
      </c>
      <c r="G49" s="23">
        <v>760</v>
      </c>
      <c r="H49" s="23">
        <v>30</v>
      </c>
      <c r="I49" s="23">
        <f>G49-H49</f>
        <v>730</v>
      </c>
      <c r="J49" s="5" t="s">
        <v>25</v>
      </c>
      <c r="K49" s="5" t="s">
        <v>25</v>
      </c>
      <c r="L49" s="5" t="s">
        <v>2215</v>
      </c>
      <c r="M49" s="5"/>
      <c r="N49" s="5"/>
      <c r="O49" s="5"/>
      <c r="P49" s="5"/>
      <c r="Q49" s="23">
        <v>1</v>
      </c>
    </row>
    <row r="50" spans="1:18" x14ac:dyDescent="0.25">
      <c r="A50" s="5" t="s">
        <v>1833</v>
      </c>
      <c r="B50" s="5" t="s">
        <v>1827</v>
      </c>
      <c r="C50" s="5" t="s">
        <v>2344</v>
      </c>
      <c r="D50" s="5"/>
      <c r="E50" s="5" t="s">
        <v>2345</v>
      </c>
      <c r="F50" s="5" t="s">
        <v>98</v>
      </c>
      <c r="G50" s="23">
        <v>960</v>
      </c>
      <c r="H50" s="23">
        <v>30</v>
      </c>
      <c r="I50" s="23">
        <f>G50-H50</f>
        <v>930</v>
      </c>
      <c r="J50" s="5" t="s">
        <v>25</v>
      </c>
      <c r="K50" s="5" t="s">
        <v>25</v>
      </c>
      <c r="L50" s="5" t="s">
        <v>2215</v>
      </c>
      <c r="M50" s="5"/>
      <c r="N50" s="5"/>
      <c r="O50" s="5"/>
      <c r="P50" s="5"/>
      <c r="Q50" s="23">
        <v>1</v>
      </c>
    </row>
    <row r="51" spans="1:18" x14ac:dyDescent="0.25">
      <c r="A51" s="5" t="s">
        <v>1833</v>
      </c>
      <c r="B51" s="5" t="s">
        <v>1827</v>
      </c>
      <c r="C51" s="5" t="s">
        <v>1933</v>
      </c>
      <c r="D51" s="5"/>
      <c r="E51" s="5" t="s">
        <v>1934</v>
      </c>
      <c r="F51" s="5" t="s">
        <v>70</v>
      </c>
      <c r="G51" s="23">
        <v>30</v>
      </c>
      <c r="H51" s="23">
        <v>30</v>
      </c>
      <c r="I51" s="23">
        <f>G51-H51</f>
        <v>0</v>
      </c>
      <c r="J51" s="5" t="s">
        <v>25</v>
      </c>
      <c r="K51" s="5" t="s">
        <v>25</v>
      </c>
      <c r="L51" s="5" t="s">
        <v>2215</v>
      </c>
      <c r="M51" s="5"/>
      <c r="N51" s="5"/>
      <c r="O51" s="5"/>
      <c r="P51" s="5"/>
      <c r="Q51" s="23">
        <v>1</v>
      </c>
    </row>
    <row r="52" spans="1:18" x14ac:dyDescent="0.25">
      <c r="A52" s="5" t="s">
        <v>1833</v>
      </c>
      <c r="B52" s="5" t="s">
        <v>1827</v>
      </c>
      <c r="C52" s="5" t="s">
        <v>1875</v>
      </c>
      <c r="D52" s="5"/>
      <c r="E52" s="5" t="s">
        <v>2011</v>
      </c>
      <c r="F52" s="5" t="s">
        <v>70</v>
      </c>
      <c r="G52" s="23">
        <v>7090</v>
      </c>
      <c r="H52" s="23">
        <v>30</v>
      </c>
      <c r="I52" s="23">
        <f>G52-H52</f>
        <v>7060</v>
      </c>
      <c r="J52" s="5" t="s">
        <v>25</v>
      </c>
      <c r="K52" s="5" t="s">
        <v>25</v>
      </c>
      <c r="L52" s="5" t="s">
        <v>2215</v>
      </c>
      <c r="M52" s="5"/>
      <c r="N52" s="5"/>
      <c r="O52" s="5"/>
      <c r="P52" s="5"/>
      <c r="Q52" s="23">
        <v>1</v>
      </c>
    </row>
    <row r="53" spans="1:18" x14ac:dyDescent="0.25">
      <c r="A53" s="5" t="s">
        <v>1833</v>
      </c>
      <c r="B53" s="5" t="s">
        <v>1827</v>
      </c>
      <c r="C53" s="5" t="s">
        <v>2346</v>
      </c>
      <c r="D53" s="5"/>
      <c r="E53" s="5" t="s">
        <v>2347</v>
      </c>
      <c r="F53" s="5" t="s">
        <v>103</v>
      </c>
      <c r="G53" s="23">
        <v>995</v>
      </c>
      <c r="H53" s="23">
        <v>35</v>
      </c>
      <c r="I53" s="23">
        <f>G53-H53</f>
        <v>960</v>
      </c>
      <c r="J53" s="5" t="s">
        <v>25</v>
      </c>
      <c r="K53" s="5" t="s">
        <v>25</v>
      </c>
      <c r="L53" s="5" t="s">
        <v>2215</v>
      </c>
      <c r="M53" s="5"/>
      <c r="N53" s="5"/>
      <c r="O53" s="5"/>
      <c r="P53" s="5"/>
      <c r="Q53" s="23">
        <v>1</v>
      </c>
    </row>
    <row r="54" spans="1:18" x14ac:dyDescent="0.25">
      <c r="A54" s="5"/>
      <c r="B54" s="5" t="s">
        <v>1827</v>
      </c>
      <c r="C54" s="5" t="s">
        <v>2348</v>
      </c>
      <c r="D54" s="5" t="s">
        <v>2349</v>
      </c>
      <c r="E54" s="5" t="s">
        <v>2350</v>
      </c>
      <c r="F54" s="23">
        <v>3</v>
      </c>
      <c r="G54" s="23">
        <v>0</v>
      </c>
      <c r="H54" s="23">
        <v>25</v>
      </c>
      <c r="I54" s="23">
        <f>-H54</f>
        <v>-25</v>
      </c>
      <c r="J54" s="5" t="s">
        <v>1884</v>
      </c>
      <c r="K54" s="5" t="s">
        <v>25</v>
      </c>
      <c r="L54" s="5" t="s">
        <v>2215</v>
      </c>
      <c r="M54" s="5"/>
      <c r="N54" s="5"/>
      <c r="O54" s="5"/>
      <c r="P54" s="5"/>
      <c r="Q54" s="23">
        <v>1</v>
      </c>
      <c r="R54" s="25">
        <f>H54</f>
        <v>25</v>
      </c>
    </row>
    <row r="55" spans="1:18" x14ac:dyDescent="0.25">
      <c r="A55" s="5"/>
      <c r="B55" s="5" t="s">
        <v>1827</v>
      </c>
      <c r="C55" s="5" t="s">
        <v>2093</v>
      </c>
      <c r="D55" s="5" t="s">
        <v>2351</v>
      </c>
      <c r="E55" s="5" t="s">
        <v>2352</v>
      </c>
      <c r="F55" s="23">
        <v>1</v>
      </c>
      <c r="G55" s="23">
        <v>865</v>
      </c>
      <c r="H55" s="23">
        <v>25</v>
      </c>
      <c r="I55" s="23">
        <f t="shared" ref="I55:I66" si="1">G55-H55</f>
        <v>840</v>
      </c>
      <c r="J55" s="5" t="s">
        <v>1884</v>
      </c>
      <c r="K55" s="5" t="s">
        <v>25</v>
      </c>
      <c r="L55" s="5" t="s">
        <v>2215</v>
      </c>
      <c r="M55" s="5"/>
      <c r="N55" s="5"/>
      <c r="O55" s="5"/>
      <c r="P55" s="5"/>
      <c r="Q55" s="23">
        <v>1</v>
      </c>
    </row>
    <row r="56" spans="1:18" x14ac:dyDescent="0.25">
      <c r="A56" s="5"/>
      <c r="B56" s="5" t="s">
        <v>1827</v>
      </c>
      <c r="C56" s="5" t="s">
        <v>2353</v>
      </c>
      <c r="D56" s="5" t="s">
        <v>2354</v>
      </c>
      <c r="E56" s="5" t="s">
        <v>2355</v>
      </c>
      <c r="F56" s="5" t="s">
        <v>98</v>
      </c>
      <c r="G56" s="23">
        <v>1635</v>
      </c>
      <c r="H56" s="23">
        <v>25</v>
      </c>
      <c r="I56" s="23">
        <f t="shared" si="1"/>
        <v>1610</v>
      </c>
      <c r="J56" s="5" t="s">
        <v>1884</v>
      </c>
      <c r="K56" s="5" t="s">
        <v>25</v>
      </c>
      <c r="L56" s="5" t="s">
        <v>2215</v>
      </c>
      <c r="M56" s="5"/>
      <c r="N56" s="5"/>
      <c r="O56" s="5"/>
      <c r="P56" s="5"/>
      <c r="Q56" s="23">
        <v>1</v>
      </c>
    </row>
    <row r="57" spans="1:18" x14ac:dyDescent="0.25">
      <c r="A57" s="5"/>
      <c r="B57" s="5" t="s">
        <v>1827</v>
      </c>
      <c r="C57" s="5" t="s">
        <v>2356</v>
      </c>
      <c r="D57" s="5" t="s">
        <v>2357</v>
      </c>
      <c r="E57" s="5" t="s">
        <v>2358</v>
      </c>
      <c r="F57" s="5" t="s">
        <v>98</v>
      </c>
      <c r="G57" s="23">
        <v>645</v>
      </c>
      <c r="H57" s="23">
        <v>25</v>
      </c>
      <c r="I57" s="23">
        <f t="shared" si="1"/>
        <v>620</v>
      </c>
      <c r="J57" s="5" t="s">
        <v>1884</v>
      </c>
      <c r="K57" s="5" t="s">
        <v>25</v>
      </c>
      <c r="L57" s="5" t="s">
        <v>2215</v>
      </c>
      <c r="M57" s="5"/>
      <c r="N57" s="5"/>
      <c r="O57" s="5"/>
      <c r="P57" s="5"/>
      <c r="Q57" s="23">
        <v>1</v>
      </c>
    </row>
    <row r="58" spans="1:18" x14ac:dyDescent="0.25">
      <c r="A58" s="5"/>
      <c r="B58" s="5" t="s">
        <v>1827</v>
      </c>
      <c r="C58" s="5" t="s">
        <v>2359</v>
      </c>
      <c r="D58" s="5" t="s">
        <v>2360</v>
      </c>
      <c r="E58" s="5" t="s">
        <v>2361</v>
      </c>
      <c r="F58" s="23">
        <v>5</v>
      </c>
      <c r="G58" s="23">
        <v>605</v>
      </c>
      <c r="H58" s="23">
        <v>25</v>
      </c>
      <c r="I58" s="23">
        <f t="shared" si="1"/>
        <v>580</v>
      </c>
      <c r="J58" s="5" t="s">
        <v>1884</v>
      </c>
      <c r="K58" s="5" t="s">
        <v>25</v>
      </c>
      <c r="L58" s="5" t="s">
        <v>2215</v>
      </c>
      <c r="M58" s="5"/>
      <c r="N58" s="5"/>
      <c r="O58" s="5"/>
      <c r="P58" s="5"/>
      <c r="Q58" s="23">
        <v>1</v>
      </c>
    </row>
    <row r="59" spans="1:18" x14ac:dyDescent="0.25">
      <c r="A59" s="5"/>
      <c r="B59" s="5" t="s">
        <v>1827</v>
      </c>
      <c r="C59" s="5" t="s">
        <v>2362</v>
      </c>
      <c r="D59" s="5" t="s">
        <v>2363</v>
      </c>
      <c r="E59" s="5" t="s">
        <v>2364</v>
      </c>
      <c r="F59" s="23">
        <v>4</v>
      </c>
      <c r="G59" s="23">
        <v>735</v>
      </c>
      <c r="H59" s="23">
        <v>25</v>
      </c>
      <c r="I59" s="23">
        <f t="shared" si="1"/>
        <v>710</v>
      </c>
      <c r="J59" s="5" t="s">
        <v>1884</v>
      </c>
      <c r="K59" s="5" t="s">
        <v>25</v>
      </c>
      <c r="L59" s="5" t="s">
        <v>2215</v>
      </c>
      <c r="M59" s="5"/>
      <c r="N59" s="5"/>
      <c r="O59" s="5"/>
      <c r="P59" s="5"/>
      <c r="Q59" s="23">
        <v>1</v>
      </c>
    </row>
    <row r="60" spans="1:18" x14ac:dyDescent="0.25">
      <c r="A60" s="5"/>
      <c r="B60" s="5" t="s">
        <v>1827</v>
      </c>
      <c r="C60" s="5" t="s">
        <v>2365</v>
      </c>
      <c r="D60" s="5" t="s">
        <v>2366</v>
      </c>
      <c r="E60" s="5" t="s">
        <v>2367</v>
      </c>
      <c r="F60" s="23">
        <v>10</v>
      </c>
      <c r="G60" s="23">
        <v>945</v>
      </c>
      <c r="H60" s="23">
        <v>25</v>
      </c>
      <c r="I60" s="23">
        <f t="shared" si="1"/>
        <v>920</v>
      </c>
      <c r="J60" s="5" t="s">
        <v>1884</v>
      </c>
      <c r="K60" s="5" t="s">
        <v>25</v>
      </c>
      <c r="L60" s="5" t="s">
        <v>2215</v>
      </c>
      <c r="M60" s="5"/>
      <c r="N60" s="5"/>
      <c r="O60" s="5"/>
      <c r="P60" s="5"/>
      <c r="Q60" s="23">
        <v>1</v>
      </c>
    </row>
    <row r="61" spans="1:18" x14ac:dyDescent="0.25">
      <c r="A61" s="5"/>
      <c r="B61" s="5" t="s">
        <v>1827</v>
      </c>
      <c r="C61" s="5" t="s">
        <v>2368</v>
      </c>
      <c r="D61" s="5" t="s">
        <v>2369</v>
      </c>
      <c r="E61" s="5" t="s">
        <v>2370</v>
      </c>
      <c r="F61" s="23">
        <v>3</v>
      </c>
      <c r="G61" s="23">
        <v>935</v>
      </c>
      <c r="H61" s="23">
        <v>25</v>
      </c>
      <c r="I61" s="23">
        <f t="shared" si="1"/>
        <v>910</v>
      </c>
      <c r="J61" s="5" t="s">
        <v>1884</v>
      </c>
      <c r="K61" s="5" t="s">
        <v>25</v>
      </c>
      <c r="L61" s="5" t="s">
        <v>2215</v>
      </c>
      <c r="M61" s="5"/>
      <c r="N61" s="5"/>
      <c r="O61" s="5"/>
      <c r="P61" s="5"/>
      <c r="Q61" s="23">
        <v>1</v>
      </c>
    </row>
    <row r="62" spans="1:18" x14ac:dyDescent="0.25">
      <c r="A62" s="5"/>
      <c r="B62" s="5" t="s">
        <v>1827</v>
      </c>
      <c r="C62" s="5" t="s">
        <v>2371</v>
      </c>
      <c r="D62" s="5" t="s">
        <v>2372</v>
      </c>
      <c r="E62" s="5" t="s">
        <v>2373</v>
      </c>
      <c r="F62" s="5" t="s">
        <v>98</v>
      </c>
      <c r="G62" s="23">
        <v>1765</v>
      </c>
      <c r="H62" s="23">
        <v>25</v>
      </c>
      <c r="I62" s="23">
        <f t="shared" si="1"/>
        <v>1740</v>
      </c>
      <c r="J62" s="5" t="s">
        <v>1884</v>
      </c>
      <c r="K62" s="5" t="s">
        <v>25</v>
      </c>
      <c r="L62" s="5" t="s">
        <v>2215</v>
      </c>
      <c r="M62" s="5"/>
      <c r="N62" s="5"/>
      <c r="O62" s="5"/>
      <c r="P62" s="5"/>
      <c r="Q62" s="23">
        <v>1</v>
      </c>
    </row>
    <row r="63" spans="1:18" x14ac:dyDescent="0.25">
      <c r="A63" s="5"/>
      <c r="B63" s="5" t="s">
        <v>1827</v>
      </c>
      <c r="C63" s="5" t="s">
        <v>2374</v>
      </c>
      <c r="D63" s="5" t="s">
        <v>2375</v>
      </c>
      <c r="E63" s="5" t="s">
        <v>2376</v>
      </c>
      <c r="F63" s="23">
        <v>3</v>
      </c>
      <c r="G63" s="23">
        <v>845</v>
      </c>
      <c r="H63" s="23">
        <v>25</v>
      </c>
      <c r="I63" s="23">
        <f t="shared" si="1"/>
        <v>820</v>
      </c>
      <c r="J63" s="5" t="s">
        <v>1884</v>
      </c>
      <c r="K63" s="5" t="s">
        <v>25</v>
      </c>
      <c r="L63" s="5" t="s">
        <v>2215</v>
      </c>
      <c r="M63" s="5"/>
      <c r="N63" s="5"/>
      <c r="O63" s="5"/>
      <c r="P63" s="5"/>
      <c r="Q63" s="23">
        <v>1</v>
      </c>
    </row>
    <row r="64" spans="1:18" x14ac:dyDescent="0.25">
      <c r="A64" s="5"/>
      <c r="B64" s="5" t="s">
        <v>1827</v>
      </c>
      <c r="C64" s="5" t="s">
        <v>2377</v>
      </c>
      <c r="D64" s="5" t="s">
        <v>2378</v>
      </c>
      <c r="E64" s="5" t="s">
        <v>2379</v>
      </c>
      <c r="F64" s="23">
        <v>10</v>
      </c>
      <c r="G64" s="23">
        <v>1535</v>
      </c>
      <c r="H64" s="23">
        <v>25</v>
      </c>
      <c r="I64" s="23">
        <f t="shared" si="1"/>
        <v>1510</v>
      </c>
      <c r="J64" s="5" t="s">
        <v>1884</v>
      </c>
      <c r="K64" s="5" t="s">
        <v>25</v>
      </c>
      <c r="L64" s="5" t="s">
        <v>2215</v>
      </c>
      <c r="M64" s="5"/>
      <c r="N64" s="5"/>
      <c r="O64" s="5"/>
      <c r="P64" s="5"/>
      <c r="Q64" s="23">
        <v>1</v>
      </c>
    </row>
    <row r="65" spans="1:18" x14ac:dyDescent="0.25">
      <c r="A65" s="5"/>
      <c r="B65" s="5" t="s">
        <v>1827</v>
      </c>
      <c r="C65" s="5" t="s">
        <v>2380</v>
      </c>
      <c r="D65" s="5" t="s">
        <v>2381</v>
      </c>
      <c r="E65" s="5" t="s">
        <v>2382</v>
      </c>
      <c r="F65" s="5" t="s">
        <v>98</v>
      </c>
      <c r="G65" s="23">
        <v>605</v>
      </c>
      <c r="H65" s="23">
        <v>25</v>
      </c>
      <c r="I65" s="23">
        <f t="shared" si="1"/>
        <v>580</v>
      </c>
      <c r="J65" s="5" t="s">
        <v>1884</v>
      </c>
      <c r="K65" s="5" t="s">
        <v>25</v>
      </c>
      <c r="L65" s="5" t="s">
        <v>2215</v>
      </c>
      <c r="M65" s="5"/>
      <c r="N65" s="5"/>
      <c r="O65" s="5"/>
      <c r="P65" s="5"/>
      <c r="Q65" s="23">
        <v>1</v>
      </c>
    </row>
    <row r="66" spans="1:18" x14ac:dyDescent="0.25">
      <c r="A66" s="5"/>
      <c r="B66" s="5" t="s">
        <v>1827</v>
      </c>
      <c r="C66" s="5" t="s">
        <v>2383</v>
      </c>
      <c r="D66" s="5" t="s">
        <v>2384</v>
      </c>
      <c r="E66" s="5" t="s">
        <v>2385</v>
      </c>
      <c r="F66" s="23">
        <v>1</v>
      </c>
      <c r="G66" s="23">
        <v>605</v>
      </c>
      <c r="H66" s="23">
        <v>25</v>
      </c>
      <c r="I66" s="23">
        <f t="shared" si="1"/>
        <v>580</v>
      </c>
      <c r="J66" s="5" t="s">
        <v>1884</v>
      </c>
      <c r="K66" s="5" t="s">
        <v>25</v>
      </c>
      <c r="L66" s="5" t="s">
        <v>2215</v>
      </c>
      <c r="M66" s="5"/>
      <c r="N66" s="5"/>
      <c r="O66" s="5"/>
      <c r="P66" s="5"/>
      <c r="Q66" s="23">
        <v>1</v>
      </c>
    </row>
    <row r="67" spans="1:18" x14ac:dyDescent="0.25">
      <c r="A67" s="5"/>
      <c r="B67" s="5" t="s">
        <v>1827</v>
      </c>
      <c r="C67" s="5" t="s">
        <v>2386</v>
      </c>
      <c r="D67" s="5" t="s">
        <v>2387</v>
      </c>
      <c r="E67" s="5" t="s">
        <v>2388</v>
      </c>
      <c r="F67" s="5" t="s">
        <v>98</v>
      </c>
      <c r="G67" s="23">
        <v>0</v>
      </c>
      <c r="H67" s="23">
        <v>25</v>
      </c>
      <c r="I67" s="23">
        <f>-H67</f>
        <v>-25</v>
      </c>
      <c r="J67" s="5" t="s">
        <v>1884</v>
      </c>
      <c r="K67" s="5" t="s">
        <v>25</v>
      </c>
      <c r="L67" s="5" t="s">
        <v>2215</v>
      </c>
      <c r="M67" s="5"/>
      <c r="N67" s="5"/>
      <c r="O67" s="5"/>
      <c r="P67" s="5"/>
      <c r="Q67" s="23">
        <v>1</v>
      </c>
      <c r="R67" s="25">
        <f>H67</f>
        <v>25</v>
      </c>
    </row>
    <row r="68" spans="1:18" x14ac:dyDescent="0.25">
      <c r="A68" s="5"/>
      <c r="B68" s="5" t="s">
        <v>1827</v>
      </c>
      <c r="C68" s="5" t="s">
        <v>2250</v>
      </c>
      <c r="D68" s="5" t="s">
        <v>2389</v>
      </c>
      <c r="E68" s="5" t="s">
        <v>2390</v>
      </c>
      <c r="F68" s="23">
        <v>5</v>
      </c>
      <c r="G68" s="23">
        <v>845</v>
      </c>
      <c r="H68" s="23">
        <v>25</v>
      </c>
      <c r="I68" s="23">
        <f>G68-H68</f>
        <v>820</v>
      </c>
      <c r="J68" s="5" t="s">
        <v>1884</v>
      </c>
      <c r="K68" s="5" t="s">
        <v>25</v>
      </c>
      <c r="L68" s="5" t="s">
        <v>2215</v>
      </c>
      <c r="M68" s="5"/>
      <c r="N68" s="5"/>
      <c r="O68" s="5"/>
      <c r="P68" s="5"/>
      <c r="Q68" s="23">
        <v>1</v>
      </c>
    </row>
    <row r="69" spans="1:18" x14ac:dyDescent="0.25">
      <c r="A69" s="5"/>
      <c r="B69" s="5" t="s">
        <v>1827</v>
      </c>
      <c r="C69" s="5" t="s">
        <v>2391</v>
      </c>
      <c r="D69" s="5" t="s">
        <v>2392</v>
      </c>
      <c r="E69" s="5" t="s">
        <v>2393</v>
      </c>
      <c r="F69" s="23">
        <v>4</v>
      </c>
      <c r="G69" s="23">
        <v>0</v>
      </c>
      <c r="H69" s="23">
        <v>25</v>
      </c>
      <c r="I69" s="23">
        <f>-H69</f>
        <v>-25</v>
      </c>
      <c r="J69" s="5" t="s">
        <v>1884</v>
      </c>
      <c r="K69" s="5" t="s">
        <v>25</v>
      </c>
      <c r="L69" s="5" t="s">
        <v>2215</v>
      </c>
      <c r="M69" s="5"/>
      <c r="N69" s="5"/>
      <c r="O69" s="5"/>
      <c r="P69" s="5"/>
      <c r="Q69" s="23">
        <v>1</v>
      </c>
      <c r="R69" s="25">
        <f>H69</f>
        <v>25</v>
      </c>
    </row>
    <row r="70" spans="1:18" x14ac:dyDescent="0.25">
      <c r="A70" s="5"/>
      <c r="B70" s="5" t="s">
        <v>1827</v>
      </c>
      <c r="C70" s="5" t="s">
        <v>2394</v>
      </c>
      <c r="D70" s="5" t="s">
        <v>2395</v>
      </c>
      <c r="E70" s="5" t="s">
        <v>2396</v>
      </c>
      <c r="F70" s="23">
        <v>1</v>
      </c>
      <c r="G70" s="23">
        <v>785</v>
      </c>
      <c r="H70" s="23">
        <v>25</v>
      </c>
      <c r="I70" s="23">
        <f t="shared" ref="I70:I75" si="2">G70-H70</f>
        <v>760</v>
      </c>
      <c r="J70" s="5" t="s">
        <v>1884</v>
      </c>
      <c r="K70" s="5" t="s">
        <v>25</v>
      </c>
      <c r="L70" s="5" t="s">
        <v>2215</v>
      </c>
      <c r="M70" s="5"/>
      <c r="N70" s="5"/>
      <c r="O70" s="5"/>
      <c r="P70" s="5"/>
      <c r="Q70" s="23">
        <v>1</v>
      </c>
    </row>
    <row r="71" spans="1:18" x14ac:dyDescent="0.25">
      <c r="A71" s="5"/>
      <c r="B71" s="5" t="s">
        <v>1827</v>
      </c>
      <c r="C71" s="5" t="s">
        <v>2397</v>
      </c>
      <c r="D71" s="5" t="s">
        <v>2398</v>
      </c>
      <c r="E71" s="5" t="s">
        <v>2399</v>
      </c>
      <c r="F71" s="23">
        <v>4</v>
      </c>
      <c r="G71" s="23">
        <v>785</v>
      </c>
      <c r="H71" s="23">
        <v>25</v>
      </c>
      <c r="I71" s="23">
        <f t="shared" si="2"/>
        <v>760</v>
      </c>
      <c r="J71" s="5" t="s">
        <v>1884</v>
      </c>
      <c r="K71" s="5" t="s">
        <v>25</v>
      </c>
      <c r="L71" s="5" t="s">
        <v>2215</v>
      </c>
      <c r="M71" s="5"/>
      <c r="N71" s="5"/>
      <c r="O71" s="5"/>
      <c r="P71" s="5"/>
      <c r="Q71" s="23">
        <v>1</v>
      </c>
    </row>
    <row r="72" spans="1:18" x14ac:dyDescent="0.25">
      <c r="A72" s="36"/>
      <c r="B72" s="36" t="s">
        <v>1827</v>
      </c>
      <c r="C72" s="36" t="s">
        <v>2400</v>
      </c>
      <c r="D72" s="36" t="s">
        <v>2401</v>
      </c>
      <c r="E72" s="36" t="s">
        <v>2402</v>
      </c>
      <c r="F72" s="37">
        <v>3</v>
      </c>
      <c r="G72" s="37">
        <v>2340</v>
      </c>
      <c r="H72" s="37">
        <v>30</v>
      </c>
      <c r="I72" s="37">
        <f t="shared" si="2"/>
        <v>2310</v>
      </c>
      <c r="J72" s="36" t="s">
        <v>1884</v>
      </c>
      <c r="K72" s="36" t="s">
        <v>25</v>
      </c>
      <c r="L72" s="36" t="s">
        <v>2215</v>
      </c>
      <c r="M72" s="36" t="s">
        <v>2403</v>
      </c>
      <c r="N72" s="36"/>
      <c r="O72" s="36"/>
      <c r="P72" s="36"/>
      <c r="Q72" s="37">
        <v>1</v>
      </c>
      <c r="R72" s="25">
        <f>H72</f>
        <v>30</v>
      </c>
    </row>
    <row r="73" spans="1:18" x14ac:dyDescent="0.25">
      <c r="A73" s="5"/>
      <c r="B73" s="5" t="s">
        <v>1827</v>
      </c>
      <c r="C73" s="5" t="s">
        <v>2008</v>
      </c>
      <c r="D73" s="5" t="s">
        <v>2404</v>
      </c>
      <c r="E73" s="5" t="s">
        <v>2405</v>
      </c>
      <c r="F73" s="23">
        <v>4</v>
      </c>
      <c r="G73" s="23">
        <v>765</v>
      </c>
      <c r="H73" s="23">
        <v>25</v>
      </c>
      <c r="I73" s="23">
        <f t="shared" si="2"/>
        <v>740</v>
      </c>
      <c r="J73" s="5" t="s">
        <v>1884</v>
      </c>
      <c r="K73" s="5" t="s">
        <v>25</v>
      </c>
      <c r="L73" s="5" t="s">
        <v>2215</v>
      </c>
      <c r="M73" s="5"/>
      <c r="N73" s="5"/>
      <c r="O73" s="5"/>
      <c r="P73" s="5"/>
      <c r="Q73" s="23">
        <v>1</v>
      </c>
    </row>
    <row r="74" spans="1:18" x14ac:dyDescent="0.25">
      <c r="A74" s="5"/>
      <c r="B74" s="5" t="s">
        <v>1827</v>
      </c>
      <c r="C74" s="5" t="s">
        <v>2406</v>
      </c>
      <c r="D74" s="5" t="s">
        <v>2407</v>
      </c>
      <c r="E74" s="5" t="s">
        <v>2408</v>
      </c>
      <c r="F74" s="5" t="s">
        <v>98</v>
      </c>
      <c r="G74" s="23">
        <v>0</v>
      </c>
      <c r="H74" s="23">
        <v>25</v>
      </c>
      <c r="I74" s="23">
        <f t="shared" si="2"/>
        <v>-25</v>
      </c>
      <c r="J74" s="5" t="s">
        <v>1884</v>
      </c>
      <c r="K74" s="5" t="s">
        <v>25</v>
      </c>
      <c r="L74" s="5" t="s">
        <v>2215</v>
      </c>
      <c r="M74" s="5"/>
      <c r="N74" s="5"/>
      <c r="O74" s="5"/>
      <c r="P74" s="5"/>
      <c r="Q74" s="23">
        <v>1</v>
      </c>
      <c r="R74" s="25">
        <f>H74</f>
        <v>25</v>
      </c>
    </row>
    <row r="75" spans="1:18" x14ac:dyDescent="0.25">
      <c r="A75" s="5" t="s">
        <v>1833</v>
      </c>
      <c r="B75" s="5" t="s">
        <v>1827</v>
      </c>
      <c r="C75" s="5" t="s">
        <v>2409</v>
      </c>
      <c r="D75" s="5"/>
      <c r="E75" s="5" t="s">
        <v>2410</v>
      </c>
      <c r="F75" s="5" t="s">
        <v>98</v>
      </c>
      <c r="G75" s="23">
        <v>0</v>
      </c>
      <c r="H75" s="23">
        <v>30</v>
      </c>
      <c r="I75" s="23">
        <f t="shared" si="2"/>
        <v>-30</v>
      </c>
      <c r="J75" s="5" t="s">
        <v>1884</v>
      </c>
      <c r="K75" s="5" t="s">
        <v>25</v>
      </c>
      <c r="L75" s="5" t="s">
        <v>2215</v>
      </c>
      <c r="M75" s="5"/>
      <c r="N75" s="5"/>
      <c r="O75" s="5"/>
      <c r="P75" s="5"/>
      <c r="Q75" s="23">
        <v>1</v>
      </c>
      <c r="R75" s="25">
        <f>H75</f>
        <v>30</v>
      </c>
    </row>
    <row r="77" spans="1:18" x14ac:dyDescent="0.25">
      <c r="G77">
        <f>SUBTOTAL(9,G3:G76)</f>
        <v>55855</v>
      </c>
      <c r="H77">
        <f t="shared" ref="H77:R77" si="3">SUBTOTAL(9,H3:H76)</f>
        <v>1970</v>
      </c>
      <c r="I77">
        <f t="shared" si="3"/>
        <v>53885</v>
      </c>
      <c r="J77">
        <f t="shared" si="3"/>
        <v>0</v>
      </c>
      <c r="K77">
        <f t="shared" si="3"/>
        <v>0</v>
      </c>
      <c r="L77">
        <f t="shared" si="3"/>
        <v>0</v>
      </c>
      <c r="M77">
        <f t="shared" si="3"/>
        <v>0</v>
      </c>
      <c r="N77">
        <f t="shared" si="3"/>
        <v>0</v>
      </c>
      <c r="O77">
        <f t="shared" si="3"/>
        <v>0</v>
      </c>
      <c r="P77">
        <f t="shared" si="3"/>
        <v>0</v>
      </c>
      <c r="Q77">
        <f t="shared" si="3"/>
        <v>73</v>
      </c>
      <c r="R77">
        <f t="shared" si="3"/>
        <v>555</v>
      </c>
    </row>
    <row r="78" spans="1:18" x14ac:dyDescent="0.25">
      <c r="I78" s="29">
        <v>-2430</v>
      </c>
      <c r="J78" s="22" t="s">
        <v>2412</v>
      </c>
    </row>
    <row r="79" spans="1:18" x14ac:dyDescent="0.25">
      <c r="I79" s="29"/>
      <c r="J79" s="22"/>
    </row>
    <row r="80" spans="1:18" x14ac:dyDescent="0.25">
      <c r="I80" s="29"/>
      <c r="J80" s="22"/>
    </row>
    <row r="81" spans="8:10" ht="18.75" customHeight="1" x14ac:dyDescent="0.3">
      <c r="H81" s="7" t="s">
        <v>2411</v>
      </c>
      <c r="I81" s="8" t="s">
        <v>313</v>
      </c>
      <c r="J81" s="9" t="s">
        <v>314</v>
      </c>
    </row>
    <row r="82" spans="8:10" ht="15.75" customHeight="1" x14ac:dyDescent="0.25">
      <c r="H82" s="10" t="s">
        <v>315</v>
      </c>
      <c r="I82" s="38">
        <f>SUM(I76:I80)</f>
        <v>51455</v>
      </c>
      <c r="J82" s="11">
        <f>Q77</f>
        <v>73</v>
      </c>
    </row>
    <row r="83" spans="8:10" x14ac:dyDescent="0.25">
      <c r="H83" s="12" t="s">
        <v>316</v>
      </c>
      <c r="I83" s="13">
        <f>R77</f>
        <v>555</v>
      </c>
      <c r="J83" s="14"/>
    </row>
    <row r="84" spans="8:10" x14ac:dyDescent="0.25">
      <c r="H84" s="12" t="s">
        <v>317</v>
      </c>
      <c r="I84" s="13">
        <f>S77</f>
        <v>0</v>
      </c>
      <c r="J84" s="14"/>
    </row>
    <row r="85" spans="8:10" x14ac:dyDescent="0.25">
      <c r="H85" s="12" t="s">
        <v>318</v>
      </c>
      <c r="I85" s="13">
        <f>T77</f>
        <v>0</v>
      </c>
      <c r="J85" s="14"/>
    </row>
    <row r="86" spans="8:10" x14ac:dyDescent="0.25">
      <c r="H86" s="12" t="s">
        <v>319</v>
      </c>
      <c r="I86" s="13">
        <f>U77</f>
        <v>0</v>
      </c>
      <c r="J86" s="14"/>
    </row>
    <row r="87" spans="8:10" ht="15.75" customHeight="1" x14ac:dyDescent="0.25">
      <c r="H87" s="15" t="s">
        <v>320</v>
      </c>
      <c r="I87" s="16"/>
      <c r="J87" s="16"/>
    </row>
    <row r="88" spans="8:10" ht="15.75" customHeight="1" x14ac:dyDescent="0.25">
      <c r="H88" s="17" t="s">
        <v>321</v>
      </c>
      <c r="I88" s="16"/>
      <c r="J88" s="16"/>
    </row>
    <row r="89" spans="8:10" ht="21" customHeight="1" x14ac:dyDescent="0.35">
      <c r="H89" s="18" t="s">
        <v>322</v>
      </c>
      <c r="I89" s="39">
        <f>SUM(I82:I88)</f>
        <v>52010</v>
      </c>
      <c r="J89" s="19">
        <f>SUM(J82:J86)</f>
        <v>73</v>
      </c>
    </row>
  </sheetData>
  <autoFilter ref="A2:P75" xr:uid="{00000000-0009-0000-0000-000012000000}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86DB-49D6-476A-B594-2519CA82E005}">
  <dimension ref="A1:R33"/>
  <sheetViews>
    <sheetView zoomScale="80" zoomScaleNormal="80" workbookViewId="0">
      <selection activeCell="I22" sqref="I22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2.140625" bestFit="1" customWidth="1"/>
    <col min="7" max="7" width="9.140625" customWidth="1"/>
    <col min="8" max="8" width="5.5703125" customWidth="1"/>
    <col min="9" max="9" width="14.28515625" bestFit="1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330</v>
      </c>
      <c r="C1" t="s">
        <v>2414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"/>
    </row>
    <row r="3" spans="1:18" s="42" customFormat="1" x14ac:dyDescent="0.25">
      <c r="A3" s="40"/>
      <c r="B3" s="40" t="s">
        <v>1827</v>
      </c>
      <c r="C3" s="40" t="s">
        <v>2280</v>
      </c>
      <c r="D3" s="40" t="s">
        <v>2420</v>
      </c>
      <c r="E3" s="40" t="s">
        <v>2282</v>
      </c>
      <c r="F3" s="41" t="s">
        <v>1853</v>
      </c>
      <c r="G3" s="41">
        <v>0</v>
      </c>
      <c r="H3" s="41">
        <v>60</v>
      </c>
      <c r="I3" s="41">
        <f>G3-H3</f>
        <v>-60</v>
      </c>
      <c r="J3" s="40" t="s">
        <v>2421</v>
      </c>
      <c r="K3" s="40" t="s">
        <v>25</v>
      </c>
      <c r="L3" s="40" t="s">
        <v>2417</v>
      </c>
      <c r="M3" s="40"/>
      <c r="N3" s="40"/>
      <c r="O3" s="40"/>
      <c r="P3" s="40"/>
      <c r="Q3" s="41">
        <v>1</v>
      </c>
      <c r="R3" s="43">
        <f>H3</f>
        <v>60</v>
      </c>
    </row>
    <row r="4" spans="1:18" s="42" customFormat="1" x14ac:dyDescent="0.25">
      <c r="A4" s="40"/>
      <c r="B4" s="40" t="s">
        <v>1827</v>
      </c>
      <c r="C4" s="40" t="s">
        <v>2422</v>
      </c>
      <c r="D4" s="40" t="s">
        <v>2423</v>
      </c>
      <c r="E4" s="40" t="s">
        <v>2424</v>
      </c>
      <c r="F4" s="41" t="s">
        <v>444</v>
      </c>
      <c r="G4" s="41">
        <v>0</v>
      </c>
      <c r="H4" s="41">
        <v>35</v>
      </c>
      <c r="I4" s="41">
        <f t="shared" ref="I4:I19" si="0">G4-H4</f>
        <v>-35</v>
      </c>
      <c r="J4" s="40" t="s">
        <v>2421</v>
      </c>
      <c r="K4" s="40" t="s">
        <v>25</v>
      </c>
      <c r="L4" s="40" t="s">
        <v>2417</v>
      </c>
      <c r="M4" s="40"/>
      <c r="N4" s="40"/>
      <c r="O4" s="40"/>
      <c r="P4" s="40"/>
      <c r="Q4" s="41">
        <v>1</v>
      </c>
      <c r="R4" s="43">
        <f t="shared" ref="R4:R5" si="1">H4</f>
        <v>35</v>
      </c>
    </row>
    <row r="5" spans="1:18" s="42" customFormat="1" x14ac:dyDescent="0.25">
      <c r="A5" s="40"/>
      <c r="B5" s="40" t="s">
        <v>1827</v>
      </c>
      <c r="C5" s="40" t="s">
        <v>2431</v>
      </c>
      <c r="D5" s="40" t="s">
        <v>2432</v>
      </c>
      <c r="E5" s="40" t="s">
        <v>2433</v>
      </c>
      <c r="F5" s="41" t="s">
        <v>1853</v>
      </c>
      <c r="G5" s="41">
        <v>0</v>
      </c>
      <c r="H5" s="41">
        <v>30</v>
      </c>
      <c r="I5" s="41">
        <f t="shared" si="0"/>
        <v>-30</v>
      </c>
      <c r="J5" s="40" t="s">
        <v>2421</v>
      </c>
      <c r="K5" s="40" t="s">
        <v>25</v>
      </c>
      <c r="L5" s="40" t="s">
        <v>2417</v>
      </c>
      <c r="M5" s="40"/>
      <c r="N5" s="40"/>
      <c r="O5" s="40"/>
      <c r="P5" s="40"/>
      <c r="Q5" s="41">
        <v>1</v>
      </c>
      <c r="R5" s="43">
        <f t="shared" si="1"/>
        <v>30</v>
      </c>
    </row>
    <row r="6" spans="1:18" s="42" customFormat="1" x14ac:dyDescent="0.25">
      <c r="A6" s="40"/>
      <c r="B6" s="40" t="s">
        <v>1827</v>
      </c>
      <c r="C6" s="40" t="s">
        <v>1836</v>
      </c>
      <c r="D6" s="40" t="s">
        <v>2434</v>
      </c>
      <c r="E6" s="40" t="s">
        <v>1838</v>
      </c>
      <c r="F6" s="40">
        <v>6</v>
      </c>
      <c r="G6" s="41">
        <v>745</v>
      </c>
      <c r="H6" s="41">
        <v>25</v>
      </c>
      <c r="I6" s="41">
        <f t="shared" si="0"/>
        <v>720</v>
      </c>
      <c r="J6" s="40" t="s">
        <v>2421</v>
      </c>
      <c r="K6" s="40" t="s">
        <v>25</v>
      </c>
      <c r="L6" s="40" t="s">
        <v>2417</v>
      </c>
      <c r="M6" s="40"/>
      <c r="N6" s="40"/>
      <c r="O6" s="40"/>
      <c r="P6" s="40"/>
      <c r="Q6" s="41">
        <v>1</v>
      </c>
      <c r="R6" s="43"/>
    </row>
    <row r="7" spans="1:18" s="42" customFormat="1" x14ac:dyDescent="0.25">
      <c r="A7" s="40"/>
      <c r="B7" s="40" t="s">
        <v>1827</v>
      </c>
      <c r="C7" s="40" t="s">
        <v>2438</v>
      </c>
      <c r="D7" s="40" t="s">
        <v>2439</v>
      </c>
      <c r="E7" s="40" t="s">
        <v>2440</v>
      </c>
      <c r="F7" s="41">
        <v>7</v>
      </c>
      <c r="G7" s="41">
        <v>1480</v>
      </c>
      <c r="H7" s="41">
        <v>30</v>
      </c>
      <c r="I7" s="41">
        <f t="shared" si="0"/>
        <v>1450</v>
      </c>
      <c r="J7" s="40" t="s">
        <v>2421</v>
      </c>
      <c r="K7" s="40" t="s">
        <v>25</v>
      </c>
      <c r="L7" s="40" t="s">
        <v>2417</v>
      </c>
      <c r="M7" s="40"/>
      <c r="N7" s="40"/>
      <c r="O7" s="40"/>
      <c r="P7" s="40"/>
      <c r="Q7" s="41">
        <v>1</v>
      </c>
    </row>
    <row r="8" spans="1:18" s="42" customFormat="1" x14ac:dyDescent="0.25">
      <c r="A8" s="40"/>
      <c r="B8" s="40" t="s">
        <v>1827</v>
      </c>
      <c r="C8" s="40" t="s">
        <v>2441</v>
      </c>
      <c r="D8" s="40" t="s">
        <v>2442</v>
      </c>
      <c r="E8" s="40" t="s">
        <v>2443</v>
      </c>
      <c r="F8" s="41">
        <v>7</v>
      </c>
      <c r="G8" s="41">
        <v>760</v>
      </c>
      <c r="H8" s="41">
        <v>30</v>
      </c>
      <c r="I8" s="41">
        <f t="shared" si="0"/>
        <v>730</v>
      </c>
      <c r="J8" s="40" t="s">
        <v>2421</v>
      </c>
      <c r="K8" s="40" t="s">
        <v>25</v>
      </c>
      <c r="L8" s="40" t="s">
        <v>2417</v>
      </c>
      <c r="M8" s="40"/>
      <c r="N8" s="40"/>
      <c r="O8" s="40"/>
      <c r="P8" s="40"/>
      <c r="Q8" s="41">
        <v>1</v>
      </c>
    </row>
    <row r="9" spans="1:18" s="42" customFormat="1" x14ac:dyDescent="0.25">
      <c r="A9" s="40"/>
      <c r="B9" s="40" t="s">
        <v>1827</v>
      </c>
      <c r="C9" s="40" t="s">
        <v>2447</v>
      </c>
      <c r="D9" s="40" t="s">
        <v>2448</v>
      </c>
      <c r="E9" s="40" t="s">
        <v>2449</v>
      </c>
      <c r="F9" s="41">
        <v>10</v>
      </c>
      <c r="G9" s="41">
        <v>845</v>
      </c>
      <c r="H9" s="41">
        <v>25</v>
      </c>
      <c r="I9" s="41">
        <f t="shared" si="0"/>
        <v>820</v>
      </c>
      <c r="J9" s="40" t="s">
        <v>2421</v>
      </c>
      <c r="K9" s="40" t="s">
        <v>25</v>
      </c>
      <c r="L9" s="40" t="s">
        <v>2417</v>
      </c>
      <c r="M9" s="40"/>
      <c r="N9" s="40"/>
      <c r="O9" s="40"/>
      <c r="P9" s="40"/>
      <c r="Q9" s="41">
        <v>1</v>
      </c>
    </row>
    <row r="10" spans="1:18" s="42" customFormat="1" x14ac:dyDescent="0.25">
      <c r="A10" s="40"/>
      <c r="B10" s="40" t="s">
        <v>1827</v>
      </c>
      <c r="C10" s="40" t="s">
        <v>2450</v>
      </c>
      <c r="D10" s="40" t="s">
        <v>2451</v>
      </c>
      <c r="E10" s="40" t="s">
        <v>2452</v>
      </c>
      <c r="F10" s="41">
        <v>8</v>
      </c>
      <c r="G10" s="41">
        <v>770</v>
      </c>
      <c r="H10" s="41">
        <v>30</v>
      </c>
      <c r="I10" s="41">
        <f t="shared" si="0"/>
        <v>740</v>
      </c>
      <c r="J10" s="40" t="s">
        <v>2421</v>
      </c>
      <c r="K10" s="40" t="s">
        <v>25</v>
      </c>
      <c r="L10" s="40" t="s">
        <v>2417</v>
      </c>
      <c r="M10" s="40"/>
      <c r="N10" s="40"/>
      <c r="O10" s="40"/>
      <c r="P10" s="40"/>
      <c r="Q10" s="41">
        <v>1</v>
      </c>
    </row>
    <row r="11" spans="1:18" s="42" customFormat="1" x14ac:dyDescent="0.25">
      <c r="A11" s="40"/>
      <c r="B11" s="40" t="s">
        <v>1827</v>
      </c>
      <c r="C11" s="40" t="s">
        <v>2456</v>
      </c>
      <c r="D11" s="40" t="s">
        <v>2457</v>
      </c>
      <c r="E11" s="40" t="s">
        <v>2458</v>
      </c>
      <c r="F11" s="40">
        <v>1</v>
      </c>
      <c r="G11" s="41">
        <v>695</v>
      </c>
      <c r="H11" s="41">
        <v>25</v>
      </c>
      <c r="I11" s="41">
        <f t="shared" si="0"/>
        <v>670</v>
      </c>
      <c r="J11" s="40" t="s">
        <v>2421</v>
      </c>
      <c r="K11" s="40" t="s">
        <v>25</v>
      </c>
      <c r="L11" s="40" t="s">
        <v>2417</v>
      </c>
      <c r="M11" s="40"/>
      <c r="N11" s="40"/>
      <c r="O11" s="40"/>
      <c r="P11" s="40"/>
      <c r="Q11" s="41">
        <v>1</v>
      </c>
    </row>
    <row r="12" spans="1:18" s="42" customFormat="1" x14ac:dyDescent="0.25">
      <c r="A12" s="40" t="s">
        <v>1833</v>
      </c>
      <c r="B12" s="40" t="s">
        <v>1827</v>
      </c>
      <c r="C12" s="40" t="s">
        <v>2415</v>
      </c>
      <c r="D12" s="40"/>
      <c r="E12" s="40" t="s">
        <v>2416</v>
      </c>
      <c r="F12" s="40">
        <v>12</v>
      </c>
      <c r="G12" s="41">
        <v>45</v>
      </c>
      <c r="H12" s="41">
        <v>45</v>
      </c>
      <c r="I12" s="41">
        <f t="shared" si="0"/>
        <v>0</v>
      </c>
      <c r="J12" s="40" t="s">
        <v>25</v>
      </c>
      <c r="K12" s="40" t="s">
        <v>25</v>
      </c>
      <c r="L12" s="40" t="s">
        <v>2417</v>
      </c>
      <c r="M12" s="40"/>
      <c r="N12" s="40"/>
      <c r="O12" s="40"/>
      <c r="P12" s="40"/>
      <c r="Q12" s="41">
        <v>1</v>
      </c>
      <c r="R12" s="43"/>
    </row>
    <row r="13" spans="1:18" s="42" customFormat="1" x14ac:dyDescent="0.25">
      <c r="A13" s="40" t="s">
        <v>1833</v>
      </c>
      <c r="B13" s="40" t="s">
        <v>1827</v>
      </c>
      <c r="C13" s="40" t="s">
        <v>2418</v>
      </c>
      <c r="D13" s="40"/>
      <c r="E13" s="40" t="s">
        <v>2419</v>
      </c>
      <c r="F13" s="41">
        <v>12</v>
      </c>
      <c r="G13" s="41">
        <v>40</v>
      </c>
      <c r="H13" s="41">
        <v>40</v>
      </c>
      <c r="I13" s="41">
        <f t="shared" si="0"/>
        <v>0</v>
      </c>
      <c r="J13" s="40" t="s">
        <v>25</v>
      </c>
      <c r="K13" s="40" t="s">
        <v>25</v>
      </c>
      <c r="L13" s="40" t="s">
        <v>2417</v>
      </c>
      <c r="M13" s="40"/>
      <c r="N13" s="40"/>
      <c r="O13" s="40"/>
      <c r="P13" s="40"/>
      <c r="Q13" s="41">
        <v>1</v>
      </c>
    </row>
    <row r="14" spans="1:18" s="42" customFormat="1" x14ac:dyDescent="0.25">
      <c r="A14" s="40"/>
      <c r="B14" s="40" t="s">
        <v>1827</v>
      </c>
      <c r="C14" s="40" t="s">
        <v>2425</v>
      </c>
      <c r="D14" s="40" t="s">
        <v>2426</v>
      </c>
      <c r="E14" s="40" t="s">
        <v>2427</v>
      </c>
      <c r="F14" s="40">
        <v>2</v>
      </c>
      <c r="G14" s="41">
        <v>750</v>
      </c>
      <c r="H14" s="41">
        <v>30</v>
      </c>
      <c r="I14" s="41">
        <f t="shared" si="0"/>
        <v>720</v>
      </c>
      <c r="J14" s="40" t="s">
        <v>25</v>
      </c>
      <c r="K14" s="40" t="s">
        <v>25</v>
      </c>
      <c r="L14" s="40" t="s">
        <v>2417</v>
      </c>
      <c r="M14" s="40"/>
      <c r="N14" s="40"/>
      <c r="O14" s="40"/>
      <c r="P14" s="40"/>
      <c r="Q14" s="41">
        <v>1</v>
      </c>
    </row>
    <row r="15" spans="1:18" s="42" customFormat="1" x14ac:dyDescent="0.25">
      <c r="A15" s="40"/>
      <c r="B15" s="40" t="s">
        <v>1827</v>
      </c>
      <c r="C15" s="40" t="s">
        <v>2428</v>
      </c>
      <c r="D15" s="40" t="s">
        <v>2429</v>
      </c>
      <c r="E15" s="40" t="s">
        <v>2430</v>
      </c>
      <c r="F15" s="40" t="s">
        <v>103</v>
      </c>
      <c r="G15" s="41">
        <v>0</v>
      </c>
      <c r="H15" s="41">
        <v>30</v>
      </c>
      <c r="I15" s="41">
        <f t="shared" si="0"/>
        <v>-30</v>
      </c>
      <c r="J15" s="40" t="s">
        <v>25</v>
      </c>
      <c r="K15" s="40" t="s">
        <v>25</v>
      </c>
      <c r="L15" s="40" t="s">
        <v>2417</v>
      </c>
      <c r="M15" s="40"/>
      <c r="N15" s="40"/>
      <c r="O15" s="40"/>
      <c r="P15" s="40"/>
      <c r="Q15" s="41">
        <v>1</v>
      </c>
      <c r="R15" s="43">
        <f>H15</f>
        <v>30</v>
      </c>
    </row>
    <row r="16" spans="1:18" s="42" customFormat="1" x14ac:dyDescent="0.25">
      <c r="A16" s="40"/>
      <c r="B16" s="40" t="s">
        <v>1827</v>
      </c>
      <c r="C16" s="40" t="s">
        <v>2435</v>
      </c>
      <c r="D16" s="40" t="s">
        <v>2436</v>
      </c>
      <c r="E16" s="40" t="s">
        <v>2437</v>
      </c>
      <c r="F16" s="40" t="s">
        <v>103</v>
      </c>
      <c r="G16" s="41">
        <v>950</v>
      </c>
      <c r="H16" s="41">
        <v>30</v>
      </c>
      <c r="I16" s="41">
        <f t="shared" si="0"/>
        <v>920</v>
      </c>
      <c r="J16" s="40" t="s">
        <v>25</v>
      </c>
      <c r="K16" s="40" t="s">
        <v>25</v>
      </c>
      <c r="L16" s="40" t="s">
        <v>2417</v>
      </c>
      <c r="M16" s="40"/>
      <c r="N16" s="40"/>
      <c r="O16" s="40"/>
      <c r="P16" s="40"/>
      <c r="Q16" s="41">
        <v>1</v>
      </c>
    </row>
    <row r="17" spans="1:18" s="42" customFormat="1" x14ac:dyDescent="0.25">
      <c r="A17" s="40"/>
      <c r="B17" s="40" t="s">
        <v>1827</v>
      </c>
      <c r="C17" s="40" t="s">
        <v>2444</v>
      </c>
      <c r="D17" s="40" t="s">
        <v>2445</v>
      </c>
      <c r="E17" s="40" t="s">
        <v>2446</v>
      </c>
      <c r="F17" s="41" t="s">
        <v>70</v>
      </c>
      <c r="G17" s="41">
        <v>755</v>
      </c>
      <c r="H17" s="41">
        <v>25</v>
      </c>
      <c r="I17" s="41">
        <f t="shared" si="0"/>
        <v>730</v>
      </c>
      <c r="J17" s="40" t="s">
        <v>25</v>
      </c>
      <c r="K17" s="40" t="s">
        <v>25</v>
      </c>
      <c r="L17" s="40" t="s">
        <v>2417</v>
      </c>
      <c r="M17" s="40"/>
      <c r="N17" s="40"/>
      <c r="O17" s="40"/>
      <c r="P17" s="40"/>
      <c r="Q17" s="41">
        <v>1</v>
      </c>
    </row>
    <row r="18" spans="1:18" s="42" customFormat="1" x14ac:dyDescent="0.25">
      <c r="A18" s="40"/>
      <c r="B18" s="40" t="s">
        <v>1827</v>
      </c>
      <c r="C18" s="40" t="s">
        <v>2453</v>
      </c>
      <c r="D18" s="40" t="s">
        <v>2454</v>
      </c>
      <c r="E18" s="40" t="s">
        <v>2455</v>
      </c>
      <c r="F18" s="41">
        <v>12</v>
      </c>
      <c r="G18" s="41">
        <v>0</v>
      </c>
      <c r="H18" s="41">
        <v>30</v>
      </c>
      <c r="I18" s="41">
        <f t="shared" si="0"/>
        <v>-30</v>
      </c>
      <c r="J18" s="40" t="s">
        <v>25</v>
      </c>
      <c r="K18" s="40" t="s">
        <v>25</v>
      </c>
      <c r="L18" s="40" t="s">
        <v>2417</v>
      </c>
      <c r="M18" s="40"/>
      <c r="N18" s="40"/>
      <c r="O18" s="40"/>
      <c r="P18" s="40"/>
      <c r="Q18" s="41">
        <v>1</v>
      </c>
      <c r="R18" s="43">
        <f t="shared" ref="R18:R19" si="2">H18</f>
        <v>30</v>
      </c>
    </row>
    <row r="19" spans="1:18" s="42" customFormat="1" x14ac:dyDescent="0.25">
      <c r="A19" s="40"/>
      <c r="B19" s="40" t="s">
        <v>1827</v>
      </c>
      <c r="C19" s="40" t="s">
        <v>2459</v>
      </c>
      <c r="D19" s="40" t="s">
        <v>2460</v>
      </c>
      <c r="E19" s="40" t="s">
        <v>2461</v>
      </c>
      <c r="F19" s="41" t="s">
        <v>70</v>
      </c>
      <c r="G19" s="41">
        <v>0</v>
      </c>
      <c r="H19" s="41">
        <v>25</v>
      </c>
      <c r="I19" s="41">
        <f t="shared" si="0"/>
        <v>-25</v>
      </c>
      <c r="J19" s="40" t="s">
        <v>25</v>
      </c>
      <c r="K19" s="40" t="s">
        <v>25</v>
      </c>
      <c r="L19" s="40" t="s">
        <v>2417</v>
      </c>
      <c r="M19" s="40"/>
      <c r="N19" s="40"/>
      <c r="O19" s="40"/>
      <c r="P19" s="40"/>
      <c r="Q19" s="41">
        <v>1</v>
      </c>
      <c r="R19" s="43">
        <f t="shared" si="2"/>
        <v>25</v>
      </c>
    </row>
    <row r="21" spans="1:18" x14ac:dyDescent="0.25">
      <c r="G21">
        <f t="shared" ref="G21:R21" si="3">SUBTOTAL(9,G3:G20)</f>
        <v>7835</v>
      </c>
      <c r="H21">
        <f t="shared" si="3"/>
        <v>545</v>
      </c>
      <c r="I21">
        <f t="shared" si="3"/>
        <v>7290</v>
      </c>
      <c r="J21">
        <f t="shared" si="3"/>
        <v>0</v>
      </c>
      <c r="K21">
        <f t="shared" si="3"/>
        <v>0</v>
      </c>
      <c r="L21">
        <f t="shared" si="3"/>
        <v>0</v>
      </c>
      <c r="M21">
        <f t="shared" si="3"/>
        <v>0</v>
      </c>
      <c r="N21">
        <f t="shared" si="3"/>
        <v>0</v>
      </c>
      <c r="O21">
        <f t="shared" si="3"/>
        <v>0</v>
      </c>
      <c r="P21">
        <f t="shared" si="3"/>
        <v>0</v>
      </c>
      <c r="Q21">
        <f t="shared" si="3"/>
        <v>17</v>
      </c>
      <c r="R21">
        <f t="shared" si="3"/>
        <v>210</v>
      </c>
    </row>
    <row r="22" spans="1:18" x14ac:dyDescent="0.25">
      <c r="I22" s="29"/>
      <c r="J22" s="22"/>
    </row>
    <row r="23" spans="1:18" x14ac:dyDescent="0.25">
      <c r="I23" s="29"/>
      <c r="J23" s="22"/>
    </row>
    <row r="24" spans="1:18" x14ac:dyDescent="0.25">
      <c r="I24" s="29"/>
      <c r="J24" s="22"/>
    </row>
    <row r="25" spans="1:18" ht="18.75" customHeight="1" x14ac:dyDescent="0.3">
      <c r="H25" s="7" t="s">
        <v>2413</v>
      </c>
      <c r="I25" s="8" t="s">
        <v>313</v>
      </c>
      <c r="J25" s="9" t="s">
        <v>314</v>
      </c>
    </row>
    <row r="26" spans="1:18" ht="15.75" customHeight="1" x14ac:dyDescent="0.25">
      <c r="H26" s="10" t="s">
        <v>315</v>
      </c>
      <c r="I26" s="38">
        <f>SUM(I20:I24)</f>
        <v>7290</v>
      </c>
      <c r="J26" s="11">
        <f>Q21</f>
        <v>17</v>
      </c>
    </row>
    <row r="27" spans="1:18" x14ac:dyDescent="0.25">
      <c r="H27" s="12" t="s">
        <v>316</v>
      </c>
      <c r="I27" s="13">
        <f>R21</f>
        <v>210</v>
      </c>
      <c r="J27" s="14"/>
    </row>
    <row r="28" spans="1:18" x14ac:dyDescent="0.25">
      <c r="H28" s="12" t="s">
        <v>317</v>
      </c>
      <c r="I28" s="13">
        <f>S21</f>
        <v>0</v>
      </c>
      <c r="J28" s="14"/>
    </row>
    <row r="29" spans="1:18" x14ac:dyDescent="0.25">
      <c r="H29" s="12" t="s">
        <v>318</v>
      </c>
      <c r="I29" s="13">
        <f>T21</f>
        <v>0</v>
      </c>
      <c r="J29" s="14"/>
    </row>
    <row r="30" spans="1:18" x14ac:dyDescent="0.25">
      <c r="H30" s="12" t="s">
        <v>319</v>
      </c>
      <c r="I30" s="13">
        <f>U21</f>
        <v>0</v>
      </c>
      <c r="J30" s="14"/>
    </row>
    <row r="31" spans="1:18" ht="15.75" customHeight="1" x14ac:dyDescent="0.25">
      <c r="H31" s="15" t="s">
        <v>320</v>
      </c>
      <c r="I31" s="16"/>
      <c r="J31" s="16"/>
    </row>
    <row r="32" spans="1:18" ht="15.75" customHeight="1" x14ac:dyDescent="0.25">
      <c r="H32" s="17" t="s">
        <v>321</v>
      </c>
      <c r="I32" s="16"/>
      <c r="J32" s="16"/>
    </row>
    <row r="33" spans="8:10" ht="21" customHeight="1" x14ac:dyDescent="0.35">
      <c r="H33" s="18" t="s">
        <v>322</v>
      </c>
      <c r="I33" s="39">
        <f>SUM(I26:I32)</f>
        <v>7500</v>
      </c>
      <c r="J33" s="19">
        <f>SUM(J26:J30)</f>
        <v>17</v>
      </c>
    </row>
  </sheetData>
  <autoFilter ref="A2:P19" xr:uid="{00000000-0009-0000-0000-000012000000}">
    <sortState xmlns:xlrd2="http://schemas.microsoft.com/office/spreadsheetml/2017/richdata2" ref="A3:P19">
      <sortCondition ref="J2:J19"/>
    </sortState>
  </autoFilter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A73B-45FF-4511-A669-41B92988CEF4}">
  <dimension ref="A1:R33"/>
  <sheetViews>
    <sheetView topLeftCell="A9" zoomScale="80" zoomScaleNormal="80" workbookViewId="0">
      <selection activeCell="I23" sqref="I23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2.140625" bestFit="1" customWidth="1"/>
    <col min="7" max="7" width="9.140625" customWidth="1"/>
    <col min="8" max="8" width="5.5703125" customWidth="1"/>
    <col min="9" max="9" width="9.28515625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489</v>
      </c>
      <c r="C1" t="s">
        <v>2463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"/>
    </row>
    <row r="3" spans="1:18" s="42" customFormat="1" x14ac:dyDescent="0.25">
      <c r="A3" s="40"/>
      <c r="B3" s="40" t="s">
        <v>1827</v>
      </c>
      <c r="C3" s="40" t="s">
        <v>2464</v>
      </c>
      <c r="D3" s="40" t="s">
        <v>2465</v>
      </c>
      <c r="E3" s="40" t="s">
        <v>2466</v>
      </c>
      <c r="F3" s="41">
        <v>9</v>
      </c>
      <c r="G3" s="41">
        <v>0</v>
      </c>
      <c r="H3" s="41">
        <v>30</v>
      </c>
      <c r="I3" s="41">
        <f>G3-H3</f>
        <v>-30</v>
      </c>
      <c r="J3" s="40" t="s">
        <v>1831</v>
      </c>
      <c r="K3" s="40" t="s">
        <v>25</v>
      </c>
      <c r="L3" s="40" t="s">
        <v>2467</v>
      </c>
      <c r="M3" s="40"/>
      <c r="N3" s="40"/>
      <c r="O3" s="40"/>
      <c r="P3" s="40"/>
      <c r="Q3" s="41">
        <v>1</v>
      </c>
      <c r="R3" s="43">
        <f>H3</f>
        <v>30</v>
      </c>
    </row>
    <row r="4" spans="1:18" s="42" customFormat="1" x14ac:dyDescent="0.25">
      <c r="A4" s="40"/>
      <c r="B4" s="40" t="s">
        <v>1827</v>
      </c>
      <c r="C4" s="40" t="s">
        <v>2468</v>
      </c>
      <c r="D4" s="40" t="s">
        <v>2469</v>
      </c>
      <c r="E4" s="40" t="s">
        <v>2470</v>
      </c>
      <c r="F4" s="41">
        <v>9</v>
      </c>
      <c r="G4" s="41">
        <v>790</v>
      </c>
      <c r="H4" s="41">
        <v>30</v>
      </c>
      <c r="I4" s="41">
        <f t="shared" ref="I4:I18" si="0">G4-H4</f>
        <v>760</v>
      </c>
      <c r="J4" s="40" t="s">
        <v>1831</v>
      </c>
      <c r="K4" s="40" t="s">
        <v>25</v>
      </c>
      <c r="L4" s="40" t="s">
        <v>2467</v>
      </c>
      <c r="M4" s="40"/>
      <c r="N4" s="40"/>
      <c r="O4" s="40"/>
      <c r="P4" s="40"/>
      <c r="Q4" s="41">
        <v>1</v>
      </c>
    </row>
    <row r="5" spans="1:18" s="42" customFormat="1" x14ac:dyDescent="0.25">
      <c r="A5" s="40"/>
      <c r="B5" s="40" t="s">
        <v>1827</v>
      </c>
      <c r="C5" s="40" t="s">
        <v>2471</v>
      </c>
      <c r="D5" s="40" t="s">
        <v>2472</v>
      </c>
      <c r="E5" s="40" t="s">
        <v>2473</v>
      </c>
      <c r="F5" s="41">
        <v>9</v>
      </c>
      <c r="G5" s="41">
        <v>0</v>
      </c>
      <c r="H5" s="41">
        <v>30</v>
      </c>
      <c r="I5" s="41">
        <f t="shared" si="0"/>
        <v>-30</v>
      </c>
      <c r="J5" s="40" t="s">
        <v>1831</v>
      </c>
      <c r="K5" s="40" t="s">
        <v>25</v>
      </c>
      <c r="L5" s="40" t="s">
        <v>2467</v>
      </c>
      <c r="M5" s="40"/>
      <c r="N5" s="40"/>
      <c r="O5" s="40"/>
      <c r="P5" s="40"/>
      <c r="Q5" s="41">
        <v>1</v>
      </c>
      <c r="R5" s="43">
        <f>H5</f>
        <v>30</v>
      </c>
    </row>
    <row r="6" spans="1:18" s="42" customFormat="1" x14ac:dyDescent="0.25">
      <c r="A6" s="40"/>
      <c r="B6" s="40" t="s">
        <v>1827</v>
      </c>
      <c r="C6" s="40" t="s">
        <v>2474</v>
      </c>
      <c r="D6" s="40" t="s">
        <v>2475</v>
      </c>
      <c r="E6" s="40" t="s">
        <v>2476</v>
      </c>
      <c r="F6" s="40">
        <v>9</v>
      </c>
      <c r="G6" s="41">
        <v>980</v>
      </c>
      <c r="H6" s="41">
        <v>30</v>
      </c>
      <c r="I6" s="41">
        <f t="shared" si="0"/>
        <v>950</v>
      </c>
      <c r="J6" s="40" t="s">
        <v>1831</v>
      </c>
      <c r="K6" s="40" t="s">
        <v>25</v>
      </c>
      <c r="L6" s="40" t="s">
        <v>2467</v>
      </c>
      <c r="M6" s="40"/>
      <c r="N6" s="40"/>
      <c r="O6" s="40"/>
      <c r="P6" s="40"/>
      <c r="Q6" s="41">
        <v>1</v>
      </c>
      <c r="R6" s="43"/>
    </row>
    <row r="7" spans="1:18" s="42" customFormat="1" x14ac:dyDescent="0.25">
      <c r="A7" s="40"/>
      <c r="B7" s="40" t="s">
        <v>1827</v>
      </c>
      <c r="C7" s="40" t="s">
        <v>2477</v>
      </c>
      <c r="D7" s="40" t="s">
        <v>2478</v>
      </c>
      <c r="E7" s="40" t="s">
        <v>2479</v>
      </c>
      <c r="F7" s="41">
        <v>8</v>
      </c>
      <c r="G7" s="41">
        <v>745</v>
      </c>
      <c r="H7" s="41">
        <v>25</v>
      </c>
      <c r="I7" s="41">
        <f t="shared" si="0"/>
        <v>720</v>
      </c>
      <c r="J7" s="40" t="s">
        <v>2480</v>
      </c>
      <c r="K7" s="40" t="s">
        <v>25</v>
      </c>
      <c r="L7" s="40" t="s">
        <v>2467</v>
      </c>
      <c r="M7" s="40"/>
      <c r="N7" s="40"/>
      <c r="O7" s="40"/>
      <c r="P7" s="40"/>
      <c r="Q7" s="41">
        <v>1</v>
      </c>
    </row>
    <row r="8" spans="1:18" s="42" customFormat="1" x14ac:dyDescent="0.25">
      <c r="A8" s="40"/>
      <c r="B8" s="40" t="s">
        <v>1827</v>
      </c>
      <c r="C8" s="40" t="s">
        <v>2138</v>
      </c>
      <c r="D8" s="40" t="s">
        <v>2481</v>
      </c>
      <c r="E8" s="40" t="s">
        <v>2482</v>
      </c>
      <c r="F8" s="41" t="s">
        <v>1853</v>
      </c>
      <c r="G8" s="41">
        <v>510</v>
      </c>
      <c r="H8" s="41">
        <v>30</v>
      </c>
      <c r="I8" s="41">
        <f t="shared" si="0"/>
        <v>480</v>
      </c>
      <c r="J8" s="40" t="s">
        <v>2480</v>
      </c>
      <c r="K8" s="40" t="s">
        <v>25</v>
      </c>
      <c r="L8" s="40" t="s">
        <v>2467</v>
      </c>
      <c r="M8" s="40"/>
      <c r="N8" s="40"/>
      <c r="O8" s="40"/>
      <c r="P8" s="40"/>
      <c r="Q8" s="41">
        <v>1</v>
      </c>
    </row>
    <row r="9" spans="1:18" s="42" customFormat="1" x14ac:dyDescent="0.25">
      <c r="A9" s="40"/>
      <c r="B9" s="40" t="s">
        <v>1827</v>
      </c>
      <c r="C9" s="40" t="s">
        <v>2483</v>
      </c>
      <c r="D9" s="40" t="s">
        <v>2484</v>
      </c>
      <c r="E9" s="40" t="s">
        <v>2485</v>
      </c>
      <c r="F9" s="41">
        <v>12</v>
      </c>
      <c r="G9" s="41">
        <v>760</v>
      </c>
      <c r="H9" s="41">
        <v>30</v>
      </c>
      <c r="I9" s="41">
        <f t="shared" si="0"/>
        <v>730</v>
      </c>
      <c r="J9" s="40" t="s">
        <v>2480</v>
      </c>
      <c r="K9" s="40" t="s">
        <v>25</v>
      </c>
      <c r="L9" s="40" t="s">
        <v>2467</v>
      </c>
      <c r="M9" s="40"/>
      <c r="N9" s="40"/>
      <c r="O9" s="40"/>
      <c r="P9" s="40"/>
      <c r="Q9" s="41">
        <v>1</v>
      </c>
    </row>
    <row r="10" spans="1:18" s="42" customFormat="1" x14ac:dyDescent="0.25">
      <c r="A10" s="40"/>
      <c r="B10" s="40" t="s">
        <v>1827</v>
      </c>
      <c r="C10" s="40" t="s">
        <v>2486</v>
      </c>
      <c r="D10" s="40" t="s">
        <v>2487</v>
      </c>
      <c r="E10" s="40" t="s">
        <v>2488</v>
      </c>
      <c r="F10" s="41" t="s">
        <v>1853</v>
      </c>
      <c r="G10" s="41">
        <v>1530</v>
      </c>
      <c r="H10" s="41">
        <v>30</v>
      </c>
      <c r="I10" s="41">
        <f t="shared" si="0"/>
        <v>1500</v>
      </c>
      <c r="J10" s="40" t="s">
        <v>2480</v>
      </c>
      <c r="K10" s="40" t="s">
        <v>25</v>
      </c>
      <c r="L10" s="40" t="s">
        <v>2467</v>
      </c>
      <c r="M10" s="40"/>
      <c r="N10" s="40"/>
      <c r="O10" s="40"/>
      <c r="P10" s="40"/>
      <c r="Q10" s="41">
        <v>1</v>
      </c>
    </row>
    <row r="11" spans="1:18" s="42" customFormat="1" x14ac:dyDescent="0.25">
      <c r="A11" s="40"/>
      <c r="B11" s="40" t="s">
        <v>1827</v>
      </c>
      <c r="C11" s="40" t="s">
        <v>2489</v>
      </c>
      <c r="D11" s="40" t="s">
        <v>2490</v>
      </c>
      <c r="E11" s="40" t="s">
        <v>2491</v>
      </c>
      <c r="F11" s="40" t="s">
        <v>1853</v>
      </c>
      <c r="G11" s="41">
        <v>940</v>
      </c>
      <c r="H11" s="41">
        <v>30</v>
      </c>
      <c r="I11" s="41">
        <f t="shared" si="0"/>
        <v>910</v>
      </c>
      <c r="J11" s="40" t="s">
        <v>2480</v>
      </c>
      <c r="K11" s="40" t="s">
        <v>25</v>
      </c>
      <c r="L11" s="40" t="s">
        <v>2467</v>
      </c>
      <c r="M11" s="40"/>
      <c r="N11" s="40"/>
      <c r="O11" s="40"/>
      <c r="P11" s="40"/>
      <c r="Q11" s="41">
        <v>1</v>
      </c>
    </row>
    <row r="12" spans="1:18" s="42" customFormat="1" x14ac:dyDescent="0.25">
      <c r="A12" s="40"/>
      <c r="B12" s="40" t="s">
        <v>1827</v>
      </c>
      <c r="C12" s="40" t="s">
        <v>2492</v>
      </c>
      <c r="D12" s="40" t="s">
        <v>2493</v>
      </c>
      <c r="E12" s="40" t="s">
        <v>2494</v>
      </c>
      <c r="F12" s="40" t="s">
        <v>98</v>
      </c>
      <c r="G12" s="41">
        <v>985</v>
      </c>
      <c r="H12" s="41">
        <v>25</v>
      </c>
      <c r="I12" s="41">
        <f t="shared" si="0"/>
        <v>960</v>
      </c>
      <c r="J12" s="40" t="s">
        <v>2480</v>
      </c>
      <c r="K12" s="40" t="s">
        <v>25</v>
      </c>
      <c r="L12" s="40" t="s">
        <v>2467</v>
      </c>
      <c r="M12" s="40"/>
      <c r="N12" s="40"/>
      <c r="O12" s="40"/>
      <c r="P12" s="40"/>
      <c r="Q12" s="41">
        <v>1</v>
      </c>
      <c r="R12" s="43"/>
    </row>
    <row r="13" spans="1:18" s="42" customFormat="1" x14ac:dyDescent="0.25">
      <c r="A13" s="40"/>
      <c r="B13" s="40" t="s">
        <v>1827</v>
      </c>
      <c r="C13" s="40" t="s">
        <v>2495</v>
      </c>
      <c r="D13" s="40" t="s">
        <v>2496</v>
      </c>
      <c r="E13" s="40" t="s">
        <v>2497</v>
      </c>
      <c r="F13" s="41">
        <v>8</v>
      </c>
      <c r="G13" s="41">
        <v>0</v>
      </c>
      <c r="H13" s="41">
        <v>25</v>
      </c>
      <c r="I13" s="41">
        <f t="shared" si="0"/>
        <v>-25</v>
      </c>
      <c r="J13" s="40" t="s">
        <v>2480</v>
      </c>
      <c r="K13" s="40" t="s">
        <v>25</v>
      </c>
      <c r="L13" s="40" t="s">
        <v>2467</v>
      </c>
      <c r="M13" s="40"/>
      <c r="N13" s="40"/>
      <c r="O13" s="40"/>
      <c r="P13" s="40"/>
      <c r="Q13" s="41">
        <v>1</v>
      </c>
      <c r="R13" s="43">
        <f>H13</f>
        <v>25</v>
      </c>
    </row>
    <row r="14" spans="1:18" s="42" customFormat="1" x14ac:dyDescent="0.25">
      <c r="A14" s="40"/>
      <c r="B14" s="40" t="s">
        <v>1827</v>
      </c>
      <c r="C14" s="40" t="s">
        <v>2498</v>
      </c>
      <c r="D14" s="40" t="s">
        <v>2499</v>
      </c>
      <c r="E14" s="40" t="s">
        <v>2500</v>
      </c>
      <c r="F14" s="40">
        <v>2</v>
      </c>
      <c r="G14" s="41">
        <v>750</v>
      </c>
      <c r="H14" s="41">
        <v>30</v>
      </c>
      <c r="I14" s="41">
        <f t="shared" si="0"/>
        <v>720</v>
      </c>
      <c r="J14" s="40" t="s">
        <v>25</v>
      </c>
      <c r="K14" s="40" t="s">
        <v>25</v>
      </c>
      <c r="L14" s="40" t="s">
        <v>2467</v>
      </c>
      <c r="M14" s="40"/>
      <c r="N14" s="40"/>
      <c r="O14" s="40"/>
      <c r="P14" s="40"/>
      <c r="Q14" s="41">
        <v>1</v>
      </c>
    </row>
    <row r="15" spans="1:18" s="42" customFormat="1" x14ac:dyDescent="0.25">
      <c r="A15" s="40"/>
      <c r="B15" s="40" t="s">
        <v>1827</v>
      </c>
      <c r="C15" s="40" t="s">
        <v>2501</v>
      </c>
      <c r="D15" s="40" t="s">
        <v>2502</v>
      </c>
      <c r="E15" s="40" t="s">
        <v>2503</v>
      </c>
      <c r="F15" s="40" t="s">
        <v>70</v>
      </c>
      <c r="G15" s="41">
        <v>695</v>
      </c>
      <c r="H15" s="41">
        <v>25</v>
      </c>
      <c r="I15" s="41">
        <f t="shared" si="0"/>
        <v>670</v>
      </c>
      <c r="J15" s="40" t="s">
        <v>25</v>
      </c>
      <c r="K15" s="40" t="s">
        <v>25</v>
      </c>
      <c r="L15" s="40" t="s">
        <v>2467</v>
      </c>
      <c r="M15" s="40"/>
      <c r="N15" s="40"/>
      <c r="O15" s="40"/>
      <c r="P15" s="40"/>
      <c r="Q15" s="41">
        <v>1</v>
      </c>
    </row>
    <row r="16" spans="1:18" s="42" customFormat="1" x14ac:dyDescent="0.25">
      <c r="A16" s="40"/>
      <c r="B16" s="40" t="s">
        <v>1827</v>
      </c>
      <c r="C16" s="40" t="s">
        <v>2504</v>
      </c>
      <c r="D16" s="40" t="s">
        <v>2505</v>
      </c>
      <c r="E16" s="40" t="s">
        <v>2506</v>
      </c>
      <c r="F16" s="40" t="s">
        <v>103</v>
      </c>
      <c r="G16" s="41">
        <v>0</v>
      </c>
      <c r="H16" s="41">
        <v>30</v>
      </c>
      <c r="I16" s="41">
        <f t="shared" si="0"/>
        <v>-30</v>
      </c>
      <c r="J16" s="40" t="s">
        <v>25</v>
      </c>
      <c r="K16" s="40" t="s">
        <v>25</v>
      </c>
      <c r="L16" s="40" t="s">
        <v>2467</v>
      </c>
      <c r="M16" s="40"/>
      <c r="N16" s="40"/>
      <c r="O16" s="40"/>
      <c r="P16" s="40"/>
      <c r="Q16" s="41">
        <v>1</v>
      </c>
      <c r="R16" s="43">
        <f>H16</f>
        <v>30</v>
      </c>
    </row>
    <row r="17" spans="1:18" s="42" customFormat="1" x14ac:dyDescent="0.25">
      <c r="A17" s="40"/>
      <c r="B17" s="40" t="s">
        <v>1827</v>
      </c>
      <c r="C17" s="40" t="s">
        <v>2507</v>
      </c>
      <c r="D17" s="40" t="s">
        <v>2508</v>
      </c>
      <c r="E17" s="40" t="s">
        <v>2509</v>
      </c>
      <c r="F17" s="41" t="s">
        <v>103</v>
      </c>
      <c r="G17" s="41">
        <v>900</v>
      </c>
      <c r="H17" s="41">
        <v>30</v>
      </c>
      <c r="I17" s="41">
        <f t="shared" si="0"/>
        <v>870</v>
      </c>
      <c r="J17" s="40" t="s">
        <v>25</v>
      </c>
      <c r="K17" s="40" t="s">
        <v>25</v>
      </c>
      <c r="L17" s="40" t="s">
        <v>2467</v>
      </c>
      <c r="M17" s="40"/>
      <c r="N17" s="40"/>
      <c r="O17" s="40"/>
      <c r="P17" s="40"/>
      <c r="Q17" s="41">
        <v>1</v>
      </c>
    </row>
    <row r="18" spans="1:18" s="42" customFormat="1" x14ac:dyDescent="0.25">
      <c r="A18" s="40"/>
      <c r="B18" s="40" t="s">
        <v>1827</v>
      </c>
      <c r="C18" s="40" t="s">
        <v>2510</v>
      </c>
      <c r="D18" s="40" t="s">
        <v>2511</v>
      </c>
      <c r="E18" s="40" t="s">
        <v>2512</v>
      </c>
      <c r="F18" s="41" t="s">
        <v>103</v>
      </c>
      <c r="G18" s="41">
        <v>620</v>
      </c>
      <c r="H18" s="41">
        <v>30</v>
      </c>
      <c r="I18" s="41">
        <f t="shared" si="0"/>
        <v>590</v>
      </c>
      <c r="J18" s="40" t="s">
        <v>25</v>
      </c>
      <c r="K18" s="40" t="s">
        <v>25</v>
      </c>
      <c r="L18" s="40" t="s">
        <v>2467</v>
      </c>
      <c r="M18" s="40"/>
      <c r="N18" s="40"/>
      <c r="O18" s="40"/>
      <c r="P18" s="40"/>
      <c r="Q18" s="41">
        <v>1</v>
      </c>
      <c r="R18" s="43"/>
    </row>
    <row r="19" spans="1:18" s="42" customFormat="1" x14ac:dyDescent="0.25">
      <c r="A19" s="40"/>
      <c r="B19" s="40" t="s">
        <v>1827</v>
      </c>
      <c r="C19" s="40" t="s">
        <v>2513</v>
      </c>
      <c r="D19" s="40" t="s">
        <v>2514</v>
      </c>
      <c r="E19" s="40" t="s">
        <v>2515</v>
      </c>
      <c r="F19" s="41" t="s">
        <v>98</v>
      </c>
      <c r="G19" s="41">
        <v>0</v>
      </c>
      <c r="H19" s="41">
        <v>25</v>
      </c>
      <c r="I19" s="41">
        <f>G19-H19</f>
        <v>-25</v>
      </c>
      <c r="J19" s="40" t="s">
        <v>25</v>
      </c>
      <c r="K19" s="40" t="s">
        <v>25</v>
      </c>
      <c r="L19" s="40" t="s">
        <v>2467</v>
      </c>
      <c r="M19" s="40"/>
      <c r="N19" s="40"/>
      <c r="O19" s="40"/>
      <c r="P19" s="40"/>
      <c r="Q19" s="41">
        <v>1</v>
      </c>
      <c r="R19" s="43">
        <f>H19</f>
        <v>25</v>
      </c>
    </row>
    <row r="21" spans="1:18" x14ac:dyDescent="0.25">
      <c r="G21">
        <f t="shared" ref="G21:R21" si="1">SUBTOTAL(9,G3:G20)</f>
        <v>10205</v>
      </c>
      <c r="H21">
        <f t="shared" si="1"/>
        <v>485</v>
      </c>
      <c r="I21">
        <f t="shared" si="1"/>
        <v>9720</v>
      </c>
      <c r="J21">
        <f t="shared" si="1"/>
        <v>0</v>
      </c>
      <c r="K21">
        <f t="shared" si="1"/>
        <v>0</v>
      </c>
      <c r="L21">
        <f t="shared" si="1"/>
        <v>0</v>
      </c>
      <c r="M21">
        <f t="shared" si="1"/>
        <v>0</v>
      </c>
      <c r="N21">
        <f t="shared" si="1"/>
        <v>0</v>
      </c>
      <c r="O21">
        <f t="shared" si="1"/>
        <v>0</v>
      </c>
      <c r="P21">
        <f t="shared" si="1"/>
        <v>0</v>
      </c>
      <c r="Q21">
        <f t="shared" si="1"/>
        <v>17</v>
      </c>
      <c r="R21">
        <f t="shared" si="1"/>
        <v>140</v>
      </c>
    </row>
    <row r="22" spans="1:18" x14ac:dyDescent="0.25">
      <c r="I22" s="29"/>
      <c r="J22" s="22"/>
    </row>
    <row r="23" spans="1:18" x14ac:dyDescent="0.25">
      <c r="I23" s="29"/>
      <c r="J23" s="22"/>
    </row>
    <row r="24" spans="1:18" x14ac:dyDescent="0.25">
      <c r="I24" s="29"/>
      <c r="J24" s="22"/>
    </row>
    <row r="25" spans="1:18" ht="18.75" customHeight="1" x14ac:dyDescent="0.3">
      <c r="H25" s="7" t="s">
        <v>2462</v>
      </c>
      <c r="I25" s="8" t="s">
        <v>313</v>
      </c>
      <c r="J25" s="9" t="s">
        <v>314</v>
      </c>
    </row>
    <row r="26" spans="1:18" ht="15.75" customHeight="1" x14ac:dyDescent="0.25">
      <c r="H26" s="10" t="s">
        <v>315</v>
      </c>
      <c r="I26" s="38">
        <f>SUM(I20:I24)</f>
        <v>9720</v>
      </c>
      <c r="J26" s="11">
        <f>Q21</f>
        <v>17</v>
      </c>
    </row>
    <row r="27" spans="1:18" x14ac:dyDescent="0.25">
      <c r="H27" s="12" t="s">
        <v>316</v>
      </c>
      <c r="I27" s="13">
        <f>R21</f>
        <v>140</v>
      </c>
      <c r="J27" s="14"/>
    </row>
    <row r="28" spans="1:18" x14ac:dyDescent="0.25">
      <c r="H28" s="12" t="s">
        <v>317</v>
      </c>
      <c r="I28" s="13">
        <f>S21</f>
        <v>0</v>
      </c>
      <c r="J28" s="14"/>
    </row>
    <row r="29" spans="1:18" x14ac:dyDescent="0.25">
      <c r="H29" s="12" t="s">
        <v>318</v>
      </c>
      <c r="I29" s="13">
        <f>T21</f>
        <v>0</v>
      </c>
      <c r="J29" s="14"/>
    </row>
    <row r="30" spans="1:18" x14ac:dyDescent="0.25">
      <c r="H30" s="12" t="s">
        <v>319</v>
      </c>
      <c r="I30" s="13">
        <f>U21</f>
        <v>0</v>
      </c>
      <c r="J30" s="14"/>
    </row>
    <row r="31" spans="1:18" ht="15.75" customHeight="1" x14ac:dyDescent="0.25">
      <c r="H31" s="15" t="s">
        <v>320</v>
      </c>
      <c r="I31" s="16"/>
      <c r="J31" s="16"/>
    </row>
    <row r="32" spans="1:18" ht="15.75" customHeight="1" x14ac:dyDescent="0.25">
      <c r="H32" s="17" t="s">
        <v>321</v>
      </c>
      <c r="I32" s="16"/>
      <c r="J32" s="16"/>
    </row>
    <row r="33" spans="8:10" ht="21" customHeight="1" x14ac:dyDescent="0.35">
      <c r="H33" s="18" t="s">
        <v>322</v>
      </c>
      <c r="I33" s="39">
        <f>SUM(I26:I32)</f>
        <v>9860</v>
      </c>
      <c r="J33" s="19">
        <f>SUM(J26:J30)</f>
        <v>17</v>
      </c>
    </row>
  </sheetData>
  <autoFilter ref="A2:P19" xr:uid="{00000000-0009-0000-0000-000012000000}">
    <sortState xmlns:xlrd2="http://schemas.microsoft.com/office/spreadsheetml/2017/richdata2" ref="A3:P19">
      <sortCondition ref="J2:J19"/>
    </sortState>
  </autoFilter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ACCB-9F2C-4881-A67C-848177437961}">
  <dimension ref="A1:R47"/>
  <sheetViews>
    <sheetView topLeftCell="A20" zoomScale="80" zoomScaleNormal="80" workbookViewId="0">
      <selection activeCell="E22" sqref="E22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2.140625" bestFit="1" customWidth="1"/>
    <col min="7" max="7" width="9.140625" customWidth="1"/>
    <col min="8" max="8" width="5.5703125" customWidth="1"/>
    <col min="9" max="9" width="9.28515625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639</v>
      </c>
      <c r="C1" t="s">
        <v>2517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"/>
    </row>
    <row r="3" spans="1:18" s="42" customFormat="1" x14ac:dyDescent="0.25">
      <c r="A3" s="40"/>
      <c r="B3" s="40" t="s">
        <v>1827</v>
      </c>
      <c r="C3" s="40" t="s">
        <v>2518</v>
      </c>
      <c r="D3" s="40" t="s">
        <v>2519</v>
      </c>
      <c r="E3" s="40" t="s">
        <v>2520</v>
      </c>
      <c r="F3" s="41">
        <v>9</v>
      </c>
      <c r="G3" s="41">
        <v>0</v>
      </c>
      <c r="H3" s="41">
        <v>30</v>
      </c>
      <c r="I3" s="41">
        <f>G3-H3</f>
        <v>-30</v>
      </c>
      <c r="J3" s="40" t="s">
        <v>1831</v>
      </c>
      <c r="K3" s="40" t="s">
        <v>25</v>
      </c>
      <c r="L3" s="40" t="s">
        <v>2521</v>
      </c>
      <c r="M3" s="40"/>
      <c r="N3" s="40"/>
      <c r="O3" s="40"/>
      <c r="P3" s="40"/>
      <c r="Q3" s="41">
        <v>1</v>
      </c>
      <c r="R3" s="43">
        <f>H3</f>
        <v>30</v>
      </c>
    </row>
    <row r="4" spans="1:18" s="42" customFormat="1" x14ac:dyDescent="0.25">
      <c r="A4" s="40"/>
      <c r="B4" s="40" t="s">
        <v>1827</v>
      </c>
      <c r="C4" s="40" t="s">
        <v>2522</v>
      </c>
      <c r="D4" s="40" t="s">
        <v>2523</v>
      </c>
      <c r="E4" s="40" t="s">
        <v>2524</v>
      </c>
      <c r="F4" s="41">
        <v>7</v>
      </c>
      <c r="G4" s="41">
        <v>0</v>
      </c>
      <c r="H4" s="41">
        <v>30</v>
      </c>
      <c r="I4" s="41">
        <f t="shared" ref="I4:I33" si="0">G4-H4</f>
        <v>-30</v>
      </c>
      <c r="J4" s="40" t="s">
        <v>2525</v>
      </c>
      <c r="K4" s="40" t="s">
        <v>25</v>
      </c>
      <c r="L4" s="40" t="s">
        <v>2521</v>
      </c>
      <c r="M4" s="40"/>
      <c r="N4" s="40"/>
      <c r="O4" s="40"/>
      <c r="P4" s="40"/>
      <c r="Q4" s="41">
        <v>1</v>
      </c>
      <c r="R4" s="43">
        <f>H4</f>
        <v>30</v>
      </c>
    </row>
    <row r="5" spans="1:18" s="42" customFormat="1" x14ac:dyDescent="0.25">
      <c r="A5" s="40"/>
      <c r="B5" s="40" t="s">
        <v>1827</v>
      </c>
      <c r="C5" s="40" t="s">
        <v>2526</v>
      </c>
      <c r="D5" s="40" t="s">
        <v>2527</v>
      </c>
      <c r="E5" s="40" t="s">
        <v>2528</v>
      </c>
      <c r="F5" s="41">
        <v>7</v>
      </c>
      <c r="G5" s="41">
        <v>920</v>
      </c>
      <c r="H5" s="41">
        <v>30</v>
      </c>
      <c r="I5" s="41">
        <f t="shared" si="0"/>
        <v>890</v>
      </c>
      <c r="J5" s="40" t="s">
        <v>2525</v>
      </c>
      <c r="K5" s="40" t="s">
        <v>25</v>
      </c>
      <c r="L5" s="40" t="s">
        <v>2521</v>
      </c>
      <c r="M5" s="40"/>
      <c r="N5" s="40"/>
      <c r="O5" s="40"/>
      <c r="P5" s="40"/>
      <c r="Q5" s="41">
        <v>1</v>
      </c>
      <c r="R5" s="43"/>
    </row>
    <row r="6" spans="1:18" s="42" customFormat="1" x14ac:dyDescent="0.25">
      <c r="A6" s="40"/>
      <c r="B6" s="40" t="s">
        <v>1827</v>
      </c>
      <c r="C6" s="40" t="s">
        <v>2529</v>
      </c>
      <c r="D6" s="40" t="s">
        <v>2530</v>
      </c>
      <c r="E6" s="40" t="s">
        <v>2531</v>
      </c>
      <c r="F6" s="40" t="s">
        <v>444</v>
      </c>
      <c r="G6" s="41">
        <v>415</v>
      </c>
      <c r="H6" s="41">
        <v>35</v>
      </c>
      <c r="I6" s="41">
        <f t="shared" si="0"/>
        <v>380</v>
      </c>
      <c r="J6" s="40" t="s">
        <v>2525</v>
      </c>
      <c r="K6" s="40" t="s">
        <v>25</v>
      </c>
      <c r="L6" s="40" t="s">
        <v>2521</v>
      </c>
      <c r="M6" s="40"/>
      <c r="N6" s="40"/>
      <c r="O6" s="40"/>
      <c r="P6" s="40"/>
      <c r="Q6" s="41">
        <v>1</v>
      </c>
      <c r="R6" s="43"/>
    </row>
    <row r="7" spans="1:18" s="42" customFormat="1" x14ac:dyDescent="0.25">
      <c r="A7" s="40"/>
      <c r="B7" s="40" t="s">
        <v>1827</v>
      </c>
      <c r="C7" s="40" t="s">
        <v>2532</v>
      </c>
      <c r="D7" s="40" t="s">
        <v>2533</v>
      </c>
      <c r="E7" s="40" t="s">
        <v>2534</v>
      </c>
      <c r="F7" s="41">
        <v>8</v>
      </c>
      <c r="G7" s="41">
        <v>945</v>
      </c>
      <c r="H7" s="41">
        <v>25</v>
      </c>
      <c r="I7" s="41">
        <f t="shared" si="0"/>
        <v>920</v>
      </c>
      <c r="J7" s="40" t="s">
        <v>2525</v>
      </c>
      <c r="K7" s="40" t="s">
        <v>25</v>
      </c>
      <c r="L7" s="40" t="s">
        <v>2521</v>
      </c>
      <c r="M7" s="40"/>
      <c r="N7" s="40"/>
      <c r="O7" s="40"/>
      <c r="P7" s="40"/>
      <c r="Q7" s="41">
        <v>1</v>
      </c>
    </row>
    <row r="8" spans="1:18" s="42" customFormat="1" x14ac:dyDescent="0.25">
      <c r="A8" s="40"/>
      <c r="B8" s="40" t="s">
        <v>1827</v>
      </c>
      <c r="C8" s="40" t="s">
        <v>2535</v>
      </c>
      <c r="D8" s="40" t="s">
        <v>2536</v>
      </c>
      <c r="E8" s="40" t="s">
        <v>2537</v>
      </c>
      <c r="F8" s="41" t="s">
        <v>1853</v>
      </c>
      <c r="G8" s="41">
        <v>370</v>
      </c>
      <c r="H8" s="41">
        <v>30</v>
      </c>
      <c r="I8" s="41">
        <f t="shared" si="0"/>
        <v>340</v>
      </c>
      <c r="J8" s="40" t="s">
        <v>2525</v>
      </c>
      <c r="K8" s="40" t="s">
        <v>25</v>
      </c>
      <c r="L8" s="40" t="s">
        <v>2521</v>
      </c>
      <c r="M8" s="40"/>
      <c r="N8" s="40"/>
      <c r="O8" s="40"/>
      <c r="P8" s="40"/>
      <c r="Q8" s="41">
        <v>1</v>
      </c>
    </row>
    <row r="9" spans="1:18" s="42" customFormat="1" x14ac:dyDescent="0.25">
      <c r="A9" s="40"/>
      <c r="B9" s="40" t="s">
        <v>1827</v>
      </c>
      <c r="C9" s="40" t="s">
        <v>2538</v>
      </c>
      <c r="D9" s="40" t="s">
        <v>2539</v>
      </c>
      <c r="E9" s="40" t="s">
        <v>2540</v>
      </c>
      <c r="F9" s="41" t="s">
        <v>607</v>
      </c>
      <c r="G9" s="41">
        <v>815</v>
      </c>
      <c r="H9" s="41">
        <v>25</v>
      </c>
      <c r="I9" s="41">
        <f t="shared" si="0"/>
        <v>790</v>
      </c>
      <c r="J9" s="40" t="s">
        <v>2525</v>
      </c>
      <c r="K9" s="40" t="s">
        <v>25</v>
      </c>
      <c r="L9" s="40" t="s">
        <v>2521</v>
      </c>
      <c r="M9" s="40"/>
      <c r="N9" s="40"/>
      <c r="O9" s="40"/>
      <c r="P9" s="40"/>
      <c r="Q9" s="41">
        <v>1</v>
      </c>
    </row>
    <row r="10" spans="1:18" s="42" customFormat="1" x14ac:dyDescent="0.25">
      <c r="A10" s="40"/>
      <c r="B10" s="40" t="s">
        <v>1827</v>
      </c>
      <c r="C10" s="40" t="s">
        <v>2541</v>
      </c>
      <c r="D10" s="40" t="s">
        <v>2542</v>
      </c>
      <c r="E10" s="40" t="s">
        <v>2543</v>
      </c>
      <c r="F10" s="41">
        <v>7</v>
      </c>
      <c r="G10" s="41">
        <v>520</v>
      </c>
      <c r="H10" s="41">
        <v>30</v>
      </c>
      <c r="I10" s="41">
        <f t="shared" si="0"/>
        <v>490</v>
      </c>
      <c r="J10" s="40" t="s">
        <v>2525</v>
      </c>
      <c r="K10" s="40" t="s">
        <v>25</v>
      </c>
      <c r="L10" s="40" t="s">
        <v>2521</v>
      </c>
      <c r="M10" s="40"/>
      <c r="N10" s="40"/>
      <c r="O10" s="40"/>
      <c r="P10" s="40"/>
      <c r="Q10" s="41">
        <v>1</v>
      </c>
    </row>
    <row r="11" spans="1:18" s="42" customFormat="1" x14ac:dyDescent="0.25">
      <c r="A11" s="40"/>
      <c r="B11" s="40" t="s">
        <v>1827</v>
      </c>
      <c r="C11" s="40" t="s">
        <v>2544</v>
      </c>
      <c r="D11" s="40" t="s">
        <v>2545</v>
      </c>
      <c r="E11" s="40" t="s">
        <v>2546</v>
      </c>
      <c r="F11" s="40" t="s">
        <v>1989</v>
      </c>
      <c r="G11" s="41">
        <v>825</v>
      </c>
      <c r="H11" s="41">
        <v>35</v>
      </c>
      <c r="I11" s="41">
        <f t="shared" si="0"/>
        <v>790</v>
      </c>
      <c r="J11" s="40" t="s">
        <v>2525</v>
      </c>
      <c r="K11" s="40" t="s">
        <v>25</v>
      </c>
      <c r="L11" s="40" t="s">
        <v>2521</v>
      </c>
      <c r="M11" s="40"/>
      <c r="N11" s="40"/>
      <c r="O11" s="40"/>
      <c r="P11" s="40"/>
      <c r="Q11" s="41">
        <v>1</v>
      </c>
    </row>
    <row r="12" spans="1:18" s="42" customFormat="1" x14ac:dyDescent="0.25">
      <c r="A12" s="40"/>
      <c r="B12" s="40" t="s">
        <v>1827</v>
      </c>
      <c r="C12" s="40" t="s">
        <v>2547</v>
      </c>
      <c r="D12" s="40" t="s">
        <v>2548</v>
      </c>
      <c r="E12" s="40" t="s">
        <v>2549</v>
      </c>
      <c r="F12" s="40">
        <v>7</v>
      </c>
      <c r="G12" s="41">
        <v>920</v>
      </c>
      <c r="H12" s="41">
        <v>30</v>
      </c>
      <c r="I12" s="41">
        <f t="shared" si="0"/>
        <v>890</v>
      </c>
      <c r="J12" s="40" t="s">
        <v>2525</v>
      </c>
      <c r="K12" s="40" t="s">
        <v>25</v>
      </c>
      <c r="L12" s="40" t="s">
        <v>2521</v>
      </c>
      <c r="M12" s="40"/>
      <c r="N12" s="40"/>
      <c r="O12" s="40"/>
      <c r="P12" s="40"/>
      <c r="Q12" s="41">
        <v>1</v>
      </c>
      <c r="R12" s="43"/>
    </row>
    <row r="13" spans="1:18" s="42" customFormat="1" x14ac:dyDescent="0.25">
      <c r="A13" s="40"/>
      <c r="B13" s="40" t="s">
        <v>1827</v>
      </c>
      <c r="C13" s="40" t="s">
        <v>2550</v>
      </c>
      <c r="D13" s="40" t="s">
        <v>2551</v>
      </c>
      <c r="E13" s="40" t="s">
        <v>2552</v>
      </c>
      <c r="F13" s="41">
        <v>7</v>
      </c>
      <c r="G13" s="41">
        <v>460</v>
      </c>
      <c r="H13" s="41">
        <v>30</v>
      </c>
      <c r="I13" s="41">
        <f t="shared" si="0"/>
        <v>430</v>
      </c>
      <c r="J13" s="40" t="s">
        <v>2525</v>
      </c>
      <c r="K13" s="40" t="s">
        <v>25</v>
      </c>
      <c r="L13" s="40" t="s">
        <v>2521</v>
      </c>
      <c r="M13" s="40"/>
      <c r="N13" s="40"/>
      <c r="O13" s="40"/>
      <c r="P13" s="40"/>
      <c r="Q13" s="41">
        <v>1</v>
      </c>
      <c r="R13" s="43"/>
    </row>
    <row r="14" spans="1:18" s="42" customFormat="1" x14ac:dyDescent="0.25">
      <c r="A14" s="40"/>
      <c r="B14" s="40" t="s">
        <v>1827</v>
      </c>
      <c r="C14" s="40" t="s">
        <v>2553</v>
      </c>
      <c r="D14" s="40" t="s">
        <v>2554</v>
      </c>
      <c r="E14" s="40" t="s">
        <v>2555</v>
      </c>
      <c r="F14" s="40" t="s">
        <v>1853</v>
      </c>
      <c r="G14" s="41">
        <v>670</v>
      </c>
      <c r="H14" s="41">
        <v>30</v>
      </c>
      <c r="I14" s="41">
        <f t="shared" si="0"/>
        <v>640</v>
      </c>
      <c r="J14" s="40" t="s">
        <v>2525</v>
      </c>
      <c r="K14" s="40" t="s">
        <v>25</v>
      </c>
      <c r="L14" s="40" t="s">
        <v>2521</v>
      </c>
      <c r="M14" s="40"/>
      <c r="N14" s="40"/>
      <c r="O14" s="40"/>
      <c r="P14" s="40"/>
      <c r="Q14" s="41">
        <v>1</v>
      </c>
    </row>
    <row r="15" spans="1:18" s="42" customFormat="1" x14ac:dyDescent="0.25">
      <c r="A15" s="40"/>
      <c r="B15" s="40" t="s">
        <v>1827</v>
      </c>
      <c r="C15" s="40" t="s">
        <v>2556</v>
      </c>
      <c r="D15" s="40" t="s">
        <v>2557</v>
      </c>
      <c r="E15" s="40" t="s">
        <v>2558</v>
      </c>
      <c r="F15" s="40" t="s">
        <v>1853</v>
      </c>
      <c r="G15" s="41">
        <v>780</v>
      </c>
      <c r="H15" s="41">
        <v>30</v>
      </c>
      <c r="I15" s="41">
        <f t="shared" si="0"/>
        <v>750</v>
      </c>
      <c r="J15" s="40" t="s">
        <v>2525</v>
      </c>
      <c r="K15" s="40" t="s">
        <v>25</v>
      </c>
      <c r="L15" s="40" t="s">
        <v>2521</v>
      </c>
      <c r="M15" s="40"/>
      <c r="N15" s="40"/>
      <c r="O15" s="40"/>
      <c r="P15" s="40"/>
      <c r="Q15" s="41">
        <v>1</v>
      </c>
    </row>
    <row r="16" spans="1:18" s="47" customFormat="1" x14ac:dyDescent="0.25">
      <c r="A16" s="44"/>
      <c r="B16" s="44" t="s">
        <v>1827</v>
      </c>
      <c r="C16" s="44" t="s">
        <v>2559</v>
      </c>
      <c r="D16" s="44" t="s">
        <v>2560</v>
      </c>
      <c r="E16" s="44" t="s">
        <v>2561</v>
      </c>
      <c r="F16" s="44">
        <v>8</v>
      </c>
      <c r="G16" s="45">
        <v>30</v>
      </c>
      <c r="H16" s="45">
        <v>30</v>
      </c>
      <c r="I16" s="45">
        <f t="shared" si="0"/>
        <v>0</v>
      </c>
      <c r="J16" s="44" t="s">
        <v>2525</v>
      </c>
      <c r="K16" s="44" t="s">
        <v>25</v>
      </c>
      <c r="L16" s="44" t="s">
        <v>2521</v>
      </c>
      <c r="M16" s="44" t="s">
        <v>472</v>
      </c>
      <c r="N16" s="44"/>
      <c r="O16" s="44"/>
      <c r="P16" s="44"/>
      <c r="Q16" s="45">
        <v>1</v>
      </c>
      <c r="R16" s="46"/>
    </row>
    <row r="17" spans="1:18" s="42" customFormat="1" x14ac:dyDescent="0.25">
      <c r="A17" s="40"/>
      <c r="B17" s="40" t="s">
        <v>1827</v>
      </c>
      <c r="C17" s="40" t="s">
        <v>1847</v>
      </c>
      <c r="D17" s="40" t="s">
        <v>2562</v>
      </c>
      <c r="E17" s="40" t="s">
        <v>1849</v>
      </c>
      <c r="F17" s="41">
        <v>7</v>
      </c>
      <c r="G17" s="41">
        <v>620</v>
      </c>
      <c r="H17" s="41">
        <v>30</v>
      </c>
      <c r="I17" s="41">
        <f t="shared" si="0"/>
        <v>590</v>
      </c>
      <c r="J17" s="40" t="s">
        <v>2525</v>
      </c>
      <c r="K17" s="40" t="s">
        <v>25</v>
      </c>
      <c r="L17" s="40" t="s">
        <v>2521</v>
      </c>
      <c r="M17" s="40"/>
      <c r="N17" s="40"/>
      <c r="O17" s="40"/>
      <c r="P17" s="40"/>
      <c r="Q17" s="41">
        <v>1</v>
      </c>
    </row>
    <row r="18" spans="1:18" s="47" customFormat="1" x14ac:dyDescent="0.25">
      <c r="A18" s="44"/>
      <c r="B18" s="44" t="s">
        <v>1827</v>
      </c>
      <c r="C18" s="44" t="s">
        <v>2563</v>
      </c>
      <c r="D18" s="44" t="s">
        <v>2564</v>
      </c>
      <c r="E18" s="44" t="s">
        <v>2565</v>
      </c>
      <c r="F18" s="45" t="s">
        <v>70</v>
      </c>
      <c r="G18" s="45">
        <v>25</v>
      </c>
      <c r="H18" s="45">
        <v>25</v>
      </c>
      <c r="I18" s="45">
        <f t="shared" si="0"/>
        <v>0</v>
      </c>
      <c r="J18" s="44" t="s">
        <v>25</v>
      </c>
      <c r="K18" s="44" t="s">
        <v>25</v>
      </c>
      <c r="L18" s="44" t="s">
        <v>2521</v>
      </c>
      <c r="M18" s="44" t="s">
        <v>472</v>
      </c>
      <c r="N18" s="44"/>
      <c r="O18" s="44"/>
      <c r="P18" s="44"/>
      <c r="Q18" s="45">
        <v>1</v>
      </c>
      <c r="R18" s="46"/>
    </row>
    <row r="19" spans="1:18" s="42" customFormat="1" x14ac:dyDescent="0.25">
      <c r="A19" s="40"/>
      <c r="B19" s="40" t="s">
        <v>1827</v>
      </c>
      <c r="C19" s="40" t="s">
        <v>2566</v>
      </c>
      <c r="D19" s="40" t="s">
        <v>2567</v>
      </c>
      <c r="E19" s="40" t="s">
        <v>2568</v>
      </c>
      <c r="F19" s="41" t="s">
        <v>58</v>
      </c>
      <c r="G19" s="41">
        <v>790</v>
      </c>
      <c r="H19" s="41">
        <v>20</v>
      </c>
      <c r="I19" s="41">
        <f t="shared" si="0"/>
        <v>770</v>
      </c>
      <c r="J19" s="40" t="s">
        <v>25</v>
      </c>
      <c r="K19" s="40" t="s">
        <v>25</v>
      </c>
      <c r="L19" s="40" t="s">
        <v>2521</v>
      </c>
      <c r="M19" s="40"/>
      <c r="N19" s="40"/>
      <c r="O19" s="40"/>
      <c r="P19" s="40"/>
      <c r="Q19" s="41">
        <v>1</v>
      </c>
      <c r="R19" s="43"/>
    </row>
    <row r="20" spans="1:18" s="42" customFormat="1" x14ac:dyDescent="0.25">
      <c r="A20" s="40"/>
      <c r="B20" s="40" t="s">
        <v>1827</v>
      </c>
      <c r="C20" s="40" t="s">
        <v>2569</v>
      </c>
      <c r="D20" s="40" t="s">
        <v>2570</v>
      </c>
      <c r="E20" s="40" t="s">
        <v>2571</v>
      </c>
      <c r="F20" s="41" t="s">
        <v>98</v>
      </c>
      <c r="G20" s="41">
        <v>895</v>
      </c>
      <c r="H20" s="41">
        <v>25</v>
      </c>
      <c r="I20" s="41">
        <f t="shared" si="0"/>
        <v>870</v>
      </c>
      <c r="J20" s="40" t="s">
        <v>25</v>
      </c>
      <c r="K20" s="40" t="s">
        <v>25</v>
      </c>
      <c r="L20" s="40" t="s">
        <v>2521</v>
      </c>
      <c r="M20" s="40"/>
      <c r="N20" s="40"/>
      <c r="O20" s="40"/>
      <c r="P20" s="40"/>
      <c r="Q20" s="41">
        <v>1</v>
      </c>
      <c r="R20" s="43"/>
    </row>
    <row r="21" spans="1:18" s="42" customFormat="1" x14ac:dyDescent="0.25">
      <c r="A21" s="40"/>
      <c r="B21" s="40" t="s">
        <v>1827</v>
      </c>
      <c r="C21" s="40" t="s">
        <v>2572</v>
      </c>
      <c r="D21" s="40" t="s">
        <v>2573</v>
      </c>
      <c r="E21" s="40" t="s">
        <v>2574</v>
      </c>
      <c r="F21" s="41" t="s">
        <v>98</v>
      </c>
      <c r="G21" s="41">
        <v>885</v>
      </c>
      <c r="H21" s="41">
        <v>25</v>
      </c>
      <c r="I21" s="41">
        <f t="shared" si="0"/>
        <v>860</v>
      </c>
      <c r="J21" s="40" t="s">
        <v>25</v>
      </c>
      <c r="K21" s="40" t="s">
        <v>25</v>
      </c>
      <c r="L21" s="40" t="s">
        <v>2521</v>
      </c>
      <c r="M21" s="40"/>
      <c r="N21" s="40"/>
      <c r="O21" s="40"/>
      <c r="P21" s="40"/>
      <c r="Q21" s="41">
        <v>1</v>
      </c>
    </row>
    <row r="22" spans="1:18" s="47" customFormat="1" x14ac:dyDescent="0.25">
      <c r="A22" s="44"/>
      <c r="B22" s="44" t="s">
        <v>1827</v>
      </c>
      <c r="C22" s="44" t="s">
        <v>2575</v>
      </c>
      <c r="D22" s="44" t="s">
        <v>2576</v>
      </c>
      <c r="E22" s="44" t="s">
        <v>2509</v>
      </c>
      <c r="F22" s="45" t="s">
        <v>103</v>
      </c>
      <c r="G22" s="45">
        <v>30</v>
      </c>
      <c r="H22" s="45">
        <v>30</v>
      </c>
      <c r="I22" s="45">
        <f t="shared" si="0"/>
        <v>0</v>
      </c>
      <c r="J22" s="44" t="s">
        <v>25</v>
      </c>
      <c r="K22" s="44" t="s">
        <v>25</v>
      </c>
      <c r="L22" s="44" t="s">
        <v>2521</v>
      </c>
      <c r="M22" s="44" t="s">
        <v>472</v>
      </c>
      <c r="N22" s="44"/>
      <c r="O22" s="44"/>
      <c r="P22" s="44"/>
      <c r="Q22" s="45">
        <v>1</v>
      </c>
      <c r="R22" s="46"/>
    </row>
    <row r="23" spans="1:18" s="42" customFormat="1" x14ac:dyDescent="0.25">
      <c r="A23" s="40"/>
      <c r="B23" s="40" t="s">
        <v>1827</v>
      </c>
      <c r="C23" s="40" t="s">
        <v>2577</v>
      </c>
      <c r="D23" s="40" t="s">
        <v>2578</v>
      </c>
      <c r="E23" s="40" t="s">
        <v>2579</v>
      </c>
      <c r="F23" s="40" t="s">
        <v>70</v>
      </c>
      <c r="G23" s="41">
        <v>775</v>
      </c>
      <c r="H23" s="41">
        <v>25</v>
      </c>
      <c r="I23" s="41">
        <f t="shared" si="0"/>
        <v>750</v>
      </c>
      <c r="J23" s="40" t="s">
        <v>25</v>
      </c>
      <c r="K23" s="40" t="s">
        <v>25</v>
      </c>
      <c r="L23" s="40" t="s">
        <v>2521</v>
      </c>
      <c r="M23" s="40"/>
      <c r="N23" s="40"/>
      <c r="O23" s="40"/>
      <c r="P23" s="40"/>
      <c r="Q23" s="41">
        <v>1</v>
      </c>
      <c r="R23" s="43"/>
    </row>
    <row r="24" spans="1:18" s="42" customFormat="1" x14ac:dyDescent="0.25">
      <c r="A24" s="40"/>
      <c r="B24" s="40" t="s">
        <v>1827</v>
      </c>
      <c r="C24" s="40" t="s">
        <v>2580</v>
      </c>
      <c r="D24" s="40" t="s">
        <v>2581</v>
      </c>
      <c r="E24" s="40" t="s">
        <v>2582</v>
      </c>
      <c r="F24" s="41" t="s">
        <v>58</v>
      </c>
      <c r="G24" s="41">
        <v>0</v>
      </c>
      <c r="H24" s="41">
        <v>20</v>
      </c>
      <c r="I24" s="41">
        <f t="shared" si="0"/>
        <v>-20</v>
      </c>
      <c r="J24" s="40" t="s">
        <v>25</v>
      </c>
      <c r="K24" s="40" t="s">
        <v>25</v>
      </c>
      <c r="L24" s="40" t="s">
        <v>2521</v>
      </c>
      <c r="M24" s="40"/>
      <c r="N24" s="40"/>
      <c r="O24" s="40"/>
      <c r="P24" s="40"/>
      <c r="Q24" s="41">
        <v>1</v>
      </c>
      <c r="R24" s="43">
        <f t="shared" ref="R24:R26" si="1">H24</f>
        <v>20</v>
      </c>
    </row>
    <row r="25" spans="1:18" s="42" customFormat="1" x14ac:dyDescent="0.25">
      <c r="A25" s="40"/>
      <c r="B25" s="40" t="s">
        <v>1827</v>
      </c>
      <c r="C25" s="40" t="s">
        <v>2583</v>
      </c>
      <c r="D25" s="40" t="s">
        <v>2584</v>
      </c>
      <c r="E25" s="40" t="s">
        <v>2585</v>
      </c>
      <c r="F25" s="41" t="s">
        <v>98</v>
      </c>
      <c r="G25" s="41">
        <v>0</v>
      </c>
      <c r="H25" s="41">
        <v>25</v>
      </c>
      <c r="I25" s="41">
        <f t="shared" si="0"/>
        <v>-25</v>
      </c>
      <c r="J25" s="40" t="s">
        <v>25</v>
      </c>
      <c r="K25" s="40" t="s">
        <v>25</v>
      </c>
      <c r="L25" s="40" t="s">
        <v>2521</v>
      </c>
      <c r="M25" s="40"/>
      <c r="N25" s="40"/>
      <c r="O25" s="40"/>
      <c r="P25" s="40"/>
      <c r="Q25" s="41">
        <v>1</v>
      </c>
      <c r="R25" s="43">
        <f t="shared" si="1"/>
        <v>25</v>
      </c>
    </row>
    <row r="26" spans="1:18" s="42" customFormat="1" x14ac:dyDescent="0.25">
      <c r="A26" s="40"/>
      <c r="B26" s="40" t="s">
        <v>1827</v>
      </c>
      <c r="C26" s="40" t="s">
        <v>2586</v>
      </c>
      <c r="D26" s="40" t="s">
        <v>2587</v>
      </c>
      <c r="E26" s="40" t="s">
        <v>2588</v>
      </c>
      <c r="F26" s="41">
        <v>5</v>
      </c>
      <c r="G26" s="41">
        <v>0</v>
      </c>
      <c r="H26" s="41">
        <v>25</v>
      </c>
      <c r="I26" s="41">
        <f t="shared" si="0"/>
        <v>-25</v>
      </c>
      <c r="J26" s="40" t="s">
        <v>1884</v>
      </c>
      <c r="K26" s="40" t="s">
        <v>25</v>
      </c>
      <c r="L26" s="40" t="s">
        <v>2521</v>
      </c>
      <c r="M26" s="40"/>
      <c r="N26" s="40"/>
      <c r="O26" s="40"/>
      <c r="P26" s="40"/>
      <c r="Q26" s="41">
        <v>1</v>
      </c>
      <c r="R26" s="43">
        <f t="shared" si="1"/>
        <v>25</v>
      </c>
    </row>
    <row r="27" spans="1:18" s="42" customFormat="1" x14ac:dyDescent="0.25">
      <c r="A27" s="40"/>
      <c r="B27" s="40" t="s">
        <v>1827</v>
      </c>
      <c r="C27" s="40" t="s">
        <v>2589</v>
      </c>
      <c r="D27" s="40" t="s">
        <v>2590</v>
      </c>
      <c r="E27" s="40" t="s">
        <v>2591</v>
      </c>
      <c r="F27" s="41" t="s">
        <v>151</v>
      </c>
      <c r="G27" s="41">
        <v>810</v>
      </c>
      <c r="H27" s="41">
        <v>20</v>
      </c>
      <c r="I27" s="41">
        <f t="shared" si="0"/>
        <v>790</v>
      </c>
      <c r="J27" s="40" t="s">
        <v>1884</v>
      </c>
      <c r="K27" s="40" t="s">
        <v>25</v>
      </c>
      <c r="L27" s="40" t="s">
        <v>2521</v>
      </c>
      <c r="M27" s="40"/>
      <c r="N27" s="40"/>
      <c r="O27" s="40"/>
      <c r="P27" s="40"/>
      <c r="Q27" s="41">
        <v>1</v>
      </c>
    </row>
    <row r="28" spans="1:18" s="42" customFormat="1" x14ac:dyDescent="0.25">
      <c r="A28" s="40"/>
      <c r="B28" s="40" t="s">
        <v>1827</v>
      </c>
      <c r="C28" s="40" t="s">
        <v>2592</v>
      </c>
      <c r="D28" s="40" t="s">
        <v>2593</v>
      </c>
      <c r="E28" s="40" t="s">
        <v>2594</v>
      </c>
      <c r="F28" s="40">
        <v>1</v>
      </c>
      <c r="G28" s="41">
        <v>665</v>
      </c>
      <c r="H28" s="41">
        <v>25</v>
      </c>
      <c r="I28" s="41">
        <f t="shared" si="0"/>
        <v>640</v>
      </c>
      <c r="J28" s="40" t="s">
        <v>1884</v>
      </c>
      <c r="K28" s="40" t="s">
        <v>25</v>
      </c>
      <c r="L28" s="40" t="s">
        <v>2521</v>
      </c>
      <c r="M28" s="40"/>
      <c r="N28" s="40"/>
      <c r="O28" s="40"/>
      <c r="P28" s="40"/>
      <c r="Q28" s="41">
        <v>1</v>
      </c>
    </row>
    <row r="29" spans="1:18" s="42" customFormat="1" x14ac:dyDescent="0.25">
      <c r="A29" s="40"/>
      <c r="B29" s="40" t="s">
        <v>1827</v>
      </c>
      <c r="C29" s="40" t="s">
        <v>2595</v>
      </c>
      <c r="D29" s="40" t="s">
        <v>2596</v>
      </c>
      <c r="E29" s="40" t="s">
        <v>2597</v>
      </c>
      <c r="F29" s="40" t="s">
        <v>151</v>
      </c>
      <c r="G29" s="41">
        <v>1680</v>
      </c>
      <c r="H29" s="41">
        <v>20</v>
      </c>
      <c r="I29" s="41">
        <f t="shared" si="0"/>
        <v>1660</v>
      </c>
      <c r="J29" s="40" t="s">
        <v>1884</v>
      </c>
      <c r="K29" s="40" t="s">
        <v>25</v>
      </c>
      <c r="L29" s="40" t="s">
        <v>2521</v>
      </c>
      <c r="M29" s="40"/>
      <c r="N29" s="40"/>
      <c r="O29" s="40"/>
      <c r="P29" s="40"/>
      <c r="Q29" s="41">
        <v>1</v>
      </c>
      <c r="R29" s="43"/>
    </row>
    <row r="30" spans="1:18" s="42" customFormat="1" x14ac:dyDescent="0.25">
      <c r="A30" s="40"/>
      <c r="B30" s="40" t="s">
        <v>1827</v>
      </c>
      <c r="C30" s="40" t="s">
        <v>2598</v>
      </c>
      <c r="D30" s="40" t="s">
        <v>2599</v>
      </c>
      <c r="E30" s="40" t="s">
        <v>2600</v>
      </c>
      <c r="F30" s="41" t="s">
        <v>98</v>
      </c>
      <c r="G30" s="41">
        <v>915</v>
      </c>
      <c r="H30" s="41">
        <v>25</v>
      </c>
      <c r="I30" s="41">
        <f t="shared" si="0"/>
        <v>890</v>
      </c>
      <c r="J30" s="40" t="s">
        <v>1884</v>
      </c>
      <c r="K30" s="40" t="s">
        <v>25</v>
      </c>
      <c r="L30" s="40" t="s">
        <v>2521</v>
      </c>
      <c r="M30" s="40"/>
      <c r="N30" s="40"/>
      <c r="O30" s="40"/>
      <c r="P30" s="40"/>
      <c r="Q30" s="41">
        <v>1</v>
      </c>
      <c r="R30" s="43"/>
    </row>
    <row r="31" spans="1:18" s="42" customFormat="1" x14ac:dyDescent="0.25">
      <c r="A31" s="40"/>
      <c r="B31" s="40" t="s">
        <v>1827</v>
      </c>
      <c r="C31" s="40" t="s">
        <v>2601</v>
      </c>
      <c r="D31" s="40" t="s">
        <v>2602</v>
      </c>
      <c r="E31" s="40" t="s">
        <v>2603</v>
      </c>
      <c r="F31" s="40">
        <v>10</v>
      </c>
      <c r="G31" s="41">
        <v>795</v>
      </c>
      <c r="H31" s="41">
        <v>25</v>
      </c>
      <c r="I31" s="41">
        <f t="shared" si="0"/>
        <v>770</v>
      </c>
      <c r="J31" s="40" t="s">
        <v>1884</v>
      </c>
      <c r="K31" s="40" t="s">
        <v>25</v>
      </c>
      <c r="L31" s="40" t="s">
        <v>2521</v>
      </c>
      <c r="M31" s="40"/>
      <c r="N31" s="40"/>
      <c r="O31" s="40"/>
      <c r="P31" s="40"/>
      <c r="Q31" s="41">
        <v>1</v>
      </c>
    </row>
    <row r="32" spans="1:18" s="42" customFormat="1" x14ac:dyDescent="0.25">
      <c r="A32" s="40"/>
      <c r="B32" s="40" t="s">
        <v>1827</v>
      </c>
      <c r="C32" s="40" t="s">
        <v>2604</v>
      </c>
      <c r="D32" s="40" t="s">
        <v>2605</v>
      </c>
      <c r="E32" s="40" t="s">
        <v>2606</v>
      </c>
      <c r="F32" s="40">
        <v>10</v>
      </c>
      <c r="G32" s="41">
        <v>615</v>
      </c>
      <c r="H32" s="41">
        <v>25</v>
      </c>
      <c r="I32" s="41">
        <f t="shared" si="0"/>
        <v>590</v>
      </c>
      <c r="J32" s="40" t="s">
        <v>1884</v>
      </c>
      <c r="K32" s="40" t="s">
        <v>25</v>
      </c>
      <c r="L32" s="40" t="s">
        <v>2521</v>
      </c>
      <c r="M32" s="40"/>
      <c r="N32" s="40"/>
      <c r="O32" s="40"/>
      <c r="P32" s="40"/>
      <c r="Q32" s="41">
        <v>1</v>
      </c>
    </row>
    <row r="33" spans="1:18" s="49" customFormat="1" x14ac:dyDescent="0.25">
      <c r="A33" s="30"/>
      <c r="B33" s="30" t="s">
        <v>1827</v>
      </c>
      <c r="C33" s="30" t="s">
        <v>2607</v>
      </c>
      <c r="D33" s="30" t="s">
        <v>2608</v>
      </c>
      <c r="E33" s="30" t="s">
        <v>2609</v>
      </c>
      <c r="F33" s="30" t="s">
        <v>23</v>
      </c>
      <c r="G33" s="32">
        <v>870</v>
      </c>
      <c r="H33" s="32">
        <v>0</v>
      </c>
      <c r="I33" s="41">
        <f t="shared" si="0"/>
        <v>870</v>
      </c>
      <c r="J33" s="30" t="s">
        <v>24</v>
      </c>
      <c r="K33" s="30" t="s">
        <v>25</v>
      </c>
      <c r="L33" s="30" t="s">
        <v>2521</v>
      </c>
      <c r="M33" s="3" t="s">
        <v>27</v>
      </c>
      <c r="N33" s="30" t="s">
        <v>28</v>
      </c>
      <c r="O33" s="30"/>
      <c r="P33" s="30" t="s">
        <v>29</v>
      </c>
      <c r="Q33" s="32">
        <v>1</v>
      </c>
      <c r="R33" s="48"/>
    </row>
    <row r="35" spans="1:18" x14ac:dyDescent="0.25">
      <c r="G35">
        <f t="shared" ref="G35:R35" si="2">SUBTOTAL(9,G3:G34)</f>
        <v>18040</v>
      </c>
      <c r="H35">
        <f t="shared" si="2"/>
        <v>810</v>
      </c>
      <c r="I35">
        <f t="shared" si="2"/>
        <v>17230</v>
      </c>
      <c r="J35">
        <f t="shared" si="2"/>
        <v>0</v>
      </c>
      <c r="K35">
        <f t="shared" si="2"/>
        <v>0</v>
      </c>
      <c r="L35">
        <f t="shared" si="2"/>
        <v>0</v>
      </c>
      <c r="M35">
        <f t="shared" si="2"/>
        <v>0</v>
      </c>
      <c r="N35">
        <f t="shared" si="2"/>
        <v>0</v>
      </c>
      <c r="O35">
        <f t="shared" si="2"/>
        <v>0</v>
      </c>
      <c r="P35">
        <f t="shared" si="2"/>
        <v>0</v>
      </c>
      <c r="Q35">
        <f t="shared" si="2"/>
        <v>31</v>
      </c>
      <c r="R35">
        <f t="shared" si="2"/>
        <v>130</v>
      </c>
    </row>
    <row r="36" spans="1:18" x14ac:dyDescent="0.25">
      <c r="I36" s="29">
        <v>-870</v>
      </c>
      <c r="J36" s="22" t="s">
        <v>2610</v>
      </c>
    </row>
    <row r="37" spans="1:18" x14ac:dyDescent="0.25">
      <c r="I37" s="29"/>
      <c r="J37" s="22"/>
    </row>
    <row r="38" spans="1:18" x14ac:dyDescent="0.25">
      <c r="I38" s="29"/>
      <c r="J38" s="22"/>
    </row>
    <row r="39" spans="1:18" ht="18.75" customHeight="1" x14ac:dyDescent="0.3">
      <c r="H39" s="7" t="s">
        <v>2516</v>
      </c>
      <c r="I39" s="8" t="s">
        <v>313</v>
      </c>
      <c r="J39" s="9" t="s">
        <v>314</v>
      </c>
    </row>
    <row r="40" spans="1:18" ht="15.75" customHeight="1" x14ac:dyDescent="0.25">
      <c r="H40" s="10" t="s">
        <v>315</v>
      </c>
      <c r="I40" s="38">
        <f>SUM(I34:I38)</f>
        <v>16360</v>
      </c>
      <c r="J40" s="11">
        <f>Q35</f>
        <v>31</v>
      </c>
    </row>
    <row r="41" spans="1:18" x14ac:dyDescent="0.25">
      <c r="H41" s="12" t="s">
        <v>316</v>
      </c>
      <c r="I41" s="13">
        <f>R35</f>
        <v>130</v>
      </c>
      <c r="J41" s="14"/>
    </row>
    <row r="42" spans="1:18" x14ac:dyDescent="0.25">
      <c r="H42" s="12" t="s">
        <v>317</v>
      </c>
      <c r="I42" s="13">
        <f>S35</f>
        <v>0</v>
      </c>
      <c r="J42" s="14"/>
    </row>
    <row r="43" spans="1:18" x14ac:dyDescent="0.25">
      <c r="H43" s="12" t="s">
        <v>318</v>
      </c>
      <c r="I43" s="13">
        <f>T35</f>
        <v>0</v>
      </c>
      <c r="J43" s="14"/>
    </row>
    <row r="44" spans="1:18" x14ac:dyDescent="0.25">
      <c r="H44" s="12" t="s">
        <v>319</v>
      </c>
      <c r="I44" s="13">
        <f>U35</f>
        <v>0</v>
      </c>
      <c r="J44" s="14"/>
    </row>
    <row r="45" spans="1:18" ht="15.75" customHeight="1" x14ac:dyDescent="0.25">
      <c r="H45" s="15" t="s">
        <v>320</v>
      </c>
      <c r="I45" s="16"/>
      <c r="J45" s="16"/>
    </row>
    <row r="46" spans="1:18" ht="15.75" customHeight="1" x14ac:dyDescent="0.25">
      <c r="H46" s="17" t="s">
        <v>321</v>
      </c>
      <c r="I46" s="16"/>
      <c r="J46" s="16"/>
    </row>
    <row r="47" spans="1:18" ht="21" customHeight="1" x14ac:dyDescent="0.35">
      <c r="H47" s="18" t="s">
        <v>322</v>
      </c>
      <c r="I47" s="39">
        <f>SUM(I40:I46)</f>
        <v>16490</v>
      </c>
      <c r="J47" s="19">
        <f>SUM(J40:J44)</f>
        <v>31</v>
      </c>
    </row>
  </sheetData>
  <autoFilter ref="A2:P33" xr:uid="{00000000-0009-0000-0000-000012000000}">
    <sortState xmlns:xlrd2="http://schemas.microsoft.com/office/spreadsheetml/2017/richdata2" ref="A3:P33">
      <sortCondition ref="J2:J33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83EC-7E80-4670-99CC-FCDF44F8A892}">
  <dimension ref="A1:R51"/>
  <sheetViews>
    <sheetView topLeftCell="A27" zoomScale="80" zoomScaleNormal="80" workbookViewId="0">
      <selection activeCell="I37" sqref="I37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2.140625" bestFit="1" customWidth="1"/>
    <col min="7" max="7" width="9.140625" customWidth="1"/>
    <col min="8" max="8" width="5.5703125" customWidth="1"/>
    <col min="9" max="9" width="10.42578125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736</v>
      </c>
      <c r="C1" t="s">
        <v>2612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"/>
    </row>
    <row r="3" spans="1:18" s="42" customFormat="1" x14ac:dyDescent="0.25">
      <c r="A3" s="40"/>
      <c r="B3" s="40" t="s">
        <v>1827</v>
      </c>
      <c r="C3" s="40" t="s">
        <v>2613</v>
      </c>
      <c r="D3" s="40" t="s">
        <v>2614</v>
      </c>
      <c r="E3" s="40" t="s">
        <v>2615</v>
      </c>
      <c r="F3" s="41">
        <v>9</v>
      </c>
      <c r="G3" s="41">
        <v>700</v>
      </c>
      <c r="H3" s="41">
        <v>30</v>
      </c>
      <c r="I3" s="41">
        <f>G3-H3</f>
        <v>670</v>
      </c>
      <c r="J3" s="40" t="s">
        <v>1831</v>
      </c>
      <c r="K3" s="40" t="s">
        <v>25</v>
      </c>
      <c r="L3" s="40" t="s">
        <v>2616</v>
      </c>
      <c r="M3" s="40"/>
      <c r="N3" s="40"/>
      <c r="O3" s="40"/>
      <c r="P3" s="40"/>
      <c r="Q3" s="41">
        <v>1</v>
      </c>
      <c r="R3" s="43"/>
    </row>
    <row r="4" spans="1:18" s="42" customFormat="1" x14ac:dyDescent="0.25">
      <c r="A4" s="40" t="s">
        <v>1833</v>
      </c>
      <c r="B4" s="40" t="s">
        <v>1827</v>
      </c>
      <c r="C4" s="40" t="s">
        <v>2292</v>
      </c>
      <c r="D4" s="40"/>
      <c r="E4" s="40" t="s">
        <v>1841</v>
      </c>
      <c r="F4" s="41">
        <v>6</v>
      </c>
      <c r="G4" s="41">
        <v>0</v>
      </c>
      <c r="H4" s="41">
        <v>30</v>
      </c>
      <c r="I4" s="41">
        <f t="shared" ref="I4:I37" si="0">G4-H4</f>
        <v>-30</v>
      </c>
      <c r="J4" s="40" t="s">
        <v>2617</v>
      </c>
      <c r="K4" s="40" t="s">
        <v>25</v>
      </c>
      <c r="L4" s="40" t="s">
        <v>2616</v>
      </c>
      <c r="M4" s="40"/>
      <c r="N4" s="40"/>
      <c r="O4" s="40"/>
      <c r="P4" s="40"/>
      <c r="Q4" s="41">
        <v>1</v>
      </c>
      <c r="R4" s="43">
        <f>H4</f>
        <v>30</v>
      </c>
    </row>
    <row r="5" spans="1:18" s="42" customFormat="1" x14ac:dyDescent="0.25">
      <c r="A5" s="40"/>
      <c r="B5" s="40" t="s">
        <v>1827</v>
      </c>
      <c r="C5" s="40" t="s">
        <v>2618</v>
      </c>
      <c r="D5" s="40" t="s">
        <v>2619</v>
      </c>
      <c r="E5" s="40" t="s">
        <v>2620</v>
      </c>
      <c r="F5" s="41">
        <v>6</v>
      </c>
      <c r="G5" s="41">
        <v>885</v>
      </c>
      <c r="H5" s="41">
        <v>25</v>
      </c>
      <c r="I5" s="41">
        <f t="shared" si="0"/>
        <v>860</v>
      </c>
      <c r="J5" s="40" t="s">
        <v>2617</v>
      </c>
      <c r="K5" s="40" t="s">
        <v>25</v>
      </c>
      <c r="L5" s="40" t="s">
        <v>2616</v>
      </c>
      <c r="M5" s="40"/>
      <c r="N5" s="40"/>
      <c r="O5" s="40"/>
      <c r="P5" s="40"/>
      <c r="Q5" s="41">
        <v>1</v>
      </c>
      <c r="R5" s="43"/>
    </row>
    <row r="6" spans="1:18" s="42" customFormat="1" x14ac:dyDescent="0.25">
      <c r="A6" s="40"/>
      <c r="B6" s="40" t="s">
        <v>1827</v>
      </c>
      <c r="C6" s="40" t="s">
        <v>2621</v>
      </c>
      <c r="D6" s="40" t="s">
        <v>2622</v>
      </c>
      <c r="E6" s="40" t="s">
        <v>2623</v>
      </c>
      <c r="F6" s="40">
        <v>8</v>
      </c>
      <c r="G6" s="41">
        <v>935</v>
      </c>
      <c r="H6" s="41">
        <v>25</v>
      </c>
      <c r="I6" s="41">
        <f t="shared" si="0"/>
        <v>910</v>
      </c>
      <c r="J6" s="40" t="s">
        <v>2617</v>
      </c>
      <c r="K6" s="40" t="s">
        <v>25</v>
      </c>
      <c r="L6" s="40" t="s">
        <v>2616</v>
      </c>
      <c r="M6" s="40"/>
      <c r="N6" s="40"/>
      <c r="O6" s="40"/>
      <c r="P6" s="40"/>
      <c r="Q6" s="41">
        <v>1</v>
      </c>
      <c r="R6" s="43"/>
    </row>
    <row r="7" spans="1:18" s="42" customFormat="1" x14ac:dyDescent="0.25">
      <c r="A7" s="40"/>
      <c r="B7" s="40" t="s">
        <v>1827</v>
      </c>
      <c r="C7" s="40" t="s">
        <v>2624</v>
      </c>
      <c r="D7" s="40" t="s">
        <v>2625</v>
      </c>
      <c r="E7" s="40" t="s">
        <v>2626</v>
      </c>
      <c r="F7" s="41">
        <v>6</v>
      </c>
      <c r="G7" s="41">
        <v>845</v>
      </c>
      <c r="H7" s="41">
        <v>25</v>
      </c>
      <c r="I7" s="41">
        <f t="shared" si="0"/>
        <v>820</v>
      </c>
      <c r="J7" s="40" t="s">
        <v>2617</v>
      </c>
      <c r="K7" s="40" t="s">
        <v>25</v>
      </c>
      <c r="L7" s="40" t="s">
        <v>2616</v>
      </c>
      <c r="M7" s="40"/>
      <c r="N7" s="40"/>
      <c r="O7" s="40"/>
      <c r="P7" s="40"/>
      <c r="Q7" s="41">
        <v>1</v>
      </c>
    </row>
    <row r="8" spans="1:18" s="42" customFormat="1" x14ac:dyDescent="0.25">
      <c r="A8" s="40"/>
      <c r="B8" s="40" t="s">
        <v>1827</v>
      </c>
      <c r="C8" s="40" t="s">
        <v>2627</v>
      </c>
      <c r="D8" s="40" t="s">
        <v>2628</v>
      </c>
      <c r="E8" s="40" t="s">
        <v>2629</v>
      </c>
      <c r="F8" s="41">
        <v>7</v>
      </c>
      <c r="G8" s="41">
        <v>620</v>
      </c>
      <c r="H8" s="41">
        <v>30</v>
      </c>
      <c r="I8" s="41">
        <f t="shared" si="0"/>
        <v>590</v>
      </c>
      <c r="J8" s="40" t="s">
        <v>2617</v>
      </c>
      <c r="K8" s="40" t="s">
        <v>25</v>
      </c>
      <c r="L8" s="40" t="s">
        <v>2616</v>
      </c>
      <c r="M8" s="40"/>
      <c r="N8" s="40"/>
      <c r="O8" s="40"/>
      <c r="P8" s="40"/>
      <c r="Q8" s="41">
        <v>1</v>
      </c>
    </row>
    <row r="9" spans="1:18" s="47" customFormat="1" x14ac:dyDescent="0.25">
      <c r="A9" s="44"/>
      <c r="B9" s="44" t="s">
        <v>1827</v>
      </c>
      <c r="C9" s="44" t="s">
        <v>2265</v>
      </c>
      <c r="D9" s="44" t="s">
        <v>2630</v>
      </c>
      <c r="E9" s="44" t="s">
        <v>2631</v>
      </c>
      <c r="F9" s="45">
        <v>12</v>
      </c>
      <c r="G9" s="45">
        <v>30</v>
      </c>
      <c r="H9" s="45">
        <v>30</v>
      </c>
      <c r="I9" s="45">
        <f t="shared" si="0"/>
        <v>0</v>
      </c>
      <c r="J9" s="44" t="s">
        <v>2617</v>
      </c>
      <c r="K9" s="44" t="s">
        <v>25</v>
      </c>
      <c r="L9" s="44" t="s">
        <v>2616</v>
      </c>
      <c r="M9" s="44" t="s">
        <v>472</v>
      </c>
      <c r="N9" s="44"/>
      <c r="O9" s="44"/>
      <c r="P9" s="44"/>
      <c r="Q9" s="45">
        <v>1</v>
      </c>
    </row>
    <row r="10" spans="1:18" s="42" customFormat="1" x14ac:dyDescent="0.25">
      <c r="A10" s="40"/>
      <c r="B10" s="40" t="s">
        <v>1827</v>
      </c>
      <c r="C10" s="40" t="s">
        <v>2632</v>
      </c>
      <c r="D10" s="40" t="s">
        <v>2633</v>
      </c>
      <c r="E10" s="40" t="s">
        <v>2634</v>
      </c>
      <c r="F10" s="41" t="s">
        <v>444</v>
      </c>
      <c r="G10" s="41">
        <v>925</v>
      </c>
      <c r="H10" s="41">
        <v>35</v>
      </c>
      <c r="I10" s="41">
        <f t="shared" si="0"/>
        <v>890</v>
      </c>
      <c r="J10" s="40" t="s">
        <v>2617</v>
      </c>
      <c r="K10" s="40" t="s">
        <v>25</v>
      </c>
      <c r="L10" s="40" t="s">
        <v>2616</v>
      </c>
      <c r="M10" s="40"/>
      <c r="N10" s="40"/>
      <c r="O10" s="40"/>
      <c r="P10" s="40"/>
      <c r="Q10" s="41">
        <v>1</v>
      </c>
    </row>
    <row r="11" spans="1:18" s="42" customFormat="1" x14ac:dyDescent="0.25">
      <c r="A11" s="40"/>
      <c r="B11" s="40" t="s">
        <v>1827</v>
      </c>
      <c r="C11" s="40" t="s">
        <v>2635</v>
      </c>
      <c r="D11" s="40" t="s">
        <v>2636</v>
      </c>
      <c r="E11" s="40" t="s">
        <v>2637</v>
      </c>
      <c r="F11" s="40">
        <v>7</v>
      </c>
      <c r="G11" s="41">
        <v>1580</v>
      </c>
      <c r="H11" s="41">
        <v>30</v>
      </c>
      <c r="I11" s="41">
        <f t="shared" si="0"/>
        <v>1550</v>
      </c>
      <c r="J11" s="40" t="s">
        <v>2617</v>
      </c>
      <c r="K11" s="40" t="s">
        <v>25</v>
      </c>
      <c r="L11" s="40" t="s">
        <v>2616</v>
      </c>
      <c r="M11" s="40"/>
      <c r="N11" s="40"/>
      <c r="O11" s="40"/>
      <c r="P11" s="40"/>
      <c r="Q11" s="41">
        <v>1</v>
      </c>
    </row>
    <row r="12" spans="1:18" s="42" customFormat="1" x14ac:dyDescent="0.25">
      <c r="A12" s="40"/>
      <c r="B12" s="40" t="s">
        <v>1827</v>
      </c>
      <c r="C12" s="40" t="s">
        <v>2638</v>
      </c>
      <c r="D12" s="40" t="s">
        <v>2639</v>
      </c>
      <c r="E12" s="40" t="s">
        <v>2149</v>
      </c>
      <c r="F12" s="40" t="s">
        <v>1853</v>
      </c>
      <c r="G12" s="41">
        <v>620</v>
      </c>
      <c r="H12" s="41">
        <v>30</v>
      </c>
      <c r="I12" s="41">
        <f t="shared" si="0"/>
        <v>590</v>
      </c>
      <c r="J12" s="40" t="s">
        <v>2617</v>
      </c>
      <c r="K12" s="40" t="s">
        <v>25</v>
      </c>
      <c r="L12" s="40" t="s">
        <v>2616</v>
      </c>
      <c r="M12" s="40"/>
      <c r="N12" s="40"/>
      <c r="O12" s="40"/>
      <c r="P12" s="40"/>
      <c r="Q12" s="41">
        <v>1</v>
      </c>
      <c r="R12" s="43"/>
    </row>
    <row r="13" spans="1:18" s="42" customFormat="1" x14ac:dyDescent="0.25">
      <c r="A13" s="40"/>
      <c r="B13" s="40" t="s">
        <v>1827</v>
      </c>
      <c r="C13" s="40" t="s">
        <v>2640</v>
      </c>
      <c r="D13" s="40" t="s">
        <v>2641</v>
      </c>
      <c r="E13" s="40" t="s">
        <v>2642</v>
      </c>
      <c r="F13" s="41" t="s">
        <v>607</v>
      </c>
      <c r="G13" s="41">
        <v>785</v>
      </c>
      <c r="H13" s="41">
        <v>25</v>
      </c>
      <c r="I13" s="41">
        <f t="shared" si="0"/>
        <v>760</v>
      </c>
      <c r="J13" s="40" t="s">
        <v>2617</v>
      </c>
      <c r="K13" s="40" t="s">
        <v>25</v>
      </c>
      <c r="L13" s="40" t="s">
        <v>2616</v>
      </c>
      <c r="M13" s="40"/>
      <c r="N13" s="40"/>
      <c r="O13" s="40"/>
      <c r="P13" s="40"/>
      <c r="Q13" s="41">
        <v>1</v>
      </c>
      <c r="R13" s="43"/>
    </row>
    <row r="14" spans="1:18" s="42" customFormat="1" x14ac:dyDescent="0.25">
      <c r="A14" s="40"/>
      <c r="B14" s="40" t="s">
        <v>1827</v>
      </c>
      <c r="C14" s="40" t="s">
        <v>2643</v>
      </c>
      <c r="D14" s="40" t="s">
        <v>2644</v>
      </c>
      <c r="E14" s="40" t="s">
        <v>2645</v>
      </c>
      <c r="F14" s="40">
        <v>7</v>
      </c>
      <c r="G14" s="41">
        <v>620</v>
      </c>
      <c r="H14" s="41">
        <v>30</v>
      </c>
      <c r="I14" s="41">
        <f t="shared" si="0"/>
        <v>590</v>
      </c>
      <c r="J14" s="40" t="s">
        <v>2617</v>
      </c>
      <c r="K14" s="40" t="s">
        <v>25</v>
      </c>
      <c r="L14" s="40" t="s">
        <v>2616</v>
      </c>
      <c r="M14" s="40"/>
      <c r="N14" s="40"/>
      <c r="O14" s="40"/>
      <c r="P14" s="40"/>
      <c r="Q14" s="41">
        <v>1</v>
      </c>
    </row>
    <row r="15" spans="1:18" s="42" customFormat="1" x14ac:dyDescent="0.25">
      <c r="A15" s="40"/>
      <c r="B15" s="40" t="s">
        <v>1827</v>
      </c>
      <c r="C15" s="40" t="s">
        <v>2646</v>
      </c>
      <c r="D15" s="40" t="s">
        <v>2647</v>
      </c>
      <c r="E15" s="40" t="s">
        <v>2648</v>
      </c>
      <c r="F15" s="40" t="s">
        <v>607</v>
      </c>
      <c r="G15" s="41">
        <v>845</v>
      </c>
      <c r="H15" s="41">
        <v>25</v>
      </c>
      <c r="I15" s="41">
        <f t="shared" si="0"/>
        <v>820</v>
      </c>
      <c r="J15" s="40" t="s">
        <v>2617</v>
      </c>
      <c r="K15" s="40" t="s">
        <v>25</v>
      </c>
      <c r="L15" s="40" t="s">
        <v>2616</v>
      </c>
      <c r="M15" s="40"/>
      <c r="N15" s="40"/>
      <c r="O15" s="40"/>
      <c r="P15" s="40"/>
      <c r="Q15" s="41">
        <v>1</v>
      </c>
    </row>
    <row r="16" spans="1:18" s="42" customFormat="1" x14ac:dyDescent="0.25">
      <c r="A16" s="40"/>
      <c r="B16" s="40" t="s">
        <v>1827</v>
      </c>
      <c r="C16" s="40" t="s">
        <v>2649</v>
      </c>
      <c r="D16" s="40" t="s">
        <v>2650</v>
      </c>
      <c r="E16" s="40" t="s">
        <v>2651</v>
      </c>
      <c r="F16" s="40">
        <v>7</v>
      </c>
      <c r="G16" s="41">
        <v>700</v>
      </c>
      <c r="H16" s="41">
        <v>30</v>
      </c>
      <c r="I16" s="41">
        <f t="shared" si="0"/>
        <v>670</v>
      </c>
      <c r="J16" s="40" t="s">
        <v>2617</v>
      </c>
      <c r="K16" s="40" t="s">
        <v>25</v>
      </c>
      <c r="L16" s="40" t="s">
        <v>2616</v>
      </c>
      <c r="M16" s="40"/>
      <c r="N16" s="40"/>
      <c r="O16" s="40"/>
      <c r="P16" s="40"/>
      <c r="Q16" s="41">
        <v>1</v>
      </c>
      <c r="R16" s="43"/>
    </row>
    <row r="17" spans="1:18" s="42" customFormat="1" x14ac:dyDescent="0.25">
      <c r="A17" s="40"/>
      <c r="B17" s="40" t="s">
        <v>1827</v>
      </c>
      <c r="C17" s="40" t="s">
        <v>2652</v>
      </c>
      <c r="D17" s="40" t="s">
        <v>2653</v>
      </c>
      <c r="E17" s="40" t="s">
        <v>2654</v>
      </c>
      <c r="F17" s="41" t="s">
        <v>607</v>
      </c>
      <c r="G17" s="41">
        <v>915</v>
      </c>
      <c r="H17" s="41">
        <v>25</v>
      </c>
      <c r="I17" s="41">
        <f t="shared" si="0"/>
        <v>890</v>
      </c>
      <c r="J17" s="40" t="s">
        <v>2617</v>
      </c>
      <c r="K17" s="40" t="s">
        <v>25</v>
      </c>
      <c r="L17" s="40" t="s">
        <v>2616</v>
      </c>
      <c r="M17" s="40"/>
      <c r="N17" s="40"/>
      <c r="O17" s="40"/>
      <c r="P17" s="40"/>
      <c r="Q17" s="41">
        <v>1</v>
      </c>
    </row>
    <row r="18" spans="1:18" s="42" customFormat="1" x14ac:dyDescent="0.25">
      <c r="A18" s="40"/>
      <c r="B18" s="40" t="s">
        <v>1827</v>
      </c>
      <c r="C18" s="40" t="s">
        <v>2655</v>
      </c>
      <c r="D18" s="40" t="s">
        <v>2656</v>
      </c>
      <c r="E18" s="40" t="s">
        <v>2657</v>
      </c>
      <c r="F18" s="41">
        <v>12</v>
      </c>
      <c r="G18" s="41">
        <v>1010</v>
      </c>
      <c r="H18" s="41">
        <v>30</v>
      </c>
      <c r="I18" s="41">
        <f t="shared" si="0"/>
        <v>980</v>
      </c>
      <c r="J18" s="40" t="s">
        <v>2617</v>
      </c>
      <c r="K18" s="40" t="s">
        <v>25</v>
      </c>
      <c r="L18" s="40" t="s">
        <v>2616</v>
      </c>
      <c r="M18" s="40"/>
      <c r="N18" s="40"/>
      <c r="O18" s="40"/>
      <c r="P18" s="40"/>
      <c r="Q18" s="41">
        <v>1</v>
      </c>
      <c r="R18" s="43"/>
    </row>
    <row r="19" spans="1:18" s="42" customFormat="1" x14ac:dyDescent="0.25">
      <c r="A19" s="40"/>
      <c r="B19" s="40" t="s">
        <v>1827</v>
      </c>
      <c r="C19" s="40" t="s">
        <v>2658</v>
      </c>
      <c r="D19" s="40" t="s">
        <v>2659</v>
      </c>
      <c r="E19" s="40" t="s">
        <v>2660</v>
      </c>
      <c r="F19" s="41">
        <v>1</v>
      </c>
      <c r="G19" s="41">
        <v>700</v>
      </c>
      <c r="H19" s="41">
        <v>30</v>
      </c>
      <c r="I19" s="41">
        <f t="shared" si="0"/>
        <v>670</v>
      </c>
      <c r="J19" s="40" t="s">
        <v>2617</v>
      </c>
      <c r="K19" s="40" t="s">
        <v>25</v>
      </c>
      <c r="L19" s="40" t="s">
        <v>2616</v>
      </c>
      <c r="M19" s="40"/>
      <c r="N19" s="40"/>
      <c r="O19" s="40"/>
      <c r="P19" s="40"/>
      <c r="Q19" s="41">
        <v>1</v>
      </c>
      <c r="R19" s="43"/>
    </row>
    <row r="20" spans="1:18" s="42" customFormat="1" x14ac:dyDescent="0.25">
      <c r="A20" s="40"/>
      <c r="B20" s="40" t="s">
        <v>1827</v>
      </c>
      <c r="C20" s="40" t="s">
        <v>2661</v>
      </c>
      <c r="D20" s="40" t="s">
        <v>2662</v>
      </c>
      <c r="E20" s="40" t="s">
        <v>2663</v>
      </c>
      <c r="F20" s="41">
        <v>8</v>
      </c>
      <c r="G20" s="41">
        <v>845</v>
      </c>
      <c r="H20" s="41">
        <v>25</v>
      </c>
      <c r="I20" s="41">
        <f t="shared" si="0"/>
        <v>820</v>
      </c>
      <c r="J20" s="40" t="s">
        <v>2617</v>
      </c>
      <c r="K20" s="40" t="s">
        <v>25</v>
      </c>
      <c r="L20" s="40" t="s">
        <v>2616</v>
      </c>
      <c r="M20" s="40"/>
      <c r="N20" s="40"/>
      <c r="O20" s="40"/>
      <c r="P20" s="40"/>
      <c r="Q20" s="41">
        <v>1</v>
      </c>
      <c r="R20" s="43"/>
    </row>
    <row r="21" spans="1:18" s="42" customFormat="1" x14ac:dyDescent="0.25">
      <c r="A21" s="40"/>
      <c r="B21" s="40" t="s">
        <v>1827</v>
      </c>
      <c r="C21" s="40" t="s">
        <v>2664</v>
      </c>
      <c r="D21" s="40" t="s">
        <v>2665</v>
      </c>
      <c r="E21" s="40" t="s">
        <v>2666</v>
      </c>
      <c r="F21" s="41" t="s">
        <v>103</v>
      </c>
      <c r="G21" s="41">
        <v>920</v>
      </c>
      <c r="H21" s="41">
        <v>30</v>
      </c>
      <c r="I21" s="41">
        <f t="shared" si="0"/>
        <v>890</v>
      </c>
      <c r="J21" s="40" t="s">
        <v>25</v>
      </c>
      <c r="K21" s="40" t="s">
        <v>25</v>
      </c>
      <c r="L21" s="40" t="s">
        <v>2616</v>
      </c>
      <c r="M21" s="40"/>
      <c r="N21" s="40"/>
      <c r="O21" s="40"/>
      <c r="P21" s="40"/>
      <c r="Q21" s="41">
        <v>1</v>
      </c>
    </row>
    <row r="22" spans="1:18" s="42" customFormat="1" x14ac:dyDescent="0.25">
      <c r="A22" s="40"/>
      <c r="B22" s="40" t="s">
        <v>1827</v>
      </c>
      <c r="C22" s="40" t="s">
        <v>2667</v>
      </c>
      <c r="D22" s="40" t="s">
        <v>2668</v>
      </c>
      <c r="E22" s="40" t="s">
        <v>2669</v>
      </c>
      <c r="F22" s="41" t="s">
        <v>70</v>
      </c>
      <c r="G22" s="41">
        <v>695</v>
      </c>
      <c r="H22" s="41">
        <v>25</v>
      </c>
      <c r="I22" s="41">
        <f t="shared" si="0"/>
        <v>670</v>
      </c>
      <c r="J22" s="40" t="s">
        <v>25</v>
      </c>
      <c r="K22" s="40" t="s">
        <v>25</v>
      </c>
      <c r="L22" s="40" t="s">
        <v>2616</v>
      </c>
      <c r="M22" s="40"/>
      <c r="N22" s="40"/>
      <c r="O22" s="40"/>
      <c r="P22" s="40"/>
      <c r="Q22" s="41">
        <v>1</v>
      </c>
      <c r="R22" s="43"/>
    </row>
    <row r="23" spans="1:18" s="42" customFormat="1" x14ac:dyDescent="0.25">
      <c r="A23" s="40"/>
      <c r="B23" s="40" t="s">
        <v>1827</v>
      </c>
      <c r="C23" s="40" t="s">
        <v>2670</v>
      </c>
      <c r="D23" s="40" t="s">
        <v>2671</v>
      </c>
      <c r="E23" s="40" t="s">
        <v>2672</v>
      </c>
      <c r="F23" s="40" t="s">
        <v>58</v>
      </c>
      <c r="G23" s="41">
        <v>840</v>
      </c>
      <c r="H23" s="41">
        <v>20</v>
      </c>
      <c r="I23" s="41">
        <f t="shared" si="0"/>
        <v>820</v>
      </c>
      <c r="J23" s="40" t="s">
        <v>25</v>
      </c>
      <c r="K23" s="40" t="s">
        <v>25</v>
      </c>
      <c r="L23" s="40" t="s">
        <v>2616</v>
      </c>
      <c r="M23" s="40"/>
      <c r="N23" s="40"/>
      <c r="O23" s="40"/>
      <c r="P23" s="40"/>
      <c r="Q23" s="41">
        <v>1</v>
      </c>
      <c r="R23" s="43"/>
    </row>
    <row r="24" spans="1:18" s="42" customFormat="1" x14ac:dyDescent="0.25">
      <c r="A24" s="40"/>
      <c r="B24" s="40" t="s">
        <v>1827</v>
      </c>
      <c r="C24" s="40" t="s">
        <v>2673</v>
      </c>
      <c r="D24" s="40" t="s">
        <v>2674</v>
      </c>
      <c r="E24" s="40" t="s">
        <v>2675</v>
      </c>
      <c r="F24" s="41" t="s">
        <v>70</v>
      </c>
      <c r="G24" s="41">
        <v>695</v>
      </c>
      <c r="H24" s="41">
        <v>25</v>
      </c>
      <c r="I24" s="41">
        <f t="shared" si="0"/>
        <v>670</v>
      </c>
      <c r="J24" s="40" t="s">
        <v>25</v>
      </c>
      <c r="K24" s="40" t="s">
        <v>25</v>
      </c>
      <c r="L24" s="40" t="s">
        <v>2616</v>
      </c>
      <c r="M24" s="40"/>
      <c r="N24" s="40"/>
      <c r="O24" s="40"/>
      <c r="P24" s="40"/>
      <c r="Q24" s="41">
        <v>1</v>
      </c>
      <c r="R24" s="43"/>
    </row>
    <row r="25" spans="1:18" s="42" customFormat="1" x14ac:dyDescent="0.25">
      <c r="A25" s="40"/>
      <c r="B25" s="40" t="s">
        <v>1827</v>
      </c>
      <c r="C25" s="40" t="s">
        <v>2676</v>
      </c>
      <c r="D25" s="40" t="s">
        <v>2677</v>
      </c>
      <c r="E25" s="40" t="s">
        <v>2678</v>
      </c>
      <c r="F25" s="41" t="s">
        <v>70</v>
      </c>
      <c r="G25" s="41">
        <v>845</v>
      </c>
      <c r="H25" s="41">
        <v>25</v>
      </c>
      <c r="I25" s="41">
        <f t="shared" si="0"/>
        <v>820</v>
      </c>
      <c r="J25" s="40" t="s">
        <v>25</v>
      </c>
      <c r="K25" s="40" t="s">
        <v>25</v>
      </c>
      <c r="L25" s="40" t="s">
        <v>2616</v>
      </c>
      <c r="M25" s="40"/>
      <c r="N25" s="40"/>
      <c r="O25" s="40"/>
      <c r="P25" s="40"/>
      <c r="Q25" s="41">
        <v>1</v>
      </c>
      <c r="R25" s="43"/>
    </row>
    <row r="26" spans="1:18" s="42" customFormat="1" x14ac:dyDescent="0.25">
      <c r="A26" s="40"/>
      <c r="B26" s="40" t="s">
        <v>1827</v>
      </c>
      <c r="C26" s="40" t="s">
        <v>2679</v>
      </c>
      <c r="D26" s="40" t="s">
        <v>2680</v>
      </c>
      <c r="E26" s="40" t="s">
        <v>2681</v>
      </c>
      <c r="F26" s="41" t="s">
        <v>98</v>
      </c>
      <c r="G26" s="41">
        <v>615</v>
      </c>
      <c r="H26" s="41">
        <v>25</v>
      </c>
      <c r="I26" s="41">
        <f t="shared" si="0"/>
        <v>590</v>
      </c>
      <c r="J26" s="40" t="s">
        <v>25</v>
      </c>
      <c r="K26" s="40" t="s">
        <v>25</v>
      </c>
      <c r="L26" s="40" t="s">
        <v>2616</v>
      </c>
      <c r="M26" s="40"/>
      <c r="N26" s="40"/>
      <c r="O26" s="40"/>
      <c r="P26" s="40"/>
      <c r="Q26" s="41">
        <v>1</v>
      </c>
      <c r="R26" s="43"/>
    </row>
    <row r="27" spans="1:18" s="42" customFormat="1" x14ac:dyDescent="0.25">
      <c r="A27" s="40" t="s">
        <v>1833</v>
      </c>
      <c r="B27" s="40" t="s">
        <v>1827</v>
      </c>
      <c r="C27" s="40" t="s">
        <v>2409</v>
      </c>
      <c r="D27" s="40"/>
      <c r="E27" s="40" t="s">
        <v>2410</v>
      </c>
      <c r="F27" s="41" t="s">
        <v>98</v>
      </c>
      <c r="G27" s="41">
        <v>0</v>
      </c>
      <c r="H27" s="41">
        <v>30</v>
      </c>
      <c r="I27" s="41">
        <f t="shared" si="0"/>
        <v>-30</v>
      </c>
      <c r="J27" s="40" t="s">
        <v>1884</v>
      </c>
      <c r="K27" s="40" t="s">
        <v>25</v>
      </c>
      <c r="L27" s="40" t="s">
        <v>2616</v>
      </c>
      <c r="M27" s="40"/>
      <c r="N27" s="40"/>
      <c r="O27" s="40"/>
      <c r="P27" s="40"/>
      <c r="Q27" s="41">
        <v>1</v>
      </c>
      <c r="R27" s="43">
        <f>H27</f>
        <v>30</v>
      </c>
    </row>
    <row r="28" spans="1:18" s="42" customFormat="1" x14ac:dyDescent="0.25">
      <c r="A28" s="40" t="s">
        <v>1833</v>
      </c>
      <c r="B28" s="40" t="s">
        <v>1827</v>
      </c>
      <c r="C28" s="40" t="s">
        <v>2682</v>
      </c>
      <c r="D28" s="40"/>
      <c r="E28" s="40" t="s">
        <v>2683</v>
      </c>
      <c r="F28" s="40" t="s">
        <v>98</v>
      </c>
      <c r="G28" s="41">
        <v>820</v>
      </c>
      <c r="H28" s="41">
        <v>30</v>
      </c>
      <c r="I28" s="41">
        <f t="shared" si="0"/>
        <v>790</v>
      </c>
      <c r="J28" s="40" t="s">
        <v>1884</v>
      </c>
      <c r="K28" s="40" t="s">
        <v>25</v>
      </c>
      <c r="L28" s="40" t="s">
        <v>2616</v>
      </c>
      <c r="M28" s="40"/>
      <c r="N28" s="40"/>
      <c r="O28" s="40"/>
      <c r="P28" s="40"/>
      <c r="Q28" s="41">
        <v>1</v>
      </c>
    </row>
    <row r="29" spans="1:18" s="42" customFormat="1" x14ac:dyDescent="0.25">
      <c r="A29" s="40" t="s">
        <v>1833</v>
      </c>
      <c r="B29" s="40" t="s">
        <v>1827</v>
      </c>
      <c r="C29" s="40" t="s">
        <v>2684</v>
      </c>
      <c r="D29" s="40"/>
      <c r="E29" s="40" t="s">
        <v>2685</v>
      </c>
      <c r="F29" s="41">
        <v>3</v>
      </c>
      <c r="G29" s="41">
        <v>0</v>
      </c>
      <c r="H29" s="41">
        <v>35</v>
      </c>
      <c r="I29" s="41">
        <f t="shared" si="0"/>
        <v>-35</v>
      </c>
      <c r="J29" s="40" t="s">
        <v>1884</v>
      </c>
      <c r="K29" s="40" t="s">
        <v>25</v>
      </c>
      <c r="L29" s="40" t="s">
        <v>2616</v>
      </c>
      <c r="M29" s="40"/>
      <c r="N29" s="40"/>
      <c r="O29" s="40"/>
      <c r="P29" s="40"/>
      <c r="Q29" s="41">
        <v>1</v>
      </c>
      <c r="R29" s="43">
        <f>H29</f>
        <v>35</v>
      </c>
    </row>
    <row r="30" spans="1:18" s="42" customFormat="1" x14ac:dyDescent="0.25">
      <c r="A30" s="40"/>
      <c r="B30" s="40" t="s">
        <v>1827</v>
      </c>
      <c r="C30" s="40" t="s">
        <v>2686</v>
      </c>
      <c r="D30" s="40" t="s">
        <v>2687</v>
      </c>
      <c r="E30" s="40" t="s">
        <v>2688</v>
      </c>
      <c r="F30" s="40">
        <v>1</v>
      </c>
      <c r="G30" s="41">
        <v>845</v>
      </c>
      <c r="H30" s="41">
        <v>25</v>
      </c>
      <c r="I30" s="41">
        <f t="shared" si="0"/>
        <v>820</v>
      </c>
      <c r="J30" s="40" t="s">
        <v>1884</v>
      </c>
      <c r="K30" s="40" t="s">
        <v>25</v>
      </c>
      <c r="L30" s="40" t="s">
        <v>2616</v>
      </c>
      <c r="M30" s="40"/>
      <c r="N30" s="40"/>
      <c r="O30" s="40"/>
      <c r="P30" s="40"/>
      <c r="Q30" s="41">
        <v>1</v>
      </c>
    </row>
    <row r="31" spans="1:18" s="42" customFormat="1" x14ac:dyDescent="0.25">
      <c r="A31" s="40"/>
      <c r="B31" s="40" t="s">
        <v>1827</v>
      </c>
      <c r="C31" s="40" t="s">
        <v>2658</v>
      </c>
      <c r="D31" s="40" t="s">
        <v>2689</v>
      </c>
      <c r="E31" s="40" t="s">
        <v>2690</v>
      </c>
      <c r="F31" s="40">
        <v>4</v>
      </c>
      <c r="G31" s="41">
        <v>915</v>
      </c>
      <c r="H31" s="41">
        <v>25</v>
      </c>
      <c r="I31" s="41">
        <f t="shared" si="0"/>
        <v>890</v>
      </c>
      <c r="J31" s="40" t="s">
        <v>1884</v>
      </c>
      <c r="K31" s="40" t="s">
        <v>25</v>
      </c>
      <c r="L31" s="40" t="s">
        <v>2616</v>
      </c>
      <c r="M31" s="40"/>
      <c r="N31" s="40"/>
      <c r="O31" s="40"/>
      <c r="P31" s="40"/>
      <c r="Q31" s="41">
        <v>1</v>
      </c>
    </row>
    <row r="32" spans="1:18" s="42" customFormat="1" x14ac:dyDescent="0.25">
      <c r="A32" s="40"/>
      <c r="B32" s="40" t="s">
        <v>1827</v>
      </c>
      <c r="C32" s="40" t="s">
        <v>2691</v>
      </c>
      <c r="D32" s="40" t="s">
        <v>2692</v>
      </c>
      <c r="E32" s="40" t="s">
        <v>2693</v>
      </c>
      <c r="F32" s="40">
        <v>5</v>
      </c>
      <c r="G32" s="41">
        <v>0</v>
      </c>
      <c r="H32" s="41">
        <v>25</v>
      </c>
      <c r="I32" s="41">
        <f t="shared" si="0"/>
        <v>-25</v>
      </c>
      <c r="J32" s="40" t="s">
        <v>1884</v>
      </c>
      <c r="K32" s="40" t="s">
        <v>25</v>
      </c>
      <c r="L32" s="40" t="s">
        <v>2616</v>
      </c>
      <c r="M32" s="40"/>
      <c r="N32" s="40"/>
      <c r="O32" s="40"/>
      <c r="P32" s="40"/>
      <c r="Q32" s="41">
        <v>1</v>
      </c>
      <c r="R32" s="43">
        <f>H32</f>
        <v>25</v>
      </c>
    </row>
    <row r="33" spans="1:18" s="42" customFormat="1" x14ac:dyDescent="0.25">
      <c r="A33" s="40"/>
      <c r="B33" s="40" t="s">
        <v>1827</v>
      </c>
      <c r="C33" s="40" t="s">
        <v>2694</v>
      </c>
      <c r="D33" s="40" t="s">
        <v>2695</v>
      </c>
      <c r="E33" s="40" t="s">
        <v>2696</v>
      </c>
      <c r="F33" s="40" t="s">
        <v>98</v>
      </c>
      <c r="G33" s="41">
        <v>1015</v>
      </c>
      <c r="H33" s="41">
        <v>25</v>
      </c>
      <c r="I33" s="41">
        <f t="shared" si="0"/>
        <v>990</v>
      </c>
      <c r="J33" s="40" t="s">
        <v>1884</v>
      </c>
      <c r="K33" s="40" t="s">
        <v>25</v>
      </c>
      <c r="L33" s="40" t="s">
        <v>2616</v>
      </c>
      <c r="M33" s="40"/>
      <c r="N33" s="40"/>
      <c r="O33" s="40"/>
      <c r="P33" s="40"/>
      <c r="Q33" s="41">
        <v>1</v>
      </c>
      <c r="R33" s="43"/>
    </row>
    <row r="34" spans="1:18" s="42" customFormat="1" x14ac:dyDescent="0.25">
      <c r="A34" s="40"/>
      <c r="B34" s="40" t="s">
        <v>1827</v>
      </c>
      <c r="C34" s="40" t="s">
        <v>2697</v>
      </c>
      <c r="D34" s="40" t="s">
        <v>2698</v>
      </c>
      <c r="E34" s="40" t="s">
        <v>2699</v>
      </c>
      <c r="F34" s="41">
        <v>4</v>
      </c>
      <c r="G34" s="41">
        <v>1445</v>
      </c>
      <c r="H34" s="41">
        <v>25</v>
      </c>
      <c r="I34" s="41">
        <f t="shared" si="0"/>
        <v>1420</v>
      </c>
      <c r="J34" s="40" t="s">
        <v>1884</v>
      </c>
      <c r="K34" s="40" t="s">
        <v>25</v>
      </c>
      <c r="L34" s="40" t="s">
        <v>2616</v>
      </c>
      <c r="M34" s="40"/>
      <c r="N34" s="40"/>
      <c r="O34" s="40"/>
      <c r="P34" s="40"/>
      <c r="Q34" s="41">
        <v>1</v>
      </c>
      <c r="R34" s="43"/>
    </row>
    <row r="35" spans="1:18" s="42" customFormat="1" x14ac:dyDescent="0.25">
      <c r="A35" s="40"/>
      <c r="B35" s="40" t="s">
        <v>1827</v>
      </c>
      <c r="C35" s="40" t="s">
        <v>2700</v>
      </c>
      <c r="D35" s="40" t="s">
        <v>2701</v>
      </c>
      <c r="E35" s="40" t="s">
        <v>2702</v>
      </c>
      <c r="F35" s="40">
        <v>1</v>
      </c>
      <c r="G35" s="41">
        <v>385</v>
      </c>
      <c r="H35" s="41">
        <v>25</v>
      </c>
      <c r="I35" s="41">
        <f t="shared" si="0"/>
        <v>360</v>
      </c>
      <c r="J35" s="40" t="s">
        <v>1884</v>
      </c>
      <c r="K35" s="40" t="s">
        <v>25</v>
      </c>
      <c r="L35" s="40" t="s">
        <v>2616</v>
      </c>
      <c r="M35" s="40"/>
      <c r="N35" s="40"/>
      <c r="O35" s="40"/>
      <c r="P35" s="40"/>
      <c r="Q35" s="41">
        <v>1</v>
      </c>
    </row>
    <row r="36" spans="1:18" s="42" customFormat="1" x14ac:dyDescent="0.25">
      <c r="A36" s="40"/>
      <c r="B36" s="40" t="s">
        <v>1827</v>
      </c>
      <c r="C36" s="40" t="s">
        <v>2703</v>
      </c>
      <c r="D36" s="40" t="s">
        <v>2704</v>
      </c>
      <c r="E36" s="40" t="s">
        <v>2705</v>
      </c>
      <c r="F36" s="40">
        <v>10</v>
      </c>
      <c r="G36" s="41">
        <v>845</v>
      </c>
      <c r="H36" s="41">
        <v>25</v>
      </c>
      <c r="I36" s="41">
        <f t="shared" si="0"/>
        <v>820</v>
      </c>
      <c r="J36" s="40" t="s">
        <v>1884</v>
      </c>
      <c r="K36" s="40" t="s">
        <v>25</v>
      </c>
      <c r="L36" s="40" t="s">
        <v>2616</v>
      </c>
      <c r="M36" s="40"/>
      <c r="N36" s="40"/>
      <c r="O36" s="40"/>
      <c r="P36" s="40"/>
      <c r="Q36" s="41">
        <v>1</v>
      </c>
    </row>
    <row r="37" spans="1:18" s="42" customFormat="1" x14ac:dyDescent="0.25">
      <c r="A37" s="40"/>
      <c r="B37" s="40" t="s">
        <v>1827</v>
      </c>
      <c r="C37" s="40" t="s">
        <v>2706</v>
      </c>
      <c r="D37" s="40" t="s">
        <v>2707</v>
      </c>
      <c r="E37" s="40" t="s">
        <v>2708</v>
      </c>
      <c r="F37" s="40">
        <v>10</v>
      </c>
      <c r="G37" s="41">
        <v>915</v>
      </c>
      <c r="H37" s="41">
        <v>25</v>
      </c>
      <c r="I37" s="41">
        <f t="shared" si="0"/>
        <v>890</v>
      </c>
      <c r="J37" s="40" t="s">
        <v>1884</v>
      </c>
      <c r="K37" s="40" t="s">
        <v>25</v>
      </c>
      <c r="L37" s="40" t="s">
        <v>2616</v>
      </c>
      <c r="M37" s="40"/>
      <c r="N37" s="40"/>
      <c r="O37" s="40"/>
      <c r="P37" s="40"/>
      <c r="Q37" s="41">
        <v>1</v>
      </c>
      <c r="R37" s="43"/>
    </row>
    <row r="39" spans="1:18" x14ac:dyDescent="0.25">
      <c r="G39">
        <f t="shared" ref="G39:R39" si="1">SUBTOTAL(9,G3:G38)</f>
        <v>25355</v>
      </c>
      <c r="H39">
        <f t="shared" si="1"/>
        <v>955</v>
      </c>
      <c r="I39">
        <f t="shared" si="1"/>
        <v>24400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  <c r="N39">
        <f t="shared" si="1"/>
        <v>0</v>
      </c>
      <c r="O39">
        <f t="shared" si="1"/>
        <v>0</v>
      </c>
      <c r="P39">
        <f t="shared" si="1"/>
        <v>0</v>
      </c>
      <c r="Q39">
        <f t="shared" si="1"/>
        <v>35</v>
      </c>
      <c r="R39">
        <f t="shared" si="1"/>
        <v>120</v>
      </c>
    </row>
    <row r="40" spans="1:18" x14ac:dyDescent="0.25">
      <c r="I40" s="29"/>
      <c r="J40" s="22"/>
    </row>
    <row r="41" spans="1:18" x14ac:dyDescent="0.25">
      <c r="I41" s="29"/>
      <c r="J41" s="22"/>
    </row>
    <row r="42" spans="1:18" x14ac:dyDescent="0.25">
      <c r="I42" s="29"/>
      <c r="J42" s="22"/>
    </row>
    <row r="43" spans="1:18" ht="18.75" customHeight="1" x14ac:dyDescent="0.3">
      <c r="H43" s="7" t="s">
        <v>2611</v>
      </c>
      <c r="I43" s="8" t="s">
        <v>313</v>
      </c>
      <c r="J43" s="9" t="s">
        <v>314</v>
      </c>
    </row>
    <row r="44" spans="1:18" ht="15.75" customHeight="1" x14ac:dyDescent="0.25">
      <c r="H44" s="10" t="s">
        <v>315</v>
      </c>
      <c r="I44" s="38">
        <f>SUM(I38:I42)</f>
        <v>24400</v>
      </c>
      <c r="J44" s="11">
        <f>Q39</f>
        <v>35</v>
      </c>
    </row>
    <row r="45" spans="1:18" x14ac:dyDescent="0.25">
      <c r="H45" s="12" t="s">
        <v>316</v>
      </c>
      <c r="I45" s="13">
        <f>R39</f>
        <v>120</v>
      </c>
      <c r="J45" s="14"/>
    </row>
    <row r="46" spans="1:18" x14ac:dyDescent="0.25">
      <c r="H46" s="12" t="s">
        <v>317</v>
      </c>
      <c r="I46" s="13">
        <f>S39</f>
        <v>0</v>
      </c>
      <c r="J46" s="14"/>
    </row>
    <row r="47" spans="1:18" x14ac:dyDescent="0.25">
      <c r="H47" s="12" t="s">
        <v>318</v>
      </c>
      <c r="I47" s="13">
        <f>T39</f>
        <v>0</v>
      </c>
      <c r="J47" s="14"/>
    </row>
    <row r="48" spans="1:18" x14ac:dyDescent="0.25">
      <c r="H48" s="12" t="s">
        <v>319</v>
      </c>
      <c r="I48" s="13">
        <f>U39</f>
        <v>0</v>
      </c>
      <c r="J48" s="14"/>
    </row>
    <row r="49" spans="8:10" ht="15.75" customHeight="1" x14ac:dyDescent="0.25">
      <c r="H49" s="15" t="s">
        <v>320</v>
      </c>
      <c r="I49" s="16"/>
      <c r="J49" s="16"/>
    </row>
    <row r="50" spans="8:10" ht="15.75" customHeight="1" x14ac:dyDescent="0.25">
      <c r="H50" s="17" t="s">
        <v>321</v>
      </c>
      <c r="I50" s="16"/>
      <c r="J50" s="16"/>
    </row>
    <row r="51" spans="8:10" ht="21" customHeight="1" x14ac:dyDescent="0.35">
      <c r="H51" s="18" t="s">
        <v>322</v>
      </c>
      <c r="I51" s="39">
        <f>SUM(I44:I50)</f>
        <v>24520</v>
      </c>
      <c r="J51" s="19">
        <f>SUM(J44:J48)</f>
        <v>35</v>
      </c>
    </row>
  </sheetData>
  <autoFilter ref="A2:P37" xr:uid="{00000000-0009-0000-0000-000012000000}">
    <sortState xmlns:xlrd2="http://schemas.microsoft.com/office/spreadsheetml/2017/richdata2" ref="A3:P37">
      <sortCondition ref="J2:J37"/>
    </sortState>
  </autoFilter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63B0-D524-4739-A306-B58CA2B5CBC9}">
  <dimension ref="A1:R43"/>
  <sheetViews>
    <sheetView topLeftCell="A15" zoomScale="80" zoomScaleNormal="80" workbookViewId="0">
      <selection activeCell="I28" sqref="I28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2.140625" bestFit="1" customWidth="1"/>
    <col min="7" max="7" width="9.140625" customWidth="1"/>
    <col min="8" max="8" width="5.5703125" customWidth="1"/>
    <col min="9" max="9" width="10.42578125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892</v>
      </c>
      <c r="C1" t="s">
        <v>2709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"/>
    </row>
    <row r="3" spans="1:18" s="42" customFormat="1" x14ac:dyDescent="0.25">
      <c r="A3" s="40" t="s">
        <v>1833</v>
      </c>
      <c r="B3" s="40" t="s">
        <v>1827</v>
      </c>
      <c r="C3" s="40" t="s">
        <v>2711</v>
      </c>
      <c r="D3" s="40"/>
      <c r="E3" s="40" t="s">
        <v>2298</v>
      </c>
      <c r="F3" s="41">
        <v>6</v>
      </c>
      <c r="G3" s="41">
        <v>720</v>
      </c>
      <c r="H3" s="41">
        <v>30</v>
      </c>
      <c r="I3" s="41">
        <f>G3-H3</f>
        <v>690</v>
      </c>
      <c r="J3" s="40" t="s">
        <v>2712</v>
      </c>
      <c r="K3" s="40" t="s">
        <v>25</v>
      </c>
      <c r="L3" s="40" t="s">
        <v>2713</v>
      </c>
      <c r="M3" s="40"/>
      <c r="N3" s="40"/>
      <c r="O3" s="40"/>
      <c r="P3" s="40"/>
      <c r="Q3" s="41">
        <v>1</v>
      </c>
      <c r="R3" s="43"/>
    </row>
    <row r="4" spans="1:18" s="42" customFormat="1" x14ac:dyDescent="0.25">
      <c r="A4" s="40"/>
      <c r="B4" s="40" t="s">
        <v>1827</v>
      </c>
      <c r="C4" s="40" t="s">
        <v>2714</v>
      </c>
      <c r="D4" s="40" t="s">
        <v>2715</v>
      </c>
      <c r="E4" s="40" t="s">
        <v>2716</v>
      </c>
      <c r="F4" s="41" t="s">
        <v>444</v>
      </c>
      <c r="G4" s="41">
        <v>925</v>
      </c>
      <c r="H4" s="41">
        <v>35</v>
      </c>
      <c r="I4" s="41">
        <f t="shared" ref="I4:I29" si="0">G4-H4</f>
        <v>890</v>
      </c>
      <c r="J4" s="40" t="s">
        <v>2712</v>
      </c>
      <c r="K4" s="40" t="s">
        <v>25</v>
      </c>
      <c r="L4" s="40" t="s">
        <v>2713</v>
      </c>
      <c r="M4" s="40"/>
      <c r="N4" s="40"/>
      <c r="O4" s="40"/>
      <c r="P4" s="40"/>
      <c r="Q4" s="41">
        <v>1</v>
      </c>
      <c r="R4" s="43"/>
    </row>
    <row r="5" spans="1:18" s="42" customFormat="1" x14ac:dyDescent="0.25">
      <c r="A5" s="40"/>
      <c r="B5" s="40" t="s">
        <v>1827</v>
      </c>
      <c r="C5" s="40" t="s">
        <v>2717</v>
      </c>
      <c r="D5" s="40" t="s">
        <v>2718</v>
      </c>
      <c r="E5" s="40" t="s">
        <v>2719</v>
      </c>
      <c r="F5" s="41">
        <v>8</v>
      </c>
      <c r="G5" s="41">
        <v>745</v>
      </c>
      <c r="H5" s="41">
        <v>25</v>
      </c>
      <c r="I5" s="41">
        <f t="shared" si="0"/>
        <v>720</v>
      </c>
      <c r="J5" s="40" t="s">
        <v>2712</v>
      </c>
      <c r="K5" s="40" t="s">
        <v>25</v>
      </c>
      <c r="L5" s="40" t="s">
        <v>2713</v>
      </c>
      <c r="M5" s="40"/>
      <c r="N5" s="40"/>
      <c r="O5" s="40"/>
      <c r="P5" s="40"/>
      <c r="Q5" s="41">
        <v>1</v>
      </c>
      <c r="R5" s="43"/>
    </row>
    <row r="6" spans="1:18" s="42" customFormat="1" x14ac:dyDescent="0.25">
      <c r="A6" s="40"/>
      <c r="B6" s="40" t="s">
        <v>1827</v>
      </c>
      <c r="C6" s="40" t="s">
        <v>2627</v>
      </c>
      <c r="D6" s="40" t="s">
        <v>2720</v>
      </c>
      <c r="E6" s="40" t="s">
        <v>2629</v>
      </c>
      <c r="F6" s="40">
        <v>7</v>
      </c>
      <c r="G6" s="41">
        <v>700</v>
      </c>
      <c r="H6" s="41">
        <v>30</v>
      </c>
      <c r="I6" s="41">
        <f t="shared" si="0"/>
        <v>670</v>
      </c>
      <c r="J6" s="40" t="s">
        <v>2712</v>
      </c>
      <c r="K6" s="40" t="s">
        <v>25</v>
      </c>
      <c r="L6" s="40" t="s">
        <v>2713</v>
      </c>
      <c r="M6" s="40"/>
      <c r="N6" s="40"/>
      <c r="O6" s="40"/>
      <c r="P6" s="40"/>
      <c r="Q6" s="41">
        <v>1</v>
      </c>
      <c r="R6" s="43"/>
    </row>
    <row r="7" spans="1:18" s="42" customFormat="1" x14ac:dyDescent="0.25">
      <c r="A7" s="40"/>
      <c r="B7" s="40" t="s">
        <v>1827</v>
      </c>
      <c r="C7" s="40" t="s">
        <v>2721</v>
      </c>
      <c r="D7" s="40" t="s">
        <v>2722</v>
      </c>
      <c r="E7" s="40" t="s">
        <v>2723</v>
      </c>
      <c r="F7" s="41">
        <v>6</v>
      </c>
      <c r="G7" s="41">
        <v>845</v>
      </c>
      <c r="H7" s="41">
        <v>25</v>
      </c>
      <c r="I7" s="41">
        <f t="shared" si="0"/>
        <v>820</v>
      </c>
      <c r="J7" s="40" t="s">
        <v>2712</v>
      </c>
      <c r="K7" s="40" t="s">
        <v>25</v>
      </c>
      <c r="L7" s="40" t="s">
        <v>2713</v>
      </c>
      <c r="M7" s="40"/>
      <c r="N7" s="40"/>
      <c r="O7" s="40"/>
      <c r="P7" s="40"/>
      <c r="Q7" s="41">
        <v>1</v>
      </c>
    </row>
    <row r="8" spans="1:18" s="42" customFormat="1" x14ac:dyDescent="0.25">
      <c r="A8" s="40"/>
      <c r="B8" s="40" t="s">
        <v>1827</v>
      </c>
      <c r="C8" s="40" t="s">
        <v>2724</v>
      </c>
      <c r="D8" s="40" t="s">
        <v>2725</v>
      </c>
      <c r="E8" s="40" t="s">
        <v>2726</v>
      </c>
      <c r="F8" s="41" t="s">
        <v>1989</v>
      </c>
      <c r="G8" s="41">
        <v>0</v>
      </c>
      <c r="H8" s="41">
        <v>35</v>
      </c>
      <c r="I8" s="41">
        <f t="shared" si="0"/>
        <v>-35</v>
      </c>
      <c r="J8" s="40" t="s">
        <v>2712</v>
      </c>
      <c r="K8" s="40" t="s">
        <v>25</v>
      </c>
      <c r="L8" s="40" t="s">
        <v>2713</v>
      </c>
      <c r="M8" s="40"/>
      <c r="N8" s="40"/>
      <c r="O8" s="40"/>
      <c r="P8" s="40"/>
      <c r="Q8" s="41">
        <v>1</v>
      </c>
      <c r="R8" s="43">
        <f>H8</f>
        <v>35</v>
      </c>
    </row>
    <row r="9" spans="1:18" s="42" customFormat="1" x14ac:dyDescent="0.25">
      <c r="A9" s="40"/>
      <c r="B9" s="40" t="s">
        <v>1827</v>
      </c>
      <c r="C9" s="40" t="s">
        <v>2727</v>
      </c>
      <c r="D9" s="40" t="s">
        <v>2728</v>
      </c>
      <c r="E9" s="40" t="s">
        <v>2729</v>
      </c>
      <c r="F9" s="41">
        <v>7</v>
      </c>
      <c r="G9" s="41">
        <v>410</v>
      </c>
      <c r="H9" s="41">
        <v>30</v>
      </c>
      <c r="I9" s="41">
        <f t="shared" si="0"/>
        <v>380</v>
      </c>
      <c r="J9" s="40" t="s">
        <v>2712</v>
      </c>
      <c r="K9" s="40" t="s">
        <v>25</v>
      </c>
      <c r="L9" s="40" t="s">
        <v>2713</v>
      </c>
      <c r="M9" s="40"/>
      <c r="N9" s="40"/>
      <c r="O9" s="40"/>
      <c r="P9" s="40"/>
      <c r="Q9" s="41">
        <v>1</v>
      </c>
    </row>
    <row r="10" spans="1:18" s="42" customFormat="1" x14ac:dyDescent="0.25">
      <c r="A10" s="40"/>
      <c r="B10" s="40" t="s">
        <v>1827</v>
      </c>
      <c r="C10" s="40" t="s">
        <v>2730</v>
      </c>
      <c r="D10" s="40" t="s">
        <v>2731</v>
      </c>
      <c r="E10" s="40" t="s">
        <v>2732</v>
      </c>
      <c r="F10" s="41">
        <v>6</v>
      </c>
      <c r="G10" s="41">
        <v>0</v>
      </c>
      <c r="H10" s="41">
        <v>25</v>
      </c>
      <c r="I10" s="41">
        <f t="shared" si="0"/>
        <v>-25</v>
      </c>
      <c r="J10" s="40" t="s">
        <v>2712</v>
      </c>
      <c r="K10" s="40" t="s">
        <v>25</v>
      </c>
      <c r="L10" s="40" t="s">
        <v>2713</v>
      </c>
      <c r="M10" s="40"/>
      <c r="N10" s="40"/>
      <c r="O10" s="40"/>
      <c r="P10" s="40"/>
      <c r="Q10" s="41">
        <v>1</v>
      </c>
      <c r="R10" s="43">
        <f>H10</f>
        <v>25</v>
      </c>
    </row>
    <row r="11" spans="1:18" s="42" customFormat="1" x14ac:dyDescent="0.25">
      <c r="A11" s="40"/>
      <c r="B11" s="40" t="s">
        <v>1827</v>
      </c>
      <c r="C11" s="40" t="s">
        <v>2118</v>
      </c>
      <c r="D11" s="40" t="s">
        <v>2733</v>
      </c>
      <c r="E11" s="40" t="s">
        <v>2120</v>
      </c>
      <c r="F11" s="40">
        <v>7</v>
      </c>
      <c r="G11" s="41">
        <v>750</v>
      </c>
      <c r="H11" s="41">
        <v>30</v>
      </c>
      <c r="I11" s="41">
        <f t="shared" si="0"/>
        <v>720</v>
      </c>
      <c r="J11" s="40" t="s">
        <v>2712</v>
      </c>
      <c r="K11" s="40" t="s">
        <v>25</v>
      </c>
      <c r="L11" s="40" t="s">
        <v>2713</v>
      </c>
      <c r="M11" s="40"/>
      <c r="N11" s="40"/>
      <c r="O11" s="40"/>
      <c r="P11" s="40"/>
      <c r="Q11" s="41">
        <v>1</v>
      </c>
    </row>
    <row r="12" spans="1:18" s="42" customFormat="1" x14ac:dyDescent="0.25">
      <c r="A12" s="40"/>
      <c r="B12" s="40" t="s">
        <v>1827</v>
      </c>
      <c r="C12" s="40" t="s">
        <v>2734</v>
      </c>
      <c r="D12" s="40" t="s">
        <v>2735</v>
      </c>
      <c r="E12" s="40" t="s">
        <v>2276</v>
      </c>
      <c r="F12" s="40" t="s">
        <v>1853</v>
      </c>
      <c r="G12" s="41">
        <v>0</v>
      </c>
      <c r="H12" s="41">
        <v>30</v>
      </c>
      <c r="I12" s="41">
        <f t="shared" si="0"/>
        <v>-30</v>
      </c>
      <c r="J12" s="40" t="s">
        <v>2712</v>
      </c>
      <c r="K12" s="40" t="s">
        <v>25</v>
      </c>
      <c r="L12" s="40" t="s">
        <v>2713</v>
      </c>
      <c r="M12" s="40"/>
      <c r="N12" s="40"/>
      <c r="O12" s="40"/>
      <c r="P12" s="40"/>
      <c r="Q12" s="41">
        <v>1</v>
      </c>
      <c r="R12" s="43">
        <f>H12</f>
        <v>30</v>
      </c>
    </row>
    <row r="13" spans="1:18" s="42" customFormat="1" x14ac:dyDescent="0.25">
      <c r="A13" s="40"/>
      <c r="B13" s="40" t="s">
        <v>1827</v>
      </c>
      <c r="C13" s="40" t="s">
        <v>2736</v>
      </c>
      <c r="D13" s="40" t="s">
        <v>2737</v>
      </c>
      <c r="E13" s="40" t="s">
        <v>2738</v>
      </c>
      <c r="F13" s="41">
        <v>7</v>
      </c>
      <c r="G13" s="41">
        <v>700</v>
      </c>
      <c r="H13" s="41">
        <v>30</v>
      </c>
      <c r="I13" s="41">
        <f t="shared" si="0"/>
        <v>670</v>
      </c>
      <c r="J13" s="40" t="s">
        <v>2712</v>
      </c>
      <c r="K13" s="40" t="s">
        <v>25</v>
      </c>
      <c r="L13" s="40" t="s">
        <v>2713</v>
      </c>
      <c r="M13" s="40"/>
      <c r="N13" s="40"/>
      <c r="O13" s="40"/>
      <c r="P13" s="40"/>
      <c r="Q13" s="41">
        <v>1</v>
      </c>
      <c r="R13" s="43"/>
    </row>
    <row r="14" spans="1:18" s="42" customFormat="1" x14ac:dyDescent="0.25">
      <c r="A14" s="40"/>
      <c r="B14" s="40" t="s">
        <v>1827</v>
      </c>
      <c r="C14" s="40" t="s">
        <v>2739</v>
      </c>
      <c r="D14" s="40" t="s">
        <v>2740</v>
      </c>
      <c r="E14" s="40" t="s">
        <v>2741</v>
      </c>
      <c r="F14" s="40" t="s">
        <v>444</v>
      </c>
      <c r="G14" s="41">
        <v>855</v>
      </c>
      <c r="H14" s="41">
        <v>35</v>
      </c>
      <c r="I14" s="41">
        <f t="shared" si="0"/>
        <v>820</v>
      </c>
      <c r="J14" s="40" t="s">
        <v>2712</v>
      </c>
      <c r="K14" s="40" t="s">
        <v>25</v>
      </c>
      <c r="L14" s="40" t="s">
        <v>2713</v>
      </c>
      <c r="M14" s="40"/>
      <c r="N14" s="40"/>
      <c r="O14" s="40"/>
      <c r="P14" s="40"/>
      <c r="Q14" s="41">
        <v>1</v>
      </c>
    </row>
    <row r="15" spans="1:18" s="42" customFormat="1" x14ac:dyDescent="0.25">
      <c r="A15" s="40"/>
      <c r="B15" s="40" t="s">
        <v>1827</v>
      </c>
      <c r="C15" s="40" t="s">
        <v>2742</v>
      </c>
      <c r="D15" s="40" t="s">
        <v>2743</v>
      </c>
      <c r="E15" s="40" t="s">
        <v>2744</v>
      </c>
      <c r="F15" s="40" t="s">
        <v>1853</v>
      </c>
      <c r="G15" s="41">
        <v>920</v>
      </c>
      <c r="H15" s="41">
        <v>30</v>
      </c>
      <c r="I15" s="41">
        <f t="shared" si="0"/>
        <v>890</v>
      </c>
      <c r="J15" s="40" t="s">
        <v>2712</v>
      </c>
      <c r="K15" s="40" t="s">
        <v>25</v>
      </c>
      <c r="L15" s="40" t="s">
        <v>2713</v>
      </c>
      <c r="M15" s="40"/>
      <c r="N15" s="40"/>
      <c r="O15" s="40"/>
      <c r="P15" s="40"/>
      <c r="Q15" s="41">
        <v>1</v>
      </c>
    </row>
    <row r="16" spans="1:18" s="42" customFormat="1" x14ac:dyDescent="0.25">
      <c r="A16" s="40"/>
      <c r="B16" s="40" t="s">
        <v>1827</v>
      </c>
      <c r="C16" s="40" t="s">
        <v>2745</v>
      </c>
      <c r="D16" s="40" t="s">
        <v>2746</v>
      </c>
      <c r="E16" s="40" t="s">
        <v>2747</v>
      </c>
      <c r="F16" s="40" t="s">
        <v>103</v>
      </c>
      <c r="G16" s="41">
        <v>900</v>
      </c>
      <c r="H16" s="41">
        <v>30</v>
      </c>
      <c r="I16" s="41">
        <f t="shared" si="0"/>
        <v>870</v>
      </c>
      <c r="J16" s="40" t="s">
        <v>25</v>
      </c>
      <c r="K16" s="40" t="s">
        <v>25</v>
      </c>
      <c r="L16" s="40" t="s">
        <v>2713</v>
      </c>
      <c r="M16" s="40"/>
      <c r="N16" s="40"/>
      <c r="O16" s="40"/>
      <c r="P16" s="40"/>
      <c r="Q16" s="41">
        <v>1</v>
      </c>
      <c r="R16" s="43"/>
    </row>
    <row r="17" spans="1:18" s="42" customFormat="1" x14ac:dyDescent="0.25">
      <c r="A17" s="40"/>
      <c r="B17" s="40" t="s">
        <v>1827</v>
      </c>
      <c r="C17" s="40" t="s">
        <v>2748</v>
      </c>
      <c r="D17" s="40" t="s">
        <v>2749</v>
      </c>
      <c r="E17" s="40" t="s">
        <v>2750</v>
      </c>
      <c r="F17" s="41" t="s">
        <v>58</v>
      </c>
      <c r="G17" s="41">
        <v>840</v>
      </c>
      <c r="H17" s="41">
        <v>20</v>
      </c>
      <c r="I17" s="41">
        <f t="shared" si="0"/>
        <v>820</v>
      </c>
      <c r="J17" s="40" t="s">
        <v>25</v>
      </c>
      <c r="K17" s="40" t="s">
        <v>25</v>
      </c>
      <c r="L17" s="40" t="s">
        <v>2713</v>
      </c>
      <c r="M17" s="40"/>
      <c r="N17" s="40"/>
      <c r="O17" s="40"/>
      <c r="P17" s="40"/>
      <c r="Q17" s="41">
        <v>1</v>
      </c>
    </row>
    <row r="18" spans="1:18" s="42" customFormat="1" x14ac:dyDescent="0.25">
      <c r="A18" s="40"/>
      <c r="B18" s="40" t="s">
        <v>1827</v>
      </c>
      <c r="C18" s="40" t="s">
        <v>2751</v>
      </c>
      <c r="D18" s="40" t="s">
        <v>2752</v>
      </c>
      <c r="E18" s="40" t="s">
        <v>2753</v>
      </c>
      <c r="F18" s="41" t="s">
        <v>58</v>
      </c>
      <c r="G18" s="41">
        <v>1670</v>
      </c>
      <c r="H18" s="41">
        <v>20</v>
      </c>
      <c r="I18" s="41">
        <f t="shared" si="0"/>
        <v>1650</v>
      </c>
      <c r="J18" s="40" t="s">
        <v>25</v>
      </c>
      <c r="K18" s="40" t="s">
        <v>25</v>
      </c>
      <c r="L18" s="40" t="s">
        <v>2713</v>
      </c>
      <c r="M18" s="40"/>
      <c r="N18" s="40"/>
      <c r="O18" s="40"/>
      <c r="P18" s="40"/>
      <c r="Q18" s="41">
        <v>1</v>
      </c>
      <c r="R18" s="43"/>
    </row>
    <row r="19" spans="1:18" s="42" customFormat="1" x14ac:dyDescent="0.25">
      <c r="A19" s="40"/>
      <c r="B19" s="40" t="s">
        <v>1827</v>
      </c>
      <c r="C19" s="40" t="s">
        <v>2754</v>
      </c>
      <c r="D19" s="40" t="s">
        <v>2755</v>
      </c>
      <c r="E19" s="40" t="s">
        <v>2756</v>
      </c>
      <c r="F19" s="41">
        <v>2</v>
      </c>
      <c r="G19" s="41">
        <v>700</v>
      </c>
      <c r="H19" s="41">
        <v>30</v>
      </c>
      <c r="I19" s="41">
        <f t="shared" si="0"/>
        <v>670</v>
      </c>
      <c r="J19" s="40" t="s">
        <v>25</v>
      </c>
      <c r="K19" s="40" t="s">
        <v>25</v>
      </c>
      <c r="L19" s="40" t="s">
        <v>2713</v>
      </c>
      <c r="M19" s="40"/>
      <c r="N19" s="40"/>
      <c r="O19" s="40"/>
      <c r="P19" s="40"/>
      <c r="Q19" s="41">
        <v>1</v>
      </c>
      <c r="R19" s="43"/>
    </row>
    <row r="20" spans="1:18" s="42" customFormat="1" x14ac:dyDescent="0.25">
      <c r="A20" s="40"/>
      <c r="B20" s="40" t="s">
        <v>1827</v>
      </c>
      <c r="C20" s="40" t="s">
        <v>2757</v>
      </c>
      <c r="D20" s="40" t="s">
        <v>2758</v>
      </c>
      <c r="E20" s="40" t="s">
        <v>2759</v>
      </c>
      <c r="F20" s="41">
        <v>2</v>
      </c>
      <c r="G20" s="41">
        <v>1770</v>
      </c>
      <c r="H20" s="41">
        <v>30</v>
      </c>
      <c r="I20" s="41">
        <f t="shared" si="0"/>
        <v>1740</v>
      </c>
      <c r="J20" s="40" t="s">
        <v>25</v>
      </c>
      <c r="K20" s="40" t="s">
        <v>25</v>
      </c>
      <c r="L20" s="40" t="s">
        <v>2713</v>
      </c>
      <c r="M20" s="40"/>
      <c r="N20" s="40"/>
      <c r="O20" s="40"/>
      <c r="P20" s="40"/>
      <c r="Q20" s="41">
        <v>1</v>
      </c>
      <c r="R20" s="43"/>
    </row>
    <row r="21" spans="1:18" s="42" customFormat="1" x14ac:dyDescent="0.25">
      <c r="A21" s="40"/>
      <c r="B21" s="40" t="s">
        <v>1827</v>
      </c>
      <c r="C21" s="40" t="s">
        <v>2760</v>
      </c>
      <c r="D21" s="40" t="s">
        <v>2761</v>
      </c>
      <c r="E21" s="40" t="s">
        <v>2762</v>
      </c>
      <c r="F21" s="41">
        <v>5</v>
      </c>
      <c r="G21" s="41">
        <v>0</v>
      </c>
      <c r="H21" s="41">
        <v>25</v>
      </c>
      <c r="I21" s="41">
        <f t="shared" si="0"/>
        <v>-25</v>
      </c>
      <c r="J21" s="40" t="s">
        <v>1884</v>
      </c>
      <c r="K21" s="40" t="s">
        <v>25</v>
      </c>
      <c r="L21" s="40" t="s">
        <v>2713</v>
      </c>
      <c r="M21" s="40"/>
      <c r="N21" s="40"/>
      <c r="O21" s="40"/>
      <c r="P21" s="40"/>
      <c r="Q21" s="41">
        <v>1</v>
      </c>
      <c r="R21" s="43">
        <f>H21</f>
        <v>25</v>
      </c>
    </row>
    <row r="22" spans="1:18" s="42" customFormat="1" x14ac:dyDescent="0.25">
      <c r="A22" s="40"/>
      <c r="B22" s="40" t="s">
        <v>1827</v>
      </c>
      <c r="C22" s="40" t="s">
        <v>2763</v>
      </c>
      <c r="D22" s="40" t="s">
        <v>2764</v>
      </c>
      <c r="E22" s="40" t="s">
        <v>2765</v>
      </c>
      <c r="F22" s="41">
        <v>10</v>
      </c>
      <c r="G22" s="41">
        <v>845</v>
      </c>
      <c r="H22" s="41">
        <v>25</v>
      </c>
      <c r="I22" s="41">
        <f t="shared" si="0"/>
        <v>820</v>
      </c>
      <c r="J22" s="40" t="s">
        <v>1884</v>
      </c>
      <c r="K22" s="40" t="s">
        <v>25</v>
      </c>
      <c r="L22" s="40" t="s">
        <v>2713</v>
      </c>
      <c r="M22" s="40"/>
      <c r="N22" s="40"/>
      <c r="O22" s="40"/>
      <c r="P22" s="40"/>
      <c r="Q22" s="41">
        <v>1</v>
      </c>
      <c r="R22" s="43"/>
    </row>
    <row r="23" spans="1:18" s="42" customFormat="1" x14ac:dyDescent="0.25">
      <c r="A23" s="40"/>
      <c r="B23" s="40" t="s">
        <v>1827</v>
      </c>
      <c r="C23" s="40" t="s">
        <v>2766</v>
      </c>
      <c r="D23" s="40" t="s">
        <v>2767</v>
      </c>
      <c r="E23" s="40" t="s">
        <v>2768</v>
      </c>
      <c r="F23" s="40">
        <v>3</v>
      </c>
      <c r="G23" s="41">
        <v>845</v>
      </c>
      <c r="H23" s="41">
        <v>25</v>
      </c>
      <c r="I23" s="41">
        <f t="shared" si="0"/>
        <v>820</v>
      </c>
      <c r="J23" s="40" t="s">
        <v>1884</v>
      </c>
      <c r="K23" s="40" t="s">
        <v>25</v>
      </c>
      <c r="L23" s="40" t="s">
        <v>2713</v>
      </c>
      <c r="M23" s="40"/>
      <c r="N23" s="40"/>
      <c r="O23" s="40"/>
      <c r="P23" s="40"/>
      <c r="Q23" s="41">
        <v>1</v>
      </c>
      <c r="R23" s="43"/>
    </row>
    <row r="24" spans="1:18" s="42" customFormat="1" x14ac:dyDescent="0.25">
      <c r="A24" s="40"/>
      <c r="B24" s="40" t="s">
        <v>1827</v>
      </c>
      <c r="C24" s="40" t="s">
        <v>2769</v>
      </c>
      <c r="D24" s="40" t="s">
        <v>2770</v>
      </c>
      <c r="E24" s="40" t="s">
        <v>2771</v>
      </c>
      <c r="F24" s="41" t="s">
        <v>98</v>
      </c>
      <c r="G24" s="41">
        <v>0</v>
      </c>
      <c r="H24" s="41">
        <v>25</v>
      </c>
      <c r="I24" s="41">
        <f t="shared" si="0"/>
        <v>-25</v>
      </c>
      <c r="J24" s="40" t="s">
        <v>1884</v>
      </c>
      <c r="K24" s="40" t="s">
        <v>25</v>
      </c>
      <c r="L24" s="40" t="s">
        <v>2713</v>
      </c>
      <c r="M24" s="40"/>
      <c r="N24" s="40"/>
      <c r="O24" s="40"/>
      <c r="P24" s="40"/>
      <c r="Q24" s="41">
        <v>1</v>
      </c>
      <c r="R24" s="43">
        <f t="shared" ref="R24:R26" si="1">H24</f>
        <v>25</v>
      </c>
    </row>
    <row r="25" spans="1:18" s="42" customFormat="1" x14ac:dyDescent="0.25">
      <c r="A25" s="40"/>
      <c r="B25" s="40" t="s">
        <v>1827</v>
      </c>
      <c r="C25" s="40" t="s">
        <v>2772</v>
      </c>
      <c r="D25" s="40" t="s">
        <v>2773</v>
      </c>
      <c r="E25" s="40" t="s">
        <v>2774</v>
      </c>
      <c r="F25" s="41">
        <v>5</v>
      </c>
      <c r="G25" s="41">
        <v>0</v>
      </c>
      <c r="H25" s="41">
        <v>25</v>
      </c>
      <c r="I25" s="41">
        <f t="shared" si="0"/>
        <v>-25</v>
      </c>
      <c r="J25" s="40" t="s">
        <v>1884</v>
      </c>
      <c r="K25" s="40" t="s">
        <v>25</v>
      </c>
      <c r="L25" s="40" t="s">
        <v>2713</v>
      </c>
      <c r="M25" s="40"/>
      <c r="N25" s="40"/>
      <c r="O25" s="40"/>
      <c r="P25" s="40"/>
      <c r="Q25" s="41">
        <v>1</v>
      </c>
      <c r="R25" s="43">
        <f t="shared" si="1"/>
        <v>25</v>
      </c>
    </row>
    <row r="26" spans="1:18" s="42" customFormat="1" x14ac:dyDescent="0.25">
      <c r="A26" s="40"/>
      <c r="B26" s="40" t="s">
        <v>1827</v>
      </c>
      <c r="C26" s="40" t="s">
        <v>2775</v>
      </c>
      <c r="D26" s="40" t="s">
        <v>2776</v>
      </c>
      <c r="E26" s="40" t="s">
        <v>2777</v>
      </c>
      <c r="F26" s="41">
        <v>1</v>
      </c>
      <c r="G26" s="41">
        <v>0</v>
      </c>
      <c r="H26" s="41">
        <v>25</v>
      </c>
      <c r="I26" s="41">
        <f t="shared" si="0"/>
        <v>-25</v>
      </c>
      <c r="J26" s="40" t="s">
        <v>1884</v>
      </c>
      <c r="K26" s="40" t="s">
        <v>25</v>
      </c>
      <c r="L26" s="40" t="s">
        <v>2713</v>
      </c>
      <c r="M26" s="40"/>
      <c r="N26" s="40"/>
      <c r="O26" s="40"/>
      <c r="P26" s="40"/>
      <c r="Q26" s="41">
        <v>1</v>
      </c>
      <c r="R26" s="43">
        <f t="shared" si="1"/>
        <v>25</v>
      </c>
    </row>
    <row r="27" spans="1:18" s="42" customFormat="1" x14ac:dyDescent="0.25">
      <c r="A27" s="40"/>
      <c r="B27" s="40" t="s">
        <v>1827</v>
      </c>
      <c r="C27" s="40" t="s">
        <v>2778</v>
      </c>
      <c r="D27" s="40" t="s">
        <v>2779</v>
      </c>
      <c r="E27" s="40" t="s">
        <v>2780</v>
      </c>
      <c r="F27" s="41" t="s">
        <v>98</v>
      </c>
      <c r="G27" s="41">
        <v>1595</v>
      </c>
      <c r="H27" s="41">
        <v>25</v>
      </c>
      <c r="I27" s="41">
        <f t="shared" si="0"/>
        <v>1570</v>
      </c>
      <c r="J27" s="40" t="s">
        <v>1884</v>
      </c>
      <c r="K27" s="40" t="s">
        <v>25</v>
      </c>
      <c r="L27" s="40" t="s">
        <v>2713</v>
      </c>
      <c r="M27" s="40"/>
      <c r="N27" s="40"/>
      <c r="O27" s="40"/>
      <c r="P27" s="40"/>
      <c r="Q27" s="41">
        <v>1</v>
      </c>
      <c r="R27" s="43"/>
    </row>
    <row r="28" spans="1:18" s="42" customFormat="1" x14ac:dyDescent="0.25">
      <c r="A28" s="40"/>
      <c r="B28" s="40" t="s">
        <v>1827</v>
      </c>
      <c r="C28" s="40" t="s">
        <v>2781</v>
      </c>
      <c r="D28" s="40" t="s">
        <v>2782</v>
      </c>
      <c r="E28" s="40" t="s">
        <v>2783</v>
      </c>
      <c r="F28" s="40">
        <v>10</v>
      </c>
      <c r="G28" s="41">
        <v>915</v>
      </c>
      <c r="H28" s="41">
        <v>25</v>
      </c>
      <c r="I28" s="41">
        <f t="shared" si="0"/>
        <v>890</v>
      </c>
      <c r="J28" s="40" t="s">
        <v>1884</v>
      </c>
      <c r="K28" s="40" t="s">
        <v>25</v>
      </c>
      <c r="L28" s="40" t="s">
        <v>2713</v>
      </c>
      <c r="M28" s="40"/>
      <c r="N28" s="40"/>
      <c r="O28" s="40"/>
      <c r="P28" s="40"/>
      <c r="Q28" s="41">
        <v>1</v>
      </c>
    </row>
    <row r="29" spans="1:18" s="42" customFormat="1" x14ac:dyDescent="0.25">
      <c r="A29" s="40"/>
      <c r="B29" s="40" t="s">
        <v>1827</v>
      </c>
      <c r="C29" s="40" t="s">
        <v>2784</v>
      </c>
      <c r="D29" s="40" t="s">
        <v>2785</v>
      </c>
      <c r="E29" s="40" t="s">
        <v>2350</v>
      </c>
      <c r="F29" s="41">
        <v>3</v>
      </c>
      <c r="G29" s="41">
        <v>845</v>
      </c>
      <c r="H29" s="41">
        <v>25</v>
      </c>
      <c r="I29" s="41">
        <f t="shared" si="0"/>
        <v>820</v>
      </c>
      <c r="J29" s="40" t="s">
        <v>1884</v>
      </c>
      <c r="K29" s="40" t="s">
        <v>25</v>
      </c>
      <c r="L29" s="40" t="s">
        <v>2713</v>
      </c>
      <c r="M29" s="40"/>
      <c r="N29" s="40"/>
      <c r="O29" s="40"/>
      <c r="P29" s="40"/>
      <c r="Q29" s="41">
        <v>1</v>
      </c>
      <c r="R29" s="43"/>
    </row>
    <row r="31" spans="1:18" x14ac:dyDescent="0.25">
      <c r="G31">
        <f t="shared" ref="G31:R31" si="2">SUBTOTAL(9,G3:G30)</f>
        <v>18495</v>
      </c>
      <c r="H31">
        <f t="shared" si="2"/>
        <v>745</v>
      </c>
      <c r="I31">
        <f t="shared" si="2"/>
        <v>17750</v>
      </c>
      <c r="J31">
        <f t="shared" si="2"/>
        <v>0</v>
      </c>
      <c r="K31">
        <f t="shared" si="2"/>
        <v>0</v>
      </c>
      <c r="L31">
        <f t="shared" si="2"/>
        <v>0</v>
      </c>
      <c r="M31">
        <f t="shared" si="2"/>
        <v>0</v>
      </c>
      <c r="N31">
        <f t="shared" si="2"/>
        <v>0</v>
      </c>
      <c r="O31">
        <f t="shared" si="2"/>
        <v>0</v>
      </c>
      <c r="P31">
        <f t="shared" si="2"/>
        <v>0</v>
      </c>
      <c r="Q31">
        <f t="shared" si="2"/>
        <v>27</v>
      </c>
      <c r="R31">
        <f t="shared" si="2"/>
        <v>190</v>
      </c>
    </row>
    <row r="32" spans="1:18" x14ac:dyDescent="0.25">
      <c r="I32" s="29"/>
      <c r="J32" s="22"/>
    </row>
    <row r="33" spans="8:10" x14ac:dyDescent="0.25">
      <c r="I33" s="29"/>
      <c r="J33" s="22"/>
    </row>
    <row r="34" spans="8:10" x14ac:dyDescent="0.25">
      <c r="I34" s="29"/>
      <c r="J34" s="22"/>
    </row>
    <row r="35" spans="8:10" ht="18.75" customHeight="1" x14ac:dyDescent="0.3">
      <c r="H35" s="7" t="s">
        <v>2710</v>
      </c>
      <c r="I35" s="8" t="s">
        <v>313</v>
      </c>
      <c r="J35" s="9" t="s">
        <v>314</v>
      </c>
    </row>
    <row r="36" spans="8:10" ht="15.75" customHeight="1" x14ac:dyDescent="0.25">
      <c r="H36" s="10" t="s">
        <v>315</v>
      </c>
      <c r="I36" s="38">
        <f>SUM(I30:I34)</f>
        <v>17750</v>
      </c>
      <c r="J36" s="11">
        <f>Q31</f>
        <v>27</v>
      </c>
    </row>
    <row r="37" spans="8:10" x14ac:dyDescent="0.25">
      <c r="H37" s="12" t="s">
        <v>316</v>
      </c>
      <c r="I37" s="13">
        <f>R31</f>
        <v>190</v>
      </c>
      <c r="J37" s="14"/>
    </row>
    <row r="38" spans="8:10" x14ac:dyDescent="0.25">
      <c r="H38" s="12" t="s">
        <v>317</v>
      </c>
      <c r="I38" s="13">
        <f>S31</f>
        <v>0</v>
      </c>
      <c r="J38" s="14"/>
    </row>
    <row r="39" spans="8:10" x14ac:dyDescent="0.25">
      <c r="H39" s="12" t="s">
        <v>318</v>
      </c>
      <c r="I39" s="13">
        <f>T31</f>
        <v>0</v>
      </c>
      <c r="J39" s="14"/>
    </row>
    <row r="40" spans="8:10" x14ac:dyDescent="0.25">
      <c r="H40" s="12" t="s">
        <v>319</v>
      </c>
      <c r="I40" s="13">
        <f>U31</f>
        <v>0</v>
      </c>
      <c r="J40" s="14"/>
    </row>
    <row r="41" spans="8:10" ht="15.75" customHeight="1" x14ac:dyDescent="0.25">
      <c r="H41" s="15" t="s">
        <v>320</v>
      </c>
      <c r="I41" s="16"/>
      <c r="J41" s="16"/>
    </row>
    <row r="42" spans="8:10" ht="15.75" customHeight="1" x14ac:dyDescent="0.25">
      <c r="H42" s="17" t="s">
        <v>321</v>
      </c>
      <c r="I42" s="16"/>
      <c r="J42" s="16"/>
    </row>
    <row r="43" spans="8:10" ht="21" customHeight="1" x14ac:dyDescent="0.35">
      <c r="H43" s="18" t="s">
        <v>322</v>
      </c>
      <c r="I43" s="39">
        <f>SUM(I36:I42)</f>
        <v>17940</v>
      </c>
      <c r="J43" s="19">
        <f>SUM(J36:J40)</f>
        <v>27</v>
      </c>
    </row>
  </sheetData>
  <autoFilter ref="A2:P29" xr:uid="{00000000-0009-0000-0000-000012000000}">
    <sortState xmlns:xlrd2="http://schemas.microsoft.com/office/spreadsheetml/2017/richdata2" ref="A3:P29">
      <sortCondition ref="J2:J29"/>
    </sortState>
  </autoFilter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B45D-22F6-4E1D-B18B-A6C7E76C3F3D}">
  <dimension ref="A1:R82"/>
  <sheetViews>
    <sheetView topLeftCell="A48" zoomScale="80" zoomScaleNormal="80" workbookViewId="0">
      <selection activeCell="R36" sqref="R36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2.140625" bestFit="1" customWidth="1"/>
    <col min="7" max="7" width="9.140625" customWidth="1"/>
    <col min="8" max="8" width="5.5703125" customWidth="1"/>
    <col min="9" max="9" width="14.28515625" bestFit="1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0</v>
      </c>
      <c r="C1" t="s">
        <v>2786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"/>
    </row>
    <row r="3" spans="1:18" x14ac:dyDescent="0.25">
      <c r="B3" t="s">
        <v>1827</v>
      </c>
      <c r="C3" t="s">
        <v>2869</v>
      </c>
      <c r="D3" t="s">
        <v>2870</v>
      </c>
      <c r="E3" t="s">
        <v>2871</v>
      </c>
      <c r="F3" s="25">
        <v>9</v>
      </c>
      <c r="G3" s="25">
        <v>750</v>
      </c>
      <c r="H3" s="25">
        <v>30</v>
      </c>
      <c r="I3" s="25">
        <f t="shared" ref="I3:I8" si="0">G3-H3</f>
        <v>720</v>
      </c>
      <c r="J3" t="s">
        <v>1831</v>
      </c>
      <c r="K3" t="s">
        <v>25</v>
      </c>
      <c r="L3" t="s">
        <v>2788</v>
      </c>
      <c r="Q3" s="25">
        <v>1</v>
      </c>
    </row>
    <row r="4" spans="1:18" x14ac:dyDescent="0.25">
      <c r="A4" t="s">
        <v>1833</v>
      </c>
      <c r="B4" t="s">
        <v>1827</v>
      </c>
      <c r="C4" t="s">
        <v>2292</v>
      </c>
      <c r="E4" t="s">
        <v>1841</v>
      </c>
      <c r="F4" s="25">
        <v>6</v>
      </c>
      <c r="G4" s="25">
        <v>30</v>
      </c>
      <c r="H4" s="25">
        <v>30</v>
      </c>
      <c r="I4" s="25">
        <f t="shared" si="0"/>
        <v>0</v>
      </c>
      <c r="J4" t="s">
        <v>2791</v>
      </c>
      <c r="K4" t="s">
        <v>25</v>
      </c>
      <c r="L4" t="s">
        <v>2788</v>
      </c>
      <c r="Q4" s="25">
        <v>1</v>
      </c>
    </row>
    <row r="5" spans="1:18" x14ac:dyDescent="0.25">
      <c r="A5" t="s">
        <v>1833</v>
      </c>
      <c r="B5" t="s">
        <v>1827</v>
      </c>
      <c r="C5" t="s">
        <v>1847</v>
      </c>
      <c r="E5" t="s">
        <v>2298</v>
      </c>
      <c r="F5" s="25">
        <v>6</v>
      </c>
      <c r="G5" s="25">
        <v>800</v>
      </c>
      <c r="H5" s="25">
        <v>30</v>
      </c>
      <c r="I5" s="25">
        <f t="shared" si="0"/>
        <v>770</v>
      </c>
      <c r="J5" t="s">
        <v>2791</v>
      </c>
      <c r="K5" t="s">
        <v>25</v>
      </c>
      <c r="L5" t="s">
        <v>2788</v>
      </c>
      <c r="Q5" s="25">
        <v>1</v>
      </c>
    </row>
    <row r="6" spans="1:18" x14ac:dyDescent="0.25">
      <c r="A6" t="s">
        <v>1833</v>
      </c>
      <c r="B6" t="s">
        <v>1827</v>
      </c>
      <c r="C6" t="s">
        <v>2792</v>
      </c>
      <c r="E6" t="s">
        <v>2793</v>
      </c>
      <c r="F6" s="25">
        <v>6</v>
      </c>
      <c r="G6" s="25">
        <v>35</v>
      </c>
      <c r="H6" s="25">
        <v>35</v>
      </c>
      <c r="I6" s="25">
        <f t="shared" si="0"/>
        <v>0</v>
      </c>
      <c r="J6" t="s">
        <v>2791</v>
      </c>
      <c r="K6" t="s">
        <v>25</v>
      </c>
      <c r="L6" t="s">
        <v>2788</v>
      </c>
      <c r="Q6" s="25">
        <v>1</v>
      </c>
    </row>
    <row r="7" spans="1:18" x14ac:dyDescent="0.25">
      <c r="B7" t="s">
        <v>1827</v>
      </c>
      <c r="C7" t="s">
        <v>2797</v>
      </c>
      <c r="D7" t="s">
        <v>2798</v>
      </c>
      <c r="E7" t="s">
        <v>2799</v>
      </c>
      <c r="F7" t="s">
        <v>1976</v>
      </c>
      <c r="G7" s="25">
        <v>755</v>
      </c>
      <c r="H7" s="25">
        <v>35</v>
      </c>
      <c r="I7" s="25">
        <f t="shared" si="0"/>
        <v>720</v>
      </c>
      <c r="J7" t="s">
        <v>2791</v>
      </c>
      <c r="K7" t="s">
        <v>25</v>
      </c>
      <c r="L7" t="s">
        <v>2788</v>
      </c>
      <c r="Q7">
        <v>1</v>
      </c>
    </row>
    <row r="8" spans="1:18" s="33" customFormat="1" x14ac:dyDescent="0.25">
      <c r="B8" s="33" t="s">
        <v>1827</v>
      </c>
      <c r="C8" s="33" t="s">
        <v>2627</v>
      </c>
      <c r="D8" s="33" t="s">
        <v>2803</v>
      </c>
      <c r="E8" s="33" t="s">
        <v>2629</v>
      </c>
      <c r="F8" s="34">
        <v>7</v>
      </c>
      <c r="G8" s="34">
        <v>30</v>
      </c>
      <c r="H8" s="34">
        <v>30</v>
      </c>
      <c r="I8" s="34">
        <f t="shared" si="0"/>
        <v>0</v>
      </c>
      <c r="J8" s="33" t="s">
        <v>2791</v>
      </c>
      <c r="K8" s="33" t="s">
        <v>25</v>
      </c>
      <c r="L8" s="33" t="s">
        <v>2788</v>
      </c>
      <c r="M8" s="33" t="s">
        <v>472</v>
      </c>
      <c r="Q8" s="34">
        <v>1</v>
      </c>
    </row>
    <row r="9" spans="1:18" x14ac:dyDescent="0.25">
      <c r="B9" t="s">
        <v>1827</v>
      </c>
      <c r="C9" t="s">
        <v>2807</v>
      </c>
      <c r="D9" t="s">
        <v>2808</v>
      </c>
      <c r="E9" t="s">
        <v>2809</v>
      </c>
      <c r="F9" s="25">
        <v>6</v>
      </c>
      <c r="G9" s="25">
        <v>0</v>
      </c>
      <c r="H9" s="25">
        <v>25</v>
      </c>
      <c r="I9" s="25">
        <f>-H9</f>
        <v>-25</v>
      </c>
      <c r="J9" t="s">
        <v>2791</v>
      </c>
      <c r="K9" t="s">
        <v>25</v>
      </c>
      <c r="L9" t="s">
        <v>2788</v>
      </c>
      <c r="Q9" s="25">
        <v>1</v>
      </c>
      <c r="R9" s="25">
        <f>H9</f>
        <v>25</v>
      </c>
    </row>
    <row r="10" spans="1:18" x14ac:dyDescent="0.25">
      <c r="B10" t="s">
        <v>1827</v>
      </c>
      <c r="C10" t="s">
        <v>2827</v>
      </c>
      <c r="D10" t="s">
        <v>2828</v>
      </c>
      <c r="E10" t="s">
        <v>2829</v>
      </c>
      <c r="F10" t="s">
        <v>1853</v>
      </c>
      <c r="G10" s="25">
        <v>750</v>
      </c>
      <c r="H10" s="25">
        <v>30</v>
      </c>
      <c r="I10" s="25">
        <f>G10-H10</f>
        <v>720</v>
      </c>
      <c r="J10" t="s">
        <v>2791</v>
      </c>
      <c r="K10" t="s">
        <v>25</v>
      </c>
      <c r="L10" t="s">
        <v>2788</v>
      </c>
      <c r="Q10" s="25">
        <v>1</v>
      </c>
    </row>
    <row r="11" spans="1:18" x14ac:dyDescent="0.25">
      <c r="B11" t="s">
        <v>1827</v>
      </c>
      <c r="C11" t="s">
        <v>2836</v>
      </c>
      <c r="D11" t="s">
        <v>2837</v>
      </c>
      <c r="E11" t="s">
        <v>2838</v>
      </c>
      <c r="F11" s="25">
        <v>11</v>
      </c>
      <c r="G11" s="25">
        <v>715</v>
      </c>
      <c r="H11" s="25">
        <v>25</v>
      </c>
      <c r="I11" s="25">
        <f>G11-H11</f>
        <v>690</v>
      </c>
      <c r="J11" t="s">
        <v>2791</v>
      </c>
      <c r="K11" t="s">
        <v>25</v>
      </c>
      <c r="L11" t="s">
        <v>2788</v>
      </c>
      <c r="Q11" s="25">
        <v>1</v>
      </c>
    </row>
    <row r="12" spans="1:18" x14ac:dyDescent="0.25">
      <c r="B12" t="s">
        <v>1827</v>
      </c>
      <c r="C12" t="s">
        <v>2842</v>
      </c>
      <c r="D12" t="s">
        <v>2843</v>
      </c>
      <c r="E12" t="s">
        <v>2844</v>
      </c>
      <c r="F12" t="s">
        <v>1853</v>
      </c>
      <c r="G12" s="25">
        <v>0</v>
      </c>
      <c r="H12" s="25">
        <v>30</v>
      </c>
      <c r="I12" s="25">
        <f>-H12</f>
        <v>-30</v>
      </c>
      <c r="J12" t="s">
        <v>2791</v>
      </c>
      <c r="K12" t="s">
        <v>25</v>
      </c>
      <c r="L12" t="s">
        <v>2788</v>
      </c>
      <c r="Q12" s="25">
        <v>1</v>
      </c>
      <c r="R12" s="25">
        <f>H12</f>
        <v>30</v>
      </c>
    </row>
    <row r="13" spans="1:18" x14ac:dyDescent="0.25">
      <c r="B13" t="s">
        <v>1827</v>
      </c>
      <c r="C13" t="s">
        <v>2845</v>
      </c>
      <c r="D13" t="s">
        <v>2846</v>
      </c>
      <c r="E13" t="s">
        <v>2847</v>
      </c>
      <c r="F13" t="s">
        <v>1853</v>
      </c>
      <c r="G13" s="25">
        <v>0</v>
      </c>
      <c r="H13" s="25">
        <v>30</v>
      </c>
      <c r="I13" s="25">
        <f t="shared" ref="I13:I18" si="1">G13-H13</f>
        <v>-30</v>
      </c>
      <c r="J13" t="s">
        <v>2791</v>
      </c>
      <c r="K13" t="s">
        <v>25</v>
      </c>
      <c r="L13" t="s">
        <v>2788</v>
      </c>
      <c r="Q13" s="25">
        <v>1</v>
      </c>
      <c r="R13" s="25">
        <f>H13</f>
        <v>30</v>
      </c>
    </row>
    <row r="14" spans="1:18" x14ac:dyDescent="0.25">
      <c r="B14" t="s">
        <v>1827</v>
      </c>
      <c r="C14" t="s">
        <v>2853</v>
      </c>
      <c r="D14" t="s">
        <v>2854</v>
      </c>
      <c r="E14" t="s">
        <v>2855</v>
      </c>
      <c r="F14" s="25">
        <v>12</v>
      </c>
      <c r="G14" s="25">
        <v>700</v>
      </c>
      <c r="H14" s="25">
        <v>30</v>
      </c>
      <c r="I14" s="25">
        <f t="shared" si="1"/>
        <v>670</v>
      </c>
      <c r="J14" t="s">
        <v>2791</v>
      </c>
      <c r="K14" t="s">
        <v>25</v>
      </c>
      <c r="L14" t="s">
        <v>2788</v>
      </c>
      <c r="Q14" s="25">
        <v>1</v>
      </c>
    </row>
    <row r="15" spans="1:18" x14ac:dyDescent="0.25">
      <c r="B15" t="s">
        <v>1827</v>
      </c>
      <c r="C15" t="s">
        <v>2362</v>
      </c>
      <c r="D15" t="s">
        <v>2861</v>
      </c>
      <c r="E15" t="s">
        <v>2862</v>
      </c>
      <c r="F15" t="s">
        <v>1853</v>
      </c>
      <c r="G15" s="25">
        <v>670</v>
      </c>
      <c r="H15" s="25">
        <v>30</v>
      </c>
      <c r="I15" s="25">
        <f t="shared" si="1"/>
        <v>640</v>
      </c>
      <c r="J15" t="s">
        <v>2791</v>
      </c>
      <c r="K15" t="s">
        <v>25</v>
      </c>
      <c r="L15" t="s">
        <v>2788</v>
      </c>
      <c r="Q15" s="25">
        <v>1</v>
      </c>
    </row>
    <row r="16" spans="1:18" x14ac:dyDescent="0.25">
      <c r="B16" t="s">
        <v>1827</v>
      </c>
      <c r="C16" t="s">
        <v>2876</v>
      </c>
      <c r="D16" t="s">
        <v>2877</v>
      </c>
      <c r="E16" t="s">
        <v>2878</v>
      </c>
      <c r="F16" s="25">
        <v>7</v>
      </c>
      <c r="G16" s="25">
        <v>750</v>
      </c>
      <c r="H16" s="25">
        <v>30</v>
      </c>
      <c r="I16" s="25">
        <f t="shared" si="1"/>
        <v>720</v>
      </c>
      <c r="J16" t="s">
        <v>2791</v>
      </c>
      <c r="K16" t="s">
        <v>25</v>
      </c>
      <c r="L16" t="s">
        <v>2788</v>
      </c>
      <c r="Q16" s="25">
        <v>1</v>
      </c>
    </row>
    <row r="17" spans="1:18" x14ac:dyDescent="0.25">
      <c r="B17" t="s">
        <v>1827</v>
      </c>
      <c r="C17" t="s">
        <v>2888</v>
      </c>
      <c r="D17" t="s">
        <v>2889</v>
      </c>
      <c r="E17" t="s">
        <v>2890</v>
      </c>
      <c r="F17" t="s">
        <v>1853</v>
      </c>
      <c r="G17" s="25">
        <v>1660</v>
      </c>
      <c r="H17" s="25">
        <v>30</v>
      </c>
      <c r="I17" s="25">
        <f t="shared" si="1"/>
        <v>1630</v>
      </c>
      <c r="J17" t="s">
        <v>2791</v>
      </c>
      <c r="K17" t="s">
        <v>25</v>
      </c>
      <c r="L17" t="s">
        <v>2788</v>
      </c>
      <c r="Q17" s="25">
        <v>1</v>
      </c>
    </row>
    <row r="18" spans="1:18" x14ac:dyDescent="0.25">
      <c r="B18" t="s">
        <v>1827</v>
      </c>
      <c r="C18" t="s">
        <v>2897</v>
      </c>
      <c r="D18" t="s">
        <v>2898</v>
      </c>
      <c r="E18" t="s">
        <v>2899</v>
      </c>
      <c r="F18" s="25">
        <v>11</v>
      </c>
      <c r="G18" s="25">
        <v>915</v>
      </c>
      <c r="H18" s="25">
        <v>25</v>
      </c>
      <c r="I18" s="25">
        <f t="shared" si="1"/>
        <v>890</v>
      </c>
      <c r="J18" t="s">
        <v>2791</v>
      </c>
      <c r="K18" t="s">
        <v>25</v>
      </c>
      <c r="L18" t="s">
        <v>2788</v>
      </c>
      <c r="Q18" s="25">
        <v>1</v>
      </c>
    </row>
    <row r="19" spans="1:18" x14ac:dyDescent="0.25">
      <c r="B19" t="s">
        <v>1827</v>
      </c>
      <c r="C19" t="s">
        <v>2912</v>
      </c>
      <c r="D19" t="s">
        <v>2913</v>
      </c>
      <c r="E19" t="s">
        <v>2914</v>
      </c>
      <c r="F19" s="25">
        <v>7</v>
      </c>
      <c r="G19" s="25">
        <v>0</v>
      </c>
      <c r="H19" s="25">
        <v>30</v>
      </c>
      <c r="I19" s="25">
        <f>-H19</f>
        <v>-30</v>
      </c>
      <c r="J19" t="s">
        <v>2791</v>
      </c>
      <c r="K19" t="s">
        <v>25</v>
      </c>
      <c r="L19" t="s">
        <v>2788</v>
      </c>
      <c r="Q19" s="25">
        <v>1</v>
      </c>
      <c r="R19" s="25">
        <f>H19</f>
        <v>30</v>
      </c>
    </row>
    <row r="20" spans="1:18" x14ac:dyDescent="0.25">
      <c r="B20" t="s">
        <v>1827</v>
      </c>
      <c r="C20" t="s">
        <v>2915</v>
      </c>
      <c r="D20" t="s">
        <v>2916</v>
      </c>
      <c r="E20" t="s">
        <v>2917</v>
      </c>
      <c r="F20" s="25">
        <v>12</v>
      </c>
      <c r="G20" s="25">
        <v>740</v>
      </c>
      <c r="H20" s="25">
        <v>30</v>
      </c>
      <c r="I20" s="25">
        <f>G20-H20</f>
        <v>710</v>
      </c>
      <c r="J20" t="s">
        <v>2791</v>
      </c>
      <c r="K20" t="s">
        <v>25</v>
      </c>
      <c r="L20" t="s">
        <v>2788</v>
      </c>
      <c r="Q20" s="25">
        <v>1</v>
      </c>
    </row>
    <row r="21" spans="1:18" x14ac:dyDescent="0.25">
      <c r="B21" t="s">
        <v>1827</v>
      </c>
      <c r="C21" t="s">
        <v>2918</v>
      </c>
      <c r="D21" t="s">
        <v>2919</v>
      </c>
      <c r="E21" t="s">
        <v>2920</v>
      </c>
      <c r="F21" t="s">
        <v>1853</v>
      </c>
      <c r="G21" s="25">
        <v>750</v>
      </c>
      <c r="H21" s="25">
        <v>30</v>
      </c>
      <c r="I21" s="25">
        <f>G21-H21</f>
        <v>720</v>
      </c>
      <c r="J21" t="s">
        <v>2791</v>
      </c>
      <c r="K21" t="s">
        <v>25</v>
      </c>
      <c r="L21" t="s">
        <v>2788</v>
      </c>
      <c r="Q21" s="25">
        <v>1</v>
      </c>
    </row>
    <row r="22" spans="1:18" x14ac:dyDescent="0.25">
      <c r="B22" t="s">
        <v>1827</v>
      </c>
      <c r="C22" t="s">
        <v>1907</v>
      </c>
      <c r="D22" t="s">
        <v>2924</v>
      </c>
      <c r="E22" t="s">
        <v>2925</v>
      </c>
      <c r="F22" s="25">
        <v>12</v>
      </c>
      <c r="G22" s="25">
        <v>0</v>
      </c>
      <c r="H22" s="25">
        <v>30</v>
      </c>
      <c r="I22" s="25">
        <f>-H22</f>
        <v>-30</v>
      </c>
      <c r="J22" t="s">
        <v>2791</v>
      </c>
      <c r="K22" t="s">
        <v>25</v>
      </c>
      <c r="L22" t="s">
        <v>2788</v>
      </c>
      <c r="Q22" s="25">
        <v>1</v>
      </c>
      <c r="R22" s="25">
        <f>H22</f>
        <v>30</v>
      </c>
    </row>
    <row r="23" spans="1:18" x14ac:dyDescent="0.25">
      <c r="B23" t="s">
        <v>1827</v>
      </c>
      <c r="C23" t="s">
        <v>2929</v>
      </c>
      <c r="D23" t="s">
        <v>2930</v>
      </c>
      <c r="E23" t="s">
        <v>2931</v>
      </c>
      <c r="F23" s="25">
        <v>12</v>
      </c>
      <c r="G23" s="25">
        <v>850</v>
      </c>
      <c r="H23" s="25">
        <v>30</v>
      </c>
      <c r="I23" s="25">
        <f>G23-H23</f>
        <v>820</v>
      </c>
      <c r="J23" t="s">
        <v>2791</v>
      </c>
      <c r="K23" t="s">
        <v>25</v>
      </c>
      <c r="L23" t="s">
        <v>2788</v>
      </c>
      <c r="Q23" s="25">
        <v>1</v>
      </c>
    </row>
    <row r="24" spans="1:18" x14ac:dyDescent="0.25">
      <c r="B24" t="s">
        <v>1827</v>
      </c>
      <c r="C24" t="s">
        <v>2935</v>
      </c>
      <c r="D24" t="s">
        <v>2936</v>
      </c>
      <c r="E24" t="s">
        <v>2937</v>
      </c>
      <c r="F24" s="25">
        <v>2</v>
      </c>
      <c r="G24" s="25">
        <v>700</v>
      </c>
      <c r="H24" s="25">
        <v>30</v>
      </c>
      <c r="I24" s="25">
        <f>G24-H24</f>
        <v>670</v>
      </c>
      <c r="J24" t="s">
        <v>2791</v>
      </c>
      <c r="K24" t="s">
        <v>25</v>
      </c>
      <c r="L24" t="s">
        <v>2788</v>
      </c>
      <c r="Q24" s="25">
        <v>1</v>
      </c>
    </row>
    <row r="25" spans="1:18" x14ac:dyDescent="0.25">
      <c r="B25" t="s">
        <v>1827</v>
      </c>
      <c r="C25" t="s">
        <v>2138</v>
      </c>
      <c r="D25" t="s">
        <v>2943</v>
      </c>
      <c r="E25" t="s">
        <v>2944</v>
      </c>
      <c r="F25" t="s">
        <v>444</v>
      </c>
      <c r="G25" s="25">
        <v>925</v>
      </c>
      <c r="H25" s="25">
        <v>35</v>
      </c>
      <c r="I25" s="25">
        <f>G25-H25</f>
        <v>890</v>
      </c>
      <c r="J25" t="s">
        <v>2791</v>
      </c>
      <c r="K25" t="s">
        <v>25</v>
      </c>
      <c r="L25" t="s">
        <v>2788</v>
      </c>
      <c r="Q25" s="25">
        <v>1</v>
      </c>
    </row>
    <row r="26" spans="1:18" x14ac:dyDescent="0.25">
      <c r="B26" t="s">
        <v>1827</v>
      </c>
      <c r="C26" t="s">
        <v>2945</v>
      </c>
      <c r="D26" t="s">
        <v>2946</v>
      </c>
      <c r="E26" t="s">
        <v>2947</v>
      </c>
      <c r="F26" s="25">
        <v>8</v>
      </c>
      <c r="G26" s="25">
        <v>700</v>
      </c>
      <c r="H26" s="25">
        <v>30</v>
      </c>
      <c r="I26" s="25">
        <f>G26-H26</f>
        <v>670</v>
      </c>
      <c r="J26" t="s">
        <v>2791</v>
      </c>
      <c r="K26" t="s">
        <v>25</v>
      </c>
      <c r="L26" t="s">
        <v>2788</v>
      </c>
      <c r="Q26" s="25">
        <v>1</v>
      </c>
    </row>
    <row r="27" spans="1:18" x14ac:dyDescent="0.25">
      <c r="B27" t="s">
        <v>1827</v>
      </c>
      <c r="C27" t="s">
        <v>2952</v>
      </c>
      <c r="D27" t="s">
        <v>2953</v>
      </c>
      <c r="E27" t="s">
        <v>2954</v>
      </c>
      <c r="F27" s="25">
        <v>7</v>
      </c>
      <c r="G27" s="25">
        <v>0</v>
      </c>
      <c r="H27" s="25">
        <v>30</v>
      </c>
      <c r="I27" s="25">
        <f>-H27</f>
        <v>-30</v>
      </c>
      <c r="J27" t="s">
        <v>2791</v>
      </c>
      <c r="K27" t="s">
        <v>25</v>
      </c>
      <c r="L27" t="s">
        <v>2788</v>
      </c>
      <c r="Q27" s="25">
        <v>1</v>
      </c>
      <c r="R27" s="25">
        <f>H27</f>
        <v>30</v>
      </c>
    </row>
    <row r="28" spans="1:18" x14ac:dyDescent="0.25">
      <c r="A28" t="s">
        <v>1833</v>
      </c>
      <c r="B28" t="s">
        <v>1827</v>
      </c>
      <c r="C28" t="s">
        <v>2015</v>
      </c>
      <c r="E28" t="s">
        <v>2016</v>
      </c>
      <c r="F28" t="s">
        <v>98</v>
      </c>
      <c r="G28" s="25">
        <v>30</v>
      </c>
      <c r="H28" s="25">
        <v>30</v>
      </c>
      <c r="I28" s="25">
        <f>G28-H28</f>
        <v>0</v>
      </c>
      <c r="J28" t="s">
        <v>25</v>
      </c>
      <c r="K28" t="s">
        <v>25</v>
      </c>
      <c r="L28" t="s">
        <v>2788</v>
      </c>
      <c r="Q28" s="25">
        <v>1</v>
      </c>
    </row>
    <row r="29" spans="1:18" x14ac:dyDescent="0.25">
      <c r="A29" t="s">
        <v>1833</v>
      </c>
      <c r="B29" t="s">
        <v>1827</v>
      </c>
      <c r="C29" t="s">
        <v>2789</v>
      </c>
      <c r="E29" t="s">
        <v>2790</v>
      </c>
      <c r="F29" t="s">
        <v>58</v>
      </c>
      <c r="G29" s="25">
        <v>955</v>
      </c>
      <c r="H29" s="25">
        <v>25</v>
      </c>
      <c r="I29" s="25">
        <f>G29-H29</f>
        <v>930</v>
      </c>
      <c r="J29" t="s">
        <v>25</v>
      </c>
      <c r="K29" t="s">
        <v>25</v>
      </c>
      <c r="L29" t="s">
        <v>2788</v>
      </c>
      <c r="Q29" s="25">
        <v>1</v>
      </c>
    </row>
    <row r="30" spans="1:18" x14ac:dyDescent="0.25">
      <c r="B30" t="s">
        <v>1827</v>
      </c>
      <c r="C30" t="s">
        <v>2800</v>
      </c>
      <c r="D30" t="s">
        <v>2801</v>
      </c>
      <c r="E30" t="s">
        <v>2802</v>
      </c>
      <c r="F30" s="25">
        <v>2</v>
      </c>
      <c r="G30" s="25">
        <v>720</v>
      </c>
      <c r="H30" s="25">
        <v>30</v>
      </c>
      <c r="I30" s="25">
        <f>G30-H30</f>
        <v>690</v>
      </c>
      <c r="J30" t="s">
        <v>25</v>
      </c>
      <c r="K30" t="s">
        <v>25</v>
      </c>
      <c r="L30" t="s">
        <v>2788</v>
      </c>
      <c r="Q30" s="25">
        <v>1</v>
      </c>
    </row>
    <row r="31" spans="1:18" x14ac:dyDescent="0.25">
      <c r="B31" t="s">
        <v>1827</v>
      </c>
      <c r="C31" t="s">
        <v>2810</v>
      </c>
      <c r="D31" t="s">
        <v>2811</v>
      </c>
      <c r="E31" t="s">
        <v>2812</v>
      </c>
      <c r="F31" t="s">
        <v>103</v>
      </c>
      <c r="G31" s="25">
        <v>760</v>
      </c>
      <c r="H31" s="25">
        <v>30</v>
      </c>
      <c r="I31" s="25">
        <f>G31-H31</f>
        <v>730</v>
      </c>
      <c r="J31" t="s">
        <v>25</v>
      </c>
      <c r="K31" t="s">
        <v>25</v>
      </c>
      <c r="L31" t="s">
        <v>2788</v>
      </c>
      <c r="Q31" s="25">
        <v>1</v>
      </c>
    </row>
    <row r="32" spans="1:18" x14ac:dyDescent="0.25">
      <c r="B32" t="s">
        <v>1827</v>
      </c>
      <c r="C32" t="s">
        <v>2819</v>
      </c>
      <c r="D32" t="s">
        <v>2820</v>
      </c>
      <c r="E32" t="s">
        <v>2304</v>
      </c>
      <c r="F32" t="s">
        <v>70</v>
      </c>
      <c r="G32" s="25">
        <v>745</v>
      </c>
      <c r="H32" s="25">
        <v>25</v>
      </c>
      <c r="I32" s="25">
        <f>G32-H32</f>
        <v>720</v>
      </c>
      <c r="J32" t="s">
        <v>25</v>
      </c>
      <c r="K32" t="s">
        <v>25</v>
      </c>
      <c r="L32" t="s">
        <v>2788</v>
      </c>
      <c r="Q32" s="25">
        <v>1</v>
      </c>
    </row>
    <row r="33" spans="1:18" x14ac:dyDescent="0.25">
      <c r="B33" t="s">
        <v>1827</v>
      </c>
      <c r="C33" t="s">
        <v>2821</v>
      </c>
      <c r="D33" t="s">
        <v>2822</v>
      </c>
      <c r="E33" t="s">
        <v>2823</v>
      </c>
      <c r="F33" s="25">
        <v>2</v>
      </c>
      <c r="G33" s="25">
        <v>0</v>
      </c>
      <c r="H33" s="25">
        <v>30</v>
      </c>
      <c r="I33" s="25">
        <f>-H33</f>
        <v>-30</v>
      </c>
      <c r="J33" t="s">
        <v>25</v>
      </c>
      <c r="K33" t="s">
        <v>25</v>
      </c>
      <c r="L33" t="s">
        <v>2788</v>
      </c>
      <c r="Q33" s="25">
        <v>1</v>
      </c>
      <c r="R33" s="25">
        <f t="shared" ref="R33:R34" si="2">H33</f>
        <v>30</v>
      </c>
    </row>
    <row r="34" spans="1:18" x14ac:dyDescent="0.25">
      <c r="B34" t="s">
        <v>1827</v>
      </c>
      <c r="C34" t="s">
        <v>2833</v>
      </c>
      <c r="D34" t="s">
        <v>2834</v>
      </c>
      <c r="E34" t="s">
        <v>2835</v>
      </c>
      <c r="F34" s="25">
        <v>2</v>
      </c>
      <c r="G34" s="25">
        <v>0</v>
      </c>
      <c r="H34" s="25">
        <v>30</v>
      </c>
      <c r="I34" s="25">
        <f>-H34</f>
        <v>-30</v>
      </c>
      <c r="J34" t="s">
        <v>25</v>
      </c>
      <c r="K34" t="s">
        <v>25</v>
      </c>
      <c r="L34" t="s">
        <v>2788</v>
      </c>
      <c r="Q34" s="25">
        <v>1</v>
      </c>
      <c r="R34" s="25">
        <f t="shared" si="2"/>
        <v>30</v>
      </c>
    </row>
    <row r="35" spans="1:18" x14ac:dyDescent="0.25">
      <c r="B35" t="s">
        <v>1827</v>
      </c>
      <c r="C35" t="s">
        <v>2679</v>
      </c>
      <c r="D35" t="s">
        <v>2848</v>
      </c>
      <c r="E35" t="s">
        <v>2849</v>
      </c>
      <c r="F35" t="s">
        <v>98</v>
      </c>
      <c r="G35" s="25">
        <v>2080</v>
      </c>
      <c r="H35" s="25">
        <v>30</v>
      </c>
      <c r="I35" s="25">
        <f>G35-H35</f>
        <v>2050</v>
      </c>
      <c r="J35" t="s">
        <v>25</v>
      </c>
      <c r="K35" t="s">
        <v>25</v>
      </c>
      <c r="L35" t="s">
        <v>2788</v>
      </c>
      <c r="M35" s="51" t="s">
        <v>2403</v>
      </c>
      <c r="Q35" s="25">
        <v>1</v>
      </c>
      <c r="R35" s="25">
        <f>H35</f>
        <v>30</v>
      </c>
    </row>
    <row r="36" spans="1:18" x14ac:dyDescent="0.25">
      <c r="B36" t="s">
        <v>1827</v>
      </c>
      <c r="C36" t="s">
        <v>2850</v>
      </c>
      <c r="D36" t="s">
        <v>2851</v>
      </c>
      <c r="E36" t="s">
        <v>2852</v>
      </c>
      <c r="F36" t="s">
        <v>103</v>
      </c>
      <c r="G36" s="25">
        <v>0</v>
      </c>
      <c r="H36" s="25">
        <v>30</v>
      </c>
      <c r="I36" s="25">
        <f>-H36</f>
        <v>-30</v>
      </c>
      <c r="J36" t="s">
        <v>25</v>
      </c>
      <c r="K36" t="s">
        <v>25</v>
      </c>
      <c r="L36" t="s">
        <v>2788</v>
      </c>
      <c r="Q36" s="25">
        <v>1</v>
      </c>
      <c r="R36" s="25">
        <f>H36</f>
        <v>30</v>
      </c>
    </row>
    <row r="37" spans="1:18" x14ac:dyDescent="0.25">
      <c r="B37" t="s">
        <v>1827</v>
      </c>
      <c r="C37" t="s">
        <v>2879</v>
      </c>
      <c r="D37" t="s">
        <v>2880</v>
      </c>
      <c r="E37" t="s">
        <v>2881</v>
      </c>
      <c r="F37" t="s">
        <v>70</v>
      </c>
      <c r="G37" s="25">
        <v>795</v>
      </c>
      <c r="H37" s="25">
        <v>25</v>
      </c>
      <c r="I37" s="25">
        <f>G37-H37</f>
        <v>770</v>
      </c>
      <c r="J37" t="s">
        <v>25</v>
      </c>
      <c r="K37" t="s">
        <v>25</v>
      </c>
      <c r="L37" t="s">
        <v>2788</v>
      </c>
      <c r="Q37" s="25">
        <v>1</v>
      </c>
    </row>
    <row r="38" spans="1:18" x14ac:dyDescent="0.25">
      <c r="B38" t="s">
        <v>1827</v>
      </c>
      <c r="C38" t="s">
        <v>2903</v>
      </c>
      <c r="D38" t="s">
        <v>2904</v>
      </c>
      <c r="E38" t="s">
        <v>2905</v>
      </c>
      <c r="F38" t="s">
        <v>103</v>
      </c>
      <c r="G38" s="25">
        <v>820</v>
      </c>
      <c r="H38" s="25">
        <v>30</v>
      </c>
      <c r="I38" s="25">
        <f>G38-H38</f>
        <v>790</v>
      </c>
      <c r="J38" t="s">
        <v>25</v>
      </c>
      <c r="K38" t="s">
        <v>25</v>
      </c>
      <c r="L38" t="s">
        <v>2788</v>
      </c>
      <c r="Q38" s="25">
        <v>1</v>
      </c>
    </row>
    <row r="39" spans="1:18" x14ac:dyDescent="0.25">
      <c r="B39" t="s">
        <v>1827</v>
      </c>
      <c r="C39" t="s">
        <v>2929</v>
      </c>
      <c r="D39" t="s">
        <v>2941</v>
      </c>
      <c r="E39" t="s">
        <v>2942</v>
      </c>
      <c r="F39" s="25">
        <v>2</v>
      </c>
      <c r="G39" s="25">
        <v>920</v>
      </c>
      <c r="H39" s="25">
        <v>30</v>
      </c>
      <c r="I39" s="25">
        <f>G39-H39</f>
        <v>890</v>
      </c>
      <c r="J39" t="s">
        <v>25</v>
      </c>
      <c r="K39" t="s">
        <v>25</v>
      </c>
      <c r="L39" t="s">
        <v>2788</v>
      </c>
      <c r="Q39" s="25">
        <v>1</v>
      </c>
    </row>
    <row r="40" spans="1:18" x14ac:dyDescent="0.25">
      <c r="B40" t="s">
        <v>1827</v>
      </c>
      <c r="C40" t="s">
        <v>2948</v>
      </c>
      <c r="D40" t="s">
        <v>2949</v>
      </c>
      <c r="E40" t="s">
        <v>2950</v>
      </c>
      <c r="F40" t="s">
        <v>58</v>
      </c>
      <c r="G40" s="25">
        <v>690</v>
      </c>
      <c r="H40" s="25">
        <v>20</v>
      </c>
      <c r="I40" s="25">
        <f>G40-H40</f>
        <v>670</v>
      </c>
      <c r="J40" t="s">
        <v>25</v>
      </c>
      <c r="K40" t="s">
        <v>25</v>
      </c>
      <c r="L40" t="s">
        <v>2788</v>
      </c>
      <c r="Q40" s="25">
        <v>1</v>
      </c>
    </row>
    <row r="41" spans="1:18" x14ac:dyDescent="0.25">
      <c r="B41" t="s">
        <v>1827</v>
      </c>
      <c r="C41" t="s">
        <v>1869</v>
      </c>
      <c r="D41" t="s">
        <v>2951</v>
      </c>
      <c r="E41" t="s">
        <v>1871</v>
      </c>
      <c r="F41" t="s">
        <v>58</v>
      </c>
      <c r="G41" s="25">
        <v>0</v>
      </c>
      <c r="H41" s="25">
        <v>20</v>
      </c>
      <c r="I41" s="25">
        <f>-H41</f>
        <v>-20</v>
      </c>
      <c r="J41" t="s">
        <v>25</v>
      </c>
      <c r="K41" t="s">
        <v>25</v>
      </c>
      <c r="L41" t="s">
        <v>2788</v>
      </c>
      <c r="Q41" s="25">
        <v>1</v>
      </c>
      <c r="R41" s="25">
        <f>H41</f>
        <v>20</v>
      </c>
    </row>
    <row r="42" spans="1:18" x14ac:dyDescent="0.25">
      <c r="A42" t="s">
        <v>1833</v>
      </c>
      <c r="B42" t="s">
        <v>1827</v>
      </c>
      <c r="C42" t="s">
        <v>2036</v>
      </c>
      <c r="E42" t="s">
        <v>2037</v>
      </c>
      <c r="F42" s="25">
        <v>4</v>
      </c>
      <c r="G42" s="25">
        <v>30</v>
      </c>
      <c r="H42" s="25">
        <v>30</v>
      </c>
      <c r="I42" s="25">
        <f t="shared" ref="I42:I48" si="3">G42-H42</f>
        <v>0</v>
      </c>
      <c r="J42" t="s">
        <v>1884</v>
      </c>
      <c r="K42" t="s">
        <v>25</v>
      </c>
      <c r="L42" t="s">
        <v>2788</v>
      </c>
      <c r="Q42" s="25">
        <v>1</v>
      </c>
    </row>
    <row r="43" spans="1:18" x14ac:dyDescent="0.25">
      <c r="B43" t="s">
        <v>1827</v>
      </c>
      <c r="C43" t="s">
        <v>2794</v>
      </c>
      <c r="D43" t="s">
        <v>2795</v>
      </c>
      <c r="E43" t="s">
        <v>2796</v>
      </c>
      <c r="F43" t="s">
        <v>98</v>
      </c>
      <c r="G43" s="25">
        <v>845</v>
      </c>
      <c r="H43" s="25">
        <v>25</v>
      </c>
      <c r="I43" s="25">
        <f t="shared" si="3"/>
        <v>820</v>
      </c>
      <c r="J43" t="s">
        <v>1884</v>
      </c>
      <c r="K43" t="s">
        <v>25</v>
      </c>
      <c r="L43" t="s">
        <v>2788</v>
      </c>
      <c r="Q43" s="25">
        <v>1</v>
      </c>
    </row>
    <row r="44" spans="1:18" x14ac:dyDescent="0.25">
      <c r="B44" t="s">
        <v>1827</v>
      </c>
      <c r="C44" t="s">
        <v>2804</v>
      </c>
      <c r="D44" t="s">
        <v>2805</v>
      </c>
      <c r="E44" t="s">
        <v>2806</v>
      </c>
      <c r="F44" s="25">
        <v>4</v>
      </c>
      <c r="G44" s="25">
        <v>745</v>
      </c>
      <c r="H44" s="25">
        <v>25</v>
      </c>
      <c r="I44" s="25">
        <f t="shared" si="3"/>
        <v>720</v>
      </c>
      <c r="J44" t="s">
        <v>1884</v>
      </c>
      <c r="K44" t="s">
        <v>25</v>
      </c>
      <c r="L44" t="s">
        <v>2788</v>
      </c>
      <c r="Q44" s="25">
        <v>1</v>
      </c>
    </row>
    <row r="45" spans="1:18" x14ac:dyDescent="0.25">
      <c r="B45" t="s">
        <v>1827</v>
      </c>
      <c r="C45" t="s">
        <v>2813</v>
      </c>
      <c r="D45" t="s">
        <v>2814</v>
      </c>
      <c r="E45" t="s">
        <v>2815</v>
      </c>
      <c r="F45" s="25">
        <v>1</v>
      </c>
      <c r="G45" s="25">
        <v>765</v>
      </c>
      <c r="H45" s="25">
        <v>25</v>
      </c>
      <c r="I45" s="25">
        <f t="shared" si="3"/>
        <v>740</v>
      </c>
      <c r="J45" t="s">
        <v>1884</v>
      </c>
      <c r="K45" t="s">
        <v>25</v>
      </c>
      <c r="L45" t="s">
        <v>2788</v>
      </c>
      <c r="Q45" s="25">
        <v>1</v>
      </c>
    </row>
    <row r="46" spans="1:18" x14ac:dyDescent="0.25">
      <c r="B46" t="s">
        <v>1827</v>
      </c>
      <c r="C46" t="s">
        <v>2816</v>
      </c>
      <c r="D46" t="s">
        <v>2817</v>
      </c>
      <c r="E46" t="s">
        <v>2818</v>
      </c>
      <c r="F46" s="25">
        <v>4</v>
      </c>
      <c r="G46" s="25">
        <v>695</v>
      </c>
      <c r="H46" s="25">
        <v>25</v>
      </c>
      <c r="I46" s="25">
        <f t="shared" si="3"/>
        <v>670</v>
      </c>
      <c r="J46" t="s">
        <v>1884</v>
      </c>
      <c r="K46" t="s">
        <v>25</v>
      </c>
      <c r="L46" t="s">
        <v>2788</v>
      </c>
      <c r="Q46" s="25">
        <v>1</v>
      </c>
    </row>
    <row r="47" spans="1:18" x14ac:dyDescent="0.25">
      <c r="B47" t="s">
        <v>1827</v>
      </c>
      <c r="C47" t="s">
        <v>2824</v>
      </c>
      <c r="D47" t="s">
        <v>2825</v>
      </c>
      <c r="E47" t="s">
        <v>2826</v>
      </c>
      <c r="F47" s="25">
        <v>4</v>
      </c>
      <c r="G47" s="25">
        <v>895</v>
      </c>
      <c r="H47" s="25">
        <v>25</v>
      </c>
      <c r="I47" s="25">
        <f t="shared" si="3"/>
        <v>870</v>
      </c>
      <c r="J47" t="s">
        <v>1884</v>
      </c>
      <c r="K47" t="s">
        <v>25</v>
      </c>
      <c r="L47" t="s">
        <v>2788</v>
      </c>
      <c r="Q47" s="25">
        <v>1</v>
      </c>
    </row>
    <row r="48" spans="1:18" x14ac:dyDescent="0.25">
      <c r="B48" t="s">
        <v>1827</v>
      </c>
      <c r="C48" t="s">
        <v>2830</v>
      </c>
      <c r="D48" t="s">
        <v>2831</v>
      </c>
      <c r="E48" t="s">
        <v>2832</v>
      </c>
      <c r="F48" t="s">
        <v>98</v>
      </c>
      <c r="G48" s="25">
        <v>745</v>
      </c>
      <c r="H48" s="25">
        <v>25</v>
      </c>
      <c r="I48" s="25">
        <f t="shared" si="3"/>
        <v>720</v>
      </c>
      <c r="J48" t="s">
        <v>1884</v>
      </c>
      <c r="K48" t="s">
        <v>25</v>
      </c>
      <c r="L48" t="s">
        <v>2788</v>
      </c>
      <c r="Q48" s="25">
        <v>1</v>
      </c>
    </row>
    <row r="49" spans="2:18" x14ac:dyDescent="0.25">
      <c r="B49" t="s">
        <v>1827</v>
      </c>
      <c r="C49" t="s">
        <v>2839</v>
      </c>
      <c r="D49" t="s">
        <v>2840</v>
      </c>
      <c r="E49" t="s">
        <v>2841</v>
      </c>
      <c r="F49" s="25">
        <v>1</v>
      </c>
      <c r="G49" s="25">
        <v>0</v>
      </c>
      <c r="H49" s="25">
        <v>25</v>
      </c>
      <c r="I49" s="25">
        <f>-H49</f>
        <v>-25</v>
      </c>
      <c r="J49" t="s">
        <v>1884</v>
      </c>
      <c r="K49" t="s">
        <v>25</v>
      </c>
      <c r="L49" t="s">
        <v>2788</v>
      </c>
      <c r="Q49" s="25">
        <v>1</v>
      </c>
      <c r="R49" s="25">
        <f>H49</f>
        <v>25</v>
      </c>
    </row>
    <row r="50" spans="2:18" x14ac:dyDescent="0.25">
      <c r="B50" t="s">
        <v>1827</v>
      </c>
      <c r="C50" t="s">
        <v>2856</v>
      </c>
      <c r="D50" t="s">
        <v>2857</v>
      </c>
      <c r="E50" t="s">
        <v>2683</v>
      </c>
      <c r="F50" t="s">
        <v>98</v>
      </c>
      <c r="G50" s="25">
        <v>405</v>
      </c>
      <c r="H50" s="25">
        <v>25</v>
      </c>
      <c r="I50" s="25">
        <f>G50-H50</f>
        <v>380</v>
      </c>
      <c r="J50" t="s">
        <v>1884</v>
      </c>
      <c r="K50" t="s">
        <v>25</v>
      </c>
      <c r="L50" t="s">
        <v>2788</v>
      </c>
      <c r="Q50" s="25">
        <v>1</v>
      </c>
    </row>
    <row r="51" spans="2:18" x14ac:dyDescent="0.25">
      <c r="B51" t="s">
        <v>1827</v>
      </c>
      <c r="C51" t="s">
        <v>2858</v>
      </c>
      <c r="D51" t="s">
        <v>2859</v>
      </c>
      <c r="E51" t="s">
        <v>2860</v>
      </c>
      <c r="F51" t="s">
        <v>98</v>
      </c>
      <c r="G51" s="25">
        <v>0</v>
      </c>
      <c r="H51" s="25">
        <v>25</v>
      </c>
      <c r="I51" s="25">
        <f>-H51</f>
        <v>-25</v>
      </c>
      <c r="J51" t="s">
        <v>1884</v>
      </c>
      <c r="K51" t="s">
        <v>25</v>
      </c>
      <c r="L51" t="s">
        <v>2788</v>
      </c>
      <c r="Q51" s="25">
        <v>1</v>
      </c>
      <c r="R51" s="25">
        <f>H51</f>
        <v>25</v>
      </c>
    </row>
    <row r="52" spans="2:18" x14ac:dyDescent="0.25">
      <c r="B52" t="s">
        <v>1827</v>
      </c>
      <c r="C52" t="s">
        <v>2863</v>
      </c>
      <c r="D52" t="s">
        <v>2864</v>
      </c>
      <c r="E52" t="s">
        <v>2865</v>
      </c>
      <c r="F52" t="s">
        <v>98</v>
      </c>
      <c r="G52" s="25">
        <v>695</v>
      </c>
      <c r="H52" s="25">
        <v>25</v>
      </c>
      <c r="I52" s="25">
        <f>G52-H52</f>
        <v>670</v>
      </c>
      <c r="J52" t="s">
        <v>1884</v>
      </c>
      <c r="K52" t="s">
        <v>25</v>
      </c>
      <c r="L52" t="s">
        <v>2788</v>
      </c>
      <c r="Q52" s="25">
        <v>1</v>
      </c>
    </row>
    <row r="53" spans="2:18" x14ac:dyDescent="0.25">
      <c r="B53" t="s">
        <v>1827</v>
      </c>
      <c r="C53" t="s">
        <v>2866</v>
      </c>
      <c r="D53" t="s">
        <v>2867</v>
      </c>
      <c r="E53" t="s">
        <v>2868</v>
      </c>
      <c r="F53" t="s">
        <v>151</v>
      </c>
      <c r="G53" s="25">
        <v>370</v>
      </c>
      <c r="H53" s="25">
        <v>20</v>
      </c>
      <c r="I53" s="25">
        <f>G53-H53</f>
        <v>350</v>
      </c>
      <c r="J53" t="s">
        <v>1884</v>
      </c>
      <c r="K53" t="s">
        <v>25</v>
      </c>
      <c r="L53" t="s">
        <v>2788</v>
      </c>
      <c r="Q53" s="25">
        <v>1</v>
      </c>
    </row>
    <row r="54" spans="2:18" x14ac:dyDescent="0.25">
      <c r="B54" t="s">
        <v>1827</v>
      </c>
      <c r="C54" t="s">
        <v>2872</v>
      </c>
      <c r="D54" t="s">
        <v>2873</v>
      </c>
      <c r="E54" t="s">
        <v>2874</v>
      </c>
      <c r="F54" s="25">
        <v>1</v>
      </c>
      <c r="G54" s="25">
        <v>405</v>
      </c>
      <c r="H54" s="25">
        <v>25</v>
      </c>
      <c r="I54" s="25">
        <f>G54-H54</f>
        <v>380</v>
      </c>
      <c r="J54" t="s">
        <v>1884</v>
      </c>
      <c r="K54" t="s">
        <v>25</v>
      </c>
      <c r="L54" t="s">
        <v>2788</v>
      </c>
      <c r="Q54" s="25">
        <v>1</v>
      </c>
    </row>
    <row r="55" spans="2:18" x14ac:dyDescent="0.25">
      <c r="B55" t="s">
        <v>1827</v>
      </c>
      <c r="C55" t="s">
        <v>1990</v>
      </c>
      <c r="D55" t="s">
        <v>2875</v>
      </c>
      <c r="E55" t="s">
        <v>1992</v>
      </c>
      <c r="F55" t="s">
        <v>98</v>
      </c>
      <c r="G55" s="25">
        <v>0</v>
      </c>
      <c r="H55" s="25">
        <v>25</v>
      </c>
      <c r="I55" s="25">
        <f>-H55</f>
        <v>-25</v>
      </c>
      <c r="J55" t="s">
        <v>1884</v>
      </c>
      <c r="K55" t="s">
        <v>25</v>
      </c>
      <c r="L55" t="s">
        <v>2788</v>
      </c>
      <c r="Q55" s="25">
        <v>1</v>
      </c>
      <c r="R55" s="25">
        <f>H55</f>
        <v>25</v>
      </c>
    </row>
    <row r="56" spans="2:18" x14ac:dyDescent="0.25">
      <c r="B56" t="s">
        <v>1827</v>
      </c>
      <c r="C56" t="s">
        <v>2882</v>
      </c>
      <c r="D56" t="s">
        <v>2883</v>
      </c>
      <c r="E56" t="s">
        <v>2884</v>
      </c>
      <c r="F56" t="s">
        <v>98</v>
      </c>
      <c r="G56" s="25">
        <v>735</v>
      </c>
      <c r="H56" s="25">
        <v>25</v>
      </c>
      <c r="I56" s="25">
        <f t="shared" ref="I56:I66" si="4">G56-H56</f>
        <v>710</v>
      </c>
      <c r="J56" t="s">
        <v>1884</v>
      </c>
      <c r="K56" t="s">
        <v>25</v>
      </c>
      <c r="L56" t="s">
        <v>2788</v>
      </c>
      <c r="Q56" s="25">
        <v>1</v>
      </c>
    </row>
    <row r="57" spans="2:18" x14ac:dyDescent="0.25">
      <c r="B57" t="s">
        <v>1827</v>
      </c>
      <c r="C57" t="s">
        <v>2885</v>
      </c>
      <c r="D57" t="s">
        <v>2886</v>
      </c>
      <c r="E57" t="s">
        <v>2887</v>
      </c>
      <c r="F57" s="25">
        <v>4</v>
      </c>
      <c r="G57" s="25">
        <v>695</v>
      </c>
      <c r="H57" s="25">
        <v>25</v>
      </c>
      <c r="I57" s="25">
        <f t="shared" si="4"/>
        <v>670</v>
      </c>
      <c r="J57" t="s">
        <v>1884</v>
      </c>
      <c r="K57" t="s">
        <v>25</v>
      </c>
      <c r="L57" t="s">
        <v>2788</v>
      </c>
      <c r="Q57" s="25">
        <v>1</v>
      </c>
    </row>
    <row r="58" spans="2:18" x14ac:dyDescent="0.25">
      <c r="B58" t="s">
        <v>1827</v>
      </c>
      <c r="C58" t="s">
        <v>2891</v>
      </c>
      <c r="D58" t="s">
        <v>2892</v>
      </c>
      <c r="E58" t="s">
        <v>2893</v>
      </c>
      <c r="F58" t="s">
        <v>151</v>
      </c>
      <c r="G58" s="25">
        <v>910</v>
      </c>
      <c r="H58" s="25">
        <v>20</v>
      </c>
      <c r="I58" s="25">
        <f t="shared" si="4"/>
        <v>890</v>
      </c>
      <c r="J58" t="s">
        <v>1884</v>
      </c>
      <c r="K58" t="s">
        <v>25</v>
      </c>
      <c r="L58" t="s">
        <v>2788</v>
      </c>
      <c r="Q58" s="25">
        <v>1</v>
      </c>
    </row>
    <row r="59" spans="2:18" x14ac:dyDescent="0.25">
      <c r="B59" t="s">
        <v>1827</v>
      </c>
      <c r="C59" t="s">
        <v>2894</v>
      </c>
      <c r="D59" t="s">
        <v>2895</v>
      </c>
      <c r="E59" t="s">
        <v>2896</v>
      </c>
      <c r="F59" t="s">
        <v>98</v>
      </c>
      <c r="G59" s="25">
        <v>815</v>
      </c>
      <c r="H59" s="25">
        <v>25</v>
      </c>
      <c r="I59" s="25">
        <f t="shared" si="4"/>
        <v>790</v>
      </c>
      <c r="J59" t="s">
        <v>1884</v>
      </c>
      <c r="K59" t="s">
        <v>25</v>
      </c>
      <c r="L59" t="s">
        <v>2788</v>
      </c>
      <c r="Q59" s="25">
        <v>1</v>
      </c>
    </row>
    <row r="60" spans="2:18" x14ac:dyDescent="0.25">
      <c r="B60" t="s">
        <v>1827</v>
      </c>
      <c r="C60" t="s">
        <v>2900</v>
      </c>
      <c r="D60" t="s">
        <v>2901</v>
      </c>
      <c r="E60" t="s">
        <v>2902</v>
      </c>
      <c r="F60" t="s">
        <v>98</v>
      </c>
      <c r="G60" s="25">
        <v>695</v>
      </c>
      <c r="H60" s="25">
        <v>25</v>
      </c>
      <c r="I60" s="25">
        <f t="shared" si="4"/>
        <v>670</v>
      </c>
      <c r="J60" t="s">
        <v>1884</v>
      </c>
      <c r="K60" t="s">
        <v>25</v>
      </c>
      <c r="L60" t="s">
        <v>2788</v>
      </c>
      <c r="Q60" s="25">
        <v>1</v>
      </c>
    </row>
    <row r="61" spans="2:18" x14ac:dyDescent="0.25">
      <c r="B61" t="s">
        <v>1827</v>
      </c>
      <c r="C61" t="s">
        <v>2906</v>
      </c>
      <c r="D61" t="s">
        <v>2907</v>
      </c>
      <c r="E61" t="s">
        <v>2908</v>
      </c>
      <c r="F61" s="25">
        <v>4</v>
      </c>
      <c r="G61" s="25">
        <v>695</v>
      </c>
      <c r="H61" s="25">
        <v>25</v>
      </c>
      <c r="I61" s="25">
        <f t="shared" si="4"/>
        <v>670</v>
      </c>
      <c r="J61" t="s">
        <v>1884</v>
      </c>
      <c r="K61" t="s">
        <v>25</v>
      </c>
      <c r="L61" t="s">
        <v>2788</v>
      </c>
      <c r="Q61" s="25">
        <v>1</v>
      </c>
    </row>
    <row r="62" spans="2:18" x14ac:dyDescent="0.25">
      <c r="B62" t="s">
        <v>1827</v>
      </c>
      <c r="C62" t="s">
        <v>2909</v>
      </c>
      <c r="D62" t="s">
        <v>2910</v>
      </c>
      <c r="E62" t="s">
        <v>2911</v>
      </c>
      <c r="F62" t="s">
        <v>98</v>
      </c>
      <c r="G62" s="25">
        <v>735</v>
      </c>
      <c r="H62" s="25">
        <v>25</v>
      </c>
      <c r="I62" s="25">
        <f t="shared" si="4"/>
        <v>710</v>
      </c>
      <c r="J62" t="s">
        <v>1884</v>
      </c>
      <c r="K62" t="s">
        <v>25</v>
      </c>
      <c r="L62" t="s">
        <v>2788</v>
      </c>
      <c r="Q62" s="25">
        <v>1</v>
      </c>
    </row>
    <row r="63" spans="2:18" s="33" customFormat="1" x14ac:dyDescent="0.25">
      <c r="B63" s="33" t="s">
        <v>1827</v>
      </c>
      <c r="C63" s="33" t="s">
        <v>2921</v>
      </c>
      <c r="D63" s="33" t="s">
        <v>2922</v>
      </c>
      <c r="E63" s="33" t="s">
        <v>2923</v>
      </c>
      <c r="F63" s="34">
        <v>4</v>
      </c>
      <c r="G63" s="34">
        <v>25</v>
      </c>
      <c r="H63" s="34">
        <v>25</v>
      </c>
      <c r="I63" s="34">
        <f t="shared" si="4"/>
        <v>0</v>
      </c>
      <c r="J63" s="33" t="s">
        <v>1884</v>
      </c>
      <c r="K63" s="33" t="s">
        <v>25</v>
      </c>
      <c r="L63" s="33" t="s">
        <v>2788</v>
      </c>
      <c r="M63" s="33" t="s">
        <v>472</v>
      </c>
      <c r="Q63" s="34">
        <v>1</v>
      </c>
    </row>
    <row r="64" spans="2:18" x14ac:dyDescent="0.25">
      <c r="B64" t="s">
        <v>1827</v>
      </c>
      <c r="C64" t="s">
        <v>2926</v>
      </c>
      <c r="D64" t="s">
        <v>2927</v>
      </c>
      <c r="E64" t="s">
        <v>2928</v>
      </c>
      <c r="F64" s="25">
        <v>10</v>
      </c>
      <c r="G64" s="25">
        <v>375</v>
      </c>
      <c r="H64" s="25">
        <v>25</v>
      </c>
      <c r="I64" s="25">
        <f t="shared" si="4"/>
        <v>350</v>
      </c>
      <c r="J64" t="s">
        <v>1884</v>
      </c>
      <c r="K64" t="s">
        <v>25</v>
      </c>
      <c r="L64" t="s">
        <v>2788</v>
      </c>
      <c r="Q64" s="25">
        <v>1</v>
      </c>
    </row>
    <row r="65" spans="2:18" x14ac:dyDescent="0.25">
      <c r="B65" t="s">
        <v>1827</v>
      </c>
      <c r="C65" t="s">
        <v>2932</v>
      </c>
      <c r="D65" t="s">
        <v>2933</v>
      </c>
      <c r="E65" t="s">
        <v>2934</v>
      </c>
      <c r="F65" s="25">
        <v>10</v>
      </c>
      <c r="G65" s="25">
        <v>745</v>
      </c>
      <c r="H65" s="25">
        <v>25</v>
      </c>
      <c r="I65" s="25">
        <f t="shared" si="4"/>
        <v>720</v>
      </c>
      <c r="J65" t="s">
        <v>1884</v>
      </c>
      <c r="K65" t="s">
        <v>25</v>
      </c>
      <c r="L65" t="s">
        <v>2788</v>
      </c>
      <c r="Q65" s="25">
        <v>1</v>
      </c>
    </row>
    <row r="66" spans="2:18" x14ac:dyDescent="0.25">
      <c r="B66" t="s">
        <v>1827</v>
      </c>
      <c r="C66" t="s">
        <v>2938</v>
      </c>
      <c r="D66" t="s">
        <v>2939</v>
      </c>
      <c r="E66" t="s">
        <v>2940</v>
      </c>
      <c r="F66" s="25">
        <v>1</v>
      </c>
      <c r="G66" s="25">
        <v>695</v>
      </c>
      <c r="H66" s="25">
        <v>25</v>
      </c>
      <c r="I66" s="25">
        <f t="shared" si="4"/>
        <v>670</v>
      </c>
      <c r="J66" t="s">
        <v>1884</v>
      </c>
      <c r="K66" t="s">
        <v>25</v>
      </c>
      <c r="L66" t="s">
        <v>2788</v>
      </c>
      <c r="Q66" s="25">
        <v>1</v>
      </c>
    </row>
    <row r="67" spans="2:18" s="33" customFormat="1" x14ac:dyDescent="0.25">
      <c r="B67" s="33" t="s">
        <v>1827</v>
      </c>
      <c r="C67" s="33" t="s">
        <v>2955</v>
      </c>
      <c r="D67" s="33" t="s">
        <v>2956</v>
      </c>
      <c r="E67" s="33" t="s">
        <v>2957</v>
      </c>
      <c r="F67" s="34">
        <v>1</v>
      </c>
      <c r="G67" s="34">
        <v>0</v>
      </c>
      <c r="H67" s="34">
        <v>25</v>
      </c>
      <c r="I67" s="34">
        <f>-H67</f>
        <v>-25</v>
      </c>
      <c r="J67" s="33" t="s">
        <v>1884</v>
      </c>
      <c r="K67" s="33" t="s">
        <v>25</v>
      </c>
      <c r="L67" s="33" t="s">
        <v>2788</v>
      </c>
      <c r="M67" s="33" t="s">
        <v>472</v>
      </c>
      <c r="Q67" s="34">
        <v>1</v>
      </c>
      <c r="R67" s="34">
        <f>H67</f>
        <v>25</v>
      </c>
    </row>
    <row r="68" spans="2:18" x14ac:dyDescent="0.25">
      <c r="B68" t="s">
        <v>1827</v>
      </c>
      <c r="C68" t="s">
        <v>2694</v>
      </c>
      <c r="D68" t="s">
        <v>2958</v>
      </c>
      <c r="E68" t="s">
        <v>2959</v>
      </c>
      <c r="F68" t="s">
        <v>98</v>
      </c>
      <c r="G68" s="25">
        <v>1075</v>
      </c>
      <c r="H68" s="25">
        <v>25</v>
      </c>
      <c r="I68" s="25">
        <f>G68-H68</f>
        <v>1050</v>
      </c>
      <c r="J68" t="s">
        <v>1884</v>
      </c>
      <c r="K68" t="s">
        <v>25</v>
      </c>
      <c r="L68" t="s">
        <v>2788</v>
      </c>
      <c r="Q68" s="25">
        <v>1</v>
      </c>
    </row>
    <row r="70" spans="2:18" x14ac:dyDescent="0.25">
      <c r="G70">
        <f t="shared" ref="G70:R70" si="5">SUBTOTAL(9,G3:G69)</f>
        <v>36530</v>
      </c>
      <c r="H70">
        <f t="shared" si="5"/>
        <v>1805</v>
      </c>
      <c r="I70">
        <f t="shared" si="5"/>
        <v>34725</v>
      </c>
      <c r="J70">
        <f t="shared" si="5"/>
        <v>0</v>
      </c>
      <c r="K70">
        <f t="shared" si="5"/>
        <v>0</v>
      </c>
      <c r="L70">
        <f t="shared" si="5"/>
        <v>0</v>
      </c>
      <c r="M70">
        <f t="shared" si="5"/>
        <v>0</v>
      </c>
      <c r="N70">
        <f t="shared" si="5"/>
        <v>0</v>
      </c>
      <c r="O70">
        <f t="shared" si="5"/>
        <v>0</v>
      </c>
      <c r="P70">
        <f t="shared" si="5"/>
        <v>0</v>
      </c>
      <c r="Q70">
        <f t="shared" si="5"/>
        <v>66</v>
      </c>
      <c r="R70">
        <f t="shared" si="5"/>
        <v>415</v>
      </c>
    </row>
    <row r="71" spans="2:18" x14ac:dyDescent="0.25">
      <c r="I71" s="29"/>
      <c r="J71" s="22"/>
    </row>
    <row r="72" spans="2:18" x14ac:dyDescent="0.25">
      <c r="I72" s="29"/>
      <c r="J72" s="22"/>
    </row>
    <row r="73" spans="2:18" x14ac:dyDescent="0.25">
      <c r="I73" s="29"/>
      <c r="J73" s="22"/>
    </row>
    <row r="74" spans="2:18" ht="18.75" customHeight="1" x14ac:dyDescent="0.3">
      <c r="H74" s="7" t="s">
        <v>2787</v>
      </c>
      <c r="I74" s="8" t="s">
        <v>313</v>
      </c>
      <c r="J74" s="9" t="s">
        <v>314</v>
      </c>
    </row>
    <row r="75" spans="2:18" ht="15.75" customHeight="1" x14ac:dyDescent="0.25">
      <c r="H75" s="10" t="s">
        <v>315</v>
      </c>
      <c r="I75" s="38">
        <f>SUM(I69:I73)</f>
        <v>34725</v>
      </c>
      <c r="J75" s="11">
        <f>Q70</f>
        <v>66</v>
      </c>
    </row>
    <row r="76" spans="2:18" x14ac:dyDescent="0.25">
      <c r="H76" s="12" t="s">
        <v>316</v>
      </c>
      <c r="I76" s="13">
        <f>R70</f>
        <v>415</v>
      </c>
      <c r="J76" s="14"/>
    </row>
    <row r="77" spans="2:18" x14ac:dyDescent="0.25">
      <c r="H77" s="12" t="s">
        <v>317</v>
      </c>
      <c r="I77" s="13">
        <f>S70</f>
        <v>0</v>
      </c>
      <c r="J77" s="14"/>
    </row>
    <row r="78" spans="2:18" x14ac:dyDescent="0.25">
      <c r="H78" s="12" t="s">
        <v>318</v>
      </c>
      <c r="I78" s="13">
        <f>T70</f>
        <v>0</v>
      </c>
      <c r="J78" s="14"/>
    </row>
    <row r="79" spans="2:18" x14ac:dyDescent="0.25">
      <c r="H79" s="12" t="s">
        <v>319</v>
      </c>
      <c r="I79" s="13">
        <f>U70</f>
        <v>0</v>
      </c>
      <c r="J79" s="14"/>
    </row>
    <row r="80" spans="2:18" ht="15.75" customHeight="1" x14ac:dyDescent="0.25">
      <c r="H80" s="15" t="s">
        <v>320</v>
      </c>
      <c r="I80" s="16"/>
      <c r="J80" s="16"/>
    </row>
    <row r="81" spans="8:10" ht="15.75" customHeight="1" x14ac:dyDescent="0.25">
      <c r="H81" s="17" t="s">
        <v>321</v>
      </c>
      <c r="I81" s="16"/>
      <c r="J81" s="16"/>
    </row>
    <row r="82" spans="8:10" ht="21" customHeight="1" x14ac:dyDescent="0.35">
      <c r="H82" s="18" t="s">
        <v>322</v>
      </c>
      <c r="I82" s="39">
        <f>SUM(I75:I81)</f>
        <v>35140</v>
      </c>
      <c r="J82" s="19">
        <f>SUM(J75:J79)</f>
        <v>66</v>
      </c>
    </row>
  </sheetData>
  <autoFilter ref="A2:P68" xr:uid="{00000000-0009-0000-0000-000012000000}">
    <sortState xmlns:xlrd2="http://schemas.microsoft.com/office/spreadsheetml/2017/richdata2" ref="A3:P68">
      <sortCondition ref="J2:J68"/>
    </sortState>
  </autoFilter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AA7D-DAFD-43D3-91E7-B48D33E77E74}">
  <dimension ref="A1:R48"/>
  <sheetViews>
    <sheetView topLeftCell="A8" zoomScale="80" zoomScaleNormal="80" workbookViewId="0">
      <selection activeCell="I21" sqref="I21"/>
    </sheetView>
  </sheetViews>
  <sheetFormatPr defaultRowHeight="15" x14ac:dyDescent="0.25"/>
  <cols>
    <col min="1" max="1" width="14.5703125" bestFit="1" customWidth="1"/>
    <col min="2" max="2" width="18.85546875" bestFit="1" customWidth="1"/>
    <col min="3" max="3" width="35.85546875" bestFit="1" customWidth="1"/>
    <col min="4" max="4" width="10.5703125" bestFit="1" customWidth="1"/>
    <col min="5" max="5" width="87.85546875" bestFit="1" customWidth="1"/>
    <col min="6" max="6" width="12.140625" bestFit="1" customWidth="1"/>
    <col min="7" max="7" width="9.140625" customWidth="1"/>
    <col min="8" max="8" width="5.5703125" customWidth="1"/>
    <col min="9" max="9" width="14.28515625" bestFit="1" customWidth="1"/>
    <col min="10" max="10" width="13" bestFit="1" customWidth="1"/>
    <col min="11" max="11" width="15.28515625" bestFit="1" customWidth="1"/>
    <col min="12" max="12" width="12.28515625" bestFit="1" customWidth="1"/>
    <col min="13" max="13" width="16.42578125" bestFit="1" customWidth="1"/>
  </cols>
  <sheetData>
    <row r="1" spans="1:18" x14ac:dyDescent="0.25">
      <c r="B1" t="s">
        <v>330</v>
      </c>
      <c r="C1" t="s">
        <v>2960</v>
      </c>
    </row>
    <row r="2" spans="1:18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1826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5"/>
      <c r="R2" s="5"/>
    </row>
    <row r="3" spans="1:18" x14ac:dyDescent="0.25">
      <c r="A3" s="5"/>
      <c r="B3" s="5" t="s">
        <v>1827</v>
      </c>
      <c r="C3" s="5" t="s">
        <v>2965</v>
      </c>
      <c r="D3" s="5" t="s">
        <v>2966</v>
      </c>
      <c r="E3" s="5" t="s">
        <v>2967</v>
      </c>
      <c r="F3" s="23">
        <v>7</v>
      </c>
      <c r="G3" s="23">
        <v>700</v>
      </c>
      <c r="H3" s="23">
        <v>30</v>
      </c>
      <c r="I3" s="23">
        <f t="shared" ref="I3:I30" si="0">G3-H3</f>
        <v>670</v>
      </c>
      <c r="J3" s="5" t="s">
        <v>2968</v>
      </c>
      <c r="K3" s="5" t="s">
        <v>25</v>
      </c>
      <c r="L3" s="5" t="s">
        <v>2964</v>
      </c>
      <c r="M3" s="5"/>
      <c r="N3" s="5"/>
      <c r="O3" s="5"/>
      <c r="P3" s="5"/>
      <c r="Q3" s="23">
        <v>1</v>
      </c>
      <c r="R3" s="5"/>
    </row>
    <row r="4" spans="1:18" x14ac:dyDescent="0.25">
      <c r="A4" s="5"/>
      <c r="B4" s="5" t="s">
        <v>1827</v>
      </c>
      <c r="C4" s="5" t="s">
        <v>2969</v>
      </c>
      <c r="D4" s="5" t="s">
        <v>2970</v>
      </c>
      <c r="E4" s="5" t="s">
        <v>2276</v>
      </c>
      <c r="F4" s="5" t="s">
        <v>1853</v>
      </c>
      <c r="G4" s="23">
        <v>0</v>
      </c>
      <c r="H4" s="23">
        <v>30</v>
      </c>
      <c r="I4" s="23">
        <f t="shared" si="0"/>
        <v>-30</v>
      </c>
      <c r="J4" s="5" t="s">
        <v>2968</v>
      </c>
      <c r="K4" s="5" t="s">
        <v>25</v>
      </c>
      <c r="L4" s="5" t="s">
        <v>2964</v>
      </c>
      <c r="M4" s="5"/>
      <c r="N4" s="5"/>
      <c r="O4" s="5"/>
      <c r="P4" s="5"/>
      <c r="Q4" s="23">
        <v>1</v>
      </c>
      <c r="R4" s="23">
        <f>H4</f>
        <v>30</v>
      </c>
    </row>
    <row r="5" spans="1:18" x14ac:dyDescent="0.25">
      <c r="A5" s="5"/>
      <c r="B5" s="5" t="s">
        <v>1827</v>
      </c>
      <c r="C5" s="5" t="s">
        <v>2971</v>
      </c>
      <c r="D5" s="5" t="s">
        <v>2972</v>
      </c>
      <c r="E5" s="5" t="s">
        <v>2973</v>
      </c>
      <c r="F5" s="5" t="s">
        <v>1976</v>
      </c>
      <c r="G5" s="23">
        <v>415</v>
      </c>
      <c r="H5" s="23">
        <v>35</v>
      </c>
      <c r="I5" s="23">
        <f t="shared" si="0"/>
        <v>380</v>
      </c>
      <c r="J5" s="5" t="s">
        <v>2968</v>
      </c>
      <c r="K5" s="5" t="s">
        <v>25</v>
      </c>
      <c r="L5" s="5" t="s">
        <v>2964</v>
      </c>
      <c r="M5" s="5"/>
      <c r="N5" s="5"/>
      <c r="O5" s="5"/>
      <c r="P5" s="5"/>
      <c r="Q5" s="23">
        <v>1</v>
      </c>
      <c r="R5" s="5"/>
    </row>
    <row r="6" spans="1:18" x14ac:dyDescent="0.25">
      <c r="A6" s="5"/>
      <c r="B6" s="5" t="s">
        <v>1827</v>
      </c>
      <c r="C6" s="5" t="s">
        <v>2976</v>
      </c>
      <c r="D6" s="5" t="s">
        <v>2977</v>
      </c>
      <c r="E6" s="5" t="s">
        <v>2978</v>
      </c>
      <c r="F6" s="5" t="s">
        <v>1853</v>
      </c>
      <c r="G6" s="23">
        <v>0</v>
      </c>
      <c r="H6" s="23">
        <v>30</v>
      </c>
      <c r="I6" s="23">
        <f t="shared" si="0"/>
        <v>-30</v>
      </c>
      <c r="J6" s="5" t="s">
        <v>2968</v>
      </c>
      <c r="K6" s="5" t="s">
        <v>25</v>
      </c>
      <c r="L6" s="5" t="s">
        <v>2964</v>
      </c>
      <c r="M6" s="5"/>
      <c r="N6" s="5"/>
      <c r="O6" s="5"/>
      <c r="P6" s="5"/>
      <c r="Q6" s="23">
        <v>1</v>
      </c>
      <c r="R6" s="23">
        <f>H6</f>
        <v>30</v>
      </c>
    </row>
    <row r="7" spans="1:18" x14ac:dyDescent="0.25">
      <c r="A7" s="5"/>
      <c r="B7" s="5" t="s">
        <v>1827</v>
      </c>
      <c r="C7" s="5" t="s">
        <v>2982</v>
      </c>
      <c r="D7" s="5" t="s">
        <v>2983</v>
      </c>
      <c r="E7" s="5" t="s">
        <v>2984</v>
      </c>
      <c r="F7" s="5" t="s">
        <v>1853</v>
      </c>
      <c r="G7" s="23">
        <v>740</v>
      </c>
      <c r="H7" s="23">
        <v>30</v>
      </c>
      <c r="I7" s="23">
        <f t="shared" si="0"/>
        <v>710</v>
      </c>
      <c r="J7" s="5" t="s">
        <v>2968</v>
      </c>
      <c r="K7" s="5" t="s">
        <v>25</v>
      </c>
      <c r="L7" s="5" t="s">
        <v>2964</v>
      </c>
      <c r="M7" s="5"/>
      <c r="N7" s="5"/>
      <c r="O7" s="5"/>
      <c r="P7" s="5"/>
      <c r="Q7" s="23">
        <v>1</v>
      </c>
      <c r="R7" s="5"/>
    </row>
    <row r="8" spans="1:18" x14ac:dyDescent="0.25">
      <c r="A8" s="5"/>
      <c r="B8" s="5" t="s">
        <v>1827</v>
      </c>
      <c r="C8" s="5" t="s">
        <v>2985</v>
      </c>
      <c r="D8" s="5" t="s">
        <v>2986</v>
      </c>
      <c r="E8" s="5" t="s">
        <v>2987</v>
      </c>
      <c r="F8" s="23">
        <v>7</v>
      </c>
      <c r="G8" s="23">
        <v>0</v>
      </c>
      <c r="H8" s="23">
        <v>30</v>
      </c>
      <c r="I8" s="23">
        <f t="shared" si="0"/>
        <v>-30</v>
      </c>
      <c r="J8" s="5" t="s">
        <v>2968</v>
      </c>
      <c r="K8" s="5" t="s">
        <v>25</v>
      </c>
      <c r="L8" s="5" t="s">
        <v>2964</v>
      </c>
      <c r="M8" s="5"/>
      <c r="N8" s="5"/>
      <c r="O8" s="5"/>
      <c r="P8" s="5"/>
      <c r="Q8" s="23">
        <v>1</v>
      </c>
      <c r="R8" s="23">
        <f>H8</f>
        <v>30</v>
      </c>
    </row>
    <row r="9" spans="1:18" x14ac:dyDescent="0.25">
      <c r="A9" s="5"/>
      <c r="B9" s="5" t="s">
        <v>1827</v>
      </c>
      <c r="C9" s="5" t="s">
        <v>2988</v>
      </c>
      <c r="D9" s="5" t="s">
        <v>2989</v>
      </c>
      <c r="E9" s="5" t="s">
        <v>2990</v>
      </c>
      <c r="F9" s="5" t="s">
        <v>1853</v>
      </c>
      <c r="G9" s="23">
        <v>1030</v>
      </c>
      <c r="H9" s="23">
        <v>30</v>
      </c>
      <c r="I9" s="23">
        <f t="shared" si="0"/>
        <v>1000</v>
      </c>
      <c r="J9" s="5" t="s">
        <v>2968</v>
      </c>
      <c r="K9" s="5" t="s">
        <v>25</v>
      </c>
      <c r="L9" s="5" t="s">
        <v>2964</v>
      </c>
      <c r="M9" s="5"/>
      <c r="N9" s="5"/>
      <c r="O9" s="5"/>
      <c r="P9" s="5"/>
      <c r="Q9" s="23">
        <v>1</v>
      </c>
      <c r="R9" s="5"/>
    </row>
    <row r="10" spans="1:18" x14ac:dyDescent="0.25">
      <c r="A10" s="5"/>
      <c r="B10" s="5" t="s">
        <v>1827</v>
      </c>
      <c r="C10" s="5" t="s">
        <v>2999</v>
      </c>
      <c r="D10" s="5" t="s">
        <v>3000</v>
      </c>
      <c r="E10" s="5" t="s">
        <v>3001</v>
      </c>
      <c r="F10" s="5" t="s">
        <v>607</v>
      </c>
      <c r="G10" s="23">
        <v>915</v>
      </c>
      <c r="H10" s="23">
        <v>25</v>
      </c>
      <c r="I10" s="23">
        <f t="shared" si="0"/>
        <v>890</v>
      </c>
      <c r="J10" s="5" t="s">
        <v>2968</v>
      </c>
      <c r="K10" s="5" t="s">
        <v>25</v>
      </c>
      <c r="L10" s="5" t="s">
        <v>2964</v>
      </c>
      <c r="M10" s="5"/>
      <c r="N10" s="5"/>
      <c r="O10" s="5"/>
      <c r="P10" s="5"/>
      <c r="Q10" s="23">
        <v>1</v>
      </c>
      <c r="R10" s="5"/>
    </row>
    <row r="11" spans="1:18" x14ac:dyDescent="0.25">
      <c r="A11" s="5"/>
      <c r="B11" s="5" t="s">
        <v>1827</v>
      </c>
      <c r="C11" s="5" t="s">
        <v>2797</v>
      </c>
      <c r="D11" s="5" t="s">
        <v>3002</v>
      </c>
      <c r="E11" s="5" t="s">
        <v>3003</v>
      </c>
      <c r="F11" s="23">
        <v>7</v>
      </c>
      <c r="G11" s="23">
        <v>800</v>
      </c>
      <c r="H11" s="23">
        <v>30</v>
      </c>
      <c r="I11" s="23">
        <f t="shared" si="0"/>
        <v>770</v>
      </c>
      <c r="J11" s="5" t="s">
        <v>2968</v>
      </c>
      <c r="K11" s="5" t="s">
        <v>25</v>
      </c>
      <c r="L11" s="5" t="s">
        <v>2964</v>
      </c>
      <c r="M11" s="5"/>
      <c r="N11" s="5"/>
      <c r="O11" s="5"/>
      <c r="P11" s="5"/>
      <c r="Q11" s="23">
        <v>1</v>
      </c>
      <c r="R11" s="5"/>
    </row>
    <row r="12" spans="1:18" x14ac:dyDescent="0.25">
      <c r="A12" s="5"/>
      <c r="B12" s="5" t="s">
        <v>1827</v>
      </c>
      <c r="C12" s="5" t="s">
        <v>3007</v>
      </c>
      <c r="D12" s="5" t="s">
        <v>3008</v>
      </c>
      <c r="E12" s="5" t="s">
        <v>3009</v>
      </c>
      <c r="F12" s="5" t="s">
        <v>1976</v>
      </c>
      <c r="G12" s="23">
        <v>745</v>
      </c>
      <c r="H12" s="23">
        <v>35</v>
      </c>
      <c r="I12" s="23">
        <f t="shared" si="0"/>
        <v>710</v>
      </c>
      <c r="J12" s="5" t="s">
        <v>2968</v>
      </c>
      <c r="K12" s="5" t="s">
        <v>25</v>
      </c>
      <c r="L12" s="5" t="s">
        <v>2964</v>
      </c>
      <c r="M12" s="5"/>
      <c r="N12" s="5"/>
      <c r="O12" s="5"/>
      <c r="P12" s="5"/>
      <c r="Q12" s="23">
        <v>1</v>
      </c>
      <c r="R12" s="5"/>
    </row>
    <row r="13" spans="1:18" s="33" customFormat="1" x14ac:dyDescent="0.25">
      <c r="A13" s="36"/>
      <c r="B13" s="36" t="s">
        <v>1827</v>
      </c>
      <c r="C13" s="36" t="s">
        <v>2945</v>
      </c>
      <c r="D13" s="36" t="s">
        <v>3010</v>
      </c>
      <c r="E13" s="36" t="s">
        <v>2947</v>
      </c>
      <c r="F13" s="37">
        <v>8</v>
      </c>
      <c r="G13" s="37">
        <v>30</v>
      </c>
      <c r="H13" s="37">
        <v>30</v>
      </c>
      <c r="I13" s="37">
        <f t="shared" si="0"/>
        <v>0</v>
      </c>
      <c r="J13" s="36" t="s">
        <v>2968</v>
      </c>
      <c r="K13" s="36" t="s">
        <v>25</v>
      </c>
      <c r="L13" s="36" t="s">
        <v>2964</v>
      </c>
      <c r="M13" s="36" t="s">
        <v>472</v>
      </c>
      <c r="N13" s="36"/>
      <c r="O13" s="36"/>
      <c r="P13" s="36"/>
      <c r="Q13" s="37">
        <v>1</v>
      </c>
      <c r="R13" s="36"/>
    </row>
    <row r="14" spans="1:18" x14ac:dyDescent="0.25">
      <c r="A14" s="5" t="s">
        <v>1833</v>
      </c>
      <c r="B14" s="5" t="s">
        <v>1827</v>
      </c>
      <c r="C14" s="5" t="s">
        <v>2292</v>
      </c>
      <c r="D14" s="5"/>
      <c r="E14" s="5" t="s">
        <v>1841</v>
      </c>
      <c r="F14" s="23">
        <v>6</v>
      </c>
      <c r="G14" s="23">
        <v>0</v>
      </c>
      <c r="H14" s="23">
        <v>30</v>
      </c>
      <c r="I14" s="23">
        <f t="shared" si="0"/>
        <v>-30</v>
      </c>
      <c r="J14" s="5" t="s">
        <v>2968</v>
      </c>
      <c r="K14" s="5" t="s">
        <v>25</v>
      </c>
      <c r="L14" s="5" t="s">
        <v>2964</v>
      </c>
      <c r="M14" s="5"/>
      <c r="N14" s="5"/>
      <c r="O14" s="5"/>
      <c r="P14" s="5"/>
      <c r="Q14" s="23">
        <v>1</v>
      </c>
      <c r="R14" s="23">
        <f t="shared" ref="R14:R16" si="1">H14</f>
        <v>30</v>
      </c>
    </row>
    <row r="15" spans="1:18" x14ac:dyDescent="0.25">
      <c r="A15" s="5"/>
      <c r="B15" s="5" t="s">
        <v>1827</v>
      </c>
      <c r="C15" s="5" t="s">
        <v>2979</v>
      </c>
      <c r="D15" s="5" t="s">
        <v>2980</v>
      </c>
      <c r="E15" s="5" t="s">
        <v>2981</v>
      </c>
      <c r="F15" s="5" t="s">
        <v>70</v>
      </c>
      <c r="G15" s="23">
        <v>0</v>
      </c>
      <c r="H15" s="23">
        <v>25</v>
      </c>
      <c r="I15" s="23">
        <f t="shared" si="0"/>
        <v>-25</v>
      </c>
      <c r="J15" s="5" t="s">
        <v>25</v>
      </c>
      <c r="K15" s="5" t="s">
        <v>25</v>
      </c>
      <c r="L15" s="5" t="s">
        <v>2964</v>
      </c>
      <c r="M15" s="5"/>
      <c r="N15" s="5"/>
      <c r="O15" s="5"/>
      <c r="P15" s="5"/>
      <c r="Q15" s="23">
        <v>1</v>
      </c>
      <c r="R15" s="23">
        <f t="shared" si="1"/>
        <v>25</v>
      </c>
    </row>
    <row r="16" spans="1:18" x14ac:dyDescent="0.25">
      <c r="A16" s="5"/>
      <c r="B16" s="5" t="s">
        <v>1827</v>
      </c>
      <c r="C16" s="5" t="s">
        <v>2991</v>
      </c>
      <c r="D16" s="5" t="s">
        <v>2992</v>
      </c>
      <c r="E16" s="5" t="s">
        <v>2993</v>
      </c>
      <c r="F16" s="5" t="s">
        <v>70</v>
      </c>
      <c r="G16" s="23">
        <v>0</v>
      </c>
      <c r="H16" s="23">
        <v>25</v>
      </c>
      <c r="I16" s="23">
        <f t="shared" si="0"/>
        <v>-25</v>
      </c>
      <c r="J16" s="5" t="s">
        <v>25</v>
      </c>
      <c r="K16" s="5" t="s">
        <v>25</v>
      </c>
      <c r="L16" s="5" t="s">
        <v>2964</v>
      </c>
      <c r="M16" s="5"/>
      <c r="N16" s="5"/>
      <c r="O16" s="5"/>
      <c r="P16" s="5"/>
      <c r="Q16" s="23">
        <v>1</v>
      </c>
      <c r="R16" s="23">
        <f t="shared" si="1"/>
        <v>25</v>
      </c>
    </row>
    <row r="17" spans="1:18" x14ac:dyDescent="0.25">
      <c r="A17" s="5"/>
      <c r="B17" s="5" t="s">
        <v>1827</v>
      </c>
      <c r="C17" s="5" t="s">
        <v>2921</v>
      </c>
      <c r="D17" s="5" t="s">
        <v>2994</v>
      </c>
      <c r="E17" s="5" t="s">
        <v>2995</v>
      </c>
      <c r="F17" s="23">
        <v>2</v>
      </c>
      <c r="G17" s="23">
        <v>700</v>
      </c>
      <c r="H17" s="23">
        <v>30</v>
      </c>
      <c r="I17" s="23">
        <f t="shared" si="0"/>
        <v>670</v>
      </c>
      <c r="J17" s="5" t="s">
        <v>25</v>
      </c>
      <c r="K17" s="5" t="s">
        <v>25</v>
      </c>
      <c r="L17" s="5" t="s">
        <v>2964</v>
      </c>
      <c r="M17" s="5"/>
      <c r="N17" s="5"/>
      <c r="O17" s="5"/>
      <c r="P17" s="5"/>
      <c r="Q17" s="23">
        <v>1</v>
      </c>
      <c r="R17" s="5"/>
    </row>
    <row r="18" spans="1:18" x14ac:dyDescent="0.25">
      <c r="A18" s="5"/>
      <c r="B18" s="5" t="s">
        <v>1827</v>
      </c>
      <c r="C18" s="5" t="s">
        <v>3004</v>
      </c>
      <c r="D18" s="5" t="s">
        <v>3005</v>
      </c>
      <c r="E18" s="5" t="s">
        <v>3006</v>
      </c>
      <c r="F18" s="23">
        <v>2</v>
      </c>
      <c r="G18" s="23">
        <v>820</v>
      </c>
      <c r="H18" s="23">
        <v>30</v>
      </c>
      <c r="I18" s="23">
        <f t="shared" si="0"/>
        <v>790</v>
      </c>
      <c r="J18" s="5" t="s">
        <v>25</v>
      </c>
      <c r="K18" s="5" t="s">
        <v>25</v>
      </c>
      <c r="L18" s="5" t="s">
        <v>2964</v>
      </c>
      <c r="M18" s="5"/>
      <c r="N18" s="5"/>
      <c r="O18" s="5"/>
      <c r="P18" s="5"/>
      <c r="Q18" s="23">
        <v>1</v>
      </c>
      <c r="R18" s="5"/>
    </row>
    <row r="19" spans="1:18" x14ac:dyDescent="0.25">
      <c r="A19" s="5"/>
      <c r="B19" s="5" t="s">
        <v>1827</v>
      </c>
      <c r="C19" s="5" t="s">
        <v>3018</v>
      </c>
      <c r="D19" s="5" t="s">
        <v>3019</v>
      </c>
      <c r="E19" s="5" t="s">
        <v>3020</v>
      </c>
      <c r="F19" s="5" t="s">
        <v>70</v>
      </c>
      <c r="G19" s="23">
        <v>945</v>
      </c>
      <c r="H19" s="23">
        <v>25</v>
      </c>
      <c r="I19" s="23">
        <f t="shared" si="0"/>
        <v>920</v>
      </c>
      <c r="J19" s="5" t="s">
        <v>25</v>
      </c>
      <c r="K19" s="5" t="s">
        <v>25</v>
      </c>
      <c r="L19" s="5" t="s">
        <v>2964</v>
      </c>
      <c r="M19" s="5"/>
      <c r="N19" s="5"/>
      <c r="O19" s="5"/>
      <c r="P19" s="5"/>
      <c r="Q19" s="23">
        <v>1</v>
      </c>
      <c r="R19" s="5"/>
    </row>
    <row r="20" spans="1:18" x14ac:dyDescent="0.25">
      <c r="A20" s="5" t="s">
        <v>1833</v>
      </c>
      <c r="B20" s="5" t="s">
        <v>1827</v>
      </c>
      <c r="C20" s="5" t="s">
        <v>3021</v>
      </c>
      <c r="D20" s="5"/>
      <c r="E20" s="5" t="s">
        <v>3022</v>
      </c>
      <c r="F20" s="23">
        <v>12</v>
      </c>
      <c r="G20" s="23">
        <v>0</v>
      </c>
      <c r="H20" s="23">
        <v>35</v>
      </c>
      <c r="I20" s="23">
        <f t="shared" si="0"/>
        <v>-35</v>
      </c>
      <c r="J20" s="5" t="s">
        <v>25</v>
      </c>
      <c r="K20" s="5" t="s">
        <v>25</v>
      </c>
      <c r="L20" s="5" t="s">
        <v>2964</v>
      </c>
      <c r="M20" s="5"/>
      <c r="N20" s="5"/>
      <c r="O20" s="5"/>
      <c r="P20" s="5"/>
      <c r="Q20" s="23">
        <v>1</v>
      </c>
      <c r="R20" s="23">
        <f t="shared" ref="R20:R21" si="2">H20</f>
        <v>35</v>
      </c>
    </row>
    <row r="21" spans="1:18" x14ac:dyDescent="0.25">
      <c r="A21" s="5" t="s">
        <v>1833</v>
      </c>
      <c r="B21" s="5" t="s">
        <v>1827</v>
      </c>
      <c r="C21" s="5" t="s">
        <v>3023</v>
      </c>
      <c r="D21" s="5"/>
      <c r="E21" s="5" t="s">
        <v>1892</v>
      </c>
      <c r="F21" s="23">
        <v>12</v>
      </c>
      <c r="G21" s="23">
        <v>0</v>
      </c>
      <c r="H21" s="23">
        <v>45</v>
      </c>
      <c r="I21" s="23">
        <f t="shared" si="0"/>
        <v>-45</v>
      </c>
      <c r="J21" s="5" t="s">
        <v>25</v>
      </c>
      <c r="K21" s="5" t="s">
        <v>25</v>
      </c>
      <c r="L21" s="5" t="s">
        <v>2964</v>
      </c>
      <c r="M21" s="5"/>
      <c r="N21" s="5"/>
      <c r="O21" s="5"/>
      <c r="P21" s="5"/>
      <c r="Q21" s="23">
        <v>1</v>
      </c>
      <c r="R21" s="23">
        <f t="shared" si="2"/>
        <v>45</v>
      </c>
    </row>
    <row r="22" spans="1:18" x14ac:dyDescent="0.25">
      <c r="A22" s="5" t="s">
        <v>1833</v>
      </c>
      <c r="B22" s="5" t="s">
        <v>1827</v>
      </c>
      <c r="C22" s="5" t="s">
        <v>3024</v>
      </c>
      <c r="D22" s="5"/>
      <c r="E22" s="5" t="s">
        <v>3025</v>
      </c>
      <c r="F22" s="5" t="s">
        <v>98</v>
      </c>
      <c r="G22" s="23">
        <v>30</v>
      </c>
      <c r="H22" s="23">
        <v>30</v>
      </c>
      <c r="I22" s="23">
        <f t="shared" si="0"/>
        <v>0</v>
      </c>
      <c r="J22" s="5" t="s">
        <v>25</v>
      </c>
      <c r="K22" s="5" t="s">
        <v>25</v>
      </c>
      <c r="L22" s="5" t="s">
        <v>2964</v>
      </c>
      <c r="M22" s="5"/>
      <c r="N22" s="5"/>
      <c r="O22" s="5"/>
      <c r="P22" s="5"/>
      <c r="Q22" s="23">
        <v>1</v>
      </c>
      <c r="R22" s="5"/>
    </row>
    <row r="23" spans="1:18" x14ac:dyDescent="0.25">
      <c r="A23" s="5"/>
      <c r="B23" s="5" t="s">
        <v>1827</v>
      </c>
      <c r="C23" s="5" t="s">
        <v>3026</v>
      </c>
      <c r="D23" s="5" t="s">
        <v>3027</v>
      </c>
      <c r="E23" s="5" t="s">
        <v>3028</v>
      </c>
      <c r="F23" s="23">
        <v>2</v>
      </c>
      <c r="G23" s="23">
        <v>2910</v>
      </c>
      <c r="H23" s="23">
        <v>35</v>
      </c>
      <c r="I23" s="23">
        <f t="shared" si="0"/>
        <v>2875</v>
      </c>
      <c r="J23" s="5" t="s">
        <v>25</v>
      </c>
      <c r="K23" s="5" t="s">
        <v>25</v>
      </c>
      <c r="L23" s="5" t="s">
        <v>2964</v>
      </c>
      <c r="M23" s="6" t="s">
        <v>2403</v>
      </c>
      <c r="N23" s="5"/>
      <c r="O23" s="5"/>
      <c r="P23" s="5"/>
      <c r="Q23" s="23">
        <v>1</v>
      </c>
      <c r="R23" s="23">
        <f>H23</f>
        <v>35</v>
      </c>
    </row>
    <row r="24" spans="1:18" x14ac:dyDescent="0.25">
      <c r="A24" s="5"/>
      <c r="B24" s="5" t="s">
        <v>1827</v>
      </c>
      <c r="C24" s="5" t="s">
        <v>2961</v>
      </c>
      <c r="D24" s="5" t="s">
        <v>2962</v>
      </c>
      <c r="E24" s="5" t="s">
        <v>2963</v>
      </c>
      <c r="F24" s="23">
        <v>4</v>
      </c>
      <c r="G24" s="23">
        <v>815</v>
      </c>
      <c r="H24" s="23">
        <v>25</v>
      </c>
      <c r="I24" s="23">
        <f t="shared" si="0"/>
        <v>790</v>
      </c>
      <c r="J24" s="5" t="s">
        <v>1884</v>
      </c>
      <c r="K24" s="5" t="s">
        <v>25</v>
      </c>
      <c r="L24" s="5" t="s">
        <v>2964</v>
      </c>
      <c r="M24" s="5"/>
      <c r="N24" s="5"/>
      <c r="O24" s="5"/>
      <c r="P24" s="5"/>
      <c r="Q24" s="23">
        <v>1</v>
      </c>
      <c r="R24" s="5"/>
    </row>
    <row r="25" spans="1:18" x14ac:dyDescent="0.25">
      <c r="A25" s="5"/>
      <c r="B25" s="5" t="s">
        <v>1827</v>
      </c>
      <c r="C25" s="5" t="s">
        <v>1937</v>
      </c>
      <c r="D25" s="5" t="s">
        <v>2974</v>
      </c>
      <c r="E25" s="5" t="s">
        <v>1939</v>
      </c>
      <c r="F25" s="23">
        <v>10</v>
      </c>
      <c r="G25" s="23">
        <v>885</v>
      </c>
      <c r="H25" s="23">
        <v>25</v>
      </c>
      <c r="I25" s="23">
        <f t="shared" si="0"/>
        <v>860</v>
      </c>
      <c r="J25" s="5" t="s">
        <v>1884</v>
      </c>
      <c r="K25" s="5" t="s">
        <v>25</v>
      </c>
      <c r="L25" s="5" t="s">
        <v>2964</v>
      </c>
      <c r="M25" s="5"/>
      <c r="N25" s="5"/>
      <c r="O25" s="5"/>
      <c r="P25" s="5"/>
      <c r="Q25" s="23">
        <v>1</v>
      </c>
      <c r="R25" s="5"/>
    </row>
    <row r="26" spans="1:18" x14ac:dyDescent="0.25">
      <c r="A26" s="5"/>
      <c r="B26" s="5" t="s">
        <v>1827</v>
      </c>
      <c r="C26" s="5" t="s">
        <v>2017</v>
      </c>
      <c r="D26" s="5" t="s">
        <v>2975</v>
      </c>
      <c r="E26" s="5" t="s">
        <v>2019</v>
      </c>
      <c r="F26" s="23">
        <v>1</v>
      </c>
      <c r="G26" s="23">
        <v>815</v>
      </c>
      <c r="H26" s="23">
        <v>25</v>
      </c>
      <c r="I26" s="23">
        <f t="shared" si="0"/>
        <v>790</v>
      </c>
      <c r="J26" s="5" t="s">
        <v>1884</v>
      </c>
      <c r="K26" s="5" t="s">
        <v>25</v>
      </c>
      <c r="L26" s="5" t="s">
        <v>2964</v>
      </c>
      <c r="M26" s="5"/>
      <c r="N26" s="5"/>
      <c r="O26" s="5"/>
      <c r="P26" s="5"/>
      <c r="Q26" s="23">
        <v>1</v>
      </c>
      <c r="R26" s="5"/>
    </row>
    <row r="27" spans="1:18" x14ac:dyDescent="0.25">
      <c r="A27" s="5"/>
      <c r="B27" s="5" t="s">
        <v>1827</v>
      </c>
      <c r="C27" s="5" t="s">
        <v>2996</v>
      </c>
      <c r="D27" s="5" t="s">
        <v>2997</v>
      </c>
      <c r="E27" s="5" t="s">
        <v>2998</v>
      </c>
      <c r="F27" s="5" t="s">
        <v>151</v>
      </c>
      <c r="G27" s="23">
        <v>810</v>
      </c>
      <c r="H27" s="23">
        <v>20</v>
      </c>
      <c r="I27" s="23">
        <f t="shared" si="0"/>
        <v>790</v>
      </c>
      <c r="J27" s="5" t="s">
        <v>1884</v>
      </c>
      <c r="K27" s="5" t="s">
        <v>25</v>
      </c>
      <c r="L27" s="5" t="s">
        <v>2964</v>
      </c>
      <c r="M27" s="5"/>
      <c r="N27" s="5"/>
      <c r="O27" s="5"/>
      <c r="P27" s="5"/>
      <c r="Q27" s="23">
        <v>1</v>
      </c>
      <c r="R27" s="5"/>
    </row>
    <row r="28" spans="1:18" x14ac:dyDescent="0.25">
      <c r="A28" s="5"/>
      <c r="B28" s="5" t="s">
        <v>1827</v>
      </c>
      <c r="C28" s="5" t="s">
        <v>3011</v>
      </c>
      <c r="D28" s="5" t="s">
        <v>3012</v>
      </c>
      <c r="E28" s="5" t="s">
        <v>3013</v>
      </c>
      <c r="F28" s="5" t="s">
        <v>98</v>
      </c>
      <c r="G28" s="23">
        <v>845</v>
      </c>
      <c r="H28" s="23">
        <v>25</v>
      </c>
      <c r="I28" s="23">
        <f t="shared" si="0"/>
        <v>820</v>
      </c>
      <c r="J28" s="5" t="s">
        <v>1884</v>
      </c>
      <c r="K28" s="5" t="s">
        <v>25</v>
      </c>
      <c r="L28" s="5" t="s">
        <v>2964</v>
      </c>
      <c r="M28" s="5"/>
      <c r="N28" s="5"/>
      <c r="O28" s="5"/>
      <c r="P28" s="5"/>
      <c r="Q28" s="23">
        <v>1</v>
      </c>
      <c r="R28" s="5"/>
    </row>
    <row r="29" spans="1:18" x14ac:dyDescent="0.25">
      <c r="A29" s="5"/>
      <c r="B29" s="5" t="s">
        <v>1827</v>
      </c>
      <c r="C29" s="5" t="s">
        <v>3014</v>
      </c>
      <c r="D29" s="5" t="s">
        <v>3015</v>
      </c>
      <c r="E29" s="5" t="s">
        <v>2860</v>
      </c>
      <c r="F29" s="5" t="s">
        <v>98</v>
      </c>
      <c r="G29" s="23">
        <v>0</v>
      </c>
      <c r="H29" s="23">
        <v>25</v>
      </c>
      <c r="I29" s="23">
        <f t="shared" si="0"/>
        <v>-25</v>
      </c>
      <c r="J29" s="5" t="s">
        <v>1884</v>
      </c>
      <c r="K29" s="5" t="s">
        <v>25</v>
      </c>
      <c r="L29" s="5" t="s">
        <v>2964</v>
      </c>
      <c r="M29" s="5"/>
      <c r="N29" s="5"/>
      <c r="O29" s="5"/>
      <c r="P29" s="5"/>
      <c r="Q29" s="23">
        <v>1</v>
      </c>
      <c r="R29" s="23">
        <f>H29</f>
        <v>25</v>
      </c>
    </row>
    <row r="30" spans="1:18" s="33" customFormat="1" x14ac:dyDescent="0.25">
      <c r="A30" s="36"/>
      <c r="B30" s="36" t="s">
        <v>1827</v>
      </c>
      <c r="C30" s="36" t="s">
        <v>2824</v>
      </c>
      <c r="D30" s="36" t="s">
        <v>3016</v>
      </c>
      <c r="E30" s="36" t="s">
        <v>3017</v>
      </c>
      <c r="F30" s="37">
        <v>5</v>
      </c>
      <c r="G30" s="37">
        <v>55</v>
      </c>
      <c r="H30" s="37">
        <v>25</v>
      </c>
      <c r="I30" s="37">
        <f t="shared" si="0"/>
        <v>30</v>
      </c>
      <c r="J30" s="36" t="s">
        <v>1884</v>
      </c>
      <c r="K30" s="36" t="s">
        <v>25</v>
      </c>
      <c r="L30" s="36" t="s">
        <v>2964</v>
      </c>
      <c r="M30" s="36" t="s">
        <v>472</v>
      </c>
      <c r="N30" s="36"/>
      <c r="O30" s="36"/>
      <c r="P30" s="36"/>
      <c r="Q30" s="37">
        <v>1</v>
      </c>
      <c r="R30" s="36"/>
    </row>
    <row r="32" spans="1:18" x14ac:dyDescent="0.25">
      <c r="G32">
        <f t="shared" ref="G32:R32" si="3">SUBTOTAL(9,G3:G31)</f>
        <v>15005</v>
      </c>
      <c r="H32">
        <f t="shared" si="3"/>
        <v>815</v>
      </c>
      <c r="I32">
        <f t="shared" si="3"/>
        <v>14190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28</v>
      </c>
      <c r="R32">
        <f t="shared" si="3"/>
        <v>310</v>
      </c>
    </row>
    <row r="33" spans="1:11" x14ac:dyDescent="0.25">
      <c r="I33" s="29">
        <v>-2630</v>
      </c>
      <c r="J33" s="22" t="s">
        <v>3029</v>
      </c>
    </row>
    <row r="34" spans="1:11" x14ac:dyDescent="0.25">
      <c r="I34" s="29">
        <v>-745</v>
      </c>
      <c r="J34" s="22" t="s">
        <v>311</v>
      </c>
    </row>
    <row r="35" spans="1:11" x14ac:dyDescent="0.25">
      <c r="I35" s="29"/>
      <c r="J35" s="22"/>
    </row>
    <row r="36" spans="1:11" ht="18.75" customHeight="1" x14ac:dyDescent="0.3">
      <c r="H36" s="7" t="s">
        <v>2787</v>
      </c>
      <c r="I36" s="8" t="s">
        <v>313</v>
      </c>
      <c r="J36" s="9" t="s">
        <v>314</v>
      </c>
    </row>
    <row r="37" spans="1:11" ht="15.75" customHeight="1" x14ac:dyDescent="0.25">
      <c r="H37" s="10" t="s">
        <v>315</v>
      </c>
      <c r="I37" s="38">
        <f>SUM(I31:I35)</f>
        <v>10815</v>
      </c>
      <c r="J37" s="11">
        <f>Q32</f>
        <v>28</v>
      </c>
    </row>
    <row r="38" spans="1:11" x14ac:dyDescent="0.25">
      <c r="H38" s="12" t="s">
        <v>316</v>
      </c>
      <c r="I38" s="13">
        <f>R32</f>
        <v>310</v>
      </c>
      <c r="J38" s="14"/>
    </row>
    <row r="39" spans="1:11" x14ac:dyDescent="0.25">
      <c r="H39" s="12" t="s">
        <v>317</v>
      </c>
      <c r="I39" s="13">
        <f>S32</f>
        <v>0</v>
      </c>
      <c r="J39" s="14"/>
    </row>
    <row r="40" spans="1:11" x14ac:dyDescent="0.25">
      <c r="H40" s="12" t="s">
        <v>318</v>
      </c>
      <c r="I40" s="13">
        <f>T32</f>
        <v>0</v>
      </c>
      <c r="J40" s="14"/>
    </row>
    <row r="41" spans="1:11" x14ac:dyDescent="0.25">
      <c r="H41" s="12" t="s">
        <v>319</v>
      </c>
      <c r="I41" s="13">
        <f>U32</f>
        <v>0</v>
      </c>
      <c r="J41" s="14"/>
    </row>
    <row r="42" spans="1:11" ht="15.75" customHeight="1" x14ac:dyDescent="0.25">
      <c r="H42" s="15" t="s">
        <v>320</v>
      </c>
      <c r="I42" s="16"/>
      <c r="J42" s="16"/>
    </row>
    <row r="43" spans="1:11" ht="15.75" customHeight="1" x14ac:dyDescent="0.25">
      <c r="H43" s="17" t="s">
        <v>321</v>
      </c>
      <c r="I43" s="16"/>
      <c r="J43" s="16"/>
    </row>
    <row r="44" spans="1:11" ht="21" customHeight="1" x14ac:dyDescent="0.35">
      <c r="H44" s="18" t="s">
        <v>322</v>
      </c>
      <c r="I44" s="39">
        <f>SUM(I37:I43)</f>
        <v>11125</v>
      </c>
      <c r="J44" s="19">
        <f>SUM(J37:J41)</f>
        <v>28</v>
      </c>
    </row>
    <row r="47" spans="1:11" x14ac:dyDescent="0.25">
      <c r="A47" t="s">
        <v>311</v>
      </c>
    </row>
    <row r="48" spans="1:11" s="4" customFormat="1" x14ac:dyDescent="0.25">
      <c r="A48" s="52" t="s">
        <v>2804</v>
      </c>
      <c r="B48" s="52" t="s">
        <v>2805</v>
      </c>
      <c r="C48" s="52" t="s">
        <v>2806</v>
      </c>
      <c r="D48" s="53">
        <v>4</v>
      </c>
      <c r="E48" s="53">
        <v>745</v>
      </c>
      <c r="F48" s="53">
        <v>0</v>
      </c>
      <c r="G48" s="53">
        <f t="shared" ref="G48" si="4">E48-F48</f>
        <v>745</v>
      </c>
      <c r="H48" s="52" t="s">
        <v>24</v>
      </c>
      <c r="I48" s="52" t="s">
        <v>25</v>
      </c>
      <c r="J48" s="52" t="s">
        <v>2788</v>
      </c>
      <c r="K48" s="3" t="s">
        <v>3030</v>
      </c>
    </row>
  </sheetData>
  <autoFilter ref="A2:P30" xr:uid="{00000000-0009-0000-0000-000012000000}">
    <sortState xmlns:xlrd2="http://schemas.microsoft.com/office/spreadsheetml/2017/richdata2" ref="A3:P30">
      <sortCondition ref="J2:J3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2-3</vt:lpstr>
      <vt:lpstr>3-3</vt:lpstr>
      <vt:lpstr>4-3</vt:lpstr>
      <vt:lpstr>5-3</vt:lpstr>
      <vt:lpstr>6-3</vt:lpstr>
      <vt:lpstr>7-3</vt:lpstr>
      <vt:lpstr>9-3</vt:lpstr>
      <vt:lpstr>10-3</vt:lpstr>
      <vt:lpstr>11-3</vt:lpstr>
      <vt:lpstr>12-3</vt:lpstr>
      <vt:lpstr>13-3</vt:lpstr>
      <vt:lpstr>14-3</vt:lpstr>
      <vt:lpstr>16-3</vt:lpstr>
      <vt:lpstr>17-3</vt:lpstr>
      <vt:lpstr>18-3</vt:lpstr>
      <vt:lpstr>19-3</vt:lpstr>
      <vt:lpstr>20-3</vt:lpstr>
      <vt:lpstr>21-3</vt:lpstr>
      <vt:lpstr>23-3</vt:lpstr>
      <vt:lpstr>24-3</vt:lpstr>
      <vt:lpstr>25-3</vt:lpstr>
      <vt:lpstr>26-3</vt:lpstr>
      <vt:lpstr>27-3</vt:lpstr>
      <vt:lpstr>28-3</vt:lpstr>
      <vt:lpstr>30-3</vt:lpstr>
      <vt:lpstr>31-3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BTT-GN</dc:creator>
  <cp:lastModifiedBy>Sei Pham</cp:lastModifiedBy>
  <dcterms:created xsi:type="dcterms:W3CDTF">2026-03-03T04:06:03Z</dcterms:created>
  <dcterms:modified xsi:type="dcterms:W3CDTF">2026-09-03T08:50:25Z</dcterms:modified>
</cp:coreProperties>
</file>