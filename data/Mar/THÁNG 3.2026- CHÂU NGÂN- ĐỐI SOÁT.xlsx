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22F46BE4-0E34-4645-A82F-83EEC2D62E87}" xr6:coauthVersionLast="47" xr6:coauthVersionMax="47" xr10:uidLastSave="{00000000-0000-0000-0000-000000000000}"/>
  <bookViews>
    <workbookView xWindow="-120" yWindow="-120" windowWidth="29040" windowHeight="15720" firstSheet="9" activeTab="25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  <sheet name="21-3" sheetId="18" r:id="rId18"/>
    <sheet name="23-3" sheetId="19" r:id="rId19"/>
    <sheet name="24-3" sheetId="20" r:id="rId20"/>
    <sheet name="25-3" sheetId="21" r:id="rId21"/>
    <sheet name="26-3" sheetId="22" r:id="rId22"/>
    <sheet name="27-3" sheetId="23" r:id="rId23"/>
    <sheet name="28-3" sheetId="24" r:id="rId24"/>
    <sheet name="30-3" sheetId="25" r:id="rId25"/>
    <sheet name="31-3" sheetId="26" r:id="rId26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17" hidden="1">'21-3'!$A$2:$P$34</definedName>
    <definedName name="_xlnm._FilterDatabase" localSheetId="0" hidden="1">'2-3'!$A$2:$Q$78</definedName>
    <definedName name="_xlnm._FilterDatabase" localSheetId="18" hidden="1">'23-3'!$A$2:$P$75</definedName>
    <definedName name="_xlnm._FilterDatabase" localSheetId="19" hidden="1">'24-3'!$A$2:$P$19</definedName>
    <definedName name="_xlnm._FilterDatabase" localSheetId="20" hidden="1">'25-3'!$A$2:$P$19</definedName>
    <definedName name="_xlnm._FilterDatabase" localSheetId="21" hidden="1">'26-3'!$A$2:$P$33</definedName>
    <definedName name="_xlnm._FilterDatabase" localSheetId="22" hidden="1">'27-3'!$A$2:$P$37</definedName>
    <definedName name="_xlnm._FilterDatabase" localSheetId="23" hidden="1">'28-3'!$A$2:$P$29</definedName>
    <definedName name="_xlnm._FilterDatabase" localSheetId="24" hidden="1">'30-3'!$A$2:$P$68</definedName>
    <definedName name="_xlnm._FilterDatabase" localSheetId="25" hidden="1">'31-3'!$A$2:$P$30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26" l="1"/>
  <c r="G48" i="26"/>
  <c r="R23" i="26"/>
  <c r="R29" i="26"/>
  <c r="R21" i="26"/>
  <c r="R20" i="26"/>
  <c r="R16" i="26"/>
  <c r="R15" i="26"/>
  <c r="R14" i="26"/>
  <c r="R8" i="26"/>
  <c r="R6" i="26"/>
  <c r="R32" i="26" s="1"/>
  <c r="I38" i="26" s="1"/>
  <c r="R4" i="26"/>
  <c r="I3" i="26"/>
  <c r="I4" i="26"/>
  <c r="I5" i="26"/>
  <c r="I25" i="26"/>
  <c r="I26" i="26"/>
  <c r="I6" i="26"/>
  <c r="I15" i="26"/>
  <c r="I7" i="26"/>
  <c r="I8" i="26"/>
  <c r="I9" i="26"/>
  <c r="I16" i="26"/>
  <c r="I17" i="26"/>
  <c r="I27" i="26"/>
  <c r="I10" i="26"/>
  <c r="I11" i="26"/>
  <c r="I18" i="26"/>
  <c r="I12" i="26"/>
  <c r="I13" i="26"/>
  <c r="I28" i="26"/>
  <c r="I29" i="26"/>
  <c r="I30" i="26"/>
  <c r="I19" i="26"/>
  <c r="I20" i="26"/>
  <c r="I22" i="26"/>
  <c r="I14" i="26"/>
  <c r="I23" i="26"/>
  <c r="I24" i="26"/>
  <c r="I32" i="26"/>
  <c r="I37" i="26" s="1"/>
  <c r="I41" i="26"/>
  <c r="I40" i="26"/>
  <c r="I39" i="26"/>
  <c r="Q32" i="26"/>
  <c r="J37" i="26" s="1"/>
  <c r="J44" i="26" s="1"/>
  <c r="P32" i="26"/>
  <c r="O32" i="26"/>
  <c r="N32" i="26"/>
  <c r="M32" i="26"/>
  <c r="L32" i="26"/>
  <c r="K32" i="26"/>
  <c r="J32" i="26"/>
  <c r="H32" i="26"/>
  <c r="G32" i="26"/>
  <c r="R35" i="25"/>
  <c r="R13" i="25"/>
  <c r="R67" i="25"/>
  <c r="R55" i="25"/>
  <c r="R51" i="25"/>
  <c r="R49" i="25"/>
  <c r="R41" i="25"/>
  <c r="R36" i="25"/>
  <c r="R34" i="25"/>
  <c r="R33" i="25"/>
  <c r="R27" i="25"/>
  <c r="R22" i="25"/>
  <c r="R19" i="25"/>
  <c r="R12" i="25"/>
  <c r="R9" i="25"/>
  <c r="I68" i="25"/>
  <c r="I67" i="25"/>
  <c r="I27" i="25"/>
  <c r="I41" i="25"/>
  <c r="I40" i="25"/>
  <c r="I26" i="25"/>
  <c r="I25" i="25"/>
  <c r="I39" i="25"/>
  <c r="I66" i="25"/>
  <c r="I24" i="25"/>
  <c r="I65" i="25"/>
  <c r="I23" i="25"/>
  <c r="I64" i="25"/>
  <c r="I22" i="25"/>
  <c r="I63" i="25"/>
  <c r="I21" i="25"/>
  <c r="I20" i="25"/>
  <c r="I19" i="25"/>
  <c r="I62" i="25"/>
  <c r="I61" i="25"/>
  <c r="I38" i="25"/>
  <c r="I60" i="25"/>
  <c r="I18" i="25"/>
  <c r="I59" i="25"/>
  <c r="I58" i="25"/>
  <c r="I17" i="25"/>
  <c r="I57" i="25"/>
  <c r="I56" i="25"/>
  <c r="I37" i="25"/>
  <c r="I16" i="25"/>
  <c r="I55" i="25"/>
  <c r="I54" i="25"/>
  <c r="I3" i="25"/>
  <c r="I53" i="25"/>
  <c r="I52" i="25"/>
  <c r="I15" i="25"/>
  <c r="I51" i="25"/>
  <c r="I50" i="25"/>
  <c r="I14" i="25"/>
  <c r="I36" i="25"/>
  <c r="I35" i="25"/>
  <c r="I13" i="25"/>
  <c r="I12" i="25"/>
  <c r="I49" i="25"/>
  <c r="I11" i="25"/>
  <c r="I34" i="25"/>
  <c r="I48" i="25"/>
  <c r="I10" i="25"/>
  <c r="I47" i="25"/>
  <c r="I33" i="25"/>
  <c r="I32" i="25"/>
  <c r="I46" i="25"/>
  <c r="I45" i="25"/>
  <c r="I31" i="25"/>
  <c r="I9" i="25"/>
  <c r="I44" i="25"/>
  <c r="I8" i="25"/>
  <c r="I30" i="25"/>
  <c r="I7" i="25"/>
  <c r="I43" i="25"/>
  <c r="I6" i="25"/>
  <c r="I5" i="25"/>
  <c r="I42" i="25"/>
  <c r="I4" i="25"/>
  <c r="I29" i="25"/>
  <c r="I28" i="25"/>
  <c r="I79" i="25"/>
  <c r="I78" i="25"/>
  <c r="I77" i="25"/>
  <c r="Q70" i="25"/>
  <c r="J75" i="25" s="1"/>
  <c r="J82" i="25" s="1"/>
  <c r="P70" i="25"/>
  <c r="O70" i="25"/>
  <c r="N70" i="25"/>
  <c r="M70" i="25"/>
  <c r="L70" i="25"/>
  <c r="K70" i="25"/>
  <c r="J70" i="25"/>
  <c r="H70" i="25"/>
  <c r="G70" i="25"/>
  <c r="R70" i="25"/>
  <c r="I76" i="25" s="1"/>
  <c r="I70" i="25"/>
  <c r="I75" i="25" s="1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" i="24"/>
  <c r="I31" i="24" s="1"/>
  <c r="I36" i="24" s="1"/>
  <c r="R26" i="24"/>
  <c r="R25" i="24"/>
  <c r="R24" i="24"/>
  <c r="R21" i="24"/>
  <c r="R12" i="24"/>
  <c r="R10" i="24"/>
  <c r="R8" i="24"/>
  <c r="I40" i="24"/>
  <c r="I39" i="24"/>
  <c r="I38" i="24"/>
  <c r="Q31" i="24"/>
  <c r="J36" i="24" s="1"/>
  <c r="J43" i="24" s="1"/>
  <c r="P31" i="24"/>
  <c r="O31" i="24"/>
  <c r="N31" i="24"/>
  <c r="M31" i="24"/>
  <c r="L31" i="24"/>
  <c r="K31" i="24"/>
  <c r="J31" i="24"/>
  <c r="H31" i="24"/>
  <c r="G31" i="24"/>
  <c r="R31" i="24"/>
  <c r="I37" i="24" s="1"/>
  <c r="R29" i="23"/>
  <c r="R27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" i="23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" i="22"/>
  <c r="I3" i="21"/>
  <c r="R32" i="23"/>
  <c r="R4" i="23"/>
  <c r="I48" i="23"/>
  <c r="I47" i="23"/>
  <c r="I46" i="23"/>
  <c r="Q39" i="23"/>
  <c r="J44" i="23" s="1"/>
  <c r="J51" i="23" s="1"/>
  <c r="P39" i="23"/>
  <c r="O39" i="23"/>
  <c r="N39" i="23"/>
  <c r="M39" i="23"/>
  <c r="L39" i="23"/>
  <c r="K39" i="23"/>
  <c r="J39" i="23"/>
  <c r="I39" i="23"/>
  <c r="I44" i="23" s="1"/>
  <c r="H39" i="23"/>
  <c r="G39" i="23"/>
  <c r="R39" i="23"/>
  <c r="I45" i="23" s="1"/>
  <c r="R26" i="22"/>
  <c r="R25" i="22"/>
  <c r="R24" i="22"/>
  <c r="R4" i="22"/>
  <c r="R3" i="22"/>
  <c r="H35" i="22"/>
  <c r="J35" i="22"/>
  <c r="K35" i="22"/>
  <c r="L35" i="22"/>
  <c r="M35" i="22"/>
  <c r="N35" i="22"/>
  <c r="O35" i="22"/>
  <c r="P35" i="22"/>
  <c r="Q35" i="22"/>
  <c r="J40" i="22" s="1"/>
  <c r="J47" i="22" s="1"/>
  <c r="G35" i="22"/>
  <c r="R35" i="22"/>
  <c r="I41" i="22" s="1"/>
  <c r="I35" i="22"/>
  <c r="I40" i="22" s="1"/>
  <c r="I44" i="22"/>
  <c r="I43" i="22"/>
  <c r="I42" i="22"/>
  <c r="I19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3" i="20"/>
  <c r="I73" i="19"/>
  <c r="I74" i="19"/>
  <c r="I75" i="19"/>
  <c r="R19" i="21"/>
  <c r="R16" i="21"/>
  <c r="R13" i="21"/>
  <c r="R5" i="21"/>
  <c r="R3" i="21"/>
  <c r="R19" i="20"/>
  <c r="R18" i="20"/>
  <c r="R15" i="20"/>
  <c r="R5" i="20"/>
  <c r="R4" i="20"/>
  <c r="R3" i="20"/>
  <c r="I30" i="21"/>
  <c r="I29" i="21"/>
  <c r="I28" i="21"/>
  <c r="R21" i="21"/>
  <c r="I27" i="21" s="1"/>
  <c r="Q21" i="21"/>
  <c r="J26" i="21" s="1"/>
  <c r="J33" i="21" s="1"/>
  <c r="P21" i="21"/>
  <c r="O21" i="21"/>
  <c r="N21" i="21"/>
  <c r="M21" i="21"/>
  <c r="L21" i="21"/>
  <c r="K21" i="21"/>
  <c r="J21" i="21"/>
  <c r="I21" i="21"/>
  <c r="I26" i="21" s="1"/>
  <c r="H21" i="21"/>
  <c r="G21" i="21"/>
  <c r="I30" i="20"/>
  <c r="I29" i="20"/>
  <c r="I28" i="20"/>
  <c r="I86" i="19"/>
  <c r="I85" i="19"/>
  <c r="I84" i="19"/>
  <c r="I45" i="18"/>
  <c r="I44" i="18"/>
  <c r="I43" i="18"/>
  <c r="I43" i="16"/>
  <c r="I45" i="16"/>
  <c r="I44" i="16"/>
  <c r="I36" i="17"/>
  <c r="I37" i="17"/>
  <c r="I83" i="19"/>
  <c r="Q21" i="20"/>
  <c r="J26" i="20" s="1"/>
  <c r="J33" i="20" s="1"/>
  <c r="P21" i="20"/>
  <c r="O21" i="20"/>
  <c r="N21" i="20"/>
  <c r="M21" i="20"/>
  <c r="L21" i="20"/>
  <c r="K21" i="20"/>
  <c r="J21" i="20"/>
  <c r="H21" i="20"/>
  <c r="G21" i="20"/>
  <c r="R21" i="20"/>
  <c r="I27" i="20" s="1"/>
  <c r="I21" i="20"/>
  <c r="I26" i="20" s="1"/>
  <c r="H77" i="19"/>
  <c r="I77" i="19"/>
  <c r="J77" i="19"/>
  <c r="K77" i="19"/>
  <c r="L77" i="19"/>
  <c r="M77" i="19"/>
  <c r="N77" i="19"/>
  <c r="O77" i="19"/>
  <c r="P77" i="19"/>
  <c r="Q77" i="19"/>
  <c r="J82" i="19" s="1"/>
  <c r="J89" i="19" s="1"/>
  <c r="R77" i="19"/>
  <c r="G77" i="19"/>
  <c r="R34" i="19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H80" i="1"/>
  <c r="I80" i="1"/>
  <c r="J80" i="1"/>
  <c r="K80" i="1"/>
  <c r="L80" i="1"/>
  <c r="M80" i="1"/>
  <c r="N80" i="1"/>
  <c r="O80" i="1"/>
  <c r="P80" i="1"/>
  <c r="Q80" i="1"/>
  <c r="R80" i="1"/>
  <c r="S80" i="1"/>
  <c r="J85" i="1"/>
  <c r="K85" i="1"/>
  <c r="J86" i="1"/>
  <c r="J87" i="1"/>
  <c r="J88" i="1"/>
  <c r="J89" i="1"/>
  <c r="J92" i="1"/>
  <c r="K92" i="1"/>
  <c r="I95" i="1"/>
  <c r="I96" i="1"/>
  <c r="I97" i="1"/>
  <c r="I98" i="1"/>
  <c r="I101" i="1"/>
  <c r="J3" i="2"/>
  <c r="J49" i="2" s="1"/>
  <c r="J54" i="2" s="1"/>
  <c r="J61" i="2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H49" i="2"/>
  <c r="I49" i="2"/>
  <c r="K49" i="2"/>
  <c r="L49" i="2"/>
  <c r="M49" i="2"/>
  <c r="N49" i="2"/>
  <c r="O49" i="2"/>
  <c r="P49" i="2"/>
  <c r="Q49" i="2"/>
  <c r="R49" i="2"/>
  <c r="S49" i="2"/>
  <c r="K54" i="2"/>
  <c r="J55" i="2"/>
  <c r="J56" i="2"/>
  <c r="J57" i="2"/>
  <c r="J58" i="2"/>
  <c r="K61" i="2"/>
  <c r="I63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H49" i="3"/>
  <c r="I49" i="3"/>
  <c r="J49" i="3"/>
  <c r="K49" i="3"/>
  <c r="L49" i="3"/>
  <c r="M49" i="3"/>
  <c r="N49" i="3"/>
  <c r="O49" i="3"/>
  <c r="P49" i="3"/>
  <c r="Q49" i="3"/>
  <c r="R49" i="3"/>
  <c r="S49" i="3"/>
  <c r="J55" i="3" s="1"/>
  <c r="T49" i="3"/>
  <c r="J54" i="3"/>
  <c r="J61" i="3" s="1"/>
  <c r="K54" i="3"/>
  <c r="K61" i="3" s="1"/>
  <c r="J56" i="3"/>
  <c r="J57" i="3"/>
  <c r="J58" i="3"/>
  <c r="I63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J41" i="4"/>
  <c r="K41" i="4"/>
  <c r="J42" i="4"/>
  <c r="J43" i="4"/>
  <c r="J44" i="4"/>
  <c r="J45" i="4"/>
  <c r="J48" i="4"/>
  <c r="K48" i="4"/>
  <c r="I51" i="4"/>
  <c r="I52" i="4"/>
  <c r="J3" i="5"/>
  <c r="J61" i="5" s="1"/>
  <c r="J66" i="5" s="1"/>
  <c r="J73" i="5" s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H61" i="5"/>
  <c r="I61" i="5"/>
  <c r="K61" i="5"/>
  <c r="L61" i="5"/>
  <c r="M61" i="5"/>
  <c r="N61" i="5"/>
  <c r="O61" i="5"/>
  <c r="P61" i="5"/>
  <c r="Q61" i="5"/>
  <c r="R61" i="5"/>
  <c r="S61" i="5"/>
  <c r="T61" i="5"/>
  <c r="K66" i="5"/>
  <c r="J67" i="5"/>
  <c r="J68" i="5"/>
  <c r="J69" i="5"/>
  <c r="J70" i="5"/>
  <c r="K73" i="5"/>
  <c r="I76" i="5"/>
  <c r="I79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H62" i="6"/>
  <c r="I62" i="6"/>
  <c r="J62" i="6"/>
  <c r="K62" i="6"/>
  <c r="L62" i="6"/>
  <c r="M62" i="6"/>
  <c r="N62" i="6"/>
  <c r="O62" i="6"/>
  <c r="P62" i="6"/>
  <c r="Q62" i="6"/>
  <c r="R62" i="6"/>
  <c r="K67" i="6" s="1"/>
  <c r="K74" i="6" s="1"/>
  <c r="S62" i="6"/>
  <c r="J68" i="6" s="1"/>
  <c r="J74" i="6" s="1"/>
  <c r="J67" i="6"/>
  <c r="J69" i="6"/>
  <c r="J70" i="6"/>
  <c r="J71" i="6"/>
  <c r="I77" i="6"/>
  <c r="I80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H67" i="7"/>
  <c r="I67" i="7"/>
  <c r="J67" i="7"/>
  <c r="K67" i="7"/>
  <c r="L67" i="7"/>
  <c r="M67" i="7"/>
  <c r="N67" i="7"/>
  <c r="O67" i="7"/>
  <c r="P67" i="7"/>
  <c r="Q67" i="7"/>
  <c r="R67" i="7"/>
  <c r="K72" i="7" s="1"/>
  <c r="K79" i="7" s="1"/>
  <c r="S67" i="7"/>
  <c r="J73" i="7" s="1"/>
  <c r="J79" i="7" s="1"/>
  <c r="J72" i="7"/>
  <c r="J74" i="7"/>
  <c r="J75" i="7"/>
  <c r="J76" i="7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39" i="8" s="1"/>
  <c r="J44" i="8" s="1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H39" i="8"/>
  <c r="I39" i="8"/>
  <c r="K39" i="8"/>
  <c r="L39" i="8"/>
  <c r="M39" i="8"/>
  <c r="N39" i="8"/>
  <c r="O39" i="8"/>
  <c r="P39" i="8"/>
  <c r="Q39" i="8"/>
  <c r="R39" i="8"/>
  <c r="K44" i="8" s="1"/>
  <c r="K51" i="8" s="1"/>
  <c r="S39" i="8"/>
  <c r="J45" i="8" s="1"/>
  <c r="J46" i="8"/>
  <c r="J47" i="8"/>
  <c r="J48" i="8"/>
  <c r="I54" i="8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H26" i="9"/>
  <c r="I26" i="9"/>
  <c r="J26" i="9"/>
  <c r="K26" i="9"/>
  <c r="L26" i="9"/>
  <c r="M26" i="9"/>
  <c r="N26" i="9"/>
  <c r="O26" i="9"/>
  <c r="P26" i="9"/>
  <c r="Q26" i="9"/>
  <c r="R26" i="9"/>
  <c r="K31" i="9" s="1"/>
  <c r="K38" i="9" s="1"/>
  <c r="S26" i="9"/>
  <c r="J32" i="9" s="1"/>
  <c r="J38" i="9" s="1"/>
  <c r="J31" i="9"/>
  <c r="J33" i="9"/>
  <c r="J34" i="9"/>
  <c r="J35" i="9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46" i="10" s="1"/>
  <c r="J51" i="10" s="1"/>
  <c r="J58" i="10" s="1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H46" i="10"/>
  <c r="I46" i="10"/>
  <c r="K46" i="10"/>
  <c r="L46" i="10"/>
  <c r="M46" i="10"/>
  <c r="N46" i="10"/>
  <c r="O46" i="10"/>
  <c r="P46" i="10"/>
  <c r="Q46" i="10"/>
  <c r="R46" i="10"/>
  <c r="S46" i="10"/>
  <c r="K51" i="10"/>
  <c r="J52" i="10"/>
  <c r="J53" i="10"/>
  <c r="J54" i="10"/>
  <c r="J55" i="10"/>
  <c r="K58" i="10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J48" i="11"/>
  <c r="K48" i="11"/>
  <c r="J49" i="11"/>
  <c r="J50" i="11"/>
  <c r="J51" i="11"/>
  <c r="J52" i="11"/>
  <c r="J55" i="11"/>
  <c r="K55" i="11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H34" i="12"/>
  <c r="I34" i="12"/>
  <c r="J34" i="12"/>
  <c r="K34" i="12"/>
  <c r="L34" i="12"/>
  <c r="M34" i="12"/>
  <c r="N34" i="12"/>
  <c r="O34" i="12"/>
  <c r="P34" i="12"/>
  <c r="Q34" i="12"/>
  <c r="R34" i="12"/>
  <c r="K39" i="12" s="1"/>
  <c r="K46" i="12" s="1"/>
  <c r="S34" i="12"/>
  <c r="J40" i="12" s="1"/>
  <c r="J39" i="12"/>
  <c r="J46" i="12" s="1"/>
  <c r="J41" i="12"/>
  <c r="J42" i="12"/>
  <c r="J43" i="12"/>
  <c r="I48" i="12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H83" i="13"/>
  <c r="I83" i="13"/>
  <c r="J83" i="13"/>
  <c r="K83" i="13"/>
  <c r="L83" i="13"/>
  <c r="M83" i="13"/>
  <c r="N83" i="13"/>
  <c r="O83" i="13"/>
  <c r="P83" i="13"/>
  <c r="Q83" i="13"/>
  <c r="R83" i="13"/>
  <c r="S83" i="13"/>
  <c r="T83" i="13"/>
  <c r="J88" i="13"/>
  <c r="K88" i="13"/>
  <c r="J89" i="13"/>
  <c r="J90" i="13"/>
  <c r="J91" i="13"/>
  <c r="J92" i="13"/>
  <c r="J95" i="13"/>
  <c r="K95" i="13"/>
  <c r="I98" i="13"/>
  <c r="I3" i="14"/>
  <c r="I26" i="14" s="1"/>
  <c r="I31" i="14" s="1"/>
  <c r="I38" i="14" s="1"/>
  <c r="I4" i="14"/>
  <c r="I5" i="14"/>
  <c r="I6" i="14"/>
  <c r="R6" i="14"/>
  <c r="R26" i="14" s="1"/>
  <c r="I32" i="14" s="1"/>
  <c r="I7" i="14"/>
  <c r="I8" i="14"/>
  <c r="I9" i="14"/>
  <c r="I10" i="14"/>
  <c r="I11" i="14"/>
  <c r="I12" i="14"/>
  <c r="I13" i="14"/>
  <c r="I14" i="14"/>
  <c r="R14" i="14"/>
  <c r="I15" i="14"/>
  <c r="I16" i="14"/>
  <c r="R16" i="14"/>
  <c r="I17" i="14"/>
  <c r="I18" i="14"/>
  <c r="I19" i="14"/>
  <c r="I20" i="14"/>
  <c r="I21" i="14"/>
  <c r="R21" i="14"/>
  <c r="I22" i="14"/>
  <c r="I23" i="14"/>
  <c r="I24" i="14"/>
  <c r="R24" i="14"/>
  <c r="G26" i="14"/>
  <c r="H26" i="14"/>
  <c r="J26" i="14"/>
  <c r="K26" i="14"/>
  <c r="L26" i="14"/>
  <c r="M26" i="14"/>
  <c r="N26" i="14"/>
  <c r="O26" i="14"/>
  <c r="P26" i="14"/>
  <c r="Q26" i="14"/>
  <c r="S26" i="14"/>
  <c r="J31" i="14"/>
  <c r="I33" i="14"/>
  <c r="I34" i="14"/>
  <c r="I35" i="14"/>
  <c r="J38" i="14"/>
  <c r="R7" i="15"/>
  <c r="R8" i="15"/>
  <c r="R13" i="15"/>
  <c r="R17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I28" i="15"/>
  <c r="J28" i="15"/>
  <c r="I29" i="15"/>
  <c r="I30" i="15"/>
  <c r="I31" i="15"/>
  <c r="I32" i="15"/>
  <c r="I35" i="15"/>
  <c r="J35" i="15"/>
  <c r="H38" i="15"/>
  <c r="I3" i="16"/>
  <c r="I4" i="16"/>
  <c r="I5" i="16"/>
  <c r="R5" i="16"/>
  <c r="R36" i="16" s="1"/>
  <c r="I42" i="16" s="1"/>
  <c r="I6" i="16"/>
  <c r="I7" i="16"/>
  <c r="I8" i="16"/>
  <c r="I9" i="16"/>
  <c r="I10" i="16"/>
  <c r="I11" i="16"/>
  <c r="I12" i="16"/>
  <c r="I13" i="16"/>
  <c r="I14" i="16"/>
  <c r="I15" i="16"/>
  <c r="R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R30" i="16"/>
  <c r="I31" i="16"/>
  <c r="I32" i="16"/>
  <c r="I33" i="16"/>
  <c r="I34" i="16"/>
  <c r="R34" i="16"/>
  <c r="G36" i="16"/>
  <c r="H36" i="16"/>
  <c r="I36" i="16"/>
  <c r="I41" i="16" s="1"/>
  <c r="I48" i="16" s="1"/>
  <c r="J36" i="16"/>
  <c r="K36" i="16"/>
  <c r="L36" i="16"/>
  <c r="M36" i="16"/>
  <c r="N36" i="16"/>
  <c r="O36" i="16"/>
  <c r="P36" i="16"/>
  <c r="Q36" i="16"/>
  <c r="J41" i="16"/>
  <c r="J48" i="16"/>
  <c r="G50" i="16"/>
  <c r="G51" i="16"/>
  <c r="R6" i="17"/>
  <c r="R12" i="17"/>
  <c r="R16" i="17"/>
  <c r="R24" i="17"/>
  <c r="R26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I33" i="17"/>
  <c r="J33" i="17"/>
  <c r="I34" i="17"/>
  <c r="I35" i="17"/>
  <c r="I40" i="17"/>
  <c r="J40" i="17"/>
  <c r="I3" i="18"/>
  <c r="I4" i="18"/>
  <c r="I5" i="18"/>
  <c r="I6" i="18"/>
  <c r="R6" i="18"/>
  <c r="I7" i="18"/>
  <c r="I8" i="18"/>
  <c r="I9" i="18"/>
  <c r="I10" i="18"/>
  <c r="I11" i="18"/>
  <c r="R11" i="18"/>
  <c r="I12" i="18"/>
  <c r="I13" i="18"/>
  <c r="I14" i="18"/>
  <c r="I15" i="18"/>
  <c r="I16" i="18"/>
  <c r="I17" i="18"/>
  <c r="R17" i="18"/>
  <c r="I18" i="18"/>
  <c r="I19" i="18"/>
  <c r="I20" i="18"/>
  <c r="I21" i="18"/>
  <c r="I22" i="18"/>
  <c r="R22" i="18"/>
  <c r="I23" i="18"/>
  <c r="I24" i="18"/>
  <c r="I25" i="18"/>
  <c r="I26" i="18"/>
  <c r="I27" i="18"/>
  <c r="I28" i="18"/>
  <c r="R28" i="18"/>
  <c r="I29" i="18"/>
  <c r="R29" i="18"/>
  <c r="I30" i="18"/>
  <c r="I31" i="18"/>
  <c r="R31" i="18"/>
  <c r="I32" i="18"/>
  <c r="R32" i="18"/>
  <c r="I33" i="18"/>
  <c r="I34" i="18"/>
  <c r="G36" i="18"/>
  <c r="H36" i="18"/>
  <c r="I36" i="18"/>
  <c r="J36" i="18"/>
  <c r="K36" i="18"/>
  <c r="L36" i="18"/>
  <c r="M36" i="18"/>
  <c r="N36" i="18"/>
  <c r="O36" i="18"/>
  <c r="P36" i="18"/>
  <c r="Q36" i="18"/>
  <c r="R36" i="18"/>
  <c r="I41" i="18"/>
  <c r="J41" i="18"/>
  <c r="I42" i="18"/>
  <c r="I48" i="18"/>
  <c r="J48" i="18"/>
  <c r="I3" i="19"/>
  <c r="I4" i="19"/>
  <c r="I5" i="19"/>
  <c r="I6" i="19"/>
  <c r="R6" i="19"/>
  <c r="I7" i="19"/>
  <c r="I8" i="19"/>
  <c r="I9" i="19"/>
  <c r="I10" i="19"/>
  <c r="I11" i="19"/>
  <c r="I12" i="19"/>
  <c r="R12" i="19"/>
  <c r="I13" i="19"/>
  <c r="I14" i="19"/>
  <c r="I15" i="19"/>
  <c r="I16" i="19"/>
  <c r="I17" i="19"/>
  <c r="I18" i="19"/>
  <c r="R18" i="19"/>
  <c r="I19" i="19"/>
  <c r="I20" i="19"/>
  <c r="I21" i="19"/>
  <c r="I22" i="19"/>
  <c r="I23" i="19"/>
  <c r="R23" i="19"/>
  <c r="I24" i="19"/>
  <c r="R24" i="19"/>
  <c r="I25" i="19"/>
  <c r="I26" i="19"/>
  <c r="R26" i="19"/>
  <c r="I27" i="19"/>
  <c r="I28" i="19"/>
  <c r="R28" i="19"/>
  <c r="I29" i="19"/>
  <c r="R29" i="19"/>
  <c r="I30" i="19"/>
  <c r="R30" i="19"/>
  <c r="I31" i="19"/>
  <c r="I32" i="19"/>
  <c r="I33" i="19"/>
  <c r="I34" i="19"/>
  <c r="I35" i="19"/>
  <c r="I36" i="19"/>
  <c r="I37" i="19"/>
  <c r="I38" i="19"/>
  <c r="R38" i="19"/>
  <c r="I39" i="19"/>
  <c r="I40" i="19"/>
  <c r="I41" i="19"/>
  <c r="R41" i="19"/>
  <c r="I42" i="19"/>
  <c r="I43" i="19"/>
  <c r="I44" i="19"/>
  <c r="I45" i="19"/>
  <c r="R45" i="19"/>
  <c r="I46" i="19"/>
  <c r="I47" i="19"/>
  <c r="I48" i="19"/>
  <c r="R48" i="19"/>
  <c r="I49" i="19"/>
  <c r="I50" i="19"/>
  <c r="I51" i="19"/>
  <c r="I52" i="19"/>
  <c r="I53" i="19"/>
  <c r="I54" i="19"/>
  <c r="R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R67" i="19"/>
  <c r="I68" i="19"/>
  <c r="I69" i="19"/>
  <c r="R69" i="19"/>
  <c r="I70" i="19"/>
  <c r="I71" i="19"/>
  <c r="I72" i="19"/>
  <c r="R72" i="19"/>
  <c r="R74" i="19"/>
  <c r="R75" i="19"/>
  <c r="I44" i="26" l="1"/>
  <c r="I82" i="25"/>
  <c r="I43" i="24"/>
  <c r="I51" i="23"/>
  <c r="I47" i="22"/>
  <c r="I33" i="21"/>
  <c r="I33" i="20"/>
  <c r="I82" i="19"/>
  <c r="J51" i="8"/>
  <c r="I89" i="19" l="1"/>
</calcChain>
</file>

<file path=xl/sharedStrings.xml><?xml version="1.0" encoding="utf-8"?>
<sst xmlns="http://schemas.openxmlformats.org/spreadsheetml/2006/main" count="9289" uniqueCount="3031">
  <si>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</si>
  <si>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</si>
  <si>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</si>
  <si>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</si>
  <si>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</si>
  <si>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</si>
  <si>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</si>
  <si>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</si>
  <si>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</si>
  <si>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</si>
  <si>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</si>
  <si>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</si>
  <si>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</si>
  <si>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</si>
  <si>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</si>
  <si>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</si>
  <si>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</si>
  <si>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</si>
  <si>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</si>
  <si>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</si>
  <si>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</si>
  <si>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</si>
  <si>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</si>
  <si>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</si>
  <si>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</si>
  <si>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</si>
  <si>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</si>
  <si>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</si>
  <si>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</si>
  <si>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</si>
  <si>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</si>
  <si>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</si>
  <si>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</si>
  <si>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</si>
  <si>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</si>
  <si>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</si>
  <si>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</si>
  <si>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</si>
  <si>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</si>
  <si>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</si>
  <si>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</si>
  <si>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</si>
  <si>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</si>
  <si>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</si>
  <si>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</si>
  <si>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</si>
  <si>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</si>
  <si>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</si>
  <si>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</si>
  <si>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</si>
  <si>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</si>
  <si>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</si>
  <si>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</si>
  <si>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</si>
  <si>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</si>
  <si>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</si>
  <si>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</si>
  <si>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</si>
  <si>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</si>
  <si>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</si>
  <si>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</si>
  <si>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</si>
  <si>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</si>
  <si>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</si>
  <si>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</si>
  <si>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</si>
  <si>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</si>
  <si>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</si>
  <si>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</si>
  <si>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</si>
  <si>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</si>
  <si>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</si>
  <si>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</si>
  <si>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</si>
  <si>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</si>
  <si>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</si>
  <si>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</si>
  <si>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</si>
  <si>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</si>
  <si>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</si>
  <si>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</si>
  <si>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</si>
  <si>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</si>
  <si>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</si>
  <si>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</si>
  <si>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</si>
  <si>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</si>
  <si>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</si>
  <si>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</si>
  <si>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</si>
  <si>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</si>
  <si>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</si>
  <si>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</si>
  <si>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</si>
  <si>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</si>
  <si>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</si>
  <si>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</si>
  <si>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</si>
  <si>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</si>
  <si>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</si>
  <si>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</si>
  <si>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</si>
  <si>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</si>
  <si>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</si>
  <si>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</si>
  <si>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</si>
  <si>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</si>
  <si>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</si>
  <si>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</si>
  <si>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</si>
  <si>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</si>
  <si>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</si>
  <si>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</si>
  <si>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</si>
  <si>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</si>
  <si>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</si>
  <si>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</si>
  <si>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</si>
  <si>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</si>
  <si>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</si>
  <si>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</si>
  <si>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</si>
  <si>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</si>
  <si>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</si>
  <si>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</si>
  <si>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</si>
  <si>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</si>
  <si>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</si>
  <si>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</si>
  <si>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</si>
  <si>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</si>
  <si>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</si>
  <si>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</si>
  <si>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</si>
  <si>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</si>
  <si>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</si>
  <si>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</si>
  <si>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</si>
  <si>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</si>
  <si>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</si>
  <si>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</si>
  <si>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</si>
  <si>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</si>
  <si>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</si>
  <si>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</si>
  <si>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</si>
  <si>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</si>
  <si>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</si>
  <si>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</si>
  <si>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</si>
  <si>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</si>
  <si>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</si>
  <si>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</si>
  <si>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</si>
  <si>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</si>
  <si>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</si>
  <si>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</si>
  <si>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</si>
  <si>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</si>
  <si>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</si>
  <si>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</si>
  <si>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</si>
  <si>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</si>
  <si>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</si>
  <si>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</si>
  <si>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</si>
  <si>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</si>
  <si>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</si>
  <si>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</si>
  <si>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</si>
  <si>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</si>
  <si>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</si>
  <si>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</si>
  <si>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</si>
  <si>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</si>
  <si>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</si>
  <si>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</si>
  <si>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</si>
  <si>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</si>
  <si>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</si>
  <si>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</si>
  <si>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</si>
  <si>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</si>
  <si>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</si>
  <si>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</si>
  <si>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</si>
  <si>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</si>
  <si>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</si>
  <si>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</si>
  <si>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</si>
  <si>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</si>
  <si>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</si>
  <si>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</si>
  <si>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</si>
  <si>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</si>
  <si>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</si>
  <si>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</si>
  <si>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</si>
  <si>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</si>
  <si>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</si>
  <si>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</si>
  <si>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</si>
  <si>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</si>
  <si>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</si>
  <si>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</si>
  <si>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</si>
  <si>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</si>
  <si>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</si>
  <si>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</si>
  <si>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</si>
  <si>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</si>
  <si>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</si>
  <si>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</si>
  <si>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</si>
  <si>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</si>
  <si>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</si>
  <si>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</si>
  <si>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</si>
  <si>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</si>
  <si>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</si>
  <si>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</si>
  <si>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</si>
  <si>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</si>
  <si>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</si>
  <si>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</si>
  <si>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</si>
  <si>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</si>
  <si>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</si>
  <si>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</si>
  <si>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</si>
  <si>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</si>
  <si>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</si>
  <si>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</si>
  <si>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</si>
  <si>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</si>
  <si>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</si>
  <si>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</si>
  <si>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</si>
  <si>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</si>
  <si>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</si>
  <si>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</si>
  <si>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</si>
  <si>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</si>
  <si>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</si>
  <si>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</si>
  <si>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</si>
  <si>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</si>
  <si>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</si>
  <si>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</si>
  <si>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</si>
  <si>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</si>
  <si>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</si>
  <si>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</si>
  <si>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</si>
  <si>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</si>
  <si>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</si>
  <si>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</si>
  <si>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</si>
  <si>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</si>
  <si>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</si>
  <si>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</si>
  <si>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</si>
  <si>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</si>
  <si>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</si>
  <si>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</si>
  <si>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</si>
  <si>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</si>
  <si>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</si>
  <si>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</si>
  <si>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</si>
  <si>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</si>
  <si>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</si>
  <si>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</si>
  <si>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</si>
  <si>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</si>
  <si>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</si>
  <si>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</si>
  <si>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</si>
  <si>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</si>
  <si>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</si>
  <si>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</si>
  <si>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</si>
  <si>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</si>
  <si>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</si>
  <si>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</si>
  <si>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</si>
  <si>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</si>
  <si>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</si>
  <si>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</si>
  <si>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</si>
  <si>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</si>
  <si>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</si>
  <si>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</si>
  <si>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</si>
  <si>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</si>
  <si>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</si>
  <si>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</si>
  <si>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</si>
  <si>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</si>
  <si>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</si>
  <si>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</si>
  <si>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</si>
  <si>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</si>
  <si>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</si>
  <si>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</si>
  <si>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</si>
  <si>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</si>
  <si>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</si>
  <si>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</si>
  <si>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</si>
  <si>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đơn trả 3-3</t>
  </si>
  <si>
    <t>đơn cũ ck</t>
  </si>
  <si>
    <t>T2.2.3.2026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</si>
  <si>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</si>
  <si>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</si>
  <si>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</si>
  <si>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</si>
  <si>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</si>
  <si>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</si>
  <si>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</si>
  <si>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</si>
  <si>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</si>
  <si>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</si>
  <si>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ĐƠN CK</t>
  </si>
  <si>
    <t>giang donna</t>
  </si>
  <si>
    <t>hd133288</t>
  </si>
  <si>
    <t>saigon</t>
  </si>
  <si>
    <t>phu thuan</t>
  </si>
  <si>
    <t>28-02-2026.</t>
  </si>
  <si>
    <t>giảm 100k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</si>
  <si>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</si>
  <si>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</si>
  <si>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</si>
  <si>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</si>
  <si>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</si>
  <si>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</si>
  <si>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</si>
  <si>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</si>
  <si>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</si>
  <si>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</si>
  <si>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</si>
  <si>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</si>
  <si>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</si>
  <si>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</si>
  <si>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</si>
  <si>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</si>
  <si>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</si>
  <si>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</si>
  <si>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</si>
  <si>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</si>
  <si>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</si>
  <si>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</si>
  <si>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</si>
  <si>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</si>
  <si>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</si>
  <si>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</si>
  <si>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</si>
  <si>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</si>
  <si>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</si>
  <si>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</si>
  <si>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</si>
  <si>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</si>
  <si>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</si>
  <si>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</si>
  <si>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</si>
  <si>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</si>
  <si>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</si>
  <si>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</si>
  <si>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</si>
  <si>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</si>
  <si>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</si>
  <si>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</si>
  <si>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</si>
  <si>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</si>
  <si>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</si>
  <si>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</si>
  <si>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</si>
  <si>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</si>
  <si>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</si>
  <si>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</si>
  <si>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</si>
  <si>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</si>
  <si>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</si>
  <si>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</si>
  <si>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</si>
  <si>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</si>
  <si>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</si>
  <si>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</si>
  <si>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</si>
  <si>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</si>
  <si>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</si>
  <si>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</si>
  <si>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</si>
  <si>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</si>
  <si>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</si>
  <si>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</si>
  <si>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</si>
  <si>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</si>
  <si>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</si>
  <si>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</si>
  <si>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</si>
  <si>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</si>
  <si>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</si>
  <si>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</si>
  <si>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</si>
  <si>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</si>
  <si>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</si>
  <si>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</si>
  <si>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</si>
  <si>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</si>
  <si>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</si>
  <si>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</si>
  <si>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</si>
  <si>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</si>
  <si>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</si>
  <si>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</si>
  <si>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</si>
  <si>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</si>
  <si>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</si>
  <si>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</si>
  <si>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</si>
  <si>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</si>
  <si>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</si>
  <si>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</si>
  <si>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</si>
  <si>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</si>
  <si>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</si>
  <si>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</si>
  <si>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</si>
  <si>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</si>
  <si>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</si>
  <si>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</si>
  <si>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</si>
  <si>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</si>
  <si>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</si>
  <si>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</si>
  <si>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</si>
  <si>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</si>
  <si>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</si>
  <si>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</si>
  <si>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</si>
  <si>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</si>
  <si>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</si>
  <si>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</si>
  <si>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</si>
  <si>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</si>
  <si>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</si>
  <si>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</si>
  <si>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</si>
  <si>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</si>
  <si>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</si>
  <si>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</si>
  <si>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</si>
  <si>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</si>
  <si>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</si>
  <si>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</si>
  <si>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</si>
  <si>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</si>
  <si>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</si>
  <si>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</si>
  <si>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</si>
  <si>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</si>
  <si>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</si>
  <si>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</si>
  <si>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</si>
  <si>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</si>
  <si>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</si>
  <si>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</si>
  <si>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</si>
  <si>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</si>
  <si>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</si>
  <si>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</si>
  <si>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</si>
  <si>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</si>
  <si>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</si>
  <si>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</si>
  <si>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</si>
  <si>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</si>
  <si>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</si>
  <si>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</si>
  <si>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</si>
  <si>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</si>
  <si>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</si>
  <si>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</si>
  <si>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</si>
  <si>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</si>
  <si>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</si>
  <si>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</si>
  <si>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</si>
  <si>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</si>
  <si>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</si>
  <si>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</si>
  <si>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</si>
  <si>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</si>
  <si>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</si>
  <si>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</si>
  <si>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</si>
  <si>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</si>
  <si>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</si>
  <si>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</si>
  <si>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</si>
  <si>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</si>
  <si>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</si>
  <si>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</si>
  <si>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</si>
  <si>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</si>
  <si>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</si>
  <si>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</si>
  <si>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</si>
  <si>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</si>
  <si>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</si>
  <si>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</si>
  <si>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</si>
  <si>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</si>
  <si>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</si>
  <si>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</si>
  <si>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</si>
  <si>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</si>
  <si>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</si>
  <si>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</si>
  <si>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</si>
  <si>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</si>
  <si>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</si>
  <si>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</si>
  <si>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</si>
  <si>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</si>
  <si>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</si>
  <si>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</si>
  <si>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</si>
  <si>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</si>
  <si>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</si>
  <si>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</si>
  <si>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</si>
  <si>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</si>
  <si>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</si>
  <si>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</si>
  <si>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</si>
  <si>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</si>
  <si>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</si>
  <si>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</si>
  <si>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</si>
  <si>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</si>
  <si>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</si>
  <si>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</si>
  <si>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</si>
  <si>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</si>
  <si>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</si>
  <si>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</si>
  <si>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</si>
  <si>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</si>
  <si>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</si>
  <si>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</si>
  <si>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</si>
  <si>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</si>
  <si>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</si>
  <si>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</si>
  <si>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</si>
  <si>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</si>
  <si>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</si>
  <si>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</si>
  <si>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</si>
  <si>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</si>
  <si>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</si>
  <si>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</si>
  <si>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</si>
  <si>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</si>
  <si>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</si>
  <si>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</si>
  <si>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</si>
  <si>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</si>
  <si>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</si>
  <si>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</si>
  <si>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</si>
  <si>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</si>
  <si>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</si>
  <si>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</si>
  <si>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</si>
  <si>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</si>
  <si>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</si>
  <si>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</si>
  <si>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</si>
  <si>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</si>
  <si>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</si>
  <si>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</si>
  <si>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</si>
  <si>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</si>
  <si>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</si>
  <si>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</si>
  <si>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</si>
  <si>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</si>
  <si>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</si>
  <si>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</si>
  <si>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</si>
  <si>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</si>
  <si>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</si>
  <si>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</si>
  <si>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</si>
  <si>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</si>
  <si>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</si>
  <si>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</si>
  <si>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</si>
  <si>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</si>
  <si>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</si>
  <si>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</si>
  <si>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</si>
  <si>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</si>
  <si>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</si>
  <si>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</si>
  <si>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</si>
  <si>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</si>
  <si>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</si>
  <si>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</si>
  <si>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</si>
  <si>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</si>
  <si>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</si>
  <si>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</si>
  <si>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</si>
  <si>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</si>
  <si>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</si>
  <si>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</si>
  <si>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</si>
  <si>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</si>
  <si>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</si>
  <si>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</si>
  <si>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</si>
  <si>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</si>
  <si>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</si>
  <si>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</si>
  <si>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</si>
  <si>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</si>
  <si>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</si>
  <si>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</si>
  <si>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</si>
  <si>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</si>
  <si>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</si>
  <si>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</si>
  <si>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</si>
  <si>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</si>
  <si>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</si>
  <si>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</si>
  <si>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</si>
  <si>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</si>
  <si>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</si>
  <si>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</si>
  <si>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</si>
  <si>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</si>
  <si>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</si>
  <si>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</si>
  <si>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</si>
  <si>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</si>
  <si>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</si>
  <si>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</si>
  <si>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</si>
  <si>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</si>
  <si>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</si>
  <si>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</si>
  <si>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</si>
  <si>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</si>
  <si>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</si>
  <si>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</si>
  <si>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</si>
  <si>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</si>
  <si>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</si>
  <si>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</si>
  <si>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</si>
  <si>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</si>
  <si>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</si>
  <si>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</si>
  <si>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</si>
  <si>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</si>
  <si>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</si>
  <si>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</si>
  <si>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</si>
  <si>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</si>
  <si>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</si>
  <si>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</si>
  <si>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</si>
  <si>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</si>
  <si>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</si>
  <si>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</si>
  <si>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</si>
  <si>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</si>
  <si>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</si>
  <si>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</si>
  <si>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</si>
  <si>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</si>
  <si>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</si>
  <si>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</si>
  <si>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</si>
  <si>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</si>
  <si>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</si>
  <si>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</si>
  <si>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</si>
  <si>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</si>
  <si>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ds6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</si>
  <si>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</si>
  <si>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</si>
  <si>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</si>
  <si>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</si>
  <si>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</si>
  <si>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</si>
  <si>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</si>
  <si>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</si>
  <si>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</si>
  <si>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</si>
  <si>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</si>
  <si>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</si>
  <si>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</si>
  <si>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</si>
  <si>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dao tri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</si>
  <si>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</si>
  <si>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</si>
  <si>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</si>
  <si>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</si>
  <si>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</si>
  <si>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</si>
  <si>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</si>
  <si>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</si>
  <si>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</si>
  <si>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</si>
  <si>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</si>
  <si>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</si>
  <si>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</si>
  <si>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</si>
  <si>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</si>
  <si>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</si>
  <si>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</si>
  <si>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</si>
  <si>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</si>
  <si>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</si>
  <si>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</si>
  <si>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</si>
  <si>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</si>
  <si>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</si>
  <si>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đơn trả 6-3</t>
  </si>
  <si>
    <t>T5.5.3.2026</t>
  </si>
  <si>
    <t>THU 6</t>
  </si>
  <si>
    <t>NGAY 6-3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</si>
  <si>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</si>
  <si>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</si>
  <si>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</si>
  <si>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</si>
  <si>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</si>
  <si>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</si>
  <si>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</si>
  <si>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</si>
  <si>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</si>
  <si>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</si>
  <si>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</si>
  <si>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</si>
  <si>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</si>
  <si>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</si>
  <si>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</si>
  <si>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</si>
  <si>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</si>
  <si>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</si>
  <si>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</si>
  <si>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</si>
  <si>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</si>
  <si>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</si>
  <si>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</si>
  <si>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</si>
  <si>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</si>
  <si>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</si>
  <si>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</si>
  <si>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</si>
  <si>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</si>
  <si>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</si>
  <si>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</si>
  <si>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</si>
  <si>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</si>
  <si>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</si>
  <si>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</si>
  <si>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</si>
  <si>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</si>
  <si>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</si>
  <si>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</si>
  <si>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</si>
  <si>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</si>
  <si>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</si>
  <si>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</si>
  <si>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</si>
  <si>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</si>
  <si>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</si>
  <si>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</si>
  <si>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</si>
  <si>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</si>
  <si>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</si>
  <si>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</si>
  <si>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</si>
  <si>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</si>
  <si>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</si>
  <si>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</si>
  <si>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</si>
  <si>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</si>
  <si>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</si>
  <si>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</si>
  <si>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</si>
  <si>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</si>
  <si>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</si>
  <si>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</si>
  <si>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</si>
  <si>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</si>
  <si>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</si>
  <si>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</si>
  <si>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</si>
  <si>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</si>
  <si>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</si>
  <si>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</si>
  <si>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</si>
  <si>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</si>
  <si>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</si>
  <si>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</si>
  <si>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</si>
  <si>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</si>
  <si>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</si>
  <si>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</si>
  <si>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</si>
  <si>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</si>
  <si>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</si>
  <si>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</si>
  <si>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</si>
  <si>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</si>
  <si>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</si>
  <si>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</si>
  <si>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</si>
  <si>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</si>
  <si>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</si>
  <si>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</si>
  <si>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</si>
  <si>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</si>
  <si>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</si>
  <si>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</si>
  <si>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</si>
  <si>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</si>
  <si>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</si>
  <si>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</si>
  <si>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</si>
  <si>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</si>
  <si>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</si>
  <si>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</si>
  <si>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</si>
  <si>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</si>
  <si>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</si>
  <si>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</si>
  <si>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</si>
  <si>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</si>
  <si>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</si>
  <si>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</si>
  <si>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</si>
  <si>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</si>
  <si>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</si>
  <si>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</si>
  <si>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</si>
  <si>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</si>
  <si>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</si>
  <si>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</si>
  <si>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</si>
  <si>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</si>
  <si>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</si>
  <si>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</si>
  <si>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</si>
  <si>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</si>
  <si>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</si>
  <si>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</si>
  <si>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</si>
  <si>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</si>
  <si>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</si>
  <si>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</si>
  <si>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</si>
  <si>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</si>
  <si>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</si>
  <si>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</si>
  <si>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</si>
  <si>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</si>
  <si>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</si>
  <si>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</si>
  <si>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</si>
  <si>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</si>
  <si>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</si>
  <si>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</si>
  <si>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</si>
  <si>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</si>
  <si>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</si>
  <si>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</si>
  <si>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</si>
  <si>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</si>
  <si>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</si>
  <si>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</si>
  <si>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đơn trả 7-3</t>
  </si>
  <si>
    <t>T6.6.3.2026</t>
  </si>
  <si>
    <t>kh ck 695</t>
  </si>
  <si>
    <t>THU 7</t>
  </si>
  <si>
    <t>NGAY 7-3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</si>
  <si>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</si>
  <si>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</si>
  <si>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</si>
  <si>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</si>
  <si>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</si>
  <si>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</si>
  <si>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</si>
  <si>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</si>
  <si>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</si>
  <si>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</si>
  <si>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</si>
  <si>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</si>
  <si>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</si>
  <si>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</si>
  <si>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</si>
  <si>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</si>
  <si>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</si>
  <si>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</si>
  <si>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</si>
  <si>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</si>
  <si>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</si>
  <si>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</si>
  <si>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</si>
  <si>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</si>
  <si>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</si>
  <si>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</si>
  <si>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</si>
  <si>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</si>
  <si>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</si>
  <si>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</si>
  <si>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</si>
  <si>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</si>
  <si>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</si>
  <si>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</si>
  <si>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</si>
  <si>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</si>
  <si>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</si>
  <si>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</si>
  <si>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</si>
  <si>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</si>
  <si>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</si>
  <si>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</si>
  <si>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</si>
  <si>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</si>
  <si>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</si>
  <si>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</si>
  <si>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</si>
  <si>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</si>
  <si>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</si>
  <si>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</si>
  <si>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</si>
  <si>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</si>
  <si>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</si>
  <si>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</si>
  <si>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</si>
  <si>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</si>
  <si>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</si>
  <si>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</si>
  <si>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</si>
  <si>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</si>
  <si>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</si>
  <si>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</si>
  <si>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</si>
  <si>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</si>
  <si>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</si>
  <si>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</si>
  <si>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</si>
  <si>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</si>
  <si>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</si>
  <si>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</si>
  <si>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</si>
  <si>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</si>
  <si>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</si>
  <si>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</si>
  <si>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</si>
  <si>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</si>
  <si>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</si>
  <si>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</si>
  <si>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</si>
  <si>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</si>
  <si>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</si>
  <si>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</si>
  <si>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</si>
  <si>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</si>
  <si>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</si>
  <si>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</si>
  <si>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</si>
  <si>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</si>
  <si>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</si>
  <si>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</si>
  <si>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</si>
  <si>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</si>
  <si>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</si>
  <si>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</si>
  <si>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</si>
  <si>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</si>
  <si>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</si>
  <si>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</si>
  <si>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</si>
  <si>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</si>
  <si>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</si>
  <si>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</si>
  <si>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</si>
  <si>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</si>
  <si>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</si>
  <si>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</si>
  <si>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</si>
  <si>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</si>
  <si>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</si>
  <si>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</si>
  <si>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</si>
  <si>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</si>
  <si>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</si>
  <si>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</si>
  <si>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</si>
  <si>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</si>
  <si>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</si>
  <si>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</si>
  <si>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</si>
  <si>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</si>
  <si>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</si>
  <si>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</si>
  <si>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</si>
  <si>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</si>
  <si>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</si>
  <si>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</si>
  <si>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</si>
  <si>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</si>
  <si>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</si>
  <si>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</si>
  <si>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</si>
  <si>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</si>
  <si>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</si>
  <si>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</si>
  <si>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</si>
  <si>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</si>
  <si>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</si>
  <si>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</si>
  <si>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</si>
  <si>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</si>
  <si>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</si>
  <si>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</si>
  <si>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</si>
  <si>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</si>
  <si>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</si>
  <si>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</si>
  <si>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</si>
  <si>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kh ck 1765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</si>
  <si>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</si>
  <si>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</si>
  <si>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</si>
  <si>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</si>
  <si>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</si>
  <si>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</si>
  <si>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</si>
  <si>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</si>
  <si>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</si>
  <si>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</si>
  <si>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</si>
  <si>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</si>
  <si>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</si>
  <si>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</si>
  <si>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</si>
  <si>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</si>
  <si>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</si>
  <si>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</si>
  <si>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</si>
  <si>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</si>
  <si>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</si>
  <si>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</si>
  <si>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</si>
  <si>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</si>
  <si>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</si>
  <si>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</si>
  <si>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</si>
  <si>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</si>
  <si>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</si>
  <si>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</si>
  <si>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</si>
  <si>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</si>
  <si>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</si>
  <si>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</si>
  <si>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</si>
  <si>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</si>
  <si>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</si>
  <si>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</si>
  <si>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</si>
  <si>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</si>
  <si>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</si>
  <si>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</si>
  <si>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</si>
  <si>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</si>
  <si>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</si>
  <si>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</si>
  <si>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</si>
  <si>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</si>
  <si>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</si>
  <si>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</si>
  <si>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</si>
  <si>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</si>
  <si>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</si>
  <si>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</si>
  <si>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</si>
  <si>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</si>
  <si>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</si>
  <si>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</si>
  <si>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</si>
  <si>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</si>
  <si>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</si>
  <si>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</si>
  <si>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</si>
  <si>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</si>
  <si>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</si>
  <si>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</si>
  <si>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</si>
  <si>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</si>
  <si>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</si>
  <si>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</si>
  <si>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</si>
  <si>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</si>
  <si>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</si>
  <si>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</si>
  <si>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</si>
  <si>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</si>
  <si>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</si>
  <si>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</si>
  <si>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</si>
  <si>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</si>
  <si>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</si>
  <si>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</si>
  <si>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</si>
  <si>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</si>
  <si>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</si>
  <si>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</si>
  <si>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</si>
  <si>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</si>
  <si>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</si>
  <si>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</si>
  <si>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</si>
  <si>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</si>
  <si>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</si>
  <si>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</si>
  <si>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</si>
  <si>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</si>
  <si>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</si>
  <si>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</si>
  <si>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</si>
  <si>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</si>
  <si>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</si>
  <si>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</si>
  <si>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</si>
  <si>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</si>
  <si>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</si>
  <si>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</si>
  <si>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</si>
  <si>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</si>
  <si>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</si>
  <si>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</si>
  <si>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</si>
  <si>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</si>
  <si>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</si>
  <si>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</si>
  <si>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</si>
  <si>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</si>
  <si>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</si>
  <si>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</si>
  <si>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</si>
  <si>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</si>
  <si>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</si>
  <si>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</si>
  <si>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</si>
  <si>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</si>
  <si>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</si>
  <si>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</si>
  <si>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</si>
  <si>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</si>
  <si>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</si>
  <si>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</si>
  <si>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</si>
  <si>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</si>
  <si>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</si>
  <si>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</si>
  <si>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</si>
  <si>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</si>
  <si>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</si>
  <si>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</si>
  <si>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</si>
  <si>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</si>
  <si>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</si>
  <si>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</si>
  <si>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</si>
  <si>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</si>
  <si>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</si>
  <si>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</si>
  <si>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</si>
  <si>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</si>
  <si>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</si>
  <si>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</si>
  <si>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</si>
  <si>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</si>
  <si>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</si>
  <si>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đơn trả 10-3</t>
  </si>
  <si>
    <t>T2.9.3.2026</t>
  </si>
  <si>
    <t>NGAY 10-3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</si>
  <si>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</si>
  <si>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</si>
  <si>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</si>
  <si>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</si>
  <si>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</si>
  <si>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</si>
  <si>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</si>
  <si>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</si>
  <si>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</si>
  <si>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</si>
  <si>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</si>
  <si>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</si>
  <si>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</si>
  <si>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</si>
  <si>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</si>
  <si>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</si>
  <si>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</si>
  <si>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</si>
  <si>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</si>
  <si>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</si>
  <si>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</si>
  <si>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</si>
  <si>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</si>
  <si>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</si>
  <si>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</si>
  <si>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</si>
  <si>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</si>
  <si>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</si>
  <si>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</si>
  <si>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</si>
  <si>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</si>
  <si>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</si>
  <si>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</si>
  <si>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</si>
  <si>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</si>
  <si>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</si>
  <si>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</si>
  <si>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</si>
  <si>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</si>
  <si>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</si>
  <si>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</si>
  <si>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</si>
  <si>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</si>
  <si>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</si>
  <si>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</si>
  <si>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</si>
  <si>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</si>
  <si>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</si>
  <si>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</si>
  <si>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</si>
  <si>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</si>
  <si>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</si>
  <si>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</si>
  <si>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</si>
  <si>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</si>
  <si>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</si>
  <si>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</si>
  <si>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</si>
  <si>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</si>
  <si>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</si>
  <si>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</si>
  <si>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</si>
  <si>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</si>
  <si>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</si>
  <si>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</si>
  <si>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</si>
  <si>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</si>
  <si>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</si>
  <si>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</si>
  <si>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</si>
  <si>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</si>
  <si>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</si>
  <si>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</si>
  <si>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</si>
  <si>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</si>
  <si>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</si>
  <si>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</si>
  <si>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</si>
  <si>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</si>
  <si>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</si>
  <si>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</si>
  <si>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</si>
  <si>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</si>
  <si>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</si>
  <si>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</si>
  <si>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</si>
  <si>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</si>
  <si>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</si>
  <si>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</si>
  <si>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</si>
  <si>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</si>
  <si>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đơn trả 11-3</t>
  </si>
  <si>
    <t>T3.10.3.2026</t>
  </si>
  <si>
    <t>kh ck 510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</si>
  <si>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</si>
  <si>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</si>
  <si>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</si>
  <si>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</si>
  <si>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</si>
  <si>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</si>
  <si>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</si>
  <si>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</si>
  <si>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</si>
  <si>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</si>
  <si>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</si>
  <si>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</si>
  <si>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</si>
  <si>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</si>
  <si>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</si>
  <si>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</si>
  <si>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</si>
  <si>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</si>
  <si>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</si>
  <si>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</si>
  <si>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</si>
  <si>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</si>
  <si>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</si>
  <si>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</si>
  <si>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</si>
  <si>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</si>
  <si>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</si>
  <si>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</si>
  <si>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</si>
  <si>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</si>
  <si>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</si>
  <si>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</si>
  <si>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</si>
  <si>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</si>
  <si>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</si>
  <si>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</si>
  <si>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</si>
  <si>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</si>
  <si>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</si>
  <si>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</si>
  <si>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</si>
  <si>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</si>
  <si>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</si>
  <si>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</si>
  <si>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</si>
  <si>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</si>
  <si>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</si>
  <si>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</si>
  <si>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</si>
  <si>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</si>
  <si>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</si>
  <si>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</si>
  <si>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</si>
  <si>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</si>
  <si>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</si>
  <si>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</si>
  <si>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</si>
  <si>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</si>
  <si>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</si>
  <si>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</si>
  <si>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</si>
  <si>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</si>
  <si>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</si>
  <si>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</si>
  <si>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đơn trả 12-3</t>
  </si>
  <si>
    <t>T4.11.3.2026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</si>
  <si>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</si>
  <si>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</si>
  <si>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</si>
  <si>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</si>
  <si>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</si>
  <si>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</si>
  <si>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</si>
  <si>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</si>
  <si>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</si>
  <si>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</si>
  <si>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</si>
  <si>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</si>
  <si>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</si>
  <si>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</si>
  <si>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</si>
  <si>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</si>
  <si>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</si>
  <si>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</si>
  <si>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</si>
  <si>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</si>
  <si>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</si>
  <si>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</si>
  <si>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</si>
  <si>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</si>
  <si>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</si>
  <si>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</si>
  <si>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</si>
  <si>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</si>
  <si>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</si>
  <si>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</si>
  <si>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</si>
  <si>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</si>
  <si>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</si>
  <si>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</si>
  <si>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</si>
  <si>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</si>
  <si>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</si>
  <si>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</si>
  <si>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</si>
  <si>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</si>
  <si>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</si>
  <si>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</si>
  <si>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</si>
  <si>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</si>
  <si>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</si>
  <si>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</si>
  <si>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</si>
  <si>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</si>
  <si>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</si>
  <si>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</si>
  <si>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</si>
  <si>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</si>
  <si>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</si>
  <si>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</si>
  <si>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</si>
  <si>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</si>
  <si>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</si>
  <si>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</si>
  <si>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</si>
  <si>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</si>
  <si>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</si>
  <si>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</si>
  <si>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</si>
  <si>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</si>
  <si>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</si>
  <si>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</si>
  <si>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</si>
  <si>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</si>
  <si>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</si>
  <si>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</si>
  <si>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</si>
  <si>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</si>
  <si>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</si>
  <si>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</si>
  <si>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</si>
  <si>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</si>
  <si>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</si>
  <si>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</si>
  <si>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</si>
  <si>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</si>
  <si>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</si>
  <si>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</si>
  <si>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</si>
  <si>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</si>
  <si>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</si>
  <si>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</si>
  <si>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</si>
  <si>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</si>
  <si>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</si>
  <si>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</si>
  <si>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</si>
  <si>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</si>
  <si>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</si>
  <si>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</si>
  <si>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</si>
  <si>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</si>
  <si>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</si>
  <si>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</si>
  <si>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</si>
  <si>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</si>
  <si>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</si>
  <si>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</si>
  <si>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</si>
  <si>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</si>
  <si>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</si>
  <si>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</si>
  <si>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</si>
  <si>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</si>
  <si>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</si>
  <si>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</si>
  <si>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đơn trả 13-3</t>
  </si>
  <si>
    <t>T5.12.3.2026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</si>
  <si>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</si>
  <si>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</si>
  <si>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</si>
  <si>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</si>
  <si>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</si>
  <si>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</si>
  <si>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</si>
  <si>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</si>
  <si>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</si>
  <si>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</si>
  <si>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</si>
  <si>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</si>
  <si>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</si>
  <si>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</si>
  <si>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</si>
  <si>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</si>
  <si>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</si>
  <si>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</si>
  <si>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</si>
  <si>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</si>
  <si>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</si>
  <si>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</si>
  <si>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</si>
  <si>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</si>
  <si>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</si>
  <si>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</si>
  <si>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</si>
  <si>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</si>
  <si>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</si>
  <si>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</si>
  <si>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</si>
  <si>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</si>
  <si>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</si>
  <si>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</si>
  <si>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</si>
  <si>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</si>
  <si>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</si>
  <si>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</si>
  <si>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</si>
  <si>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</si>
  <si>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</si>
  <si>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</si>
  <si>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</si>
  <si>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</si>
  <si>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</si>
  <si>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</si>
  <si>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</si>
  <si>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</si>
  <si>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</si>
  <si>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</si>
  <si>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</si>
  <si>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</si>
  <si>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</si>
  <si>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</si>
  <si>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</si>
  <si>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</si>
  <si>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</si>
  <si>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</si>
  <si>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</si>
  <si>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</si>
  <si>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</si>
  <si>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</si>
  <si>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</si>
  <si>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</si>
  <si>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</si>
  <si>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</si>
  <si>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</si>
  <si>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</si>
  <si>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</si>
  <si>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</si>
  <si>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</si>
  <si>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</si>
  <si>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</si>
  <si>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</si>
  <si>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</si>
  <si>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</si>
  <si>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</si>
  <si>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</si>
  <si>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</si>
  <si>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</si>
  <si>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</si>
  <si>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</si>
  <si>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</si>
  <si>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</si>
  <si>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</si>
  <si>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</si>
  <si>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</si>
  <si>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</si>
  <si>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</si>
  <si>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</si>
  <si>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</si>
  <si>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</si>
  <si>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</si>
  <si>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</si>
  <si>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</si>
  <si>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</si>
  <si>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</si>
  <si>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</si>
  <si>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</si>
  <si>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</si>
  <si>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</si>
  <si>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</si>
  <si>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</si>
  <si>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</si>
  <si>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</si>
  <si>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</si>
  <si>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</si>
  <si>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</si>
  <si>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</si>
  <si>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</si>
  <si>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</si>
  <si>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</si>
  <si>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</si>
  <si>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</si>
  <si>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</si>
  <si>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</si>
  <si>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</si>
  <si>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</si>
  <si>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</si>
  <si>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</si>
  <si>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</si>
  <si>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</si>
  <si>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</si>
  <si>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</si>
  <si>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</si>
  <si>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</si>
  <si>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</si>
  <si>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</si>
  <si>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</si>
  <si>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</si>
  <si>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</si>
  <si>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</si>
  <si>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</si>
  <si>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</si>
  <si>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</si>
  <si>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</si>
  <si>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</si>
  <si>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</si>
  <si>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</si>
  <si>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</si>
  <si>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</si>
  <si>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</si>
  <si>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</si>
  <si>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</si>
  <si>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</si>
  <si>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</si>
  <si>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</si>
  <si>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</si>
  <si>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</si>
  <si>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</si>
  <si>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</si>
  <si>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</si>
  <si>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</si>
  <si>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</si>
  <si>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</si>
  <si>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</si>
  <si>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</si>
  <si>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</si>
  <si>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</si>
  <si>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</si>
  <si>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</si>
  <si>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</si>
  <si>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</si>
  <si>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</si>
  <si>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</si>
  <si>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</si>
  <si>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</si>
  <si>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</si>
  <si>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</si>
  <si>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</si>
  <si>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</si>
  <si>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đơn trả 16-3</t>
  </si>
  <si>
    <t>T7.14.3.2026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</si>
  <si>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</si>
  <si>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</si>
  <si>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</si>
  <si>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</si>
  <si>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</si>
  <si>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</si>
  <si>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</si>
  <si>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</si>
  <si>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</si>
  <si>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</si>
  <si>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</si>
  <si>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</si>
  <si>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</si>
  <si>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</si>
  <si>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</si>
  <si>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</si>
  <si>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</si>
  <si>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</si>
  <si>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</si>
  <si>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</si>
  <si>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</si>
  <si>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</si>
  <si>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</si>
  <si>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</si>
  <si>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</si>
  <si>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</si>
  <si>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</si>
  <si>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</si>
  <si>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</si>
  <si>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</si>
  <si>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</si>
  <si>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</si>
  <si>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</si>
  <si>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</si>
  <si>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</si>
  <si>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</si>
  <si>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</si>
  <si>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</si>
  <si>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</si>
  <si>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</si>
  <si>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</si>
  <si>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</si>
  <si>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</si>
  <si>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</si>
  <si>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</si>
  <si>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</si>
  <si>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</si>
  <si>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</si>
  <si>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</si>
  <si>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</si>
  <si>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</si>
  <si>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</si>
  <si>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</si>
  <si>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</si>
  <si>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</si>
  <si>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</si>
  <si>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</si>
  <si>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</si>
  <si>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</si>
  <si>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</si>
  <si>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</si>
  <si>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</si>
  <si>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</si>
  <si>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</si>
  <si>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</si>
  <si>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</si>
  <si>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</si>
  <si>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</si>
  <si>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</si>
  <si>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</si>
  <si>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</si>
  <si>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</si>
  <si>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</si>
  <si>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</si>
  <si>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</si>
  <si>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</si>
  <si>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</si>
  <si>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</si>
  <si>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</si>
  <si>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</si>
  <si>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</si>
  <si>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</si>
  <si>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</si>
  <si>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</si>
  <si>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</si>
  <si>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</si>
  <si>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</si>
  <si>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</si>
  <si>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</si>
  <si>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</si>
  <si>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</si>
  <si>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</si>
  <si>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</si>
  <si>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</si>
  <si>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</si>
  <si>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</si>
  <si>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</si>
  <si>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</si>
  <si>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</si>
  <si>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</si>
  <si>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</si>
  <si>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</si>
  <si>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</si>
  <si>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</si>
  <si>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</si>
  <si>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</si>
  <si>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</si>
  <si>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</si>
  <si>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</si>
  <si>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</si>
  <si>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</si>
  <si>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</si>
  <si>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</si>
  <si>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</si>
  <si>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</si>
  <si>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</si>
  <si>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</si>
  <si>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</si>
  <si>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</si>
  <si>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</si>
  <si>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</si>
  <si>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</si>
  <si>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</si>
  <si>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</si>
  <si>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</si>
  <si>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</si>
  <si>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</si>
  <si>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</si>
  <si>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</si>
  <si>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</si>
  <si>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</si>
  <si>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</si>
  <si>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</si>
  <si>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</si>
  <si>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</si>
  <si>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</si>
  <si>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</si>
  <si>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</si>
  <si>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</si>
  <si>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</si>
  <si>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</si>
  <si>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</si>
  <si>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</si>
  <si>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</si>
  <si>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</si>
  <si>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</si>
  <si>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</si>
  <si>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</si>
  <si>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</si>
  <si>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</si>
  <si>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</si>
  <si>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</si>
  <si>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</si>
  <si>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</si>
  <si>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</si>
  <si>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</si>
  <si>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</si>
  <si>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</si>
  <si>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</si>
  <si>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</si>
  <si>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</si>
  <si>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</si>
  <si>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</si>
  <si>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</si>
  <si>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</si>
  <si>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</si>
  <si>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</si>
  <si>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</si>
  <si>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</si>
  <si>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</si>
  <si>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</si>
  <si>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</si>
  <si>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</si>
  <si>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</si>
  <si>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</si>
  <si>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</si>
  <si>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</si>
  <si>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</si>
  <si>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</si>
  <si>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</si>
  <si>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đơn trả 17.3</t>
  </si>
  <si>
    <t>T2.16.3.2026</t>
  </si>
  <si>
    <t>NGAY 17-3</t>
  </si>
  <si>
    <t>ĐỊA CHỈ</t>
  </si>
  <si>
    <t>ĐOÀN NGÂN CHÂU</t>
  </si>
  <si>
    <t>Hồng Vân</t>
  </si>
  <si>
    <t>HD002584</t>
  </si>
  <si>
    <t>76 đặng nghiêm phường long thạnh mỹ</t>
  </si>
  <si>
    <t>a.quyen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</si>
  <si>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</si>
  <si>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</si>
  <si>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</si>
  <si>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</si>
  <si>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</si>
  <si>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</si>
  <si>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</si>
  <si>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</si>
  <si>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</si>
  <si>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</si>
  <si>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</si>
  <si>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</si>
  <si>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</si>
  <si>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</si>
  <si>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</si>
  <si>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</si>
  <si>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</si>
  <si>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</si>
  <si>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</si>
  <si>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</si>
  <si>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</si>
  <si>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</si>
  <si>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</si>
  <si>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</si>
  <si>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</si>
  <si>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</si>
  <si>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</si>
  <si>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</si>
  <si>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Ngọc Thao Vu</t>
  </si>
  <si>
    <t>HD002439</t>
  </si>
  <si>
    <t>Riviera Points ( The View- Tháp 6) 02 Nguyễn văn tưởng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</si>
  <si>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</si>
  <si>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</si>
  <si>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</si>
  <si>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</si>
  <si>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</si>
  <si>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</si>
  <si>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Nguyễn Trương Phương Oanh</t>
  </si>
  <si>
    <t>HD002339</t>
  </si>
  <si>
    <t>125/42/2 Bùi Đình Tuý, phường 14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</si>
  <si>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</si>
  <si>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</si>
  <si>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</si>
  <si>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</si>
  <si>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</si>
  <si>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</si>
  <si>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</si>
  <si>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</si>
  <si>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</si>
  <si>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</si>
  <si>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</si>
  <si>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</si>
  <si>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</si>
  <si>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</si>
  <si>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</si>
  <si>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</si>
  <si>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</si>
  <si>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</si>
  <si>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</si>
  <si>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</si>
  <si>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</si>
  <si>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T3.17.3.2026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</si>
  <si>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</si>
  <si>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</si>
  <si>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</si>
  <si>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</si>
  <si>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</si>
  <si>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</si>
  <si>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</si>
  <si>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</si>
  <si>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</si>
  <si>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</si>
  <si>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</si>
  <si>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</si>
  <si>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</si>
  <si>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</si>
  <si>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</si>
  <si>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</si>
  <si>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</si>
  <si>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</si>
  <si>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</si>
  <si>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</si>
  <si>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</si>
  <si>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</si>
  <si>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</si>
  <si>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</si>
  <si>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</si>
  <si>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</si>
  <si>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</si>
  <si>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</si>
  <si>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</si>
  <si>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</si>
  <si>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</si>
  <si>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</si>
  <si>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</si>
  <si>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</si>
  <si>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</si>
  <si>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</si>
  <si>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</si>
  <si>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</si>
  <si>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</si>
  <si>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</si>
  <si>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</si>
  <si>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</si>
  <si>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</si>
  <si>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</si>
  <si>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</si>
  <si>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</si>
  <si>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</si>
  <si>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</si>
  <si>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</si>
  <si>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</si>
  <si>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</si>
  <si>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</si>
  <si>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</si>
  <si>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</si>
  <si>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</si>
  <si>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T4.18.3.2026</t>
  </si>
  <si>
    <t>532/3/6 kinh duong vuong</t>
  </si>
  <si>
    <t>16-03-2026</t>
  </si>
  <si>
    <t>kh ck 750</t>
  </si>
  <si>
    <t>NGAY 19-3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</si>
  <si>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</si>
  <si>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</si>
  <si>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</si>
  <si>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</si>
  <si>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</si>
  <si>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</si>
  <si>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</si>
  <si>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</si>
  <si>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</si>
  <si>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</si>
  <si>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</si>
  <si>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</si>
  <si>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</si>
  <si>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</si>
  <si>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</si>
  <si>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</si>
  <si>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</si>
  <si>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</si>
  <si>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</si>
  <si>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</si>
  <si>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</si>
  <si>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</si>
  <si>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</si>
  <si>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</si>
  <si>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</si>
  <si>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</si>
  <si>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</si>
  <si>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</si>
  <si>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</si>
  <si>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</si>
  <si>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</si>
  <si>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</si>
  <si>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</si>
  <si>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</si>
  <si>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</si>
  <si>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</si>
  <si>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</si>
  <si>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</si>
  <si>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</si>
  <si>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</si>
  <si>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</si>
  <si>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</si>
  <si>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</si>
  <si>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</si>
  <si>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</si>
  <si>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</si>
  <si>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</si>
  <si>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</si>
  <si>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</si>
  <si>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</si>
  <si>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</si>
  <si>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</si>
  <si>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</si>
  <si>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</si>
  <si>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</si>
  <si>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</si>
  <si>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</si>
  <si>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</si>
  <si>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</si>
  <si>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</si>
  <si>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</si>
  <si>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</si>
  <si>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</si>
  <si>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</si>
  <si>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</si>
  <si>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</si>
  <si>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</si>
  <si>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</si>
  <si>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</si>
  <si>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</si>
  <si>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</si>
  <si>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</si>
  <si>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</si>
  <si>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</si>
  <si>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</si>
  <si>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</si>
  <si>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</si>
  <si>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</si>
  <si>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</si>
  <si>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</si>
  <si>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</si>
  <si>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</si>
  <si>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</si>
  <si>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</si>
  <si>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</si>
  <si>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</si>
  <si>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</si>
  <si>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</si>
  <si>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</si>
  <si>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</si>
  <si>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</si>
  <si>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</si>
  <si>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</si>
  <si>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NGAY 20-3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</si>
  <si>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</si>
  <si>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</si>
  <si>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</si>
  <si>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</si>
  <si>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</si>
  <si>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</si>
  <si>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</si>
  <si>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</si>
  <si>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</si>
  <si>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</si>
  <si>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shop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</si>
  <si>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</si>
  <si>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</si>
  <si>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</si>
  <si>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</si>
  <si>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</si>
  <si>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</si>
  <si>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</si>
  <si>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</si>
  <si>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</si>
  <si>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</si>
  <si>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</si>
  <si>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</si>
  <si>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</si>
  <si>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</si>
  <si>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</si>
  <si>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</si>
  <si>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</si>
  <si>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</si>
  <si>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</si>
  <si>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</si>
  <si>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</si>
  <si>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</si>
  <si>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</si>
  <si>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</si>
  <si>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</si>
  <si>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</si>
  <si>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</si>
  <si>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</si>
  <si>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</si>
  <si>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</si>
  <si>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</si>
  <si>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</si>
  <si>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</si>
  <si>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</si>
  <si>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</si>
  <si>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</si>
  <si>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</si>
  <si>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</si>
  <si>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</si>
  <si>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</si>
  <si>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</si>
  <si>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</si>
  <si>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</si>
  <si>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</si>
  <si>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</si>
  <si>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</si>
  <si>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</si>
  <si>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</si>
  <si>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</si>
  <si>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</si>
  <si>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</si>
  <si>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</si>
  <si>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</si>
  <si>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</si>
  <si>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</si>
  <si>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</si>
  <si>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T6.20.3.2026</t>
  </si>
  <si>
    <t>kh ck shop 1450</t>
  </si>
  <si>
    <t>NGAY 21-3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</si>
  <si>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</si>
  <si>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</si>
  <si>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</si>
  <si>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</si>
  <si>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</si>
  <si>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</si>
  <si>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</si>
  <si>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</si>
  <si>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</si>
  <si>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</si>
  <si>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</si>
  <si>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</si>
  <si>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</si>
  <si>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</si>
  <si>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</si>
  <si>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</si>
  <si>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</si>
  <si>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</si>
  <si>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</si>
  <si>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</si>
  <si>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</si>
  <si>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</si>
  <si>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</si>
  <si>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</si>
  <si>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</si>
  <si>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</si>
  <si>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</si>
  <si>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</si>
  <si>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</si>
  <si>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</si>
  <si>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</si>
  <si>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</si>
  <si>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</si>
  <si>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</si>
  <si>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</si>
  <si>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</si>
  <si>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</si>
  <si>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</si>
  <si>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</si>
  <si>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</si>
  <si>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</si>
  <si>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</si>
  <si>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</si>
  <si>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</si>
  <si>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</si>
  <si>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</si>
  <si>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</si>
  <si>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</si>
  <si>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</si>
  <si>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</si>
  <si>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</si>
  <si>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</si>
  <si>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</si>
  <si>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</si>
  <si>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</si>
  <si>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</si>
  <si>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</si>
  <si>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</si>
  <si>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</si>
  <si>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</si>
  <si>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</si>
  <si>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</si>
  <si>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</si>
  <si>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</si>
  <si>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</si>
  <si>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</si>
  <si>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</si>
  <si>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</si>
  <si>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</si>
  <si>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</si>
  <si>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</si>
  <si>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</si>
  <si>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</si>
  <si>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</si>
  <si>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</si>
  <si>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</si>
  <si>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</si>
  <si>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</si>
  <si>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</si>
  <si>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</si>
  <si>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</si>
  <si>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</si>
  <si>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</si>
  <si>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</si>
  <si>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</si>
  <si>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</si>
  <si>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</si>
  <si>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</si>
  <si>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</si>
  <si>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</si>
  <si>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</si>
  <si>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T7.21.3.2026</t>
  </si>
  <si>
    <t>kh ck shop 820</t>
  </si>
  <si>
    <t>NGAY 23-3</t>
  </si>
  <si>
    <t>Mai Thuy Lin</t>
  </si>
  <si>
    <t>HD003835</t>
  </si>
  <si>
    <t>Số 10A đại lộ hữu nghị</t>
  </si>
  <si>
    <t>23-03-2026</t>
  </si>
  <si>
    <t>Ruby Thao Tran</t>
  </si>
  <si>
    <t>HD004126</t>
  </si>
  <si>
    <t>86/2 đình phong Phu Tang Nhơn Phú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</si>
  <si>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</si>
  <si>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</si>
  <si>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</si>
  <si>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</si>
  <si>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</si>
  <si>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</si>
  <si>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</si>
  <si>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</si>
  <si>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</si>
  <si>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</si>
  <si>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</si>
  <si>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</si>
  <si>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</si>
  <si>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</si>
  <si>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</si>
  <si>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</si>
  <si>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</si>
  <si>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</si>
  <si>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</si>
  <si>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</si>
  <si>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</si>
  <si>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</si>
  <si>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</si>
  <si>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</si>
  <si>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</si>
  <si>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</si>
  <si>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</si>
  <si>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</si>
  <si>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</si>
  <si>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</si>
  <si>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</si>
  <si>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</si>
  <si>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</si>
  <si>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</si>
  <si>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</si>
  <si>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</si>
  <si>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</si>
  <si>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</si>
  <si>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</si>
  <si>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</si>
  <si>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</si>
  <si>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</si>
  <si>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</si>
  <si>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</si>
  <si>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</si>
  <si>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</si>
  <si>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</si>
  <si>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</si>
  <si>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</si>
  <si>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</si>
  <si>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</si>
  <si>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</si>
  <si>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</si>
  <si>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</si>
  <si>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</si>
  <si>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</si>
  <si>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</si>
  <si>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</si>
  <si>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</si>
  <si>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</si>
  <si>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</si>
  <si>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</si>
  <si>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</si>
  <si>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</si>
  <si>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</si>
  <si>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</si>
  <si>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</si>
  <si>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</si>
  <si>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</si>
  <si>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</si>
  <si>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</si>
  <si>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</si>
  <si>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</si>
  <si>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</si>
  <si>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</si>
  <si>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</si>
  <si>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</si>
  <si>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</si>
  <si>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</si>
  <si>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</si>
  <si>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</si>
  <si>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</si>
  <si>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</si>
  <si>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</si>
  <si>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</si>
  <si>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</si>
  <si>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</si>
  <si>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</si>
  <si>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</si>
  <si>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</si>
  <si>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</si>
  <si>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</si>
  <si>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</si>
  <si>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</si>
  <si>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</si>
  <si>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</si>
  <si>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</si>
  <si>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</si>
  <si>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</si>
  <si>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</si>
  <si>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</si>
  <si>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</si>
  <si>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</si>
  <si>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</si>
  <si>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</si>
  <si>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</si>
  <si>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</si>
  <si>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</si>
  <si>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</si>
  <si>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</si>
  <si>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</si>
  <si>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</si>
  <si>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</si>
  <si>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</si>
  <si>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</si>
  <si>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</si>
  <si>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</si>
  <si>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</si>
  <si>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</si>
  <si>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</si>
  <si>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</si>
  <si>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</si>
  <si>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</si>
  <si>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</si>
  <si>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</si>
  <si>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</si>
  <si>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</si>
  <si>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</si>
  <si>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</si>
  <si>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</si>
  <si>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</si>
  <si>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</si>
  <si>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</si>
  <si>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</si>
  <si>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</si>
  <si>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</si>
  <si>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</si>
  <si>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</si>
  <si>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</si>
  <si>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</si>
  <si>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</si>
  <si>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</si>
  <si>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</si>
  <si>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</si>
  <si>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</si>
  <si>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</si>
  <si>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</si>
  <si>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</si>
  <si>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</si>
  <si>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</si>
  <si>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</si>
  <si>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</si>
  <si>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</si>
  <si>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</si>
  <si>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</si>
  <si>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</si>
  <si>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</si>
  <si>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</si>
  <si>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</si>
  <si>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</si>
  <si>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</si>
  <si>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</si>
  <si>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</si>
  <si>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</si>
  <si>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</si>
  <si>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</si>
  <si>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</si>
  <si>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</si>
  <si>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</si>
  <si>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</si>
  <si>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</si>
  <si>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</si>
  <si>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</si>
  <si>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</si>
  <si>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</si>
  <si>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</si>
  <si>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</si>
  <si>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</si>
  <si>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</si>
  <si>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</si>
  <si>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</si>
  <si>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</si>
  <si>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</si>
  <si>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</si>
  <si>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shop chịu ship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</si>
  <si>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</si>
  <si>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</si>
  <si>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</si>
  <si>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</si>
  <si>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</si>
  <si>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</si>
  <si>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</si>
  <si>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T2.23.3.2026</t>
  </si>
  <si>
    <t>đơn trả 24.3</t>
  </si>
  <si>
    <t>T3.24.3.2026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</si>
  <si>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</si>
  <si>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</si>
  <si>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</si>
  <si>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</si>
  <si>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</si>
  <si>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</si>
  <si>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</si>
  <si>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</si>
  <si>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</si>
  <si>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</si>
  <si>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</si>
  <si>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</si>
  <si>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</si>
  <si>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</si>
  <si>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</si>
  <si>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</si>
  <si>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</si>
  <si>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</si>
  <si>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</si>
  <si>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</si>
  <si>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</si>
  <si>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</si>
  <si>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</si>
  <si>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</si>
  <si>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</si>
  <si>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</si>
  <si>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</si>
  <si>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</si>
  <si>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</si>
  <si>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</si>
  <si>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</si>
  <si>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</si>
  <si>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</si>
  <si>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</si>
  <si>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</si>
  <si>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</si>
  <si>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</si>
  <si>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</si>
  <si>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</si>
  <si>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</si>
  <si>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</si>
  <si>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</si>
  <si>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</si>
  <si>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</si>
  <si>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</si>
  <si>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</si>
  <si>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</si>
  <si>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</si>
  <si>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T4.25.3.2026</t>
  </si>
  <si>
    <t>NGAY 25-3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</si>
  <si>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</si>
  <si>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</si>
  <si>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</si>
  <si>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</si>
  <si>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</si>
  <si>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</si>
  <si>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</si>
  <si>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</si>
  <si>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</si>
  <si>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</si>
  <si>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</si>
  <si>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</si>
  <si>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</si>
  <si>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</si>
  <si>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</si>
  <si>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</si>
  <si>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</si>
  <si>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</si>
  <si>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</si>
  <si>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</si>
  <si>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</si>
  <si>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</si>
  <si>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</si>
  <si>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</si>
  <si>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</si>
  <si>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</si>
  <si>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</si>
  <si>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</si>
  <si>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</si>
  <si>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</si>
  <si>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</si>
  <si>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</si>
  <si>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</si>
  <si>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</si>
  <si>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</si>
  <si>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</si>
  <si>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</si>
  <si>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</si>
  <si>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</si>
  <si>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</si>
  <si>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</si>
  <si>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</si>
  <si>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</si>
  <si>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</si>
  <si>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</si>
  <si>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</si>
  <si>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</si>
  <si>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</si>
  <si>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</si>
  <si>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</si>
  <si>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</si>
  <si>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</si>
  <si>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T5.26.3.2026</t>
  </si>
  <si>
    <t>NGAY 26-3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</si>
  <si>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</si>
  <si>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</si>
  <si>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</si>
  <si>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</si>
  <si>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</si>
  <si>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</si>
  <si>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</si>
  <si>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</si>
  <si>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</si>
  <si>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</si>
  <si>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</si>
  <si>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</si>
  <si>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</si>
  <si>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</si>
  <si>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</si>
  <si>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</si>
  <si>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</si>
  <si>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</si>
  <si>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</si>
  <si>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</si>
  <si>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</si>
  <si>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</si>
  <si>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</si>
  <si>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</si>
  <si>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</si>
  <si>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</si>
  <si>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</si>
  <si>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</si>
  <si>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</si>
  <si>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</si>
  <si>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</si>
  <si>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</si>
  <si>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</si>
  <si>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</si>
  <si>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</si>
  <si>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</si>
  <si>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</si>
  <si>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</si>
  <si>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</si>
  <si>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</si>
  <si>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</si>
  <si>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</si>
  <si>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</si>
  <si>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</si>
  <si>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</si>
  <si>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</si>
  <si>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</si>
  <si>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</si>
  <si>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</si>
  <si>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</si>
  <si>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</si>
  <si>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</si>
  <si>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</si>
  <si>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</si>
  <si>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</si>
  <si>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</si>
  <si>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</si>
  <si>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</si>
  <si>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</si>
  <si>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</si>
  <si>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</si>
  <si>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</si>
  <si>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</si>
  <si>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</si>
  <si>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</si>
  <si>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</si>
  <si>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</si>
  <si>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</si>
  <si>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</si>
  <si>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</si>
  <si>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</si>
  <si>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</si>
  <si>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</si>
  <si>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</si>
  <si>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</si>
  <si>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</si>
  <si>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</si>
  <si>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</si>
  <si>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</si>
  <si>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</si>
  <si>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</si>
  <si>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</si>
  <si>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</si>
  <si>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</si>
  <si>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</si>
  <si>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</si>
  <si>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</si>
  <si>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</si>
  <si>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</si>
  <si>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</si>
  <si>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</si>
  <si>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</si>
  <si>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đơn trả 27.3</t>
  </si>
  <si>
    <t>T6.27.3.2026</t>
  </si>
  <si>
    <t>NGAY 27-3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</si>
  <si>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</si>
  <si>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</si>
  <si>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</si>
  <si>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</si>
  <si>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</si>
  <si>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</si>
  <si>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</si>
  <si>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</si>
  <si>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</si>
  <si>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</si>
  <si>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</si>
  <si>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</si>
  <si>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</si>
  <si>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</si>
  <si>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</si>
  <si>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</si>
  <si>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</si>
  <si>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</si>
  <si>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</si>
  <si>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</si>
  <si>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</si>
  <si>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</si>
  <si>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</si>
  <si>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</si>
  <si>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</si>
  <si>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</si>
  <si>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</si>
  <si>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</si>
  <si>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</si>
  <si>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</si>
  <si>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</si>
  <si>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</si>
  <si>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</si>
  <si>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</si>
  <si>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</si>
  <si>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</si>
  <si>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</si>
  <si>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</si>
  <si>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</si>
  <si>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</si>
  <si>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</si>
  <si>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</si>
  <si>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</si>
  <si>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</si>
  <si>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</si>
  <si>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</si>
  <si>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</si>
  <si>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</si>
  <si>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</si>
  <si>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</si>
  <si>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</si>
  <si>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</si>
  <si>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</si>
  <si>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</si>
  <si>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</si>
  <si>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</si>
  <si>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</si>
  <si>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</si>
  <si>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</si>
  <si>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</si>
  <si>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</si>
  <si>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</si>
  <si>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</si>
  <si>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</si>
  <si>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</si>
  <si>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</si>
  <si>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</si>
  <si>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</si>
  <si>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</si>
  <si>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</si>
  <si>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</si>
  <si>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</si>
  <si>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</si>
  <si>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</si>
  <si>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</si>
  <si>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</si>
  <si>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</si>
  <si>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</si>
  <si>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</si>
  <si>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</si>
  <si>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</si>
  <si>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</si>
  <si>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</si>
  <si>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</si>
  <si>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</si>
  <si>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</si>
  <si>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</si>
  <si>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</si>
  <si>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</si>
  <si>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</si>
  <si>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</si>
  <si>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</si>
  <si>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</si>
  <si>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</si>
  <si>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</si>
  <si>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</si>
  <si>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NGAY 28-3</t>
  </si>
  <si>
    <t>T7.28.3.2026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</si>
  <si>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</si>
  <si>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</si>
  <si>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</si>
  <si>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</si>
  <si>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</si>
  <si>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</si>
  <si>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</si>
  <si>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</si>
  <si>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</si>
  <si>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</si>
  <si>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</si>
  <si>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</si>
  <si>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</si>
  <si>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</si>
  <si>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</si>
  <si>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</si>
  <si>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</si>
  <si>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</si>
  <si>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</si>
  <si>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</si>
  <si>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</si>
  <si>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</si>
  <si>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</si>
  <si>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</si>
  <si>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</si>
  <si>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</si>
  <si>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</si>
  <si>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</si>
  <si>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</si>
  <si>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</si>
  <si>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</si>
  <si>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</si>
  <si>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</si>
  <si>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</si>
  <si>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</si>
  <si>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</si>
  <si>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</si>
  <si>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</si>
  <si>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</si>
  <si>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</si>
  <si>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</si>
  <si>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</si>
  <si>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</si>
  <si>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</si>
  <si>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</si>
  <si>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</si>
  <si>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</si>
  <si>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</si>
  <si>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</si>
  <si>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</si>
  <si>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</si>
  <si>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</si>
  <si>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</si>
  <si>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</si>
  <si>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</si>
  <si>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</si>
  <si>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</si>
  <si>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</si>
  <si>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</si>
  <si>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</si>
  <si>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</si>
  <si>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</si>
  <si>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</si>
  <si>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</si>
  <si>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</si>
  <si>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</si>
  <si>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</si>
  <si>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</si>
  <si>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</si>
  <si>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</si>
  <si>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</si>
  <si>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</si>
  <si>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</si>
  <si>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</si>
  <si>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</si>
  <si>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NGAY 30-3</t>
  </si>
  <si>
    <t>T2.30.3.2026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</si>
  <si>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</si>
  <si>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</si>
  <si>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</si>
  <si>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</si>
  <si>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</si>
  <si>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</si>
  <si>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</si>
  <si>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</si>
  <si>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</si>
  <si>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</si>
  <si>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</si>
  <si>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</si>
  <si>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</si>
  <si>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</si>
  <si>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</si>
  <si>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</si>
  <si>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</si>
  <si>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</si>
  <si>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</si>
  <si>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</si>
  <si>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</si>
  <si>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</si>
  <si>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</si>
  <si>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</si>
  <si>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</si>
  <si>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</si>
  <si>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</si>
  <si>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</si>
  <si>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</si>
  <si>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</si>
  <si>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</si>
  <si>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</si>
  <si>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</si>
  <si>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</si>
  <si>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</si>
  <si>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</si>
  <si>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</si>
  <si>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</si>
  <si>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</si>
  <si>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</si>
  <si>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</si>
  <si>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</si>
  <si>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</si>
  <si>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</si>
  <si>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</si>
  <si>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</si>
  <si>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</si>
  <si>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</si>
  <si>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</si>
  <si>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</si>
  <si>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</si>
  <si>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</si>
  <si>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</si>
  <si>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</si>
  <si>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</si>
  <si>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</si>
  <si>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</si>
  <si>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</si>
  <si>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</si>
  <si>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</si>
  <si>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</si>
  <si>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</si>
  <si>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</si>
  <si>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</si>
  <si>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</si>
  <si>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</si>
  <si>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</si>
  <si>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</si>
  <si>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</si>
  <si>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</si>
  <si>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</si>
  <si>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</si>
  <si>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</si>
  <si>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</si>
  <si>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</si>
  <si>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</si>
  <si>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</si>
  <si>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</si>
  <si>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</si>
  <si>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</si>
  <si>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</si>
  <si>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</si>
  <si>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</si>
  <si>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</si>
  <si>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</si>
  <si>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</si>
  <si>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</si>
  <si>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</si>
  <si>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</si>
  <si>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</si>
  <si>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</si>
  <si>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</si>
  <si>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</si>
  <si>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</si>
  <si>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</si>
  <si>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</si>
  <si>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</si>
  <si>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</si>
  <si>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</si>
  <si>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</si>
  <si>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</si>
  <si>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</si>
  <si>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</si>
  <si>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</si>
  <si>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</si>
  <si>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</si>
  <si>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</si>
  <si>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</si>
  <si>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</si>
  <si>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</si>
  <si>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</si>
  <si>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</si>
  <si>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</si>
  <si>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</si>
  <si>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</si>
  <si>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</si>
  <si>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</si>
  <si>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</si>
  <si>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</si>
  <si>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</si>
  <si>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</si>
  <si>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</si>
  <si>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</si>
  <si>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</si>
  <si>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</si>
  <si>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</si>
  <si>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</si>
  <si>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</si>
  <si>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</si>
  <si>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</si>
  <si>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</si>
  <si>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</si>
  <si>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</si>
  <si>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</si>
  <si>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</si>
  <si>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</si>
  <si>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</si>
  <si>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</si>
  <si>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</si>
  <si>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</si>
  <si>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</si>
  <si>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</si>
  <si>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</si>
  <si>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</si>
  <si>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</si>
  <si>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</si>
  <si>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</si>
  <si>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</si>
  <si>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</si>
  <si>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</si>
  <si>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</si>
  <si>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</si>
  <si>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</si>
  <si>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</si>
  <si>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</si>
  <si>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</si>
  <si>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</si>
  <si>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</si>
  <si>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</si>
  <si>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</si>
  <si>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</si>
  <si>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</si>
  <si>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</si>
  <si>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</si>
  <si>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</si>
  <si>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</si>
  <si>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</si>
  <si>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</si>
  <si>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</si>
  <si>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</si>
  <si>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</si>
  <si>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</si>
  <si>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NGAY 31-3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</si>
  <si>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</si>
  <si>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</si>
  <si>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</si>
  <si>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</si>
  <si>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</si>
  <si>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</si>
  <si>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</si>
  <si>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</si>
  <si>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</si>
  <si>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</si>
  <si>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</si>
  <si>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</si>
  <si>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chung cư tera mia đường số 2 kdc B intressco, xã bình hưng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</si>
  <si>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</si>
  <si>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</si>
  <si>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</si>
  <si>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</si>
  <si>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</si>
  <si>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</si>
  <si>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</si>
  <si>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</si>
  <si>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Khánh Như</t>
  </si>
  <si>
    <t>HD006441</t>
  </si>
  <si>
    <t>688/23/1c Hương Lộ 2, phường Bình Trị Đông A</t>
  </si>
  <si>
    <t>Winnie Chua</t>
  </si>
  <si>
    <t>HD006544</t>
  </si>
  <si>
    <t>210 bùi văn ba p.tan thuận đông kdc Jamona golden silk đường N3 căn M8</t>
  </si>
  <si>
    <t>Nguyễn Lý Kim Ngân</t>
  </si>
  <si>
    <t>HD006531</t>
  </si>
  <si>
    <t>137/31/14 phan anh phường bình trị đông</t>
  </si>
  <si>
    <t>Đông Nhi</t>
  </si>
  <si>
    <t>HD006448</t>
  </si>
  <si>
    <t>93 đường số 1, phường 4(phường 1 hoặc phường Hạnh Thông)</t>
  </si>
  <si>
    <t>HD006228</t>
  </si>
  <si>
    <t>29/18 đường số 5 bình trưng đông</t>
  </si>
  <si>
    <t>X.Anh</t>
  </si>
  <si>
    <t>HD006503</t>
  </si>
  <si>
    <t>Căn 603, lô B2 chung cư orchard parkview, 130-132 hồng hà, p. Đức nhuận</t>
  </si>
  <si>
    <t>Thanh Ngân</t>
  </si>
  <si>
    <t>HD006607</t>
  </si>
  <si>
    <t>37 trương vĩnh ký, phường Tân Thạnh</t>
  </si>
  <si>
    <t>HD006389</t>
  </si>
  <si>
    <t>Chung cư lavida plus Nguyễn Văn Linh, phường Tân Phong</t>
  </si>
  <si>
    <t>Hanh Corado</t>
  </si>
  <si>
    <t>HD006621</t>
  </si>
  <si>
    <t>09 Đường số 2, P. An Khánh</t>
  </si>
  <si>
    <t>Vân NA Vy</t>
  </si>
  <si>
    <t>HD006405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</si>
  <si>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</si>
  <si>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</si>
  <si>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</si>
  <si>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</si>
  <si>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</si>
  <si>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</si>
  <si>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</si>
  <si>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</si>
  <si>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</si>
  <si>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</si>
  <si>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</si>
  <si>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346 quang trung, phường thông tây hội</t>
  </si>
  <si>
    <t>W2459</t>
  </si>
  <si>
    <t>375 tân thới hiệp 21, Tổ 3, Kp3</t>
  </si>
  <si>
    <t>BN882</t>
  </si>
  <si>
    <t>Ivy Huyền</t>
  </si>
  <si>
    <t>Số 5 Nhất Chi Mai phường 13</t>
  </si>
  <si>
    <t>dolly dolly</t>
  </si>
  <si>
    <t>HD006339</t>
  </si>
  <si>
    <t>21 võ trường toản thảo điền</t>
  </si>
  <si>
    <t>đơn trả 1.2</t>
  </si>
  <si>
    <t>kh ck shop 745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</si>
</sst>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charset val="163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  <xf numFmtId="0" fontId="0" fillId="10" borderId="0" xfId="0" applyFill="1"/>
    <xf numFmtId="3" fontId="0" fillId="10" borderId="0" xfId="0" applyNumberFormat="1" applyFill="1"/>
    <xf numFmtId="0" fontId="2" fillId="2" borderId="2" xfId="0" applyFont="1" applyFill="1" applyBorder="1"/>
    <xf numFmtId="0" fontId="0" fillId="10" borderId="1" xfId="0" applyFill="1" applyBorder="1"/>
    <xf numFmtId="3" fontId="0" fillId="10" borderId="1" xfId="0" applyNumberFormat="1" applyFill="1" applyBorder="1"/>
    <xf numFmtId="3" fontId="4" fillId="4" borderId="1" xfId="0" applyNumberFormat="1" applyFont="1" applyFill="1" applyBorder="1" applyAlignment="1">
      <alignment horizontal="right"/>
    </xf>
    <xf numFmtId="3" fontId="7" fillId="7" borderId="1" xfId="0" applyNumberFormat="1" applyFont="1" applyFill="1" applyBorder="1" applyAlignment="1">
      <alignment horizontal="right"/>
    </xf>
    <xf numFmtId="0" fontId="8" fillId="9" borderId="1" xfId="0" applyFont="1" applyFill="1" applyBorder="1"/>
    <xf numFmtId="3" fontId="8" fillId="9" borderId="1" xfId="0" applyNumberFormat="1" applyFont="1" applyFill="1" applyBorder="1"/>
    <xf numFmtId="0" fontId="8" fillId="9" borderId="0" xfId="0" applyFont="1" applyFill="1"/>
    <xf numFmtId="3" fontId="8" fillId="9" borderId="0" xfId="0" applyNumberFormat="1" applyFont="1" applyFill="1"/>
    <xf numFmtId="0" fontId="8" fillId="10" borderId="1" xfId="0" applyFont="1" applyFill="1" applyBorder="1"/>
    <xf numFmtId="3" fontId="8" fillId="10" borderId="1" xfId="0" applyNumberFormat="1" applyFont="1" applyFill="1" applyBorder="1"/>
    <xf numFmtId="3" fontId="8" fillId="10" borderId="0" xfId="0" applyNumberFormat="1" applyFont="1" applyFill="1"/>
    <xf numFmtId="0" fontId="8" fillId="10" borderId="0" xfId="0" applyFont="1" applyFill="1"/>
    <xf numFmtId="3" fontId="1" fillId="9" borderId="0" xfId="0" applyNumberFormat="1" applyFont="1" applyFill="1"/>
    <xf numFmtId="0" fontId="1" fillId="9" borderId="0" xfId="0" applyFont="1" applyFill="1"/>
    <xf numFmtId="0" fontId="8" fillId="0" borderId="0" xfId="0" applyFont="1"/>
    <xf numFmtId="0" fontId="0" fillId="2" borderId="0" xfId="0" applyFill="1"/>
    <xf numFmtId="0" fontId="9" fillId="0" borderId="1" xfId="0" applyFont="1" applyBorder="1"/>
    <xf numFmtId="3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3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30</v>
      </c>
      <c r="D4" s="5" t="s">
        <v>31</v>
      </c>
      <c r="E4" s="5">
        <v>19</v>
      </c>
      <c r="F4" s="5" t="s">
        <v>32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33</v>
      </c>
      <c r="D5" s="5" t="s">
        <v>34</v>
      </c>
      <c r="E5" s="5" t="s">
        <v>35</v>
      </c>
      <c r="F5" s="5" t="s">
        <v>36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37</v>
      </c>
      <c r="D6" s="5" t="s">
        <v>38</v>
      </c>
      <c r="E6" s="5" t="s">
        <v>39</v>
      </c>
      <c r="F6" s="5" t="s">
        <v>40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41</v>
      </c>
      <c r="D7" s="5" t="s">
        <v>42</v>
      </c>
      <c r="E7" s="5" t="s">
        <v>43</v>
      </c>
      <c r="F7" s="5" t="s">
        <v>44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45</v>
      </c>
      <c r="D8" s="5" t="s">
        <v>46</v>
      </c>
      <c r="E8" s="5">
        <v>159</v>
      </c>
      <c r="F8" s="5" t="s">
        <v>47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48</v>
      </c>
      <c r="D9" s="5" t="s">
        <v>49</v>
      </c>
      <c r="E9" s="5" t="s">
        <v>50</v>
      </c>
      <c r="F9" s="5" t="s">
        <v>47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</v>
      </c>
      <c r="D10" s="5" t="s">
        <v>52</v>
      </c>
      <c r="E10" s="5" t="s">
        <v>53</v>
      </c>
      <c r="F10" s="5" t="s">
        <v>47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54</v>
      </c>
      <c r="D11" s="5" t="s">
        <v>55</v>
      </c>
      <c r="E11" s="5" t="s">
        <v>56</v>
      </c>
      <c r="F11" s="5" t="s">
        <v>57</v>
      </c>
      <c r="G11" s="5" t="s">
        <v>58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59</v>
      </c>
      <c r="D12" s="5" t="s">
        <v>60</v>
      </c>
      <c r="E12" s="5" t="s">
        <v>61</v>
      </c>
      <c r="F12" s="5" t="s">
        <v>62</v>
      </c>
      <c r="G12" s="5" t="s">
        <v>58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63</v>
      </c>
      <c r="D13" s="5" t="s">
        <v>64</v>
      </c>
      <c r="E13" s="5">
        <v>778</v>
      </c>
      <c r="F13" s="5" t="s">
        <v>65</v>
      </c>
      <c r="G13" s="5" t="s">
        <v>58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66</v>
      </c>
      <c r="D14" s="5" t="s">
        <v>67</v>
      </c>
      <c r="E14" s="5" t="s">
        <v>68</v>
      </c>
      <c r="F14" s="5" t="s">
        <v>69</v>
      </c>
      <c r="G14" s="5" t="s">
        <v>70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71</v>
      </c>
      <c r="D15" s="5" t="s">
        <v>72</v>
      </c>
      <c r="E15" s="5" t="s">
        <v>73</v>
      </c>
      <c r="F15" s="5" t="s">
        <v>74</v>
      </c>
      <c r="G15" s="5" t="s">
        <v>70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75</v>
      </c>
      <c r="D16" s="5" t="s">
        <v>76</v>
      </c>
      <c r="E16" s="5" t="s">
        <v>77</v>
      </c>
      <c r="F16" s="5" t="s">
        <v>78</v>
      </c>
      <c r="G16" s="5" t="s">
        <v>70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79</v>
      </c>
      <c r="D17" s="5" t="s">
        <v>80</v>
      </c>
      <c r="E17" s="5" t="s">
        <v>81</v>
      </c>
      <c r="F17" s="5" t="s">
        <v>82</v>
      </c>
      <c r="G17" s="5" t="s">
        <v>70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83</v>
      </c>
      <c r="D18" s="5" t="s">
        <v>84</v>
      </c>
      <c r="E18" s="5" t="s">
        <v>85</v>
      </c>
      <c r="F18" s="5" t="s">
        <v>86</v>
      </c>
      <c r="G18" s="5" t="s">
        <v>70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87</v>
      </c>
      <c r="D19" s="5" t="s">
        <v>88</v>
      </c>
      <c r="E19" s="5" t="s">
        <v>89</v>
      </c>
      <c r="F19" s="5" t="s">
        <v>90</v>
      </c>
      <c r="G19" s="5" t="s">
        <v>70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91</v>
      </c>
      <c r="B20" s="5" t="s">
        <v>19</v>
      </c>
      <c r="C20" s="5" t="s">
        <v>92</v>
      </c>
      <c r="D20" s="5"/>
      <c r="E20" s="5">
        <v>403</v>
      </c>
      <c r="F20" s="5" t="s">
        <v>93</v>
      </c>
      <c r="G20" s="5" t="s">
        <v>70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95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99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100</v>
      </c>
      <c r="D22" s="5" t="s">
        <v>101</v>
      </c>
      <c r="E22" s="5">
        <v>9</v>
      </c>
      <c r="F22" s="5" t="s">
        <v>102</v>
      </c>
      <c r="G22" s="5" t="s">
        <v>103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104</v>
      </c>
      <c r="D23" s="5" t="s">
        <v>105</v>
      </c>
      <c r="E23" s="5" t="s">
        <v>106</v>
      </c>
      <c r="F23" s="5" t="s">
        <v>107</v>
      </c>
      <c r="G23" s="5" t="s">
        <v>103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108</v>
      </c>
      <c r="D24" s="5" t="s">
        <v>109</v>
      </c>
      <c r="E24" s="5" t="s">
        <v>110</v>
      </c>
      <c r="F24" s="5" t="s">
        <v>111</v>
      </c>
      <c r="G24" s="5" t="s">
        <v>103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112</v>
      </c>
      <c r="D25" s="5" t="s">
        <v>113</v>
      </c>
      <c r="E25" s="5" t="s">
        <v>114</v>
      </c>
      <c r="F25" s="5" t="s">
        <v>115</v>
      </c>
      <c r="G25" s="5" t="s">
        <v>103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116</v>
      </c>
      <c r="D26" s="5" t="s">
        <v>117</v>
      </c>
      <c r="E26" s="5" t="s">
        <v>118</v>
      </c>
      <c r="F26" s="5" t="s">
        <v>119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120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121</v>
      </c>
      <c r="D27" s="5" t="s">
        <v>122</v>
      </c>
      <c r="E27" s="5" t="s">
        <v>123</v>
      </c>
      <c r="F27" s="5" t="s">
        <v>124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125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126</v>
      </c>
      <c r="D28" s="5" t="s">
        <v>127</v>
      </c>
      <c r="E28" s="5">
        <v>51</v>
      </c>
      <c r="F28" s="5" t="s">
        <v>128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125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129</v>
      </c>
      <c r="D29" s="5" t="s">
        <v>130</v>
      </c>
      <c r="E29" s="5">
        <v>56</v>
      </c>
      <c r="F29" s="5" t="s">
        <v>131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125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132</v>
      </c>
      <c r="D30" s="5" t="s">
        <v>133</v>
      </c>
      <c r="E30" s="5">
        <v>230</v>
      </c>
      <c r="F30" s="5" t="s">
        <v>134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125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135</v>
      </c>
      <c r="D31" s="5" t="s">
        <v>136</v>
      </c>
      <c r="E31" s="5" t="s">
        <v>137</v>
      </c>
      <c r="F31" s="5" t="s">
        <v>134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125</v>
      </c>
      <c r="L31" s="5" t="s">
        <v>25</v>
      </c>
      <c r="M31" s="5" t="s">
        <v>26</v>
      </c>
      <c r="N31" s="6" t="s">
        <v>138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139</v>
      </c>
      <c r="D32" s="5" t="s">
        <v>140</v>
      </c>
      <c r="E32" s="5" t="s">
        <v>141</v>
      </c>
      <c r="F32" s="5" t="s">
        <v>142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125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</v>
      </c>
      <c r="D33" s="5" t="s">
        <v>144</v>
      </c>
      <c r="E33" s="5" t="s">
        <v>145</v>
      </c>
      <c r="F33" s="5" t="s">
        <v>146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125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147</v>
      </c>
      <c r="D34" s="5" t="s">
        <v>148</v>
      </c>
      <c r="E34" s="5" t="s">
        <v>149</v>
      </c>
      <c r="F34" s="5" t="s">
        <v>150</v>
      </c>
      <c r="G34" s="5" t="s">
        <v>151</v>
      </c>
      <c r="H34" s="5">
        <v>690</v>
      </c>
      <c r="I34" s="5">
        <v>20</v>
      </c>
      <c r="J34" s="5">
        <f t="shared" si="0"/>
        <v>670</v>
      </c>
      <c r="K34" s="5" t="s">
        <v>125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152</v>
      </c>
      <c r="D35" s="5" t="s">
        <v>153</v>
      </c>
      <c r="E35" s="5" t="s">
        <v>154</v>
      </c>
      <c r="F35" s="5" t="s">
        <v>155</v>
      </c>
      <c r="G35" s="5" t="s">
        <v>151</v>
      </c>
      <c r="H35" s="5">
        <v>690</v>
      </c>
      <c r="I35" s="5">
        <v>20</v>
      </c>
      <c r="J35" s="5">
        <f t="shared" ref="J35:J66" si="1">H35-I35</f>
        <v>670</v>
      </c>
      <c r="K35" s="5" t="s">
        <v>125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156</v>
      </c>
      <c r="D36" s="5" t="s">
        <v>157</v>
      </c>
      <c r="E36" s="5" t="s">
        <v>158</v>
      </c>
      <c r="F36" s="5" t="s">
        <v>159</v>
      </c>
      <c r="G36" s="5" t="s">
        <v>151</v>
      </c>
      <c r="H36" s="5">
        <v>690</v>
      </c>
      <c r="I36" s="5">
        <v>20</v>
      </c>
      <c r="J36" s="5">
        <f t="shared" si="1"/>
        <v>670</v>
      </c>
      <c r="K36" s="5" t="s">
        <v>125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160</v>
      </c>
      <c r="D37" s="5" t="s">
        <v>161</v>
      </c>
      <c r="E37" s="5" t="s">
        <v>162</v>
      </c>
      <c r="F37" s="5" t="s">
        <v>163</v>
      </c>
      <c r="G37" s="5" t="s">
        <v>98</v>
      </c>
      <c r="H37" s="5">
        <v>695</v>
      </c>
      <c r="I37" s="5">
        <v>25</v>
      </c>
      <c r="J37" s="5">
        <f t="shared" si="1"/>
        <v>670</v>
      </c>
      <c r="K37" s="5" t="s">
        <v>125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164</v>
      </c>
      <c r="D38" s="5" t="s">
        <v>165</v>
      </c>
      <c r="E38" s="5" t="s">
        <v>166</v>
      </c>
      <c r="F38" s="5" t="s">
        <v>167</v>
      </c>
      <c r="G38" s="5" t="s">
        <v>98</v>
      </c>
      <c r="H38" s="5">
        <v>695</v>
      </c>
      <c r="I38" s="5">
        <v>25</v>
      </c>
      <c r="J38" s="5">
        <f t="shared" si="1"/>
        <v>670</v>
      </c>
      <c r="K38" s="5" t="s">
        <v>125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168</v>
      </c>
      <c r="D39" s="5" t="s">
        <v>169</v>
      </c>
      <c r="E39" s="5" t="s">
        <v>170</v>
      </c>
      <c r="F39" s="5" t="s">
        <v>167</v>
      </c>
      <c r="G39" s="5" t="s">
        <v>98</v>
      </c>
      <c r="H39" s="5">
        <v>1655</v>
      </c>
      <c r="I39" s="5">
        <v>25</v>
      </c>
      <c r="J39" s="5">
        <f t="shared" si="1"/>
        <v>1630</v>
      </c>
      <c r="K39" s="5" t="s">
        <v>125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91</v>
      </c>
      <c r="B40" s="5" t="s">
        <v>19</v>
      </c>
      <c r="C40" s="5" t="s">
        <v>171</v>
      </c>
      <c r="D40" s="5"/>
      <c r="E40" s="5" t="s">
        <v>172</v>
      </c>
      <c r="F40" s="5" t="s">
        <v>173</v>
      </c>
      <c r="G40" s="5" t="s">
        <v>98</v>
      </c>
      <c r="H40" s="5">
        <v>0</v>
      </c>
      <c r="I40" s="5">
        <v>30</v>
      </c>
      <c r="J40" s="5">
        <f t="shared" si="1"/>
        <v>-30</v>
      </c>
      <c r="K40" s="5" t="s">
        <v>125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174</v>
      </c>
      <c r="D41" s="5" t="s">
        <v>175</v>
      </c>
      <c r="E41" s="5" t="s">
        <v>176</v>
      </c>
      <c r="F41" s="5" t="s">
        <v>177</v>
      </c>
      <c r="G41" s="5">
        <v>6</v>
      </c>
      <c r="H41" s="5">
        <v>0</v>
      </c>
      <c r="I41" s="5">
        <v>25</v>
      </c>
      <c r="J41" s="5">
        <f t="shared" si="1"/>
        <v>-25</v>
      </c>
      <c r="K41" s="5" t="s">
        <v>178</v>
      </c>
      <c r="L41" s="5" t="s">
        <v>25</v>
      </c>
      <c r="M41" s="5" t="s">
        <v>26</v>
      </c>
      <c r="N41" s="6" t="s">
        <v>99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91</v>
      </c>
      <c r="B42" s="5" t="s">
        <v>19</v>
      </c>
      <c r="C42" s="5" t="s">
        <v>179</v>
      </c>
      <c r="D42" s="5"/>
      <c r="E42" s="5" t="s">
        <v>180</v>
      </c>
      <c r="F42" s="5" t="s">
        <v>181</v>
      </c>
      <c r="G42" s="5">
        <v>6</v>
      </c>
      <c r="H42" s="5">
        <v>0</v>
      </c>
      <c r="I42" s="5">
        <v>30</v>
      </c>
      <c r="J42" s="5">
        <f t="shared" si="1"/>
        <v>-30</v>
      </c>
      <c r="K42" s="5" t="s">
        <v>178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182</v>
      </c>
      <c r="D43" s="5" t="s">
        <v>183</v>
      </c>
      <c r="E43" s="5" t="s">
        <v>184</v>
      </c>
      <c r="F43" s="5" t="s">
        <v>185</v>
      </c>
      <c r="G43" s="5">
        <v>6</v>
      </c>
      <c r="H43" s="5">
        <v>435</v>
      </c>
      <c r="I43" s="5">
        <v>25</v>
      </c>
      <c r="J43" s="5">
        <f t="shared" si="1"/>
        <v>410</v>
      </c>
      <c r="K43" s="5" t="s">
        <v>178</v>
      </c>
      <c r="L43" s="5" t="s">
        <v>25</v>
      </c>
      <c r="M43" s="5" t="s">
        <v>26</v>
      </c>
      <c r="N43" s="6" t="s">
        <v>186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187</v>
      </c>
      <c r="D44" s="5" t="s">
        <v>188</v>
      </c>
      <c r="E44" s="5" t="s">
        <v>189</v>
      </c>
      <c r="F44" s="5" t="s">
        <v>190</v>
      </c>
      <c r="G44" s="5">
        <v>6</v>
      </c>
      <c r="H44" s="5">
        <v>1705</v>
      </c>
      <c r="I44" s="5">
        <v>25</v>
      </c>
      <c r="J44" s="5">
        <f t="shared" si="1"/>
        <v>1680</v>
      </c>
      <c r="K44" s="5" t="s">
        <v>178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191</v>
      </c>
      <c r="D45" s="5"/>
      <c r="E45" s="5" t="s">
        <v>192</v>
      </c>
      <c r="F45" s="5" t="s">
        <v>193</v>
      </c>
      <c r="G45" s="5">
        <v>6</v>
      </c>
      <c r="H45" s="5">
        <v>2050</v>
      </c>
      <c r="I45" s="5">
        <v>30</v>
      </c>
      <c r="J45" s="5">
        <f t="shared" si="1"/>
        <v>2020</v>
      </c>
      <c r="K45" s="5" t="s">
        <v>178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194</v>
      </c>
      <c r="D46" s="5" t="s">
        <v>195</v>
      </c>
      <c r="E46" s="5">
        <v>76</v>
      </c>
      <c r="F46" s="5" t="s">
        <v>196</v>
      </c>
      <c r="G46" s="5">
        <v>7</v>
      </c>
      <c r="H46" s="5">
        <v>820</v>
      </c>
      <c r="I46" s="5">
        <v>30</v>
      </c>
      <c r="J46" s="5">
        <f t="shared" si="1"/>
        <v>790</v>
      </c>
      <c r="K46" s="5" t="s">
        <v>178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197</v>
      </c>
      <c r="D47" s="5" t="s">
        <v>198</v>
      </c>
      <c r="E47" s="5" t="s">
        <v>199</v>
      </c>
      <c r="F47" s="5" t="s">
        <v>200</v>
      </c>
      <c r="G47" s="5">
        <v>7</v>
      </c>
      <c r="H47" s="5">
        <v>0</v>
      </c>
      <c r="I47" s="5">
        <v>30</v>
      </c>
      <c r="J47" s="5">
        <f t="shared" si="1"/>
        <v>-30</v>
      </c>
      <c r="K47" s="5" t="s">
        <v>178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201</v>
      </c>
      <c r="D48" s="5" t="s">
        <v>202</v>
      </c>
      <c r="E48" s="5">
        <v>19</v>
      </c>
      <c r="F48" s="5" t="s">
        <v>203</v>
      </c>
      <c r="G48" s="5">
        <v>7</v>
      </c>
      <c r="H48" s="5">
        <v>820</v>
      </c>
      <c r="I48" s="5">
        <v>30</v>
      </c>
      <c r="J48" s="5">
        <f t="shared" si="1"/>
        <v>790</v>
      </c>
      <c r="K48" s="5" t="s">
        <v>178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204</v>
      </c>
      <c r="D49" s="5" t="s">
        <v>205</v>
      </c>
      <c r="E49" s="5">
        <v>813</v>
      </c>
      <c r="F49" s="5" t="s">
        <v>206</v>
      </c>
      <c r="G49" s="5">
        <v>7</v>
      </c>
      <c r="H49" s="5">
        <v>810</v>
      </c>
      <c r="I49" s="5">
        <v>30</v>
      </c>
      <c r="J49" s="5">
        <f t="shared" si="1"/>
        <v>780</v>
      </c>
      <c r="K49" s="5" t="s">
        <v>178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207</v>
      </c>
      <c r="D50" s="5" t="s">
        <v>208</v>
      </c>
      <c r="E50" s="5">
        <v>21</v>
      </c>
      <c r="F50" s="5" t="s">
        <v>209</v>
      </c>
      <c r="G50" s="5">
        <v>8</v>
      </c>
      <c r="H50" s="5">
        <v>0</v>
      </c>
      <c r="I50" s="5">
        <v>30</v>
      </c>
      <c r="J50" s="5">
        <f t="shared" si="1"/>
        <v>-30</v>
      </c>
      <c r="K50" s="5" t="s">
        <v>178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210</v>
      </c>
      <c r="D51" s="5" t="s">
        <v>211</v>
      </c>
      <c r="E51" s="5">
        <v>1002</v>
      </c>
      <c r="F51" s="5" t="s">
        <v>212</v>
      </c>
      <c r="G51" s="5">
        <v>8</v>
      </c>
      <c r="H51" s="5">
        <v>700</v>
      </c>
      <c r="I51" s="5">
        <v>30</v>
      </c>
      <c r="J51" s="5">
        <f t="shared" si="1"/>
        <v>670</v>
      </c>
      <c r="K51" s="5" t="s">
        <v>178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213</v>
      </c>
      <c r="D52" s="5" t="s">
        <v>214</v>
      </c>
      <c r="E52" s="5">
        <v>30</v>
      </c>
      <c r="F52" s="5" t="s">
        <v>215</v>
      </c>
      <c r="G52" s="5">
        <v>8</v>
      </c>
      <c r="H52" s="5">
        <v>695</v>
      </c>
      <c r="I52" s="5">
        <v>25</v>
      </c>
      <c r="J52" s="5">
        <f t="shared" si="1"/>
        <v>670</v>
      </c>
      <c r="K52" s="5" t="s">
        <v>178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216</v>
      </c>
      <c r="D53" s="5" t="s">
        <v>217</v>
      </c>
      <c r="E53" s="5"/>
      <c r="F53" s="5" t="s">
        <v>218</v>
      </c>
      <c r="G53" s="5">
        <v>9</v>
      </c>
      <c r="H53" s="5">
        <v>0</v>
      </c>
      <c r="I53" s="5">
        <v>30</v>
      </c>
      <c r="J53" s="5">
        <f t="shared" si="1"/>
        <v>-30</v>
      </c>
      <c r="K53" s="5" t="s">
        <v>178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219</v>
      </c>
      <c r="D54" s="5" t="s">
        <v>220</v>
      </c>
      <c r="E54" s="5">
        <v>910</v>
      </c>
      <c r="F54" s="5" t="s">
        <v>221</v>
      </c>
      <c r="G54" s="5">
        <v>11</v>
      </c>
      <c r="H54" s="5">
        <v>695</v>
      </c>
      <c r="I54" s="5">
        <v>25</v>
      </c>
      <c r="J54" s="5">
        <f t="shared" si="1"/>
        <v>670</v>
      </c>
      <c r="K54" s="5" t="s">
        <v>178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222</v>
      </c>
      <c r="D55" s="5" t="s">
        <v>223</v>
      </c>
      <c r="E55" s="5" t="s">
        <v>224</v>
      </c>
      <c r="F55" s="5" t="s">
        <v>225</v>
      </c>
      <c r="G55" s="5">
        <v>12</v>
      </c>
      <c r="H55" s="5">
        <v>786</v>
      </c>
      <c r="I55" s="5">
        <v>30</v>
      </c>
      <c r="J55" s="5">
        <f t="shared" si="1"/>
        <v>756</v>
      </c>
      <c r="K55" s="5" t="s">
        <v>178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226</v>
      </c>
      <c r="D56" s="5" t="s">
        <v>227</v>
      </c>
      <c r="E56" s="5">
        <v>375</v>
      </c>
      <c r="F56" s="5" t="s">
        <v>228</v>
      </c>
      <c r="G56" s="5">
        <v>12</v>
      </c>
      <c r="H56" s="5">
        <v>0</v>
      </c>
      <c r="I56" s="5">
        <v>30</v>
      </c>
      <c r="J56" s="5">
        <f t="shared" si="1"/>
        <v>-30</v>
      </c>
      <c r="K56" s="5" t="s">
        <v>178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229</v>
      </c>
      <c r="D57" s="5" t="s">
        <v>230</v>
      </c>
      <c r="E57" s="5">
        <v>67</v>
      </c>
      <c r="F57" s="5" t="s">
        <v>231</v>
      </c>
      <c r="G57" s="5" t="s">
        <v>232</v>
      </c>
      <c r="H57" s="5">
        <v>825</v>
      </c>
      <c r="I57" s="5">
        <v>35</v>
      </c>
      <c r="J57" s="5">
        <f t="shared" si="1"/>
        <v>790</v>
      </c>
      <c r="K57" s="5" t="s">
        <v>178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233</v>
      </c>
      <c r="D58" s="5" t="s">
        <v>234</v>
      </c>
      <c r="E58" s="5" t="s">
        <v>235</v>
      </c>
      <c r="F58" s="5" t="s">
        <v>236</v>
      </c>
      <c r="G58" s="5" t="s">
        <v>232</v>
      </c>
      <c r="H58" s="5">
        <v>705</v>
      </c>
      <c r="I58" s="5">
        <v>35</v>
      </c>
      <c r="J58" s="5">
        <f t="shared" si="1"/>
        <v>670</v>
      </c>
      <c r="K58" s="5" t="s">
        <v>178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237</v>
      </c>
      <c r="D59" s="5" t="s">
        <v>238</v>
      </c>
      <c r="E59" s="5">
        <v>321</v>
      </c>
      <c r="F59" s="5" t="s">
        <v>239</v>
      </c>
      <c r="G59" s="5" t="s">
        <v>240</v>
      </c>
      <c r="H59" s="5">
        <v>810</v>
      </c>
      <c r="I59" s="5">
        <v>30</v>
      </c>
      <c r="J59" s="5">
        <f t="shared" si="1"/>
        <v>780</v>
      </c>
      <c r="K59" s="5" t="s">
        <v>178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241</v>
      </c>
      <c r="D60" s="5" t="s">
        <v>242</v>
      </c>
      <c r="E60" s="5">
        <v>27</v>
      </c>
      <c r="F60" s="5" t="s">
        <v>243</v>
      </c>
      <c r="G60" s="5" t="s">
        <v>240</v>
      </c>
      <c r="H60" s="5">
        <v>1230</v>
      </c>
      <c r="I60" s="5">
        <v>30</v>
      </c>
      <c r="J60" s="5">
        <f t="shared" si="1"/>
        <v>1200</v>
      </c>
      <c r="K60" s="5" t="s">
        <v>178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244</v>
      </c>
      <c r="D61" s="5" t="s">
        <v>245</v>
      </c>
      <c r="E61" s="5">
        <v>17</v>
      </c>
      <c r="F61" s="5" t="s">
        <v>246</v>
      </c>
      <c r="G61" s="5" t="s">
        <v>240</v>
      </c>
      <c r="H61" s="5">
        <v>0</v>
      </c>
      <c r="I61" s="5">
        <v>30</v>
      </c>
      <c r="J61" s="5">
        <f t="shared" si="1"/>
        <v>-30</v>
      </c>
      <c r="K61" s="5" t="s">
        <v>178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247</v>
      </c>
      <c r="D62" s="5" t="s">
        <v>248</v>
      </c>
      <c r="E62" s="5">
        <v>17</v>
      </c>
      <c r="F62" s="5" t="s">
        <v>246</v>
      </c>
      <c r="G62" s="5" t="s">
        <v>240</v>
      </c>
      <c r="H62" s="5">
        <v>700</v>
      </c>
      <c r="I62" s="5">
        <v>30</v>
      </c>
      <c r="J62" s="5">
        <f t="shared" si="1"/>
        <v>670</v>
      </c>
      <c r="K62" s="5" t="s">
        <v>178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249</v>
      </c>
      <c r="D63" s="5" t="s">
        <v>250</v>
      </c>
      <c r="E63" s="5">
        <v>2</v>
      </c>
      <c r="F63" s="5" t="s">
        <v>251</v>
      </c>
      <c r="G63" s="5" t="s">
        <v>240</v>
      </c>
      <c r="H63" s="5">
        <v>840</v>
      </c>
      <c r="I63" s="5">
        <v>30</v>
      </c>
      <c r="J63" s="5">
        <f t="shared" si="1"/>
        <v>810</v>
      </c>
      <c r="K63" s="5" t="s">
        <v>178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252</v>
      </c>
      <c r="D64" s="5" t="s">
        <v>253</v>
      </c>
      <c r="E64" s="5">
        <v>56</v>
      </c>
      <c r="F64" s="5" t="s">
        <v>254</v>
      </c>
      <c r="G64" s="5" t="s">
        <v>240</v>
      </c>
      <c r="H64" s="5">
        <v>0</v>
      </c>
      <c r="I64" s="5">
        <v>30</v>
      </c>
      <c r="J64" s="5">
        <f t="shared" si="1"/>
        <v>-30</v>
      </c>
      <c r="K64" s="5" t="s">
        <v>178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255</v>
      </c>
      <c r="D65" s="5" t="s">
        <v>256</v>
      </c>
      <c r="E65" s="5" t="s">
        <v>257</v>
      </c>
      <c r="F65" s="5" t="s">
        <v>258</v>
      </c>
      <c r="G65" s="5" t="s">
        <v>240</v>
      </c>
      <c r="H65" s="5">
        <v>870</v>
      </c>
      <c r="I65" s="5">
        <v>30</v>
      </c>
      <c r="J65" s="5">
        <f t="shared" si="1"/>
        <v>840</v>
      </c>
      <c r="K65" s="5" t="s">
        <v>178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259</v>
      </c>
      <c r="D66" s="5" t="s">
        <v>260</v>
      </c>
      <c r="E66" s="5" t="s">
        <v>261</v>
      </c>
      <c r="F66" s="5" t="s">
        <v>262</v>
      </c>
      <c r="G66" s="5" t="s">
        <v>240</v>
      </c>
      <c r="H66" s="5">
        <v>410</v>
      </c>
      <c r="I66" s="5">
        <v>30</v>
      </c>
      <c r="J66" s="5">
        <f t="shared" si="1"/>
        <v>380</v>
      </c>
      <c r="K66" s="5" t="s">
        <v>178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263</v>
      </c>
      <c r="D67" s="5" t="s">
        <v>264</v>
      </c>
      <c r="E67" s="5" t="s">
        <v>265</v>
      </c>
      <c r="F67" s="5" t="s">
        <v>266</v>
      </c>
      <c r="G67" s="5" t="s">
        <v>240</v>
      </c>
      <c r="H67" s="5">
        <v>1570</v>
      </c>
      <c r="I67" s="5">
        <v>30</v>
      </c>
      <c r="J67" s="5">
        <f t="shared" ref="J67:J78" si="2">H67-I67</f>
        <v>1540</v>
      </c>
      <c r="K67" s="5" t="s">
        <v>178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267</v>
      </c>
      <c r="D68" s="5" t="s">
        <v>268</v>
      </c>
      <c r="E68" s="5" t="s">
        <v>269</v>
      </c>
      <c r="F68" s="5" t="s">
        <v>270</v>
      </c>
      <c r="G68" s="5" t="s">
        <v>240</v>
      </c>
      <c r="H68" s="5">
        <v>0</v>
      </c>
      <c r="I68" s="5">
        <v>30</v>
      </c>
      <c r="J68" s="5">
        <f t="shared" si="2"/>
        <v>-30</v>
      </c>
      <c r="K68" s="5" t="s">
        <v>178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271</v>
      </c>
      <c r="D69" s="5" t="s">
        <v>272</v>
      </c>
      <c r="E69" s="5" t="s">
        <v>273</v>
      </c>
      <c r="F69" s="5" t="s">
        <v>274</v>
      </c>
      <c r="G69" s="5" t="s">
        <v>240</v>
      </c>
      <c r="H69" s="5">
        <v>0</v>
      </c>
      <c r="I69" s="5">
        <v>30</v>
      </c>
      <c r="J69" s="5">
        <f t="shared" si="2"/>
        <v>-30</v>
      </c>
      <c r="K69" s="5" t="s">
        <v>178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275</v>
      </c>
      <c r="D70" s="5" t="s">
        <v>276</v>
      </c>
      <c r="E70" s="5">
        <v>146</v>
      </c>
      <c r="F70" s="5" t="s">
        <v>277</v>
      </c>
      <c r="G70" s="5" t="s">
        <v>240</v>
      </c>
      <c r="H70" s="5">
        <v>410</v>
      </c>
      <c r="I70" s="5">
        <v>30</v>
      </c>
      <c r="J70" s="5">
        <f t="shared" si="2"/>
        <v>380</v>
      </c>
      <c r="K70" s="5" t="s">
        <v>178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278</v>
      </c>
      <c r="D71" s="5" t="s">
        <v>279</v>
      </c>
      <c r="E71" s="5">
        <v>178</v>
      </c>
      <c r="F71" s="5" t="s">
        <v>280</v>
      </c>
      <c r="G71" s="5" t="s">
        <v>281</v>
      </c>
      <c r="H71" s="5">
        <v>705</v>
      </c>
      <c r="I71" s="5">
        <v>35</v>
      </c>
      <c r="J71" s="5">
        <f t="shared" si="2"/>
        <v>670</v>
      </c>
      <c r="K71" s="5" t="s">
        <v>178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282</v>
      </c>
      <c r="D72" s="5" t="s">
        <v>283</v>
      </c>
      <c r="E72" s="5" t="s">
        <v>284</v>
      </c>
      <c r="F72" s="5" t="s">
        <v>285</v>
      </c>
      <c r="G72" s="5" t="s">
        <v>286</v>
      </c>
      <c r="H72" s="5">
        <v>695</v>
      </c>
      <c r="I72" s="5">
        <v>25</v>
      </c>
      <c r="J72" s="5">
        <f t="shared" si="2"/>
        <v>670</v>
      </c>
      <c r="K72" s="5" t="s">
        <v>178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287</v>
      </c>
      <c r="D73" s="5" t="s">
        <v>288</v>
      </c>
      <c r="E73" s="5" t="s">
        <v>289</v>
      </c>
      <c r="F73" s="5" t="s">
        <v>290</v>
      </c>
      <c r="G73" s="5" t="s">
        <v>286</v>
      </c>
      <c r="H73" s="5">
        <v>965</v>
      </c>
      <c r="I73" s="5">
        <v>25</v>
      </c>
      <c r="J73" s="5">
        <f t="shared" si="2"/>
        <v>940</v>
      </c>
      <c r="K73" s="5" t="s">
        <v>178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291</v>
      </c>
      <c r="D74" s="5" t="s">
        <v>292</v>
      </c>
      <c r="E74" s="5">
        <v>29</v>
      </c>
      <c r="F74" s="5" t="s">
        <v>293</v>
      </c>
      <c r="G74" s="5" t="s">
        <v>286</v>
      </c>
      <c r="H74" s="5">
        <v>715</v>
      </c>
      <c r="I74" s="5">
        <v>25</v>
      </c>
      <c r="J74" s="5">
        <f t="shared" si="2"/>
        <v>690</v>
      </c>
      <c r="K74" s="5" t="s">
        <v>178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294</v>
      </c>
      <c r="D75" s="5" t="s">
        <v>295</v>
      </c>
      <c r="E75" s="5" t="s">
        <v>296</v>
      </c>
      <c r="F75" s="5" t="s">
        <v>297</v>
      </c>
      <c r="G75" s="5" t="s">
        <v>286</v>
      </c>
      <c r="H75" s="5">
        <v>765</v>
      </c>
      <c r="I75" s="5">
        <v>25</v>
      </c>
      <c r="J75" s="5">
        <f t="shared" si="2"/>
        <v>740</v>
      </c>
      <c r="K75" s="5" t="s">
        <v>178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298</v>
      </c>
      <c r="D76" s="5" t="s">
        <v>299</v>
      </c>
      <c r="E76" s="5" t="s">
        <v>300</v>
      </c>
      <c r="F76" s="5" t="s">
        <v>301</v>
      </c>
      <c r="G76" s="5" t="s">
        <v>286</v>
      </c>
      <c r="H76" s="5">
        <v>695</v>
      </c>
      <c r="I76" s="5">
        <v>25</v>
      </c>
      <c r="J76" s="5">
        <f t="shared" si="2"/>
        <v>670</v>
      </c>
      <c r="K76" s="5" t="s">
        <v>178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302</v>
      </c>
      <c r="D77" s="5" t="s">
        <v>303</v>
      </c>
      <c r="E77" s="5" t="s">
        <v>304</v>
      </c>
      <c r="F77" s="5" t="s">
        <v>305</v>
      </c>
      <c r="G77" s="5" t="s">
        <v>286</v>
      </c>
      <c r="H77" s="5">
        <v>695</v>
      </c>
      <c r="I77" s="5">
        <v>25</v>
      </c>
      <c r="J77" s="5">
        <f t="shared" si="2"/>
        <v>670</v>
      </c>
      <c r="K77" s="5" t="s">
        <v>178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306</v>
      </c>
      <c r="D78" s="5" t="s">
        <v>307</v>
      </c>
      <c r="E78" s="5" t="s">
        <v>308</v>
      </c>
      <c r="F78" s="5" t="s">
        <v>309</v>
      </c>
      <c r="G78" s="5" t="s">
        <v>286</v>
      </c>
      <c r="H78" s="5">
        <v>865</v>
      </c>
      <c r="I78" s="5">
        <v>25</v>
      </c>
      <c r="J78" s="5">
        <f t="shared" si="2"/>
        <v>840</v>
      </c>
      <c r="K78" s="5" t="s">
        <v>178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 t="shared" ref="H80:S80" si="3">SUM(H3:H79)</f>
        <v>49364</v>
      </c>
      <c r="I80">
        <f t="shared" si="3"/>
        <v>2050</v>
      </c>
      <c r="J80">
        <f t="shared" si="3"/>
        <v>47314</v>
      </c>
      <c r="K80">
        <f t="shared" si="3"/>
        <v>0</v>
      </c>
      <c r="L80">
        <f t="shared" si="3"/>
        <v>0</v>
      </c>
      <c r="M80">
        <f t="shared" si="3"/>
        <v>0</v>
      </c>
      <c r="N80">
        <f t="shared" si="3"/>
        <v>0</v>
      </c>
      <c r="O80">
        <f t="shared" si="3"/>
        <v>0</v>
      </c>
      <c r="P80">
        <f t="shared" si="3"/>
        <v>0</v>
      </c>
      <c r="Q80">
        <f t="shared" si="3"/>
        <v>0</v>
      </c>
      <c r="R80">
        <f t="shared" si="3"/>
        <v>76</v>
      </c>
      <c r="S80">
        <f t="shared" si="3"/>
        <v>480</v>
      </c>
    </row>
    <row r="81" spans="1:13" x14ac:dyDescent="0.25">
      <c r="J81">
        <v>-1460</v>
      </c>
      <c r="K81" t="s">
        <v>310</v>
      </c>
    </row>
    <row r="82" spans="1:13" x14ac:dyDescent="0.25">
      <c r="J82">
        <v>-100</v>
      </c>
      <c r="K82" t="s">
        <v>311</v>
      </c>
    </row>
    <row r="84" spans="1:13" ht="20.25" customHeight="1" x14ac:dyDescent="0.3">
      <c r="I84" s="7" t="s">
        <v>312</v>
      </c>
      <c r="J84" s="8" t="s">
        <v>313</v>
      </c>
      <c r="K84" s="9" t="s">
        <v>314</v>
      </c>
    </row>
    <row r="85" spans="1:13" ht="15.75" customHeight="1" x14ac:dyDescent="0.25">
      <c r="I85" s="10" t="s">
        <v>315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316</v>
      </c>
      <c r="J86" s="13">
        <f>S80</f>
        <v>480</v>
      </c>
      <c r="K86" s="14"/>
    </row>
    <row r="87" spans="1:13" x14ac:dyDescent="0.25">
      <c r="I87" s="12" t="s">
        <v>317</v>
      </c>
      <c r="J87" s="13">
        <f>T79</f>
        <v>0</v>
      </c>
      <c r="K87" s="14"/>
    </row>
    <row r="88" spans="1:13" x14ac:dyDescent="0.25">
      <c r="I88" s="12" t="s">
        <v>318</v>
      </c>
      <c r="J88" s="13">
        <f>U79</f>
        <v>0</v>
      </c>
      <c r="K88" s="14"/>
    </row>
    <row r="89" spans="1:13" x14ac:dyDescent="0.25">
      <c r="I89" s="12" t="s">
        <v>319</v>
      </c>
      <c r="J89" s="13">
        <f>V79</f>
        <v>0</v>
      </c>
      <c r="K89" s="14"/>
    </row>
    <row r="90" spans="1:13" ht="15.75" customHeight="1" x14ac:dyDescent="0.25">
      <c r="I90" s="15" t="s">
        <v>320</v>
      </c>
      <c r="J90" s="16"/>
      <c r="K90" s="16"/>
    </row>
    <row r="91" spans="1:13" ht="15.75" customHeight="1" x14ac:dyDescent="0.25">
      <c r="I91" s="17" t="s">
        <v>321</v>
      </c>
      <c r="J91" s="16"/>
      <c r="K91" s="16"/>
    </row>
    <row r="92" spans="1:13" ht="21" customHeight="1" x14ac:dyDescent="0.35">
      <c r="I92" s="18" t="s">
        <v>322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323</v>
      </c>
    </row>
    <row r="95" spans="1:13" s="4" customFormat="1" x14ac:dyDescent="0.25">
      <c r="A95" s="2" t="s">
        <v>19</v>
      </c>
      <c r="B95" s="2" t="s">
        <v>94</v>
      </c>
      <c r="C95" s="2" t="s">
        <v>95</v>
      </c>
      <c r="D95" s="2" t="s">
        <v>96</v>
      </c>
      <c r="E95" s="2" t="s">
        <v>97</v>
      </c>
      <c r="F95" s="2" t="s">
        <v>98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99</v>
      </c>
    </row>
    <row r="96" spans="1:13" s="4" customFormat="1" x14ac:dyDescent="0.25">
      <c r="A96" s="2" t="s">
        <v>19</v>
      </c>
      <c r="B96" s="2" t="s">
        <v>135</v>
      </c>
      <c r="C96" s="2" t="s">
        <v>136</v>
      </c>
      <c r="D96" s="2" t="s">
        <v>137</v>
      </c>
      <c r="E96" s="2" t="s">
        <v>134</v>
      </c>
      <c r="F96" s="2">
        <v>10</v>
      </c>
      <c r="G96" s="2">
        <v>915</v>
      </c>
      <c r="H96" s="2">
        <v>0</v>
      </c>
      <c r="I96" s="2">
        <f>G96-H96</f>
        <v>915</v>
      </c>
      <c r="J96" s="2" t="s">
        <v>125</v>
      </c>
      <c r="K96" s="2" t="s">
        <v>25</v>
      </c>
      <c r="L96" s="2" t="s">
        <v>26</v>
      </c>
      <c r="M96" s="3" t="s">
        <v>138</v>
      </c>
    </row>
    <row r="97" spans="1:13" s="4" customFormat="1" x14ac:dyDescent="0.25">
      <c r="A97" s="2" t="s">
        <v>19</v>
      </c>
      <c r="B97" s="2" t="s">
        <v>174</v>
      </c>
      <c r="C97" s="2" t="s">
        <v>175</v>
      </c>
      <c r="D97" s="2" t="s">
        <v>176</v>
      </c>
      <c r="E97" s="2" t="s">
        <v>177</v>
      </c>
      <c r="F97" s="2">
        <v>6</v>
      </c>
      <c r="G97" s="2">
        <v>695</v>
      </c>
      <c r="H97" s="2">
        <v>0</v>
      </c>
      <c r="I97" s="2">
        <f>G97-H97</f>
        <v>695</v>
      </c>
      <c r="J97" s="2" t="s">
        <v>178</v>
      </c>
      <c r="K97" s="2" t="s">
        <v>25</v>
      </c>
      <c r="L97" s="2" t="s">
        <v>26</v>
      </c>
      <c r="M97" s="3" t="s">
        <v>99</v>
      </c>
    </row>
    <row r="98" spans="1:13" s="4" customFormat="1" x14ac:dyDescent="0.25">
      <c r="A98" s="2" t="s">
        <v>19</v>
      </c>
      <c r="B98" s="2" t="s">
        <v>182</v>
      </c>
      <c r="C98" s="2" t="s">
        <v>183</v>
      </c>
      <c r="D98" s="2" t="s">
        <v>184</v>
      </c>
      <c r="E98" s="2" t="s">
        <v>185</v>
      </c>
      <c r="F98" s="2">
        <v>6</v>
      </c>
      <c r="G98" s="2">
        <v>400</v>
      </c>
      <c r="H98" s="2">
        <v>0</v>
      </c>
      <c r="I98" s="2">
        <f>G98-H98</f>
        <v>400</v>
      </c>
      <c r="J98" s="2" t="s">
        <v>178</v>
      </c>
      <c r="K98" s="2" t="s">
        <v>25</v>
      </c>
      <c r="L98" s="2" t="s">
        <v>26</v>
      </c>
      <c r="M98" s="3" t="s">
        <v>186</v>
      </c>
    </row>
    <row r="100" spans="1:13" x14ac:dyDescent="0.25">
      <c r="A100" s="4" t="s">
        <v>311</v>
      </c>
    </row>
    <row r="101" spans="1:13" x14ac:dyDescent="0.25">
      <c r="A101" s="2" t="s">
        <v>19</v>
      </c>
      <c r="B101" s="2" t="s">
        <v>324</v>
      </c>
      <c r="C101" s="2" t="s">
        <v>325</v>
      </c>
      <c r="D101" s="2" t="s">
        <v>326</v>
      </c>
      <c r="E101" s="2" t="s">
        <v>327</v>
      </c>
      <c r="F101" s="2">
        <v>7</v>
      </c>
      <c r="G101" s="2">
        <v>100</v>
      </c>
      <c r="H101" s="2">
        <v>0</v>
      </c>
      <c r="I101" s="2">
        <f>G101-H101</f>
        <v>100</v>
      </c>
      <c r="J101" s="2" t="s">
        <v>24</v>
      </c>
      <c r="K101" s="2" t="s">
        <v>25</v>
      </c>
      <c r="L101" s="2" t="s">
        <v>328</v>
      </c>
      <c r="M101" s="3" t="s">
        <v>329</v>
      </c>
    </row>
  </sheetData>
  <autoFilter ref="A2:Q78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4" workbookViewId="0">
      <selection activeCell="A7" sqref="A7:XFD8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125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125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125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131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125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125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125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125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125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98</v>
      </c>
      <c r="H11" s="5">
        <v>845</v>
      </c>
      <c r="I11" s="5">
        <v>25</v>
      </c>
      <c r="J11" s="5">
        <f t="shared" si="0"/>
        <v>820</v>
      </c>
      <c r="K11" s="5" t="s">
        <v>125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98</v>
      </c>
      <c r="H12" s="5">
        <v>1045</v>
      </c>
      <c r="I12" s="5">
        <v>25</v>
      </c>
      <c r="J12" s="5">
        <f t="shared" si="0"/>
        <v>1020</v>
      </c>
      <c r="K12" s="5" t="s">
        <v>125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98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98</v>
      </c>
      <c r="H14" s="5">
        <v>945</v>
      </c>
      <c r="I14" s="5">
        <v>25</v>
      </c>
      <c r="J14" s="5">
        <f t="shared" si="0"/>
        <v>920</v>
      </c>
      <c r="K14" s="5" t="s">
        <v>125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98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232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240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240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240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240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240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240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281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286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286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286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306</v>
      </c>
      <c r="D38" s="5" t="s">
        <v>455</v>
      </c>
      <c r="E38" s="5" t="s">
        <v>308</v>
      </c>
      <c r="F38" s="5" t="s">
        <v>309</v>
      </c>
      <c r="G38" s="5" t="s">
        <v>286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286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58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58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70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70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91</v>
      </c>
      <c r="B46" s="5" t="s">
        <v>19</v>
      </c>
      <c r="C46" s="5" t="s">
        <v>482</v>
      </c>
      <c r="D46" s="5"/>
      <c r="E46" s="5" t="s">
        <v>483</v>
      </c>
      <c r="F46" s="5" t="s">
        <v>93</v>
      </c>
      <c r="G46" s="5" t="s">
        <v>70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115</v>
      </c>
      <c r="G47" s="5" t="s">
        <v>103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 t="shared" ref="H49:S49" si="1">SUBTOTAL(9,H3:H48)</f>
        <v>30780</v>
      </c>
      <c r="I49">
        <f t="shared" si="1"/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313</v>
      </c>
      <c r="K53" s="9" t="s">
        <v>314</v>
      </c>
    </row>
    <row r="54" spans="1:19" ht="15.75" customHeight="1" x14ac:dyDescent="0.25">
      <c r="I54" s="10" t="s">
        <v>315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316</v>
      </c>
      <c r="J55" s="13">
        <f>S49</f>
        <v>260</v>
      </c>
      <c r="K55" s="14"/>
    </row>
    <row r="56" spans="1:19" x14ac:dyDescent="0.25">
      <c r="I56" s="12" t="s">
        <v>317</v>
      </c>
      <c r="J56" s="13">
        <f>T48</f>
        <v>0</v>
      </c>
      <c r="K56" s="14"/>
    </row>
    <row r="57" spans="1:19" x14ac:dyDescent="0.25">
      <c r="I57" s="12" t="s">
        <v>318</v>
      </c>
      <c r="J57" s="13">
        <f>U48</f>
        <v>0</v>
      </c>
      <c r="K57" s="14"/>
    </row>
    <row r="58" spans="1:19" x14ac:dyDescent="0.25">
      <c r="I58" s="12" t="s">
        <v>319</v>
      </c>
      <c r="J58" s="13">
        <f>V48</f>
        <v>0</v>
      </c>
      <c r="K58" s="14"/>
    </row>
    <row r="59" spans="1:19" ht="15.75" customHeight="1" x14ac:dyDescent="0.25">
      <c r="I59" s="15" t="s">
        <v>320</v>
      </c>
      <c r="J59" s="16"/>
      <c r="K59" s="16"/>
    </row>
    <row r="60" spans="1:19" ht="15.75" customHeight="1" x14ac:dyDescent="0.25">
      <c r="I60" s="17" t="s">
        <v>321</v>
      </c>
      <c r="J60" s="16"/>
      <c r="K60" s="16"/>
    </row>
    <row r="61" spans="1:19" ht="21" customHeight="1" x14ac:dyDescent="0.35">
      <c r="I61" s="18" t="s">
        <v>322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240</v>
      </c>
      <c r="G63" s="2">
        <v>470</v>
      </c>
      <c r="H63" s="2">
        <v>0</v>
      </c>
      <c r="I63" s="2">
        <f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125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125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125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125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125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125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69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35</v>
      </c>
      <c r="F14" s="5" t="s">
        <v>36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48</v>
      </c>
      <c r="D16" s="5" t="s">
        <v>534</v>
      </c>
      <c r="E16" s="5" t="s">
        <v>50</v>
      </c>
      <c r="F16" s="5" t="s">
        <v>47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58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58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58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65</v>
      </c>
      <c r="G20" s="5" t="s">
        <v>58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70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103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120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179</v>
      </c>
      <c r="D25" s="5"/>
      <c r="E25" s="5" t="s">
        <v>561</v>
      </c>
      <c r="F25" s="5" t="s">
        <v>181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53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216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228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240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286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286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286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286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286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 t="shared" ref="H49:T49" si="1">SUBTOTAL(9,H3:H48)</f>
        <v>27920</v>
      </c>
      <c r="I49">
        <f t="shared" si="1"/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313</v>
      </c>
      <c r="K53" s="9" t="s">
        <v>314</v>
      </c>
    </row>
    <row r="54" spans="1:20" ht="15.75" customHeight="1" x14ac:dyDescent="0.25">
      <c r="I54" s="10" t="s">
        <v>315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316</v>
      </c>
      <c r="J55" s="13">
        <f>S49</f>
        <v>335</v>
      </c>
      <c r="K55" s="14"/>
    </row>
    <row r="56" spans="1:20" x14ac:dyDescent="0.25">
      <c r="I56" s="12" t="s">
        <v>317</v>
      </c>
      <c r="J56" s="13">
        <f>T48</f>
        <v>0</v>
      </c>
      <c r="K56" s="14"/>
    </row>
    <row r="57" spans="1:20" x14ac:dyDescent="0.25">
      <c r="I57" s="12" t="s">
        <v>318</v>
      </c>
      <c r="J57" s="13">
        <f>U48</f>
        <v>0</v>
      </c>
      <c r="K57" s="14"/>
    </row>
    <row r="58" spans="1:20" x14ac:dyDescent="0.25">
      <c r="I58" s="12" t="s">
        <v>319</v>
      </c>
      <c r="J58" s="13">
        <f>V48</f>
        <v>0</v>
      </c>
      <c r="K58" s="14"/>
    </row>
    <row r="59" spans="1:20" ht="15.75" customHeight="1" x14ac:dyDescent="0.25">
      <c r="I59" s="15" t="s">
        <v>320</v>
      </c>
      <c r="J59" s="16"/>
      <c r="K59" s="16"/>
    </row>
    <row r="60" spans="1:20" ht="15.75" customHeight="1" x14ac:dyDescent="0.25">
      <c r="I60" s="17" t="s">
        <v>321</v>
      </c>
      <c r="J60" s="16"/>
      <c r="K60" s="16"/>
    </row>
    <row r="61" spans="1:20" ht="21" customHeight="1" x14ac:dyDescent="0.35">
      <c r="I61" s="18" t="s">
        <v>322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641</v>
      </c>
      <c r="D3" s="5" t="s">
        <v>642</v>
      </c>
      <c r="E3" s="5">
        <v>101</v>
      </c>
      <c r="F3" s="5" t="s">
        <v>643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125</v>
      </c>
      <c r="L3" s="5" t="s">
        <v>25</v>
      </c>
      <c r="M3" s="5" t="s">
        <v>644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645</v>
      </c>
      <c r="D4" s="5" t="s">
        <v>646</v>
      </c>
      <c r="E4" s="5">
        <v>263</v>
      </c>
      <c r="F4" s="5" t="s">
        <v>647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125</v>
      </c>
      <c r="L4" s="5" t="s">
        <v>25</v>
      </c>
      <c r="M4" s="5" t="s">
        <v>644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648</v>
      </c>
      <c r="D5" s="5" t="s">
        <v>649</v>
      </c>
      <c r="E5" s="5" t="s">
        <v>650</v>
      </c>
      <c r="F5" s="5" t="s">
        <v>651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125</v>
      </c>
      <c r="L5" s="5" t="s">
        <v>25</v>
      </c>
      <c r="M5" s="5" t="s">
        <v>644</v>
      </c>
      <c r="N5" s="6" t="s">
        <v>652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653</v>
      </c>
      <c r="D6" s="5" t="s">
        <v>654</v>
      </c>
      <c r="E6" s="5" t="s">
        <v>655</v>
      </c>
      <c r="F6" s="5" t="s">
        <v>163</v>
      </c>
      <c r="G6" s="5" t="s">
        <v>70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644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656</v>
      </c>
      <c r="D7" s="5" t="s">
        <v>657</v>
      </c>
      <c r="E7" s="5" t="s">
        <v>658</v>
      </c>
      <c r="F7" s="5" t="s">
        <v>659</v>
      </c>
      <c r="G7" s="5" t="s">
        <v>151</v>
      </c>
      <c r="H7" s="5">
        <v>1060</v>
      </c>
      <c r="I7" s="5">
        <v>20</v>
      </c>
      <c r="J7" s="5">
        <f t="shared" si="0"/>
        <v>1040</v>
      </c>
      <c r="K7" s="5" t="s">
        <v>125</v>
      </c>
      <c r="L7" s="5" t="s">
        <v>25</v>
      </c>
      <c r="M7" s="5" t="s">
        <v>644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660</v>
      </c>
      <c r="D8" s="5" t="s">
        <v>661</v>
      </c>
      <c r="E8" s="5" t="s">
        <v>662</v>
      </c>
      <c r="F8" s="5" t="s">
        <v>97</v>
      </c>
      <c r="G8" s="5" t="s">
        <v>98</v>
      </c>
      <c r="H8" s="5">
        <v>1065</v>
      </c>
      <c r="I8" s="5">
        <v>25</v>
      </c>
      <c r="J8" s="5">
        <f t="shared" si="0"/>
        <v>1040</v>
      </c>
      <c r="K8" s="5" t="s">
        <v>125</v>
      </c>
      <c r="L8" s="5" t="s">
        <v>25</v>
      </c>
      <c r="M8" s="5" t="s">
        <v>644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663</v>
      </c>
      <c r="D9" s="5" t="s">
        <v>664</v>
      </c>
      <c r="E9" s="5">
        <v>19</v>
      </c>
      <c r="F9" s="5" t="s">
        <v>173</v>
      </c>
      <c r="G9" s="5" t="s">
        <v>98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644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665</v>
      </c>
      <c r="D10" s="5"/>
      <c r="E10" s="5" t="s">
        <v>666</v>
      </c>
      <c r="F10" s="5" t="s">
        <v>667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120</v>
      </c>
      <c r="L10" s="5" t="s">
        <v>25</v>
      </c>
      <c r="M10" s="5" t="s">
        <v>644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668</v>
      </c>
      <c r="D11" s="5"/>
      <c r="E11" s="5" t="s">
        <v>669</v>
      </c>
      <c r="F11" s="5" t="s">
        <v>670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120</v>
      </c>
      <c r="L11" s="5" t="s">
        <v>25</v>
      </c>
      <c r="M11" s="5" t="s">
        <v>644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671</v>
      </c>
      <c r="D12" s="5" t="s">
        <v>672</v>
      </c>
      <c r="E12" s="5">
        <v>1</v>
      </c>
      <c r="F12" s="5" t="s">
        <v>243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644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673</v>
      </c>
      <c r="D13" s="5" t="s">
        <v>674</v>
      </c>
      <c r="E13" s="5" t="s">
        <v>675</v>
      </c>
      <c r="F13" s="5" t="s">
        <v>676</v>
      </c>
      <c r="G13" s="5" t="s">
        <v>58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644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677</v>
      </c>
      <c r="D14" s="20" t="s">
        <v>678</v>
      </c>
      <c r="E14" s="20" t="s">
        <v>679</v>
      </c>
      <c r="F14" s="20" t="s">
        <v>670</v>
      </c>
      <c r="G14" s="20" t="s">
        <v>58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644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680</v>
      </c>
      <c r="D15" s="5" t="s">
        <v>681</v>
      </c>
      <c r="E15" s="5">
        <v>13</v>
      </c>
      <c r="F15" s="5" t="s">
        <v>682</v>
      </c>
      <c r="G15" s="5" t="s">
        <v>70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683</v>
      </c>
      <c r="D16" s="5" t="s">
        <v>684</v>
      </c>
      <c r="E16" s="5" t="s">
        <v>685</v>
      </c>
      <c r="F16" s="5" t="s">
        <v>686</v>
      </c>
      <c r="G16" s="5" t="s">
        <v>70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687</v>
      </c>
      <c r="D17" s="5" t="s">
        <v>688</v>
      </c>
      <c r="E17" s="5" t="s">
        <v>689</v>
      </c>
      <c r="F17" s="5" t="s">
        <v>690</v>
      </c>
      <c r="G17" s="5" t="s">
        <v>103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644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687</v>
      </c>
      <c r="D18" s="5" t="s">
        <v>691</v>
      </c>
      <c r="E18" s="5" t="s">
        <v>689</v>
      </c>
      <c r="F18" s="5" t="s">
        <v>690</v>
      </c>
      <c r="G18" s="5" t="s">
        <v>103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692</v>
      </c>
      <c r="D19" s="5" t="s">
        <v>693</v>
      </c>
      <c r="E19" s="5">
        <v>148</v>
      </c>
      <c r="F19" s="5" t="s">
        <v>694</v>
      </c>
      <c r="G19" s="5" t="s">
        <v>103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644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71</v>
      </c>
      <c r="D20" s="5" t="s">
        <v>695</v>
      </c>
      <c r="E20" s="5" t="s">
        <v>73</v>
      </c>
      <c r="F20" s="5" t="s">
        <v>74</v>
      </c>
      <c r="G20" s="5" t="s">
        <v>70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696</v>
      </c>
      <c r="D21" s="5" t="s">
        <v>697</v>
      </c>
      <c r="E21" s="5" t="s">
        <v>698</v>
      </c>
      <c r="F21" s="5" t="s">
        <v>481</v>
      </c>
      <c r="G21" s="5" t="s">
        <v>70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699</v>
      </c>
      <c r="D23" s="5" t="s">
        <v>700</v>
      </c>
      <c r="E23" s="5" t="s">
        <v>701</v>
      </c>
      <c r="F23" s="5" t="s">
        <v>702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703</v>
      </c>
      <c r="L23" s="5" t="s">
        <v>25</v>
      </c>
      <c r="M23" s="5" t="s">
        <v>644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704</v>
      </c>
      <c r="D24" s="5" t="s">
        <v>705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703</v>
      </c>
      <c r="L24" s="5" t="s">
        <v>25</v>
      </c>
      <c r="M24" s="5" t="s">
        <v>644</v>
      </c>
      <c r="N24" s="6" t="s">
        <v>706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707</v>
      </c>
      <c r="D25" s="5" t="s">
        <v>708</v>
      </c>
      <c r="E25" s="5" t="s">
        <v>326</v>
      </c>
      <c r="F25" s="5" t="s">
        <v>709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703</v>
      </c>
      <c r="L25" s="5" t="s">
        <v>25</v>
      </c>
      <c r="M25" s="5" t="s">
        <v>644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703</v>
      </c>
      <c r="L26" s="5" t="s">
        <v>25</v>
      </c>
      <c r="M26" s="5" t="s">
        <v>644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703</v>
      </c>
      <c r="L27" s="20" t="s">
        <v>25</v>
      </c>
      <c r="M27" s="20" t="s">
        <v>644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703</v>
      </c>
      <c r="L28" s="5" t="s">
        <v>25</v>
      </c>
      <c r="M28" s="5" t="s">
        <v>644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212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703</v>
      </c>
      <c r="L29" s="5" t="s">
        <v>25</v>
      </c>
      <c r="M29" s="5" t="s">
        <v>644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703</v>
      </c>
      <c r="L30" s="5" t="s">
        <v>25</v>
      </c>
      <c r="M30" s="5" t="s">
        <v>644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246</v>
      </c>
      <c r="G31" s="5" t="s">
        <v>240</v>
      </c>
      <c r="H31" s="5">
        <v>610</v>
      </c>
      <c r="I31" s="5">
        <v>30</v>
      </c>
      <c r="J31" s="5">
        <f t="shared" si="0"/>
        <v>580</v>
      </c>
      <c r="K31" s="5" t="s">
        <v>703</v>
      </c>
      <c r="L31" s="5" t="s">
        <v>25</v>
      </c>
      <c r="M31" s="5" t="s">
        <v>644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244</v>
      </c>
      <c r="D32" s="5" t="s">
        <v>726</v>
      </c>
      <c r="E32" s="5">
        <v>17</v>
      </c>
      <c r="F32" s="5" t="s">
        <v>246</v>
      </c>
      <c r="G32" s="5" t="s">
        <v>240</v>
      </c>
      <c r="H32" s="5">
        <v>0</v>
      </c>
      <c r="I32" s="5">
        <v>30</v>
      </c>
      <c r="J32" s="5">
        <f t="shared" si="0"/>
        <v>-30</v>
      </c>
      <c r="K32" s="5" t="s">
        <v>703</v>
      </c>
      <c r="L32" s="5" t="s">
        <v>25</v>
      </c>
      <c r="M32" s="5" t="s">
        <v>644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240</v>
      </c>
      <c r="H33" s="5">
        <v>590</v>
      </c>
      <c r="I33" s="5">
        <v>30</v>
      </c>
      <c r="J33" s="5">
        <f t="shared" si="0"/>
        <v>560</v>
      </c>
      <c r="K33" s="5" t="s">
        <v>703</v>
      </c>
      <c r="L33" s="5" t="s">
        <v>25</v>
      </c>
      <c r="M33" s="5" t="s">
        <v>644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98</v>
      </c>
      <c r="H34" s="5">
        <v>405</v>
      </c>
      <c r="I34" s="5">
        <v>25</v>
      </c>
      <c r="J34" s="5">
        <f t="shared" si="0"/>
        <v>380</v>
      </c>
      <c r="K34" s="5" t="s">
        <v>703</v>
      </c>
      <c r="L34" s="5" t="s">
        <v>25</v>
      </c>
      <c r="M34" s="5" t="s">
        <v>644</v>
      </c>
      <c r="N34" s="5"/>
      <c r="O34" s="5"/>
      <c r="P34" s="5"/>
      <c r="Q34" s="5"/>
      <c r="R34">
        <v>1</v>
      </c>
    </row>
    <row r="36" spans="1:20" x14ac:dyDescent="0.25">
      <c r="H36">
        <f t="shared" ref="H36:T36" si="1">SUBTOTAL(9,H3:H35)</f>
        <v>14595</v>
      </c>
      <c r="I36">
        <f t="shared" si="1"/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734</v>
      </c>
    </row>
    <row r="40" spans="1:20" ht="20.25" customHeight="1" x14ac:dyDescent="0.3">
      <c r="I40" s="7" t="s">
        <v>735</v>
      </c>
      <c r="J40" s="8" t="s">
        <v>313</v>
      </c>
      <c r="K40" s="9" t="s">
        <v>314</v>
      </c>
    </row>
    <row r="41" spans="1:20" ht="15.75" customHeight="1" x14ac:dyDescent="0.25">
      <c r="I41" s="10" t="s">
        <v>315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316</v>
      </c>
      <c r="J42" s="13">
        <f>S36</f>
        <v>145</v>
      </c>
      <c r="K42" s="14"/>
    </row>
    <row r="43" spans="1:20" x14ac:dyDescent="0.25">
      <c r="I43" s="12" t="s">
        <v>317</v>
      </c>
      <c r="J43" s="13">
        <f>T35</f>
        <v>0</v>
      </c>
      <c r="K43" s="14"/>
    </row>
    <row r="44" spans="1:20" x14ac:dyDescent="0.25">
      <c r="I44" s="12" t="s">
        <v>318</v>
      </c>
      <c r="J44" s="13">
        <f>U35</f>
        <v>0</v>
      </c>
      <c r="K44" s="14"/>
    </row>
    <row r="45" spans="1:20" x14ac:dyDescent="0.25">
      <c r="I45" s="12" t="s">
        <v>319</v>
      </c>
      <c r="J45" s="13">
        <f>V35</f>
        <v>0</v>
      </c>
      <c r="K45" s="14"/>
    </row>
    <row r="46" spans="1:20" ht="15.75" customHeight="1" x14ac:dyDescent="0.25">
      <c r="I46" s="15" t="s">
        <v>320</v>
      </c>
      <c r="J46" s="16"/>
      <c r="K46" s="16"/>
    </row>
    <row r="47" spans="1:20" ht="15.75" customHeight="1" x14ac:dyDescent="0.25">
      <c r="I47" s="17" t="s">
        <v>321</v>
      </c>
      <c r="J47" s="16"/>
      <c r="K47" s="16"/>
    </row>
    <row r="48" spans="1:20" ht="21" customHeight="1" x14ac:dyDescent="0.35">
      <c r="I48" s="18" t="s">
        <v>322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704</v>
      </c>
      <c r="C51" s="2" t="s">
        <v>705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>G51-H51</f>
        <v>880</v>
      </c>
      <c r="J51" s="2" t="s">
        <v>703</v>
      </c>
      <c r="K51" s="2" t="s">
        <v>25</v>
      </c>
      <c r="L51" s="2" t="s">
        <v>644</v>
      </c>
      <c r="M51" s="3" t="s">
        <v>706</v>
      </c>
    </row>
    <row r="52" spans="1:13" x14ac:dyDescent="0.25">
      <c r="A52" s="2" t="s">
        <v>19</v>
      </c>
      <c r="B52" s="2" t="s">
        <v>648</v>
      </c>
      <c r="C52" s="2" t="s">
        <v>649</v>
      </c>
      <c r="D52" s="2" t="s">
        <v>650</v>
      </c>
      <c r="E52" s="2" t="s">
        <v>651</v>
      </c>
      <c r="F52" s="2">
        <v>10</v>
      </c>
      <c r="G52" s="2">
        <v>1325</v>
      </c>
      <c r="H52" s="2">
        <v>0</v>
      </c>
      <c r="I52" s="2">
        <f>G52-H52</f>
        <v>1325</v>
      </c>
      <c r="J52" s="2" t="s">
        <v>125</v>
      </c>
      <c r="K52" s="2" t="s">
        <v>25</v>
      </c>
      <c r="L52" s="2" t="s">
        <v>644</v>
      </c>
      <c r="M52" s="3" t="s">
        <v>652</v>
      </c>
    </row>
  </sheetData>
  <autoFilter ref="A2:Q34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738</v>
      </c>
      <c r="D3" s="5" t="s">
        <v>739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125</v>
      </c>
      <c r="L3" s="5" t="s">
        <v>25</v>
      </c>
      <c r="M3" s="5" t="s">
        <v>740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741</v>
      </c>
      <c r="D4" s="5" t="s">
        <v>742</v>
      </c>
      <c r="E4" s="5">
        <v>78</v>
      </c>
      <c r="F4" s="5" t="s">
        <v>743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125</v>
      </c>
      <c r="L4" s="5" t="s">
        <v>25</v>
      </c>
      <c r="M4" s="5" t="s">
        <v>740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744</v>
      </c>
      <c r="D5" s="5" t="s">
        <v>745</v>
      </c>
      <c r="E5" s="5" t="s">
        <v>746</v>
      </c>
      <c r="F5" s="5" t="s">
        <v>747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125</v>
      </c>
      <c r="L5" s="5" t="s">
        <v>25</v>
      </c>
      <c r="M5" s="5" t="s">
        <v>740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748</v>
      </c>
      <c r="D6" s="5" t="s">
        <v>749</v>
      </c>
      <c r="E6" s="5">
        <v>485</v>
      </c>
      <c r="F6" s="5" t="s">
        <v>750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125</v>
      </c>
      <c r="L6" s="5" t="s">
        <v>25</v>
      </c>
      <c r="M6" s="5" t="s">
        <v>740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751</v>
      </c>
      <c r="D7" s="5" t="s">
        <v>752</v>
      </c>
      <c r="E7" s="5" t="s">
        <v>753</v>
      </c>
      <c r="F7" s="5" t="s">
        <v>754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125</v>
      </c>
      <c r="L7" s="5" t="s">
        <v>25</v>
      </c>
      <c r="M7" s="5" t="s">
        <v>740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755</v>
      </c>
      <c r="D8" s="5" t="s">
        <v>756</v>
      </c>
      <c r="E8" s="5">
        <v>101</v>
      </c>
      <c r="F8" s="5" t="s">
        <v>757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740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/>
      <c r="D9" s="5"/>
      <c r="E9" s="5" t="s">
        <v>758</v>
      </c>
      <c r="F9" s="5" t="s">
        <v>759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125</v>
      </c>
      <c r="L9" s="5" t="s">
        <v>25</v>
      </c>
      <c r="M9" s="5" t="s">
        <v>740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760</v>
      </c>
      <c r="D10" s="5" t="s">
        <v>761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125</v>
      </c>
      <c r="L10" s="5" t="s">
        <v>25</v>
      </c>
      <c r="M10" s="5" t="s">
        <v>740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762</v>
      </c>
      <c r="D11" s="5" t="s">
        <v>763</v>
      </c>
      <c r="E11" s="5" t="s">
        <v>764</v>
      </c>
      <c r="F11" s="5" t="s">
        <v>647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125</v>
      </c>
      <c r="L11" s="5" t="s">
        <v>25</v>
      </c>
      <c r="M11" s="5" t="s">
        <v>740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765</v>
      </c>
      <c r="D12" s="5" t="s">
        <v>766</v>
      </c>
      <c r="E12" s="5">
        <v>258</v>
      </c>
      <c r="F12" s="5" t="s">
        <v>767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740</v>
      </c>
      <c r="N12" s="6" t="s">
        <v>768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769</v>
      </c>
      <c r="D13" s="5" t="s">
        <v>770</v>
      </c>
      <c r="E13" s="5">
        <v>43</v>
      </c>
      <c r="F13" s="5" t="s">
        <v>750</v>
      </c>
      <c r="G13" s="5" t="s">
        <v>151</v>
      </c>
      <c r="H13" s="5">
        <v>1510</v>
      </c>
      <c r="I13" s="5">
        <v>20</v>
      </c>
      <c r="J13" s="5">
        <f t="shared" si="0"/>
        <v>1490</v>
      </c>
      <c r="K13" s="5" t="s">
        <v>125</v>
      </c>
      <c r="L13" s="5" t="s">
        <v>25</v>
      </c>
      <c r="M13" s="5" t="s">
        <v>740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656</v>
      </c>
      <c r="D14" s="5" t="s">
        <v>771</v>
      </c>
      <c r="E14" s="5" t="s">
        <v>658</v>
      </c>
      <c r="F14" s="5" t="s">
        <v>659</v>
      </c>
      <c r="G14" s="5" t="s">
        <v>151</v>
      </c>
      <c r="H14" s="5">
        <v>710</v>
      </c>
      <c r="I14" s="5">
        <v>20</v>
      </c>
      <c r="J14" s="5">
        <f t="shared" si="0"/>
        <v>690</v>
      </c>
      <c r="K14" s="5" t="s">
        <v>125</v>
      </c>
      <c r="L14" s="5" t="s">
        <v>25</v>
      </c>
      <c r="M14" s="5" t="s">
        <v>740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772</v>
      </c>
      <c r="D15" s="20" t="s">
        <v>773</v>
      </c>
      <c r="E15" s="20" t="s">
        <v>774</v>
      </c>
      <c r="F15" s="20" t="s">
        <v>775</v>
      </c>
      <c r="G15" s="20" t="s">
        <v>98</v>
      </c>
      <c r="H15" s="20">
        <v>2340</v>
      </c>
      <c r="I15" s="20">
        <v>30</v>
      </c>
      <c r="J15" s="20">
        <f t="shared" si="0"/>
        <v>2310</v>
      </c>
      <c r="K15" s="20" t="s">
        <v>125</v>
      </c>
      <c r="L15" s="20" t="s">
        <v>25</v>
      </c>
      <c r="M15" s="20" t="s">
        <v>740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776</v>
      </c>
      <c r="D16" s="5" t="s">
        <v>777</v>
      </c>
      <c r="E16" s="5">
        <v>30</v>
      </c>
      <c r="F16" s="5" t="s">
        <v>778</v>
      </c>
      <c r="G16" s="5" t="s">
        <v>98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740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91</v>
      </c>
      <c r="B17" s="5" t="s">
        <v>19</v>
      </c>
      <c r="C17" s="5" t="s">
        <v>779</v>
      </c>
      <c r="D17" s="5"/>
      <c r="E17" s="5" t="s">
        <v>662</v>
      </c>
      <c r="F17" s="5" t="s">
        <v>780</v>
      </c>
      <c r="G17" s="5" t="s">
        <v>98</v>
      </c>
      <c r="H17" s="5">
        <v>30</v>
      </c>
      <c r="I17" s="5">
        <v>30</v>
      </c>
      <c r="J17" s="5">
        <f t="shared" si="0"/>
        <v>0</v>
      </c>
      <c r="K17" s="5" t="s">
        <v>125</v>
      </c>
      <c r="L17" s="5" t="s">
        <v>25</v>
      </c>
      <c r="M17" s="5" t="s">
        <v>740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781</v>
      </c>
      <c r="D18" s="5" t="s">
        <v>782</v>
      </c>
      <c r="E18" s="5">
        <v>17</v>
      </c>
      <c r="F18" s="5" t="s">
        <v>783</v>
      </c>
      <c r="G18" s="5" t="s">
        <v>98</v>
      </c>
      <c r="H18" s="5">
        <v>915</v>
      </c>
      <c r="I18" s="5">
        <v>25</v>
      </c>
      <c r="J18" s="5">
        <f t="shared" si="0"/>
        <v>890</v>
      </c>
      <c r="K18" s="5" t="s">
        <v>125</v>
      </c>
      <c r="L18" s="5" t="s">
        <v>25</v>
      </c>
      <c r="M18" s="5" t="s">
        <v>740</v>
      </c>
      <c r="N18" s="5"/>
      <c r="O18" s="5"/>
      <c r="P18" s="5"/>
      <c r="Q18" s="5"/>
      <c r="R18">
        <v>1</v>
      </c>
    </row>
    <row r="19" spans="1:18" x14ac:dyDescent="0.25">
      <c r="A19" s="5" t="s">
        <v>91</v>
      </c>
      <c r="B19" s="5" t="s">
        <v>19</v>
      </c>
      <c r="C19" s="5" t="s">
        <v>171</v>
      </c>
      <c r="D19" s="5"/>
      <c r="E19" s="5" t="s">
        <v>172</v>
      </c>
      <c r="F19" s="5" t="s">
        <v>173</v>
      </c>
      <c r="G19" s="5" t="s">
        <v>98</v>
      </c>
      <c r="H19" s="5">
        <v>30</v>
      </c>
      <c r="I19" s="5">
        <v>30</v>
      </c>
      <c r="J19" s="5">
        <f t="shared" si="0"/>
        <v>0</v>
      </c>
      <c r="K19" s="5" t="s">
        <v>125</v>
      </c>
      <c r="L19" s="5" t="s">
        <v>25</v>
      </c>
      <c r="M19" s="5" t="s">
        <v>740</v>
      </c>
      <c r="N19" s="5"/>
      <c r="O19" s="5"/>
      <c r="P19" s="5"/>
      <c r="Q19" s="5"/>
      <c r="R19">
        <v>1</v>
      </c>
    </row>
    <row r="20" spans="1:18" x14ac:dyDescent="0.25">
      <c r="A20" s="5" t="s">
        <v>91</v>
      </c>
      <c r="B20" s="5" t="s">
        <v>19</v>
      </c>
      <c r="C20" s="5" t="s">
        <v>622</v>
      </c>
      <c r="D20" s="5"/>
      <c r="E20" s="5">
        <v>40</v>
      </c>
      <c r="F20" s="5" t="s">
        <v>784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785</v>
      </c>
      <c r="L20" s="5" t="s">
        <v>25</v>
      </c>
      <c r="M20" s="5" t="s">
        <v>740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786</v>
      </c>
      <c r="D21" s="5" t="s">
        <v>787</v>
      </c>
      <c r="E21" s="5">
        <v>56</v>
      </c>
      <c r="F21" s="5" t="s">
        <v>788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785</v>
      </c>
      <c r="L21" s="5" t="s">
        <v>25</v>
      </c>
      <c r="M21" s="5" t="s">
        <v>740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789</v>
      </c>
      <c r="D22" s="5" t="s">
        <v>790</v>
      </c>
      <c r="E22" s="5">
        <v>20</v>
      </c>
      <c r="F22" s="5" t="s">
        <v>791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785</v>
      </c>
      <c r="L22" s="5" t="s">
        <v>25</v>
      </c>
      <c r="M22" s="5" t="s">
        <v>740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792</v>
      </c>
      <c r="D23" s="5" t="s">
        <v>793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785</v>
      </c>
      <c r="L23" s="5" t="s">
        <v>25</v>
      </c>
      <c r="M23" s="5" t="s">
        <v>740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794</v>
      </c>
      <c r="D24" s="5" t="s">
        <v>795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785</v>
      </c>
      <c r="L24" s="5" t="s">
        <v>25</v>
      </c>
      <c r="M24" s="5" t="s">
        <v>740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796</v>
      </c>
      <c r="D25" s="5" t="s">
        <v>797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785</v>
      </c>
      <c r="L25" s="5" t="s">
        <v>25</v>
      </c>
      <c r="M25" s="5" t="s">
        <v>740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798</v>
      </c>
      <c r="D26" s="5" t="s">
        <v>799</v>
      </c>
      <c r="E26" s="5" t="s">
        <v>800</v>
      </c>
      <c r="F26" s="5" t="s">
        <v>801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785</v>
      </c>
      <c r="L26" s="5" t="s">
        <v>25</v>
      </c>
      <c r="M26" s="5" t="s">
        <v>740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802</v>
      </c>
      <c r="D27" s="5" t="s">
        <v>803</v>
      </c>
      <c r="E27" s="5" t="s">
        <v>804</v>
      </c>
      <c r="F27" s="5" t="s">
        <v>805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785</v>
      </c>
      <c r="L27" s="5" t="s">
        <v>25</v>
      </c>
      <c r="M27" s="5" t="s">
        <v>740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806</v>
      </c>
      <c r="D28" s="5" t="s">
        <v>807</v>
      </c>
      <c r="E28" s="5" t="s">
        <v>808</v>
      </c>
      <c r="F28" s="5" t="s">
        <v>809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785</v>
      </c>
      <c r="L28" s="5" t="s">
        <v>25</v>
      </c>
      <c r="M28" s="5" t="s">
        <v>740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810</v>
      </c>
      <c r="D29" s="5" t="s">
        <v>811</v>
      </c>
      <c r="E29" s="5" t="s">
        <v>812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785</v>
      </c>
      <c r="L29" s="5" t="s">
        <v>25</v>
      </c>
      <c r="M29" s="5" t="s">
        <v>740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813</v>
      </c>
      <c r="D30" s="5" t="s">
        <v>814</v>
      </c>
      <c r="E30" s="5" t="s">
        <v>815</v>
      </c>
      <c r="F30" s="5" t="s">
        <v>816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785</v>
      </c>
      <c r="L30" s="5" t="s">
        <v>25</v>
      </c>
      <c r="M30" s="5" t="s">
        <v>740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229</v>
      </c>
      <c r="D31" s="5" t="s">
        <v>817</v>
      </c>
      <c r="E31" s="5">
        <v>67</v>
      </c>
      <c r="F31" s="5" t="s">
        <v>231</v>
      </c>
      <c r="G31" s="5" t="s">
        <v>232</v>
      </c>
      <c r="H31" s="5">
        <v>825</v>
      </c>
      <c r="I31" s="5">
        <v>35</v>
      </c>
      <c r="J31" s="5">
        <f t="shared" si="0"/>
        <v>790</v>
      </c>
      <c r="K31" s="5" t="s">
        <v>785</v>
      </c>
      <c r="L31" s="5" t="s">
        <v>25</v>
      </c>
      <c r="M31" s="5" t="s">
        <v>740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818</v>
      </c>
      <c r="D32" s="5" t="s">
        <v>819</v>
      </c>
      <c r="E32" s="5">
        <v>114</v>
      </c>
      <c r="F32" s="5" t="s">
        <v>820</v>
      </c>
      <c r="G32" s="5" t="s">
        <v>240</v>
      </c>
      <c r="H32" s="5">
        <v>720</v>
      </c>
      <c r="I32" s="5">
        <v>30</v>
      </c>
      <c r="J32" s="5">
        <f t="shared" si="0"/>
        <v>690</v>
      </c>
      <c r="K32" s="5" t="s">
        <v>785</v>
      </c>
      <c r="L32" s="5" t="s">
        <v>25</v>
      </c>
      <c r="M32" s="5" t="s">
        <v>740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821</v>
      </c>
      <c r="D33" s="5" t="s">
        <v>822</v>
      </c>
      <c r="E33" s="5" t="s">
        <v>823</v>
      </c>
      <c r="F33" s="5" t="s">
        <v>262</v>
      </c>
      <c r="G33" s="5" t="s">
        <v>240</v>
      </c>
      <c r="H33" s="5">
        <v>0</v>
      </c>
      <c r="I33" s="5">
        <v>30</v>
      </c>
      <c r="J33" s="5">
        <f t="shared" si="0"/>
        <v>-30</v>
      </c>
      <c r="K33" s="5" t="s">
        <v>785</v>
      </c>
      <c r="L33" s="5" t="s">
        <v>25</v>
      </c>
      <c r="M33" s="5" t="s">
        <v>740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776</v>
      </c>
      <c r="D34" s="5" t="s">
        <v>824</v>
      </c>
      <c r="E34" s="5" t="s">
        <v>825</v>
      </c>
      <c r="F34" s="5" t="s">
        <v>826</v>
      </c>
      <c r="G34" s="5" t="s">
        <v>240</v>
      </c>
      <c r="H34" s="5">
        <v>880</v>
      </c>
      <c r="I34" s="5">
        <v>30</v>
      </c>
      <c r="J34" s="5">
        <f t="shared" si="0"/>
        <v>850</v>
      </c>
      <c r="K34" s="5" t="s">
        <v>785</v>
      </c>
      <c r="L34" s="5" t="s">
        <v>25</v>
      </c>
      <c r="M34" s="5" t="s">
        <v>740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827</v>
      </c>
      <c r="D35" s="5" t="s">
        <v>828</v>
      </c>
      <c r="E35" s="5" t="s">
        <v>829</v>
      </c>
      <c r="F35" s="5" t="s">
        <v>830</v>
      </c>
      <c r="G35" s="5" t="s">
        <v>240</v>
      </c>
      <c r="H35" s="5">
        <v>720</v>
      </c>
      <c r="I35" s="5">
        <v>30</v>
      </c>
      <c r="J35" s="5">
        <f t="shared" ref="J35:J59" si="1">H35-I35</f>
        <v>690</v>
      </c>
      <c r="K35" s="5" t="s">
        <v>785</v>
      </c>
      <c r="L35" s="5" t="s">
        <v>25</v>
      </c>
      <c r="M35" s="5" t="s">
        <v>740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831</v>
      </c>
      <c r="E36" s="5" t="s">
        <v>832</v>
      </c>
      <c r="F36" s="5" t="s">
        <v>618</v>
      </c>
      <c r="G36" s="5" t="s">
        <v>240</v>
      </c>
      <c r="H36" s="5">
        <v>520</v>
      </c>
      <c r="I36" s="5">
        <v>30</v>
      </c>
      <c r="J36" s="5">
        <f t="shared" si="1"/>
        <v>490</v>
      </c>
      <c r="K36" s="5" t="s">
        <v>785</v>
      </c>
      <c r="L36" s="5" t="s">
        <v>25</v>
      </c>
      <c r="M36" s="5" t="s">
        <v>740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833</v>
      </c>
      <c r="E37" s="20" t="s">
        <v>438</v>
      </c>
      <c r="F37" s="20" t="s">
        <v>439</v>
      </c>
      <c r="G37" s="20" t="s">
        <v>281</v>
      </c>
      <c r="H37" s="20">
        <v>0</v>
      </c>
      <c r="I37" s="20">
        <v>35</v>
      </c>
      <c r="J37" s="20">
        <f t="shared" si="1"/>
        <v>-35</v>
      </c>
      <c r="K37" s="20" t="s">
        <v>785</v>
      </c>
      <c r="L37" s="20" t="s">
        <v>25</v>
      </c>
      <c r="M37" s="20" t="s">
        <v>740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834</v>
      </c>
      <c r="D38" s="5" t="s">
        <v>835</v>
      </c>
      <c r="E38" s="5" t="s">
        <v>836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785</v>
      </c>
      <c r="L38" s="5" t="s">
        <v>25</v>
      </c>
      <c r="M38" s="5" t="s">
        <v>740</v>
      </c>
      <c r="N38" s="5"/>
      <c r="O38" s="5"/>
      <c r="P38" s="5"/>
      <c r="Q38" s="5"/>
      <c r="R38">
        <v>1</v>
      </c>
    </row>
    <row r="39" spans="1:19" x14ac:dyDescent="0.25">
      <c r="A39" s="5" t="s">
        <v>91</v>
      </c>
      <c r="B39" s="5" t="s">
        <v>19</v>
      </c>
      <c r="C39" s="5" t="s">
        <v>837</v>
      </c>
      <c r="D39" s="5"/>
      <c r="E39" s="5" t="s">
        <v>838</v>
      </c>
      <c r="F39" s="5" t="s">
        <v>759</v>
      </c>
      <c r="G39" s="5" t="s">
        <v>98</v>
      </c>
      <c r="H39" s="5">
        <v>0</v>
      </c>
      <c r="I39" s="5">
        <v>30</v>
      </c>
      <c r="J39" s="5">
        <f t="shared" si="1"/>
        <v>-30</v>
      </c>
      <c r="K39" s="5" t="s">
        <v>785</v>
      </c>
      <c r="L39" s="5" t="s">
        <v>25</v>
      </c>
      <c r="M39" s="5" t="s">
        <v>740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839</v>
      </c>
      <c r="E40" s="5" t="s">
        <v>840</v>
      </c>
      <c r="F40" s="5" t="s">
        <v>841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740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842</v>
      </c>
      <c r="D41" s="5" t="s">
        <v>843</v>
      </c>
      <c r="E41" s="5" t="s">
        <v>844</v>
      </c>
      <c r="F41" s="5" t="s">
        <v>845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740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846</v>
      </c>
      <c r="D42" s="5" t="s">
        <v>847</v>
      </c>
      <c r="E42" s="5" t="s">
        <v>848</v>
      </c>
      <c r="F42" s="5" t="s">
        <v>849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740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850</v>
      </c>
      <c r="D43" s="5" t="s">
        <v>851</v>
      </c>
      <c r="E43" s="5">
        <v>208</v>
      </c>
      <c r="F43" s="5" t="s">
        <v>62</v>
      </c>
      <c r="G43" s="5" t="s">
        <v>58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740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852</v>
      </c>
      <c r="D44" s="5" t="s">
        <v>853</v>
      </c>
      <c r="E44" s="5">
        <v>208</v>
      </c>
      <c r="F44" s="5" t="s">
        <v>62</v>
      </c>
      <c r="G44" s="5" t="s">
        <v>58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740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854</v>
      </c>
      <c r="D45" s="5" t="s">
        <v>855</v>
      </c>
      <c r="E45" s="5">
        <v>45</v>
      </c>
      <c r="F45" s="5" t="s">
        <v>856</v>
      </c>
      <c r="G45" s="5" t="s">
        <v>58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740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857</v>
      </c>
      <c r="D46" s="5" t="s">
        <v>858</v>
      </c>
      <c r="E46" s="5" t="s">
        <v>859</v>
      </c>
      <c r="F46" s="5" t="s">
        <v>860</v>
      </c>
      <c r="G46" s="5" t="s">
        <v>70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740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861</v>
      </c>
      <c r="D47" s="5" t="s">
        <v>862</v>
      </c>
      <c r="E47" s="5" t="s">
        <v>859</v>
      </c>
      <c r="F47" s="5" t="s">
        <v>860</v>
      </c>
      <c r="G47" s="5" t="s">
        <v>70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740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863</v>
      </c>
      <c r="D48" s="5" t="s">
        <v>864</v>
      </c>
      <c r="E48" s="5" t="s">
        <v>865</v>
      </c>
      <c r="F48" s="5" t="s">
        <v>86</v>
      </c>
      <c r="G48" s="5" t="s">
        <v>70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740</v>
      </c>
      <c r="N48" s="5"/>
      <c r="O48" s="5"/>
      <c r="P48" s="5"/>
      <c r="Q48" s="5"/>
      <c r="R48">
        <v>1</v>
      </c>
    </row>
    <row r="49" spans="1:20" x14ac:dyDescent="0.25">
      <c r="A49" s="5" t="s">
        <v>91</v>
      </c>
      <c r="B49" s="5" t="s">
        <v>19</v>
      </c>
      <c r="C49" s="5" t="s">
        <v>866</v>
      </c>
      <c r="D49" s="5"/>
      <c r="E49" s="5">
        <v>401</v>
      </c>
      <c r="F49" s="5" t="s">
        <v>481</v>
      </c>
      <c r="G49" s="5" t="s">
        <v>70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740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696</v>
      </c>
      <c r="D50" s="5" t="s">
        <v>867</v>
      </c>
      <c r="E50" s="5" t="s">
        <v>698</v>
      </c>
      <c r="F50" s="5" t="s">
        <v>481</v>
      </c>
      <c r="G50" s="5" t="s">
        <v>70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740</v>
      </c>
      <c r="N50" s="5"/>
      <c r="O50" s="5"/>
      <c r="P50" s="5"/>
      <c r="Q50" s="5"/>
      <c r="R50">
        <v>1</v>
      </c>
    </row>
    <row r="51" spans="1:20" x14ac:dyDescent="0.25">
      <c r="A51" s="5" t="s">
        <v>91</v>
      </c>
      <c r="B51" s="5" t="s">
        <v>19</v>
      </c>
      <c r="C51" s="5" t="s">
        <v>92</v>
      </c>
      <c r="D51" s="5"/>
      <c r="E51" s="5">
        <v>403</v>
      </c>
      <c r="F51" s="5" t="s">
        <v>93</v>
      </c>
      <c r="G51" s="5" t="s">
        <v>70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740</v>
      </c>
      <c r="N51" s="5"/>
      <c r="O51" s="5"/>
      <c r="P51" s="5"/>
      <c r="Q51" s="5"/>
      <c r="R51">
        <v>1</v>
      </c>
    </row>
    <row r="52" spans="1:20" x14ac:dyDescent="0.25">
      <c r="A52" s="5" t="s">
        <v>91</v>
      </c>
      <c r="B52" s="5" t="s">
        <v>19</v>
      </c>
      <c r="C52" s="5" t="s">
        <v>482</v>
      </c>
      <c r="D52" s="5"/>
      <c r="E52" s="5">
        <v>685</v>
      </c>
      <c r="F52" s="5" t="s">
        <v>93</v>
      </c>
      <c r="G52" s="5" t="s">
        <v>70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740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868</v>
      </c>
      <c r="D53" s="20" t="s">
        <v>869</v>
      </c>
      <c r="E53" s="20" t="s">
        <v>870</v>
      </c>
      <c r="F53" s="20" t="s">
        <v>871</v>
      </c>
      <c r="G53" s="20" t="s">
        <v>70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740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872</v>
      </c>
      <c r="D54" s="5" t="s">
        <v>873</v>
      </c>
      <c r="E54" s="5" t="s">
        <v>874</v>
      </c>
      <c r="F54" s="5" t="s">
        <v>875</v>
      </c>
      <c r="G54" s="5" t="s">
        <v>98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740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876</v>
      </c>
      <c r="D55" s="5" t="s">
        <v>877</v>
      </c>
      <c r="E55" s="5">
        <v>48</v>
      </c>
      <c r="F55" s="5" t="s">
        <v>878</v>
      </c>
      <c r="G55" s="5" t="s">
        <v>103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740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879</v>
      </c>
      <c r="D56" s="5" t="s">
        <v>880</v>
      </c>
      <c r="E56" s="5" t="s">
        <v>881</v>
      </c>
      <c r="F56" s="5" t="s">
        <v>882</v>
      </c>
      <c r="G56" s="5" t="s">
        <v>103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740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883</v>
      </c>
      <c r="D57" s="5" t="s">
        <v>884</v>
      </c>
      <c r="E57" s="5">
        <v>213</v>
      </c>
      <c r="F57" s="5" t="s">
        <v>218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120</v>
      </c>
      <c r="L57" s="5" t="s">
        <v>25</v>
      </c>
      <c r="M57" s="5" t="s">
        <v>740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885</v>
      </c>
      <c r="D58" s="5" t="s">
        <v>886</v>
      </c>
      <c r="E58" s="5" t="s">
        <v>887</v>
      </c>
      <c r="F58" s="5" t="s">
        <v>670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120</v>
      </c>
      <c r="L58" s="5" t="s">
        <v>25</v>
      </c>
      <c r="M58" s="5" t="s">
        <v>740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885</v>
      </c>
      <c r="D59" s="5" t="s">
        <v>888</v>
      </c>
      <c r="E59" s="5" t="s">
        <v>887</v>
      </c>
      <c r="F59" s="5" t="s">
        <v>670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120</v>
      </c>
      <c r="L59" s="5" t="s">
        <v>25</v>
      </c>
      <c r="M59" s="5" t="s">
        <v>740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 t="shared" ref="H61:T61" si="2">SUBTOTAL(9,H3:H60)</f>
        <v>43655</v>
      </c>
      <c r="I61">
        <f t="shared" si="2"/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311</v>
      </c>
    </row>
    <row r="63" spans="1:20" x14ac:dyDescent="0.25">
      <c r="J63">
        <v>-1300</v>
      </c>
      <c r="K63" t="s">
        <v>889</v>
      </c>
    </row>
    <row r="65" spans="1:13" ht="20.25" customHeight="1" x14ac:dyDescent="0.3">
      <c r="I65" s="7" t="s">
        <v>890</v>
      </c>
      <c r="J65" s="8" t="s">
        <v>313</v>
      </c>
      <c r="K65" s="9" t="s">
        <v>314</v>
      </c>
    </row>
    <row r="66" spans="1:13" ht="15.75" customHeight="1" x14ac:dyDescent="0.25">
      <c r="I66" s="10" t="s">
        <v>315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316</v>
      </c>
      <c r="J67" s="13">
        <f>S61</f>
        <v>310</v>
      </c>
      <c r="K67" s="14"/>
    </row>
    <row r="68" spans="1:13" x14ac:dyDescent="0.25">
      <c r="I68" s="12" t="s">
        <v>317</v>
      </c>
      <c r="J68" s="13">
        <f>T60</f>
        <v>0</v>
      </c>
      <c r="K68" s="14"/>
    </row>
    <row r="69" spans="1:13" x14ac:dyDescent="0.25">
      <c r="I69" s="12" t="s">
        <v>318</v>
      </c>
      <c r="J69" s="13">
        <f>U60</f>
        <v>0</v>
      </c>
      <c r="K69" s="14"/>
    </row>
    <row r="70" spans="1:13" x14ac:dyDescent="0.25">
      <c r="I70" s="12" t="s">
        <v>319</v>
      </c>
      <c r="J70" s="13">
        <f>V60</f>
        <v>0</v>
      </c>
      <c r="K70" s="14"/>
    </row>
    <row r="71" spans="1:13" ht="15.75" customHeight="1" x14ac:dyDescent="0.25">
      <c r="I71" s="15" t="s">
        <v>320</v>
      </c>
      <c r="J71" s="16"/>
      <c r="K71" s="16"/>
    </row>
    <row r="72" spans="1:13" ht="15.75" customHeight="1" x14ac:dyDescent="0.25">
      <c r="I72" s="17" t="s">
        <v>321</v>
      </c>
      <c r="J72" s="16"/>
      <c r="K72" s="16"/>
    </row>
    <row r="73" spans="1:13" ht="21" customHeight="1" x14ac:dyDescent="0.35">
      <c r="I73" s="18" t="s">
        <v>322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765</v>
      </c>
      <c r="C76" s="2" t="s">
        <v>766</v>
      </c>
      <c r="D76" s="2">
        <v>258</v>
      </c>
      <c r="E76" s="2" t="s">
        <v>767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125</v>
      </c>
      <c r="K76" s="2" t="s">
        <v>25</v>
      </c>
      <c r="L76" s="2" t="s">
        <v>740</v>
      </c>
      <c r="M76" s="3" t="s">
        <v>768</v>
      </c>
    </row>
    <row r="78" spans="1:13" x14ac:dyDescent="0.25">
      <c r="A78" t="s">
        <v>311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891</v>
      </c>
    </row>
  </sheetData>
  <autoFilter ref="A2:Q59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894</v>
      </c>
      <c r="D3" s="5" t="s">
        <v>895</v>
      </c>
      <c r="E3" s="5" t="s">
        <v>896</v>
      </c>
      <c r="F3" s="5" t="s">
        <v>897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125</v>
      </c>
      <c r="L3" s="5" t="s">
        <v>25</v>
      </c>
      <c r="M3" s="5" t="s">
        <v>898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899</v>
      </c>
      <c r="D4" s="5" t="s">
        <v>900</v>
      </c>
      <c r="E4" s="5">
        <v>388</v>
      </c>
      <c r="F4" s="5" t="s">
        <v>901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125</v>
      </c>
      <c r="L4" s="5" t="s">
        <v>25</v>
      </c>
      <c r="M4" s="5" t="s">
        <v>898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902</v>
      </c>
      <c r="D5" s="5" t="s">
        <v>903</v>
      </c>
      <c r="E5" s="5" t="s">
        <v>904</v>
      </c>
      <c r="F5" s="5" t="s">
        <v>905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125</v>
      </c>
      <c r="L5" s="5" t="s">
        <v>25</v>
      </c>
      <c r="M5" s="5" t="s">
        <v>898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906</v>
      </c>
      <c r="D6" s="5" t="s">
        <v>907</v>
      </c>
      <c r="E6" s="5">
        <v>84</v>
      </c>
      <c r="F6" s="5" t="s">
        <v>908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125</v>
      </c>
      <c r="L6" s="5" t="s">
        <v>25</v>
      </c>
      <c r="M6" s="5" t="s">
        <v>898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909</v>
      </c>
      <c r="D7" s="5" t="s">
        <v>910</v>
      </c>
      <c r="E7" s="5" t="s">
        <v>911</v>
      </c>
      <c r="F7" s="5" t="s">
        <v>912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898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913</v>
      </c>
      <c r="D8" s="5" t="s">
        <v>914</v>
      </c>
      <c r="E8" s="5">
        <v>42</v>
      </c>
      <c r="F8" s="5" t="s">
        <v>915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125</v>
      </c>
      <c r="L8" s="5" t="s">
        <v>25</v>
      </c>
      <c r="M8" s="5" t="s">
        <v>898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916</v>
      </c>
      <c r="D9" s="5" t="s">
        <v>917</v>
      </c>
      <c r="E9" s="5" t="s">
        <v>918</v>
      </c>
      <c r="F9" s="5" t="s">
        <v>754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898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919</v>
      </c>
      <c r="D10" s="5" t="s">
        <v>920</v>
      </c>
      <c r="E10" s="5" t="s">
        <v>921</v>
      </c>
      <c r="F10" s="5" t="s">
        <v>922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125</v>
      </c>
      <c r="L10" s="5" t="s">
        <v>25</v>
      </c>
      <c r="M10" s="5" t="s">
        <v>898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923</v>
      </c>
      <c r="D11" s="5" t="s">
        <v>924</v>
      </c>
      <c r="E11" s="5">
        <v>132</v>
      </c>
      <c r="F11" s="5" t="s">
        <v>131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125</v>
      </c>
      <c r="L11" s="5" t="s">
        <v>25</v>
      </c>
      <c r="M11" s="5" t="s">
        <v>898</v>
      </c>
      <c r="N11" s="5"/>
      <c r="O11" s="5"/>
      <c r="P11" s="5"/>
      <c r="Q11" s="5"/>
      <c r="R11">
        <v>1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898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925</v>
      </c>
      <c r="D13" s="5" t="s">
        <v>926</v>
      </c>
      <c r="E13" s="5" t="s">
        <v>758</v>
      </c>
      <c r="F13" s="5" t="s">
        <v>759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898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927</v>
      </c>
      <c r="D14" s="5" t="s">
        <v>928</v>
      </c>
      <c r="E14" s="5" t="s">
        <v>929</v>
      </c>
      <c r="F14" s="5" t="s">
        <v>221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125</v>
      </c>
      <c r="L14" s="5" t="s">
        <v>25</v>
      </c>
      <c r="M14" s="5" t="s">
        <v>898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930</v>
      </c>
      <c r="D15" s="5" t="s">
        <v>931</v>
      </c>
      <c r="E15" s="5" t="s">
        <v>932</v>
      </c>
      <c r="F15" s="5" t="s">
        <v>933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898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934</v>
      </c>
      <c r="D16" s="5" t="s">
        <v>935</v>
      </c>
      <c r="E16" s="5" t="s">
        <v>936</v>
      </c>
      <c r="F16" s="5" t="s">
        <v>937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898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765</v>
      </c>
      <c r="D17" s="5" t="s">
        <v>938</v>
      </c>
      <c r="E17" s="5">
        <v>258</v>
      </c>
      <c r="F17" s="5" t="s">
        <v>767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898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939</v>
      </c>
      <c r="D18" s="5" t="s">
        <v>940</v>
      </c>
      <c r="E18" s="5">
        <v>334</v>
      </c>
      <c r="F18" s="5" t="s">
        <v>146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898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941</v>
      </c>
      <c r="D19" s="5" t="s">
        <v>942</v>
      </c>
      <c r="E19" s="5" t="s">
        <v>943</v>
      </c>
      <c r="F19" s="5" t="s">
        <v>944</v>
      </c>
      <c r="G19" s="5" t="s">
        <v>151</v>
      </c>
      <c r="H19" s="5">
        <v>840</v>
      </c>
      <c r="I19" s="5">
        <v>20</v>
      </c>
      <c r="J19" s="5">
        <f t="shared" si="0"/>
        <v>820</v>
      </c>
      <c r="K19" s="5" t="s">
        <v>125</v>
      </c>
      <c r="L19" s="5" t="s">
        <v>25</v>
      </c>
      <c r="M19" s="5" t="s">
        <v>898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945</v>
      </c>
      <c r="D20" s="5" t="s">
        <v>946</v>
      </c>
      <c r="E20" s="5" t="s">
        <v>947</v>
      </c>
      <c r="F20" s="5" t="s">
        <v>404</v>
      </c>
      <c r="G20" s="5" t="s">
        <v>98</v>
      </c>
      <c r="H20" s="5">
        <v>0</v>
      </c>
      <c r="I20" s="5">
        <v>25</v>
      </c>
      <c r="J20" s="5">
        <f t="shared" si="0"/>
        <v>-25</v>
      </c>
      <c r="K20" s="5" t="s">
        <v>125</v>
      </c>
      <c r="L20" s="5" t="s">
        <v>25</v>
      </c>
      <c r="M20" s="5" t="s">
        <v>898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948</v>
      </c>
      <c r="D21" s="5" t="s">
        <v>949</v>
      </c>
      <c r="E21" s="5" t="s">
        <v>180</v>
      </c>
      <c r="F21" s="5" t="s">
        <v>181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950</v>
      </c>
      <c r="L21" s="5" t="s">
        <v>25</v>
      </c>
      <c r="M21" s="5" t="s">
        <v>898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950</v>
      </c>
      <c r="L22" s="5" t="s">
        <v>25</v>
      </c>
      <c r="M22" s="5" t="s">
        <v>898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91</v>
      </c>
      <c r="B23" s="5" t="s">
        <v>19</v>
      </c>
      <c r="C23" s="5" t="s">
        <v>951</v>
      </c>
      <c r="D23" s="5"/>
      <c r="E23" s="5">
        <v>491</v>
      </c>
      <c r="F23" s="5" t="s">
        <v>952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950</v>
      </c>
      <c r="L23" s="5" t="s">
        <v>25</v>
      </c>
      <c r="M23" s="5" t="s">
        <v>898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953</v>
      </c>
      <c r="D24" s="5" t="s">
        <v>954</v>
      </c>
      <c r="E24" s="5" t="s">
        <v>955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950</v>
      </c>
      <c r="L24" s="5" t="s">
        <v>25</v>
      </c>
      <c r="M24" s="5" t="s">
        <v>898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956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950</v>
      </c>
      <c r="L25" s="20" t="s">
        <v>25</v>
      </c>
      <c r="M25" s="20" t="s">
        <v>898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957</v>
      </c>
      <c r="D26" s="5" t="s">
        <v>958</v>
      </c>
      <c r="E26" s="5">
        <v>4</v>
      </c>
      <c r="F26" s="5" t="s">
        <v>709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950</v>
      </c>
      <c r="L26" s="5" t="s">
        <v>25</v>
      </c>
      <c r="M26" s="5" t="s">
        <v>898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959</v>
      </c>
      <c r="D27" s="5" t="s">
        <v>960</v>
      </c>
      <c r="E27" s="5">
        <v>110</v>
      </c>
      <c r="F27" s="5" t="s">
        <v>231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950</v>
      </c>
      <c r="L27" s="5" t="s">
        <v>25</v>
      </c>
      <c r="M27" s="5" t="s">
        <v>898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961</v>
      </c>
      <c r="D28" s="5" t="s">
        <v>962</v>
      </c>
      <c r="E28" s="5" t="s">
        <v>963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950</v>
      </c>
      <c r="L28" s="5" t="s">
        <v>25</v>
      </c>
      <c r="M28" s="5" t="s">
        <v>898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964</v>
      </c>
      <c r="D29" s="5" t="s">
        <v>965</v>
      </c>
      <c r="E29" s="5" t="s">
        <v>966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950</v>
      </c>
      <c r="L29" s="5" t="s">
        <v>25</v>
      </c>
      <c r="M29" s="5" t="s">
        <v>898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967</v>
      </c>
      <c r="D30" s="5" t="s">
        <v>968</v>
      </c>
      <c r="E30" s="5" t="s">
        <v>969</v>
      </c>
      <c r="F30" s="5" t="s">
        <v>203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950</v>
      </c>
      <c r="L30" s="5" t="s">
        <v>25</v>
      </c>
      <c r="M30" s="5" t="s">
        <v>898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970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950</v>
      </c>
      <c r="L31" s="20" t="s">
        <v>25</v>
      </c>
      <c r="M31" s="20" t="s">
        <v>898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213</v>
      </c>
      <c r="D32" s="5" t="s">
        <v>971</v>
      </c>
      <c r="E32" s="5">
        <v>30</v>
      </c>
      <c r="F32" s="5" t="s">
        <v>972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950</v>
      </c>
      <c r="L32" s="5" t="s">
        <v>25</v>
      </c>
      <c r="M32" s="5" t="s">
        <v>898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973</v>
      </c>
      <c r="D33" s="5" t="s">
        <v>974</v>
      </c>
      <c r="E33" s="5">
        <v>114</v>
      </c>
      <c r="F33" s="5" t="s">
        <v>975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950</v>
      </c>
      <c r="L33" s="5" t="s">
        <v>25</v>
      </c>
      <c r="M33" s="5" t="s">
        <v>898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219</v>
      </c>
      <c r="D34" s="5" t="s">
        <v>976</v>
      </c>
      <c r="E34" s="5">
        <v>910</v>
      </c>
      <c r="F34" s="5" t="s">
        <v>221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950</v>
      </c>
      <c r="L34" s="5" t="s">
        <v>25</v>
      </c>
      <c r="M34" s="5" t="s">
        <v>898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977</v>
      </c>
      <c r="D35" s="5" t="s">
        <v>978</v>
      </c>
      <c r="E35" s="5">
        <v>375</v>
      </c>
      <c r="F35" s="5" t="s">
        <v>228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950</v>
      </c>
      <c r="L35" s="5" t="s">
        <v>25</v>
      </c>
      <c r="M35" s="5" t="s">
        <v>898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979</v>
      </c>
      <c r="E36" s="5">
        <v>375</v>
      </c>
      <c r="F36" s="5" t="s">
        <v>228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950</v>
      </c>
      <c r="L36" s="5" t="s">
        <v>25</v>
      </c>
      <c r="M36" s="5" t="s">
        <v>898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980</v>
      </c>
      <c r="D37" s="5" t="s">
        <v>981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950</v>
      </c>
      <c r="L37" s="5" t="s">
        <v>25</v>
      </c>
      <c r="M37" s="5" t="s">
        <v>898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982</v>
      </c>
      <c r="D38" s="20" t="s">
        <v>983</v>
      </c>
      <c r="E38" s="20" t="s">
        <v>984</v>
      </c>
      <c r="F38" s="20" t="s">
        <v>985</v>
      </c>
      <c r="G38" s="20" t="s">
        <v>232</v>
      </c>
      <c r="H38" s="20">
        <v>2380</v>
      </c>
      <c r="I38" s="20">
        <v>40</v>
      </c>
      <c r="J38" s="20">
        <f t="shared" si="1"/>
        <v>2340</v>
      </c>
      <c r="K38" s="20" t="s">
        <v>950</v>
      </c>
      <c r="L38" s="20" t="s">
        <v>25</v>
      </c>
      <c r="M38" s="20" t="s">
        <v>898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986</v>
      </c>
      <c r="D39" s="5" t="s">
        <v>987</v>
      </c>
      <c r="E39" s="5" t="s">
        <v>988</v>
      </c>
      <c r="F39" s="5" t="s">
        <v>258</v>
      </c>
      <c r="G39" s="5" t="s">
        <v>240</v>
      </c>
      <c r="H39" s="5">
        <v>710</v>
      </c>
      <c r="I39" s="5">
        <v>30</v>
      </c>
      <c r="J39" s="5">
        <f t="shared" si="1"/>
        <v>680</v>
      </c>
      <c r="K39" s="5" t="s">
        <v>950</v>
      </c>
      <c r="L39" s="5" t="s">
        <v>25</v>
      </c>
      <c r="M39" s="5" t="s">
        <v>898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821</v>
      </c>
      <c r="D40" s="20" t="s">
        <v>989</v>
      </c>
      <c r="E40" s="20" t="s">
        <v>823</v>
      </c>
      <c r="F40" s="20" t="s">
        <v>262</v>
      </c>
      <c r="G40" s="20" t="s">
        <v>240</v>
      </c>
      <c r="H40" s="20">
        <v>30</v>
      </c>
      <c r="I40" s="20">
        <v>30</v>
      </c>
      <c r="J40" s="20">
        <f t="shared" si="1"/>
        <v>0</v>
      </c>
      <c r="K40" s="20" t="s">
        <v>950</v>
      </c>
      <c r="L40" s="20" t="s">
        <v>25</v>
      </c>
      <c r="M40" s="20" t="s">
        <v>898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776</v>
      </c>
      <c r="D41" s="5" t="s">
        <v>990</v>
      </c>
      <c r="E41" s="5" t="s">
        <v>825</v>
      </c>
      <c r="F41" s="5" t="s">
        <v>826</v>
      </c>
      <c r="G41" s="5" t="s">
        <v>240</v>
      </c>
      <c r="H41" s="5">
        <v>850</v>
      </c>
      <c r="I41" s="5">
        <v>30</v>
      </c>
      <c r="J41" s="5">
        <f t="shared" si="1"/>
        <v>820</v>
      </c>
      <c r="K41" s="5" t="s">
        <v>950</v>
      </c>
      <c r="L41" s="5" t="s">
        <v>25</v>
      </c>
      <c r="M41" s="5" t="s">
        <v>898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991</v>
      </c>
      <c r="D42" s="5" t="s">
        <v>992</v>
      </c>
      <c r="E42" s="5" t="s">
        <v>265</v>
      </c>
      <c r="F42" s="5" t="s">
        <v>266</v>
      </c>
      <c r="G42" s="5" t="s">
        <v>240</v>
      </c>
      <c r="H42" s="5">
        <v>850</v>
      </c>
      <c r="I42" s="5">
        <v>30</v>
      </c>
      <c r="J42" s="5">
        <f t="shared" si="1"/>
        <v>820</v>
      </c>
      <c r="K42" s="5" t="s">
        <v>950</v>
      </c>
      <c r="L42" s="5" t="s">
        <v>25</v>
      </c>
      <c r="M42" s="5" t="s">
        <v>898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993</v>
      </c>
      <c r="D43" s="5" t="s">
        <v>994</v>
      </c>
      <c r="E43" s="5" t="s">
        <v>995</v>
      </c>
      <c r="F43" s="5" t="s">
        <v>996</v>
      </c>
      <c r="G43" s="5" t="s">
        <v>281</v>
      </c>
      <c r="H43" s="5">
        <v>825</v>
      </c>
      <c r="I43" s="5">
        <v>35</v>
      </c>
      <c r="J43" s="5">
        <f t="shared" si="1"/>
        <v>790</v>
      </c>
      <c r="K43" s="5" t="s">
        <v>950</v>
      </c>
      <c r="L43" s="5" t="s">
        <v>25</v>
      </c>
      <c r="M43" s="5" t="s">
        <v>898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997</v>
      </c>
      <c r="D44" s="5" t="s">
        <v>998</v>
      </c>
      <c r="E44" s="5">
        <v>52</v>
      </c>
      <c r="F44" s="5" t="s">
        <v>999</v>
      </c>
      <c r="G44" s="5" t="s">
        <v>98</v>
      </c>
      <c r="H44" s="5">
        <v>735</v>
      </c>
      <c r="I44" s="5">
        <v>25</v>
      </c>
      <c r="J44" s="5">
        <f t="shared" si="1"/>
        <v>710</v>
      </c>
      <c r="K44" s="5" t="s">
        <v>950</v>
      </c>
      <c r="L44" s="5" t="s">
        <v>25</v>
      </c>
      <c r="M44" s="5" t="s">
        <v>898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1000</v>
      </c>
      <c r="D45" s="5"/>
      <c r="E45" s="5" t="s">
        <v>838</v>
      </c>
      <c r="F45" s="5" t="s">
        <v>759</v>
      </c>
      <c r="G45" s="5" t="s">
        <v>98</v>
      </c>
      <c r="H45" s="5">
        <v>0</v>
      </c>
      <c r="I45" s="5">
        <v>30</v>
      </c>
      <c r="J45" s="5">
        <f t="shared" si="1"/>
        <v>-30</v>
      </c>
      <c r="K45" s="5" t="s">
        <v>950</v>
      </c>
      <c r="L45" s="5" t="s">
        <v>25</v>
      </c>
      <c r="M45" s="5" t="s">
        <v>898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1001</v>
      </c>
      <c r="D46" s="5" t="s">
        <v>1002</v>
      </c>
      <c r="E46" s="5" t="s">
        <v>1003</v>
      </c>
      <c r="F46" s="5" t="s">
        <v>1004</v>
      </c>
      <c r="G46" s="5" t="s">
        <v>286</v>
      </c>
      <c r="H46" s="5">
        <v>865</v>
      </c>
      <c r="I46" s="5">
        <v>25</v>
      </c>
      <c r="J46" s="5">
        <f t="shared" si="1"/>
        <v>840</v>
      </c>
      <c r="K46" s="5" t="s">
        <v>950</v>
      </c>
      <c r="L46" s="5" t="s">
        <v>25</v>
      </c>
      <c r="M46" s="5" t="s">
        <v>898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1005</v>
      </c>
      <c r="D47" s="5" t="s">
        <v>1006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898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1007</v>
      </c>
      <c r="D48" s="5" t="s">
        <v>1008</v>
      </c>
      <c r="E48" s="5" t="s">
        <v>1009</v>
      </c>
      <c r="F48" s="5" t="s">
        <v>1010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898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1011</v>
      </c>
      <c r="D49" s="5" t="s">
        <v>1012</v>
      </c>
      <c r="E49" s="5" t="s">
        <v>1013</v>
      </c>
      <c r="F49" s="5" t="s">
        <v>1014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898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1015</v>
      </c>
      <c r="D50" s="5" t="s">
        <v>1016</v>
      </c>
      <c r="E50" s="5" t="s">
        <v>1017</v>
      </c>
      <c r="F50" s="5" t="s">
        <v>670</v>
      </c>
      <c r="G50" s="5" t="s">
        <v>58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898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1018</v>
      </c>
      <c r="D51" s="5" t="s">
        <v>1019</v>
      </c>
      <c r="E51" s="5" t="s">
        <v>1020</v>
      </c>
      <c r="F51" s="5" t="s">
        <v>1021</v>
      </c>
      <c r="G51" s="5" t="s">
        <v>70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898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1022</v>
      </c>
      <c r="D52" s="5" t="s">
        <v>1023</v>
      </c>
      <c r="E52" s="5">
        <v>31</v>
      </c>
      <c r="F52" s="5" t="s">
        <v>74</v>
      </c>
      <c r="G52" s="5" t="s">
        <v>70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898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91</v>
      </c>
      <c r="B53" s="5" t="s">
        <v>19</v>
      </c>
      <c r="C53" s="5" t="s">
        <v>866</v>
      </c>
      <c r="D53" s="5"/>
      <c r="E53" s="5">
        <v>401</v>
      </c>
      <c r="F53" s="5" t="s">
        <v>481</v>
      </c>
      <c r="G53" s="5" t="s">
        <v>70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898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1024</v>
      </c>
      <c r="D54" s="5" t="s">
        <v>1025</v>
      </c>
      <c r="E54" s="5">
        <v>839</v>
      </c>
      <c r="F54" s="5" t="s">
        <v>481</v>
      </c>
      <c r="G54" s="5" t="s">
        <v>70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898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91</v>
      </c>
      <c r="B55" s="5" t="s">
        <v>19</v>
      </c>
      <c r="C55" s="5" t="s">
        <v>482</v>
      </c>
      <c r="D55" s="5"/>
      <c r="E55" s="5">
        <v>685</v>
      </c>
      <c r="F55" s="5" t="s">
        <v>93</v>
      </c>
      <c r="G55" s="5" t="s">
        <v>70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898</v>
      </c>
      <c r="N55" s="5"/>
      <c r="O55" s="5"/>
      <c r="P55" s="5"/>
      <c r="Q55" s="5"/>
      <c r="R55">
        <v>1</v>
      </c>
    </row>
    <row r="56" spans="1:19" x14ac:dyDescent="0.25">
      <c r="A56" s="5" t="s">
        <v>91</v>
      </c>
      <c r="B56" s="5" t="s">
        <v>19</v>
      </c>
      <c r="C56" s="5" t="s">
        <v>1026</v>
      </c>
      <c r="D56" s="5"/>
      <c r="E56" s="5">
        <v>5</v>
      </c>
      <c r="F56" s="5" t="s">
        <v>778</v>
      </c>
      <c r="G56" s="5" t="s">
        <v>98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898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1027</v>
      </c>
      <c r="D57" s="5" t="s">
        <v>1028</v>
      </c>
      <c r="E57" s="5">
        <v>72</v>
      </c>
      <c r="F57" s="5" t="s">
        <v>1029</v>
      </c>
      <c r="G57" s="5" t="s">
        <v>98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898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1030</v>
      </c>
      <c r="D58" s="5" t="s">
        <v>1031</v>
      </c>
      <c r="E58" s="5" t="s">
        <v>1032</v>
      </c>
      <c r="F58" s="5" t="s">
        <v>1033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120</v>
      </c>
      <c r="L58" s="5" t="s">
        <v>25</v>
      </c>
      <c r="M58" s="5" t="s">
        <v>898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1034</v>
      </c>
      <c r="D59" s="5" t="s">
        <v>1035</v>
      </c>
      <c r="E59" s="5" t="s">
        <v>1036</v>
      </c>
      <c r="F59" s="5" t="s">
        <v>1037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120</v>
      </c>
      <c r="L59" s="5" t="s">
        <v>25</v>
      </c>
      <c r="M59" s="5" t="s">
        <v>898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1038</v>
      </c>
      <c r="D60" s="5" t="s">
        <v>1039</v>
      </c>
      <c r="E60" s="5" t="s">
        <v>118</v>
      </c>
      <c r="F60" s="5" t="s">
        <v>670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120</v>
      </c>
      <c r="L60" s="5" t="s">
        <v>25</v>
      </c>
      <c r="M60" s="5" t="s">
        <v>898</v>
      </c>
      <c r="N60" s="5"/>
      <c r="O60" s="5"/>
      <c r="P60" s="5"/>
      <c r="Q60" s="5"/>
      <c r="R60">
        <v>1</v>
      </c>
    </row>
    <row r="62" spans="1:19" x14ac:dyDescent="0.25">
      <c r="H62">
        <f t="shared" ref="H62:S62" si="2">SUBTOTAL(9,H3:H61)</f>
        <v>33493</v>
      </c>
      <c r="I62">
        <f t="shared" si="2"/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311</v>
      </c>
    </row>
    <row r="66" spans="1:13" ht="20.25" customHeight="1" x14ac:dyDescent="0.3">
      <c r="I66" s="7" t="s">
        <v>1040</v>
      </c>
      <c r="J66" s="8" t="s">
        <v>313</v>
      </c>
      <c r="K66" s="9" t="s">
        <v>314</v>
      </c>
    </row>
    <row r="67" spans="1:13" ht="15.75" customHeight="1" x14ac:dyDescent="0.25">
      <c r="I67" s="10" t="s">
        <v>315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316</v>
      </c>
      <c r="J68" s="13">
        <f>S62</f>
        <v>485</v>
      </c>
      <c r="K68" s="14"/>
    </row>
    <row r="69" spans="1:13" x14ac:dyDescent="0.25">
      <c r="I69" s="12" t="s">
        <v>317</v>
      </c>
      <c r="J69" s="13">
        <f>T61</f>
        <v>0</v>
      </c>
      <c r="K69" s="14"/>
    </row>
    <row r="70" spans="1:13" x14ac:dyDescent="0.25">
      <c r="I70" s="12" t="s">
        <v>318</v>
      </c>
      <c r="J70" s="13">
        <f>U61</f>
        <v>0</v>
      </c>
      <c r="K70" s="14"/>
    </row>
    <row r="71" spans="1:13" x14ac:dyDescent="0.25">
      <c r="I71" s="12" t="s">
        <v>319</v>
      </c>
      <c r="J71" s="13">
        <f>V61</f>
        <v>0</v>
      </c>
      <c r="K71" s="14"/>
    </row>
    <row r="72" spans="1:13" ht="15.75" customHeight="1" x14ac:dyDescent="0.25">
      <c r="I72" s="15" t="s">
        <v>320</v>
      </c>
      <c r="J72" s="16"/>
      <c r="K72" s="16"/>
    </row>
    <row r="73" spans="1:13" ht="15.75" customHeight="1" x14ac:dyDescent="0.25">
      <c r="I73" s="17" t="s">
        <v>321</v>
      </c>
      <c r="J73" s="16"/>
      <c r="K73" s="16"/>
    </row>
    <row r="74" spans="1:13" ht="21" customHeight="1" x14ac:dyDescent="0.35">
      <c r="I74" s="18" t="s">
        <v>322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765</v>
      </c>
      <c r="C77" s="2" t="s">
        <v>938</v>
      </c>
      <c r="D77" s="2">
        <v>258</v>
      </c>
      <c r="E77" s="2" t="s">
        <v>767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125</v>
      </c>
      <c r="K77" s="2" t="s">
        <v>25</v>
      </c>
      <c r="L77" s="2" t="s">
        <v>898</v>
      </c>
      <c r="M77" s="3" t="s">
        <v>566</v>
      </c>
    </row>
    <row r="79" spans="1:13" x14ac:dyDescent="0.25">
      <c r="A79" t="s">
        <v>311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286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1041</v>
      </c>
    </row>
  </sheetData>
  <autoFilter ref="A2:Q60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46" workbookViewId="0">
      <selection activeCell="J73" sqref="J73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922</v>
      </c>
      <c r="G3" s="2" t="s">
        <v>23</v>
      </c>
      <c r="H3" s="2">
        <v>840</v>
      </c>
      <c r="I3" s="2">
        <v>0</v>
      </c>
      <c r="J3" s="2">
        <f t="shared" ref="J3:J34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125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906</v>
      </c>
      <c r="D5" s="20" t="s">
        <v>1050</v>
      </c>
      <c r="E5" s="20">
        <v>84</v>
      </c>
      <c r="F5" s="20" t="s">
        <v>908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125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280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131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125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1064</v>
      </c>
      <c r="D11" s="5"/>
      <c r="E11" s="5">
        <v>279</v>
      </c>
      <c r="F11" s="5" t="s">
        <v>647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125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125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939</v>
      </c>
      <c r="D13" s="20" t="s">
        <v>1068</v>
      </c>
      <c r="E13" s="20">
        <v>334</v>
      </c>
      <c r="F13" s="20" t="s">
        <v>146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125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146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125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151</v>
      </c>
      <c r="H15" s="5">
        <v>840</v>
      </c>
      <c r="I15" s="5">
        <v>20</v>
      </c>
      <c r="J15" s="5">
        <f t="shared" si="0"/>
        <v>820</v>
      </c>
      <c r="K15" s="5" t="s">
        <v>125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98</v>
      </c>
      <c r="H16" s="5">
        <v>815</v>
      </c>
      <c r="I16" s="5">
        <v>25</v>
      </c>
      <c r="J16" s="5">
        <f t="shared" si="0"/>
        <v>790</v>
      </c>
      <c r="K16" s="5" t="s">
        <v>125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171</v>
      </c>
      <c r="D17" s="5"/>
      <c r="E17" s="5" t="s">
        <v>172</v>
      </c>
      <c r="F17" s="5" t="s">
        <v>173</v>
      </c>
      <c r="G17" s="5" t="s">
        <v>98</v>
      </c>
      <c r="H17" s="5">
        <v>25</v>
      </c>
      <c r="I17" s="5">
        <v>25</v>
      </c>
      <c r="J17" s="5">
        <f t="shared" si="0"/>
        <v>0</v>
      </c>
      <c r="K17" s="5" t="s">
        <v>125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173</v>
      </c>
      <c r="G18" s="5" t="s">
        <v>98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180</v>
      </c>
      <c r="F19" s="5" t="s">
        <v>181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91</v>
      </c>
      <c r="B20" s="5" t="s">
        <v>19</v>
      </c>
      <c r="C20" s="5" t="s">
        <v>179</v>
      </c>
      <c r="D20" s="5"/>
      <c r="E20" s="5" t="s">
        <v>180</v>
      </c>
      <c r="F20" s="5" t="s">
        <v>181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102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878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228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91</v>
      </c>
      <c r="B32" s="5" t="s">
        <v>19</v>
      </c>
      <c r="C32" s="5" t="s">
        <v>1110</v>
      </c>
      <c r="D32" s="5"/>
      <c r="E32" s="5">
        <v>375</v>
      </c>
      <c r="F32" s="5" t="s">
        <v>228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240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275</v>
      </c>
      <c r="D35" s="5" t="s">
        <v>1115</v>
      </c>
      <c r="E35" s="5">
        <v>146</v>
      </c>
      <c r="F35" s="5" t="s">
        <v>277</v>
      </c>
      <c r="G35" s="5" t="s">
        <v>240</v>
      </c>
      <c r="H35" s="5">
        <v>860</v>
      </c>
      <c r="I35" s="5">
        <v>30</v>
      </c>
      <c r="J35" s="5">
        <f t="shared" ref="J35:J65" si="1">H35-I35</f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98</v>
      </c>
      <c r="H36" s="5">
        <v>845</v>
      </c>
      <c r="I36" s="5">
        <v>25</v>
      </c>
      <c r="J36" s="5">
        <f t="shared" si="1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285</v>
      </c>
      <c r="G37" s="5" t="s">
        <v>286</v>
      </c>
      <c r="H37" s="5">
        <v>1075</v>
      </c>
      <c r="I37" s="5">
        <v>25</v>
      </c>
      <c r="J37" s="5">
        <f t="shared" si="1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1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1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36</v>
      </c>
      <c r="G40" s="5">
        <v>2</v>
      </c>
      <c r="H40" s="5">
        <v>870</v>
      </c>
      <c r="I40" s="5">
        <v>30</v>
      </c>
      <c r="J40" s="5">
        <f t="shared" si="1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36</v>
      </c>
      <c r="G41" s="5">
        <v>2</v>
      </c>
      <c r="H41" s="5">
        <v>470</v>
      </c>
      <c r="I41" s="5">
        <v>30</v>
      </c>
      <c r="J41" s="5">
        <f t="shared" si="1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58</v>
      </c>
      <c r="H42" s="5">
        <v>600</v>
      </c>
      <c r="I42" s="5">
        <v>20</v>
      </c>
      <c r="J42" s="5">
        <f t="shared" si="1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58</v>
      </c>
      <c r="H43" s="5">
        <v>510</v>
      </c>
      <c r="I43" s="5">
        <v>20</v>
      </c>
      <c r="J43" s="5">
        <f t="shared" si="1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659</v>
      </c>
      <c r="G44" s="5" t="s">
        <v>58</v>
      </c>
      <c r="H44" s="5">
        <v>400</v>
      </c>
      <c r="I44" s="5">
        <v>20</v>
      </c>
      <c r="J44" s="5">
        <f t="shared" si="1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670</v>
      </c>
      <c r="G45" s="20" t="s">
        <v>58</v>
      </c>
      <c r="H45" s="20">
        <v>2600</v>
      </c>
      <c r="I45" s="20">
        <v>25</v>
      </c>
      <c r="J45" s="20">
        <f t="shared" si="1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65</v>
      </c>
      <c r="G46" s="5" t="s">
        <v>58</v>
      </c>
      <c r="H46" s="5">
        <v>600</v>
      </c>
      <c r="I46" s="5">
        <v>20</v>
      </c>
      <c r="J46" s="5">
        <f t="shared" si="1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58</v>
      </c>
      <c r="H47" s="5">
        <v>980</v>
      </c>
      <c r="I47" s="5">
        <v>20</v>
      </c>
      <c r="J47" s="5">
        <f t="shared" si="1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820</v>
      </c>
      <c r="G48" s="5" t="s">
        <v>70</v>
      </c>
      <c r="H48" s="5">
        <v>735</v>
      </c>
      <c r="I48" s="5">
        <v>25</v>
      </c>
      <c r="J48" s="5">
        <f t="shared" si="1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820</v>
      </c>
      <c r="G49" s="5" t="s">
        <v>70</v>
      </c>
      <c r="H49" s="5">
        <v>580</v>
      </c>
      <c r="I49" s="5">
        <v>0</v>
      </c>
      <c r="J49" s="5">
        <f t="shared" si="1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91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70</v>
      </c>
      <c r="H50" s="5">
        <v>30</v>
      </c>
      <c r="I50" s="5">
        <v>30</v>
      </c>
      <c r="J50" s="5">
        <f t="shared" si="1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845</v>
      </c>
      <c r="G51" s="5" t="s">
        <v>70</v>
      </c>
      <c r="H51" s="5">
        <v>405</v>
      </c>
      <c r="I51" s="5">
        <v>25</v>
      </c>
      <c r="J51" s="5">
        <f t="shared" si="1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859</v>
      </c>
      <c r="F52" s="5" t="s">
        <v>860</v>
      </c>
      <c r="G52" s="5" t="s">
        <v>70</v>
      </c>
      <c r="H52" s="5">
        <v>605</v>
      </c>
      <c r="I52" s="5">
        <v>25</v>
      </c>
      <c r="J52" s="5">
        <f t="shared" si="1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70</v>
      </c>
      <c r="H53" s="5">
        <v>855</v>
      </c>
      <c r="I53" s="5">
        <v>25</v>
      </c>
      <c r="J53" s="5">
        <f t="shared" si="1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82</v>
      </c>
      <c r="G54" s="5" t="s">
        <v>70</v>
      </c>
      <c r="H54" s="5">
        <v>1555</v>
      </c>
      <c r="I54" s="5">
        <v>25</v>
      </c>
      <c r="J54" s="5">
        <f t="shared" si="1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302</v>
      </c>
      <c r="D55" s="5" t="s">
        <v>1169</v>
      </c>
      <c r="E55" s="5">
        <v>310</v>
      </c>
      <c r="F55" s="5" t="s">
        <v>86</v>
      </c>
      <c r="G55" s="5" t="s">
        <v>70</v>
      </c>
      <c r="H55" s="5">
        <v>845</v>
      </c>
      <c r="I55" s="5">
        <v>25</v>
      </c>
      <c r="J55" s="5">
        <f t="shared" si="1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90</v>
      </c>
      <c r="G56" s="5" t="s">
        <v>70</v>
      </c>
      <c r="H56" s="5">
        <v>855</v>
      </c>
      <c r="I56" s="5">
        <v>25</v>
      </c>
      <c r="J56" s="5">
        <f t="shared" si="1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91</v>
      </c>
      <c r="B57" s="5" t="s">
        <v>19</v>
      </c>
      <c r="C57" s="5" t="s">
        <v>92</v>
      </c>
      <c r="D57" s="5"/>
      <c r="E57" s="5">
        <v>403</v>
      </c>
      <c r="F57" s="5" t="s">
        <v>93</v>
      </c>
      <c r="G57" s="5" t="s">
        <v>70</v>
      </c>
      <c r="H57" s="5">
        <v>30</v>
      </c>
      <c r="I57" s="5">
        <v>30</v>
      </c>
      <c r="J57" s="5">
        <f t="shared" si="1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871</v>
      </c>
      <c r="G58" s="5" t="s">
        <v>70</v>
      </c>
      <c r="H58" s="5">
        <v>0</v>
      </c>
      <c r="I58" s="5">
        <v>25</v>
      </c>
      <c r="J58" s="5">
        <f t="shared" si="1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91</v>
      </c>
      <c r="B59" s="5" t="s">
        <v>19</v>
      </c>
      <c r="C59" s="5" t="s">
        <v>1176</v>
      </c>
      <c r="D59" s="5"/>
      <c r="E59" s="5">
        <v>58</v>
      </c>
      <c r="F59" s="5" t="s">
        <v>243</v>
      </c>
      <c r="G59" s="5" t="s">
        <v>103</v>
      </c>
      <c r="H59" s="5">
        <v>35</v>
      </c>
      <c r="I59" s="5">
        <v>35</v>
      </c>
      <c r="J59" s="5">
        <f t="shared" si="1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878</v>
      </c>
      <c r="G60" s="5" t="s">
        <v>103</v>
      </c>
      <c r="H60" s="5">
        <v>850</v>
      </c>
      <c r="I60" s="5">
        <v>30</v>
      </c>
      <c r="J60" s="5">
        <f t="shared" si="1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258</v>
      </c>
      <c r="G61" s="5" t="s">
        <v>103</v>
      </c>
      <c r="H61" s="5">
        <v>470</v>
      </c>
      <c r="I61" s="5">
        <v>30</v>
      </c>
      <c r="J61" s="5">
        <f t="shared" si="1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1"/>
        <v>380</v>
      </c>
      <c r="K62" s="5" t="s">
        <v>120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1"/>
        <v>490</v>
      </c>
      <c r="K63" s="5" t="s">
        <v>120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1"/>
        <v>840</v>
      </c>
      <c r="K64" s="5" t="s">
        <v>120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1"/>
        <v>440</v>
      </c>
      <c r="K65" s="5" t="s">
        <v>120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 t="shared" ref="H67:S67" si="2">SUBTOTAL(9,H3:H66)</f>
        <v>35055</v>
      </c>
      <c r="I67">
        <f t="shared" si="2"/>
        <v>1585</v>
      </c>
      <c r="J67">
        <f t="shared" si="2"/>
        <v>33470</v>
      </c>
      <c r="K67">
        <f t="shared" si="2"/>
        <v>0</v>
      </c>
      <c r="L67">
        <f t="shared" si="2"/>
        <v>0</v>
      </c>
      <c r="M67">
        <f t="shared" si="2"/>
        <v>0</v>
      </c>
      <c r="N67">
        <f t="shared" si="2"/>
        <v>0</v>
      </c>
      <c r="O67">
        <f t="shared" si="2"/>
        <v>0</v>
      </c>
      <c r="P67">
        <f t="shared" si="2"/>
        <v>0</v>
      </c>
      <c r="Q67">
        <f t="shared" si="2"/>
        <v>0</v>
      </c>
      <c r="R67">
        <f t="shared" si="2"/>
        <v>63</v>
      </c>
      <c r="S67">
        <f t="shared" si="2"/>
        <v>420</v>
      </c>
    </row>
    <row r="68" spans="1:19" x14ac:dyDescent="0.25">
      <c r="J68">
        <v>-840</v>
      </c>
      <c r="K68" t="s">
        <v>1195</v>
      </c>
    </row>
    <row r="71" spans="1:19" ht="20.25" customHeight="1" x14ac:dyDescent="0.3">
      <c r="I71" s="7" t="s">
        <v>1196</v>
      </c>
      <c r="J71" s="8" t="s">
        <v>313</v>
      </c>
      <c r="K71" s="9" t="s">
        <v>314</v>
      </c>
    </row>
    <row r="72" spans="1:19" ht="15.75" customHeight="1" x14ac:dyDescent="0.25">
      <c r="I72" s="10" t="s">
        <v>315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316</v>
      </c>
      <c r="J73" s="13">
        <f>S67</f>
        <v>420</v>
      </c>
      <c r="K73" s="14"/>
    </row>
    <row r="74" spans="1:19" x14ac:dyDescent="0.25">
      <c r="I74" s="12" t="s">
        <v>317</v>
      </c>
      <c r="J74" s="13">
        <f>T66</f>
        <v>0</v>
      </c>
      <c r="K74" s="14"/>
    </row>
    <row r="75" spans="1:19" x14ac:dyDescent="0.25">
      <c r="I75" s="12" t="s">
        <v>318</v>
      </c>
      <c r="J75" s="13">
        <f>U66</f>
        <v>0</v>
      </c>
      <c r="K75" s="14"/>
    </row>
    <row r="76" spans="1:19" x14ac:dyDescent="0.25">
      <c r="I76" s="12" t="s">
        <v>319</v>
      </c>
      <c r="J76" s="13">
        <f>V66</f>
        <v>0</v>
      </c>
      <c r="K76" s="14"/>
    </row>
    <row r="77" spans="1:19" ht="15.75" customHeight="1" x14ac:dyDescent="0.25">
      <c r="I77" s="15" t="s">
        <v>320</v>
      </c>
      <c r="J77" s="16"/>
      <c r="K77" s="16"/>
    </row>
    <row r="78" spans="1:19" ht="15.75" customHeight="1" x14ac:dyDescent="0.25">
      <c r="I78" s="17" t="s">
        <v>321</v>
      </c>
      <c r="J78" s="16"/>
      <c r="K78" s="16"/>
    </row>
    <row r="79" spans="1:19" ht="21" customHeight="1" x14ac:dyDescent="0.35">
      <c r="I79" s="18" t="s">
        <v>322</v>
      </c>
      <c r="J79" s="19">
        <f>SUM(J72:J78)</f>
        <v>33050</v>
      </c>
      <c r="K79" s="19">
        <f>SUM(K72:K76)</f>
        <v>63</v>
      </c>
    </row>
  </sheetData>
  <autoFilter ref="A2:Q6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1198</v>
      </c>
      <c r="D3" s="5" t="s">
        <v>1199</v>
      </c>
      <c r="E3" s="5" t="s">
        <v>1200</v>
      </c>
      <c r="F3" s="5" t="s">
        <v>1201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125</v>
      </c>
      <c r="L3" s="5" t="s">
        <v>25</v>
      </c>
      <c r="M3" s="5" t="s">
        <v>1202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1203</v>
      </c>
      <c r="D4" s="5" t="s">
        <v>1204</v>
      </c>
      <c r="E4" s="5">
        <v>120</v>
      </c>
      <c r="F4" s="5" t="s">
        <v>1205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1202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1206</v>
      </c>
      <c r="D5" s="5" t="s">
        <v>1207</v>
      </c>
      <c r="E5" s="5">
        <v>242</v>
      </c>
      <c r="F5" s="5" t="s">
        <v>901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1202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1208</v>
      </c>
      <c r="D6" s="5" t="s">
        <v>1209</v>
      </c>
      <c r="E6" s="5" t="s">
        <v>1210</v>
      </c>
      <c r="F6" s="5" t="s">
        <v>905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125</v>
      </c>
      <c r="L6" s="5" t="s">
        <v>25</v>
      </c>
      <c r="M6" s="5" t="s">
        <v>1202</v>
      </c>
      <c r="N6" s="5"/>
      <c r="O6" s="5"/>
      <c r="P6" s="5"/>
      <c r="Q6" s="5"/>
      <c r="R6">
        <v>1</v>
      </c>
    </row>
    <row r="7" spans="1:19" x14ac:dyDescent="0.25">
      <c r="A7" s="5" t="s">
        <v>91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125</v>
      </c>
      <c r="L7" s="5" t="s">
        <v>25</v>
      </c>
      <c r="M7" s="5" t="s">
        <v>1202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1211</v>
      </c>
      <c r="D8" s="5" t="s">
        <v>1212</v>
      </c>
      <c r="E8" s="5" t="s">
        <v>1213</v>
      </c>
      <c r="F8" s="5" t="s">
        <v>1214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125</v>
      </c>
      <c r="L8" s="5" t="s">
        <v>25</v>
      </c>
      <c r="M8" s="5" t="s">
        <v>1202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1215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1202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1216</v>
      </c>
      <c r="D10" s="5" t="s">
        <v>1217</v>
      </c>
      <c r="E10" s="5">
        <v>980</v>
      </c>
      <c r="F10" s="5" t="s">
        <v>1218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125</v>
      </c>
      <c r="L10" s="5" t="s">
        <v>25</v>
      </c>
      <c r="M10" s="5" t="s">
        <v>1202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1219</v>
      </c>
      <c r="D11" s="5" t="s">
        <v>1220</v>
      </c>
      <c r="E11" s="5" t="s">
        <v>137</v>
      </c>
      <c r="F11" s="5" t="s">
        <v>134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1202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1221</v>
      </c>
      <c r="D12" s="5" t="s">
        <v>1222</v>
      </c>
      <c r="E12" s="5" t="s">
        <v>1223</v>
      </c>
      <c r="F12" s="5" t="s">
        <v>709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1224</v>
      </c>
      <c r="L12" s="5" t="s">
        <v>25</v>
      </c>
      <c r="M12" s="5" t="s">
        <v>1202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1225</v>
      </c>
      <c r="D13" s="5" t="s">
        <v>1226</v>
      </c>
      <c r="E13" s="5" t="s">
        <v>1227</v>
      </c>
      <c r="F13" s="5" t="s">
        <v>1228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1224</v>
      </c>
      <c r="L13" s="5" t="s">
        <v>25</v>
      </c>
      <c r="M13" s="5" t="s">
        <v>1202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1229</v>
      </c>
      <c r="E14" s="5" t="s">
        <v>1230</v>
      </c>
      <c r="F14" s="5" t="s">
        <v>1231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1224</v>
      </c>
      <c r="L14" s="5" t="s">
        <v>25</v>
      </c>
      <c r="M14" s="5" t="s">
        <v>1202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1232</v>
      </c>
      <c r="D15" s="5" t="s">
        <v>1233</v>
      </c>
      <c r="E15" s="5" t="s">
        <v>1234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1224</v>
      </c>
      <c r="L15" s="5" t="s">
        <v>25</v>
      </c>
      <c r="M15" s="5" t="s">
        <v>1202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1235</v>
      </c>
      <c r="D16" s="5" t="s">
        <v>1236</v>
      </c>
      <c r="E16" s="5" t="s">
        <v>1237</v>
      </c>
      <c r="F16" s="5" t="s">
        <v>1238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1224</v>
      </c>
      <c r="L16" s="5" t="s">
        <v>25</v>
      </c>
      <c r="M16" s="5" t="s">
        <v>1202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1239</v>
      </c>
      <c r="D17" s="5" t="s">
        <v>1240</v>
      </c>
      <c r="E17" s="5">
        <v>747</v>
      </c>
      <c r="F17" s="5" t="s">
        <v>1241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1224</v>
      </c>
      <c r="L17" s="5" t="s">
        <v>25</v>
      </c>
      <c r="M17" s="5" t="s">
        <v>1202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1242</v>
      </c>
      <c r="D18" s="5" t="s">
        <v>1243</v>
      </c>
      <c r="E18" s="5">
        <v>375</v>
      </c>
      <c r="F18" s="5" t="s">
        <v>1244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1224</v>
      </c>
      <c r="L18" s="5" t="s">
        <v>25</v>
      </c>
      <c r="M18" s="5" t="s">
        <v>1202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1245</v>
      </c>
      <c r="D19" s="5" t="s">
        <v>1246</v>
      </c>
      <c r="E19" s="5" t="s">
        <v>1247</v>
      </c>
      <c r="F19" s="5" t="s">
        <v>1248</v>
      </c>
      <c r="G19" s="5" t="s">
        <v>240</v>
      </c>
      <c r="H19" s="5">
        <v>0</v>
      </c>
      <c r="I19" s="5">
        <v>30</v>
      </c>
      <c r="J19" s="5">
        <f t="shared" si="0"/>
        <v>-30</v>
      </c>
      <c r="K19" s="5" t="s">
        <v>1224</v>
      </c>
      <c r="L19" s="5" t="s">
        <v>25</v>
      </c>
      <c r="M19" s="5" t="s">
        <v>1202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1249</v>
      </c>
      <c r="D20" s="5" t="s">
        <v>1250</v>
      </c>
      <c r="E20" s="5" t="s">
        <v>428</v>
      </c>
      <c r="F20" s="5" t="s">
        <v>429</v>
      </c>
      <c r="G20" s="5" t="s">
        <v>240</v>
      </c>
      <c r="H20" s="5">
        <v>0</v>
      </c>
      <c r="I20" s="5">
        <v>30</v>
      </c>
      <c r="J20" s="5">
        <f t="shared" si="0"/>
        <v>-30</v>
      </c>
      <c r="K20" s="5" t="s">
        <v>1224</v>
      </c>
      <c r="L20" s="5" t="s">
        <v>25</v>
      </c>
      <c r="M20" s="5" t="s">
        <v>1202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91</v>
      </c>
      <c r="B21" s="5" t="s">
        <v>19</v>
      </c>
      <c r="C21" s="5" t="s">
        <v>837</v>
      </c>
      <c r="D21" s="5"/>
      <c r="E21" s="5" t="s">
        <v>838</v>
      </c>
      <c r="F21" s="5" t="s">
        <v>759</v>
      </c>
      <c r="G21" s="5" t="s">
        <v>98</v>
      </c>
      <c r="H21" s="5">
        <v>4365</v>
      </c>
      <c r="I21" s="5">
        <v>15</v>
      </c>
      <c r="J21" s="5">
        <f t="shared" si="0"/>
        <v>4350</v>
      </c>
      <c r="K21" s="5" t="s">
        <v>1224</v>
      </c>
      <c r="L21" s="5" t="s">
        <v>25</v>
      </c>
      <c r="M21" s="5" t="s">
        <v>1202</v>
      </c>
      <c r="N21" s="6" t="s">
        <v>1251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1252</v>
      </c>
      <c r="D22" s="5" t="s">
        <v>1253</v>
      </c>
      <c r="E22" s="5">
        <v>41</v>
      </c>
      <c r="F22" s="5" t="s">
        <v>1254</v>
      </c>
      <c r="G22" s="5" t="s">
        <v>286</v>
      </c>
      <c r="H22" s="5">
        <v>835</v>
      </c>
      <c r="I22" s="5">
        <v>25</v>
      </c>
      <c r="J22" s="5">
        <f t="shared" si="0"/>
        <v>810</v>
      </c>
      <c r="K22" s="5" t="s">
        <v>1224</v>
      </c>
      <c r="L22" s="5" t="s">
        <v>25</v>
      </c>
      <c r="M22" s="5" t="s">
        <v>1202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1255</v>
      </c>
      <c r="D23" s="5" t="s">
        <v>1256</v>
      </c>
      <c r="E23" s="5" t="s">
        <v>1257</v>
      </c>
      <c r="F23" s="5" t="s">
        <v>290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1202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1258</v>
      </c>
      <c r="D24" s="5" t="s">
        <v>1259</v>
      </c>
      <c r="E24" s="5" t="s">
        <v>1260</v>
      </c>
      <c r="F24" s="5" t="s">
        <v>1261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1202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1262</v>
      </c>
      <c r="D25" s="5" t="s">
        <v>1263</v>
      </c>
      <c r="E25" s="5" t="s">
        <v>1264</v>
      </c>
      <c r="F25" s="5" t="s">
        <v>1265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1202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1266</v>
      </c>
      <c r="E26" s="5" t="s">
        <v>35</v>
      </c>
      <c r="F26" s="5" t="s">
        <v>36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1202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1267</v>
      </c>
      <c r="D27" s="5" t="s">
        <v>1268</v>
      </c>
      <c r="E27" s="5" t="s">
        <v>1269</v>
      </c>
      <c r="F27" s="5" t="s">
        <v>62</v>
      </c>
      <c r="G27" s="5" t="s">
        <v>58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1270</v>
      </c>
      <c r="D28" s="5" t="s">
        <v>1271</v>
      </c>
      <c r="E28" s="5" t="s">
        <v>1272</v>
      </c>
      <c r="F28" s="5" t="s">
        <v>860</v>
      </c>
      <c r="G28" s="5" t="s">
        <v>70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857</v>
      </c>
      <c r="D29" s="5" t="s">
        <v>1273</v>
      </c>
      <c r="E29" s="5" t="s">
        <v>859</v>
      </c>
      <c r="F29" s="5" t="s">
        <v>860</v>
      </c>
      <c r="G29" s="5" t="s">
        <v>70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1202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1274</v>
      </c>
      <c r="E30" s="20" t="s">
        <v>1172</v>
      </c>
      <c r="F30" s="20" t="s">
        <v>90</v>
      </c>
      <c r="G30" s="20" t="s">
        <v>70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1202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91</v>
      </c>
      <c r="B31" s="5" t="s">
        <v>19</v>
      </c>
      <c r="C31" s="5" t="s">
        <v>866</v>
      </c>
      <c r="D31" s="5"/>
      <c r="E31" s="5">
        <v>401</v>
      </c>
      <c r="F31" s="5" t="s">
        <v>481</v>
      </c>
      <c r="G31" s="5" t="s">
        <v>70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1202</v>
      </c>
      <c r="N31" s="5"/>
      <c r="O31" s="5"/>
      <c r="P31" s="5"/>
      <c r="Q31" s="5"/>
      <c r="R31">
        <v>1</v>
      </c>
    </row>
    <row r="32" spans="1:19" x14ac:dyDescent="0.25">
      <c r="A32" s="5" t="s">
        <v>91</v>
      </c>
      <c r="B32" s="5" t="s">
        <v>19</v>
      </c>
      <c r="C32" s="5" t="s">
        <v>482</v>
      </c>
      <c r="D32" s="5"/>
      <c r="E32" s="5">
        <v>685</v>
      </c>
      <c r="F32" s="5" t="s">
        <v>93</v>
      </c>
      <c r="G32" s="5" t="s">
        <v>70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1275</v>
      </c>
      <c r="E33" s="5" t="s">
        <v>364</v>
      </c>
      <c r="F33" s="5" t="s">
        <v>361</v>
      </c>
      <c r="G33" s="5" t="s">
        <v>98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1276</v>
      </c>
      <c r="D34" s="5" t="s">
        <v>1277</v>
      </c>
      <c r="E34" s="5" t="s">
        <v>1278</v>
      </c>
      <c r="F34" s="5" t="s">
        <v>1279</v>
      </c>
      <c r="G34" s="5" t="s">
        <v>103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1280</v>
      </c>
      <c r="D35" s="5" t="s">
        <v>1281</v>
      </c>
      <c r="E35" s="5" t="s">
        <v>1282</v>
      </c>
      <c r="F35" s="5" t="s">
        <v>1283</v>
      </c>
      <c r="G35" s="5" t="s">
        <v>103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1284</v>
      </c>
      <c r="D36" s="5" t="s">
        <v>1285</v>
      </c>
      <c r="E36" s="5" t="s">
        <v>1286</v>
      </c>
      <c r="F36" s="5" t="s">
        <v>670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120</v>
      </c>
      <c r="L36" s="5" t="s">
        <v>25</v>
      </c>
      <c r="M36" s="5" t="s">
        <v>1202</v>
      </c>
      <c r="N36" s="5"/>
      <c r="O36" s="5"/>
      <c r="P36" s="5"/>
      <c r="Q36" s="5"/>
      <c r="R36">
        <v>1</v>
      </c>
    </row>
    <row r="37" spans="1:19" x14ac:dyDescent="0.25">
      <c r="A37" s="5" t="s">
        <v>91</v>
      </c>
      <c r="B37" s="5" t="s">
        <v>19</v>
      </c>
      <c r="C37" s="5" t="s">
        <v>1287</v>
      </c>
      <c r="D37" s="5"/>
      <c r="E37" s="5" t="s">
        <v>1288</v>
      </c>
      <c r="F37" s="5" t="s">
        <v>670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120</v>
      </c>
      <c r="L37" s="5" t="s">
        <v>25</v>
      </c>
      <c r="M37" s="5" t="s">
        <v>1202</v>
      </c>
      <c r="N37" s="5"/>
      <c r="O37" s="5"/>
      <c r="P37" s="5"/>
      <c r="Q37" s="5"/>
      <c r="R37">
        <v>1</v>
      </c>
    </row>
    <row r="39" spans="1:19" x14ac:dyDescent="0.25">
      <c r="H39">
        <f t="shared" ref="H39:S39" si="1">SUBTOTAL(9,H3:H38)</f>
        <v>24660</v>
      </c>
      <c r="I39">
        <f t="shared" si="1"/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1289</v>
      </c>
    </row>
    <row r="41" spans="1:19" x14ac:dyDescent="0.25">
      <c r="J41">
        <v>-510</v>
      </c>
      <c r="K41" t="s">
        <v>311</v>
      </c>
    </row>
    <row r="43" spans="1:19" ht="20.25" customHeight="1" x14ac:dyDescent="0.3">
      <c r="I43" s="7" t="s">
        <v>1290</v>
      </c>
      <c r="J43" s="8" t="s">
        <v>313</v>
      </c>
      <c r="K43" s="9" t="s">
        <v>314</v>
      </c>
    </row>
    <row r="44" spans="1:19" ht="15.75" customHeight="1" x14ac:dyDescent="0.25">
      <c r="I44" s="10" t="s">
        <v>315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316</v>
      </c>
      <c r="J45" s="13">
        <f>S39</f>
        <v>250</v>
      </c>
      <c r="K45" s="14"/>
    </row>
    <row r="46" spans="1:19" x14ac:dyDescent="0.25">
      <c r="I46" s="12" t="s">
        <v>317</v>
      </c>
      <c r="J46" s="13">
        <f>T38</f>
        <v>0</v>
      </c>
      <c r="K46" s="14"/>
    </row>
    <row r="47" spans="1:19" x14ac:dyDescent="0.25">
      <c r="I47" s="12" t="s">
        <v>318</v>
      </c>
      <c r="J47" s="13">
        <f>U38</f>
        <v>0</v>
      </c>
      <c r="K47" s="14"/>
    </row>
    <row r="48" spans="1:19" x14ac:dyDescent="0.25">
      <c r="I48" s="12" t="s">
        <v>319</v>
      </c>
      <c r="J48" s="13">
        <f>V38</f>
        <v>0</v>
      </c>
      <c r="K48" s="14"/>
    </row>
    <row r="49" spans="1:13" ht="15.75" customHeight="1" x14ac:dyDescent="0.25">
      <c r="I49" s="15" t="s">
        <v>320</v>
      </c>
      <c r="J49" s="16"/>
      <c r="K49" s="16"/>
    </row>
    <row r="50" spans="1:13" ht="15.75" customHeight="1" x14ac:dyDescent="0.25">
      <c r="I50" s="17" t="s">
        <v>321</v>
      </c>
      <c r="J50" s="16"/>
      <c r="K50" s="16"/>
    </row>
    <row r="51" spans="1:13" ht="21" customHeight="1" x14ac:dyDescent="0.35">
      <c r="I51" s="18" t="s">
        <v>322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311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58</v>
      </c>
      <c r="G54" s="2">
        <v>510</v>
      </c>
      <c r="H54" s="2">
        <v>0</v>
      </c>
      <c r="I54" s="2">
        <f>G54-H54</f>
        <v>510</v>
      </c>
      <c r="J54" s="2" t="s">
        <v>24</v>
      </c>
      <c r="K54" s="2" t="s">
        <v>25</v>
      </c>
      <c r="L54" s="2" t="s">
        <v>1046</v>
      </c>
      <c r="M54" s="3" t="s">
        <v>1291</v>
      </c>
    </row>
  </sheetData>
  <autoFilter ref="A2:Q3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196</v>
      </c>
      <c r="G3" s="2" t="s">
        <v>70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125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125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151</v>
      </c>
      <c r="H7" s="5">
        <v>390</v>
      </c>
      <c r="I7" s="5">
        <v>20</v>
      </c>
      <c r="J7" s="5">
        <f t="shared" si="0"/>
        <v>370</v>
      </c>
      <c r="K7" s="5" t="s">
        <v>125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98</v>
      </c>
      <c r="H8" s="5">
        <v>395</v>
      </c>
      <c r="I8" s="5">
        <v>25</v>
      </c>
      <c r="J8" s="5">
        <f t="shared" si="0"/>
        <v>370</v>
      </c>
      <c r="K8" s="5" t="s">
        <v>125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131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125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132</v>
      </c>
      <c r="D10" s="5" t="s">
        <v>1318</v>
      </c>
      <c r="E10" s="5">
        <v>230</v>
      </c>
      <c r="F10" s="5" t="s">
        <v>134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125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151</v>
      </c>
      <c r="H11" s="5">
        <v>840</v>
      </c>
      <c r="I11" s="5">
        <v>20</v>
      </c>
      <c r="J11" s="5">
        <f t="shared" si="0"/>
        <v>820</v>
      </c>
      <c r="K11" s="5" t="s">
        <v>125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258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1232</v>
      </c>
      <c r="D13" s="5" t="s">
        <v>1326</v>
      </c>
      <c r="E13" s="5" t="s">
        <v>1234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240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240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91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286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769</v>
      </c>
      <c r="D17" s="5" t="s">
        <v>1334</v>
      </c>
      <c r="E17" s="5" t="s">
        <v>1335</v>
      </c>
      <c r="F17" s="5" t="s">
        <v>118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641</v>
      </c>
      <c r="D18" s="20" t="s">
        <v>1336</v>
      </c>
      <c r="E18" s="20" t="s">
        <v>1337</v>
      </c>
      <c r="F18" s="20" t="s">
        <v>1014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58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58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86</v>
      </c>
      <c r="G21" s="5" t="s">
        <v>70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90</v>
      </c>
      <c r="G22" s="5" t="s">
        <v>98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98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120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 t="shared" ref="H26:S26" si="1">SUBTOTAL(9,H3:H25)</f>
        <v>19680</v>
      </c>
      <c r="I26">
        <f t="shared" si="1"/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1356</v>
      </c>
    </row>
    <row r="30" spans="1:19" ht="20.25" customHeight="1" x14ac:dyDescent="0.3">
      <c r="I30" s="7" t="s">
        <v>1357</v>
      </c>
      <c r="J30" s="8" t="s">
        <v>313</v>
      </c>
      <c r="K30" s="9" t="s">
        <v>314</v>
      </c>
    </row>
    <row r="31" spans="1:19" ht="15.75" customHeight="1" x14ac:dyDescent="0.25">
      <c r="I31" s="10" t="s">
        <v>315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316</v>
      </c>
      <c r="J32" s="13">
        <f>S26</f>
        <v>75</v>
      </c>
      <c r="K32" s="14"/>
    </row>
    <row r="33" spans="9:11" x14ac:dyDescent="0.25">
      <c r="I33" s="12" t="s">
        <v>317</v>
      </c>
      <c r="J33" s="13">
        <f>T25</f>
        <v>0</v>
      </c>
      <c r="K33" s="14"/>
    </row>
    <row r="34" spans="9:11" x14ac:dyDescent="0.25">
      <c r="I34" s="12" t="s">
        <v>318</v>
      </c>
      <c r="J34" s="13">
        <f>U25</f>
        <v>0</v>
      </c>
      <c r="K34" s="14"/>
    </row>
    <row r="35" spans="9:11" x14ac:dyDescent="0.25">
      <c r="I35" s="12" t="s">
        <v>319</v>
      </c>
      <c r="J35" s="13">
        <f>V25</f>
        <v>0</v>
      </c>
      <c r="K35" s="14"/>
    </row>
    <row r="36" spans="9:11" ht="15.75" customHeight="1" x14ac:dyDescent="0.25">
      <c r="I36" s="15" t="s">
        <v>320</v>
      </c>
      <c r="J36" s="16"/>
      <c r="K36" s="16"/>
    </row>
    <row r="37" spans="9:11" ht="15.75" customHeight="1" x14ac:dyDescent="0.25">
      <c r="I37" s="17" t="s">
        <v>321</v>
      </c>
      <c r="J37" s="16"/>
      <c r="K37" s="16"/>
    </row>
    <row r="38" spans="9:11" ht="21" customHeight="1" x14ac:dyDescent="0.35">
      <c r="I38" s="18" t="s">
        <v>322</v>
      </c>
      <c r="J38" s="19">
        <f>SUM(J31:J37)</f>
        <v>18260</v>
      </c>
      <c r="K38" s="19">
        <f>SUM(K31:K35)</f>
        <v>22</v>
      </c>
    </row>
  </sheetData>
  <autoFilter ref="A2:Q24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125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91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125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125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647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125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151</v>
      </c>
      <c r="H8" s="5">
        <v>390</v>
      </c>
      <c r="I8" s="5">
        <v>20</v>
      </c>
      <c r="J8" s="5">
        <f t="shared" si="0"/>
        <v>370</v>
      </c>
      <c r="K8" s="5" t="s">
        <v>125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98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91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98</v>
      </c>
      <c r="H10" s="5">
        <v>1270</v>
      </c>
      <c r="I10" s="5">
        <v>30</v>
      </c>
      <c r="J10" s="5">
        <f t="shared" si="0"/>
        <v>1240</v>
      </c>
      <c r="K10" s="5" t="s">
        <v>125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98</v>
      </c>
      <c r="H11" s="5">
        <v>605</v>
      </c>
      <c r="I11" s="5">
        <v>25</v>
      </c>
      <c r="J11" s="5">
        <f t="shared" si="0"/>
        <v>580</v>
      </c>
      <c r="K11" s="5" t="s">
        <v>125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98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98</v>
      </c>
      <c r="H13" s="5">
        <v>385</v>
      </c>
      <c r="I13" s="5">
        <v>25</v>
      </c>
      <c r="J13" s="5">
        <f t="shared" si="0"/>
        <v>360</v>
      </c>
      <c r="K13" s="5" t="s">
        <v>125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173</v>
      </c>
      <c r="G14" s="5" t="s">
        <v>98</v>
      </c>
      <c r="H14" s="5">
        <v>995</v>
      </c>
      <c r="I14" s="5">
        <v>25</v>
      </c>
      <c r="J14" s="5">
        <f t="shared" si="0"/>
        <v>970</v>
      </c>
      <c r="K14" s="5" t="s">
        <v>125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91</v>
      </c>
      <c r="B15" s="5" t="s">
        <v>19</v>
      </c>
      <c r="C15" s="5" t="s">
        <v>171</v>
      </c>
      <c r="D15" s="5"/>
      <c r="E15" s="5" t="s">
        <v>172</v>
      </c>
      <c r="F15" s="5" t="s">
        <v>173</v>
      </c>
      <c r="G15" s="5" t="s">
        <v>98</v>
      </c>
      <c r="H15" s="5">
        <v>0</v>
      </c>
      <c r="I15" s="5">
        <v>25</v>
      </c>
      <c r="J15" s="5">
        <f t="shared" si="0"/>
        <v>-25</v>
      </c>
      <c r="K15" s="5" t="s">
        <v>125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102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91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102</v>
      </c>
      <c r="G20" s="5" t="s">
        <v>70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70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70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91</v>
      </c>
      <c r="B23" s="5" t="s">
        <v>19</v>
      </c>
      <c r="C23" s="5" t="s">
        <v>92</v>
      </c>
      <c r="D23" s="5"/>
      <c r="E23" s="5">
        <v>403</v>
      </c>
      <c r="F23" s="5" t="s">
        <v>93</v>
      </c>
      <c r="G23" s="5" t="s">
        <v>70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70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103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91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70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102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251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878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784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784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967</v>
      </c>
      <c r="D34" s="5" t="s">
        <v>1436</v>
      </c>
      <c r="E34" s="5" t="s">
        <v>1437</v>
      </c>
      <c r="F34" s="5" t="s">
        <v>203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690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212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212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232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262</v>
      </c>
      <c r="G41" s="5" t="s">
        <v>240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266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91</v>
      </c>
      <c r="B43" s="5" t="s">
        <v>19</v>
      </c>
      <c r="C43" s="5" t="s">
        <v>837</v>
      </c>
      <c r="D43" s="5"/>
      <c r="E43" s="5" t="s">
        <v>838</v>
      </c>
      <c r="F43" s="5" t="s">
        <v>1463</v>
      </c>
      <c r="G43" s="5" t="s">
        <v>98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286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 t="shared" ref="H46:S46" si="1">SUBTOTAL(9,H3:H45)</f>
        <v>24215</v>
      </c>
      <c r="I46">
        <f t="shared" si="1"/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1468</v>
      </c>
    </row>
    <row r="50" spans="9:11" ht="20.25" customHeight="1" x14ac:dyDescent="0.3">
      <c r="I50" s="7" t="s">
        <v>1469</v>
      </c>
      <c r="J50" s="8" t="s">
        <v>313</v>
      </c>
      <c r="K50" s="9" t="s">
        <v>314</v>
      </c>
    </row>
    <row r="51" spans="9:11" ht="15.75" customHeight="1" x14ac:dyDescent="0.25">
      <c r="I51" s="10" t="s">
        <v>315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316</v>
      </c>
      <c r="J52" s="13">
        <f>S46</f>
        <v>220</v>
      </c>
      <c r="K52" s="14"/>
    </row>
    <row r="53" spans="9:11" x14ac:dyDescent="0.25">
      <c r="I53" s="12" t="s">
        <v>317</v>
      </c>
      <c r="J53" s="13">
        <f>T45</f>
        <v>0</v>
      </c>
      <c r="K53" s="14"/>
    </row>
    <row r="54" spans="9:11" x14ac:dyDescent="0.25">
      <c r="I54" s="12" t="s">
        <v>318</v>
      </c>
      <c r="J54" s="13">
        <f>U45</f>
        <v>0</v>
      </c>
      <c r="K54" s="14"/>
    </row>
    <row r="55" spans="9:11" x14ac:dyDescent="0.25">
      <c r="I55" s="12" t="s">
        <v>319</v>
      </c>
      <c r="J55" s="13">
        <f>V45</f>
        <v>0</v>
      </c>
      <c r="K55" s="14"/>
    </row>
    <row r="56" spans="9:11" ht="15.75" customHeight="1" x14ac:dyDescent="0.25">
      <c r="I56" s="15" t="s">
        <v>320</v>
      </c>
      <c r="J56" s="16"/>
      <c r="K56" s="16"/>
    </row>
    <row r="57" spans="9:11" ht="15.75" customHeight="1" x14ac:dyDescent="0.25">
      <c r="I57" s="17" t="s">
        <v>321</v>
      </c>
      <c r="J57" s="16"/>
      <c r="K57" s="16"/>
    </row>
    <row r="58" spans="9:11" ht="21" customHeight="1" x14ac:dyDescent="0.35">
      <c r="I58" s="18" t="s">
        <v>322</v>
      </c>
      <c r="J58" s="19">
        <f>SUM(J51:J57)</f>
        <v>22690</v>
      </c>
      <c r="K58" s="19">
        <f>SUM(K51:K55)</f>
        <v>42</v>
      </c>
    </row>
  </sheetData>
  <autoFilter ref="A2:Q4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workbookViewId="0">
      <selection activeCell="T20" sqref="T2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125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905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125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131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125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131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125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196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125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125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146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125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944</v>
      </c>
      <c r="G10" s="5" t="s">
        <v>151</v>
      </c>
      <c r="H10" s="5">
        <v>0</v>
      </c>
      <c r="I10" s="5">
        <v>20</v>
      </c>
      <c r="J10" s="5">
        <f t="shared" si="0"/>
        <v>-20</v>
      </c>
      <c r="K10" s="5" t="s">
        <v>125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98</v>
      </c>
      <c r="H11" s="5">
        <v>745</v>
      </c>
      <c r="I11" s="5">
        <v>25</v>
      </c>
      <c r="J11" s="5">
        <f t="shared" si="0"/>
        <v>720</v>
      </c>
      <c r="K11" s="5" t="s">
        <v>125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98</v>
      </c>
      <c r="H12" s="5">
        <v>815</v>
      </c>
      <c r="I12" s="5">
        <v>25</v>
      </c>
      <c r="J12" s="5">
        <f t="shared" si="0"/>
        <v>790</v>
      </c>
      <c r="K12" s="5" t="s">
        <v>125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91</v>
      </c>
      <c r="B13" s="5" t="s">
        <v>19</v>
      </c>
      <c r="C13" s="5" t="s">
        <v>1499</v>
      </c>
      <c r="D13" s="5"/>
      <c r="E13" s="5" t="s">
        <v>1500</v>
      </c>
      <c r="F13" s="5" t="s">
        <v>173</v>
      </c>
      <c r="G13" s="5" t="s">
        <v>98</v>
      </c>
      <c r="H13" s="5">
        <v>25</v>
      </c>
      <c r="I13" s="5">
        <v>25</v>
      </c>
      <c r="J13" s="5">
        <f t="shared" si="0"/>
        <v>0</v>
      </c>
      <c r="K13" s="5" t="s">
        <v>125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91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857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203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243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213</v>
      </c>
      <c r="D23" s="5" t="s">
        <v>1525</v>
      </c>
      <c r="E23" s="5">
        <v>30</v>
      </c>
      <c r="F23" s="5" t="s">
        <v>215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246</v>
      </c>
      <c r="G26" s="5" t="s">
        <v>240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249</v>
      </c>
      <c r="D27" s="5" t="s">
        <v>1536</v>
      </c>
      <c r="E27" s="5">
        <v>2</v>
      </c>
      <c r="F27" s="5" t="s">
        <v>251</v>
      </c>
      <c r="G27" s="5" t="s">
        <v>240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98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286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670</v>
      </c>
      <c r="G31" s="5" t="s">
        <v>58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280</v>
      </c>
      <c r="G32" s="5" t="s">
        <v>70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70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91</v>
      </c>
      <c r="B34" s="5" t="s">
        <v>19</v>
      </c>
      <c r="C34" s="5" t="s">
        <v>779</v>
      </c>
      <c r="D34" s="5"/>
      <c r="E34" s="5" t="s">
        <v>662</v>
      </c>
      <c r="F34" s="5" t="s">
        <v>97</v>
      </c>
      <c r="G34" s="5" t="s">
        <v>98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1027</v>
      </c>
      <c r="D35" s="5" t="s">
        <v>1556</v>
      </c>
      <c r="E35" s="5">
        <v>72</v>
      </c>
      <c r="F35" s="5" t="s">
        <v>1029</v>
      </c>
      <c r="G35" s="5" t="s">
        <v>98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872</v>
      </c>
      <c r="D36" s="5" t="s">
        <v>1557</v>
      </c>
      <c r="E36" s="5" t="s">
        <v>874</v>
      </c>
      <c r="F36" s="5" t="s">
        <v>875</v>
      </c>
      <c r="G36" s="5" t="s">
        <v>98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878</v>
      </c>
      <c r="G37" s="5" t="s">
        <v>103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111</v>
      </c>
      <c r="G38" s="5" t="s">
        <v>103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1280</v>
      </c>
      <c r="D39" s="5" t="s">
        <v>1563</v>
      </c>
      <c r="E39" s="5" t="s">
        <v>1282</v>
      </c>
      <c r="F39" s="5" t="s">
        <v>1283</v>
      </c>
      <c r="G39" s="5" t="s">
        <v>103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91</v>
      </c>
      <c r="B40" s="5" t="s">
        <v>19</v>
      </c>
      <c r="C40" s="5" t="s">
        <v>665</v>
      </c>
      <c r="D40" s="5"/>
      <c r="E40" s="5" t="s">
        <v>666</v>
      </c>
      <c r="F40" s="5" t="s">
        <v>667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120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1034</v>
      </c>
      <c r="D41" s="5" t="s">
        <v>1564</v>
      </c>
      <c r="E41" s="5" t="s">
        <v>1565</v>
      </c>
      <c r="F41" s="5" t="s">
        <v>1037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120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 t="shared" ref="H43:S43" si="1">SUBTOTAL(9,H3:H42)</f>
        <v>28245</v>
      </c>
      <c r="I43">
        <f t="shared" si="1"/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313</v>
      </c>
      <c r="K47" s="9" t="s">
        <v>314</v>
      </c>
    </row>
    <row r="48" spans="1:19" ht="15.75" customHeight="1" x14ac:dyDescent="0.25">
      <c r="I48" s="10" t="s">
        <v>315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316</v>
      </c>
      <c r="J49" s="13">
        <f>S43</f>
        <v>85</v>
      </c>
      <c r="K49" s="14"/>
    </row>
    <row r="50" spans="9:11" x14ac:dyDescent="0.25">
      <c r="I50" s="12" t="s">
        <v>317</v>
      </c>
      <c r="J50" s="13">
        <f>T42</f>
        <v>0</v>
      </c>
      <c r="K50" s="14"/>
    </row>
    <row r="51" spans="9:11" x14ac:dyDescent="0.25">
      <c r="I51" s="12" t="s">
        <v>318</v>
      </c>
      <c r="J51" s="13">
        <f>U42</f>
        <v>0</v>
      </c>
      <c r="K51" s="14"/>
    </row>
    <row r="52" spans="9:11" x14ac:dyDescent="0.25">
      <c r="I52" s="12" t="s">
        <v>319</v>
      </c>
      <c r="J52" s="13">
        <f>V42</f>
        <v>0</v>
      </c>
      <c r="K52" s="14"/>
    </row>
    <row r="53" spans="9:11" ht="15.75" customHeight="1" x14ac:dyDescent="0.25">
      <c r="I53" s="15" t="s">
        <v>320</v>
      </c>
      <c r="J53" s="16"/>
      <c r="K53" s="16"/>
    </row>
    <row r="54" spans="9:11" ht="15.75" customHeight="1" x14ac:dyDescent="0.25">
      <c r="I54" s="17" t="s">
        <v>321</v>
      </c>
      <c r="J54" s="16"/>
      <c r="K54" s="16"/>
    </row>
    <row r="55" spans="9:11" ht="21" customHeight="1" x14ac:dyDescent="0.35">
      <c r="I55" s="18" t="s">
        <v>322</v>
      </c>
      <c r="J55" s="19">
        <f>SUM(J48:J54)</f>
        <v>27260</v>
      </c>
      <c r="K55" s="19">
        <f>SUM(K48:K52)</f>
        <v>39</v>
      </c>
    </row>
  </sheetData>
  <autoFilter ref="A2:Q4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125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128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125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921</v>
      </c>
      <c r="F7" s="5" t="s">
        <v>922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125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131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125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1585</v>
      </c>
      <c r="D10" s="5"/>
      <c r="E10" s="5" t="s">
        <v>758</v>
      </c>
      <c r="F10" s="5" t="s">
        <v>759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125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142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125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125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842</v>
      </c>
      <c r="D13" s="5" t="s">
        <v>1592</v>
      </c>
      <c r="E13" s="5">
        <v>312</v>
      </c>
      <c r="F13" s="5" t="s">
        <v>1593</v>
      </c>
      <c r="G13" s="5" t="s">
        <v>151</v>
      </c>
      <c r="H13" s="5">
        <v>520</v>
      </c>
      <c r="I13" s="5">
        <v>20</v>
      </c>
      <c r="J13" s="5">
        <f t="shared" si="0"/>
        <v>500</v>
      </c>
      <c r="K13" s="5" t="s">
        <v>125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151</v>
      </c>
      <c r="H14" s="5">
        <v>730</v>
      </c>
      <c r="I14" s="5">
        <v>20</v>
      </c>
      <c r="J14" s="5">
        <f t="shared" si="0"/>
        <v>710</v>
      </c>
      <c r="K14" s="5" t="s">
        <v>125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945</v>
      </c>
      <c r="D15" s="5" t="s">
        <v>1597</v>
      </c>
      <c r="E15" s="5" t="s">
        <v>947</v>
      </c>
      <c r="F15" s="5" t="s">
        <v>404</v>
      </c>
      <c r="G15" s="5" t="s">
        <v>98</v>
      </c>
      <c r="H15" s="5">
        <v>0</v>
      </c>
      <c r="I15" s="5">
        <v>30</v>
      </c>
      <c r="J15" s="5">
        <f t="shared" si="0"/>
        <v>-30</v>
      </c>
      <c r="K15" s="5" t="s">
        <v>125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98</v>
      </c>
      <c r="H16" s="5">
        <v>25</v>
      </c>
      <c r="I16" s="5">
        <v>25</v>
      </c>
      <c r="J16" s="5">
        <f t="shared" si="0"/>
        <v>0</v>
      </c>
      <c r="K16" s="5" t="s">
        <v>125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91</v>
      </c>
      <c r="B19" s="5" t="s">
        <v>19</v>
      </c>
      <c r="C19" s="5" t="s">
        <v>191</v>
      </c>
      <c r="D19" s="5"/>
      <c r="E19" s="5" t="s">
        <v>192</v>
      </c>
      <c r="F19" s="5" t="s">
        <v>193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213</v>
      </c>
      <c r="D22" s="5" t="s">
        <v>1614</v>
      </c>
      <c r="E22" s="5">
        <v>30</v>
      </c>
      <c r="F22" s="5" t="s">
        <v>215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667</v>
      </c>
      <c r="G23" s="5" t="s">
        <v>240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240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281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846</v>
      </c>
      <c r="D27" s="5" t="s">
        <v>1629</v>
      </c>
      <c r="E27" s="5" t="s">
        <v>848</v>
      </c>
      <c r="F27" s="5" t="s">
        <v>849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860</v>
      </c>
      <c r="G28" s="5" t="s">
        <v>70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91</v>
      </c>
      <c r="B29" s="5" t="s">
        <v>19</v>
      </c>
      <c r="C29" s="5" t="s">
        <v>482</v>
      </c>
      <c r="D29" s="5"/>
      <c r="E29" s="5">
        <v>685</v>
      </c>
      <c r="F29" s="5" t="s">
        <v>93</v>
      </c>
      <c r="G29" s="5" t="s">
        <v>70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103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103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69</v>
      </c>
      <c r="G32" s="5" t="s">
        <v>103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1641</v>
      </c>
    </row>
    <row r="38" spans="1:19" ht="20.25" customHeight="1" x14ac:dyDescent="0.3">
      <c r="I38" s="7" t="s">
        <v>1642</v>
      </c>
      <c r="J38" s="8" t="s">
        <v>313</v>
      </c>
      <c r="K38" s="9" t="s">
        <v>314</v>
      </c>
    </row>
    <row r="39" spans="1:19" ht="15.75" customHeight="1" x14ac:dyDescent="0.25">
      <c r="I39" s="10" t="s">
        <v>315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316</v>
      </c>
      <c r="J40" s="13">
        <f>S34</f>
        <v>215</v>
      </c>
      <c r="K40" s="14"/>
    </row>
    <row r="41" spans="1:19" x14ac:dyDescent="0.25">
      <c r="I41" s="12" t="s">
        <v>317</v>
      </c>
      <c r="J41" s="13">
        <f>T33</f>
        <v>0</v>
      </c>
      <c r="K41" s="14"/>
    </row>
    <row r="42" spans="1:19" x14ac:dyDescent="0.25">
      <c r="I42" s="12" t="s">
        <v>318</v>
      </c>
      <c r="J42" s="13">
        <f>U33</f>
        <v>0</v>
      </c>
      <c r="K42" s="14"/>
    </row>
    <row r="43" spans="1:19" x14ac:dyDescent="0.25">
      <c r="I43" s="12" t="s">
        <v>319</v>
      </c>
      <c r="J43" s="13">
        <f>V33</f>
        <v>0</v>
      </c>
      <c r="K43" s="14"/>
    </row>
    <row r="44" spans="1:19" ht="15.75" customHeight="1" x14ac:dyDescent="0.25">
      <c r="I44" s="15" t="s">
        <v>320</v>
      </c>
      <c r="J44" s="16"/>
      <c r="K44" s="16"/>
    </row>
    <row r="45" spans="1:19" ht="15.75" customHeight="1" x14ac:dyDescent="0.25">
      <c r="I45" s="17" t="s">
        <v>321</v>
      </c>
      <c r="J45" s="16"/>
      <c r="K45" s="16"/>
    </row>
    <row r="46" spans="1:19" ht="21" customHeight="1" x14ac:dyDescent="0.35">
      <c r="I46" s="18" t="s">
        <v>322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131</v>
      </c>
      <c r="F48" s="2">
        <v>4</v>
      </c>
      <c r="G48" s="2">
        <v>0</v>
      </c>
      <c r="H48" s="2">
        <v>25</v>
      </c>
      <c r="I48" s="2">
        <f>G48-H48</f>
        <v>-25</v>
      </c>
      <c r="J48" s="2" t="s">
        <v>125</v>
      </c>
      <c r="K48" s="2" t="s">
        <v>25</v>
      </c>
      <c r="L48" s="2" t="s">
        <v>1570</v>
      </c>
      <c r="M48" s="3" t="s">
        <v>1584</v>
      </c>
    </row>
  </sheetData>
  <autoFilter ref="A2:Q32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topLeftCell="A68"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670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34" si="0">H3-I3</f>
        <v>710</v>
      </c>
      <c r="K3" s="5" t="s">
        <v>125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125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125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125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1208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125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743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125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128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125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125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670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182</v>
      </c>
      <c r="D13" s="5" t="s">
        <v>1669</v>
      </c>
      <c r="E13" s="5" t="s">
        <v>1670</v>
      </c>
      <c r="F13" s="5" t="s">
        <v>757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125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</v>
      </c>
      <c r="D14" s="5" t="s">
        <v>1671</v>
      </c>
      <c r="E14" s="5">
        <v>230</v>
      </c>
      <c r="F14" s="5" t="s">
        <v>134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125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125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91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151</v>
      </c>
      <c r="H16" s="5">
        <v>20</v>
      </c>
      <c r="I16" s="5">
        <v>20</v>
      </c>
      <c r="J16" s="5">
        <f t="shared" si="0"/>
        <v>0</v>
      </c>
      <c r="K16" s="5" t="s">
        <v>125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665</v>
      </c>
      <c r="D17" s="5"/>
      <c r="E17" s="5">
        <v>112</v>
      </c>
      <c r="F17" s="5" t="s">
        <v>1677</v>
      </c>
      <c r="G17" s="5" t="s">
        <v>98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91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98</v>
      </c>
      <c r="H18" s="5">
        <v>780</v>
      </c>
      <c r="I18" s="5">
        <v>30</v>
      </c>
      <c r="J18" s="5">
        <f t="shared" si="0"/>
        <v>750</v>
      </c>
      <c r="K18" s="5" t="s">
        <v>125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98</v>
      </c>
      <c r="H19" s="5">
        <v>0</v>
      </c>
      <c r="I19" s="5">
        <v>25</v>
      </c>
      <c r="J19" s="5">
        <f t="shared" si="0"/>
        <v>-25</v>
      </c>
      <c r="K19" s="5" t="s">
        <v>125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662</v>
      </c>
      <c r="F20" s="5" t="s">
        <v>97</v>
      </c>
      <c r="G20" s="5" t="s">
        <v>98</v>
      </c>
      <c r="H20" s="5">
        <v>735</v>
      </c>
      <c r="I20" s="5">
        <v>25</v>
      </c>
      <c r="J20" s="5">
        <f t="shared" si="0"/>
        <v>710</v>
      </c>
      <c r="K20" s="5" t="s">
        <v>125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1684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125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91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952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709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258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805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91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ref="J35:J66" si="1">H35-I35</f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91</v>
      </c>
      <c r="B36" s="5" t="s">
        <v>19</v>
      </c>
      <c r="C36" s="5" t="s">
        <v>1717</v>
      </c>
      <c r="D36" s="5"/>
      <c r="E36" s="5">
        <v>61</v>
      </c>
      <c r="F36" s="5" t="s">
        <v>1283</v>
      </c>
      <c r="G36" s="5">
        <v>12</v>
      </c>
      <c r="H36" s="5">
        <v>35</v>
      </c>
      <c r="I36" s="5">
        <v>35</v>
      </c>
      <c r="J36" s="5">
        <f t="shared" si="1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232</v>
      </c>
      <c r="H37" s="5">
        <v>0</v>
      </c>
      <c r="I37" s="5">
        <v>35</v>
      </c>
      <c r="J37" s="5">
        <f t="shared" si="1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102</v>
      </c>
      <c r="G38" s="5" t="s">
        <v>240</v>
      </c>
      <c r="H38" s="5">
        <v>1560</v>
      </c>
      <c r="I38" s="5">
        <v>30</v>
      </c>
      <c r="J38" s="5">
        <f t="shared" si="1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246</v>
      </c>
      <c r="G39" s="20" t="s">
        <v>240</v>
      </c>
      <c r="H39" s="20">
        <v>2530</v>
      </c>
      <c r="I39" s="20">
        <v>35</v>
      </c>
      <c r="J39" s="20">
        <f t="shared" si="1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240</v>
      </c>
      <c r="H40" s="20">
        <v>2890</v>
      </c>
      <c r="I40" s="20">
        <v>35</v>
      </c>
      <c r="J40" s="20">
        <f t="shared" si="1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769</v>
      </c>
      <c r="D41" s="5" t="s">
        <v>1727</v>
      </c>
      <c r="E41" s="5">
        <v>104</v>
      </c>
      <c r="F41" s="5" t="s">
        <v>820</v>
      </c>
      <c r="G41" s="5" t="s">
        <v>240</v>
      </c>
      <c r="H41" s="5">
        <v>950</v>
      </c>
      <c r="I41" s="5">
        <v>30</v>
      </c>
      <c r="J41" s="5">
        <f t="shared" si="1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776</v>
      </c>
      <c r="D42" s="5" t="s">
        <v>1728</v>
      </c>
      <c r="E42" s="5" t="s">
        <v>825</v>
      </c>
      <c r="F42" s="5" t="s">
        <v>826</v>
      </c>
      <c r="G42" s="5" t="s">
        <v>240</v>
      </c>
      <c r="H42" s="5">
        <v>1660</v>
      </c>
      <c r="I42" s="5">
        <v>30</v>
      </c>
      <c r="J42" s="5">
        <f t="shared" si="1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266</v>
      </c>
      <c r="G43" s="5" t="s">
        <v>240</v>
      </c>
      <c r="H43" s="5">
        <v>750</v>
      </c>
      <c r="I43" s="5">
        <v>30</v>
      </c>
      <c r="J43" s="5">
        <f t="shared" si="1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240</v>
      </c>
      <c r="H44" s="5">
        <v>0</v>
      </c>
      <c r="I44" s="5">
        <v>45</v>
      </c>
      <c r="J44" s="5">
        <f t="shared" si="1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293</v>
      </c>
      <c r="G45" s="5" t="s">
        <v>286</v>
      </c>
      <c r="H45" s="5">
        <v>375</v>
      </c>
      <c r="I45" s="5">
        <v>25</v>
      </c>
      <c r="J45" s="5">
        <f t="shared" si="1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286</v>
      </c>
      <c r="H46" s="5">
        <v>875</v>
      </c>
      <c r="I46" s="5">
        <v>25</v>
      </c>
      <c r="J46" s="5">
        <f t="shared" si="1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286</v>
      </c>
      <c r="H47" s="5">
        <v>515</v>
      </c>
      <c r="I47" s="5">
        <v>25</v>
      </c>
      <c r="J47" s="5">
        <f t="shared" si="1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286</v>
      </c>
      <c r="H48" s="5">
        <v>0</v>
      </c>
      <c r="I48" s="5">
        <v>25</v>
      </c>
      <c r="J48" s="5">
        <f t="shared" si="1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1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1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1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1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848</v>
      </c>
      <c r="F53" s="5" t="s">
        <v>36</v>
      </c>
      <c r="G53" s="5">
        <v>2</v>
      </c>
      <c r="H53" s="5">
        <v>750</v>
      </c>
      <c r="I53" s="5">
        <v>30</v>
      </c>
      <c r="J53" s="5">
        <f t="shared" si="1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35</v>
      </c>
      <c r="F54" s="5" t="s">
        <v>36</v>
      </c>
      <c r="G54" s="5">
        <v>2</v>
      </c>
      <c r="H54" s="5">
        <v>750</v>
      </c>
      <c r="I54" s="5">
        <v>30</v>
      </c>
      <c r="J54" s="5">
        <f t="shared" si="1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769</v>
      </c>
      <c r="D55" s="5" t="s">
        <v>1758</v>
      </c>
      <c r="E55" s="5" t="s">
        <v>1335</v>
      </c>
      <c r="F55" s="5" t="s">
        <v>118</v>
      </c>
      <c r="G55" s="5">
        <v>2</v>
      </c>
      <c r="H55" s="5">
        <v>750</v>
      </c>
      <c r="I55" s="5">
        <v>30</v>
      </c>
      <c r="J55" s="5">
        <f t="shared" si="1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44</v>
      </c>
      <c r="G56" s="5">
        <v>2</v>
      </c>
      <c r="H56" s="5">
        <v>870</v>
      </c>
      <c r="I56" s="5">
        <v>30</v>
      </c>
      <c r="J56" s="5">
        <f t="shared" si="1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58</v>
      </c>
      <c r="H57" s="5">
        <v>600</v>
      </c>
      <c r="I57" s="5">
        <v>20</v>
      </c>
      <c r="J57" s="5">
        <f t="shared" si="1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58</v>
      </c>
      <c r="H58" s="5">
        <v>870</v>
      </c>
      <c r="I58" s="5">
        <v>20</v>
      </c>
      <c r="J58" s="5">
        <f t="shared" si="1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62</v>
      </c>
      <c r="G59" s="5" t="s">
        <v>58</v>
      </c>
      <c r="H59" s="5">
        <v>1070</v>
      </c>
      <c r="I59" s="5">
        <v>20</v>
      </c>
      <c r="J59" s="5">
        <f t="shared" si="1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107</v>
      </c>
      <c r="G60" s="5" t="s">
        <v>58</v>
      </c>
      <c r="H60" s="5">
        <v>810</v>
      </c>
      <c r="I60" s="5">
        <v>20</v>
      </c>
      <c r="J60" s="5">
        <f t="shared" si="1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670</v>
      </c>
      <c r="G61" s="5" t="s">
        <v>58</v>
      </c>
      <c r="H61" s="5">
        <v>750</v>
      </c>
      <c r="I61" s="5">
        <v>20</v>
      </c>
      <c r="J61" s="5">
        <f t="shared" si="1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670</v>
      </c>
      <c r="G62" s="5" t="s">
        <v>58</v>
      </c>
      <c r="H62" s="5">
        <v>850</v>
      </c>
      <c r="I62" s="5">
        <v>20</v>
      </c>
      <c r="J62" s="5">
        <f t="shared" si="1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65</v>
      </c>
      <c r="G63" s="5" t="s">
        <v>58</v>
      </c>
      <c r="H63" s="5">
        <v>780</v>
      </c>
      <c r="I63" s="5">
        <v>20</v>
      </c>
      <c r="J63" s="5">
        <f t="shared" si="1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91</v>
      </c>
      <c r="B64" s="5" t="s">
        <v>19</v>
      </c>
      <c r="C64" s="5" t="s">
        <v>1781</v>
      </c>
      <c r="D64" s="5"/>
      <c r="E64" s="5" t="s">
        <v>655</v>
      </c>
      <c r="F64" s="5" t="s">
        <v>163</v>
      </c>
      <c r="G64" s="5" t="s">
        <v>70</v>
      </c>
      <c r="H64" s="5">
        <v>4110</v>
      </c>
      <c r="I64" s="5">
        <v>30</v>
      </c>
      <c r="J64" s="5">
        <f t="shared" si="1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91</v>
      </c>
      <c r="B65" s="5" t="s">
        <v>19</v>
      </c>
      <c r="C65" s="5" t="s">
        <v>1782</v>
      </c>
      <c r="D65" s="5"/>
      <c r="E65" s="5" t="s">
        <v>1783</v>
      </c>
      <c r="F65" s="5" t="s">
        <v>163</v>
      </c>
      <c r="G65" s="5" t="s">
        <v>70</v>
      </c>
      <c r="H65" s="5">
        <v>30</v>
      </c>
      <c r="I65" s="5">
        <v>30</v>
      </c>
      <c r="J65" s="5">
        <f t="shared" si="1"/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70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871</v>
      </c>
      <c r="G67" s="5" t="s">
        <v>70</v>
      </c>
      <c r="H67" s="5">
        <v>1075</v>
      </c>
      <c r="I67" s="5">
        <v>25</v>
      </c>
      <c r="J67" s="5">
        <f t="shared" ref="J67:J81" si="2">H67-I67</f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860</v>
      </c>
      <c r="G68" s="5" t="s">
        <v>70</v>
      </c>
      <c r="H68" s="5">
        <v>1985</v>
      </c>
      <c r="I68" s="5">
        <v>25</v>
      </c>
      <c r="J68" s="5">
        <f t="shared" si="2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74</v>
      </c>
      <c r="G69" s="5" t="s">
        <v>70</v>
      </c>
      <c r="H69" s="5">
        <v>385</v>
      </c>
      <c r="I69" s="5">
        <v>25</v>
      </c>
      <c r="J69" s="5">
        <f t="shared" si="2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71</v>
      </c>
      <c r="D70" s="5" t="s">
        <v>1795</v>
      </c>
      <c r="E70" s="5" t="s">
        <v>73</v>
      </c>
      <c r="F70" s="5" t="s">
        <v>74</v>
      </c>
      <c r="G70" s="5" t="s">
        <v>70</v>
      </c>
      <c r="H70" s="5">
        <v>815</v>
      </c>
      <c r="I70" s="5">
        <v>25</v>
      </c>
      <c r="J70" s="5">
        <f t="shared" si="2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86</v>
      </c>
      <c r="G71" s="5" t="s">
        <v>70</v>
      </c>
      <c r="H71" s="5">
        <v>765</v>
      </c>
      <c r="I71" s="5">
        <v>25</v>
      </c>
      <c r="J71" s="5">
        <f t="shared" si="2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86</v>
      </c>
      <c r="G72" s="5" t="s">
        <v>70</v>
      </c>
      <c r="H72" s="5">
        <v>945</v>
      </c>
      <c r="I72" s="5">
        <v>25</v>
      </c>
      <c r="J72" s="5">
        <f t="shared" si="2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103</v>
      </c>
      <c r="H73" s="5">
        <v>820</v>
      </c>
      <c r="I73" s="5">
        <v>30</v>
      </c>
      <c r="J73" s="5">
        <f t="shared" si="2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694</v>
      </c>
      <c r="G74" s="5" t="s">
        <v>103</v>
      </c>
      <c r="H74" s="5">
        <v>970</v>
      </c>
      <c r="I74" s="5">
        <v>30</v>
      </c>
      <c r="J74" s="5">
        <f t="shared" si="2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103</v>
      </c>
      <c r="H75" s="5">
        <v>1540</v>
      </c>
      <c r="I75" s="5">
        <v>30</v>
      </c>
      <c r="J75" s="5">
        <f t="shared" si="2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2"/>
        <v>350</v>
      </c>
      <c r="K76" s="5" t="s">
        <v>120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2"/>
        <v>760</v>
      </c>
      <c r="K77" s="5" t="s">
        <v>120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670</v>
      </c>
      <c r="G78" s="5">
        <v>9</v>
      </c>
      <c r="H78" s="5">
        <v>740</v>
      </c>
      <c r="I78" s="5">
        <v>30</v>
      </c>
      <c r="J78" s="5">
        <f t="shared" si="2"/>
        <v>710</v>
      </c>
      <c r="K78" s="5" t="s">
        <v>120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670</v>
      </c>
      <c r="G79" s="5">
        <v>9</v>
      </c>
      <c r="H79" s="5">
        <v>1740</v>
      </c>
      <c r="I79" s="5">
        <v>30</v>
      </c>
      <c r="J79" s="5">
        <f t="shared" si="2"/>
        <v>1710</v>
      </c>
      <c r="K79" s="5" t="s">
        <v>120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1284</v>
      </c>
      <c r="D80" s="5" t="s">
        <v>1819</v>
      </c>
      <c r="E80" s="5" t="s">
        <v>1286</v>
      </c>
      <c r="F80" s="5" t="s">
        <v>670</v>
      </c>
      <c r="G80" s="5">
        <v>9</v>
      </c>
      <c r="H80" s="5">
        <v>85</v>
      </c>
      <c r="I80" s="5">
        <v>30</v>
      </c>
      <c r="J80" s="5">
        <f t="shared" si="2"/>
        <v>55</v>
      </c>
      <c r="K80" s="5" t="s">
        <v>120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2"/>
        <v>700</v>
      </c>
      <c r="K81" s="5" t="s">
        <v>120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 t="shared" ref="H83:T83" si="3">SUBTOTAL(9,H3:H82)</f>
        <v>58035</v>
      </c>
      <c r="I83">
        <f t="shared" si="3"/>
        <v>2180</v>
      </c>
      <c r="J83">
        <f t="shared" si="3"/>
        <v>55855</v>
      </c>
      <c r="K83">
        <f t="shared" si="3"/>
        <v>0</v>
      </c>
      <c r="L83">
        <f t="shared" si="3"/>
        <v>0</v>
      </c>
      <c r="M83">
        <f t="shared" si="3"/>
        <v>0</v>
      </c>
      <c r="N83">
        <f t="shared" si="3"/>
        <v>0</v>
      </c>
      <c r="O83">
        <f t="shared" si="3"/>
        <v>0</v>
      </c>
      <c r="P83">
        <f t="shared" si="3"/>
        <v>0</v>
      </c>
      <c r="Q83">
        <f t="shared" si="3"/>
        <v>0</v>
      </c>
      <c r="R83">
        <f t="shared" si="3"/>
        <v>79</v>
      </c>
      <c r="S83">
        <f t="shared" si="3"/>
        <v>420</v>
      </c>
      <c r="T83">
        <f t="shared" si="3"/>
        <v>0</v>
      </c>
    </row>
    <row r="84" spans="1:20" x14ac:dyDescent="0.25">
      <c r="J84">
        <v>-1600</v>
      </c>
      <c r="K84" t="s">
        <v>1823</v>
      </c>
    </row>
    <row r="87" spans="1:20" ht="20.25" customHeight="1" x14ac:dyDescent="0.3">
      <c r="I87" s="7" t="s">
        <v>1824</v>
      </c>
      <c r="J87" s="8" t="s">
        <v>313</v>
      </c>
      <c r="K87" s="9" t="s">
        <v>314</v>
      </c>
    </row>
    <row r="88" spans="1:20" ht="15.75" customHeight="1" x14ac:dyDescent="0.25">
      <c r="I88" s="10" t="s">
        <v>315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316</v>
      </c>
      <c r="J89" s="13">
        <f>S83</f>
        <v>420</v>
      </c>
      <c r="K89" s="14"/>
    </row>
    <row r="90" spans="1:20" x14ac:dyDescent="0.25">
      <c r="I90" s="12" t="s">
        <v>317</v>
      </c>
      <c r="J90" s="13">
        <f>T82</f>
        <v>0</v>
      </c>
      <c r="K90" s="14"/>
    </row>
    <row r="91" spans="1:20" x14ac:dyDescent="0.25">
      <c r="I91" s="12" t="s">
        <v>318</v>
      </c>
      <c r="J91" s="13">
        <f>U82</f>
        <v>0</v>
      </c>
      <c r="K91" s="14"/>
    </row>
    <row r="92" spans="1:20" x14ac:dyDescent="0.25">
      <c r="I92" s="12" t="s">
        <v>319</v>
      </c>
      <c r="J92" s="13">
        <f>V82</f>
        <v>0</v>
      </c>
      <c r="K92" s="14"/>
    </row>
    <row r="93" spans="1:20" ht="15.75" customHeight="1" x14ac:dyDescent="0.25">
      <c r="I93" s="15" t="s">
        <v>320</v>
      </c>
      <c r="J93" s="16"/>
      <c r="K93" s="16"/>
    </row>
    <row r="94" spans="1:20" ht="15.75" customHeight="1" x14ac:dyDescent="0.25">
      <c r="I94" s="17" t="s">
        <v>321</v>
      </c>
      <c r="J94" s="16"/>
      <c r="K94" s="16"/>
    </row>
    <row r="95" spans="1:20" ht="21" customHeight="1" x14ac:dyDescent="0.35">
      <c r="I95" s="18" t="s">
        <v>322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70</v>
      </c>
      <c r="G98" s="2">
        <v>875</v>
      </c>
      <c r="H98" s="2">
        <v>0</v>
      </c>
      <c r="I98" s="2">
        <f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topLeftCell="A3" zoomScale="90" zoomScaleNormal="90" workbookViewId="0">
      <selection activeCell="E6" sqref="E6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</cols>
  <sheetData>
    <row r="1" spans="1:18" x14ac:dyDescent="0.25">
      <c r="B1" t="s">
        <v>330</v>
      </c>
      <c r="C1" t="s">
        <v>1825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1828</v>
      </c>
      <c r="D3" s="5" t="s">
        <v>1829</v>
      </c>
      <c r="E3" s="5" t="s">
        <v>1830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1831</v>
      </c>
      <c r="K3" s="5" t="s">
        <v>25</v>
      </c>
      <c r="L3" s="5" t="s">
        <v>1832</v>
      </c>
      <c r="M3" s="5"/>
      <c r="N3" s="5"/>
      <c r="O3" s="5"/>
      <c r="P3" s="5"/>
      <c r="Q3" s="4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1835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1831</v>
      </c>
      <c r="K4" s="5" t="s">
        <v>25</v>
      </c>
      <c r="L4" s="5" t="s">
        <v>1832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1827</v>
      </c>
      <c r="C5" s="5" t="s">
        <v>1836</v>
      </c>
      <c r="D5" s="5" t="s">
        <v>1837</v>
      </c>
      <c r="E5" s="5" t="s">
        <v>1838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1839</v>
      </c>
      <c r="K5" s="5" t="s">
        <v>25</v>
      </c>
      <c r="L5" s="5" t="s">
        <v>1832</v>
      </c>
      <c r="M5" s="5"/>
      <c r="N5" s="5"/>
      <c r="O5" s="5"/>
      <c r="P5" s="5"/>
      <c r="Q5">
        <v>1</v>
      </c>
    </row>
    <row r="6" spans="1:18" x14ac:dyDescent="0.25">
      <c r="A6" s="5" t="s">
        <v>1833</v>
      </c>
      <c r="B6" s="5" t="s">
        <v>1827</v>
      </c>
      <c r="C6" s="5" t="s">
        <v>1840</v>
      </c>
      <c r="D6" s="5"/>
      <c r="E6" s="5" t="s">
        <v>1841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1839</v>
      </c>
      <c r="K6" s="5" t="s">
        <v>25</v>
      </c>
      <c r="L6" s="5" t="s">
        <v>1832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1833</v>
      </c>
      <c r="B7" s="21" t="s">
        <v>1827</v>
      </c>
      <c r="C7" s="21" t="s">
        <v>1842</v>
      </c>
      <c r="D7" s="21"/>
      <c r="E7" s="21" t="s">
        <v>1843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1839</v>
      </c>
      <c r="K7" s="21" t="s">
        <v>25</v>
      </c>
      <c r="L7" s="21" t="s">
        <v>1832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1827</v>
      </c>
      <c r="C8" s="5" t="s">
        <v>1844</v>
      </c>
      <c r="D8" s="5" t="s">
        <v>1845</v>
      </c>
      <c r="E8" s="5" t="s">
        <v>1846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1839</v>
      </c>
      <c r="K8" s="5" t="s">
        <v>25</v>
      </c>
      <c r="L8" s="5" t="s">
        <v>1832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1827</v>
      </c>
      <c r="C9" s="5" t="s">
        <v>1847</v>
      </c>
      <c r="D9" s="5" t="s">
        <v>1848</v>
      </c>
      <c r="E9" s="5" t="s">
        <v>1849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1839</v>
      </c>
      <c r="K9" s="5" t="s">
        <v>25</v>
      </c>
      <c r="L9" s="5" t="s">
        <v>1832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1827</v>
      </c>
      <c r="C10" s="5" t="s">
        <v>1850</v>
      </c>
      <c r="D10" s="5" t="s">
        <v>1851</v>
      </c>
      <c r="E10" s="5" t="s">
        <v>1852</v>
      </c>
      <c r="F10" s="5" t="s">
        <v>1853</v>
      </c>
      <c r="G10" s="5">
        <v>770</v>
      </c>
      <c r="H10" s="5">
        <v>30</v>
      </c>
      <c r="I10" s="23">
        <f t="shared" si="0"/>
        <v>740</v>
      </c>
      <c r="J10" s="5" t="s">
        <v>1839</v>
      </c>
      <c r="K10" s="5" t="s">
        <v>25</v>
      </c>
      <c r="L10" s="5" t="s">
        <v>1832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1827</v>
      </c>
      <c r="C11" s="5" t="s">
        <v>1854</v>
      </c>
      <c r="D11" s="5" t="s">
        <v>1855</v>
      </c>
      <c r="E11" s="5" t="s">
        <v>1856</v>
      </c>
      <c r="F11" s="5" t="s">
        <v>1853</v>
      </c>
      <c r="G11" s="5">
        <v>820</v>
      </c>
      <c r="H11" s="5">
        <v>30</v>
      </c>
      <c r="I11" s="23">
        <f t="shared" si="0"/>
        <v>790</v>
      </c>
      <c r="J11" s="5" t="s">
        <v>1839</v>
      </c>
      <c r="K11" s="5" t="s">
        <v>25</v>
      </c>
      <c r="L11" s="5" t="s">
        <v>1832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1827</v>
      </c>
      <c r="C12" s="5" t="s">
        <v>1857</v>
      </c>
      <c r="D12" s="5" t="s">
        <v>1858</v>
      </c>
      <c r="E12" s="5" t="s">
        <v>1859</v>
      </c>
      <c r="F12" s="5" t="s">
        <v>98</v>
      </c>
      <c r="G12" s="5">
        <v>945</v>
      </c>
      <c r="H12" s="5">
        <v>25</v>
      </c>
      <c r="I12" s="23">
        <f t="shared" si="0"/>
        <v>920</v>
      </c>
      <c r="J12" s="5" t="s">
        <v>1839</v>
      </c>
      <c r="K12" s="5" t="s">
        <v>25</v>
      </c>
      <c r="L12" s="5" t="s">
        <v>1832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1827</v>
      </c>
      <c r="C13" s="5" t="s">
        <v>1860</v>
      </c>
      <c r="D13" s="5" t="s">
        <v>1861</v>
      </c>
      <c r="E13" s="5" t="s">
        <v>1862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1839</v>
      </c>
      <c r="K13" s="5" t="s">
        <v>25</v>
      </c>
      <c r="L13" s="5" t="s">
        <v>1832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1827</v>
      </c>
      <c r="C14" s="5" t="s">
        <v>1863</v>
      </c>
      <c r="D14" s="5" t="s">
        <v>1864</v>
      </c>
      <c r="E14" s="5" t="s">
        <v>1865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1839</v>
      </c>
      <c r="K14" s="5" t="s">
        <v>25</v>
      </c>
      <c r="L14" s="5" t="s">
        <v>1832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1827</v>
      </c>
      <c r="C15" s="5" t="s">
        <v>1866</v>
      </c>
      <c r="D15" s="5" t="s">
        <v>1867</v>
      </c>
      <c r="E15" s="5" t="s">
        <v>1868</v>
      </c>
      <c r="F15" s="5" t="s">
        <v>70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1832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1827</v>
      </c>
      <c r="C16" s="5" t="s">
        <v>1869</v>
      </c>
      <c r="D16" s="5" t="s">
        <v>1870</v>
      </c>
      <c r="E16" s="5" t="s">
        <v>1871</v>
      </c>
      <c r="F16" s="5" t="s">
        <v>58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1832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1827</v>
      </c>
      <c r="C17" s="5" t="s">
        <v>1872</v>
      </c>
      <c r="D17" s="5" t="s">
        <v>1873</v>
      </c>
      <c r="E17" s="5" t="s">
        <v>1874</v>
      </c>
      <c r="F17" s="5" t="s">
        <v>70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1832</v>
      </c>
      <c r="M17" s="5"/>
      <c r="N17" s="5"/>
      <c r="O17" s="5"/>
      <c r="P17" s="5"/>
      <c r="Q17">
        <v>1</v>
      </c>
    </row>
    <row r="18" spans="1:19" x14ac:dyDescent="0.25">
      <c r="A18" s="5" t="s">
        <v>1833</v>
      </c>
      <c r="B18" s="5" t="s">
        <v>1827</v>
      </c>
      <c r="C18" s="5" t="s">
        <v>1875</v>
      </c>
      <c r="D18" s="5"/>
      <c r="E18" s="5" t="s">
        <v>1876</v>
      </c>
      <c r="F18" s="5" t="s">
        <v>70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1832</v>
      </c>
      <c r="M18" s="5"/>
      <c r="N18" s="5"/>
      <c r="O18" s="5"/>
      <c r="P18" s="5"/>
      <c r="Q18">
        <v>1</v>
      </c>
    </row>
    <row r="19" spans="1:19" x14ac:dyDescent="0.25">
      <c r="A19" s="5" t="s">
        <v>1833</v>
      </c>
      <c r="B19" s="5" t="s">
        <v>1827</v>
      </c>
      <c r="C19" s="5" t="s">
        <v>1877</v>
      </c>
      <c r="D19" s="5"/>
      <c r="E19" s="5" t="s">
        <v>1878</v>
      </c>
      <c r="F19" s="5" t="s">
        <v>70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1832</v>
      </c>
      <c r="M19" s="5"/>
      <c r="N19" s="5"/>
      <c r="O19" s="5"/>
      <c r="P19" s="5"/>
      <c r="Q19">
        <v>1</v>
      </c>
    </row>
    <row r="20" spans="1:19" x14ac:dyDescent="0.25">
      <c r="A20" s="5" t="s">
        <v>1833</v>
      </c>
      <c r="B20" s="5" t="s">
        <v>1827</v>
      </c>
      <c r="C20" s="5" t="s">
        <v>1879</v>
      </c>
      <c r="D20" s="5"/>
      <c r="E20" s="5" t="s">
        <v>1880</v>
      </c>
      <c r="F20" s="5" t="s">
        <v>98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1832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1827</v>
      </c>
      <c r="C21" s="5" t="s">
        <v>1881</v>
      </c>
      <c r="D21" s="5" t="s">
        <v>1882</v>
      </c>
      <c r="E21" s="5" t="s">
        <v>1883</v>
      </c>
      <c r="F21" s="5" t="s">
        <v>98</v>
      </c>
      <c r="G21" s="5">
        <v>0</v>
      </c>
      <c r="H21" s="5">
        <v>25</v>
      </c>
      <c r="I21" s="23">
        <f>-H21</f>
        <v>-25</v>
      </c>
      <c r="J21" s="5" t="s">
        <v>1884</v>
      </c>
      <c r="K21" s="5" t="s">
        <v>25</v>
      </c>
      <c r="L21" s="5" t="s">
        <v>1832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1827</v>
      </c>
      <c r="C22" s="5" t="s">
        <v>1885</v>
      </c>
      <c r="D22" s="5" t="s">
        <v>1886</v>
      </c>
      <c r="E22" s="5" t="s">
        <v>1887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1884</v>
      </c>
      <c r="K22" s="5" t="s">
        <v>25</v>
      </c>
      <c r="L22" s="5" t="s">
        <v>1832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1827</v>
      </c>
      <c r="C23" s="5" t="s">
        <v>1888</v>
      </c>
      <c r="D23" s="5" t="s">
        <v>1889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1884</v>
      </c>
      <c r="K23" s="5" t="s">
        <v>25</v>
      </c>
      <c r="L23" s="5" t="s">
        <v>1832</v>
      </c>
      <c r="M23" s="5"/>
      <c r="N23" s="5"/>
      <c r="O23" s="5"/>
      <c r="P23" s="5"/>
      <c r="Q23">
        <v>1</v>
      </c>
    </row>
    <row r="24" spans="1:19" x14ac:dyDescent="0.25">
      <c r="A24" s="5" t="s">
        <v>1833</v>
      </c>
      <c r="B24" s="5" t="s">
        <v>1827</v>
      </c>
      <c r="C24" s="5" t="s">
        <v>1891</v>
      </c>
      <c r="D24" s="5"/>
      <c r="E24" s="5" t="s">
        <v>1892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1884</v>
      </c>
      <c r="K24" s="5" t="s">
        <v>25</v>
      </c>
      <c r="L24" s="5" t="s">
        <v>1832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1893</v>
      </c>
      <c r="I30" s="8" t="s">
        <v>313</v>
      </c>
      <c r="J30" s="9" t="s">
        <v>314</v>
      </c>
    </row>
    <row r="31" spans="1:19" ht="15.75" customHeight="1" x14ac:dyDescent="0.25">
      <c r="H31" s="10" t="s">
        <v>315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316</v>
      </c>
      <c r="I32" s="13">
        <f>R26</f>
        <v>145</v>
      </c>
      <c r="J32" s="14"/>
    </row>
    <row r="33" spans="8:10" x14ac:dyDescent="0.25">
      <c r="H33" s="12" t="s">
        <v>317</v>
      </c>
      <c r="I33" s="13">
        <f>S25</f>
        <v>0</v>
      </c>
      <c r="J33" s="14"/>
    </row>
    <row r="34" spans="8:10" x14ac:dyDescent="0.25">
      <c r="H34" s="12" t="s">
        <v>318</v>
      </c>
      <c r="I34" s="13">
        <f>T25</f>
        <v>0</v>
      </c>
      <c r="J34" s="14"/>
    </row>
    <row r="35" spans="8:10" x14ac:dyDescent="0.25">
      <c r="H35" s="12" t="s">
        <v>319</v>
      </c>
      <c r="I35" s="13">
        <f>U25</f>
        <v>0</v>
      </c>
      <c r="J35" s="14"/>
    </row>
    <row r="36" spans="8:10" ht="15.75" customHeight="1" x14ac:dyDescent="0.25">
      <c r="H36" s="15" t="s">
        <v>320</v>
      </c>
      <c r="I36" s="16"/>
      <c r="J36" s="16"/>
    </row>
    <row r="37" spans="8:10" ht="15.75" customHeight="1" x14ac:dyDescent="0.25">
      <c r="H37" s="17" t="s">
        <v>321</v>
      </c>
      <c r="I37" s="16"/>
      <c r="J37" s="16"/>
    </row>
    <row r="38" spans="8:10" ht="21" customHeight="1" x14ac:dyDescent="0.35">
      <c r="H38" s="18" t="s">
        <v>322</v>
      </c>
      <c r="I38" s="19">
        <f>SUM(I31:I37)</f>
        <v>12440</v>
      </c>
      <c r="J38" s="19">
        <f>SUM(J31:J35)</f>
        <v>22</v>
      </c>
    </row>
  </sheetData>
  <autoFilter ref="A2:P24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topLeftCell="A6" zoomScale="85" zoomScaleNormal="85" workbookViewId="0">
      <selection activeCell="Q3" sqref="Q3:Q21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1894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1895</v>
      </c>
      <c r="D3" s="5" t="s">
        <v>1896</v>
      </c>
      <c r="E3" s="5" t="s">
        <v>1897</v>
      </c>
      <c r="F3" s="5">
        <v>7</v>
      </c>
      <c r="G3" s="5">
        <v>670</v>
      </c>
      <c r="H3" s="5">
        <v>30</v>
      </c>
      <c r="I3" s="23">
        <v>640</v>
      </c>
      <c r="J3" s="5" t="s">
        <v>1898</v>
      </c>
      <c r="K3" s="5" t="s">
        <v>25</v>
      </c>
      <c r="L3" s="5" t="s">
        <v>1899</v>
      </c>
      <c r="M3" s="5" t="s">
        <v>350</v>
      </c>
      <c r="N3" s="5"/>
      <c r="O3" s="5"/>
      <c r="P3" s="5"/>
      <c r="Q3" s="50">
        <v>1</v>
      </c>
    </row>
    <row r="4" spans="1:18" x14ac:dyDescent="0.25">
      <c r="A4" s="5"/>
      <c r="B4" s="5" t="s">
        <v>1827</v>
      </c>
      <c r="C4" s="5" t="s">
        <v>1895</v>
      </c>
      <c r="D4" s="5" t="s">
        <v>1900</v>
      </c>
      <c r="E4" s="5" t="s">
        <v>1897</v>
      </c>
      <c r="F4" s="5">
        <v>7</v>
      </c>
      <c r="G4" s="5">
        <v>350</v>
      </c>
      <c r="H4" s="5">
        <v>0</v>
      </c>
      <c r="I4" s="23">
        <v>350</v>
      </c>
      <c r="J4" s="5" t="s">
        <v>1898</v>
      </c>
      <c r="K4" s="5" t="s">
        <v>25</v>
      </c>
      <c r="L4" s="5" t="s">
        <v>1899</v>
      </c>
      <c r="M4" s="5" t="s">
        <v>350</v>
      </c>
      <c r="N4" s="5"/>
      <c r="O4" s="5"/>
      <c r="P4" s="5"/>
      <c r="Q4" s="50">
        <v>1</v>
      </c>
    </row>
    <row r="5" spans="1:18" x14ac:dyDescent="0.25">
      <c r="A5" s="5"/>
      <c r="B5" s="5" t="s">
        <v>1827</v>
      </c>
      <c r="C5" s="5" t="s">
        <v>1901</v>
      </c>
      <c r="D5" s="5" t="s">
        <v>1902</v>
      </c>
      <c r="E5" s="5" t="s">
        <v>1903</v>
      </c>
      <c r="F5" s="5">
        <v>9</v>
      </c>
      <c r="G5" s="5">
        <v>670</v>
      </c>
      <c r="H5" s="5">
        <v>30</v>
      </c>
      <c r="I5" s="23">
        <v>640</v>
      </c>
      <c r="J5" s="5" t="s">
        <v>1898</v>
      </c>
      <c r="K5" s="5" t="s">
        <v>25</v>
      </c>
      <c r="L5" s="5" t="s">
        <v>1899</v>
      </c>
      <c r="M5" s="5"/>
      <c r="N5" s="5"/>
      <c r="O5" s="5"/>
      <c r="P5" s="5"/>
      <c r="Q5" s="50">
        <v>1</v>
      </c>
    </row>
    <row r="6" spans="1:18" x14ac:dyDescent="0.25">
      <c r="A6" s="5"/>
      <c r="B6" s="5" t="s">
        <v>1827</v>
      </c>
      <c r="C6" s="5" t="s">
        <v>1904</v>
      </c>
      <c r="D6" s="5" t="s">
        <v>1905</v>
      </c>
      <c r="E6" s="5" t="s">
        <v>1906</v>
      </c>
      <c r="F6" s="5">
        <v>12</v>
      </c>
      <c r="G6" s="5">
        <v>730</v>
      </c>
      <c r="H6" s="5">
        <v>30</v>
      </c>
      <c r="I6" s="23">
        <v>700</v>
      </c>
      <c r="J6" s="5" t="s">
        <v>1898</v>
      </c>
      <c r="K6" s="5" t="s">
        <v>25</v>
      </c>
      <c r="L6" s="5" t="s">
        <v>1899</v>
      </c>
      <c r="M6" s="5"/>
      <c r="N6" s="5"/>
      <c r="O6" s="5"/>
      <c r="P6" s="5"/>
      <c r="Q6" s="50">
        <v>1</v>
      </c>
    </row>
    <row r="7" spans="1:18" s="22" customFormat="1" x14ac:dyDescent="0.25">
      <c r="A7" s="21"/>
      <c r="B7" s="21" t="s">
        <v>1827</v>
      </c>
      <c r="C7" s="21" t="s">
        <v>1907</v>
      </c>
      <c r="D7" s="21" t="s">
        <v>1908</v>
      </c>
      <c r="E7" s="21" t="s">
        <v>1909</v>
      </c>
      <c r="F7" s="21">
        <v>12</v>
      </c>
      <c r="G7" s="21">
        <v>0</v>
      </c>
      <c r="H7" s="21">
        <v>30</v>
      </c>
      <c r="I7" s="24">
        <v>-30</v>
      </c>
      <c r="J7" s="21" t="s">
        <v>1898</v>
      </c>
      <c r="K7" s="21" t="s">
        <v>25</v>
      </c>
      <c r="L7" s="21" t="s">
        <v>1899</v>
      </c>
      <c r="M7" s="21"/>
      <c r="N7" s="21"/>
      <c r="O7" s="21"/>
      <c r="P7" s="21"/>
      <c r="Q7" s="42">
        <v>1</v>
      </c>
      <c r="R7" s="22">
        <f>H7</f>
        <v>30</v>
      </c>
    </row>
    <row r="8" spans="1:18" x14ac:dyDescent="0.25">
      <c r="A8" s="5"/>
      <c r="B8" s="5" t="s">
        <v>1827</v>
      </c>
      <c r="C8" s="5" t="s">
        <v>1910</v>
      </c>
      <c r="D8" s="5" t="s">
        <v>1911</v>
      </c>
      <c r="E8" s="5" t="s">
        <v>1912</v>
      </c>
      <c r="F8" s="5">
        <v>12</v>
      </c>
      <c r="G8" s="5">
        <v>0</v>
      </c>
      <c r="H8" s="5">
        <v>30</v>
      </c>
      <c r="I8" s="23">
        <v>-30</v>
      </c>
      <c r="J8" s="5" t="s">
        <v>1898</v>
      </c>
      <c r="K8" s="5" t="s">
        <v>25</v>
      </c>
      <c r="L8" s="5" t="s">
        <v>1899</v>
      </c>
      <c r="M8" s="5" t="s">
        <v>472</v>
      </c>
      <c r="N8" s="5"/>
      <c r="O8" s="5"/>
      <c r="P8" s="5"/>
      <c r="Q8" s="50">
        <v>1</v>
      </c>
      <c r="R8" s="22">
        <f>H8</f>
        <v>30</v>
      </c>
    </row>
    <row r="9" spans="1:18" x14ac:dyDescent="0.25">
      <c r="A9" s="5"/>
      <c r="B9" s="5" t="s">
        <v>1827</v>
      </c>
      <c r="C9" s="5" t="s">
        <v>1913</v>
      </c>
      <c r="D9" s="5" t="s">
        <v>1914</v>
      </c>
      <c r="E9" s="5" t="s">
        <v>1915</v>
      </c>
      <c r="F9" s="5" t="s">
        <v>607</v>
      </c>
      <c r="G9" s="5">
        <v>755</v>
      </c>
      <c r="H9" s="5">
        <v>25</v>
      </c>
      <c r="I9" s="23">
        <v>730</v>
      </c>
      <c r="J9" s="5" t="s">
        <v>1898</v>
      </c>
      <c r="K9" s="5" t="s">
        <v>25</v>
      </c>
      <c r="L9" s="5" t="s">
        <v>1899</v>
      </c>
      <c r="M9" s="5"/>
      <c r="N9" s="5"/>
      <c r="O9" s="5"/>
      <c r="P9" s="5"/>
      <c r="Q9" s="50">
        <v>1</v>
      </c>
    </row>
    <row r="10" spans="1:18" x14ac:dyDescent="0.25">
      <c r="A10" s="5" t="s">
        <v>1833</v>
      </c>
      <c r="B10" s="5" t="s">
        <v>1827</v>
      </c>
      <c r="C10" s="5" t="s">
        <v>1916</v>
      </c>
      <c r="D10" s="5"/>
      <c r="E10" s="5" t="s">
        <v>1917</v>
      </c>
      <c r="F10" s="5" t="s">
        <v>98</v>
      </c>
      <c r="G10" s="5">
        <v>1860</v>
      </c>
      <c r="H10" s="5">
        <v>30</v>
      </c>
      <c r="I10" s="23">
        <v>1830</v>
      </c>
      <c r="J10" s="5" t="s">
        <v>1898</v>
      </c>
      <c r="K10" s="5" t="s">
        <v>25</v>
      </c>
      <c r="L10" s="5" t="s">
        <v>1899</v>
      </c>
      <c r="M10" s="5" t="s">
        <v>1918</v>
      </c>
      <c r="N10" s="5"/>
      <c r="O10" s="5"/>
      <c r="P10" s="5"/>
      <c r="Q10" s="50">
        <v>1</v>
      </c>
    </row>
    <row r="11" spans="1:18" x14ac:dyDescent="0.25">
      <c r="A11" s="5"/>
      <c r="B11" s="5" t="s">
        <v>1827</v>
      </c>
      <c r="C11" s="5" t="s">
        <v>1919</v>
      </c>
      <c r="D11" s="5" t="s">
        <v>1920</v>
      </c>
      <c r="E11" s="5" t="s">
        <v>1921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1899</v>
      </c>
      <c r="M11" s="5"/>
      <c r="N11" s="5"/>
      <c r="O11" s="5"/>
      <c r="P11" s="5"/>
      <c r="Q11" s="50">
        <v>1</v>
      </c>
    </row>
    <row r="12" spans="1:18" x14ac:dyDescent="0.25">
      <c r="A12" s="5"/>
      <c r="B12" s="5" t="s">
        <v>1827</v>
      </c>
      <c r="C12" s="5" t="s">
        <v>1922</v>
      </c>
      <c r="D12" s="5" t="s">
        <v>1923</v>
      </c>
      <c r="E12" s="5" t="s">
        <v>1924</v>
      </c>
      <c r="F12" s="5" t="s">
        <v>58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1899</v>
      </c>
      <c r="M12" s="5"/>
      <c r="N12" s="5"/>
      <c r="O12" s="5"/>
      <c r="P12" s="5"/>
      <c r="Q12" s="50">
        <v>1</v>
      </c>
    </row>
    <row r="13" spans="1:18" x14ac:dyDescent="0.25">
      <c r="A13" s="5"/>
      <c r="B13" s="5" t="s">
        <v>1827</v>
      </c>
      <c r="C13" s="5" t="s">
        <v>1925</v>
      </c>
      <c r="D13" s="5" t="s">
        <v>1926</v>
      </c>
      <c r="E13" s="5" t="s">
        <v>1927</v>
      </c>
      <c r="F13" s="5" t="s">
        <v>58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1899</v>
      </c>
      <c r="M13" s="5"/>
      <c r="N13" s="5"/>
      <c r="O13" s="5"/>
      <c r="P13" s="5"/>
      <c r="Q13" s="50">
        <v>1</v>
      </c>
      <c r="R13" s="22">
        <f>H13</f>
        <v>20</v>
      </c>
    </row>
    <row r="14" spans="1:18" x14ac:dyDescent="0.25">
      <c r="A14" s="5"/>
      <c r="B14" s="5" t="s">
        <v>1827</v>
      </c>
      <c r="C14" s="5" t="s">
        <v>1928</v>
      </c>
      <c r="D14" s="5" t="s">
        <v>1929</v>
      </c>
      <c r="E14" s="5" t="s">
        <v>1930</v>
      </c>
      <c r="F14" s="5" t="s">
        <v>58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1899</v>
      </c>
      <c r="M14" s="5"/>
      <c r="N14" s="5"/>
      <c r="O14" s="5"/>
      <c r="P14" s="5"/>
      <c r="Q14" s="50">
        <v>1</v>
      </c>
    </row>
    <row r="15" spans="1:18" x14ac:dyDescent="0.25">
      <c r="A15" s="5" t="s">
        <v>1833</v>
      </c>
      <c r="B15" s="5" t="s">
        <v>1827</v>
      </c>
      <c r="C15" s="5" t="s">
        <v>1931</v>
      </c>
      <c r="D15" s="5"/>
      <c r="E15" s="5" t="s">
        <v>1932</v>
      </c>
      <c r="F15" s="5" t="s">
        <v>58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1899</v>
      </c>
      <c r="M15" s="5"/>
      <c r="N15" s="5"/>
      <c r="O15" s="5"/>
      <c r="P15" s="5"/>
      <c r="Q15" s="50">
        <v>1</v>
      </c>
    </row>
    <row r="16" spans="1:18" x14ac:dyDescent="0.25">
      <c r="A16" s="5" t="s">
        <v>1833</v>
      </c>
      <c r="B16" s="5" t="s">
        <v>1827</v>
      </c>
      <c r="C16" s="5" t="s">
        <v>1933</v>
      </c>
      <c r="D16" s="5"/>
      <c r="E16" s="5" t="s">
        <v>1934</v>
      </c>
      <c r="F16" s="5" t="s">
        <v>70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1899</v>
      </c>
      <c r="M16" s="5"/>
      <c r="N16" s="5"/>
      <c r="O16" s="5"/>
      <c r="P16" s="5"/>
      <c r="Q16" s="50">
        <v>1</v>
      </c>
    </row>
    <row r="17" spans="1:19" x14ac:dyDescent="0.25">
      <c r="A17" s="5" t="s">
        <v>1833</v>
      </c>
      <c r="B17" s="5" t="s">
        <v>1827</v>
      </c>
      <c r="C17" s="5" t="s">
        <v>1935</v>
      </c>
      <c r="D17" s="5"/>
      <c r="E17" s="5" t="s">
        <v>1936</v>
      </c>
      <c r="F17" s="5" t="s">
        <v>70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1899</v>
      </c>
      <c r="M17" s="5"/>
      <c r="N17" s="5"/>
      <c r="O17" s="5"/>
      <c r="P17" s="5"/>
      <c r="Q17" s="50">
        <v>1</v>
      </c>
      <c r="R17" s="22">
        <f>H17</f>
        <v>30</v>
      </c>
    </row>
    <row r="18" spans="1:19" x14ac:dyDescent="0.25">
      <c r="A18" s="5"/>
      <c r="B18" s="5" t="s">
        <v>1827</v>
      </c>
      <c r="C18" s="5" t="s">
        <v>1937</v>
      </c>
      <c r="D18" s="5" t="s">
        <v>1938</v>
      </c>
      <c r="E18" s="5" t="s">
        <v>1939</v>
      </c>
      <c r="F18" s="5">
        <v>10</v>
      </c>
      <c r="G18" s="5">
        <v>1455</v>
      </c>
      <c r="H18" s="5">
        <v>25</v>
      </c>
      <c r="I18" s="23">
        <v>1430</v>
      </c>
      <c r="J18" s="5" t="s">
        <v>1884</v>
      </c>
      <c r="K18" s="5" t="s">
        <v>25</v>
      </c>
      <c r="L18" s="5" t="s">
        <v>1899</v>
      </c>
      <c r="M18" s="5"/>
      <c r="N18" s="5"/>
      <c r="O18" s="5"/>
      <c r="P18" s="5"/>
      <c r="Q18" s="50">
        <v>1</v>
      </c>
    </row>
    <row r="19" spans="1:19" x14ac:dyDescent="0.25">
      <c r="A19" s="5"/>
      <c r="B19" s="5" t="s">
        <v>1827</v>
      </c>
      <c r="C19" s="5" t="s">
        <v>1940</v>
      </c>
      <c r="D19" s="5" t="s">
        <v>1941</v>
      </c>
      <c r="E19" s="5" t="s">
        <v>1942</v>
      </c>
      <c r="F19" s="5" t="s">
        <v>151</v>
      </c>
      <c r="G19" s="5">
        <v>660</v>
      </c>
      <c r="H19" s="5">
        <v>20</v>
      </c>
      <c r="I19" s="23">
        <v>640</v>
      </c>
      <c r="J19" s="5" t="s">
        <v>1884</v>
      </c>
      <c r="K19" s="5" t="s">
        <v>25</v>
      </c>
      <c r="L19" s="5" t="s">
        <v>1899</v>
      </c>
      <c r="M19" s="5"/>
      <c r="N19" s="5"/>
      <c r="O19" s="5"/>
      <c r="P19" s="5"/>
      <c r="Q19" s="50">
        <v>1</v>
      </c>
    </row>
    <row r="20" spans="1:19" x14ac:dyDescent="0.25">
      <c r="A20" s="5"/>
      <c r="B20" s="5" t="s">
        <v>1827</v>
      </c>
      <c r="C20" s="5" t="s">
        <v>1943</v>
      </c>
      <c r="D20" s="5" t="s">
        <v>1944</v>
      </c>
      <c r="E20" s="5" t="s">
        <v>1945</v>
      </c>
      <c r="F20" s="5" t="s">
        <v>151</v>
      </c>
      <c r="G20" s="5">
        <v>600</v>
      </c>
      <c r="H20" s="5">
        <v>20</v>
      </c>
      <c r="I20" s="23">
        <v>580</v>
      </c>
      <c r="J20" s="5" t="s">
        <v>1884</v>
      </c>
      <c r="K20" s="5" t="s">
        <v>25</v>
      </c>
      <c r="L20" s="5" t="s">
        <v>1899</v>
      </c>
      <c r="M20" s="5"/>
      <c r="N20" s="5"/>
      <c r="O20" s="5"/>
      <c r="P20" s="5"/>
      <c r="Q20" s="50">
        <v>1</v>
      </c>
    </row>
    <row r="21" spans="1:19" x14ac:dyDescent="0.25">
      <c r="A21" s="5"/>
      <c r="B21" s="5" t="s">
        <v>1827</v>
      </c>
      <c r="C21" s="5" t="s">
        <v>1946</v>
      </c>
      <c r="D21" s="5" t="s">
        <v>1947</v>
      </c>
      <c r="E21" s="5" t="s">
        <v>1948</v>
      </c>
      <c r="F21" s="5" t="s">
        <v>98</v>
      </c>
      <c r="G21" s="5">
        <v>875</v>
      </c>
      <c r="H21" s="5">
        <v>25</v>
      </c>
      <c r="I21" s="23">
        <v>850</v>
      </c>
      <c r="J21" s="5" t="s">
        <v>1884</v>
      </c>
      <c r="K21" s="5" t="s">
        <v>25</v>
      </c>
      <c r="L21" s="5" t="s">
        <v>1899</v>
      </c>
      <c r="M21" s="5"/>
      <c r="N21" s="5"/>
      <c r="O21" s="5"/>
      <c r="P21" s="5"/>
      <c r="Q21" s="50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1949</v>
      </c>
      <c r="I27" s="8" t="s">
        <v>313</v>
      </c>
      <c r="J27" s="9" t="s">
        <v>314</v>
      </c>
    </row>
    <row r="28" spans="1:19" ht="15.75" customHeight="1" x14ac:dyDescent="0.25">
      <c r="H28" s="10" t="s">
        <v>315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316</v>
      </c>
      <c r="I29" s="13">
        <f>R23</f>
        <v>110</v>
      </c>
      <c r="J29" s="14"/>
    </row>
    <row r="30" spans="1:19" x14ac:dyDescent="0.25">
      <c r="H30" s="12" t="s">
        <v>317</v>
      </c>
      <c r="I30" s="13">
        <f>S23</f>
        <v>0</v>
      </c>
      <c r="J30" s="14"/>
    </row>
    <row r="31" spans="1:19" x14ac:dyDescent="0.25">
      <c r="H31" s="12" t="s">
        <v>318</v>
      </c>
      <c r="I31" s="13">
        <f>T23</f>
        <v>0</v>
      </c>
      <c r="J31" s="14"/>
    </row>
    <row r="32" spans="1:19" x14ac:dyDescent="0.25">
      <c r="H32" s="12" t="s">
        <v>319</v>
      </c>
      <c r="I32" s="13">
        <f>U23</f>
        <v>0</v>
      </c>
      <c r="J32" s="14"/>
    </row>
    <row r="33" spans="1:12" ht="15.75" customHeight="1" x14ac:dyDescent="0.25">
      <c r="H33" s="15" t="s">
        <v>320</v>
      </c>
      <c r="I33" s="16"/>
      <c r="J33" s="16"/>
    </row>
    <row r="34" spans="1:12" ht="15.75" customHeight="1" x14ac:dyDescent="0.25">
      <c r="H34" s="17" t="s">
        <v>321</v>
      </c>
      <c r="I34" s="16"/>
      <c r="J34" s="16"/>
    </row>
    <row r="35" spans="1:12" ht="21" customHeight="1" x14ac:dyDescent="0.35">
      <c r="H35" s="18" t="s">
        <v>322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311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1950</v>
      </c>
      <c r="E38" s="2" t="s">
        <v>1853</v>
      </c>
      <c r="F38" s="2">
        <v>750</v>
      </c>
      <c r="G38" s="2">
        <v>0</v>
      </c>
      <c r="H38" s="2">
        <f>F38-G38</f>
        <v>750</v>
      </c>
      <c r="I38" s="2" t="s">
        <v>24</v>
      </c>
      <c r="J38" s="2" t="s">
        <v>25</v>
      </c>
      <c r="K38" s="2" t="s">
        <v>1951</v>
      </c>
      <c r="L38" s="3" t="s">
        <v>1952</v>
      </c>
    </row>
  </sheetData>
  <autoFilter ref="A2:P21" xr:uid="{00000000-0009-0000-0000-00000E00000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topLeftCell="A24" workbookViewId="0">
      <selection activeCell="I44" sqref="I44"/>
    </sheetView>
  </sheetViews>
  <sheetFormatPr defaultRowHeight="15" x14ac:dyDescent="0.25"/>
  <cols>
    <col min="1" max="2" width="9.140625" customWidth="1"/>
    <col min="3" max="3" width="30" bestFit="1" customWidth="1"/>
    <col min="4" max="4" width="9.5703125" bestFit="1" customWidth="1"/>
  </cols>
  <sheetData>
    <row r="1" spans="1:18" x14ac:dyDescent="0.25">
      <c r="B1" t="s">
        <v>639</v>
      </c>
      <c r="C1" t="s">
        <v>1953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1827</v>
      </c>
      <c r="C3" s="5" t="s">
        <v>1954</v>
      </c>
      <c r="D3" s="5" t="s">
        <v>1955</v>
      </c>
      <c r="E3" s="5" t="s">
        <v>1956</v>
      </c>
      <c r="F3" s="23">
        <v>9</v>
      </c>
      <c r="G3" s="23">
        <v>870</v>
      </c>
      <c r="H3" s="23">
        <v>30</v>
      </c>
      <c r="I3" s="23">
        <f t="shared" ref="I3:I34" si="0">G3-H3</f>
        <v>840</v>
      </c>
      <c r="J3" s="5" t="s">
        <v>1831</v>
      </c>
      <c r="K3" s="5" t="s">
        <v>25</v>
      </c>
      <c r="L3" s="5" t="s">
        <v>1957</v>
      </c>
      <c r="M3" s="5"/>
      <c r="N3" s="5"/>
      <c r="O3" s="5"/>
      <c r="P3" s="5"/>
      <c r="Q3" s="25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1958</v>
      </c>
      <c r="F4" s="23">
        <v>9</v>
      </c>
      <c r="G4" s="23">
        <v>1625</v>
      </c>
      <c r="H4" s="23">
        <v>35</v>
      </c>
      <c r="I4" s="23">
        <f t="shared" si="0"/>
        <v>1590</v>
      </c>
      <c r="J4" s="5" t="s">
        <v>1831</v>
      </c>
      <c r="K4" s="5" t="s">
        <v>25</v>
      </c>
      <c r="L4" s="5" t="s">
        <v>1957</v>
      </c>
      <c r="M4" s="5"/>
      <c r="N4" s="5"/>
      <c r="O4" s="5"/>
      <c r="P4" s="5"/>
      <c r="Q4" s="25">
        <v>1</v>
      </c>
    </row>
    <row r="5" spans="1:18" x14ac:dyDescent="0.25">
      <c r="A5" s="5" t="s">
        <v>1833</v>
      </c>
      <c r="B5" s="5" t="s">
        <v>1827</v>
      </c>
      <c r="C5" s="5" t="s">
        <v>1840</v>
      </c>
      <c r="D5" s="5"/>
      <c r="E5" s="5" t="s">
        <v>1841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1959</v>
      </c>
      <c r="K5" s="5" t="s">
        <v>25</v>
      </c>
      <c r="L5" s="5" t="s">
        <v>1957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1827</v>
      </c>
      <c r="C6" s="5" t="s">
        <v>1960</v>
      </c>
      <c r="D6" s="5" t="s">
        <v>1961</v>
      </c>
      <c r="E6" s="5" t="s">
        <v>1962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1959</v>
      </c>
      <c r="K6" s="5" t="s">
        <v>25</v>
      </c>
      <c r="L6" s="5" t="s">
        <v>1957</v>
      </c>
      <c r="M6" s="6" t="s">
        <v>1963</v>
      </c>
      <c r="N6" s="5"/>
      <c r="O6" s="5"/>
      <c r="P6" s="5"/>
      <c r="Q6" s="25">
        <v>1</v>
      </c>
    </row>
    <row r="7" spans="1:18" x14ac:dyDescent="0.25">
      <c r="A7" s="5"/>
      <c r="B7" s="5" t="s">
        <v>1827</v>
      </c>
      <c r="C7" s="5" t="s">
        <v>1964</v>
      </c>
      <c r="D7" s="5" t="s">
        <v>1965</v>
      </c>
      <c r="E7" s="5" t="s">
        <v>1966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1959</v>
      </c>
      <c r="K7" s="5" t="s">
        <v>25</v>
      </c>
      <c r="L7" s="5" t="s">
        <v>1957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1827</v>
      </c>
      <c r="C8" s="5" t="s">
        <v>1967</v>
      </c>
      <c r="D8" s="5" t="s">
        <v>1968</v>
      </c>
      <c r="E8" s="5" t="s">
        <v>1969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1959</v>
      </c>
      <c r="K8" s="5" t="s">
        <v>25</v>
      </c>
      <c r="L8" s="5" t="s">
        <v>1957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1827</v>
      </c>
      <c r="C9" s="5" t="s">
        <v>1970</v>
      </c>
      <c r="D9" s="5" t="s">
        <v>1971</v>
      </c>
      <c r="E9" s="5" t="s">
        <v>1972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1959</v>
      </c>
      <c r="K9" s="5" t="s">
        <v>25</v>
      </c>
      <c r="L9" s="5" t="s">
        <v>1957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1827</v>
      </c>
      <c r="C10" s="5" t="s">
        <v>1973</v>
      </c>
      <c r="D10" s="5" t="s">
        <v>1974</v>
      </c>
      <c r="E10" s="5" t="s">
        <v>1975</v>
      </c>
      <c r="F10" s="5" t="s">
        <v>1976</v>
      </c>
      <c r="G10" s="23">
        <v>745</v>
      </c>
      <c r="H10" s="23">
        <v>35</v>
      </c>
      <c r="I10" s="23">
        <f t="shared" si="0"/>
        <v>710</v>
      </c>
      <c r="J10" s="5" t="s">
        <v>1959</v>
      </c>
      <c r="K10" s="5" t="s">
        <v>25</v>
      </c>
      <c r="L10" s="5" t="s">
        <v>1957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1827</v>
      </c>
      <c r="C11" s="5" t="s">
        <v>1977</v>
      </c>
      <c r="D11" s="5" t="s">
        <v>1978</v>
      </c>
      <c r="E11" s="5" t="s">
        <v>1979</v>
      </c>
      <c r="F11" s="5" t="s">
        <v>1976</v>
      </c>
      <c r="G11" s="23">
        <v>35</v>
      </c>
      <c r="H11" s="23">
        <v>35</v>
      </c>
      <c r="I11" s="23">
        <f t="shared" si="0"/>
        <v>0</v>
      </c>
      <c r="J11" s="5" t="s">
        <v>1959</v>
      </c>
      <c r="K11" s="5" t="s">
        <v>25</v>
      </c>
      <c r="L11" s="5" t="s">
        <v>1957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1827</v>
      </c>
      <c r="C12" s="5" t="s">
        <v>1980</v>
      </c>
      <c r="D12" s="5" t="s">
        <v>1981</v>
      </c>
      <c r="E12" s="5" t="s">
        <v>1982</v>
      </c>
      <c r="F12" s="5" t="s">
        <v>1853</v>
      </c>
      <c r="G12" s="23">
        <v>1760</v>
      </c>
      <c r="H12" s="23">
        <v>30</v>
      </c>
      <c r="I12" s="23">
        <f t="shared" si="0"/>
        <v>1730</v>
      </c>
      <c r="J12" s="5" t="s">
        <v>1959</v>
      </c>
      <c r="K12" s="5" t="s">
        <v>25</v>
      </c>
      <c r="L12" s="5" t="s">
        <v>1957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1827</v>
      </c>
      <c r="C13" s="5" t="s">
        <v>1983</v>
      </c>
      <c r="D13" s="5" t="s">
        <v>1984</v>
      </c>
      <c r="E13" s="5" t="s">
        <v>1985</v>
      </c>
      <c r="F13" s="5" t="s">
        <v>1853</v>
      </c>
      <c r="G13" s="23">
        <v>670</v>
      </c>
      <c r="H13" s="23">
        <v>30</v>
      </c>
      <c r="I13" s="23">
        <f t="shared" si="0"/>
        <v>640</v>
      </c>
      <c r="J13" s="5" t="s">
        <v>1959</v>
      </c>
      <c r="K13" s="5" t="s">
        <v>25</v>
      </c>
      <c r="L13" s="5" t="s">
        <v>1957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1827</v>
      </c>
      <c r="C14" s="5" t="s">
        <v>1986</v>
      </c>
      <c r="D14" s="5" t="s">
        <v>1987</v>
      </c>
      <c r="E14" s="5" t="s">
        <v>1988</v>
      </c>
      <c r="F14" s="5" t="s">
        <v>1989</v>
      </c>
      <c r="G14" s="23">
        <v>115</v>
      </c>
      <c r="H14" s="23">
        <v>35</v>
      </c>
      <c r="I14" s="23">
        <f t="shared" si="0"/>
        <v>80</v>
      </c>
      <c r="J14" s="5" t="s">
        <v>1959</v>
      </c>
      <c r="K14" s="5" t="s">
        <v>25</v>
      </c>
      <c r="L14" s="5" t="s">
        <v>1957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1827</v>
      </c>
      <c r="C15" s="5" t="s">
        <v>1990</v>
      </c>
      <c r="D15" s="5" t="s">
        <v>1991</v>
      </c>
      <c r="E15" s="5" t="s">
        <v>1992</v>
      </c>
      <c r="F15" s="5" t="s">
        <v>98</v>
      </c>
      <c r="G15" s="23">
        <v>0</v>
      </c>
      <c r="H15" s="23">
        <v>25</v>
      </c>
      <c r="I15" s="23">
        <f t="shared" si="0"/>
        <v>-25</v>
      </c>
      <c r="J15" s="5" t="s">
        <v>1959</v>
      </c>
      <c r="K15" s="5" t="s">
        <v>25</v>
      </c>
      <c r="L15" s="5" t="s">
        <v>1957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1827</v>
      </c>
      <c r="C16" s="5" t="s">
        <v>1993</v>
      </c>
      <c r="D16" s="5" t="s">
        <v>1994</v>
      </c>
      <c r="E16" s="5" t="s">
        <v>1995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1959</v>
      </c>
      <c r="K16" s="5" t="s">
        <v>25</v>
      </c>
      <c r="L16" s="5" t="s">
        <v>1957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1827</v>
      </c>
      <c r="C17" s="5" t="s">
        <v>1996</v>
      </c>
      <c r="D17" s="5" t="s">
        <v>1997</v>
      </c>
      <c r="E17" s="5" t="s">
        <v>1998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1959</v>
      </c>
      <c r="K17" s="5" t="s">
        <v>25</v>
      </c>
      <c r="L17" s="5" t="s">
        <v>1957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1827</v>
      </c>
      <c r="C18" s="5" t="s">
        <v>1999</v>
      </c>
      <c r="D18" s="5" t="s">
        <v>2000</v>
      </c>
      <c r="E18" s="5" t="s">
        <v>2001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1959</v>
      </c>
      <c r="K18" s="5" t="s">
        <v>25</v>
      </c>
      <c r="L18" s="5" t="s">
        <v>1957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1827</v>
      </c>
      <c r="C19" s="5" t="s">
        <v>2002</v>
      </c>
      <c r="D19" s="5" t="s">
        <v>2003</v>
      </c>
      <c r="E19" s="5" t="s">
        <v>2004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1957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1827</v>
      </c>
      <c r="C20" s="5" t="s">
        <v>2005</v>
      </c>
      <c r="D20" s="5" t="s">
        <v>2006</v>
      </c>
      <c r="E20" s="5" t="s">
        <v>2007</v>
      </c>
      <c r="F20" s="5" t="s">
        <v>58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1957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1827</v>
      </c>
      <c r="C21" s="20" t="s">
        <v>2008</v>
      </c>
      <c r="D21" s="20" t="s">
        <v>2009</v>
      </c>
      <c r="E21" s="20" t="s">
        <v>2010</v>
      </c>
      <c r="F21" s="20" t="s">
        <v>58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1957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1833</v>
      </c>
      <c r="B22" s="5" t="s">
        <v>1827</v>
      </c>
      <c r="C22" s="5" t="s">
        <v>1875</v>
      </c>
      <c r="D22" s="5"/>
      <c r="E22" s="5" t="s">
        <v>2011</v>
      </c>
      <c r="F22" s="5" t="s">
        <v>70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1957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1827</v>
      </c>
      <c r="C23" s="5" t="s">
        <v>2012</v>
      </c>
      <c r="D23" s="5" t="s">
        <v>2013</v>
      </c>
      <c r="E23" s="5" t="s">
        <v>2014</v>
      </c>
      <c r="F23" s="5" t="s">
        <v>98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1957</v>
      </c>
      <c r="M23" s="5"/>
      <c r="N23" s="5"/>
      <c r="O23" s="5"/>
      <c r="P23" s="5"/>
      <c r="Q23" s="25">
        <v>1</v>
      </c>
    </row>
    <row r="24" spans="1:18" x14ac:dyDescent="0.25">
      <c r="A24" s="5" t="s">
        <v>1833</v>
      </c>
      <c r="B24" s="5" t="s">
        <v>1827</v>
      </c>
      <c r="C24" s="5" t="s">
        <v>2015</v>
      </c>
      <c r="D24" s="5"/>
      <c r="E24" s="5" t="s">
        <v>2016</v>
      </c>
      <c r="F24" s="5" t="s">
        <v>98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1957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1827</v>
      </c>
      <c r="C25" s="5" t="s">
        <v>2017</v>
      </c>
      <c r="D25" s="5" t="s">
        <v>2018</v>
      </c>
      <c r="E25" s="5" t="s">
        <v>2019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1884</v>
      </c>
      <c r="K25" s="5" t="s">
        <v>25</v>
      </c>
      <c r="L25" s="5" t="s">
        <v>1957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1827</v>
      </c>
      <c r="C26" s="5" t="s">
        <v>2020</v>
      </c>
      <c r="D26" s="5" t="s">
        <v>2021</v>
      </c>
      <c r="E26" s="5" t="s">
        <v>2022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1884</v>
      </c>
      <c r="K26" s="5" t="s">
        <v>25</v>
      </c>
      <c r="L26" s="5" t="s">
        <v>1957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1827</v>
      </c>
      <c r="C27" s="5" t="s">
        <v>2023</v>
      </c>
      <c r="D27" s="5" t="s">
        <v>2024</v>
      </c>
      <c r="E27" s="5" t="s">
        <v>2025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1884</v>
      </c>
      <c r="K27" s="5" t="s">
        <v>25</v>
      </c>
      <c r="L27" s="5" t="s">
        <v>1957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1827</v>
      </c>
      <c r="C28" s="5" t="s">
        <v>2026</v>
      </c>
      <c r="D28" s="5" t="s">
        <v>2027</v>
      </c>
      <c r="E28" s="5" t="s">
        <v>2028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1884</v>
      </c>
      <c r="K28" s="5" t="s">
        <v>25</v>
      </c>
      <c r="L28" s="5" t="s">
        <v>1957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1827</v>
      </c>
      <c r="C29" s="5" t="s">
        <v>2029</v>
      </c>
      <c r="D29" s="5" t="s">
        <v>2030</v>
      </c>
      <c r="E29" s="5" t="s">
        <v>2031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1884</v>
      </c>
      <c r="K29" s="5" t="s">
        <v>25</v>
      </c>
      <c r="L29" s="5" t="s">
        <v>1957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1827</v>
      </c>
      <c r="C30" s="5" t="s">
        <v>2032</v>
      </c>
      <c r="D30" s="5" t="s">
        <v>2033</v>
      </c>
      <c r="E30" s="5" t="s">
        <v>2034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1884</v>
      </c>
      <c r="K30" s="5" t="s">
        <v>25</v>
      </c>
      <c r="L30" s="5" t="s">
        <v>1957</v>
      </c>
      <c r="M30" s="6" t="s">
        <v>2035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1833</v>
      </c>
      <c r="B31" s="5" t="s">
        <v>1827</v>
      </c>
      <c r="C31" s="5" t="s">
        <v>2036</v>
      </c>
      <c r="D31" s="5"/>
      <c r="E31" s="5" t="s">
        <v>2037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1884</v>
      </c>
      <c r="K31" s="5" t="s">
        <v>25</v>
      </c>
      <c r="L31" s="5" t="s">
        <v>1957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1827</v>
      </c>
      <c r="C32" s="5" t="s">
        <v>2038</v>
      </c>
      <c r="D32" s="5" t="s">
        <v>2039</v>
      </c>
      <c r="E32" s="5" t="s">
        <v>2040</v>
      </c>
      <c r="F32" s="5" t="s">
        <v>1976</v>
      </c>
      <c r="G32" s="23">
        <v>765</v>
      </c>
      <c r="H32" s="23">
        <v>35</v>
      </c>
      <c r="I32" s="23">
        <f t="shared" si="0"/>
        <v>730</v>
      </c>
      <c r="J32" s="5" t="s">
        <v>1884</v>
      </c>
      <c r="K32" s="5" t="s">
        <v>25</v>
      </c>
      <c r="L32" s="5" t="s">
        <v>1957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1827</v>
      </c>
      <c r="C33" s="5" t="s">
        <v>2041</v>
      </c>
      <c r="D33" s="5" t="s">
        <v>2042</v>
      </c>
      <c r="E33" s="5" t="s">
        <v>2043</v>
      </c>
      <c r="F33" s="5" t="s">
        <v>1976</v>
      </c>
      <c r="G33" s="23">
        <v>415</v>
      </c>
      <c r="H33" s="23">
        <v>35</v>
      </c>
      <c r="I33" s="23">
        <f t="shared" si="0"/>
        <v>380</v>
      </c>
      <c r="J33" s="5" t="s">
        <v>1884</v>
      </c>
      <c r="K33" s="5" t="s">
        <v>25</v>
      </c>
      <c r="L33" s="5" t="s">
        <v>1957</v>
      </c>
      <c r="M33" s="5"/>
      <c r="N33" s="5"/>
      <c r="O33" s="5"/>
      <c r="P33" s="5"/>
      <c r="Q33" s="25">
        <v>1</v>
      </c>
    </row>
    <row r="34" spans="1:18" x14ac:dyDescent="0.25">
      <c r="A34" s="5" t="s">
        <v>1833</v>
      </c>
      <c r="B34" s="5" t="s">
        <v>1827</v>
      </c>
      <c r="C34" s="5" t="s">
        <v>2044</v>
      </c>
      <c r="D34" s="5"/>
      <c r="E34" s="5" t="s">
        <v>2045</v>
      </c>
      <c r="F34" s="5" t="s">
        <v>98</v>
      </c>
      <c r="G34" s="23">
        <v>0</v>
      </c>
      <c r="H34" s="23">
        <v>30</v>
      </c>
      <c r="I34" s="23">
        <f t="shared" si="0"/>
        <v>-30</v>
      </c>
      <c r="J34" s="5" t="s">
        <v>1884</v>
      </c>
      <c r="K34" s="5" t="s">
        <v>25</v>
      </c>
      <c r="L34" s="5" t="s">
        <v>1957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 t="shared" ref="G36:R36" si="1">SUBTOTAL(9,G3:G35)</f>
        <v>22845</v>
      </c>
      <c r="H36">
        <f t="shared" si="1"/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2046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316</v>
      </c>
      <c r="I42" s="13">
        <f>R36</f>
        <v>105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1960</v>
      </c>
      <c r="B50" s="2" t="s">
        <v>1961</v>
      </c>
      <c r="C50" s="2" t="s">
        <v>1962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1959</v>
      </c>
      <c r="I50" s="2" t="s">
        <v>25</v>
      </c>
      <c r="J50" s="2" t="s">
        <v>1957</v>
      </c>
      <c r="K50" s="3" t="s">
        <v>1963</v>
      </c>
    </row>
    <row r="51" spans="1:11" s="4" customFormat="1" x14ac:dyDescent="0.25">
      <c r="A51" s="2" t="s">
        <v>2032</v>
      </c>
      <c r="B51" s="2" t="s">
        <v>2033</v>
      </c>
      <c r="C51" s="2" t="s">
        <v>2034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1884</v>
      </c>
      <c r="I51" s="2" t="s">
        <v>25</v>
      </c>
      <c r="J51" s="2" t="s">
        <v>1957</v>
      </c>
      <c r="K51" s="3" t="s">
        <v>2035</v>
      </c>
    </row>
  </sheetData>
  <autoFilter ref="A2:P34" xr:uid="{00000000-0009-0000-0000-00000F000000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topLeftCell="A6"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10" width="9.140625" customWidth="1"/>
    <col min="11" max="11" width="16.425781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2047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1827</v>
      </c>
      <c r="C3" s="21" t="s">
        <v>2048</v>
      </c>
      <c r="D3" s="21" t="s">
        <v>2049</v>
      </c>
      <c r="E3" s="21" t="s">
        <v>2050</v>
      </c>
      <c r="F3" s="28">
        <v>9</v>
      </c>
      <c r="G3" s="24">
        <v>470</v>
      </c>
      <c r="H3" s="24">
        <v>30</v>
      </c>
      <c r="I3" s="24">
        <v>440</v>
      </c>
      <c r="J3" s="21" t="s">
        <v>1831</v>
      </c>
      <c r="K3" s="21" t="s">
        <v>25</v>
      </c>
      <c r="L3" s="21" t="s">
        <v>2051</v>
      </c>
      <c r="M3" s="21"/>
      <c r="N3" s="21"/>
      <c r="O3" s="21"/>
      <c r="P3" s="21"/>
      <c r="Q3" s="25">
        <v>1</v>
      </c>
    </row>
    <row r="4" spans="1:18" x14ac:dyDescent="0.25">
      <c r="A4" s="21" t="s">
        <v>1833</v>
      </c>
      <c r="B4" s="21" t="s">
        <v>1827</v>
      </c>
      <c r="C4" s="21" t="s">
        <v>2052</v>
      </c>
      <c r="D4" s="21"/>
      <c r="E4" s="21" t="s">
        <v>2053</v>
      </c>
      <c r="F4" s="28">
        <v>9</v>
      </c>
      <c r="G4" s="24">
        <v>35</v>
      </c>
      <c r="H4" s="24">
        <v>35</v>
      </c>
      <c r="I4" s="24">
        <v>0</v>
      </c>
      <c r="J4" s="21" t="s">
        <v>1831</v>
      </c>
      <c r="K4" s="21" t="s">
        <v>25</v>
      </c>
      <c r="L4" s="21" t="s">
        <v>2051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1827</v>
      </c>
      <c r="C5" s="21" t="s">
        <v>2054</v>
      </c>
      <c r="D5" s="21" t="s">
        <v>2055</v>
      </c>
      <c r="E5" s="21" t="s">
        <v>2056</v>
      </c>
      <c r="F5" s="28">
        <v>7</v>
      </c>
      <c r="G5" s="24">
        <v>0</v>
      </c>
      <c r="H5" s="24">
        <v>30</v>
      </c>
      <c r="I5" s="24">
        <v>-30</v>
      </c>
      <c r="J5" s="21" t="s">
        <v>2057</v>
      </c>
      <c r="K5" s="21" t="s">
        <v>25</v>
      </c>
      <c r="L5" s="21" t="s">
        <v>2051</v>
      </c>
      <c r="M5" s="6" t="s">
        <v>2058</v>
      </c>
      <c r="N5" s="21"/>
      <c r="O5" s="21"/>
      <c r="P5" s="21"/>
      <c r="Q5" s="25">
        <v>1</v>
      </c>
      <c r="R5" s="25">
        <v>30</v>
      </c>
    </row>
    <row r="6" spans="1:18" x14ac:dyDescent="0.25">
      <c r="A6" s="21"/>
      <c r="B6" s="21" t="s">
        <v>1827</v>
      </c>
      <c r="C6" s="21" t="s">
        <v>2059</v>
      </c>
      <c r="D6" s="21" t="s">
        <v>2060</v>
      </c>
      <c r="E6" s="21" t="s">
        <v>2061</v>
      </c>
      <c r="F6" s="28">
        <v>11</v>
      </c>
      <c r="G6" s="24">
        <v>0</v>
      </c>
      <c r="H6" s="24">
        <v>25</v>
      </c>
      <c r="I6" s="24">
        <v>-25</v>
      </c>
      <c r="J6" s="21" t="s">
        <v>2057</v>
      </c>
      <c r="K6" s="21" t="s">
        <v>25</v>
      </c>
      <c r="L6" s="21" t="s">
        <v>2051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1827</v>
      </c>
      <c r="C7" s="21" t="s">
        <v>2062</v>
      </c>
      <c r="D7" s="21" t="s">
        <v>2063</v>
      </c>
      <c r="E7" s="21" t="s">
        <v>2064</v>
      </c>
      <c r="F7" s="28">
        <v>12</v>
      </c>
      <c r="G7" s="24">
        <v>820</v>
      </c>
      <c r="H7" s="24">
        <v>30</v>
      </c>
      <c r="I7" s="24">
        <v>790</v>
      </c>
      <c r="J7" s="21" t="s">
        <v>2057</v>
      </c>
      <c r="K7" s="21" t="s">
        <v>25</v>
      </c>
      <c r="L7" s="21" t="s">
        <v>2051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1827</v>
      </c>
      <c r="C8" s="20" t="s">
        <v>2065</v>
      </c>
      <c r="D8" s="20" t="s">
        <v>2066</v>
      </c>
      <c r="E8" s="20" t="s">
        <v>2067</v>
      </c>
      <c r="F8" s="20" t="s">
        <v>1976</v>
      </c>
      <c r="G8" s="20">
        <v>155</v>
      </c>
      <c r="H8" s="20">
        <v>35</v>
      </c>
      <c r="I8" s="20">
        <v>120</v>
      </c>
      <c r="J8" s="20" t="s">
        <v>2057</v>
      </c>
      <c r="K8" s="20" t="s">
        <v>25</v>
      </c>
      <c r="L8" s="20" t="s">
        <v>2051</v>
      </c>
      <c r="M8" s="20" t="s">
        <v>472</v>
      </c>
      <c r="Q8" s="20">
        <v>1</v>
      </c>
    </row>
    <row r="9" spans="1:18" x14ac:dyDescent="0.25">
      <c r="A9" s="21"/>
      <c r="B9" s="21" t="s">
        <v>1827</v>
      </c>
      <c r="C9" s="21" t="s">
        <v>2068</v>
      </c>
      <c r="D9" s="21" t="s">
        <v>2069</v>
      </c>
      <c r="E9" s="21" t="s">
        <v>2070</v>
      </c>
      <c r="F9" s="28" t="s">
        <v>1853</v>
      </c>
      <c r="G9" s="24">
        <v>410</v>
      </c>
      <c r="H9" s="24">
        <v>30</v>
      </c>
      <c r="I9" s="24">
        <v>380</v>
      </c>
      <c r="J9" s="21" t="s">
        <v>2057</v>
      </c>
      <c r="K9" s="21" t="s">
        <v>25</v>
      </c>
      <c r="L9" s="21" t="s">
        <v>2051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1827</v>
      </c>
      <c r="C10" s="21" t="s">
        <v>2071</v>
      </c>
      <c r="D10" s="21" t="s">
        <v>2072</v>
      </c>
      <c r="E10" s="21" t="s">
        <v>2073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2057</v>
      </c>
      <c r="K10" s="21" t="s">
        <v>25</v>
      </c>
      <c r="L10" s="21" t="s">
        <v>2051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1827</v>
      </c>
      <c r="C11" s="21" t="s">
        <v>1925</v>
      </c>
      <c r="D11" s="21" t="s">
        <v>2074</v>
      </c>
      <c r="E11" s="21" t="s">
        <v>2075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2057</v>
      </c>
      <c r="K11" s="21" t="s">
        <v>25</v>
      </c>
      <c r="L11" s="21" t="s">
        <v>2051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1827</v>
      </c>
      <c r="C12" s="21" t="s">
        <v>1869</v>
      </c>
      <c r="D12" s="21" t="s">
        <v>2076</v>
      </c>
      <c r="E12" s="21" t="s">
        <v>1871</v>
      </c>
      <c r="F12" s="28" t="s">
        <v>58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2051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1827</v>
      </c>
      <c r="C13" s="21" t="s">
        <v>2077</v>
      </c>
      <c r="D13" s="21" t="s">
        <v>2078</v>
      </c>
      <c r="E13" s="21" t="s">
        <v>2079</v>
      </c>
      <c r="F13" s="28" t="s">
        <v>58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2051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1833</v>
      </c>
      <c r="B14" s="21" t="s">
        <v>1827</v>
      </c>
      <c r="C14" s="21" t="s">
        <v>2080</v>
      </c>
      <c r="D14" s="21"/>
      <c r="E14" s="21" t="s">
        <v>2081</v>
      </c>
      <c r="F14" s="28" t="s">
        <v>58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2051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1833</v>
      </c>
      <c r="B15" s="21" t="s">
        <v>1827</v>
      </c>
      <c r="C15" s="21" t="s">
        <v>2082</v>
      </c>
      <c r="D15" s="21"/>
      <c r="E15" s="21" t="s">
        <v>1878</v>
      </c>
      <c r="F15" s="28" t="s">
        <v>70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2051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1827</v>
      </c>
      <c r="C16" s="21" t="s">
        <v>2083</v>
      </c>
      <c r="D16" s="21" t="s">
        <v>2084</v>
      </c>
      <c r="E16" s="21" t="s">
        <v>2085</v>
      </c>
      <c r="F16" s="28" t="s">
        <v>98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2051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1827</v>
      </c>
      <c r="C17" s="21" t="s">
        <v>2086</v>
      </c>
      <c r="D17" s="21" t="s">
        <v>2087</v>
      </c>
      <c r="E17" s="21" t="s">
        <v>2088</v>
      </c>
      <c r="F17" s="28" t="s">
        <v>103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2051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1827</v>
      </c>
      <c r="C18" s="21" t="s">
        <v>2089</v>
      </c>
      <c r="D18" s="21" t="s">
        <v>2090</v>
      </c>
      <c r="E18" s="21" t="s">
        <v>2091</v>
      </c>
      <c r="F18" s="28" t="s">
        <v>2092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2051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1827</v>
      </c>
      <c r="C19" s="21" t="s">
        <v>2093</v>
      </c>
      <c r="D19" s="21" t="s">
        <v>2094</v>
      </c>
      <c r="E19" s="21" t="s">
        <v>2095</v>
      </c>
      <c r="F19" s="28">
        <v>1</v>
      </c>
      <c r="G19" s="24">
        <v>875</v>
      </c>
      <c r="H19" s="24">
        <v>25</v>
      </c>
      <c r="I19" s="24">
        <v>850</v>
      </c>
      <c r="J19" s="21" t="s">
        <v>1884</v>
      </c>
      <c r="K19" s="21" t="s">
        <v>25</v>
      </c>
      <c r="L19" s="21" t="s">
        <v>2051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1827</v>
      </c>
      <c r="C20" s="21" t="s">
        <v>2020</v>
      </c>
      <c r="D20" s="21" t="s">
        <v>2096</v>
      </c>
      <c r="E20" s="21" t="s">
        <v>2022</v>
      </c>
      <c r="F20" s="28">
        <v>1</v>
      </c>
      <c r="G20" s="24">
        <v>375</v>
      </c>
      <c r="H20" s="24">
        <v>25</v>
      </c>
      <c r="I20" s="24">
        <v>350</v>
      </c>
      <c r="J20" s="21" t="s">
        <v>1884</v>
      </c>
      <c r="K20" s="21" t="s">
        <v>25</v>
      </c>
      <c r="L20" s="21" t="s">
        <v>2051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1827</v>
      </c>
      <c r="C21" s="21" t="s">
        <v>2097</v>
      </c>
      <c r="D21" s="21" t="s">
        <v>2098</v>
      </c>
      <c r="E21" s="21" t="s">
        <v>2099</v>
      </c>
      <c r="F21" s="28">
        <v>1</v>
      </c>
      <c r="G21" s="24">
        <v>405</v>
      </c>
      <c r="H21" s="24">
        <v>25</v>
      </c>
      <c r="I21" s="24">
        <v>380</v>
      </c>
      <c r="J21" s="21" t="s">
        <v>1884</v>
      </c>
      <c r="K21" s="21" t="s">
        <v>25</v>
      </c>
      <c r="L21" s="21" t="s">
        <v>2051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1827</v>
      </c>
      <c r="C22" s="21" t="s">
        <v>2100</v>
      </c>
      <c r="D22" s="21" t="s">
        <v>2101</v>
      </c>
      <c r="E22" s="21" t="s">
        <v>2102</v>
      </c>
      <c r="F22" s="28">
        <v>1</v>
      </c>
      <c r="G22" s="24">
        <v>885</v>
      </c>
      <c r="H22" s="24">
        <v>25</v>
      </c>
      <c r="I22" s="24">
        <v>860</v>
      </c>
      <c r="J22" s="21" t="s">
        <v>1884</v>
      </c>
      <c r="K22" s="21" t="s">
        <v>25</v>
      </c>
      <c r="L22" s="21" t="s">
        <v>2051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1827</v>
      </c>
      <c r="C23" s="21" t="s">
        <v>2103</v>
      </c>
      <c r="D23" s="21" t="s">
        <v>2104</v>
      </c>
      <c r="E23" s="21" t="s">
        <v>2105</v>
      </c>
      <c r="F23" s="28">
        <v>4</v>
      </c>
      <c r="G23" s="24">
        <v>405</v>
      </c>
      <c r="H23" s="24">
        <v>25</v>
      </c>
      <c r="I23" s="24">
        <v>380</v>
      </c>
      <c r="J23" s="21" t="s">
        <v>1884</v>
      </c>
      <c r="K23" s="21" t="s">
        <v>25</v>
      </c>
      <c r="L23" s="21" t="s">
        <v>2051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1827</v>
      </c>
      <c r="C24" s="21" t="s">
        <v>2106</v>
      </c>
      <c r="D24" s="21" t="s">
        <v>2107</v>
      </c>
      <c r="E24" s="21" t="s">
        <v>2108</v>
      </c>
      <c r="F24" s="28">
        <v>5</v>
      </c>
      <c r="G24" s="24">
        <v>0</v>
      </c>
      <c r="H24" s="24">
        <v>25</v>
      </c>
      <c r="I24" s="24">
        <v>-25</v>
      </c>
      <c r="J24" s="21" t="s">
        <v>1884</v>
      </c>
      <c r="K24" s="21" t="s">
        <v>25</v>
      </c>
      <c r="L24" s="21" t="s">
        <v>2051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1827</v>
      </c>
      <c r="C25" s="21" t="s">
        <v>2109</v>
      </c>
      <c r="D25" s="21" t="s">
        <v>2110</v>
      </c>
      <c r="E25" s="21" t="s">
        <v>2111</v>
      </c>
      <c r="F25" s="28">
        <v>10</v>
      </c>
      <c r="G25" s="24">
        <v>405</v>
      </c>
      <c r="H25" s="24">
        <v>25</v>
      </c>
      <c r="I25" s="24">
        <v>380</v>
      </c>
      <c r="J25" s="21" t="s">
        <v>1884</v>
      </c>
      <c r="K25" s="21" t="s">
        <v>25</v>
      </c>
      <c r="L25" s="21" t="s">
        <v>2051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1827</v>
      </c>
      <c r="C26" s="21" t="s">
        <v>2112</v>
      </c>
      <c r="D26" s="21" t="s">
        <v>2113</v>
      </c>
      <c r="E26" s="21" t="s">
        <v>2114</v>
      </c>
      <c r="F26" s="28" t="s">
        <v>98</v>
      </c>
      <c r="G26" s="24">
        <v>0</v>
      </c>
      <c r="H26" s="24">
        <v>25</v>
      </c>
      <c r="I26" s="24">
        <v>-25</v>
      </c>
      <c r="J26" s="21" t="s">
        <v>1884</v>
      </c>
      <c r="K26" s="21" t="s">
        <v>25</v>
      </c>
      <c r="L26" s="21" t="s">
        <v>2051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 t="shared" ref="G28:R28" si="0">SUBTOTAL(9,G3:G27)</f>
        <v>9385</v>
      </c>
      <c r="H28">
        <f t="shared" si="0"/>
        <v>655</v>
      </c>
      <c r="I28">
        <f t="shared" si="0"/>
        <v>8730</v>
      </c>
      <c r="J28">
        <f t="shared" si="0"/>
        <v>0</v>
      </c>
      <c r="K28">
        <f t="shared" si="0"/>
        <v>0</v>
      </c>
      <c r="L28">
        <f t="shared" si="0"/>
        <v>0</v>
      </c>
      <c r="M28">
        <f t="shared" si="0"/>
        <v>0</v>
      </c>
      <c r="N28">
        <f t="shared" si="0"/>
        <v>0</v>
      </c>
      <c r="O28">
        <f t="shared" si="0"/>
        <v>0</v>
      </c>
      <c r="P28">
        <f t="shared" si="0"/>
        <v>0</v>
      </c>
      <c r="Q28">
        <f t="shared" si="0"/>
        <v>24</v>
      </c>
      <c r="R28">
        <f t="shared" si="0"/>
        <v>150</v>
      </c>
    </row>
    <row r="29" spans="1:18" x14ac:dyDescent="0.25">
      <c r="I29" s="29">
        <v>-1450</v>
      </c>
      <c r="J29" s="22" t="s">
        <v>311</v>
      </c>
    </row>
    <row r="32" spans="1:18" ht="20.25" customHeight="1" x14ac:dyDescent="0.3">
      <c r="H32" s="7" t="s">
        <v>2115</v>
      </c>
      <c r="I32" s="8" t="s">
        <v>313</v>
      </c>
      <c r="J32" s="9" t="s">
        <v>314</v>
      </c>
    </row>
    <row r="33" spans="1:11" ht="15.75" customHeight="1" x14ac:dyDescent="0.25">
      <c r="H33" s="10" t="s">
        <v>315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316</v>
      </c>
      <c r="I34" s="13">
        <f>R28</f>
        <v>150</v>
      </c>
      <c r="J34" s="14"/>
    </row>
    <row r="35" spans="1:11" x14ac:dyDescent="0.25">
      <c r="H35" s="12" t="s">
        <v>317</v>
      </c>
      <c r="I35" s="13">
        <f>S28</f>
        <v>0</v>
      </c>
      <c r="J35" s="14"/>
    </row>
    <row r="36" spans="1:11" x14ac:dyDescent="0.25">
      <c r="H36" s="12" t="s">
        <v>318</v>
      </c>
      <c r="I36" s="13">
        <f>T28</f>
        <v>0</v>
      </c>
      <c r="J36" s="14"/>
    </row>
    <row r="37" spans="1:11" x14ac:dyDescent="0.25">
      <c r="H37" s="12" t="s">
        <v>319</v>
      </c>
      <c r="I37" s="13">
        <f>U28</f>
        <v>0</v>
      </c>
      <c r="J37" s="14"/>
    </row>
    <row r="38" spans="1:11" ht="15.75" customHeight="1" x14ac:dyDescent="0.25">
      <c r="H38" s="15" t="s">
        <v>320</v>
      </c>
      <c r="I38" s="16"/>
      <c r="J38" s="16"/>
    </row>
    <row r="39" spans="1:11" ht="15.75" customHeight="1" x14ac:dyDescent="0.25">
      <c r="H39" s="17" t="s">
        <v>321</v>
      </c>
      <c r="I39" s="16"/>
      <c r="J39" s="16"/>
    </row>
    <row r="40" spans="1:11" ht="21" customHeight="1" x14ac:dyDescent="0.35">
      <c r="H40" s="18" t="s">
        <v>322</v>
      </c>
      <c r="I40" s="19">
        <f>SUM(I33:I39)</f>
        <v>7430</v>
      </c>
      <c r="J40" s="19">
        <f>SUM(J33:J37)</f>
        <v>24</v>
      </c>
    </row>
    <row r="41" spans="1:11" x14ac:dyDescent="0.25">
      <c r="A41" t="s">
        <v>311</v>
      </c>
    </row>
    <row r="42" spans="1:11" s="4" customFormat="1" x14ac:dyDescent="0.25">
      <c r="A42" s="2" t="s">
        <v>2005</v>
      </c>
      <c r="B42" s="2" t="s">
        <v>2006</v>
      </c>
      <c r="C42" s="2" t="s">
        <v>2007</v>
      </c>
      <c r="D42" s="27" t="s">
        <v>58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1957</v>
      </c>
      <c r="K42" s="3" t="s">
        <v>2116</v>
      </c>
    </row>
    <row r="43" spans="1:11" x14ac:dyDescent="0.25">
      <c r="A43" t="s">
        <v>488</v>
      </c>
    </row>
    <row r="44" spans="1:11" s="4" customFormat="1" x14ac:dyDescent="0.25">
      <c r="A44" s="30" t="s">
        <v>2054</v>
      </c>
      <c r="B44" s="30" t="s">
        <v>2055</v>
      </c>
      <c r="C44" s="30" t="s">
        <v>2056</v>
      </c>
      <c r="D44" s="31">
        <v>7</v>
      </c>
      <c r="E44" s="32">
        <v>1320</v>
      </c>
      <c r="F44" s="32">
        <v>0</v>
      </c>
      <c r="G44" s="32">
        <v>1320</v>
      </c>
      <c r="H44" s="30" t="s">
        <v>2057</v>
      </c>
      <c r="I44" s="30" t="s">
        <v>25</v>
      </c>
      <c r="J44" s="30" t="s">
        <v>2051</v>
      </c>
      <c r="K44" s="3" t="s">
        <v>2058</v>
      </c>
    </row>
  </sheetData>
  <autoFilter ref="A2:P26" xr:uid="{00000000-0009-0000-0000-000010000000}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7F64-476C-4050-A86D-BF329FE968BC}">
  <dimension ref="A1:R50"/>
  <sheetViews>
    <sheetView topLeftCell="A15" zoomScale="80" zoomScaleNormal="80" workbookViewId="0">
      <selection activeCell="A49" sqref="A49:XFD50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2117</v>
      </c>
    </row>
    <row r="2" spans="1:18" ht="15.75" customHeight="1" x14ac:dyDescent="0.25">
      <c r="A2" s="35" t="s">
        <v>2</v>
      </c>
      <c r="B2" s="35" t="s">
        <v>3</v>
      </c>
      <c r="C2" s="35" t="s">
        <v>4</v>
      </c>
      <c r="D2" s="35" t="s">
        <v>5</v>
      </c>
      <c r="E2" s="35" t="s">
        <v>1826</v>
      </c>
      <c r="F2" s="35" t="s">
        <v>8</v>
      </c>
      <c r="G2" s="35" t="s">
        <v>9</v>
      </c>
      <c r="H2" s="35" t="s">
        <v>10</v>
      </c>
      <c r="I2" s="35" t="s">
        <v>11</v>
      </c>
      <c r="J2" s="35" t="s">
        <v>12</v>
      </c>
      <c r="K2" s="35" t="s">
        <v>13</v>
      </c>
      <c r="L2" s="35" t="s">
        <v>14</v>
      </c>
      <c r="M2" s="35" t="s">
        <v>15</v>
      </c>
      <c r="N2" s="35" t="s">
        <v>16</v>
      </c>
      <c r="O2" s="35" t="s">
        <v>17</v>
      </c>
      <c r="P2" s="35" t="s">
        <v>18</v>
      </c>
    </row>
    <row r="3" spans="1:18" x14ac:dyDescent="0.25">
      <c r="A3" s="5"/>
      <c r="B3" s="5" t="s">
        <v>1827</v>
      </c>
      <c r="C3" s="5" t="s">
        <v>2118</v>
      </c>
      <c r="D3" s="5" t="s">
        <v>2119</v>
      </c>
      <c r="E3" s="5" t="s">
        <v>2120</v>
      </c>
      <c r="F3" s="23">
        <v>7</v>
      </c>
      <c r="G3" s="23">
        <v>890</v>
      </c>
      <c r="H3" s="23">
        <v>30</v>
      </c>
      <c r="I3" s="23">
        <f>G3-H3</f>
        <v>860</v>
      </c>
      <c r="J3" s="5" t="s">
        <v>2121</v>
      </c>
      <c r="K3" s="5" t="s">
        <v>25</v>
      </c>
      <c r="L3" s="5" t="s">
        <v>2122</v>
      </c>
      <c r="M3" s="5"/>
      <c r="N3" s="5"/>
      <c r="O3" s="5"/>
      <c r="P3" s="5"/>
      <c r="Q3" s="23">
        <v>1</v>
      </c>
    </row>
    <row r="4" spans="1:18" x14ac:dyDescent="0.25">
      <c r="A4" s="5"/>
      <c r="B4" s="5" t="s">
        <v>1827</v>
      </c>
      <c r="C4" s="5" t="s">
        <v>2123</v>
      </c>
      <c r="D4" s="5" t="s">
        <v>2124</v>
      </c>
      <c r="E4" s="5" t="s">
        <v>2125</v>
      </c>
      <c r="F4" s="5" t="s">
        <v>607</v>
      </c>
      <c r="G4" s="23">
        <v>1325</v>
      </c>
      <c r="H4" s="23">
        <v>25</v>
      </c>
      <c r="I4" s="23">
        <f>G4-H4</f>
        <v>1300</v>
      </c>
      <c r="J4" s="5" t="s">
        <v>2121</v>
      </c>
      <c r="K4" s="5" t="s">
        <v>25</v>
      </c>
      <c r="L4" s="5" t="s">
        <v>2122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2126</v>
      </c>
      <c r="D5" s="5" t="s">
        <v>2127</v>
      </c>
      <c r="E5" s="5" t="s">
        <v>2128</v>
      </c>
      <c r="F5" s="5" t="s">
        <v>607</v>
      </c>
      <c r="G5" s="23">
        <v>765</v>
      </c>
      <c r="H5" s="23">
        <v>25</v>
      </c>
      <c r="I5" s="23">
        <f>G5-H5</f>
        <v>740</v>
      </c>
      <c r="J5" s="5" t="s">
        <v>2121</v>
      </c>
      <c r="K5" s="5" t="s">
        <v>25</v>
      </c>
      <c r="L5" s="5" t="s">
        <v>2122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2129</v>
      </c>
      <c r="D6" s="5" t="s">
        <v>2130</v>
      </c>
      <c r="E6" s="5" t="s">
        <v>2131</v>
      </c>
      <c r="F6" s="23">
        <v>8</v>
      </c>
      <c r="G6" s="23">
        <v>0</v>
      </c>
      <c r="H6" s="23">
        <v>25</v>
      </c>
      <c r="I6" s="23">
        <f>-H6</f>
        <v>-25</v>
      </c>
      <c r="J6" s="5" t="s">
        <v>2121</v>
      </c>
      <c r="K6" s="5" t="s">
        <v>25</v>
      </c>
      <c r="L6" s="5" t="s">
        <v>2122</v>
      </c>
      <c r="M6" s="5"/>
      <c r="N6" s="5"/>
      <c r="O6" s="5"/>
      <c r="P6" s="5"/>
      <c r="Q6" s="23">
        <v>1</v>
      </c>
      <c r="R6" s="25">
        <f>H6</f>
        <v>25</v>
      </c>
    </row>
    <row r="7" spans="1:18" x14ac:dyDescent="0.25">
      <c r="A7" s="5"/>
      <c r="B7" s="5" t="s">
        <v>1827</v>
      </c>
      <c r="C7" s="5" t="s">
        <v>2132</v>
      </c>
      <c r="D7" s="5" t="s">
        <v>2133</v>
      </c>
      <c r="E7" s="5" t="s">
        <v>2134</v>
      </c>
      <c r="F7" s="23">
        <v>7</v>
      </c>
      <c r="G7" s="23">
        <v>670</v>
      </c>
      <c r="H7" s="23">
        <v>30</v>
      </c>
      <c r="I7" s="23">
        <f>G7-H7</f>
        <v>640</v>
      </c>
      <c r="J7" s="5" t="s">
        <v>2121</v>
      </c>
      <c r="K7" s="5" t="s">
        <v>25</v>
      </c>
      <c r="L7" s="5" t="s">
        <v>2122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2135</v>
      </c>
      <c r="D8" s="5" t="s">
        <v>2136</v>
      </c>
      <c r="E8" s="5" t="s">
        <v>2137</v>
      </c>
      <c r="F8" s="5" t="s">
        <v>1853</v>
      </c>
      <c r="G8" s="23">
        <v>890</v>
      </c>
      <c r="H8" s="23">
        <v>30</v>
      </c>
      <c r="I8" s="23">
        <f>G8-H8</f>
        <v>860</v>
      </c>
      <c r="J8" s="5" t="s">
        <v>2121</v>
      </c>
      <c r="K8" s="5" t="s">
        <v>25</v>
      </c>
      <c r="L8" s="5" t="s">
        <v>2122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2138</v>
      </c>
      <c r="D9" s="5" t="s">
        <v>2139</v>
      </c>
      <c r="E9" s="5" t="s">
        <v>2140</v>
      </c>
      <c r="F9" s="5" t="s">
        <v>1853</v>
      </c>
      <c r="G9" s="23">
        <v>2010</v>
      </c>
      <c r="H9" s="23">
        <v>30</v>
      </c>
      <c r="I9" s="23">
        <f>G9-H9</f>
        <v>1980</v>
      </c>
      <c r="J9" s="5" t="s">
        <v>2121</v>
      </c>
      <c r="K9" s="5" t="s">
        <v>25</v>
      </c>
      <c r="L9" s="5" t="s">
        <v>2122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2141</v>
      </c>
      <c r="D10" s="5" t="s">
        <v>2142</v>
      </c>
      <c r="E10" s="5" t="s">
        <v>2143</v>
      </c>
      <c r="F10" s="5" t="s">
        <v>607</v>
      </c>
      <c r="G10" s="23">
        <v>405</v>
      </c>
      <c r="H10" s="23">
        <v>25</v>
      </c>
      <c r="I10" s="23">
        <f>G10-H10</f>
        <v>380</v>
      </c>
      <c r="J10" s="5" t="s">
        <v>2121</v>
      </c>
      <c r="K10" s="5" t="s">
        <v>25</v>
      </c>
      <c r="L10" s="5" t="s">
        <v>2122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2144</v>
      </c>
      <c r="D11" s="5" t="s">
        <v>2145</v>
      </c>
      <c r="E11" s="5" t="s">
        <v>2146</v>
      </c>
      <c r="F11" s="5" t="s">
        <v>1853</v>
      </c>
      <c r="G11" s="23">
        <v>0</v>
      </c>
      <c r="H11" s="23">
        <v>25</v>
      </c>
      <c r="I11" s="23">
        <f>-H11</f>
        <v>-25</v>
      </c>
      <c r="J11" s="5" t="s">
        <v>2121</v>
      </c>
      <c r="K11" s="5" t="s">
        <v>25</v>
      </c>
      <c r="L11" s="5" t="s">
        <v>2122</v>
      </c>
      <c r="M11" s="5"/>
      <c r="N11" s="5"/>
      <c r="O11" s="5"/>
      <c r="P11" s="5"/>
      <c r="Q11" s="23">
        <v>1</v>
      </c>
      <c r="R11" s="25">
        <f>H11</f>
        <v>25</v>
      </c>
    </row>
    <row r="12" spans="1:18" x14ac:dyDescent="0.25">
      <c r="A12" s="5"/>
      <c r="B12" s="5" t="s">
        <v>1827</v>
      </c>
      <c r="C12" s="5" t="s">
        <v>2147</v>
      </c>
      <c r="D12" s="5" t="s">
        <v>2148</v>
      </c>
      <c r="E12" s="5" t="s">
        <v>2149</v>
      </c>
      <c r="F12" s="5" t="s">
        <v>1853</v>
      </c>
      <c r="G12" s="23">
        <v>610</v>
      </c>
      <c r="H12" s="23">
        <v>30</v>
      </c>
      <c r="I12" s="23">
        <f>G12-H12</f>
        <v>580</v>
      </c>
      <c r="J12" s="5" t="s">
        <v>2121</v>
      </c>
      <c r="K12" s="5" t="s">
        <v>25</v>
      </c>
      <c r="L12" s="5" t="s">
        <v>2122</v>
      </c>
      <c r="M12" s="5"/>
      <c r="N12" s="5"/>
      <c r="O12" s="5"/>
      <c r="P12" s="5"/>
      <c r="Q12" s="23">
        <v>1</v>
      </c>
    </row>
    <row r="13" spans="1:18" x14ac:dyDescent="0.25">
      <c r="A13" s="5"/>
      <c r="B13" s="5" t="s">
        <v>1827</v>
      </c>
      <c r="C13" s="5" t="s">
        <v>2041</v>
      </c>
      <c r="D13" s="5" t="s">
        <v>2150</v>
      </c>
      <c r="E13" s="5" t="s">
        <v>2151</v>
      </c>
      <c r="F13" s="5" t="s">
        <v>2152</v>
      </c>
      <c r="G13" s="23">
        <v>380</v>
      </c>
      <c r="H13" s="23">
        <v>30</v>
      </c>
      <c r="I13" s="23">
        <f>G13-H13</f>
        <v>350</v>
      </c>
      <c r="J13" s="5" t="s">
        <v>2121</v>
      </c>
      <c r="K13" s="5" t="s">
        <v>25</v>
      </c>
      <c r="L13" s="5" t="s">
        <v>2122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2153</v>
      </c>
      <c r="D14" s="5" t="s">
        <v>2154</v>
      </c>
      <c r="E14" s="5" t="s">
        <v>2155</v>
      </c>
      <c r="F14" s="5" t="s">
        <v>444</v>
      </c>
      <c r="G14" s="23">
        <v>625</v>
      </c>
      <c r="H14" s="23">
        <v>35</v>
      </c>
      <c r="I14" s="23">
        <f>G14-H14</f>
        <v>590</v>
      </c>
      <c r="J14" s="5" t="s">
        <v>2121</v>
      </c>
      <c r="K14" s="5" t="s">
        <v>25</v>
      </c>
      <c r="L14" s="5" t="s">
        <v>2122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2156</v>
      </c>
      <c r="D15" s="5" t="s">
        <v>2157</v>
      </c>
      <c r="E15" s="5" t="s">
        <v>2158</v>
      </c>
      <c r="F15" s="23">
        <v>8</v>
      </c>
      <c r="G15" s="23">
        <v>405</v>
      </c>
      <c r="H15" s="23">
        <v>25</v>
      </c>
      <c r="I15" s="23">
        <f>G15-H15</f>
        <v>380</v>
      </c>
      <c r="J15" s="5" t="s">
        <v>2121</v>
      </c>
      <c r="K15" s="5" t="s">
        <v>25</v>
      </c>
      <c r="L15" s="5" t="s">
        <v>2122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2159</v>
      </c>
      <c r="D16" s="5" t="s">
        <v>2160</v>
      </c>
      <c r="E16" s="5" t="s">
        <v>2161</v>
      </c>
      <c r="F16" s="5" t="s">
        <v>1976</v>
      </c>
      <c r="G16" s="23">
        <v>995</v>
      </c>
      <c r="H16" s="23">
        <v>35</v>
      </c>
      <c r="I16" s="23">
        <f>G16-H16</f>
        <v>960</v>
      </c>
      <c r="J16" s="5" t="s">
        <v>2121</v>
      </c>
      <c r="K16" s="5" t="s">
        <v>25</v>
      </c>
      <c r="L16" s="5" t="s">
        <v>2122</v>
      </c>
      <c r="M16" s="5"/>
      <c r="N16" s="5"/>
      <c r="O16" s="5"/>
      <c r="P16" s="5"/>
      <c r="Q16" s="23">
        <v>1</v>
      </c>
    </row>
    <row r="17" spans="1:18" s="33" customFormat="1" x14ac:dyDescent="0.25">
      <c r="A17" s="36"/>
      <c r="B17" s="36" t="s">
        <v>1827</v>
      </c>
      <c r="C17" s="36" t="s">
        <v>2054</v>
      </c>
      <c r="D17" s="36" t="s">
        <v>2162</v>
      </c>
      <c r="E17" s="36" t="s">
        <v>2056</v>
      </c>
      <c r="F17" s="37">
        <v>7</v>
      </c>
      <c r="G17" s="37">
        <v>0</v>
      </c>
      <c r="H17" s="37">
        <v>30</v>
      </c>
      <c r="I17" s="37">
        <f>-H17</f>
        <v>-30</v>
      </c>
      <c r="J17" s="36" t="s">
        <v>2121</v>
      </c>
      <c r="K17" s="36" t="s">
        <v>25</v>
      </c>
      <c r="L17" s="36" t="s">
        <v>2122</v>
      </c>
      <c r="M17" s="36" t="s">
        <v>472</v>
      </c>
      <c r="N17" s="36"/>
      <c r="O17" s="36"/>
      <c r="P17" s="36"/>
      <c r="Q17" s="37">
        <v>1</v>
      </c>
      <c r="R17" s="34">
        <f>H17</f>
        <v>30</v>
      </c>
    </row>
    <row r="18" spans="1:18" x14ac:dyDescent="0.25">
      <c r="A18" s="5"/>
      <c r="B18" s="5" t="s">
        <v>1827</v>
      </c>
      <c r="C18" s="5" t="s">
        <v>2163</v>
      </c>
      <c r="D18" s="5" t="s">
        <v>2164</v>
      </c>
      <c r="E18" s="5" t="s">
        <v>2165</v>
      </c>
      <c r="F18" s="5" t="s">
        <v>70</v>
      </c>
      <c r="G18" s="23">
        <v>975</v>
      </c>
      <c r="H18" s="23">
        <v>25</v>
      </c>
      <c r="I18" s="23">
        <f>G18-H18</f>
        <v>950</v>
      </c>
      <c r="J18" s="5" t="s">
        <v>25</v>
      </c>
      <c r="K18" s="5" t="s">
        <v>25</v>
      </c>
      <c r="L18" s="5" t="s">
        <v>2122</v>
      </c>
      <c r="M18" s="5"/>
      <c r="N18" s="5"/>
      <c r="O18" s="5"/>
      <c r="P18" s="5"/>
      <c r="Q18" s="23">
        <v>1</v>
      </c>
    </row>
    <row r="19" spans="1:18" x14ac:dyDescent="0.25">
      <c r="A19" s="5"/>
      <c r="B19" s="5" t="s">
        <v>1827</v>
      </c>
      <c r="C19" s="5" t="s">
        <v>2166</v>
      </c>
      <c r="D19" s="5" t="s">
        <v>2167</v>
      </c>
      <c r="E19" s="5" t="s">
        <v>2168</v>
      </c>
      <c r="F19" s="5" t="s">
        <v>58</v>
      </c>
      <c r="G19" s="23">
        <v>600</v>
      </c>
      <c r="H19" s="23">
        <v>20</v>
      </c>
      <c r="I19" s="23">
        <f>G19-H19</f>
        <v>580</v>
      </c>
      <c r="J19" s="5" t="s">
        <v>25</v>
      </c>
      <c r="K19" s="5" t="s">
        <v>25</v>
      </c>
      <c r="L19" s="5" t="s">
        <v>2122</v>
      </c>
      <c r="M19" s="5"/>
      <c r="N19" s="5"/>
      <c r="O19" s="5"/>
      <c r="P19" s="5"/>
      <c r="Q19" s="23">
        <v>1</v>
      </c>
    </row>
    <row r="20" spans="1:18" x14ac:dyDescent="0.25">
      <c r="A20" s="5"/>
      <c r="B20" s="5" t="s">
        <v>1827</v>
      </c>
      <c r="C20" s="5" t="s">
        <v>2169</v>
      </c>
      <c r="D20" s="5" t="s">
        <v>2170</v>
      </c>
      <c r="E20" s="5" t="s">
        <v>2171</v>
      </c>
      <c r="F20" s="5" t="s">
        <v>58</v>
      </c>
      <c r="G20" s="23">
        <v>660</v>
      </c>
      <c r="H20" s="23">
        <v>20</v>
      </c>
      <c r="I20" s="23">
        <f>G20-H20</f>
        <v>640</v>
      </c>
      <c r="J20" s="5" t="s">
        <v>25</v>
      </c>
      <c r="K20" s="5" t="s">
        <v>25</v>
      </c>
      <c r="L20" s="5" t="s">
        <v>2122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2172</v>
      </c>
      <c r="D21" s="5" t="s">
        <v>2173</v>
      </c>
      <c r="E21" s="5" t="s">
        <v>2174</v>
      </c>
      <c r="F21" s="23">
        <v>2</v>
      </c>
      <c r="G21" s="23">
        <v>750</v>
      </c>
      <c r="H21" s="23">
        <v>30</v>
      </c>
      <c r="I21" s="23">
        <f>G21-H21</f>
        <v>720</v>
      </c>
      <c r="J21" s="5" t="s">
        <v>25</v>
      </c>
      <c r="K21" s="5" t="s">
        <v>25</v>
      </c>
      <c r="L21" s="5" t="s">
        <v>2122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2175</v>
      </c>
      <c r="D22" s="5" t="s">
        <v>2176</v>
      </c>
      <c r="E22" s="5" t="s">
        <v>2177</v>
      </c>
      <c r="F22" s="23">
        <v>2</v>
      </c>
      <c r="G22" s="23">
        <v>0</v>
      </c>
      <c r="H22" s="23">
        <v>30</v>
      </c>
      <c r="I22" s="23">
        <f>-H22</f>
        <v>-30</v>
      </c>
      <c r="J22" s="5" t="s">
        <v>25</v>
      </c>
      <c r="K22" s="5" t="s">
        <v>25</v>
      </c>
      <c r="L22" s="5" t="s">
        <v>2122</v>
      </c>
      <c r="M22" s="5"/>
      <c r="N22" s="5"/>
      <c r="O22" s="5"/>
      <c r="P22" s="5"/>
      <c r="Q22" s="23">
        <v>1</v>
      </c>
      <c r="R22" s="25">
        <f>H22</f>
        <v>30</v>
      </c>
    </row>
    <row r="23" spans="1:18" x14ac:dyDescent="0.25">
      <c r="A23" s="5"/>
      <c r="B23" s="5" t="s">
        <v>1827</v>
      </c>
      <c r="C23" s="5" t="s">
        <v>2178</v>
      </c>
      <c r="D23" s="5" t="s">
        <v>2179</v>
      </c>
      <c r="E23" s="5" t="s">
        <v>2180</v>
      </c>
      <c r="F23" s="5" t="s">
        <v>70</v>
      </c>
      <c r="G23" s="23">
        <v>745</v>
      </c>
      <c r="H23" s="23">
        <v>25</v>
      </c>
      <c r="I23" s="23">
        <f>G23-H23</f>
        <v>720</v>
      </c>
      <c r="J23" s="5" t="s">
        <v>25</v>
      </c>
      <c r="K23" s="5" t="s">
        <v>25</v>
      </c>
      <c r="L23" s="5" t="s">
        <v>2122</v>
      </c>
      <c r="M23" s="5"/>
      <c r="N23" s="5"/>
      <c r="O23" s="5"/>
      <c r="P23" s="5"/>
      <c r="Q23" s="23">
        <v>1</v>
      </c>
    </row>
    <row r="24" spans="1:18" x14ac:dyDescent="0.25">
      <c r="A24" s="5"/>
      <c r="B24" s="5" t="s">
        <v>1827</v>
      </c>
      <c r="C24" s="5" t="s">
        <v>2181</v>
      </c>
      <c r="D24" s="5" t="s">
        <v>2182</v>
      </c>
      <c r="E24" s="5" t="s">
        <v>2183</v>
      </c>
      <c r="F24" s="5" t="s">
        <v>70</v>
      </c>
      <c r="G24" s="23">
        <v>755</v>
      </c>
      <c r="H24" s="23">
        <v>25</v>
      </c>
      <c r="I24" s="23">
        <f>G24-H24</f>
        <v>730</v>
      </c>
      <c r="J24" s="5" t="s">
        <v>25</v>
      </c>
      <c r="K24" s="5" t="s">
        <v>25</v>
      </c>
      <c r="L24" s="5" t="s">
        <v>2122</v>
      </c>
      <c r="M24" s="5"/>
      <c r="N24" s="5"/>
      <c r="O24" s="5"/>
      <c r="P24" s="5"/>
      <c r="Q24" s="23">
        <v>1</v>
      </c>
    </row>
    <row r="25" spans="1:18" x14ac:dyDescent="0.25">
      <c r="A25" s="5"/>
      <c r="B25" s="5" t="s">
        <v>1827</v>
      </c>
      <c r="C25" s="5" t="s">
        <v>2184</v>
      </c>
      <c r="D25" s="5" t="s">
        <v>2185</v>
      </c>
      <c r="E25" s="5" t="s">
        <v>2186</v>
      </c>
      <c r="F25" s="5" t="s">
        <v>103</v>
      </c>
      <c r="G25" s="23">
        <v>520</v>
      </c>
      <c r="H25" s="23">
        <v>30</v>
      </c>
      <c r="I25" s="23">
        <f>G25-H25</f>
        <v>490</v>
      </c>
      <c r="J25" s="5" t="s">
        <v>25</v>
      </c>
      <c r="K25" s="5" t="s">
        <v>25</v>
      </c>
      <c r="L25" s="5" t="s">
        <v>2122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2187</v>
      </c>
      <c r="D26" s="5" t="s">
        <v>2188</v>
      </c>
      <c r="E26" s="5" t="s">
        <v>2189</v>
      </c>
      <c r="F26" s="23">
        <v>1</v>
      </c>
      <c r="G26" s="23">
        <v>365</v>
      </c>
      <c r="H26" s="23">
        <v>25</v>
      </c>
      <c r="I26" s="23">
        <f>G26-H26</f>
        <v>340</v>
      </c>
      <c r="J26" s="5" t="s">
        <v>1884</v>
      </c>
      <c r="K26" s="5" t="s">
        <v>25</v>
      </c>
      <c r="L26" s="5" t="s">
        <v>2122</v>
      </c>
      <c r="M26" s="5"/>
      <c r="N26" s="5"/>
      <c r="O26" s="5"/>
      <c r="P26" s="5"/>
      <c r="Q26" s="23">
        <v>1</v>
      </c>
    </row>
    <row r="27" spans="1:18" x14ac:dyDescent="0.25">
      <c r="A27" s="5"/>
      <c r="B27" s="5" t="s">
        <v>1827</v>
      </c>
      <c r="C27" s="5" t="s">
        <v>2190</v>
      </c>
      <c r="D27" s="5" t="s">
        <v>2191</v>
      </c>
      <c r="E27" s="5" t="s">
        <v>2192</v>
      </c>
      <c r="F27" s="23">
        <v>10</v>
      </c>
      <c r="G27" s="23">
        <v>785</v>
      </c>
      <c r="H27" s="23">
        <v>25</v>
      </c>
      <c r="I27" s="23">
        <f>G27-H27</f>
        <v>760</v>
      </c>
      <c r="J27" s="5" t="s">
        <v>1884</v>
      </c>
      <c r="K27" s="5" t="s">
        <v>25</v>
      </c>
      <c r="L27" s="5" t="s">
        <v>2122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2193</v>
      </c>
      <c r="D28" s="5" t="s">
        <v>2194</v>
      </c>
      <c r="E28" s="5" t="s">
        <v>2195</v>
      </c>
      <c r="F28" s="5" t="s">
        <v>98</v>
      </c>
      <c r="G28" s="23">
        <v>0</v>
      </c>
      <c r="H28" s="23">
        <v>25</v>
      </c>
      <c r="I28" s="23">
        <f>-H28</f>
        <v>-25</v>
      </c>
      <c r="J28" s="5" t="s">
        <v>1884</v>
      </c>
      <c r="K28" s="5" t="s">
        <v>25</v>
      </c>
      <c r="L28" s="5" t="s">
        <v>2122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2196</v>
      </c>
      <c r="D29" s="5" t="s">
        <v>2197</v>
      </c>
      <c r="E29" s="5" t="s">
        <v>2198</v>
      </c>
      <c r="F29" s="5" t="s">
        <v>151</v>
      </c>
      <c r="G29" s="23">
        <v>0</v>
      </c>
      <c r="H29" s="23">
        <v>20</v>
      </c>
      <c r="I29" s="23">
        <f>-H29</f>
        <v>-20</v>
      </c>
      <c r="J29" s="5" t="s">
        <v>1884</v>
      </c>
      <c r="K29" s="5" t="s">
        <v>25</v>
      </c>
      <c r="L29" s="5" t="s">
        <v>2122</v>
      </c>
      <c r="M29" s="5"/>
      <c r="N29" s="5"/>
      <c r="O29" s="5"/>
      <c r="P29" s="5"/>
      <c r="Q29" s="23">
        <v>1</v>
      </c>
      <c r="R29" s="25">
        <f>H29</f>
        <v>20</v>
      </c>
    </row>
    <row r="30" spans="1:18" x14ac:dyDescent="0.25">
      <c r="A30" s="5"/>
      <c r="B30" s="5" t="s">
        <v>1827</v>
      </c>
      <c r="C30" s="5" t="s">
        <v>2199</v>
      </c>
      <c r="D30" s="5" t="s">
        <v>2200</v>
      </c>
      <c r="E30" s="5" t="s">
        <v>2201</v>
      </c>
      <c r="F30" s="5" t="s">
        <v>151</v>
      </c>
      <c r="G30" s="23">
        <v>610</v>
      </c>
      <c r="H30" s="23">
        <v>20</v>
      </c>
      <c r="I30" s="23">
        <f>G30-H30</f>
        <v>590</v>
      </c>
      <c r="J30" s="5" t="s">
        <v>1884</v>
      </c>
      <c r="K30" s="5" t="s">
        <v>25</v>
      </c>
      <c r="L30" s="5" t="s">
        <v>2122</v>
      </c>
      <c r="M30" s="5"/>
      <c r="N30" s="5"/>
      <c r="O30" s="5"/>
      <c r="P30" s="5"/>
      <c r="Q30" s="23">
        <v>1</v>
      </c>
    </row>
    <row r="31" spans="1:18" x14ac:dyDescent="0.25">
      <c r="A31" s="5"/>
      <c r="B31" s="5" t="s">
        <v>1827</v>
      </c>
      <c r="C31" s="5" t="s">
        <v>2202</v>
      </c>
      <c r="D31" s="5" t="s">
        <v>2203</v>
      </c>
      <c r="E31" s="5" t="s">
        <v>2204</v>
      </c>
      <c r="F31" s="5" t="s">
        <v>98</v>
      </c>
      <c r="G31" s="23">
        <v>0</v>
      </c>
      <c r="H31" s="23">
        <v>25</v>
      </c>
      <c r="I31" s="23">
        <f>-H31</f>
        <v>-25</v>
      </c>
      <c r="J31" s="5" t="s">
        <v>1884</v>
      </c>
      <c r="K31" s="5" t="s">
        <v>25</v>
      </c>
      <c r="L31" s="5" t="s">
        <v>2122</v>
      </c>
      <c r="M31" s="5"/>
      <c r="N31" s="5"/>
      <c r="O31" s="5"/>
      <c r="P31" s="5"/>
      <c r="Q31" s="23">
        <v>1</v>
      </c>
      <c r="R31" s="25">
        <f>H31</f>
        <v>25</v>
      </c>
    </row>
    <row r="32" spans="1:18" x14ac:dyDescent="0.25">
      <c r="A32" s="5" t="s">
        <v>1833</v>
      </c>
      <c r="B32" s="5" t="s">
        <v>1827</v>
      </c>
      <c r="C32" s="5" t="s">
        <v>2205</v>
      </c>
      <c r="D32" s="5"/>
      <c r="E32" s="5" t="s">
        <v>2206</v>
      </c>
      <c r="F32" s="23">
        <v>5</v>
      </c>
      <c r="G32" s="23">
        <v>0</v>
      </c>
      <c r="H32" s="23">
        <v>30</v>
      </c>
      <c r="I32" s="23">
        <f>-H32</f>
        <v>-30</v>
      </c>
      <c r="J32" s="5" t="s">
        <v>1884</v>
      </c>
      <c r="K32" s="5" t="s">
        <v>25</v>
      </c>
      <c r="L32" s="5" t="s">
        <v>2122</v>
      </c>
      <c r="M32" s="5"/>
      <c r="N32" s="5"/>
      <c r="O32" s="5"/>
      <c r="P32" s="5"/>
      <c r="Q32" s="23">
        <v>1</v>
      </c>
      <c r="R32" s="25">
        <f>H32</f>
        <v>30</v>
      </c>
    </row>
    <row r="33" spans="1:18" x14ac:dyDescent="0.25">
      <c r="A33" s="5" t="s">
        <v>1833</v>
      </c>
      <c r="B33" s="5" t="s">
        <v>1827</v>
      </c>
      <c r="C33" s="5" t="s">
        <v>2036</v>
      </c>
      <c r="D33" s="5"/>
      <c r="E33" s="5" t="s">
        <v>2037</v>
      </c>
      <c r="F33" s="23">
        <v>4</v>
      </c>
      <c r="G33" s="23">
        <v>30</v>
      </c>
      <c r="H33" s="23">
        <v>30</v>
      </c>
      <c r="I33" s="23">
        <f>G33-H33</f>
        <v>0</v>
      </c>
      <c r="J33" s="5" t="s">
        <v>1884</v>
      </c>
      <c r="K33" s="5" t="s">
        <v>25</v>
      </c>
      <c r="L33" s="5" t="s">
        <v>2122</v>
      </c>
      <c r="M33" s="5"/>
      <c r="N33" s="5"/>
      <c r="O33" s="5"/>
      <c r="P33" s="5"/>
      <c r="Q33" s="23">
        <v>1</v>
      </c>
    </row>
    <row r="34" spans="1:18" x14ac:dyDescent="0.25">
      <c r="A34" s="5" t="s">
        <v>1833</v>
      </c>
      <c r="B34" s="5" t="s">
        <v>1827</v>
      </c>
      <c r="C34" s="5" t="s">
        <v>2207</v>
      </c>
      <c r="D34" s="5"/>
      <c r="E34" s="5" t="s">
        <v>2208</v>
      </c>
      <c r="F34" s="5" t="s">
        <v>607</v>
      </c>
      <c r="G34" s="23">
        <v>40</v>
      </c>
      <c r="H34" s="23">
        <v>40</v>
      </c>
      <c r="I34" s="23">
        <f>G34-H34</f>
        <v>0</v>
      </c>
      <c r="J34" s="5" t="s">
        <v>1884</v>
      </c>
      <c r="K34" s="5" t="s">
        <v>25</v>
      </c>
      <c r="L34" s="5" t="s">
        <v>2122</v>
      </c>
      <c r="M34" s="5"/>
      <c r="N34" s="5"/>
      <c r="O34" s="5"/>
      <c r="P34" s="5"/>
      <c r="Q34" s="23">
        <v>1</v>
      </c>
    </row>
    <row r="36" spans="1:18" x14ac:dyDescent="0.25">
      <c r="G36">
        <f t="shared" ref="G36:R36" si="0">SUBTOTAL(9,G3:G35)</f>
        <v>16805</v>
      </c>
      <c r="H36">
        <f t="shared" si="0"/>
        <v>875</v>
      </c>
      <c r="I36">
        <f t="shared" si="0"/>
        <v>15930</v>
      </c>
      <c r="J36">
        <f t="shared" si="0"/>
        <v>0</v>
      </c>
      <c r="K36">
        <f t="shared" si="0"/>
        <v>0</v>
      </c>
      <c r="L36">
        <f t="shared" si="0"/>
        <v>0</v>
      </c>
      <c r="M36">
        <f t="shared" si="0"/>
        <v>0</v>
      </c>
      <c r="N36">
        <f t="shared" si="0"/>
        <v>0</v>
      </c>
      <c r="O36">
        <f t="shared" si="0"/>
        <v>0</v>
      </c>
      <c r="P36">
        <f t="shared" si="0"/>
        <v>0</v>
      </c>
      <c r="Q36">
        <f t="shared" si="0"/>
        <v>32</v>
      </c>
      <c r="R36">
        <f t="shared" si="0"/>
        <v>210</v>
      </c>
    </row>
    <row r="37" spans="1:18" x14ac:dyDescent="0.25">
      <c r="I37" s="29">
        <v>-820</v>
      </c>
      <c r="J37" s="22" t="s">
        <v>311</v>
      </c>
    </row>
    <row r="38" spans="1:18" x14ac:dyDescent="0.25">
      <c r="I38" s="29"/>
      <c r="J38" s="22"/>
    </row>
    <row r="39" spans="1:18" x14ac:dyDescent="0.25">
      <c r="I39" s="29"/>
      <c r="J39" s="22"/>
    </row>
    <row r="40" spans="1:18" ht="18.75" customHeight="1" x14ac:dyDescent="0.3">
      <c r="H40" s="7" t="s">
        <v>2209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38">
        <f>SUM(I35:I39)</f>
        <v>15110</v>
      </c>
      <c r="J41" s="11">
        <f>Q36</f>
        <v>32</v>
      </c>
    </row>
    <row r="42" spans="1:18" x14ac:dyDescent="0.25">
      <c r="H42" s="12" t="s">
        <v>316</v>
      </c>
      <c r="I42" s="13">
        <f>R36</f>
        <v>210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15320</v>
      </c>
      <c r="J48" s="19">
        <f>SUM(J41:J45)</f>
        <v>32</v>
      </c>
    </row>
    <row r="49" spans="1:11" x14ac:dyDescent="0.25">
      <c r="A49" t="s">
        <v>311</v>
      </c>
    </row>
    <row r="50" spans="1:11" s="4" customFormat="1" x14ac:dyDescent="0.25">
      <c r="A50" s="2" t="s">
        <v>2062</v>
      </c>
      <c r="B50" s="2" t="s">
        <v>2063</v>
      </c>
      <c r="C50" s="2" t="s">
        <v>2064</v>
      </c>
      <c r="D50" s="27">
        <v>12</v>
      </c>
      <c r="E50" s="27">
        <v>820</v>
      </c>
      <c r="F50" s="27">
        <v>0</v>
      </c>
      <c r="G50" s="27">
        <v>820</v>
      </c>
      <c r="H50" s="2" t="s">
        <v>24</v>
      </c>
      <c r="I50" s="2" t="s">
        <v>25</v>
      </c>
      <c r="J50" s="2" t="s">
        <v>2051</v>
      </c>
      <c r="K50" s="3" t="s">
        <v>2210</v>
      </c>
    </row>
  </sheetData>
  <autoFilter ref="A2:P34" xr:uid="{00000000-0009-0000-0000-000011000000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6D2C-6B49-4C53-AAE5-BE9D84BBC623}">
  <dimension ref="A1:R89"/>
  <sheetViews>
    <sheetView topLeftCell="A75" zoomScale="80" zoomScaleNormal="80" workbookViewId="0">
      <selection activeCell="I79" sqref="I7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2211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" customFormat="1" x14ac:dyDescent="0.25">
      <c r="A3" s="2"/>
      <c r="B3" s="2" t="s">
        <v>1827</v>
      </c>
      <c r="C3" s="2" t="s">
        <v>2212</v>
      </c>
      <c r="D3" s="2" t="s">
        <v>2213</v>
      </c>
      <c r="E3" s="2" t="s">
        <v>2214</v>
      </c>
      <c r="F3" s="2" t="s">
        <v>23</v>
      </c>
      <c r="G3" s="27">
        <v>820</v>
      </c>
      <c r="H3" s="27">
        <v>0</v>
      </c>
      <c r="I3" s="27">
        <f>G3-H3</f>
        <v>820</v>
      </c>
      <c r="J3" s="2" t="s">
        <v>24</v>
      </c>
      <c r="K3" s="2" t="s">
        <v>25</v>
      </c>
      <c r="L3" s="2" t="s">
        <v>2215</v>
      </c>
      <c r="M3" s="3" t="s">
        <v>27</v>
      </c>
      <c r="N3" s="2" t="s">
        <v>28</v>
      </c>
      <c r="O3" s="2"/>
      <c r="P3" s="2" t="s">
        <v>29</v>
      </c>
      <c r="Q3" s="27">
        <v>1</v>
      </c>
    </row>
    <row r="4" spans="1:18" x14ac:dyDescent="0.25">
      <c r="A4" s="5"/>
      <c r="B4" s="5" t="s">
        <v>1827</v>
      </c>
      <c r="C4" s="5" t="s">
        <v>2216</v>
      </c>
      <c r="D4" s="5" t="s">
        <v>2217</v>
      </c>
      <c r="E4" s="5" t="s">
        <v>2218</v>
      </c>
      <c r="F4" s="23">
        <v>9</v>
      </c>
      <c r="G4" s="23">
        <v>850</v>
      </c>
      <c r="H4" s="23">
        <v>30</v>
      </c>
      <c r="I4" s="23">
        <f>G4-H4</f>
        <v>820</v>
      </c>
      <c r="J4" s="5" t="s">
        <v>1831</v>
      </c>
      <c r="K4" s="5" t="s">
        <v>25</v>
      </c>
      <c r="L4" s="5" t="s">
        <v>2215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2219</v>
      </c>
      <c r="D5" s="5" t="s">
        <v>2220</v>
      </c>
      <c r="E5" s="5" t="s">
        <v>2221</v>
      </c>
      <c r="F5" s="23">
        <v>9</v>
      </c>
      <c r="G5" s="23">
        <v>850</v>
      </c>
      <c r="H5" s="23">
        <v>30</v>
      </c>
      <c r="I5" s="23">
        <f>G5-H5</f>
        <v>820</v>
      </c>
      <c r="J5" s="5" t="s">
        <v>1831</v>
      </c>
      <c r="K5" s="5" t="s">
        <v>25</v>
      </c>
      <c r="L5" s="5" t="s">
        <v>2215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2222</v>
      </c>
      <c r="D6" s="5" t="s">
        <v>2223</v>
      </c>
      <c r="E6" s="5" t="s">
        <v>2224</v>
      </c>
      <c r="F6" s="23">
        <v>7</v>
      </c>
      <c r="G6" s="23">
        <v>0</v>
      </c>
      <c r="H6" s="23">
        <v>30</v>
      </c>
      <c r="I6" s="23">
        <f>-H6</f>
        <v>-30</v>
      </c>
      <c r="J6" s="5" t="s">
        <v>2225</v>
      </c>
      <c r="K6" s="5" t="s">
        <v>25</v>
      </c>
      <c r="L6" s="5" t="s">
        <v>2215</v>
      </c>
      <c r="M6" s="5"/>
      <c r="N6" s="5"/>
      <c r="O6" s="5"/>
      <c r="P6" s="5"/>
      <c r="Q6" s="23">
        <v>1</v>
      </c>
      <c r="R6" s="25">
        <f>H6</f>
        <v>30</v>
      </c>
    </row>
    <row r="7" spans="1:18" x14ac:dyDescent="0.25">
      <c r="A7" s="5"/>
      <c r="B7" s="5" t="s">
        <v>1827</v>
      </c>
      <c r="C7" s="5" t="s">
        <v>2226</v>
      </c>
      <c r="D7" s="5" t="s">
        <v>2227</v>
      </c>
      <c r="E7" s="5" t="s">
        <v>2228</v>
      </c>
      <c r="F7" s="5" t="s">
        <v>607</v>
      </c>
      <c r="G7" s="23">
        <v>1315</v>
      </c>
      <c r="H7" s="23">
        <v>25</v>
      </c>
      <c r="I7" s="23">
        <f>G7-H7</f>
        <v>1290</v>
      </c>
      <c r="J7" s="5" t="s">
        <v>2225</v>
      </c>
      <c r="K7" s="5" t="s">
        <v>25</v>
      </c>
      <c r="L7" s="5" t="s">
        <v>2215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2229</v>
      </c>
      <c r="D8" s="5" t="s">
        <v>2230</v>
      </c>
      <c r="E8" s="5" t="s">
        <v>2231</v>
      </c>
      <c r="F8" s="5" t="s">
        <v>1853</v>
      </c>
      <c r="G8" s="23">
        <v>510</v>
      </c>
      <c r="H8" s="23">
        <v>30</v>
      </c>
      <c r="I8" s="23">
        <f>G8-H8</f>
        <v>480</v>
      </c>
      <c r="J8" s="5" t="s">
        <v>2225</v>
      </c>
      <c r="K8" s="5" t="s">
        <v>25</v>
      </c>
      <c r="L8" s="5" t="s">
        <v>2215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2232</v>
      </c>
      <c r="D9" s="5" t="s">
        <v>2233</v>
      </c>
      <c r="E9" s="5" t="s">
        <v>2234</v>
      </c>
      <c r="F9" s="23">
        <v>8</v>
      </c>
      <c r="G9" s="23">
        <v>935</v>
      </c>
      <c r="H9" s="23">
        <v>25</v>
      </c>
      <c r="I9" s="23">
        <f>G9-H9</f>
        <v>910</v>
      </c>
      <c r="J9" s="5" t="s">
        <v>2225</v>
      </c>
      <c r="K9" s="5" t="s">
        <v>25</v>
      </c>
      <c r="L9" s="5" t="s">
        <v>2215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2235</v>
      </c>
      <c r="D10" s="5" t="s">
        <v>2236</v>
      </c>
      <c r="E10" s="5" t="s">
        <v>2237</v>
      </c>
      <c r="F10" s="5" t="s">
        <v>444</v>
      </c>
      <c r="G10" s="23">
        <v>675</v>
      </c>
      <c r="H10" s="23">
        <v>35</v>
      </c>
      <c r="I10" s="23">
        <f>G10-H10</f>
        <v>640</v>
      </c>
      <c r="J10" s="5" t="s">
        <v>2225</v>
      </c>
      <c r="K10" s="5" t="s">
        <v>25</v>
      </c>
      <c r="L10" s="5" t="s">
        <v>2215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2238</v>
      </c>
      <c r="D11" s="5" t="s">
        <v>2239</v>
      </c>
      <c r="E11" s="5" t="s">
        <v>2240</v>
      </c>
      <c r="F11" s="5" t="s">
        <v>1853</v>
      </c>
      <c r="G11" s="23">
        <v>670</v>
      </c>
      <c r="H11" s="23">
        <v>30</v>
      </c>
      <c r="I11" s="23">
        <f>G11-H11</f>
        <v>640</v>
      </c>
      <c r="J11" s="5" t="s">
        <v>2225</v>
      </c>
      <c r="K11" s="5" t="s">
        <v>25</v>
      </c>
      <c r="L11" s="5" t="s">
        <v>2215</v>
      </c>
      <c r="M11" s="5"/>
      <c r="N11" s="5"/>
      <c r="O11" s="5"/>
      <c r="P11" s="5"/>
      <c r="Q11" s="23">
        <v>1</v>
      </c>
    </row>
    <row r="12" spans="1:18" x14ac:dyDescent="0.25">
      <c r="A12" s="5"/>
      <c r="B12" s="5" t="s">
        <v>1827</v>
      </c>
      <c r="C12" s="5" t="s">
        <v>2241</v>
      </c>
      <c r="D12" s="5" t="s">
        <v>2242</v>
      </c>
      <c r="E12" s="5" t="s">
        <v>2243</v>
      </c>
      <c r="F12" s="23">
        <v>8</v>
      </c>
      <c r="G12" s="23">
        <v>0</v>
      </c>
      <c r="H12" s="23">
        <v>25</v>
      </c>
      <c r="I12" s="23">
        <f>-H12</f>
        <v>-25</v>
      </c>
      <c r="J12" s="5" t="s">
        <v>2225</v>
      </c>
      <c r="K12" s="5" t="s">
        <v>25</v>
      </c>
      <c r="L12" s="5" t="s">
        <v>2215</v>
      </c>
      <c r="M12" s="5"/>
      <c r="N12" s="5"/>
      <c r="O12" s="5"/>
      <c r="P12" s="5"/>
      <c r="Q12" s="23">
        <v>1</v>
      </c>
      <c r="R12" s="25">
        <f>H12</f>
        <v>25</v>
      </c>
    </row>
    <row r="13" spans="1:18" x14ac:dyDescent="0.25">
      <c r="A13" s="5"/>
      <c r="B13" s="5" t="s">
        <v>1827</v>
      </c>
      <c r="C13" s="5" t="s">
        <v>2244</v>
      </c>
      <c r="D13" s="5" t="s">
        <v>2245</v>
      </c>
      <c r="E13" s="5" t="s">
        <v>2246</v>
      </c>
      <c r="F13" s="23">
        <v>12</v>
      </c>
      <c r="G13" s="23">
        <v>410</v>
      </c>
      <c r="H13" s="23">
        <v>30</v>
      </c>
      <c r="I13" s="23">
        <f>G13-H13</f>
        <v>380</v>
      </c>
      <c r="J13" s="5" t="s">
        <v>2225</v>
      </c>
      <c r="K13" s="5" t="s">
        <v>25</v>
      </c>
      <c r="L13" s="5" t="s">
        <v>2215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2247</v>
      </c>
      <c r="D14" s="5" t="s">
        <v>2248</v>
      </c>
      <c r="E14" s="5" t="s">
        <v>2249</v>
      </c>
      <c r="F14" s="23">
        <v>7</v>
      </c>
      <c r="G14" s="23">
        <v>370</v>
      </c>
      <c r="H14" s="23">
        <v>30</v>
      </c>
      <c r="I14" s="23">
        <f>G14-H14</f>
        <v>340</v>
      </c>
      <c r="J14" s="5" t="s">
        <v>2225</v>
      </c>
      <c r="K14" s="5" t="s">
        <v>25</v>
      </c>
      <c r="L14" s="5" t="s">
        <v>2215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2250</v>
      </c>
      <c r="D15" s="5" t="s">
        <v>2251</v>
      </c>
      <c r="E15" s="5" t="s">
        <v>2252</v>
      </c>
      <c r="F15" s="23">
        <v>8</v>
      </c>
      <c r="G15" s="23">
        <v>1065</v>
      </c>
      <c r="H15" s="23">
        <v>25</v>
      </c>
      <c r="I15" s="23">
        <f>G15-H15</f>
        <v>1040</v>
      </c>
      <c r="J15" s="5" t="s">
        <v>2225</v>
      </c>
      <c r="K15" s="5" t="s">
        <v>25</v>
      </c>
      <c r="L15" s="5" t="s">
        <v>2215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2253</v>
      </c>
      <c r="D16" s="5" t="s">
        <v>2254</v>
      </c>
      <c r="E16" s="5" t="s">
        <v>2255</v>
      </c>
      <c r="F16" s="23">
        <v>11</v>
      </c>
      <c r="G16" s="23">
        <v>1695</v>
      </c>
      <c r="H16" s="23">
        <v>25</v>
      </c>
      <c r="I16" s="23">
        <f>G16-H16</f>
        <v>1670</v>
      </c>
      <c r="J16" s="5" t="s">
        <v>2225</v>
      </c>
      <c r="K16" s="5" t="s">
        <v>25</v>
      </c>
      <c r="L16" s="5" t="s">
        <v>2215</v>
      </c>
      <c r="M16" s="5"/>
      <c r="N16" s="5"/>
      <c r="O16" s="5"/>
      <c r="P16" s="5"/>
      <c r="Q16" s="23">
        <v>1</v>
      </c>
    </row>
    <row r="17" spans="1:18" x14ac:dyDescent="0.25">
      <c r="A17" s="5"/>
      <c r="B17" s="5" t="s">
        <v>1827</v>
      </c>
      <c r="C17" s="5" t="s">
        <v>2256</v>
      </c>
      <c r="D17" s="5" t="s">
        <v>2257</v>
      </c>
      <c r="E17" s="5" t="s">
        <v>2258</v>
      </c>
      <c r="F17" s="23">
        <v>8</v>
      </c>
      <c r="G17" s="23">
        <v>605</v>
      </c>
      <c r="H17" s="23">
        <v>25</v>
      </c>
      <c r="I17" s="23">
        <f>G17-H17</f>
        <v>580</v>
      </c>
      <c r="J17" s="5" t="s">
        <v>2225</v>
      </c>
      <c r="K17" s="5" t="s">
        <v>25</v>
      </c>
      <c r="L17" s="5" t="s">
        <v>2215</v>
      </c>
      <c r="M17" s="5"/>
      <c r="N17" s="5"/>
      <c r="O17" s="5"/>
      <c r="P17" s="5"/>
      <c r="Q17" s="23">
        <v>1</v>
      </c>
    </row>
    <row r="18" spans="1:18" x14ac:dyDescent="0.25">
      <c r="A18" s="5"/>
      <c r="B18" s="5" t="s">
        <v>1827</v>
      </c>
      <c r="C18" s="5" t="s">
        <v>2144</v>
      </c>
      <c r="D18" s="5" t="s">
        <v>2259</v>
      </c>
      <c r="E18" s="5" t="s">
        <v>2260</v>
      </c>
      <c r="F18" s="5" t="s">
        <v>1853</v>
      </c>
      <c r="G18" s="23">
        <v>0</v>
      </c>
      <c r="H18" s="23">
        <v>30</v>
      </c>
      <c r="I18" s="23">
        <f>-H18</f>
        <v>-30</v>
      </c>
      <c r="J18" s="5" t="s">
        <v>2225</v>
      </c>
      <c r="K18" s="5" t="s">
        <v>25</v>
      </c>
      <c r="L18" s="5" t="s">
        <v>2215</v>
      </c>
      <c r="M18" s="5"/>
      <c r="N18" s="5"/>
      <c r="O18" s="5"/>
      <c r="P18" s="5"/>
      <c r="Q18" s="23">
        <v>1</v>
      </c>
      <c r="R18" s="25">
        <f>H18</f>
        <v>30</v>
      </c>
    </row>
    <row r="19" spans="1:18" x14ac:dyDescent="0.25">
      <c r="A19" s="5"/>
      <c r="B19" s="5" t="s">
        <v>1827</v>
      </c>
      <c r="C19" s="5" t="s">
        <v>2261</v>
      </c>
      <c r="D19" s="5" t="s">
        <v>2262</v>
      </c>
      <c r="E19" s="5" t="s">
        <v>2263</v>
      </c>
      <c r="F19" s="23" t="s">
        <v>1976</v>
      </c>
      <c r="G19" s="23">
        <v>855</v>
      </c>
      <c r="H19" s="23">
        <v>35</v>
      </c>
      <c r="I19" s="23">
        <f>G19-H19</f>
        <v>820</v>
      </c>
      <c r="J19" s="5" t="s">
        <v>2225</v>
      </c>
      <c r="K19" s="5" t="s">
        <v>25</v>
      </c>
      <c r="L19" s="5" t="s">
        <v>2215</v>
      </c>
      <c r="M19" s="5"/>
      <c r="N19" s="5"/>
      <c r="O19" s="5"/>
      <c r="P19" s="5"/>
      <c r="Q19" s="23">
        <v>1</v>
      </c>
    </row>
    <row r="20" spans="1:18" x14ac:dyDescent="0.25">
      <c r="A20" s="5" t="s">
        <v>1833</v>
      </c>
      <c r="B20" s="5" t="s">
        <v>1827</v>
      </c>
      <c r="C20" s="5" t="s">
        <v>2207</v>
      </c>
      <c r="D20" s="5"/>
      <c r="E20" s="5" t="s">
        <v>2264</v>
      </c>
      <c r="F20" s="5" t="s">
        <v>607</v>
      </c>
      <c r="G20" s="23">
        <v>30</v>
      </c>
      <c r="H20" s="23">
        <v>30</v>
      </c>
      <c r="I20" s="23">
        <f>G20-H20</f>
        <v>0</v>
      </c>
      <c r="J20" s="5" t="s">
        <v>2225</v>
      </c>
      <c r="K20" s="5" t="s">
        <v>25</v>
      </c>
      <c r="L20" s="5" t="s">
        <v>2215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2265</v>
      </c>
      <c r="D21" s="5" t="s">
        <v>2266</v>
      </c>
      <c r="E21" s="5" t="s">
        <v>2267</v>
      </c>
      <c r="F21" s="23">
        <v>12</v>
      </c>
      <c r="G21" s="23">
        <v>730</v>
      </c>
      <c r="H21" s="23">
        <v>30</v>
      </c>
      <c r="I21" s="23">
        <f>G21-H21</f>
        <v>700</v>
      </c>
      <c r="J21" s="5" t="s">
        <v>2225</v>
      </c>
      <c r="K21" s="5" t="s">
        <v>25</v>
      </c>
      <c r="L21" s="5" t="s">
        <v>2215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2268</v>
      </c>
      <c r="D22" s="5" t="s">
        <v>2269</v>
      </c>
      <c r="E22" s="5" t="s">
        <v>2270</v>
      </c>
      <c r="F22" s="23">
        <v>7</v>
      </c>
      <c r="G22" s="23">
        <v>850</v>
      </c>
      <c r="H22" s="23">
        <v>30</v>
      </c>
      <c r="I22" s="23">
        <f>G22-H22</f>
        <v>820</v>
      </c>
      <c r="J22" s="5" t="s">
        <v>2225</v>
      </c>
      <c r="K22" s="5" t="s">
        <v>25</v>
      </c>
      <c r="L22" s="5" t="s">
        <v>2215</v>
      </c>
      <c r="M22" s="5"/>
      <c r="N22" s="5"/>
      <c r="O22" s="5"/>
      <c r="P22" s="5"/>
      <c r="Q22" s="23">
        <v>1</v>
      </c>
    </row>
    <row r="23" spans="1:18" x14ac:dyDescent="0.25">
      <c r="A23" s="5"/>
      <c r="B23" s="5" t="s">
        <v>1827</v>
      </c>
      <c r="C23" s="5" t="s">
        <v>2271</v>
      </c>
      <c r="D23" s="5" t="s">
        <v>2272</v>
      </c>
      <c r="E23" s="5" t="s">
        <v>2273</v>
      </c>
      <c r="F23" s="23">
        <v>7</v>
      </c>
      <c r="G23" s="23">
        <v>0</v>
      </c>
      <c r="H23" s="23">
        <v>30</v>
      </c>
      <c r="I23" s="23">
        <f>-H23</f>
        <v>-30</v>
      </c>
      <c r="J23" s="5" t="s">
        <v>2225</v>
      </c>
      <c r="K23" s="5" t="s">
        <v>25</v>
      </c>
      <c r="L23" s="5" t="s">
        <v>2215</v>
      </c>
      <c r="M23" s="5"/>
      <c r="N23" s="5"/>
      <c r="O23" s="5"/>
      <c r="P23" s="5"/>
      <c r="Q23" s="23">
        <v>1</v>
      </c>
      <c r="R23" s="25">
        <f>H23</f>
        <v>30</v>
      </c>
    </row>
    <row r="24" spans="1:18" x14ac:dyDescent="0.25">
      <c r="A24" s="5"/>
      <c r="B24" s="5" t="s">
        <v>1827</v>
      </c>
      <c r="C24" s="5" t="s">
        <v>2274</v>
      </c>
      <c r="D24" s="5" t="s">
        <v>2275</v>
      </c>
      <c r="E24" s="5" t="s">
        <v>2276</v>
      </c>
      <c r="F24" s="5" t="s">
        <v>1853</v>
      </c>
      <c r="G24" s="23">
        <v>0</v>
      </c>
      <c r="H24" s="23">
        <v>30</v>
      </c>
      <c r="I24" s="23">
        <f>-H24</f>
        <v>-30</v>
      </c>
      <c r="J24" s="5" t="s">
        <v>2225</v>
      </c>
      <c r="K24" s="5" t="s">
        <v>25</v>
      </c>
      <c r="L24" s="5" t="s">
        <v>2215</v>
      </c>
      <c r="M24" s="5"/>
      <c r="N24" s="5"/>
      <c r="O24" s="5"/>
      <c r="P24" s="5"/>
      <c r="Q24" s="23">
        <v>1</v>
      </c>
      <c r="R24" s="25">
        <f>H24</f>
        <v>30</v>
      </c>
    </row>
    <row r="25" spans="1:18" x14ac:dyDescent="0.25">
      <c r="A25" s="5"/>
      <c r="B25" s="5" t="s">
        <v>1827</v>
      </c>
      <c r="C25" s="5" t="s">
        <v>2277</v>
      </c>
      <c r="D25" s="5" t="s">
        <v>2278</v>
      </c>
      <c r="E25" s="5" t="s">
        <v>2279</v>
      </c>
      <c r="F25" s="5" t="s">
        <v>607</v>
      </c>
      <c r="G25" s="23">
        <v>695</v>
      </c>
      <c r="H25" s="23">
        <v>25</v>
      </c>
      <c r="I25" s="23">
        <f>G25-H25</f>
        <v>670</v>
      </c>
      <c r="J25" s="5" t="s">
        <v>2225</v>
      </c>
      <c r="K25" s="5" t="s">
        <v>25</v>
      </c>
      <c r="L25" s="5" t="s">
        <v>2215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2280</v>
      </c>
      <c r="D26" s="5" t="s">
        <v>2281</v>
      </c>
      <c r="E26" s="5" t="s">
        <v>2282</v>
      </c>
      <c r="F26" s="5" t="s">
        <v>1853</v>
      </c>
      <c r="G26" s="23">
        <v>0</v>
      </c>
      <c r="H26" s="23">
        <v>50</v>
      </c>
      <c r="I26" s="23">
        <f>G26-H26</f>
        <v>-50</v>
      </c>
      <c r="J26" s="5" t="s">
        <v>2225</v>
      </c>
      <c r="K26" s="5" t="s">
        <v>25</v>
      </c>
      <c r="L26" s="5" t="s">
        <v>2215</v>
      </c>
      <c r="M26" s="5"/>
      <c r="N26" s="5"/>
      <c r="O26" s="5"/>
      <c r="P26" s="5"/>
      <c r="Q26" s="23">
        <v>1</v>
      </c>
      <c r="R26" s="25">
        <f>H26</f>
        <v>50</v>
      </c>
    </row>
    <row r="27" spans="1:18" x14ac:dyDescent="0.25">
      <c r="A27" s="5"/>
      <c r="B27" s="5" t="s">
        <v>1827</v>
      </c>
      <c r="C27" s="5" t="s">
        <v>2283</v>
      </c>
      <c r="D27" s="5" t="s">
        <v>2284</v>
      </c>
      <c r="E27" s="5" t="s">
        <v>2285</v>
      </c>
      <c r="F27" s="5" t="s">
        <v>1853</v>
      </c>
      <c r="G27" s="23">
        <v>750</v>
      </c>
      <c r="H27" s="23">
        <v>30</v>
      </c>
      <c r="I27" s="23">
        <f>G27-H27</f>
        <v>720</v>
      </c>
      <c r="J27" s="5" t="s">
        <v>2225</v>
      </c>
      <c r="K27" s="5" t="s">
        <v>25</v>
      </c>
      <c r="L27" s="5" t="s">
        <v>2215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2286</v>
      </c>
      <c r="D28" s="5" t="s">
        <v>2287</v>
      </c>
      <c r="E28" s="5" t="s">
        <v>2288</v>
      </c>
      <c r="F28" s="23">
        <v>11</v>
      </c>
      <c r="G28" s="23">
        <v>0</v>
      </c>
      <c r="H28" s="23">
        <v>25</v>
      </c>
      <c r="I28" s="23">
        <f>-H28</f>
        <v>-25</v>
      </c>
      <c r="J28" s="5" t="s">
        <v>2225</v>
      </c>
      <c r="K28" s="5" t="s">
        <v>25</v>
      </c>
      <c r="L28" s="5" t="s">
        <v>2215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2289</v>
      </c>
      <c r="D29" s="5" t="s">
        <v>2290</v>
      </c>
      <c r="E29" s="5" t="s">
        <v>2291</v>
      </c>
      <c r="F29" s="23">
        <v>7</v>
      </c>
      <c r="G29" s="23">
        <v>0</v>
      </c>
      <c r="H29" s="23">
        <v>30</v>
      </c>
      <c r="I29" s="23">
        <f>-H29</f>
        <v>-30</v>
      </c>
      <c r="J29" s="5" t="s">
        <v>2225</v>
      </c>
      <c r="K29" s="5" t="s">
        <v>25</v>
      </c>
      <c r="L29" s="5" t="s">
        <v>2215</v>
      </c>
      <c r="M29" s="5"/>
      <c r="N29" s="5"/>
      <c r="O29" s="5"/>
      <c r="P29" s="5"/>
      <c r="Q29" s="23">
        <v>1</v>
      </c>
      <c r="R29" s="25">
        <f>H29</f>
        <v>30</v>
      </c>
    </row>
    <row r="30" spans="1:18" x14ac:dyDescent="0.25">
      <c r="A30" s="5" t="s">
        <v>1833</v>
      </c>
      <c r="B30" s="5" t="s">
        <v>1827</v>
      </c>
      <c r="C30" s="5" t="s">
        <v>2292</v>
      </c>
      <c r="D30" s="5"/>
      <c r="E30" s="5" t="s">
        <v>1841</v>
      </c>
      <c r="F30" s="23">
        <v>6</v>
      </c>
      <c r="G30" s="23">
        <v>0</v>
      </c>
      <c r="H30" s="23">
        <v>30</v>
      </c>
      <c r="I30" s="23">
        <f>-H30</f>
        <v>-30</v>
      </c>
      <c r="J30" s="5" t="s">
        <v>2225</v>
      </c>
      <c r="K30" s="5" t="s">
        <v>25</v>
      </c>
      <c r="L30" s="5" t="s">
        <v>2215</v>
      </c>
      <c r="M30" s="5"/>
      <c r="N30" s="5"/>
      <c r="O30" s="5"/>
      <c r="P30" s="5"/>
      <c r="Q30" s="23">
        <v>1</v>
      </c>
      <c r="R30" s="25">
        <f>H30</f>
        <v>30</v>
      </c>
    </row>
    <row r="31" spans="1:18" x14ac:dyDescent="0.25">
      <c r="A31" s="5" t="s">
        <v>1833</v>
      </c>
      <c r="B31" s="5" t="s">
        <v>1827</v>
      </c>
      <c r="C31" s="5" t="s">
        <v>2293</v>
      </c>
      <c r="D31" s="5"/>
      <c r="E31" s="5" t="s">
        <v>2294</v>
      </c>
      <c r="F31" s="23">
        <v>12</v>
      </c>
      <c r="G31" s="23">
        <v>645</v>
      </c>
      <c r="H31" s="23">
        <v>35</v>
      </c>
      <c r="I31" s="23">
        <f t="shared" ref="I31:I37" si="0">G31-H31</f>
        <v>610</v>
      </c>
      <c r="J31" s="5" t="s">
        <v>2225</v>
      </c>
      <c r="K31" s="5" t="s">
        <v>25</v>
      </c>
      <c r="L31" s="5" t="s">
        <v>2215</v>
      </c>
      <c r="M31" s="5"/>
      <c r="N31" s="5"/>
      <c r="O31" s="5"/>
      <c r="P31" s="5"/>
      <c r="Q31" s="23">
        <v>1</v>
      </c>
    </row>
    <row r="32" spans="1:18" x14ac:dyDescent="0.25">
      <c r="A32" s="5" t="s">
        <v>1833</v>
      </c>
      <c r="B32" s="5" t="s">
        <v>1827</v>
      </c>
      <c r="C32" s="5" t="s">
        <v>2295</v>
      </c>
      <c r="D32" s="5"/>
      <c r="E32" s="5" t="s">
        <v>2296</v>
      </c>
      <c r="F32" s="23">
        <v>6</v>
      </c>
      <c r="G32" s="23">
        <v>850</v>
      </c>
      <c r="H32" s="23">
        <v>30</v>
      </c>
      <c r="I32" s="23">
        <f t="shared" si="0"/>
        <v>820</v>
      </c>
      <c r="J32" s="5" t="s">
        <v>2225</v>
      </c>
      <c r="K32" s="5" t="s">
        <v>25</v>
      </c>
      <c r="L32" s="5" t="s">
        <v>2215</v>
      </c>
      <c r="M32" s="5"/>
      <c r="N32" s="5"/>
      <c r="O32" s="5"/>
      <c r="P32" s="5"/>
      <c r="Q32" s="23">
        <v>1</v>
      </c>
    </row>
    <row r="33" spans="1:18" x14ac:dyDescent="0.25">
      <c r="A33" s="5" t="s">
        <v>1833</v>
      </c>
      <c r="B33" s="5" t="s">
        <v>1827</v>
      </c>
      <c r="C33" s="5" t="s">
        <v>2297</v>
      </c>
      <c r="D33" s="5"/>
      <c r="E33" s="5" t="s">
        <v>2298</v>
      </c>
      <c r="F33" s="23">
        <v>6</v>
      </c>
      <c r="G33" s="23">
        <v>2425</v>
      </c>
      <c r="H33" s="23">
        <v>35</v>
      </c>
      <c r="I33" s="23">
        <f t="shared" si="0"/>
        <v>2390</v>
      </c>
      <c r="J33" s="5" t="s">
        <v>2225</v>
      </c>
      <c r="K33" s="5" t="s">
        <v>25</v>
      </c>
      <c r="L33" s="5" t="s">
        <v>2215</v>
      </c>
      <c r="M33" s="5"/>
      <c r="N33" s="5"/>
      <c r="O33" s="5"/>
      <c r="P33" s="5"/>
      <c r="Q33" s="23">
        <v>1</v>
      </c>
    </row>
    <row r="34" spans="1:18" s="33" customFormat="1" x14ac:dyDescent="0.25">
      <c r="A34" s="36"/>
      <c r="B34" s="36" t="s">
        <v>1827</v>
      </c>
      <c r="C34" s="36" t="s">
        <v>2299</v>
      </c>
      <c r="D34" s="36" t="s">
        <v>2300</v>
      </c>
      <c r="E34" s="36" t="s">
        <v>2301</v>
      </c>
      <c r="F34" s="36" t="s">
        <v>58</v>
      </c>
      <c r="G34" s="37">
        <v>40</v>
      </c>
      <c r="H34" s="37">
        <v>20</v>
      </c>
      <c r="I34" s="37">
        <f t="shared" si="0"/>
        <v>20</v>
      </c>
      <c r="J34" s="36" t="s">
        <v>25</v>
      </c>
      <c r="K34" s="36" t="s">
        <v>25</v>
      </c>
      <c r="L34" s="36" t="s">
        <v>2215</v>
      </c>
      <c r="M34" s="36" t="s">
        <v>2403</v>
      </c>
      <c r="N34" s="36"/>
      <c r="O34" s="36"/>
      <c r="P34" s="36"/>
      <c r="Q34" s="37">
        <v>1</v>
      </c>
      <c r="R34" s="34">
        <f>H34</f>
        <v>20</v>
      </c>
    </row>
    <row r="35" spans="1:18" x14ac:dyDescent="0.25">
      <c r="A35" s="5"/>
      <c r="B35" s="5" t="s">
        <v>1827</v>
      </c>
      <c r="C35" s="5" t="s">
        <v>2302</v>
      </c>
      <c r="D35" s="5" t="s">
        <v>2303</v>
      </c>
      <c r="E35" s="5" t="s">
        <v>2304</v>
      </c>
      <c r="F35" s="5" t="s">
        <v>70</v>
      </c>
      <c r="G35" s="23">
        <v>935</v>
      </c>
      <c r="H35" s="23">
        <v>25</v>
      </c>
      <c r="I35" s="23">
        <f t="shared" si="0"/>
        <v>910</v>
      </c>
      <c r="J35" s="5" t="s">
        <v>25</v>
      </c>
      <c r="K35" s="5" t="s">
        <v>25</v>
      </c>
      <c r="L35" s="5" t="s">
        <v>2215</v>
      </c>
      <c r="M35" s="5"/>
      <c r="N35" s="5"/>
      <c r="O35" s="5"/>
      <c r="P35" s="5"/>
      <c r="Q35" s="23">
        <v>1</v>
      </c>
    </row>
    <row r="36" spans="1:18" x14ac:dyDescent="0.25">
      <c r="A36" s="5"/>
      <c r="B36" s="5" t="s">
        <v>1827</v>
      </c>
      <c r="C36" s="5" t="s">
        <v>2305</v>
      </c>
      <c r="D36" s="5" t="s">
        <v>2306</v>
      </c>
      <c r="E36" s="5" t="s">
        <v>2307</v>
      </c>
      <c r="F36" s="5" t="s">
        <v>58</v>
      </c>
      <c r="G36" s="23">
        <v>690</v>
      </c>
      <c r="H36" s="23">
        <v>20</v>
      </c>
      <c r="I36" s="23">
        <f t="shared" si="0"/>
        <v>670</v>
      </c>
      <c r="J36" s="5" t="s">
        <v>25</v>
      </c>
      <c r="K36" s="5" t="s">
        <v>25</v>
      </c>
      <c r="L36" s="5" t="s">
        <v>2215</v>
      </c>
      <c r="M36" s="5"/>
      <c r="N36" s="5"/>
      <c r="O36" s="5"/>
      <c r="P36" s="5"/>
      <c r="Q36" s="23">
        <v>1</v>
      </c>
    </row>
    <row r="37" spans="1:18" x14ac:dyDescent="0.25">
      <c r="A37" s="5"/>
      <c r="B37" s="5" t="s">
        <v>1827</v>
      </c>
      <c r="C37" s="5" t="s">
        <v>2308</v>
      </c>
      <c r="D37" s="5" t="s">
        <v>2309</v>
      </c>
      <c r="E37" s="5" t="s">
        <v>2310</v>
      </c>
      <c r="F37" s="5" t="s">
        <v>70</v>
      </c>
      <c r="G37" s="23">
        <v>1325</v>
      </c>
      <c r="H37" s="23">
        <v>25</v>
      </c>
      <c r="I37" s="23">
        <f t="shared" si="0"/>
        <v>1300</v>
      </c>
      <c r="J37" s="5" t="s">
        <v>25</v>
      </c>
      <c r="K37" s="5" t="s">
        <v>25</v>
      </c>
      <c r="L37" s="5" t="s">
        <v>2215</v>
      </c>
      <c r="M37" s="5"/>
      <c r="N37" s="5"/>
      <c r="O37" s="5"/>
      <c r="P37" s="5"/>
      <c r="Q37" s="23">
        <v>1</v>
      </c>
    </row>
    <row r="38" spans="1:18" x14ac:dyDescent="0.25">
      <c r="A38" s="5"/>
      <c r="B38" s="5" t="s">
        <v>1827</v>
      </c>
      <c r="C38" s="5" t="s">
        <v>2311</v>
      </c>
      <c r="D38" s="5" t="s">
        <v>2312</v>
      </c>
      <c r="E38" s="5" t="s">
        <v>2313</v>
      </c>
      <c r="F38" s="5" t="s">
        <v>70</v>
      </c>
      <c r="G38" s="23">
        <v>0</v>
      </c>
      <c r="H38" s="23">
        <v>25</v>
      </c>
      <c r="I38" s="23">
        <f>-H38</f>
        <v>-25</v>
      </c>
      <c r="J38" s="5" t="s">
        <v>25</v>
      </c>
      <c r="K38" s="5" t="s">
        <v>25</v>
      </c>
      <c r="L38" s="5" t="s">
        <v>2215</v>
      </c>
      <c r="M38" s="5"/>
      <c r="N38" s="5"/>
      <c r="O38" s="5"/>
      <c r="P38" s="5"/>
      <c r="Q38" s="23">
        <v>1</v>
      </c>
      <c r="R38" s="25">
        <f>H38</f>
        <v>25</v>
      </c>
    </row>
    <row r="39" spans="1:18" x14ac:dyDescent="0.25">
      <c r="A39" s="5"/>
      <c r="B39" s="5" t="s">
        <v>1827</v>
      </c>
      <c r="C39" s="5" t="s">
        <v>2314</v>
      </c>
      <c r="D39" s="5" t="s">
        <v>2315</v>
      </c>
      <c r="E39" s="5" t="s">
        <v>2316</v>
      </c>
      <c r="F39" s="5" t="s">
        <v>98</v>
      </c>
      <c r="G39" s="23">
        <v>875</v>
      </c>
      <c r="H39" s="23">
        <v>25</v>
      </c>
      <c r="I39" s="23">
        <f>G39-H39</f>
        <v>850</v>
      </c>
      <c r="J39" s="5" t="s">
        <v>25</v>
      </c>
      <c r="K39" s="5" t="s">
        <v>25</v>
      </c>
      <c r="L39" s="5" t="s">
        <v>2215</v>
      </c>
      <c r="M39" s="5"/>
      <c r="N39" s="5"/>
      <c r="O39" s="5"/>
      <c r="P39" s="5"/>
      <c r="Q39" s="23">
        <v>1</v>
      </c>
    </row>
    <row r="40" spans="1:18" x14ac:dyDescent="0.25">
      <c r="A40" s="5"/>
      <c r="B40" s="5" t="s">
        <v>1827</v>
      </c>
      <c r="C40" s="5" t="s">
        <v>2317</v>
      </c>
      <c r="D40" s="5" t="s">
        <v>2318</v>
      </c>
      <c r="E40" s="5" t="s">
        <v>2319</v>
      </c>
      <c r="F40" s="5" t="s">
        <v>58</v>
      </c>
      <c r="G40" s="23">
        <v>810</v>
      </c>
      <c r="H40" s="23">
        <v>20</v>
      </c>
      <c r="I40" s="23">
        <f>G40-H40</f>
        <v>790</v>
      </c>
      <c r="J40" s="5" t="s">
        <v>25</v>
      </c>
      <c r="K40" s="5" t="s">
        <v>25</v>
      </c>
      <c r="L40" s="5" t="s">
        <v>2215</v>
      </c>
      <c r="M40" s="5"/>
      <c r="N40" s="5"/>
      <c r="O40" s="5"/>
      <c r="P40" s="5"/>
      <c r="Q40" s="23">
        <v>1</v>
      </c>
    </row>
    <row r="41" spans="1:18" x14ac:dyDescent="0.25">
      <c r="A41" s="5"/>
      <c r="B41" s="5" t="s">
        <v>1827</v>
      </c>
      <c r="C41" s="5" t="s">
        <v>2320</v>
      </c>
      <c r="D41" s="5" t="s">
        <v>2321</v>
      </c>
      <c r="E41" s="5" t="s">
        <v>2322</v>
      </c>
      <c r="F41" s="5" t="s">
        <v>58</v>
      </c>
      <c r="G41" s="23">
        <v>0</v>
      </c>
      <c r="H41" s="23">
        <v>20</v>
      </c>
      <c r="I41" s="23">
        <f>-H41</f>
        <v>-20</v>
      </c>
      <c r="J41" s="5" t="s">
        <v>25</v>
      </c>
      <c r="K41" s="5" t="s">
        <v>25</v>
      </c>
      <c r="L41" s="5" t="s">
        <v>2215</v>
      </c>
      <c r="M41" s="5"/>
      <c r="N41" s="5"/>
      <c r="O41" s="5"/>
      <c r="P41" s="5"/>
      <c r="Q41" s="23">
        <v>1</v>
      </c>
      <c r="R41" s="25">
        <f>H41</f>
        <v>20</v>
      </c>
    </row>
    <row r="42" spans="1:18" x14ac:dyDescent="0.25">
      <c r="A42" s="5"/>
      <c r="B42" s="5" t="s">
        <v>1827</v>
      </c>
      <c r="C42" s="5" t="s">
        <v>2323</v>
      </c>
      <c r="D42" s="5" t="s">
        <v>2324</v>
      </c>
      <c r="E42" s="5" t="s">
        <v>2325</v>
      </c>
      <c r="F42" s="23">
        <v>2</v>
      </c>
      <c r="G42" s="23">
        <v>870</v>
      </c>
      <c r="H42" s="23">
        <v>30</v>
      </c>
      <c r="I42" s="23">
        <f>G42-H42</f>
        <v>840</v>
      </c>
      <c r="J42" s="5" t="s">
        <v>25</v>
      </c>
      <c r="K42" s="5" t="s">
        <v>25</v>
      </c>
      <c r="L42" s="5" t="s">
        <v>2215</v>
      </c>
      <c r="M42" s="5"/>
      <c r="N42" s="5"/>
      <c r="O42" s="5"/>
      <c r="P42" s="5"/>
      <c r="Q42" s="23">
        <v>1</v>
      </c>
    </row>
    <row r="43" spans="1:18" x14ac:dyDescent="0.25">
      <c r="A43" s="5"/>
      <c r="B43" s="5" t="s">
        <v>1827</v>
      </c>
      <c r="C43" s="5" t="s">
        <v>2138</v>
      </c>
      <c r="D43" s="5" t="s">
        <v>2326</v>
      </c>
      <c r="E43" s="5" t="s">
        <v>2327</v>
      </c>
      <c r="F43" s="5" t="s">
        <v>70</v>
      </c>
      <c r="G43" s="23">
        <v>605</v>
      </c>
      <c r="H43" s="23">
        <v>25</v>
      </c>
      <c r="I43" s="23">
        <f>G43-H43</f>
        <v>580</v>
      </c>
      <c r="J43" s="5" t="s">
        <v>25</v>
      </c>
      <c r="K43" s="5" t="s">
        <v>25</v>
      </c>
      <c r="L43" s="5" t="s">
        <v>2215</v>
      </c>
      <c r="M43" s="5"/>
      <c r="N43" s="5"/>
      <c r="O43" s="5"/>
      <c r="P43" s="5"/>
      <c r="Q43" s="23">
        <v>1</v>
      </c>
    </row>
    <row r="44" spans="1:18" x14ac:dyDescent="0.25">
      <c r="A44" s="5"/>
      <c r="B44" s="5" t="s">
        <v>1827</v>
      </c>
      <c r="C44" s="5" t="s">
        <v>2328</v>
      </c>
      <c r="D44" s="5" t="s">
        <v>2329</v>
      </c>
      <c r="E44" s="5" t="s">
        <v>2330</v>
      </c>
      <c r="F44" s="5" t="s">
        <v>58</v>
      </c>
      <c r="G44" s="23">
        <v>1570</v>
      </c>
      <c r="H44" s="23">
        <v>20</v>
      </c>
      <c r="I44" s="23">
        <f>G44-H44</f>
        <v>1550</v>
      </c>
      <c r="J44" s="5" t="s">
        <v>25</v>
      </c>
      <c r="K44" s="5" t="s">
        <v>25</v>
      </c>
      <c r="L44" s="5" t="s">
        <v>2215</v>
      </c>
      <c r="M44" s="5"/>
      <c r="N44" s="5"/>
      <c r="O44" s="5"/>
      <c r="P44" s="5"/>
      <c r="Q44" s="23">
        <v>1</v>
      </c>
    </row>
    <row r="45" spans="1:18" x14ac:dyDescent="0.25">
      <c r="A45" s="5"/>
      <c r="B45" s="5" t="s">
        <v>1827</v>
      </c>
      <c r="C45" s="5" t="s">
        <v>2331</v>
      </c>
      <c r="D45" s="5" t="s">
        <v>2332</v>
      </c>
      <c r="E45" s="5" t="s">
        <v>2333</v>
      </c>
      <c r="F45" s="5" t="s">
        <v>103</v>
      </c>
      <c r="G45" s="23">
        <v>0</v>
      </c>
      <c r="H45" s="23">
        <v>30</v>
      </c>
      <c r="I45" s="23">
        <f>-H45</f>
        <v>-30</v>
      </c>
      <c r="J45" s="5" t="s">
        <v>25</v>
      </c>
      <c r="K45" s="5" t="s">
        <v>25</v>
      </c>
      <c r="L45" s="5" t="s">
        <v>2215</v>
      </c>
      <c r="M45" s="5"/>
      <c r="N45" s="5"/>
      <c r="O45" s="5"/>
      <c r="P45" s="5"/>
      <c r="Q45" s="23">
        <v>1</v>
      </c>
      <c r="R45" s="25">
        <f>H45</f>
        <v>30</v>
      </c>
    </row>
    <row r="46" spans="1:18" x14ac:dyDescent="0.25">
      <c r="A46" s="5"/>
      <c r="B46" s="5" t="s">
        <v>1827</v>
      </c>
      <c r="C46" s="5" t="s">
        <v>2334</v>
      </c>
      <c r="D46" s="5" t="s">
        <v>2335</v>
      </c>
      <c r="E46" s="5" t="s">
        <v>2336</v>
      </c>
      <c r="F46" s="5" t="s">
        <v>70</v>
      </c>
      <c r="G46" s="23">
        <v>1855</v>
      </c>
      <c r="H46" s="23">
        <v>25</v>
      </c>
      <c r="I46" s="23">
        <f>G46-H46</f>
        <v>1830</v>
      </c>
      <c r="J46" s="5" t="s">
        <v>25</v>
      </c>
      <c r="K46" s="5" t="s">
        <v>25</v>
      </c>
      <c r="L46" s="5" t="s">
        <v>2215</v>
      </c>
      <c r="M46" s="5"/>
      <c r="N46" s="5"/>
      <c r="O46" s="5"/>
      <c r="P46" s="5"/>
      <c r="Q46" s="23">
        <v>1</v>
      </c>
    </row>
    <row r="47" spans="1:18" x14ac:dyDescent="0.25">
      <c r="A47" s="5"/>
      <c r="B47" s="5" t="s">
        <v>1827</v>
      </c>
      <c r="C47" s="5" t="s">
        <v>2337</v>
      </c>
      <c r="D47" s="5" t="s">
        <v>2338</v>
      </c>
      <c r="E47" s="5" t="s">
        <v>2339</v>
      </c>
      <c r="F47" s="5" t="s">
        <v>98</v>
      </c>
      <c r="G47" s="23">
        <v>605</v>
      </c>
      <c r="H47" s="23">
        <v>25</v>
      </c>
      <c r="I47" s="23">
        <f>G47-H47</f>
        <v>580</v>
      </c>
      <c r="J47" s="5" t="s">
        <v>25</v>
      </c>
      <c r="K47" s="5" t="s">
        <v>25</v>
      </c>
      <c r="L47" s="5" t="s">
        <v>2215</v>
      </c>
      <c r="M47" s="5"/>
      <c r="N47" s="5"/>
      <c r="O47" s="5"/>
      <c r="P47" s="5"/>
      <c r="Q47" s="23">
        <v>1</v>
      </c>
    </row>
    <row r="48" spans="1:18" x14ac:dyDescent="0.25">
      <c r="A48" s="5"/>
      <c r="B48" s="5" t="s">
        <v>1827</v>
      </c>
      <c r="C48" s="5" t="s">
        <v>1869</v>
      </c>
      <c r="D48" s="5" t="s">
        <v>2340</v>
      </c>
      <c r="E48" s="5" t="s">
        <v>1871</v>
      </c>
      <c r="F48" s="5" t="s">
        <v>58</v>
      </c>
      <c r="G48" s="23">
        <v>0</v>
      </c>
      <c r="H48" s="23">
        <v>20</v>
      </c>
      <c r="I48" s="23">
        <f>-H48</f>
        <v>-20</v>
      </c>
      <c r="J48" s="5" t="s">
        <v>25</v>
      </c>
      <c r="K48" s="5" t="s">
        <v>25</v>
      </c>
      <c r="L48" s="5" t="s">
        <v>2215</v>
      </c>
      <c r="M48" s="5"/>
      <c r="N48" s="5"/>
      <c r="O48" s="5"/>
      <c r="P48" s="5"/>
      <c r="Q48" s="23">
        <v>1</v>
      </c>
      <c r="R48" s="25">
        <f>H48</f>
        <v>20</v>
      </c>
    </row>
    <row r="49" spans="1:18" x14ac:dyDescent="0.25">
      <c r="A49" s="5"/>
      <c r="B49" s="5" t="s">
        <v>1827</v>
      </c>
      <c r="C49" s="5" t="s">
        <v>2341</v>
      </c>
      <c r="D49" s="5" t="s">
        <v>2342</v>
      </c>
      <c r="E49" s="5" t="s">
        <v>2343</v>
      </c>
      <c r="F49" s="5" t="s">
        <v>103</v>
      </c>
      <c r="G49" s="23">
        <v>760</v>
      </c>
      <c r="H49" s="23">
        <v>30</v>
      </c>
      <c r="I49" s="23">
        <f>G49-H49</f>
        <v>730</v>
      </c>
      <c r="J49" s="5" t="s">
        <v>25</v>
      </c>
      <c r="K49" s="5" t="s">
        <v>25</v>
      </c>
      <c r="L49" s="5" t="s">
        <v>2215</v>
      </c>
      <c r="M49" s="5"/>
      <c r="N49" s="5"/>
      <c r="O49" s="5"/>
      <c r="P49" s="5"/>
      <c r="Q49" s="23">
        <v>1</v>
      </c>
    </row>
    <row r="50" spans="1:18" x14ac:dyDescent="0.25">
      <c r="A50" s="5" t="s">
        <v>1833</v>
      </c>
      <c r="B50" s="5" t="s">
        <v>1827</v>
      </c>
      <c r="C50" s="5" t="s">
        <v>2344</v>
      </c>
      <c r="D50" s="5"/>
      <c r="E50" s="5" t="s">
        <v>2345</v>
      </c>
      <c r="F50" s="5" t="s">
        <v>98</v>
      </c>
      <c r="G50" s="23">
        <v>960</v>
      </c>
      <c r="H50" s="23">
        <v>30</v>
      </c>
      <c r="I50" s="23">
        <f>G50-H50</f>
        <v>930</v>
      </c>
      <c r="J50" s="5" t="s">
        <v>25</v>
      </c>
      <c r="K50" s="5" t="s">
        <v>25</v>
      </c>
      <c r="L50" s="5" t="s">
        <v>2215</v>
      </c>
      <c r="M50" s="5"/>
      <c r="N50" s="5"/>
      <c r="O50" s="5"/>
      <c r="P50" s="5"/>
      <c r="Q50" s="23">
        <v>1</v>
      </c>
    </row>
    <row r="51" spans="1:18" x14ac:dyDescent="0.25">
      <c r="A51" s="5" t="s">
        <v>1833</v>
      </c>
      <c r="B51" s="5" t="s">
        <v>1827</v>
      </c>
      <c r="C51" s="5" t="s">
        <v>1933</v>
      </c>
      <c r="D51" s="5"/>
      <c r="E51" s="5" t="s">
        <v>1934</v>
      </c>
      <c r="F51" s="5" t="s">
        <v>70</v>
      </c>
      <c r="G51" s="23">
        <v>30</v>
      </c>
      <c r="H51" s="23">
        <v>30</v>
      </c>
      <c r="I51" s="23">
        <f>G51-H51</f>
        <v>0</v>
      </c>
      <c r="J51" s="5" t="s">
        <v>25</v>
      </c>
      <c r="K51" s="5" t="s">
        <v>25</v>
      </c>
      <c r="L51" s="5" t="s">
        <v>2215</v>
      </c>
      <c r="M51" s="5"/>
      <c r="N51" s="5"/>
      <c r="O51" s="5"/>
      <c r="P51" s="5"/>
      <c r="Q51" s="23">
        <v>1</v>
      </c>
    </row>
    <row r="52" spans="1:18" x14ac:dyDescent="0.25">
      <c r="A52" s="5" t="s">
        <v>1833</v>
      </c>
      <c r="B52" s="5" t="s">
        <v>1827</v>
      </c>
      <c r="C52" s="5" t="s">
        <v>1875</v>
      </c>
      <c r="D52" s="5"/>
      <c r="E52" s="5" t="s">
        <v>2011</v>
      </c>
      <c r="F52" s="5" t="s">
        <v>70</v>
      </c>
      <c r="G52" s="23">
        <v>7090</v>
      </c>
      <c r="H52" s="23">
        <v>30</v>
      </c>
      <c r="I52" s="23">
        <f>G52-H52</f>
        <v>7060</v>
      </c>
      <c r="J52" s="5" t="s">
        <v>25</v>
      </c>
      <c r="K52" s="5" t="s">
        <v>25</v>
      </c>
      <c r="L52" s="5" t="s">
        <v>2215</v>
      </c>
      <c r="M52" s="5"/>
      <c r="N52" s="5"/>
      <c r="O52" s="5"/>
      <c r="P52" s="5"/>
      <c r="Q52" s="23">
        <v>1</v>
      </c>
    </row>
    <row r="53" spans="1:18" x14ac:dyDescent="0.25">
      <c r="A53" s="5" t="s">
        <v>1833</v>
      </c>
      <c r="B53" s="5" t="s">
        <v>1827</v>
      </c>
      <c r="C53" s="5" t="s">
        <v>2346</v>
      </c>
      <c r="D53" s="5"/>
      <c r="E53" s="5" t="s">
        <v>2347</v>
      </c>
      <c r="F53" s="5" t="s">
        <v>103</v>
      </c>
      <c r="G53" s="23">
        <v>995</v>
      </c>
      <c r="H53" s="23">
        <v>35</v>
      </c>
      <c r="I53" s="23">
        <f>G53-H53</f>
        <v>960</v>
      </c>
      <c r="J53" s="5" t="s">
        <v>25</v>
      </c>
      <c r="K53" s="5" t="s">
        <v>25</v>
      </c>
      <c r="L53" s="5" t="s">
        <v>2215</v>
      </c>
      <c r="M53" s="5"/>
      <c r="N53" s="5"/>
      <c r="O53" s="5"/>
      <c r="P53" s="5"/>
      <c r="Q53" s="23">
        <v>1</v>
      </c>
    </row>
    <row r="54" spans="1:18" x14ac:dyDescent="0.25">
      <c r="A54" s="5"/>
      <c r="B54" s="5" t="s">
        <v>1827</v>
      </c>
      <c r="C54" s="5" t="s">
        <v>2348</v>
      </c>
      <c r="D54" s="5" t="s">
        <v>2349</v>
      </c>
      <c r="E54" s="5" t="s">
        <v>2350</v>
      </c>
      <c r="F54" s="23">
        <v>3</v>
      </c>
      <c r="G54" s="23">
        <v>0</v>
      </c>
      <c r="H54" s="23">
        <v>25</v>
      </c>
      <c r="I54" s="23">
        <f>-H54</f>
        <v>-25</v>
      </c>
      <c r="J54" s="5" t="s">
        <v>1884</v>
      </c>
      <c r="K54" s="5" t="s">
        <v>25</v>
      </c>
      <c r="L54" s="5" t="s">
        <v>2215</v>
      </c>
      <c r="M54" s="5"/>
      <c r="N54" s="5"/>
      <c r="O54" s="5"/>
      <c r="P54" s="5"/>
      <c r="Q54" s="23">
        <v>1</v>
      </c>
      <c r="R54" s="25">
        <f>H54</f>
        <v>25</v>
      </c>
    </row>
    <row r="55" spans="1:18" x14ac:dyDescent="0.25">
      <c r="A55" s="5"/>
      <c r="B55" s="5" t="s">
        <v>1827</v>
      </c>
      <c r="C55" s="5" t="s">
        <v>2093</v>
      </c>
      <c r="D55" s="5" t="s">
        <v>2351</v>
      </c>
      <c r="E55" s="5" t="s">
        <v>2352</v>
      </c>
      <c r="F55" s="23">
        <v>1</v>
      </c>
      <c r="G55" s="23">
        <v>865</v>
      </c>
      <c r="H55" s="23">
        <v>25</v>
      </c>
      <c r="I55" s="23">
        <f t="shared" ref="I55:I66" si="1">G55-H55</f>
        <v>840</v>
      </c>
      <c r="J55" s="5" t="s">
        <v>1884</v>
      </c>
      <c r="K55" s="5" t="s">
        <v>25</v>
      </c>
      <c r="L55" s="5" t="s">
        <v>2215</v>
      </c>
      <c r="M55" s="5"/>
      <c r="N55" s="5"/>
      <c r="O55" s="5"/>
      <c r="P55" s="5"/>
      <c r="Q55" s="23">
        <v>1</v>
      </c>
    </row>
    <row r="56" spans="1:18" x14ac:dyDescent="0.25">
      <c r="A56" s="5"/>
      <c r="B56" s="5" t="s">
        <v>1827</v>
      </c>
      <c r="C56" s="5" t="s">
        <v>2353</v>
      </c>
      <c r="D56" s="5" t="s">
        <v>2354</v>
      </c>
      <c r="E56" s="5" t="s">
        <v>2355</v>
      </c>
      <c r="F56" s="5" t="s">
        <v>98</v>
      </c>
      <c r="G56" s="23">
        <v>1635</v>
      </c>
      <c r="H56" s="23">
        <v>25</v>
      </c>
      <c r="I56" s="23">
        <f t="shared" si="1"/>
        <v>1610</v>
      </c>
      <c r="J56" s="5" t="s">
        <v>1884</v>
      </c>
      <c r="K56" s="5" t="s">
        <v>25</v>
      </c>
      <c r="L56" s="5" t="s">
        <v>2215</v>
      </c>
      <c r="M56" s="5"/>
      <c r="N56" s="5"/>
      <c r="O56" s="5"/>
      <c r="P56" s="5"/>
      <c r="Q56" s="23">
        <v>1</v>
      </c>
    </row>
    <row r="57" spans="1:18" x14ac:dyDescent="0.25">
      <c r="A57" s="5"/>
      <c r="B57" s="5" t="s">
        <v>1827</v>
      </c>
      <c r="C57" s="5" t="s">
        <v>2356</v>
      </c>
      <c r="D57" s="5" t="s">
        <v>2357</v>
      </c>
      <c r="E57" s="5" t="s">
        <v>2358</v>
      </c>
      <c r="F57" s="5" t="s">
        <v>98</v>
      </c>
      <c r="G57" s="23">
        <v>645</v>
      </c>
      <c r="H57" s="23">
        <v>25</v>
      </c>
      <c r="I57" s="23">
        <f t="shared" si="1"/>
        <v>620</v>
      </c>
      <c r="J57" s="5" t="s">
        <v>1884</v>
      </c>
      <c r="K57" s="5" t="s">
        <v>25</v>
      </c>
      <c r="L57" s="5" t="s">
        <v>2215</v>
      </c>
      <c r="M57" s="5"/>
      <c r="N57" s="5"/>
      <c r="O57" s="5"/>
      <c r="P57" s="5"/>
      <c r="Q57" s="23">
        <v>1</v>
      </c>
    </row>
    <row r="58" spans="1:18" x14ac:dyDescent="0.25">
      <c r="A58" s="5"/>
      <c r="B58" s="5" t="s">
        <v>1827</v>
      </c>
      <c r="C58" s="5" t="s">
        <v>2359</v>
      </c>
      <c r="D58" s="5" t="s">
        <v>2360</v>
      </c>
      <c r="E58" s="5" t="s">
        <v>2361</v>
      </c>
      <c r="F58" s="23">
        <v>5</v>
      </c>
      <c r="G58" s="23">
        <v>605</v>
      </c>
      <c r="H58" s="23">
        <v>25</v>
      </c>
      <c r="I58" s="23">
        <f t="shared" si="1"/>
        <v>580</v>
      </c>
      <c r="J58" s="5" t="s">
        <v>1884</v>
      </c>
      <c r="K58" s="5" t="s">
        <v>25</v>
      </c>
      <c r="L58" s="5" t="s">
        <v>2215</v>
      </c>
      <c r="M58" s="5"/>
      <c r="N58" s="5"/>
      <c r="O58" s="5"/>
      <c r="P58" s="5"/>
      <c r="Q58" s="23">
        <v>1</v>
      </c>
    </row>
    <row r="59" spans="1:18" x14ac:dyDescent="0.25">
      <c r="A59" s="5"/>
      <c r="B59" s="5" t="s">
        <v>1827</v>
      </c>
      <c r="C59" s="5" t="s">
        <v>2362</v>
      </c>
      <c r="D59" s="5" t="s">
        <v>2363</v>
      </c>
      <c r="E59" s="5" t="s">
        <v>2364</v>
      </c>
      <c r="F59" s="23">
        <v>4</v>
      </c>
      <c r="G59" s="23">
        <v>735</v>
      </c>
      <c r="H59" s="23">
        <v>25</v>
      </c>
      <c r="I59" s="23">
        <f t="shared" si="1"/>
        <v>710</v>
      </c>
      <c r="J59" s="5" t="s">
        <v>1884</v>
      </c>
      <c r="K59" s="5" t="s">
        <v>25</v>
      </c>
      <c r="L59" s="5" t="s">
        <v>2215</v>
      </c>
      <c r="M59" s="5"/>
      <c r="N59" s="5"/>
      <c r="O59" s="5"/>
      <c r="P59" s="5"/>
      <c r="Q59" s="23">
        <v>1</v>
      </c>
    </row>
    <row r="60" spans="1:18" x14ac:dyDescent="0.25">
      <c r="A60" s="5"/>
      <c r="B60" s="5" t="s">
        <v>1827</v>
      </c>
      <c r="C60" s="5" t="s">
        <v>2365</v>
      </c>
      <c r="D60" s="5" t="s">
        <v>2366</v>
      </c>
      <c r="E60" s="5" t="s">
        <v>2367</v>
      </c>
      <c r="F60" s="23">
        <v>10</v>
      </c>
      <c r="G60" s="23">
        <v>945</v>
      </c>
      <c r="H60" s="23">
        <v>25</v>
      </c>
      <c r="I60" s="23">
        <f t="shared" si="1"/>
        <v>920</v>
      </c>
      <c r="J60" s="5" t="s">
        <v>1884</v>
      </c>
      <c r="K60" s="5" t="s">
        <v>25</v>
      </c>
      <c r="L60" s="5" t="s">
        <v>2215</v>
      </c>
      <c r="M60" s="5"/>
      <c r="N60" s="5"/>
      <c r="O60" s="5"/>
      <c r="P60" s="5"/>
      <c r="Q60" s="23">
        <v>1</v>
      </c>
    </row>
    <row r="61" spans="1:18" x14ac:dyDescent="0.25">
      <c r="A61" s="5"/>
      <c r="B61" s="5" t="s">
        <v>1827</v>
      </c>
      <c r="C61" s="5" t="s">
        <v>2368</v>
      </c>
      <c r="D61" s="5" t="s">
        <v>2369</v>
      </c>
      <c r="E61" s="5" t="s">
        <v>2370</v>
      </c>
      <c r="F61" s="23">
        <v>3</v>
      </c>
      <c r="G61" s="23">
        <v>935</v>
      </c>
      <c r="H61" s="23">
        <v>25</v>
      </c>
      <c r="I61" s="23">
        <f t="shared" si="1"/>
        <v>910</v>
      </c>
      <c r="J61" s="5" t="s">
        <v>1884</v>
      </c>
      <c r="K61" s="5" t="s">
        <v>25</v>
      </c>
      <c r="L61" s="5" t="s">
        <v>2215</v>
      </c>
      <c r="M61" s="5"/>
      <c r="N61" s="5"/>
      <c r="O61" s="5"/>
      <c r="P61" s="5"/>
      <c r="Q61" s="23">
        <v>1</v>
      </c>
    </row>
    <row r="62" spans="1:18" x14ac:dyDescent="0.25">
      <c r="A62" s="5"/>
      <c r="B62" s="5" t="s">
        <v>1827</v>
      </c>
      <c r="C62" s="5" t="s">
        <v>2371</v>
      </c>
      <c r="D62" s="5" t="s">
        <v>2372</v>
      </c>
      <c r="E62" s="5" t="s">
        <v>2373</v>
      </c>
      <c r="F62" s="5" t="s">
        <v>98</v>
      </c>
      <c r="G62" s="23">
        <v>1765</v>
      </c>
      <c r="H62" s="23">
        <v>25</v>
      </c>
      <c r="I62" s="23">
        <f t="shared" si="1"/>
        <v>1740</v>
      </c>
      <c r="J62" s="5" t="s">
        <v>1884</v>
      </c>
      <c r="K62" s="5" t="s">
        <v>25</v>
      </c>
      <c r="L62" s="5" t="s">
        <v>2215</v>
      </c>
      <c r="M62" s="5"/>
      <c r="N62" s="5"/>
      <c r="O62" s="5"/>
      <c r="P62" s="5"/>
      <c r="Q62" s="23">
        <v>1</v>
      </c>
    </row>
    <row r="63" spans="1:18" x14ac:dyDescent="0.25">
      <c r="A63" s="5"/>
      <c r="B63" s="5" t="s">
        <v>1827</v>
      </c>
      <c r="C63" s="5" t="s">
        <v>2374</v>
      </c>
      <c r="D63" s="5" t="s">
        <v>2375</v>
      </c>
      <c r="E63" s="5" t="s">
        <v>2376</v>
      </c>
      <c r="F63" s="23">
        <v>3</v>
      </c>
      <c r="G63" s="23">
        <v>845</v>
      </c>
      <c r="H63" s="23">
        <v>25</v>
      </c>
      <c r="I63" s="23">
        <f t="shared" si="1"/>
        <v>820</v>
      </c>
      <c r="J63" s="5" t="s">
        <v>1884</v>
      </c>
      <c r="K63" s="5" t="s">
        <v>25</v>
      </c>
      <c r="L63" s="5" t="s">
        <v>2215</v>
      </c>
      <c r="M63" s="5"/>
      <c r="N63" s="5"/>
      <c r="O63" s="5"/>
      <c r="P63" s="5"/>
      <c r="Q63" s="23">
        <v>1</v>
      </c>
    </row>
    <row r="64" spans="1:18" x14ac:dyDescent="0.25">
      <c r="A64" s="5"/>
      <c r="B64" s="5" t="s">
        <v>1827</v>
      </c>
      <c r="C64" s="5" t="s">
        <v>2377</v>
      </c>
      <c r="D64" s="5" t="s">
        <v>2378</v>
      </c>
      <c r="E64" s="5" t="s">
        <v>2379</v>
      </c>
      <c r="F64" s="23">
        <v>10</v>
      </c>
      <c r="G64" s="23">
        <v>1535</v>
      </c>
      <c r="H64" s="23">
        <v>25</v>
      </c>
      <c r="I64" s="23">
        <f t="shared" si="1"/>
        <v>1510</v>
      </c>
      <c r="J64" s="5" t="s">
        <v>1884</v>
      </c>
      <c r="K64" s="5" t="s">
        <v>25</v>
      </c>
      <c r="L64" s="5" t="s">
        <v>2215</v>
      </c>
      <c r="M64" s="5"/>
      <c r="N64" s="5"/>
      <c r="O64" s="5"/>
      <c r="P64" s="5"/>
      <c r="Q64" s="23">
        <v>1</v>
      </c>
    </row>
    <row r="65" spans="1:18" x14ac:dyDescent="0.25">
      <c r="A65" s="5"/>
      <c r="B65" s="5" t="s">
        <v>1827</v>
      </c>
      <c r="C65" s="5" t="s">
        <v>2380</v>
      </c>
      <c r="D65" s="5" t="s">
        <v>2381</v>
      </c>
      <c r="E65" s="5" t="s">
        <v>2382</v>
      </c>
      <c r="F65" s="5" t="s">
        <v>98</v>
      </c>
      <c r="G65" s="23">
        <v>605</v>
      </c>
      <c r="H65" s="23">
        <v>25</v>
      </c>
      <c r="I65" s="23">
        <f t="shared" si="1"/>
        <v>580</v>
      </c>
      <c r="J65" s="5" t="s">
        <v>1884</v>
      </c>
      <c r="K65" s="5" t="s">
        <v>25</v>
      </c>
      <c r="L65" s="5" t="s">
        <v>2215</v>
      </c>
      <c r="M65" s="5"/>
      <c r="N65" s="5"/>
      <c r="O65" s="5"/>
      <c r="P65" s="5"/>
      <c r="Q65" s="23">
        <v>1</v>
      </c>
    </row>
    <row r="66" spans="1:18" x14ac:dyDescent="0.25">
      <c r="A66" s="5"/>
      <c r="B66" s="5" t="s">
        <v>1827</v>
      </c>
      <c r="C66" s="5" t="s">
        <v>2383</v>
      </c>
      <c r="D66" s="5" t="s">
        <v>2384</v>
      </c>
      <c r="E66" s="5" t="s">
        <v>2385</v>
      </c>
      <c r="F66" s="23">
        <v>1</v>
      </c>
      <c r="G66" s="23">
        <v>605</v>
      </c>
      <c r="H66" s="23">
        <v>25</v>
      </c>
      <c r="I66" s="23">
        <f t="shared" si="1"/>
        <v>580</v>
      </c>
      <c r="J66" s="5" t="s">
        <v>1884</v>
      </c>
      <c r="K66" s="5" t="s">
        <v>25</v>
      </c>
      <c r="L66" s="5" t="s">
        <v>2215</v>
      </c>
      <c r="M66" s="5"/>
      <c r="N66" s="5"/>
      <c r="O66" s="5"/>
      <c r="P66" s="5"/>
      <c r="Q66" s="23">
        <v>1</v>
      </c>
    </row>
    <row r="67" spans="1:18" x14ac:dyDescent="0.25">
      <c r="A67" s="5"/>
      <c r="B67" s="5" t="s">
        <v>1827</v>
      </c>
      <c r="C67" s="5" t="s">
        <v>2386</v>
      </c>
      <c r="D67" s="5" t="s">
        <v>2387</v>
      </c>
      <c r="E67" s="5" t="s">
        <v>2388</v>
      </c>
      <c r="F67" s="5" t="s">
        <v>98</v>
      </c>
      <c r="G67" s="23">
        <v>0</v>
      </c>
      <c r="H67" s="23">
        <v>25</v>
      </c>
      <c r="I67" s="23">
        <f>-H67</f>
        <v>-25</v>
      </c>
      <c r="J67" s="5" t="s">
        <v>1884</v>
      </c>
      <c r="K67" s="5" t="s">
        <v>25</v>
      </c>
      <c r="L67" s="5" t="s">
        <v>2215</v>
      </c>
      <c r="M67" s="5"/>
      <c r="N67" s="5"/>
      <c r="O67" s="5"/>
      <c r="P67" s="5"/>
      <c r="Q67" s="23">
        <v>1</v>
      </c>
      <c r="R67" s="25">
        <f>H67</f>
        <v>25</v>
      </c>
    </row>
    <row r="68" spans="1:18" x14ac:dyDescent="0.25">
      <c r="A68" s="5"/>
      <c r="B68" s="5" t="s">
        <v>1827</v>
      </c>
      <c r="C68" s="5" t="s">
        <v>2250</v>
      </c>
      <c r="D68" s="5" t="s">
        <v>2389</v>
      </c>
      <c r="E68" s="5" t="s">
        <v>2390</v>
      </c>
      <c r="F68" s="23">
        <v>5</v>
      </c>
      <c r="G68" s="23">
        <v>845</v>
      </c>
      <c r="H68" s="23">
        <v>25</v>
      </c>
      <c r="I68" s="23">
        <f>G68-H68</f>
        <v>820</v>
      </c>
      <c r="J68" s="5" t="s">
        <v>1884</v>
      </c>
      <c r="K68" s="5" t="s">
        <v>25</v>
      </c>
      <c r="L68" s="5" t="s">
        <v>2215</v>
      </c>
      <c r="M68" s="5"/>
      <c r="N68" s="5"/>
      <c r="O68" s="5"/>
      <c r="P68" s="5"/>
      <c r="Q68" s="23">
        <v>1</v>
      </c>
    </row>
    <row r="69" spans="1:18" x14ac:dyDescent="0.25">
      <c r="A69" s="5"/>
      <c r="B69" s="5" t="s">
        <v>1827</v>
      </c>
      <c r="C69" s="5" t="s">
        <v>2391</v>
      </c>
      <c r="D69" s="5" t="s">
        <v>2392</v>
      </c>
      <c r="E69" s="5" t="s">
        <v>2393</v>
      </c>
      <c r="F69" s="23">
        <v>4</v>
      </c>
      <c r="G69" s="23">
        <v>0</v>
      </c>
      <c r="H69" s="23">
        <v>25</v>
      </c>
      <c r="I69" s="23">
        <f>-H69</f>
        <v>-25</v>
      </c>
      <c r="J69" s="5" t="s">
        <v>1884</v>
      </c>
      <c r="K69" s="5" t="s">
        <v>25</v>
      </c>
      <c r="L69" s="5" t="s">
        <v>2215</v>
      </c>
      <c r="M69" s="5"/>
      <c r="N69" s="5"/>
      <c r="O69" s="5"/>
      <c r="P69" s="5"/>
      <c r="Q69" s="23">
        <v>1</v>
      </c>
      <c r="R69" s="25">
        <f>H69</f>
        <v>25</v>
      </c>
    </row>
    <row r="70" spans="1:18" x14ac:dyDescent="0.25">
      <c r="A70" s="5"/>
      <c r="B70" s="5" t="s">
        <v>1827</v>
      </c>
      <c r="C70" s="5" t="s">
        <v>2394</v>
      </c>
      <c r="D70" s="5" t="s">
        <v>2395</v>
      </c>
      <c r="E70" s="5" t="s">
        <v>2396</v>
      </c>
      <c r="F70" s="23">
        <v>1</v>
      </c>
      <c r="G70" s="23">
        <v>785</v>
      </c>
      <c r="H70" s="23">
        <v>25</v>
      </c>
      <c r="I70" s="23">
        <f t="shared" ref="I70:I75" si="2">G70-H70</f>
        <v>760</v>
      </c>
      <c r="J70" s="5" t="s">
        <v>1884</v>
      </c>
      <c r="K70" s="5" t="s">
        <v>25</v>
      </c>
      <c r="L70" s="5" t="s">
        <v>2215</v>
      </c>
      <c r="M70" s="5"/>
      <c r="N70" s="5"/>
      <c r="O70" s="5"/>
      <c r="P70" s="5"/>
      <c r="Q70" s="23">
        <v>1</v>
      </c>
    </row>
    <row r="71" spans="1:18" x14ac:dyDescent="0.25">
      <c r="A71" s="5"/>
      <c r="B71" s="5" t="s">
        <v>1827</v>
      </c>
      <c r="C71" s="5" t="s">
        <v>2397</v>
      </c>
      <c r="D71" s="5" t="s">
        <v>2398</v>
      </c>
      <c r="E71" s="5" t="s">
        <v>2399</v>
      </c>
      <c r="F71" s="23">
        <v>4</v>
      </c>
      <c r="G71" s="23">
        <v>785</v>
      </c>
      <c r="H71" s="23">
        <v>25</v>
      </c>
      <c r="I71" s="23">
        <f t="shared" si="2"/>
        <v>760</v>
      </c>
      <c r="J71" s="5" t="s">
        <v>1884</v>
      </c>
      <c r="K71" s="5" t="s">
        <v>25</v>
      </c>
      <c r="L71" s="5" t="s">
        <v>2215</v>
      </c>
      <c r="M71" s="5"/>
      <c r="N71" s="5"/>
      <c r="O71" s="5"/>
      <c r="P71" s="5"/>
      <c r="Q71" s="23">
        <v>1</v>
      </c>
    </row>
    <row r="72" spans="1:18" x14ac:dyDescent="0.25">
      <c r="A72" s="36"/>
      <c r="B72" s="36" t="s">
        <v>1827</v>
      </c>
      <c r="C72" s="36" t="s">
        <v>2400</v>
      </c>
      <c r="D72" s="36" t="s">
        <v>2401</v>
      </c>
      <c r="E72" s="36" t="s">
        <v>2402</v>
      </c>
      <c r="F72" s="37">
        <v>3</v>
      </c>
      <c r="G72" s="37">
        <v>2340</v>
      </c>
      <c r="H72" s="37">
        <v>30</v>
      </c>
      <c r="I72" s="37">
        <f t="shared" si="2"/>
        <v>2310</v>
      </c>
      <c r="J72" s="36" t="s">
        <v>1884</v>
      </c>
      <c r="K72" s="36" t="s">
        <v>25</v>
      </c>
      <c r="L72" s="36" t="s">
        <v>2215</v>
      </c>
      <c r="M72" s="36" t="s">
        <v>2403</v>
      </c>
      <c r="N72" s="36"/>
      <c r="O72" s="36"/>
      <c r="P72" s="36"/>
      <c r="Q72" s="37">
        <v>1</v>
      </c>
      <c r="R72" s="25">
        <f>H72</f>
        <v>30</v>
      </c>
    </row>
    <row r="73" spans="1:18" x14ac:dyDescent="0.25">
      <c r="A73" s="5"/>
      <c r="B73" s="5" t="s">
        <v>1827</v>
      </c>
      <c r="C73" s="5" t="s">
        <v>2008</v>
      </c>
      <c r="D73" s="5" t="s">
        <v>2404</v>
      </c>
      <c r="E73" s="5" t="s">
        <v>2405</v>
      </c>
      <c r="F73" s="23">
        <v>4</v>
      </c>
      <c r="G73" s="23">
        <v>765</v>
      </c>
      <c r="H73" s="23">
        <v>25</v>
      </c>
      <c r="I73" s="23">
        <f t="shared" si="2"/>
        <v>740</v>
      </c>
      <c r="J73" s="5" t="s">
        <v>1884</v>
      </c>
      <c r="K73" s="5" t="s">
        <v>25</v>
      </c>
      <c r="L73" s="5" t="s">
        <v>2215</v>
      </c>
      <c r="M73" s="5"/>
      <c r="N73" s="5"/>
      <c r="O73" s="5"/>
      <c r="P73" s="5"/>
      <c r="Q73" s="23">
        <v>1</v>
      </c>
    </row>
    <row r="74" spans="1:18" x14ac:dyDescent="0.25">
      <c r="A74" s="5"/>
      <c r="B74" s="5" t="s">
        <v>1827</v>
      </c>
      <c r="C74" s="5" t="s">
        <v>2406</v>
      </c>
      <c r="D74" s="5" t="s">
        <v>2407</v>
      </c>
      <c r="E74" s="5" t="s">
        <v>2408</v>
      </c>
      <c r="F74" s="5" t="s">
        <v>98</v>
      </c>
      <c r="G74" s="23">
        <v>0</v>
      </c>
      <c r="H74" s="23">
        <v>25</v>
      </c>
      <c r="I74" s="23">
        <f t="shared" si="2"/>
        <v>-25</v>
      </c>
      <c r="J74" s="5" t="s">
        <v>1884</v>
      </c>
      <c r="K74" s="5" t="s">
        <v>25</v>
      </c>
      <c r="L74" s="5" t="s">
        <v>2215</v>
      </c>
      <c r="M74" s="5"/>
      <c r="N74" s="5"/>
      <c r="O74" s="5"/>
      <c r="P74" s="5"/>
      <c r="Q74" s="23">
        <v>1</v>
      </c>
      <c r="R74" s="25">
        <f>H74</f>
        <v>25</v>
      </c>
    </row>
    <row r="75" spans="1:18" x14ac:dyDescent="0.25">
      <c r="A75" s="5" t="s">
        <v>1833</v>
      </c>
      <c r="B75" s="5" t="s">
        <v>1827</v>
      </c>
      <c r="C75" s="5" t="s">
        <v>2409</v>
      </c>
      <c r="D75" s="5"/>
      <c r="E75" s="5" t="s">
        <v>2410</v>
      </c>
      <c r="F75" s="5" t="s">
        <v>98</v>
      </c>
      <c r="G75" s="23">
        <v>0</v>
      </c>
      <c r="H75" s="23">
        <v>30</v>
      </c>
      <c r="I75" s="23">
        <f t="shared" si="2"/>
        <v>-30</v>
      </c>
      <c r="J75" s="5" t="s">
        <v>1884</v>
      </c>
      <c r="K75" s="5" t="s">
        <v>25</v>
      </c>
      <c r="L75" s="5" t="s">
        <v>2215</v>
      </c>
      <c r="M75" s="5"/>
      <c r="N75" s="5"/>
      <c r="O75" s="5"/>
      <c r="P75" s="5"/>
      <c r="Q75" s="23">
        <v>1</v>
      </c>
      <c r="R75" s="25">
        <f>H75</f>
        <v>30</v>
      </c>
    </row>
    <row r="77" spans="1:18" x14ac:dyDescent="0.25">
      <c r="G77">
        <f>SUBTOTAL(9,G3:G76)</f>
        <v>55855</v>
      </c>
      <c r="H77">
        <f t="shared" ref="H77:R77" si="3">SUBTOTAL(9,H3:H76)</f>
        <v>1970</v>
      </c>
      <c r="I77">
        <f t="shared" si="3"/>
        <v>53885</v>
      </c>
      <c r="J77">
        <f t="shared" si="3"/>
        <v>0</v>
      </c>
      <c r="K77">
        <f t="shared" si="3"/>
        <v>0</v>
      </c>
      <c r="L77">
        <f t="shared" si="3"/>
        <v>0</v>
      </c>
      <c r="M77">
        <f t="shared" si="3"/>
        <v>0</v>
      </c>
      <c r="N77">
        <f t="shared" si="3"/>
        <v>0</v>
      </c>
      <c r="O77">
        <f t="shared" si="3"/>
        <v>0</v>
      </c>
      <c r="P77">
        <f t="shared" si="3"/>
        <v>0</v>
      </c>
      <c r="Q77">
        <f t="shared" si="3"/>
        <v>73</v>
      </c>
      <c r="R77">
        <f t="shared" si="3"/>
        <v>555</v>
      </c>
    </row>
    <row r="78" spans="1:18" x14ac:dyDescent="0.25">
      <c r="I78" s="29">
        <v>-2430</v>
      </c>
      <c r="J78" s="22" t="s">
        <v>2412</v>
      </c>
    </row>
    <row r="79" spans="1:18" x14ac:dyDescent="0.25">
      <c r="I79" s="29"/>
      <c r="J79" s="22"/>
    </row>
    <row r="80" spans="1:18" x14ac:dyDescent="0.25">
      <c r="I80" s="29"/>
      <c r="J80" s="22"/>
    </row>
    <row r="81" spans="8:10" ht="18.75" customHeight="1" x14ac:dyDescent="0.3">
      <c r="H81" s="7" t="s">
        <v>2411</v>
      </c>
      <c r="I81" s="8" t="s">
        <v>313</v>
      </c>
      <c r="J81" s="9" t="s">
        <v>314</v>
      </c>
    </row>
    <row r="82" spans="8:10" ht="15.75" customHeight="1" x14ac:dyDescent="0.25">
      <c r="H82" s="10" t="s">
        <v>315</v>
      </c>
      <c r="I82" s="38">
        <f>SUM(I76:I80)</f>
        <v>51455</v>
      </c>
      <c r="J82" s="11">
        <f>Q77</f>
        <v>73</v>
      </c>
    </row>
    <row r="83" spans="8:10" x14ac:dyDescent="0.25">
      <c r="H83" s="12" t="s">
        <v>316</v>
      </c>
      <c r="I83" s="13">
        <f>R77</f>
        <v>555</v>
      </c>
      <c r="J83" s="14"/>
    </row>
    <row r="84" spans="8:10" x14ac:dyDescent="0.25">
      <c r="H84" s="12" t="s">
        <v>317</v>
      </c>
      <c r="I84" s="13">
        <f>S77</f>
        <v>0</v>
      </c>
      <c r="J84" s="14"/>
    </row>
    <row r="85" spans="8:10" x14ac:dyDescent="0.25">
      <c r="H85" s="12" t="s">
        <v>318</v>
      </c>
      <c r="I85" s="13">
        <f>T77</f>
        <v>0</v>
      </c>
      <c r="J85" s="14"/>
    </row>
    <row r="86" spans="8:10" x14ac:dyDescent="0.25">
      <c r="H86" s="12" t="s">
        <v>319</v>
      </c>
      <c r="I86" s="13">
        <f>U77</f>
        <v>0</v>
      </c>
      <c r="J86" s="14"/>
    </row>
    <row r="87" spans="8:10" ht="15.75" customHeight="1" x14ac:dyDescent="0.25">
      <c r="H87" s="15" t="s">
        <v>320</v>
      </c>
      <c r="I87" s="16"/>
      <c r="J87" s="16"/>
    </row>
    <row r="88" spans="8:10" ht="15.75" customHeight="1" x14ac:dyDescent="0.25">
      <c r="H88" s="17" t="s">
        <v>321</v>
      </c>
      <c r="I88" s="16"/>
      <c r="J88" s="16"/>
    </row>
    <row r="89" spans="8:10" ht="21" customHeight="1" x14ac:dyDescent="0.35">
      <c r="H89" s="18" t="s">
        <v>322</v>
      </c>
      <c r="I89" s="39">
        <f>SUM(I82:I88)</f>
        <v>52010</v>
      </c>
      <c r="J89" s="19">
        <f>SUM(J82:J86)</f>
        <v>73</v>
      </c>
    </row>
  </sheetData>
  <autoFilter ref="A2:P75" xr:uid="{00000000-0009-0000-0000-000012000000}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86DB-49D6-476A-B594-2519CA82E005}">
  <dimension ref="A1:R33"/>
  <sheetViews>
    <sheetView zoomScale="80" zoomScaleNormal="80" workbookViewId="0">
      <selection activeCell="I3" sqref="I3:I1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2414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2280</v>
      </c>
      <c r="D3" s="40" t="s">
        <v>2420</v>
      </c>
      <c r="E3" s="40" t="s">
        <v>2282</v>
      </c>
      <c r="F3" s="41" t="s">
        <v>1853</v>
      </c>
      <c r="G3" s="41">
        <v>0</v>
      </c>
      <c r="H3" s="41">
        <v>60</v>
      </c>
      <c r="I3" s="41">
        <f>G3-H3</f>
        <v>-60</v>
      </c>
      <c r="J3" s="40" t="s">
        <v>2421</v>
      </c>
      <c r="K3" s="40" t="s">
        <v>25</v>
      </c>
      <c r="L3" s="40" t="s">
        <v>2417</v>
      </c>
      <c r="M3" s="40"/>
      <c r="N3" s="40"/>
      <c r="O3" s="40"/>
      <c r="P3" s="40"/>
      <c r="Q3" s="41">
        <v>1</v>
      </c>
      <c r="R3" s="43">
        <f>H3</f>
        <v>60</v>
      </c>
    </row>
    <row r="4" spans="1:18" s="42" customFormat="1" x14ac:dyDescent="0.25">
      <c r="A4" s="40"/>
      <c r="B4" s="40" t="s">
        <v>1827</v>
      </c>
      <c r="C4" s="40" t="s">
        <v>2422</v>
      </c>
      <c r="D4" s="40" t="s">
        <v>2423</v>
      </c>
      <c r="E4" s="40" t="s">
        <v>2424</v>
      </c>
      <c r="F4" s="41" t="s">
        <v>444</v>
      </c>
      <c r="G4" s="41">
        <v>0</v>
      </c>
      <c r="H4" s="41">
        <v>35</v>
      </c>
      <c r="I4" s="41">
        <f t="shared" ref="I4:I19" si="0">G4-H4</f>
        <v>-35</v>
      </c>
      <c r="J4" s="40" t="s">
        <v>2421</v>
      </c>
      <c r="K4" s="40" t="s">
        <v>25</v>
      </c>
      <c r="L4" s="40" t="s">
        <v>2417</v>
      </c>
      <c r="M4" s="40"/>
      <c r="N4" s="40"/>
      <c r="O4" s="40"/>
      <c r="P4" s="40"/>
      <c r="Q4" s="41">
        <v>1</v>
      </c>
      <c r="R4" s="43">
        <f t="shared" ref="R4:R5" si="1">H4</f>
        <v>35</v>
      </c>
    </row>
    <row r="5" spans="1:18" s="42" customFormat="1" x14ac:dyDescent="0.25">
      <c r="A5" s="40"/>
      <c r="B5" s="40" t="s">
        <v>1827</v>
      </c>
      <c r="C5" s="40" t="s">
        <v>2431</v>
      </c>
      <c r="D5" s="40" t="s">
        <v>2432</v>
      </c>
      <c r="E5" s="40" t="s">
        <v>2433</v>
      </c>
      <c r="F5" s="41" t="s">
        <v>1853</v>
      </c>
      <c r="G5" s="41">
        <v>0</v>
      </c>
      <c r="H5" s="41">
        <v>30</v>
      </c>
      <c r="I5" s="41">
        <f t="shared" si="0"/>
        <v>-30</v>
      </c>
      <c r="J5" s="40" t="s">
        <v>2421</v>
      </c>
      <c r="K5" s="40" t="s">
        <v>25</v>
      </c>
      <c r="L5" s="40" t="s">
        <v>2417</v>
      </c>
      <c r="M5" s="40"/>
      <c r="N5" s="40"/>
      <c r="O5" s="40"/>
      <c r="P5" s="40"/>
      <c r="Q5" s="41">
        <v>1</v>
      </c>
      <c r="R5" s="43">
        <f t="shared" si="1"/>
        <v>30</v>
      </c>
    </row>
    <row r="6" spans="1:18" s="42" customFormat="1" x14ac:dyDescent="0.25">
      <c r="A6" s="40"/>
      <c r="B6" s="40" t="s">
        <v>1827</v>
      </c>
      <c r="C6" s="40" t="s">
        <v>1836</v>
      </c>
      <c r="D6" s="40" t="s">
        <v>2434</v>
      </c>
      <c r="E6" s="40" t="s">
        <v>1838</v>
      </c>
      <c r="F6" s="40">
        <v>6</v>
      </c>
      <c r="G6" s="41">
        <v>745</v>
      </c>
      <c r="H6" s="41">
        <v>25</v>
      </c>
      <c r="I6" s="41">
        <f t="shared" si="0"/>
        <v>720</v>
      </c>
      <c r="J6" s="40" t="s">
        <v>2421</v>
      </c>
      <c r="K6" s="40" t="s">
        <v>25</v>
      </c>
      <c r="L6" s="40" t="s">
        <v>2417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2438</v>
      </c>
      <c r="D7" s="40" t="s">
        <v>2439</v>
      </c>
      <c r="E7" s="40" t="s">
        <v>2440</v>
      </c>
      <c r="F7" s="41">
        <v>7</v>
      </c>
      <c r="G7" s="41">
        <v>1480</v>
      </c>
      <c r="H7" s="41">
        <v>30</v>
      </c>
      <c r="I7" s="41">
        <f t="shared" si="0"/>
        <v>1450</v>
      </c>
      <c r="J7" s="40" t="s">
        <v>2421</v>
      </c>
      <c r="K7" s="40" t="s">
        <v>25</v>
      </c>
      <c r="L7" s="40" t="s">
        <v>2417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2441</v>
      </c>
      <c r="D8" s="40" t="s">
        <v>2442</v>
      </c>
      <c r="E8" s="40" t="s">
        <v>2443</v>
      </c>
      <c r="F8" s="41">
        <v>7</v>
      </c>
      <c r="G8" s="41">
        <v>760</v>
      </c>
      <c r="H8" s="41">
        <v>30</v>
      </c>
      <c r="I8" s="41">
        <f t="shared" si="0"/>
        <v>730</v>
      </c>
      <c r="J8" s="40" t="s">
        <v>2421</v>
      </c>
      <c r="K8" s="40" t="s">
        <v>25</v>
      </c>
      <c r="L8" s="40" t="s">
        <v>2417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2447</v>
      </c>
      <c r="D9" s="40" t="s">
        <v>2448</v>
      </c>
      <c r="E9" s="40" t="s">
        <v>2449</v>
      </c>
      <c r="F9" s="41">
        <v>10</v>
      </c>
      <c r="G9" s="41">
        <v>845</v>
      </c>
      <c r="H9" s="41">
        <v>25</v>
      </c>
      <c r="I9" s="41">
        <f t="shared" si="0"/>
        <v>820</v>
      </c>
      <c r="J9" s="40" t="s">
        <v>2421</v>
      </c>
      <c r="K9" s="40" t="s">
        <v>25</v>
      </c>
      <c r="L9" s="40" t="s">
        <v>2417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2450</v>
      </c>
      <c r="D10" s="40" t="s">
        <v>2451</v>
      </c>
      <c r="E10" s="40" t="s">
        <v>2452</v>
      </c>
      <c r="F10" s="41">
        <v>8</v>
      </c>
      <c r="G10" s="41">
        <v>770</v>
      </c>
      <c r="H10" s="41">
        <v>30</v>
      </c>
      <c r="I10" s="41">
        <f t="shared" si="0"/>
        <v>740</v>
      </c>
      <c r="J10" s="40" t="s">
        <v>2421</v>
      </c>
      <c r="K10" s="40" t="s">
        <v>25</v>
      </c>
      <c r="L10" s="40" t="s">
        <v>2417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2456</v>
      </c>
      <c r="D11" s="40" t="s">
        <v>2457</v>
      </c>
      <c r="E11" s="40" t="s">
        <v>2458</v>
      </c>
      <c r="F11" s="40">
        <v>1</v>
      </c>
      <c r="G11" s="41">
        <v>695</v>
      </c>
      <c r="H11" s="41">
        <v>25</v>
      </c>
      <c r="I11" s="41">
        <f t="shared" si="0"/>
        <v>670</v>
      </c>
      <c r="J11" s="40" t="s">
        <v>2421</v>
      </c>
      <c r="K11" s="40" t="s">
        <v>25</v>
      </c>
      <c r="L11" s="40" t="s">
        <v>2417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 t="s">
        <v>1833</v>
      </c>
      <c r="B12" s="40" t="s">
        <v>1827</v>
      </c>
      <c r="C12" s="40" t="s">
        <v>2415</v>
      </c>
      <c r="D12" s="40"/>
      <c r="E12" s="40" t="s">
        <v>2416</v>
      </c>
      <c r="F12" s="40">
        <v>12</v>
      </c>
      <c r="G12" s="41">
        <v>45</v>
      </c>
      <c r="H12" s="41">
        <v>45</v>
      </c>
      <c r="I12" s="41">
        <f t="shared" si="0"/>
        <v>0</v>
      </c>
      <c r="J12" s="40" t="s">
        <v>25</v>
      </c>
      <c r="K12" s="40" t="s">
        <v>25</v>
      </c>
      <c r="L12" s="40" t="s">
        <v>2417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 t="s">
        <v>1833</v>
      </c>
      <c r="B13" s="40" t="s">
        <v>1827</v>
      </c>
      <c r="C13" s="40" t="s">
        <v>2418</v>
      </c>
      <c r="D13" s="40"/>
      <c r="E13" s="40" t="s">
        <v>2419</v>
      </c>
      <c r="F13" s="41">
        <v>12</v>
      </c>
      <c r="G13" s="41">
        <v>40</v>
      </c>
      <c r="H13" s="41">
        <v>40</v>
      </c>
      <c r="I13" s="41">
        <f t="shared" si="0"/>
        <v>0</v>
      </c>
      <c r="J13" s="40" t="s">
        <v>25</v>
      </c>
      <c r="K13" s="40" t="s">
        <v>25</v>
      </c>
      <c r="L13" s="40" t="s">
        <v>2417</v>
      </c>
      <c r="M13" s="40"/>
      <c r="N13" s="40"/>
      <c r="O13" s="40"/>
      <c r="P13" s="40"/>
      <c r="Q13" s="41">
        <v>1</v>
      </c>
    </row>
    <row r="14" spans="1:18" s="42" customFormat="1" x14ac:dyDescent="0.25">
      <c r="A14" s="40"/>
      <c r="B14" s="40" t="s">
        <v>1827</v>
      </c>
      <c r="C14" s="40" t="s">
        <v>2425</v>
      </c>
      <c r="D14" s="40" t="s">
        <v>2426</v>
      </c>
      <c r="E14" s="40" t="s">
        <v>2427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2417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2428</v>
      </c>
      <c r="D15" s="40" t="s">
        <v>2429</v>
      </c>
      <c r="E15" s="40" t="s">
        <v>2430</v>
      </c>
      <c r="F15" s="40" t="s">
        <v>103</v>
      </c>
      <c r="G15" s="41">
        <v>0</v>
      </c>
      <c r="H15" s="41">
        <v>30</v>
      </c>
      <c r="I15" s="41">
        <f t="shared" si="0"/>
        <v>-30</v>
      </c>
      <c r="J15" s="40" t="s">
        <v>25</v>
      </c>
      <c r="K15" s="40" t="s">
        <v>25</v>
      </c>
      <c r="L15" s="40" t="s">
        <v>2417</v>
      </c>
      <c r="M15" s="40"/>
      <c r="N15" s="40"/>
      <c r="O15" s="40"/>
      <c r="P15" s="40"/>
      <c r="Q15" s="41">
        <v>1</v>
      </c>
      <c r="R15" s="43">
        <f>H15</f>
        <v>30</v>
      </c>
    </row>
    <row r="16" spans="1:18" s="42" customFormat="1" x14ac:dyDescent="0.25">
      <c r="A16" s="40"/>
      <c r="B16" s="40" t="s">
        <v>1827</v>
      </c>
      <c r="C16" s="40" t="s">
        <v>2435</v>
      </c>
      <c r="D16" s="40" t="s">
        <v>2436</v>
      </c>
      <c r="E16" s="40" t="s">
        <v>2437</v>
      </c>
      <c r="F16" s="40" t="s">
        <v>103</v>
      </c>
      <c r="G16" s="41">
        <v>950</v>
      </c>
      <c r="H16" s="41">
        <v>30</v>
      </c>
      <c r="I16" s="41">
        <f t="shared" si="0"/>
        <v>920</v>
      </c>
      <c r="J16" s="40" t="s">
        <v>25</v>
      </c>
      <c r="K16" s="40" t="s">
        <v>25</v>
      </c>
      <c r="L16" s="40" t="s">
        <v>2417</v>
      </c>
      <c r="M16" s="40"/>
      <c r="N16" s="40"/>
      <c r="O16" s="40"/>
      <c r="P16" s="40"/>
      <c r="Q16" s="41">
        <v>1</v>
      </c>
    </row>
    <row r="17" spans="1:18" s="42" customFormat="1" x14ac:dyDescent="0.25">
      <c r="A17" s="40"/>
      <c r="B17" s="40" t="s">
        <v>1827</v>
      </c>
      <c r="C17" s="40" t="s">
        <v>2444</v>
      </c>
      <c r="D17" s="40" t="s">
        <v>2445</v>
      </c>
      <c r="E17" s="40" t="s">
        <v>2446</v>
      </c>
      <c r="F17" s="41" t="s">
        <v>70</v>
      </c>
      <c r="G17" s="41">
        <v>755</v>
      </c>
      <c r="H17" s="41">
        <v>25</v>
      </c>
      <c r="I17" s="41">
        <f t="shared" si="0"/>
        <v>730</v>
      </c>
      <c r="J17" s="40" t="s">
        <v>25</v>
      </c>
      <c r="K17" s="40" t="s">
        <v>25</v>
      </c>
      <c r="L17" s="40" t="s">
        <v>2417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2453</v>
      </c>
      <c r="D18" s="40" t="s">
        <v>2454</v>
      </c>
      <c r="E18" s="40" t="s">
        <v>2455</v>
      </c>
      <c r="F18" s="41">
        <v>12</v>
      </c>
      <c r="G18" s="41">
        <v>0</v>
      </c>
      <c r="H18" s="41">
        <v>30</v>
      </c>
      <c r="I18" s="41">
        <f t="shared" si="0"/>
        <v>-30</v>
      </c>
      <c r="J18" s="40" t="s">
        <v>25</v>
      </c>
      <c r="K18" s="40" t="s">
        <v>25</v>
      </c>
      <c r="L18" s="40" t="s">
        <v>2417</v>
      </c>
      <c r="M18" s="40"/>
      <c r="N18" s="40"/>
      <c r="O18" s="40"/>
      <c r="P18" s="40"/>
      <c r="Q18" s="41">
        <v>1</v>
      </c>
      <c r="R18" s="43">
        <f t="shared" ref="R18:R19" si="2">H18</f>
        <v>30</v>
      </c>
    </row>
    <row r="19" spans="1:18" s="42" customFormat="1" x14ac:dyDescent="0.25">
      <c r="A19" s="40"/>
      <c r="B19" s="40" t="s">
        <v>1827</v>
      </c>
      <c r="C19" s="40" t="s">
        <v>2459</v>
      </c>
      <c r="D19" s="40" t="s">
        <v>2460</v>
      </c>
      <c r="E19" s="40" t="s">
        <v>2461</v>
      </c>
      <c r="F19" s="41" t="s">
        <v>70</v>
      </c>
      <c r="G19" s="41">
        <v>0</v>
      </c>
      <c r="H19" s="41">
        <v>25</v>
      </c>
      <c r="I19" s="41">
        <f t="shared" si="0"/>
        <v>-25</v>
      </c>
      <c r="J19" s="40" t="s">
        <v>25</v>
      </c>
      <c r="K19" s="40" t="s">
        <v>25</v>
      </c>
      <c r="L19" s="40" t="s">
        <v>2417</v>
      </c>
      <c r="M19" s="40"/>
      <c r="N19" s="40"/>
      <c r="O19" s="40"/>
      <c r="P19" s="40"/>
      <c r="Q19" s="41">
        <v>1</v>
      </c>
      <c r="R19" s="43">
        <f t="shared" si="2"/>
        <v>25</v>
      </c>
    </row>
    <row r="21" spans="1:18" x14ac:dyDescent="0.25">
      <c r="G21">
        <f t="shared" ref="G21:R21" si="3">SUBTOTAL(9,G3:G20)</f>
        <v>7835</v>
      </c>
      <c r="H21">
        <f t="shared" si="3"/>
        <v>545</v>
      </c>
      <c r="I21">
        <f t="shared" si="3"/>
        <v>7290</v>
      </c>
      <c r="J21">
        <f t="shared" si="3"/>
        <v>0</v>
      </c>
      <c r="K21">
        <f t="shared" si="3"/>
        <v>0</v>
      </c>
      <c r="L21">
        <f t="shared" si="3"/>
        <v>0</v>
      </c>
      <c r="M21">
        <f t="shared" si="3"/>
        <v>0</v>
      </c>
      <c r="N21">
        <f t="shared" si="3"/>
        <v>0</v>
      </c>
      <c r="O21">
        <f t="shared" si="3"/>
        <v>0</v>
      </c>
      <c r="P21">
        <f t="shared" si="3"/>
        <v>0</v>
      </c>
      <c r="Q21">
        <f t="shared" si="3"/>
        <v>17</v>
      </c>
      <c r="R21">
        <f t="shared" si="3"/>
        <v>210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2413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7290</v>
      </c>
      <c r="J26" s="11">
        <f>Q21</f>
        <v>17</v>
      </c>
    </row>
    <row r="27" spans="1:18" x14ac:dyDescent="0.25">
      <c r="H27" s="12" t="s">
        <v>316</v>
      </c>
      <c r="I27" s="13">
        <f>R21</f>
        <v>210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7500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9A73B-45FF-4511-A669-41B92988CEF4}">
  <dimension ref="A1:R33"/>
  <sheetViews>
    <sheetView topLeftCell="A9" zoomScale="80" zoomScaleNormal="80" workbookViewId="0">
      <selection activeCell="I23" sqref="I23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489</v>
      </c>
      <c r="C1" t="s">
        <v>2463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2464</v>
      </c>
      <c r="D3" s="40" t="s">
        <v>2465</v>
      </c>
      <c r="E3" s="40" t="s">
        <v>2466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2467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2468</v>
      </c>
      <c r="D4" s="40" t="s">
        <v>2469</v>
      </c>
      <c r="E4" s="40" t="s">
        <v>2470</v>
      </c>
      <c r="F4" s="41">
        <v>9</v>
      </c>
      <c r="G4" s="41">
        <v>790</v>
      </c>
      <c r="H4" s="41">
        <v>30</v>
      </c>
      <c r="I4" s="41">
        <f t="shared" ref="I4:I18" si="0">G4-H4</f>
        <v>760</v>
      </c>
      <c r="J4" s="40" t="s">
        <v>1831</v>
      </c>
      <c r="K4" s="40" t="s">
        <v>25</v>
      </c>
      <c r="L4" s="40" t="s">
        <v>2467</v>
      </c>
      <c r="M4" s="40"/>
      <c r="N4" s="40"/>
      <c r="O4" s="40"/>
      <c r="P4" s="40"/>
      <c r="Q4" s="41">
        <v>1</v>
      </c>
    </row>
    <row r="5" spans="1:18" s="42" customFormat="1" x14ac:dyDescent="0.25">
      <c r="A5" s="40"/>
      <c r="B5" s="40" t="s">
        <v>1827</v>
      </c>
      <c r="C5" s="40" t="s">
        <v>2471</v>
      </c>
      <c r="D5" s="40" t="s">
        <v>2472</v>
      </c>
      <c r="E5" s="40" t="s">
        <v>2473</v>
      </c>
      <c r="F5" s="41">
        <v>9</v>
      </c>
      <c r="G5" s="41">
        <v>0</v>
      </c>
      <c r="H5" s="41">
        <v>30</v>
      </c>
      <c r="I5" s="41">
        <f t="shared" si="0"/>
        <v>-30</v>
      </c>
      <c r="J5" s="40" t="s">
        <v>1831</v>
      </c>
      <c r="K5" s="40" t="s">
        <v>25</v>
      </c>
      <c r="L5" s="40" t="s">
        <v>2467</v>
      </c>
      <c r="M5" s="40"/>
      <c r="N5" s="40"/>
      <c r="O5" s="40"/>
      <c r="P5" s="40"/>
      <c r="Q5" s="41">
        <v>1</v>
      </c>
      <c r="R5" s="43">
        <f>H5</f>
        <v>30</v>
      </c>
    </row>
    <row r="6" spans="1:18" s="42" customFormat="1" x14ac:dyDescent="0.25">
      <c r="A6" s="40"/>
      <c r="B6" s="40" t="s">
        <v>1827</v>
      </c>
      <c r="C6" s="40" t="s">
        <v>2474</v>
      </c>
      <c r="D6" s="40" t="s">
        <v>2475</v>
      </c>
      <c r="E6" s="40" t="s">
        <v>2476</v>
      </c>
      <c r="F6" s="40">
        <v>9</v>
      </c>
      <c r="G6" s="41">
        <v>980</v>
      </c>
      <c r="H6" s="41">
        <v>30</v>
      </c>
      <c r="I6" s="41">
        <f t="shared" si="0"/>
        <v>950</v>
      </c>
      <c r="J6" s="40" t="s">
        <v>1831</v>
      </c>
      <c r="K6" s="40" t="s">
        <v>25</v>
      </c>
      <c r="L6" s="40" t="s">
        <v>2467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2477</v>
      </c>
      <c r="D7" s="40" t="s">
        <v>2478</v>
      </c>
      <c r="E7" s="40" t="s">
        <v>2479</v>
      </c>
      <c r="F7" s="41">
        <v>8</v>
      </c>
      <c r="G7" s="41">
        <v>745</v>
      </c>
      <c r="H7" s="41">
        <v>25</v>
      </c>
      <c r="I7" s="41">
        <f t="shared" si="0"/>
        <v>720</v>
      </c>
      <c r="J7" s="40" t="s">
        <v>2480</v>
      </c>
      <c r="K7" s="40" t="s">
        <v>25</v>
      </c>
      <c r="L7" s="40" t="s">
        <v>2467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2138</v>
      </c>
      <c r="D8" s="40" t="s">
        <v>2481</v>
      </c>
      <c r="E8" s="40" t="s">
        <v>2482</v>
      </c>
      <c r="F8" s="41" t="s">
        <v>1853</v>
      </c>
      <c r="G8" s="41">
        <v>510</v>
      </c>
      <c r="H8" s="41">
        <v>30</v>
      </c>
      <c r="I8" s="41">
        <f t="shared" si="0"/>
        <v>480</v>
      </c>
      <c r="J8" s="40" t="s">
        <v>2480</v>
      </c>
      <c r="K8" s="40" t="s">
        <v>25</v>
      </c>
      <c r="L8" s="40" t="s">
        <v>2467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2483</v>
      </c>
      <c r="D9" s="40" t="s">
        <v>2484</v>
      </c>
      <c r="E9" s="40" t="s">
        <v>2485</v>
      </c>
      <c r="F9" s="41">
        <v>12</v>
      </c>
      <c r="G9" s="41">
        <v>760</v>
      </c>
      <c r="H9" s="41">
        <v>30</v>
      </c>
      <c r="I9" s="41">
        <f t="shared" si="0"/>
        <v>730</v>
      </c>
      <c r="J9" s="40" t="s">
        <v>2480</v>
      </c>
      <c r="K9" s="40" t="s">
        <v>25</v>
      </c>
      <c r="L9" s="40" t="s">
        <v>2467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2486</v>
      </c>
      <c r="D10" s="40" t="s">
        <v>2487</v>
      </c>
      <c r="E10" s="40" t="s">
        <v>2488</v>
      </c>
      <c r="F10" s="41" t="s">
        <v>1853</v>
      </c>
      <c r="G10" s="41">
        <v>1530</v>
      </c>
      <c r="H10" s="41">
        <v>30</v>
      </c>
      <c r="I10" s="41">
        <f t="shared" si="0"/>
        <v>1500</v>
      </c>
      <c r="J10" s="40" t="s">
        <v>2480</v>
      </c>
      <c r="K10" s="40" t="s">
        <v>25</v>
      </c>
      <c r="L10" s="40" t="s">
        <v>2467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2489</v>
      </c>
      <c r="D11" s="40" t="s">
        <v>2490</v>
      </c>
      <c r="E11" s="40" t="s">
        <v>2491</v>
      </c>
      <c r="F11" s="40" t="s">
        <v>1853</v>
      </c>
      <c r="G11" s="41">
        <v>940</v>
      </c>
      <c r="H11" s="41">
        <v>30</v>
      </c>
      <c r="I11" s="41">
        <f t="shared" si="0"/>
        <v>910</v>
      </c>
      <c r="J11" s="40" t="s">
        <v>2480</v>
      </c>
      <c r="K11" s="40" t="s">
        <v>25</v>
      </c>
      <c r="L11" s="40" t="s">
        <v>2467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2492</v>
      </c>
      <c r="D12" s="40" t="s">
        <v>2493</v>
      </c>
      <c r="E12" s="40" t="s">
        <v>2494</v>
      </c>
      <c r="F12" s="40" t="s">
        <v>98</v>
      </c>
      <c r="G12" s="41">
        <v>985</v>
      </c>
      <c r="H12" s="41">
        <v>25</v>
      </c>
      <c r="I12" s="41">
        <f t="shared" si="0"/>
        <v>960</v>
      </c>
      <c r="J12" s="40" t="s">
        <v>2480</v>
      </c>
      <c r="K12" s="40" t="s">
        <v>25</v>
      </c>
      <c r="L12" s="40" t="s">
        <v>2467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2495</v>
      </c>
      <c r="D13" s="40" t="s">
        <v>2496</v>
      </c>
      <c r="E13" s="40" t="s">
        <v>2497</v>
      </c>
      <c r="F13" s="41">
        <v>8</v>
      </c>
      <c r="G13" s="41">
        <v>0</v>
      </c>
      <c r="H13" s="41">
        <v>25</v>
      </c>
      <c r="I13" s="41">
        <f t="shared" si="0"/>
        <v>-25</v>
      </c>
      <c r="J13" s="40" t="s">
        <v>2480</v>
      </c>
      <c r="K13" s="40" t="s">
        <v>25</v>
      </c>
      <c r="L13" s="40" t="s">
        <v>2467</v>
      </c>
      <c r="M13" s="40"/>
      <c r="N13" s="40"/>
      <c r="O13" s="40"/>
      <c r="P13" s="40"/>
      <c r="Q13" s="41">
        <v>1</v>
      </c>
      <c r="R13" s="43">
        <f>H13</f>
        <v>25</v>
      </c>
    </row>
    <row r="14" spans="1:18" s="42" customFormat="1" x14ac:dyDescent="0.25">
      <c r="A14" s="40"/>
      <c r="B14" s="40" t="s">
        <v>1827</v>
      </c>
      <c r="C14" s="40" t="s">
        <v>2498</v>
      </c>
      <c r="D14" s="40" t="s">
        <v>2499</v>
      </c>
      <c r="E14" s="40" t="s">
        <v>2500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2467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2501</v>
      </c>
      <c r="D15" s="40" t="s">
        <v>2502</v>
      </c>
      <c r="E15" s="40" t="s">
        <v>2503</v>
      </c>
      <c r="F15" s="40" t="s">
        <v>70</v>
      </c>
      <c r="G15" s="41">
        <v>695</v>
      </c>
      <c r="H15" s="41">
        <v>25</v>
      </c>
      <c r="I15" s="41">
        <f t="shared" si="0"/>
        <v>670</v>
      </c>
      <c r="J15" s="40" t="s">
        <v>25</v>
      </c>
      <c r="K15" s="40" t="s">
        <v>25</v>
      </c>
      <c r="L15" s="40" t="s">
        <v>2467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2504</v>
      </c>
      <c r="D16" s="40" t="s">
        <v>2505</v>
      </c>
      <c r="E16" s="40" t="s">
        <v>2506</v>
      </c>
      <c r="F16" s="40" t="s">
        <v>103</v>
      </c>
      <c r="G16" s="41">
        <v>0</v>
      </c>
      <c r="H16" s="41">
        <v>30</v>
      </c>
      <c r="I16" s="41">
        <f t="shared" si="0"/>
        <v>-30</v>
      </c>
      <c r="J16" s="40" t="s">
        <v>25</v>
      </c>
      <c r="K16" s="40" t="s">
        <v>25</v>
      </c>
      <c r="L16" s="40" t="s">
        <v>2467</v>
      </c>
      <c r="M16" s="40"/>
      <c r="N16" s="40"/>
      <c r="O16" s="40"/>
      <c r="P16" s="40"/>
      <c r="Q16" s="41">
        <v>1</v>
      </c>
      <c r="R16" s="43">
        <f>H16</f>
        <v>30</v>
      </c>
    </row>
    <row r="17" spans="1:18" s="42" customFormat="1" x14ac:dyDescent="0.25">
      <c r="A17" s="40"/>
      <c r="B17" s="40" t="s">
        <v>1827</v>
      </c>
      <c r="C17" s="40" t="s">
        <v>2507</v>
      </c>
      <c r="D17" s="40" t="s">
        <v>2508</v>
      </c>
      <c r="E17" s="40" t="s">
        <v>2509</v>
      </c>
      <c r="F17" s="41" t="s">
        <v>103</v>
      </c>
      <c r="G17" s="41">
        <v>900</v>
      </c>
      <c r="H17" s="41">
        <v>30</v>
      </c>
      <c r="I17" s="41">
        <f t="shared" si="0"/>
        <v>870</v>
      </c>
      <c r="J17" s="40" t="s">
        <v>25</v>
      </c>
      <c r="K17" s="40" t="s">
        <v>25</v>
      </c>
      <c r="L17" s="40" t="s">
        <v>2467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2510</v>
      </c>
      <c r="D18" s="40" t="s">
        <v>2511</v>
      </c>
      <c r="E18" s="40" t="s">
        <v>2512</v>
      </c>
      <c r="F18" s="41" t="s">
        <v>103</v>
      </c>
      <c r="G18" s="41">
        <v>620</v>
      </c>
      <c r="H18" s="41">
        <v>30</v>
      </c>
      <c r="I18" s="41">
        <f t="shared" si="0"/>
        <v>590</v>
      </c>
      <c r="J18" s="40" t="s">
        <v>25</v>
      </c>
      <c r="K18" s="40" t="s">
        <v>25</v>
      </c>
      <c r="L18" s="40" t="s">
        <v>2467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2513</v>
      </c>
      <c r="D19" s="40" t="s">
        <v>2514</v>
      </c>
      <c r="E19" s="40" t="s">
        <v>2515</v>
      </c>
      <c r="F19" s="41" t="s">
        <v>98</v>
      </c>
      <c r="G19" s="41">
        <v>0</v>
      </c>
      <c r="H19" s="41">
        <v>25</v>
      </c>
      <c r="I19" s="41">
        <f>G19-H19</f>
        <v>-25</v>
      </c>
      <c r="J19" s="40" t="s">
        <v>25</v>
      </c>
      <c r="K19" s="40" t="s">
        <v>25</v>
      </c>
      <c r="L19" s="40" t="s">
        <v>2467</v>
      </c>
      <c r="M19" s="40"/>
      <c r="N19" s="40"/>
      <c r="O19" s="40"/>
      <c r="P19" s="40"/>
      <c r="Q19" s="41">
        <v>1</v>
      </c>
      <c r="R19" s="43">
        <f>H19</f>
        <v>25</v>
      </c>
    </row>
    <row r="21" spans="1:18" x14ac:dyDescent="0.25">
      <c r="G21">
        <f t="shared" ref="G21:R21" si="1">SUBTOTAL(9,G3:G20)</f>
        <v>10205</v>
      </c>
      <c r="H21">
        <f t="shared" si="1"/>
        <v>485</v>
      </c>
      <c r="I21">
        <f t="shared" si="1"/>
        <v>9720</v>
      </c>
      <c r="J21">
        <f t="shared" si="1"/>
        <v>0</v>
      </c>
      <c r="K21">
        <f t="shared" si="1"/>
        <v>0</v>
      </c>
      <c r="L21">
        <f t="shared" si="1"/>
        <v>0</v>
      </c>
      <c r="M21">
        <f t="shared" si="1"/>
        <v>0</v>
      </c>
      <c r="N21">
        <f t="shared" si="1"/>
        <v>0</v>
      </c>
      <c r="O21">
        <f t="shared" si="1"/>
        <v>0</v>
      </c>
      <c r="P21">
        <f t="shared" si="1"/>
        <v>0</v>
      </c>
      <c r="Q21">
        <f t="shared" si="1"/>
        <v>17</v>
      </c>
      <c r="R21">
        <f t="shared" si="1"/>
        <v>140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2462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9720</v>
      </c>
      <c r="J26" s="11">
        <f>Q21</f>
        <v>17</v>
      </c>
    </row>
    <row r="27" spans="1:18" x14ac:dyDescent="0.25">
      <c r="H27" s="12" t="s">
        <v>316</v>
      </c>
      <c r="I27" s="13">
        <f>R21</f>
        <v>140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9860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ACCB-9F2C-4881-A67C-848177437961}">
  <dimension ref="A1:R47"/>
  <sheetViews>
    <sheetView topLeftCell="A9" zoomScale="80" zoomScaleNormal="80" workbookViewId="0">
      <selection activeCell="E22" sqref="E22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639</v>
      </c>
      <c r="C1" t="s">
        <v>2517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2518</v>
      </c>
      <c r="D3" s="40" t="s">
        <v>2519</v>
      </c>
      <c r="E3" s="40" t="s">
        <v>2520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2521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2522</v>
      </c>
      <c r="D4" s="40" t="s">
        <v>2523</v>
      </c>
      <c r="E4" s="40" t="s">
        <v>2524</v>
      </c>
      <c r="F4" s="41">
        <v>7</v>
      </c>
      <c r="G4" s="41">
        <v>0</v>
      </c>
      <c r="H4" s="41">
        <v>30</v>
      </c>
      <c r="I4" s="41">
        <f t="shared" ref="I4:I33" si="0">G4-H4</f>
        <v>-30</v>
      </c>
      <c r="J4" s="40" t="s">
        <v>2525</v>
      </c>
      <c r="K4" s="40" t="s">
        <v>25</v>
      </c>
      <c r="L4" s="40" t="s">
        <v>2521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2526</v>
      </c>
      <c r="D5" s="40" t="s">
        <v>2527</v>
      </c>
      <c r="E5" s="40" t="s">
        <v>2528</v>
      </c>
      <c r="F5" s="41">
        <v>7</v>
      </c>
      <c r="G5" s="41">
        <v>920</v>
      </c>
      <c r="H5" s="41">
        <v>30</v>
      </c>
      <c r="I5" s="41">
        <f t="shared" si="0"/>
        <v>890</v>
      </c>
      <c r="J5" s="40" t="s">
        <v>2525</v>
      </c>
      <c r="K5" s="40" t="s">
        <v>25</v>
      </c>
      <c r="L5" s="40" t="s">
        <v>2521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2529</v>
      </c>
      <c r="D6" s="40" t="s">
        <v>2530</v>
      </c>
      <c r="E6" s="40" t="s">
        <v>2531</v>
      </c>
      <c r="F6" s="40" t="s">
        <v>444</v>
      </c>
      <c r="G6" s="41">
        <v>415</v>
      </c>
      <c r="H6" s="41">
        <v>35</v>
      </c>
      <c r="I6" s="41">
        <f t="shared" si="0"/>
        <v>380</v>
      </c>
      <c r="J6" s="40" t="s">
        <v>2525</v>
      </c>
      <c r="K6" s="40" t="s">
        <v>25</v>
      </c>
      <c r="L6" s="40" t="s">
        <v>2521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2532</v>
      </c>
      <c r="D7" s="40" t="s">
        <v>2533</v>
      </c>
      <c r="E7" s="40" t="s">
        <v>2534</v>
      </c>
      <c r="F7" s="41">
        <v>8</v>
      </c>
      <c r="G7" s="41">
        <v>945</v>
      </c>
      <c r="H7" s="41">
        <v>25</v>
      </c>
      <c r="I7" s="41">
        <f t="shared" si="0"/>
        <v>920</v>
      </c>
      <c r="J7" s="40" t="s">
        <v>2525</v>
      </c>
      <c r="K7" s="40" t="s">
        <v>25</v>
      </c>
      <c r="L7" s="40" t="s">
        <v>2521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2535</v>
      </c>
      <c r="D8" s="40" t="s">
        <v>2536</v>
      </c>
      <c r="E8" s="40" t="s">
        <v>2537</v>
      </c>
      <c r="F8" s="41" t="s">
        <v>1853</v>
      </c>
      <c r="G8" s="41">
        <v>370</v>
      </c>
      <c r="H8" s="41">
        <v>30</v>
      </c>
      <c r="I8" s="41">
        <f t="shared" si="0"/>
        <v>340</v>
      </c>
      <c r="J8" s="40" t="s">
        <v>2525</v>
      </c>
      <c r="K8" s="40" t="s">
        <v>25</v>
      </c>
      <c r="L8" s="40" t="s">
        <v>2521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2538</v>
      </c>
      <c r="D9" s="40" t="s">
        <v>2539</v>
      </c>
      <c r="E9" s="40" t="s">
        <v>2540</v>
      </c>
      <c r="F9" s="41" t="s">
        <v>607</v>
      </c>
      <c r="G9" s="41">
        <v>815</v>
      </c>
      <c r="H9" s="41">
        <v>25</v>
      </c>
      <c r="I9" s="41">
        <f t="shared" si="0"/>
        <v>790</v>
      </c>
      <c r="J9" s="40" t="s">
        <v>2525</v>
      </c>
      <c r="K9" s="40" t="s">
        <v>25</v>
      </c>
      <c r="L9" s="40" t="s">
        <v>2521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2541</v>
      </c>
      <c r="D10" s="40" t="s">
        <v>2542</v>
      </c>
      <c r="E10" s="40" t="s">
        <v>2543</v>
      </c>
      <c r="F10" s="41">
        <v>7</v>
      </c>
      <c r="G10" s="41">
        <v>520</v>
      </c>
      <c r="H10" s="41">
        <v>30</v>
      </c>
      <c r="I10" s="41">
        <f t="shared" si="0"/>
        <v>490</v>
      </c>
      <c r="J10" s="40" t="s">
        <v>2525</v>
      </c>
      <c r="K10" s="40" t="s">
        <v>25</v>
      </c>
      <c r="L10" s="40" t="s">
        <v>2521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2544</v>
      </c>
      <c r="D11" s="40" t="s">
        <v>2545</v>
      </c>
      <c r="E11" s="40" t="s">
        <v>2546</v>
      </c>
      <c r="F11" s="40" t="s">
        <v>1989</v>
      </c>
      <c r="G11" s="41">
        <v>825</v>
      </c>
      <c r="H11" s="41">
        <v>35</v>
      </c>
      <c r="I11" s="41">
        <f t="shared" si="0"/>
        <v>790</v>
      </c>
      <c r="J11" s="40" t="s">
        <v>2525</v>
      </c>
      <c r="K11" s="40" t="s">
        <v>25</v>
      </c>
      <c r="L11" s="40" t="s">
        <v>2521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2547</v>
      </c>
      <c r="D12" s="40" t="s">
        <v>2548</v>
      </c>
      <c r="E12" s="40" t="s">
        <v>2549</v>
      </c>
      <c r="F12" s="40">
        <v>7</v>
      </c>
      <c r="G12" s="41">
        <v>920</v>
      </c>
      <c r="H12" s="41">
        <v>30</v>
      </c>
      <c r="I12" s="41">
        <f t="shared" si="0"/>
        <v>890</v>
      </c>
      <c r="J12" s="40" t="s">
        <v>2525</v>
      </c>
      <c r="K12" s="40" t="s">
        <v>25</v>
      </c>
      <c r="L12" s="40" t="s">
        <v>2521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2550</v>
      </c>
      <c r="D13" s="40" t="s">
        <v>2551</v>
      </c>
      <c r="E13" s="40" t="s">
        <v>2552</v>
      </c>
      <c r="F13" s="41">
        <v>7</v>
      </c>
      <c r="G13" s="41">
        <v>460</v>
      </c>
      <c r="H13" s="41">
        <v>30</v>
      </c>
      <c r="I13" s="41">
        <f t="shared" si="0"/>
        <v>430</v>
      </c>
      <c r="J13" s="40" t="s">
        <v>2525</v>
      </c>
      <c r="K13" s="40" t="s">
        <v>25</v>
      </c>
      <c r="L13" s="40" t="s">
        <v>2521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2553</v>
      </c>
      <c r="D14" s="40" t="s">
        <v>2554</v>
      </c>
      <c r="E14" s="40" t="s">
        <v>2555</v>
      </c>
      <c r="F14" s="40" t="s">
        <v>1853</v>
      </c>
      <c r="G14" s="41">
        <v>670</v>
      </c>
      <c r="H14" s="41">
        <v>30</v>
      </c>
      <c r="I14" s="41">
        <f t="shared" si="0"/>
        <v>640</v>
      </c>
      <c r="J14" s="40" t="s">
        <v>2525</v>
      </c>
      <c r="K14" s="40" t="s">
        <v>25</v>
      </c>
      <c r="L14" s="40" t="s">
        <v>2521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2556</v>
      </c>
      <c r="D15" s="40" t="s">
        <v>2557</v>
      </c>
      <c r="E15" s="40" t="s">
        <v>2558</v>
      </c>
      <c r="F15" s="40" t="s">
        <v>1853</v>
      </c>
      <c r="G15" s="41">
        <v>780</v>
      </c>
      <c r="H15" s="41">
        <v>30</v>
      </c>
      <c r="I15" s="41">
        <f t="shared" si="0"/>
        <v>750</v>
      </c>
      <c r="J15" s="40" t="s">
        <v>2525</v>
      </c>
      <c r="K15" s="40" t="s">
        <v>25</v>
      </c>
      <c r="L15" s="40" t="s">
        <v>2521</v>
      </c>
      <c r="M15" s="40"/>
      <c r="N15" s="40"/>
      <c r="O15" s="40"/>
      <c r="P15" s="40"/>
      <c r="Q15" s="41">
        <v>1</v>
      </c>
    </row>
    <row r="16" spans="1:18" s="47" customFormat="1" x14ac:dyDescent="0.25">
      <c r="A16" s="44"/>
      <c r="B16" s="44" t="s">
        <v>1827</v>
      </c>
      <c r="C16" s="44" t="s">
        <v>2559</v>
      </c>
      <c r="D16" s="44" t="s">
        <v>2560</v>
      </c>
      <c r="E16" s="44" t="s">
        <v>2561</v>
      </c>
      <c r="F16" s="44">
        <v>8</v>
      </c>
      <c r="G16" s="45">
        <v>30</v>
      </c>
      <c r="H16" s="45">
        <v>30</v>
      </c>
      <c r="I16" s="45">
        <f t="shared" si="0"/>
        <v>0</v>
      </c>
      <c r="J16" s="44" t="s">
        <v>2525</v>
      </c>
      <c r="K16" s="44" t="s">
        <v>25</v>
      </c>
      <c r="L16" s="44" t="s">
        <v>2521</v>
      </c>
      <c r="M16" s="44" t="s">
        <v>472</v>
      </c>
      <c r="N16" s="44"/>
      <c r="O16" s="44"/>
      <c r="P16" s="44"/>
      <c r="Q16" s="45">
        <v>1</v>
      </c>
      <c r="R16" s="46"/>
    </row>
    <row r="17" spans="1:18" s="42" customFormat="1" x14ac:dyDescent="0.25">
      <c r="A17" s="40"/>
      <c r="B17" s="40" t="s">
        <v>1827</v>
      </c>
      <c r="C17" s="40" t="s">
        <v>1847</v>
      </c>
      <c r="D17" s="40" t="s">
        <v>2562</v>
      </c>
      <c r="E17" s="40" t="s">
        <v>1849</v>
      </c>
      <c r="F17" s="41">
        <v>7</v>
      </c>
      <c r="G17" s="41">
        <v>620</v>
      </c>
      <c r="H17" s="41">
        <v>30</v>
      </c>
      <c r="I17" s="41">
        <f t="shared" si="0"/>
        <v>590</v>
      </c>
      <c r="J17" s="40" t="s">
        <v>2525</v>
      </c>
      <c r="K17" s="40" t="s">
        <v>25</v>
      </c>
      <c r="L17" s="40" t="s">
        <v>2521</v>
      </c>
      <c r="M17" s="40"/>
      <c r="N17" s="40"/>
      <c r="O17" s="40"/>
      <c r="P17" s="40"/>
      <c r="Q17" s="41">
        <v>1</v>
      </c>
    </row>
    <row r="18" spans="1:18" s="47" customFormat="1" x14ac:dyDescent="0.25">
      <c r="A18" s="44"/>
      <c r="B18" s="44" t="s">
        <v>1827</v>
      </c>
      <c r="C18" s="44" t="s">
        <v>2563</v>
      </c>
      <c r="D18" s="44" t="s">
        <v>2564</v>
      </c>
      <c r="E18" s="44" t="s">
        <v>2565</v>
      </c>
      <c r="F18" s="45" t="s">
        <v>70</v>
      </c>
      <c r="G18" s="45">
        <v>25</v>
      </c>
      <c r="H18" s="45">
        <v>25</v>
      </c>
      <c r="I18" s="45">
        <f t="shared" si="0"/>
        <v>0</v>
      </c>
      <c r="J18" s="44" t="s">
        <v>25</v>
      </c>
      <c r="K18" s="44" t="s">
        <v>25</v>
      </c>
      <c r="L18" s="44" t="s">
        <v>2521</v>
      </c>
      <c r="M18" s="44" t="s">
        <v>472</v>
      </c>
      <c r="N18" s="44"/>
      <c r="O18" s="44"/>
      <c r="P18" s="44"/>
      <c r="Q18" s="45">
        <v>1</v>
      </c>
      <c r="R18" s="46"/>
    </row>
    <row r="19" spans="1:18" s="42" customFormat="1" x14ac:dyDescent="0.25">
      <c r="A19" s="40"/>
      <c r="B19" s="40" t="s">
        <v>1827</v>
      </c>
      <c r="C19" s="40" t="s">
        <v>2566</v>
      </c>
      <c r="D19" s="40" t="s">
        <v>2567</v>
      </c>
      <c r="E19" s="40" t="s">
        <v>2568</v>
      </c>
      <c r="F19" s="41" t="s">
        <v>58</v>
      </c>
      <c r="G19" s="41">
        <v>790</v>
      </c>
      <c r="H19" s="41">
        <v>20</v>
      </c>
      <c r="I19" s="41">
        <f t="shared" si="0"/>
        <v>770</v>
      </c>
      <c r="J19" s="40" t="s">
        <v>25</v>
      </c>
      <c r="K19" s="40" t="s">
        <v>25</v>
      </c>
      <c r="L19" s="40" t="s">
        <v>2521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2569</v>
      </c>
      <c r="D20" s="40" t="s">
        <v>2570</v>
      </c>
      <c r="E20" s="40" t="s">
        <v>2571</v>
      </c>
      <c r="F20" s="41" t="s">
        <v>98</v>
      </c>
      <c r="G20" s="41">
        <v>895</v>
      </c>
      <c r="H20" s="41">
        <v>25</v>
      </c>
      <c r="I20" s="41">
        <f t="shared" si="0"/>
        <v>870</v>
      </c>
      <c r="J20" s="40" t="s">
        <v>25</v>
      </c>
      <c r="K20" s="40" t="s">
        <v>25</v>
      </c>
      <c r="L20" s="40" t="s">
        <v>2521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2572</v>
      </c>
      <c r="D21" s="40" t="s">
        <v>2573</v>
      </c>
      <c r="E21" s="40" t="s">
        <v>2574</v>
      </c>
      <c r="F21" s="41" t="s">
        <v>98</v>
      </c>
      <c r="G21" s="41">
        <v>885</v>
      </c>
      <c r="H21" s="41">
        <v>25</v>
      </c>
      <c r="I21" s="41">
        <f t="shared" si="0"/>
        <v>860</v>
      </c>
      <c r="J21" s="40" t="s">
        <v>25</v>
      </c>
      <c r="K21" s="40" t="s">
        <v>25</v>
      </c>
      <c r="L21" s="40" t="s">
        <v>2521</v>
      </c>
      <c r="M21" s="40"/>
      <c r="N21" s="40"/>
      <c r="O21" s="40"/>
      <c r="P21" s="40"/>
      <c r="Q21" s="41">
        <v>1</v>
      </c>
    </row>
    <row r="22" spans="1:18" s="47" customFormat="1" x14ac:dyDescent="0.25">
      <c r="A22" s="44"/>
      <c r="B22" s="44" t="s">
        <v>1827</v>
      </c>
      <c r="C22" s="44" t="s">
        <v>2575</v>
      </c>
      <c r="D22" s="44" t="s">
        <v>2576</v>
      </c>
      <c r="E22" s="44" t="s">
        <v>2509</v>
      </c>
      <c r="F22" s="45" t="s">
        <v>103</v>
      </c>
      <c r="G22" s="45">
        <v>30</v>
      </c>
      <c r="H22" s="45">
        <v>30</v>
      </c>
      <c r="I22" s="45">
        <f t="shared" si="0"/>
        <v>0</v>
      </c>
      <c r="J22" s="44" t="s">
        <v>25</v>
      </c>
      <c r="K22" s="44" t="s">
        <v>25</v>
      </c>
      <c r="L22" s="44" t="s">
        <v>2521</v>
      </c>
      <c r="M22" s="44" t="s">
        <v>472</v>
      </c>
      <c r="N22" s="44"/>
      <c r="O22" s="44"/>
      <c r="P22" s="44"/>
      <c r="Q22" s="45">
        <v>1</v>
      </c>
      <c r="R22" s="46"/>
    </row>
    <row r="23" spans="1:18" s="42" customFormat="1" x14ac:dyDescent="0.25">
      <c r="A23" s="40"/>
      <c r="B23" s="40" t="s">
        <v>1827</v>
      </c>
      <c r="C23" s="40" t="s">
        <v>2577</v>
      </c>
      <c r="D23" s="40" t="s">
        <v>2578</v>
      </c>
      <c r="E23" s="40" t="s">
        <v>2579</v>
      </c>
      <c r="F23" s="40" t="s">
        <v>70</v>
      </c>
      <c r="G23" s="41">
        <v>775</v>
      </c>
      <c r="H23" s="41">
        <v>25</v>
      </c>
      <c r="I23" s="41">
        <f t="shared" si="0"/>
        <v>750</v>
      </c>
      <c r="J23" s="40" t="s">
        <v>25</v>
      </c>
      <c r="K23" s="40" t="s">
        <v>25</v>
      </c>
      <c r="L23" s="40" t="s">
        <v>2521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2580</v>
      </c>
      <c r="D24" s="40" t="s">
        <v>2581</v>
      </c>
      <c r="E24" s="40" t="s">
        <v>2582</v>
      </c>
      <c r="F24" s="41" t="s">
        <v>58</v>
      </c>
      <c r="G24" s="41">
        <v>0</v>
      </c>
      <c r="H24" s="41">
        <v>20</v>
      </c>
      <c r="I24" s="41">
        <f t="shared" si="0"/>
        <v>-20</v>
      </c>
      <c r="J24" s="40" t="s">
        <v>25</v>
      </c>
      <c r="K24" s="40" t="s">
        <v>25</v>
      </c>
      <c r="L24" s="40" t="s">
        <v>2521</v>
      </c>
      <c r="M24" s="40"/>
      <c r="N24" s="40"/>
      <c r="O24" s="40"/>
      <c r="P24" s="40"/>
      <c r="Q24" s="41">
        <v>1</v>
      </c>
      <c r="R24" s="43">
        <f t="shared" ref="R24:R26" si="1">H24</f>
        <v>20</v>
      </c>
    </row>
    <row r="25" spans="1:18" s="42" customFormat="1" x14ac:dyDescent="0.25">
      <c r="A25" s="40"/>
      <c r="B25" s="40" t="s">
        <v>1827</v>
      </c>
      <c r="C25" s="40" t="s">
        <v>2583</v>
      </c>
      <c r="D25" s="40" t="s">
        <v>2584</v>
      </c>
      <c r="E25" s="40" t="s">
        <v>2585</v>
      </c>
      <c r="F25" s="41" t="s">
        <v>98</v>
      </c>
      <c r="G25" s="41">
        <v>0</v>
      </c>
      <c r="H25" s="41">
        <v>25</v>
      </c>
      <c r="I25" s="41">
        <f t="shared" si="0"/>
        <v>-25</v>
      </c>
      <c r="J25" s="40" t="s">
        <v>25</v>
      </c>
      <c r="K25" s="40" t="s">
        <v>25</v>
      </c>
      <c r="L25" s="40" t="s">
        <v>2521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2586</v>
      </c>
      <c r="D26" s="40" t="s">
        <v>2587</v>
      </c>
      <c r="E26" s="40" t="s">
        <v>2588</v>
      </c>
      <c r="F26" s="41">
        <v>5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2521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2589</v>
      </c>
      <c r="D27" s="40" t="s">
        <v>2590</v>
      </c>
      <c r="E27" s="40" t="s">
        <v>2591</v>
      </c>
      <c r="F27" s="41" t="s">
        <v>151</v>
      </c>
      <c r="G27" s="41">
        <v>810</v>
      </c>
      <c r="H27" s="41">
        <v>20</v>
      </c>
      <c r="I27" s="41">
        <f t="shared" si="0"/>
        <v>790</v>
      </c>
      <c r="J27" s="40" t="s">
        <v>1884</v>
      </c>
      <c r="K27" s="40" t="s">
        <v>25</v>
      </c>
      <c r="L27" s="40" t="s">
        <v>2521</v>
      </c>
      <c r="M27" s="40"/>
      <c r="N27" s="40"/>
      <c r="O27" s="40"/>
      <c r="P27" s="40"/>
      <c r="Q27" s="41">
        <v>1</v>
      </c>
    </row>
    <row r="28" spans="1:18" s="42" customFormat="1" x14ac:dyDescent="0.25">
      <c r="A28" s="40"/>
      <c r="B28" s="40" t="s">
        <v>1827</v>
      </c>
      <c r="C28" s="40" t="s">
        <v>2592</v>
      </c>
      <c r="D28" s="40" t="s">
        <v>2593</v>
      </c>
      <c r="E28" s="40" t="s">
        <v>2594</v>
      </c>
      <c r="F28" s="40">
        <v>1</v>
      </c>
      <c r="G28" s="41">
        <v>665</v>
      </c>
      <c r="H28" s="41">
        <v>25</v>
      </c>
      <c r="I28" s="41">
        <f t="shared" si="0"/>
        <v>640</v>
      </c>
      <c r="J28" s="40" t="s">
        <v>1884</v>
      </c>
      <c r="K28" s="40" t="s">
        <v>25</v>
      </c>
      <c r="L28" s="40" t="s">
        <v>2521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2595</v>
      </c>
      <c r="D29" s="40" t="s">
        <v>2596</v>
      </c>
      <c r="E29" s="40" t="s">
        <v>2597</v>
      </c>
      <c r="F29" s="40" t="s">
        <v>151</v>
      </c>
      <c r="G29" s="41">
        <v>1680</v>
      </c>
      <c r="H29" s="41">
        <v>20</v>
      </c>
      <c r="I29" s="41">
        <f t="shared" si="0"/>
        <v>1660</v>
      </c>
      <c r="J29" s="40" t="s">
        <v>1884</v>
      </c>
      <c r="K29" s="40" t="s">
        <v>25</v>
      </c>
      <c r="L29" s="40" t="s">
        <v>2521</v>
      </c>
      <c r="M29" s="40"/>
      <c r="N29" s="40"/>
      <c r="O29" s="40"/>
      <c r="P29" s="40"/>
      <c r="Q29" s="41">
        <v>1</v>
      </c>
      <c r="R29" s="43"/>
    </row>
    <row r="30" spans="1:18" s="42" customFormat="1" x14ac:dyDescent="0.25">
      <c r="A30" s="40"/>
      <c r="B30" s="40" t="s">
        <v>1827</v>
      </c>
      <c r="C30" s="40" t="s">
        <v>2598</v>
      </c>
      <c r="D30" s="40" t="s">
        <v>2599</v>
      </c>
      <c r="E30" s="40" t="s">
        <v>2600</v>
      </c>
      <c r="F30" s="41" t="s">
        <v>98</v>
      </c>
      <c r="G30" s="41">
        <v>915</v>
      </c>
      <c r="H30" s="41">
        <v>25</v>
      </c>
      <c r="I30" s="41">
        <f t="shared" si="0"/>
        <v>890</v>
      </c>
      <c r="J30" s="40" t="s">
        <v>1884</v>
      </c>
      <c r="K30" s="40" t="s">
        <v>25</v>
      </c>
      <c r="L30" s="40" t="s">
        <v>2521</v>
      </c>
      <c r="M30" s="40"/>
      <c r="N30" s="40"/>
      <c r="O30" s="40"/>
      <c r="P30" s="40"/>
      <c r="Q30" s="41">
        <v>1</v>
      </c>
      <c r="R30" s="43"/>
    </row>
    <row r="31" spans="1:18" s="42" customFormat="1" x14ac:dyDescent="0.25">
      <c r="A31" s="40"/>
      <c r="B31" s="40" t="s">
        <v>1827</v>
      </c>
      <c r="C31" s="40" t="s">
        <v>2601</v>
      </c>
      <c r="D31" s="40" t="s">
        <v>2602</v>
      </c>
      <c r="E31" s="40" t="s">
        <v>2603</v>
      </c>
      <c r="F31" s="40">
        <v>10</v>
      </c>
      <c r="G31" s="41">
        <v>795</v>
      </c>
      <c r="H31" s="41">
        <v>25</v>
      </c>
      <c r="I31" s="41">
        <f t="shared" si="0"/>
        <v>770</v>
      </c>
      <c r="J31" s="40" t="s">
        <v>1884</v>
      </c>
      <c r="K31" s="40" t="s">
        <v>25</v>
      </c>
      <c r="L31" s="40" t="s">
        <v>2521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2604</v>
      </c>
      <c r="D32" s="40" t="s">
        <v>2605</v>
      </c>
      <c r="E32" s="40" t="s">
        <v>2606</v>
      </c>
      <c r="F32" s="40">
        <v>10</v>
      </c>
      <c r="G32" s="41">
        <v>615</v>
      </c>
      <c r="H32" s="41">
        <v>25</v>
      </c>
      <c r="I32" s="41">
        <f t="shared" si="0"/>
        <v>590</v>
      </c>
      <c r="J32" s="40" t="s">
        <v>1884</v>
      </c>
      <c r="K32" s="40" t="s">
        <v>25</v>
      </c>
      <c r="L32" s="40" t="s">
        <v>2521</v>
      </c>
      <c r="M32" s="40"/>
      <c r="N32" s="40"/>
      <c r="O32" s="40"/>
      <c r="P32" s="40"/>
      <c r="Q32" s="41">
        <v>1</v>
      </c>
    </row>
    <row r="33" spans="1:18" s="49" customFormat="1" x14ac:dyDescent="0.25">
      <c r="A33" s="30"/>
      <c r="B33" s="30" t="s">
        <v>1827</v>
      </c>
      <c r="C33" s="30" t="s">
        <v>2607</v>
      </c>
      <c r="D33" s="30" t="s">
        <v>2608</v>
      </c>
      <c r="E33" s="30" t="s">
        <v>2609</v>
      </c>
      <c r="F33" s="30" t="s">
        <v>23</v>
      </c>
      <c r="G33" s="32">
        <v>870</v>
      </c>
      <c r="H33" s="32">
        <v>0</v>
      </c>
      <c r="I33" s="41">
        <f t="shared" si="0"/>
        <v>870</v>
      </c>
      <c r="J33" s="30" t="s">
        <v>24</v>
      </c>
      <c r="K33" s="30" t="s">
        <v>25</v>
      </c>
      <c r="L33" s="30" t="s">
        <v>2521</v>
      </c>
      <c r="M33" s="3" t="s">
        <v>27</v>
      </c>
      <c r="N33" s="30" t="s">
        <v>28</v>
      </c>
      <c r="O33" s="30"/>
      <c r="P33" s="30" t="s">
        <v>29</v>
      </c>
      <c r="Q33" s="32">
        <v>1</v>
      </c>
      <c r="R33" s="48"/>
    </row>
    <row r="35" spans="1:18" x14ac:dyDescent="0.25">
      <c r="G35">
        <f t="shared" ref="G35:R35" si="2">SUBTOTAL(9,G3:G34)</f>
        <v>18040</v>
      </c>
      <c r="H35">
        <f t="shared" si="2"/>
        <v>810</v>
      </c>
      <c r="I35">
        <f t="shared" si="2"/>
        <v>17230</v>
      </c>
      <c r="J35">
        <f t="shared" si="2"/>
        <v>0</v>
      </c>
      <c r="K35">
        <f t="shared" si="2"/>
        <v>0</v>
      </c>
      <c r="L35">
        <f t="shared" si="2"/>
        <v>0</v>
      </c>
      <c r="M35">
        <f t="shared" si="2"/>
        <v>0</v>
      </c>
      <c r="N35">
        <f t="shared" si="2"/>
        <v>0</v>
      </c>
      <c r="O35">
        <f t="shared" si="2"/>
        <v>0</v>
      </c>
      <c r="P35">
        <f t="shared" si="2"/>
        <v>0</v>
      </c>
      <c r="Q35">
        <f t="shared" si="2"/>
        <v>31</v>
      </c>
      <c r="R35">
        <f t="shared" si="2"/>
        <v>130</v>
      </c>
    </row>
    <row r="36" spans="1:18" x14ac:dyDescent="0.25">
      <c r="I36" s="29">
        <v>-870</v>
      </c>
      <c r="J36" s="22" t="s">
        <v>2610</v>
      </c>
    </row>
    <row r="37" spans="1:18" x14ac:dyDescent="0.25">
      <c r="I37" s="29"/>
      <c r="J37" s="22"/>
    </row>
    <row r="38" spans="1:18" x14ac:dyDescent="0.25">
      <c r="I38" s="29"/>
      <c r="J38" s="22"/>
    </row>
    <row r="39" spans="1:18" ht="18.75" customHeight="1" x14ac:dyDescent="0.3">
      <c r="H39" s="7" t="s">
        <v>2516</v>
      </c>
      <c r="I39" s="8" t="s">
        <v>313</v>
      </c>
      <c r="J39" s="9" t="s">
        <v>314</v>
      </c>
    </row>
    <row r="40" spans="1:18" ht="15.75" customHeight="1" x14ac:dyDescent="0.25">
      <c r="H40" s="10" t="s">
        <v>315</v>
      </c>
      <c r="I40" s="38">
        <f>SUM(I34:I38)</f>
        <v>16360</v>
      </c>
      <c r="J40" s="11">
        <f>Q35</f>
        <v>31</v>
      </c>
    </row>
    <row r="41" spans="1:18" x14ac:dyDescent="0.25">
      <c r="H41" s="12" t="s">
        <v>316</v>
      </c>
      <c r="I41" s="13">
        <f>R35</f>
        <v>130</v>
      </c>
      <c r="J41" s="14"/>
    </row>
    <row r="42" spans="1:18" x14ac:dyDescent="0.25">
      <c r="H42" s="12" t="s">
        <v>317</v>
      </c>
      <c r="I42" s="13">
        <f>S35</f>
        <v>0</v>
      </c>
      <c r="J42" s="14"/>
    </row>
    <row r="43" spans="1:18" x14ac:dyDescent="0.25">
      <c r="H43" s="12" t="s">
        <v>318</v>
      </c>
      <c r="I43" s="13">
        <f>T35</f>
        <v>0</v>
      </c>
      <c r="J43" s="14"/>
    </row>
    <row r="44" spans="1:18" x14ac:dyDescent="0.25">
      <c r="H44" s="12" t="s">
        <v>319</v>
      </c>
      <c r="I44" s="13">
        <f>U35</f>
        <v>0</v>
      </c>
      <c r="J44" s="14"/>
    </row>
    <row r="45" spans="1:18" ht="15.75" customHeight="1" x14ac:dyDescent="0.25">
      <c r="H45" s="15" t="s">
        <v>320</v>
      </c>
      <c r="I45" s="16"/>
      <c r="J45" s="16"/>
    </row>
    <row r="46" spans="1:18" ht="15.75" customHeight="1" x14ac:dyDescent="0.25">
      <c r="H46" s="17" t="s">
        <v>321</v>
      </c>
      <c r="I46" s="16"/>
      <c r="J46" s="16"/>
    </row>
    <row r="47" spans="1:18" ht="21" customHeight="1" x14ac:dyDescent="0.35">
      <c r="H47" s="18" t="s">
        <v>322</v>
      </c>
      <c r="I47" s="39">
        <f>SUM(I40:I46)</f>
        <v>16490</v>
      </c>
      <c r="J47" s="19">
        <f>SUM(J40:J44)</f>
        <v>31</v>
      </c>
    </row>
  </sheetData>
  <autoFilter ref="A2:P33" xr:uid="{00000000-0009-0000-0000-000012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683EC-7E80-4670-99CC-FCDF44F8A892}">
  <dimension ref="A1:R51"/>
  <sheetViews>
    <sheetView topLeftCell="A27"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2612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2613</v>
      </c>
      <c r="D3" s="40" t="s">
        <v>2614</v>
      </c>
      <c r="E3" s="40" t="s">
        <v>2615</v>
      </c>
      <c r="F3" s="41">
        <v>9</v>
      </c>
      <c r="G3" s="41">
        <v>700</v>
      </c>
      <c r="H3" s="41">
        <v>30</v>
      </c>
      <c r="I3" s="41">
        <f>G3-H3</f>
        <v>670</v>
      </c>
      <c r="J3" s="40" t="s">
        <v>1831</v>
      </c>
      <c r="K3" s="40" t="s">
        <v>25</v>
      </c>
      <c r="L3" s="40" t="s">
        <v>2616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 t="s">
        <v>1833</v>
      </c>
      <c r="B4" s="40" t="s">
        <v>1827</v>
      </c>
      <c r="C4" s="40" t="s">
        <v>2292</v>
      </c>
      <c r="D4" s="40"/>
      <c r="E4" s="40" t="s">
        <v>1841</v>
      </c>
      <c r="F4" s="41">
        <v>6</v>
      </c>
      <c r="G4" s="41">
        <v>0</v>
      </c>
      <c r="H4" s="41">
        <v>30</v>
      </c>
      <c r="I4" s="41">
        <f t="shared" ref="I4:I37" si="0">G4-H4</f>
        <v>-30</v>
      </c>
      <c r="J4" s="40" t="s">
        <v>2617</v>
      </c>
      <c r="K4" s="40" t="s">
        <v>25</v>
      </c>
      <c r="L4" s="40" t="s">
        <v>2616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2618</v>
      </c>
      <c r="D5" s="40" t="s">
        <v>2619</v>
      </c>
      <c r="E5" s="40" t="s">
        <v>2620</v>
      </c>
      <c r="F5" s="41">
        <v>6</v>
      </c>
      <c r="G5" s="41">
        <v>885</v>
      </c>
      <c r="H5" s="41">
        <v>25</v>
      </c>
      <c r="I5" s="41">
        <f t="shared" si="0"/>
        <v>860</v>
      </c>
      <c r="J5" s="40" t="s">
        <v>2617</v>
      </c>
      <c r="K5" s="40" t="s">
        <v>25</v>
      </c>
      <c r="L5" s="40" t="s">
        <v>2616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2621</v>
      </c>
      <c r="D6" s="40" t="s">
        <v>2622</v>
      </c>
      <c r="E6" s="40" t="s">
        <v>2623</v>
      </c>
      <c r="F6" s="40">
        <v>8</v>
      </c>
      <c r="G6" s="41">
        <v>935</v>
      </c>
      <c r="H6" s="41">
        <v>25</v>
      </c>
      <c r="I6" s="41">
        <f t="shared" si="0"/>
        <v>910</v>
      </c>
      <c r="J6" s="40" t="s">
        <v>2617</v>
      </c>
      <c r="K6" s="40" t="s">
        <v>25</v>
      </c>
      <c r="L6" s="40" t="s">
        <v>2616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2624</v>
      </c>
      <c r="D7" s="40" t="s">
        <v>2625</v>
      </c>
      <c r="E7" s="40" t="s">
        <v>2626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2617</v>
      </c>
      <c r="K7" s="40" t="s">
        <v>25</v>
      </c>
      <c r="L7" s="40" t="s">
        <v>2616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2627</v>
      </c>
      <c r="D8" s="40" t="s">
        <v>2628</v>
      </c>
      <c r="E8" s="40" t="s">
        <v>2629</v>
      </c>
      <c r="F8" s="41">
        <v>7</v>
      </c>
      <c r="G8" s="41">
        <v>620</v>
      </c>
      <c r="H8" s="41">
        <v>30</v>
      </c>
      <c r="I8" s="41">
        <f t="shared" si="0"/>
        <v>590</v>
      </c>
      <c r="J8" s="40" t="s">
        <v>2617</v>
      </c>
      <c r="K8" s="40" t="s">
        <v>25</v>
      </c>
      <c r="L8" s="40" t="s">
        <v>2616</v>
      </c>
      <c r="M8" s="40"/>
      <c r="N8" s="40"/>
      <c r="O8" s="40"/>
      <c r="P8" s="40"/>
      <c r="Q8" s="41">
        <v>1</v>
      </c>
    </row>
    <row r="9" spans="1:18" s="47" customFormat="1" x14ac:dyDescent="0.25">
      <c r="A9" s="44"/>
      <c r="B9" s="44" t="s">
        <v>1827</v>
      </c>
      <c r="C9" s="44" t="s">
        <v>2265</v>
      </c>
      <c r="D9" s="44" t="s">
        <v>2630</v>
      </c>
      <c r="E9" s="44" t="s">
        <v>2631</v>
      </c>
      <c r="F9" s="45">
        <v>12</v>
      </c>
      <c r="G9" s="45">
        <v>30</v>
      </c>
      <c r="H9" s="45">
        <v>30</v>
      </c>
      <c r="I9" s="45">
        <f t="shared" si="0"/>
        <v>0</v>
      </c>
      <c r="J9" s="44" t="s">
        <v>2617</v>
      </c>
      <c r="K9" s="44" t="s">
        <v>25</v>
      </c>
      <c r="L9" s="44" t="s">
        <v>2616</v>
      </c>
      <c r="M9" s="44" t="s">
        <v>472</v>
      </c>
      <c r="N9" s="44"/>
      <c r="O9" s="44"/>
      <c r="P9" s="44"/>
      <c r="Q9" s="45">
        <v>1</v>
      </c>
    </row>
    <row r="10" spans="1:18" s="42" customFormat="1" x14ac:dyDescent="0.25">
      <c r="A10" s="40"/>
      <c r="B10" s="40" t="s">
        <v>1827</v>
      </c>
      <c r="C10" s="40" t="s">
        <v>2632</v>
      </c>
      <c r="D10" s="40" t="s">
        <v>2633</v>
      </c>
      <c r="E10" s="40" t="s">
        <v>2634</v>
      </c>
      <c r="F10" s="41" t="s">
        <v>444</v>
      </c>
      <c r="G10" s="41">
        <v>925</v>
      </c>
      <c r="H10" s="41">
        <v>35</v>
      </c>
      <c r="I10" s="41">
        <f t="shared" si="0"/>
        <v>890</v>
      </c>
      <c r="J10" s="40" t="s">
        <v>2617</v>
      </c>
      <c r="K10" s="40" t="s">
        <v>25</v>
      </c>
      <c r="L10" s="40" t="s">
        <v>2616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2635</v>
      </c>
      <c r="D11" s="40" t="s">
        <v>2636</v>
      </c>
      <c r="E11" s="40" t="s">
        <v>2637</v>
      </c>
      <c r="F11" s="40">
        <v>7</v>
      </c>
      <c r="G11" s="41">
        <v>1580</v>
      </c>
      <c r="H11" s="41">
        <v>30</v>
      </c>
      <c r="I11" s="41">
        <f t="shared" si="0"/>
        <v>1550</v>
      </c>
      <c r="J11" s="40" t="s">
        <v>2617</v>
      </c>
      <c r="K11" s="40" t="s">
        <v>25</v>
      </c>
      <c r="L11" s="40" t="s">
        <v>2616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2638</v>
      </c>
      <c r="D12" s="40" t="s">
        <v>2639</v>
      </c>
      <c r="E12" s="40" t="s">
        <v>2149</v>
      </c>
      <c r="F12" s="40" t="s">
        <v>1853</v>
      </c>
      <c r="G12" s="41">
        <v>620</v>
      </c>
      <c r="H12" s="41">
        <v>30</v>
      </c>
      <c r="I12" s="41">
        <f t="shared" si="0"/>
        <v>590</v>
      </c>
      <c r="J12" s="40" t="s">
        <v>2617</v>
      </c>
      <c r="K12" s="40" t="s">
        <v>25</v>
      </c>
      <c r="L12" s="40" t="s">
        <v>2616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2640</v>
      </c>
      <c r="D13" s="40" t="s">
        <v>2641</v>
      </c>
      <c r="E13" s="40" t="s">
        <v>2642</v>
      </c>
      <c r="F13" s="41" t="s">
        <v>607</v>
      </c>
      <c r="G13" s="41">
        <v>785</v>
      </c>
      <c r="H13" s="41">
        <v>25</v>
      </c>
      <c r="I13" s="41">
        <f t="shared" si="0"/>
        <v>760</v>
      </c>
      <c r="J13" s="40" t="s">
        <v>2617</v>
      </c>
      <c r="K13" s="40" t="s">
        <v>25</v>
      </c>
      <c r="L13" s="40" t="s">
        <v>2616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2643</v>
      </c>
      <c r="D14" s="40" t="s">
        <v>2644</v>
      </c>
      <c r="E14" s="40" t="s">
        <v>2645</v>
      </c>
      <c r="F14" s="40">
        <v>7</v>
      </c>
      <c r="G14" s="41">
        <v>620</v>
      </c>
      <c r="H14" s="41">
        <v>30</v>
      </c>
      <c r="I14" s="41">
        <f t="shared" si="0"/>
        <v>590</v>
      </c>
      <c r="J14" s="40" t="s">
        <v>2617</v>
      </c>
      <c r="K14" s="40" t="s">
        <v>25</v>
      </c>
      <c r="L14" s="40" t="s">
        <v>2616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2646</v>
      </c>
      <c r="D15" s="40" t="s">
        <v>2647</v>
      </c>
      <c r="E15" s="40" t="s">
        <v>2648</v>
      </c>
      <c r="F15" s="40" t="s">
        <v>607</v>
      </c>
      <c r="G15" s="41">
        <v>845</v>
      </c>
      <c r="H15" s="41">
        <v>25</v>
      </c>
      <c r="I15" s="41">
        <f t="shared" si="0"/>
        <v>820</v>
      </c>
      <c r="J15" s="40" t="s">
        <v>2617</v>
      </c>
      <c r="K15" s="40" t="s">
        <v>25</v>
      </c>
      <c r="L15" s="40" t="s">
        <v>2616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2649</v>
      </c>
      <c r="D16" s="40" t="s">
        <v>2650</v>
      </c>
      <c r="E16" s="40" t="s">
        <v>2651</v>
      </c>
      <c r="F16" s="40">
        <v>7</v>
      </c>
      <c r="G16" s="41">
        <v>700</v>
      </c>
      <c r="H16" s="41">
        <v>30</v>
      </c>
      <c r="I16" s="41">
        <f t="shared" si="0"/>
        <v>670</v>
      </c>
      <c r="J16" s="40" t="s">
        <v>2617</v>
      </c>
      <c r="K16" s="40" t="s">
        <v>25</v>
      </c>
      <c r="L16" s="40" t="s">
        <v>2616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2652</v>
      </c>
      <c r="D17" s="40" t="s">
        <v>2653</v>
      </c>
      <c r="E17" s="40" t="s">
        <v>2654</v>
      </c>
      <c r="F17" s="41" t="s">
        <v>607</v>
      </c>
      <c r="G17" s="41">
        <v>915</v>
      </c>
      <c r="H17" s="41">
        <v>25</v>
      </c>
      <c r="I17" s="41">
        <f t="shared" si="0"/>
        <v>890</v>
      </c>
      <c r="J17" s="40" t="s">
        <v>2617</v>
      </c>
      <c r="K17" s="40" t="s">
        <v>25</v>
      </c>
      <c r="L17" s="40" t="s">
        <v>2616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2655</v>
      </c>
      <c r="D18" s="40" t="s">
        <v>2656</v>
      </c>
      <c r="E18" s="40" t="s">
        <v>2657</v>
      </c>
      <c r="F18" s="41">
        <v>12</v>
      </c>
      <c r="G18" s="41">
        <v>1010</v>
      </c>
      <c r="H18" s="41">
        <v>30</v>
      </c>
      <c r="I18" s="41">
        <f t="shared" si="0"/>
        <v>980</v>
      </c>
      <c r="J18" s="40" t="s">
        <v>2617</v>
      </c>
      <c r="K18" s="40" t="s">
        <v>25</v>
      </c>
      <c r="L18" s="40" t="s">
        <v>2616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2658</v>
      </c>
      <c r="D19" s="40" t="s">
        <v>2659</v>
      </c>
      <c r="E19" s="40" t="s">
        <v>2660</v>
      </c>
      <c r="F19" s="41">
        <v>1</v>
      </c>
      <c r="G19" s="41">
        <v>700</v>
      </c>
      <c r="H19" s="41">
        <v>30</v>
      </c>
      <c r="I19" s="41">
        <f t="shared" si="0"/>
        <v>670</v>
      </c>
      <c r="J19" s="40" t="s">
        <v>2617</v>
      </c>
      <c r="K19" s="40" t="s">
        <v>25</v>
      </c>
      <c r="L19" s="40" t="s">
        <v>2616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2661</v>
      </c>
      <c r="D20" s="40" t="s">
        <v>2662</v>
      </c>
      <c r="E20" s="40" t="s">
        <v>2663</v>
      </c>
      <c r="F20" s="41">
        <v>8</v>
      </c>
      <c r="G20" s="41">
        <v>845</v>
      </c>
      <c r="H20" s="41">
        <v>25</v>
      </c>
      <c r="I20" s="41">
        <f t="shared" si="0"/>
        <v>820</v>
      </c>
      <c r="J20" s="40" t="s">
        <v>2617</v>
      </c>
      <c r="K20" s="40" t="s">
        <v>25</v>
      </c>
      <c r="L20" s="40" t="s">
        <v>2616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2664</v>
      </c>
      <c r="D21" s="40" t="s">
        <v>2665</v>
      </c>
      <c r="E21" s="40" t="s">
        <v>2666</v>
      </c>
      <c r="F21" s="41" t="s">
        <v>103</v>
      </c>
      <c r="G21" s="41">
        <v>920</v>
      </c>
      <c r="H21" s="41">
        <v>30</v>
      </c>
      <c r="I21" s="41">
        <f t="shared" si="0"/>
        <v>890</v>
      </c>
      <c r="J21" s="40" t="s">
        <v>25</v>
      </c>
      <c r="K21" s="40" t="s">
        <v>25</v>
      </c>
      <c r="L21" s="40" t="s">
        <v>2616</v>
      </c>
      <c r="M21" s="40"/>
      <c r="N21" s="40"/>
      <c r="O21" s="40"/>
      <c r="P21" s="40"/>
      <c r="Q21" s="41">
        <v>1</v>
      </c>
    </row>
    <row r="22" spans="1:18" s="42" customFormat="1" x14ac:dyDescent="0.25">
      <c r="A22" s="40"/>
      <c r="B22" s="40" t="s">
        <v>1827</v>
      </c>
      <c r="C22" s="40" t="s">
        <v>2667</v>
      </c>
      <c r="D22" s="40" t="s">
        <v>2668</v>
      </c>
      <c r="E22" s="40" t="s">
        <v>2669</v>
      </c>
      <c r="F22" s="41" t="s">
        <v>70</v>
      </c>
      <c r="G22" s="41">
        <v>695</v>
      </c>
      <c r="H22" s="41">
        <v>25</v>
      </c>
      <c r="I22" s="41">
        <f t="shared" si="0"/>
        <v>670</v>
      </c>
      <c r="J22" s="40" t="s">
        <v>25</v>
      </c>
      <c r="K22" s="40" t="s">
        <v>25</v>
      </c>
      <c r="L22" s="40" t="s">
        <v>2616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2670</v>
      </c>
      <c r="D23" s="40" t="s">
        <v>2671</v>
      </c>
      <c r="E23" s="40" t="s">
        <v>2672</v>
      </c>
      <c r="F23" s="40" t="s">
        <v>58</v>
      </c>
      <c r="G23" s="41">
        <v>840</v>
      </c>
      <c r="H23" s="41">
        <v>20</v>
      </c>
      <c r="I23" s="41">
        <f t="shared" si="0"/>
        <v>820</v>
      </c>
      <c r="J23" s="40" t="s">
        <v>25</v>
      </c>
      <c r="K23" s="40" t="s">
        <v>25</v>
      </c>
      <c r="L23" s="40" t="s">
        <v>2616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2673</v>
      </c>
      <c r="D24" s="40" t="s">
        <v>2674</v>
      </c>
      <c r="E24" s="40" t="s">
        <v>2675</v>
      </c>
      <c r="F24" s="41" t="s">
        <v>70</v>
      </c>
      <c r="G24" s="41">
        <v>695</v>
      </c>
      <c r="H24" s="41">
        <v>25</v>
      </c>
      <c r="I24" s="41">
        <f t="shared" si="0"/>
        <v>670</v>
      </c>
      <c r="J24" s="40" t="s">
        <v>25</v>
      </c>
      <c r="K24" s="40" t="s">
        <v>25</v>
      </c>
      <c r="L24" s="40" t="s">
        <v>2616</v>
      </c>
      <c r="M24" s="40"/>
      <c r="N24" s="40"/>
      <c r="O24" s="40"/>
      <c r="P24" s="40"/>
      <c r="Q24" s="41">
        <v>1</v>
      </c>
      <c r="R24" s="43"/>
    </row>
    <row r="25" spans="1:18" s="42" customFormat="1" x14ac:dyDescent="0.25">
      <c r="A25" s="40"/>
      <c r="B25" s="40" t="s">
        <v>1827</v>
      </c>
      <c r="C25" s="40" t="s">
        <v>2676</v>
      </c>
      <c r="D25" s="40" t="s">
        <v>2677</v>
      </c>
      <c r="E25" s="40" t="s">
        <v>2678</v>
      </c>
      <c r="F25" s="41" t="s">
        <v>70</v>
      </c>
      <c r="G25" s="41">
        <v>845</v>
      </c>
      <c r="H25" s="41">
        <v>25</v>
      </c>
      <c r="I25" s="41">
        <f t="shared" si="0"/>
        <v>820</v>
      </c>
      <c r="J25" s="40" t="s">
        <v>25</v>
      </c>
      <c r="K25" s="40" t="s">
        <v>25</v>
      </c>
      <c r="L25" s="40" t="s">
        <v>2616</v>
      </c>
      <c r="M25" s="40"/>
      <c r="N25" s="40"/>
      <c r="O25" s="40"/>
      <c r="P25" s="40"/>
      <c r="Q25" s="41">
        <v>1</v>
      </c>
      <c r="R25" s="43"/>
    </row>
    <row r="26" spans="1:18" s="42" customFormat="1" x14ac:dyDescent="0.25">
      <c r="A26" s="40"/>
      <c r="B26" s="40" t="s">
        <v>1827</v>
      </c>
      <c r="C26" s="40" t="s">
        <v>2679</v>
      </c>
      <c r="D26" s="40" t="s">
        <v>2680</v>
      </c>
      <c r="E26" s="40" t="s">
        <v>2681</v>
      </c>
      <c r="F26" s="41" t="s">
        <v>98</v>
      </c>
      <c r="G26" s="41">
        <v>615</v>
      </c>
      <c r="H26" s="41">
        <v>25</v>
      </c>
      <c r="I26" s="41">
        <f t="shared" si="0"/>
        <v>590</v>
      </c>
      <c r="J26" s="40" t="s">
        <v>25</v>
      </c>
      <c r="K26" s="40" t="s">
        <v>25</v>
      </c>
      <c r="L26" s="40" t="s">
        <v>2616</v>
      </c>
      <c r="M26" s="40"/>
      <c r="N26" s="40"/>
      <c r="O26" s="40"/>
      <c r="P26" s="40"/>
      <c r="Q26" s="41">
        <v>1</v>
      </c>
      <c r="R26" s="43"/>
    </row>
    <row r="27" spans="1:18" s="42" customFormat="1" x14ac:dyDescent="0.25">
      <c r="A27" s="40" t="s">
        <v>1833</v>
      </c>
      <c r="B27" s="40" t="s">
        <v>1827</v>
      </c>
      <c r="C27" s="40" t="s">
        <v>2409</v>
      </c>
      <c r="D27" s="40"/>
      <c r="E27" s="40" t="s">
        <v>2410</v>
      </c>
      <c r="F27" s="41" t="s">
        <v>98</v>
      </c>
      <c r="G27" s="41">
        <v>0</v>
      </c>
      <c r="H27" s="41">
        <v>30</v>
      </c>
      <c r="I27" s="41">
        <f t="shared" si="0"/>
        <v>-30</v>
      </c>
      <c r="J27" s="40" t="s">
        <v>1884</v>
      </c>
      <c r="K27" s="40" t="s">
        <v>25</v>
      </c>
      <c r="L27" s="40" t="s">
        <v>2616</v>
      </c>
      <c r="M27" s="40"/>
      <c r="N27" s="40"/>
      <c r="O27" s="40"/>
      <c r="P27" s="40"/>
      <c r="Q27" s="41">
        <v>1</v>
      </c>
      <c r="R27" s="43">
        <f>H27</f>
        <v>30</v>
      </c>
    </row>
    <row r="28" spans="1:18" s="42" customFormat="1" x14ac:dyDescent="0.25">
      <c r="A28" s="40" t="s">
        <v>1833</v>
      </c>
      <c r="B28" s="40" t="s">
        <v>1827</v>
      </c>
      <c r="C28" s="40" t="s">
        <v>2682</v>
      </c>
      <c r="D28" s="40"/>
      <c r="E28" s="40" t="s">
        <v>2683</v>
      </c>
      <c r="F28" s="40" t="s">
        <v>98</v>
      </c>
      <c r="G28" s="41">
        <v>820</v>
      </c>
      <c r="H28" s="41">
        <v>30</v>
      </c>
      <c r="I28" s="41">
        <f t="shared" si="0"/>
        <v>790</v>
      </c>
      <c r="J28" s="40" t="s">
        <v>1884</v>
      </c>
      <c r="K28" s="40" t="s">
        <v>25</v>
      </c>
      <c r="L28" s="40" t="s">
        <v>2616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 t="s">
        <v>1833</v>
      </c>
      <c r="B29" s="40" t="s">
        <v>1827</v>
      </c>
      <c r="C29" s="40" t="s">
        <v>2684</v>
      </c>
      <c r="D29" s="40"/>
      <c r="E29" s="40" t="s">
        <v>2685</v>
      </c>
      <c r="F29" s="41">
        <v>3</v>
      </c>
      <c r="G29" s="41">
        <v>0</v>
      </c>
      <c r="H29" s="41">
        <v>35</v>
      </c>
      <c r="I29" s="41">
        <f t="shared" si="0"/>
        <v>-35</v>
      </c>
      <c r="J29" s="40" t="s">
        <v>1884</v>
      </c>
      <c r="K29" s="40" t="s">
        <v>25</v>
      </c>
      <c r="L29" s="40" t="s">
        <v>2616</v>
      </c>
      <c r="M29" s="40"/>
      <c r="N29" s="40"/>
      <c r="O29" s="40"/>
      <c r="P29" s="40"/>
      <c r="Q29" s="41">
        <v>1</v>
      </c>
      <c r="R29" s="43">
        <f>H29</f>
        <v>35</v>
      </c>
    </row>
    <row r="30" spans="1:18" s="42" customFormat="1" x14ac:dyDescent="0.25">
      <c r="A30" s="40"/>
      <c r="B30" s="40" t="s">
        <v>1827</v>
      </c>
      <c r="C30" s="40" t="s">
        <v>2686</v>
      </c>
      <c r="D30" s="40" t="s">
        <v>2687</v>
      </c>
      <c r="E30" s="40" t="s">
        <v>2688</v>
      </c>
      <c r="F30" s="40">
        <v>1</v>
      </c>
      <c r="G30" s="41">
        <v>845</v>
      </c>
      <c r="H30" s="41">
        <v>25</v>
      </c>
      <c r="I30" s="41">
        <f t="shared" si="0"/>
        <v>820</v>
      </c>
      <c r="J30" s="40" t="s">
        <v>1884</v>
      </c>
      <c r="K30" s="40" t="s">
        <v>25</v>
      </c>
      <c r="L30" s="40" t="s">
        <v>2616</v>
      </c>
      <c r="M30" s="40"/>
      <c r="N30" s="40"/>
      <c r="O30" s="40"/>
      <c r="P30" s="40"/>
      <c r="Q30" s="41">
        <v>1</v>
      </c>
    </row>
    <row r="31" spans="1:18" s="42" customFormat="1" x14ac:dyDescent="0.25">
      <c r="A31" s="40"/>
      <c r="B31" s="40" t="s">
        <v>1827</v>
      </c>
      <c r="C31" s="40" t="s">
        <v>2658</v>
      </c>
      <c r="D31" s="40" t="s">
        <v>2689</v>
      </c>
      <c r="E31" s="40" t="s">
        <v>2690</v>
      </c>
      <c r="F31" s="40">
        <v>4</v>
      </c>
      <c r="G31" s="41">
        <v>915</v>
      </c>
      <c r="H31" s="41">
        <v>25</v>
      </c>
      <c r="I31" s="41">
        <f t="shared" si="0"/>
        <v>890</v>
      </c>
      <c r="J31" s="40" t="s">
        <v>1884</v>
      </c>
      <c r="K31" s="40" t="s">
        <v>25</v>
      </c>
      <c r="L31" s="40" t="s">
        <v>2616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2691</v>
      </c>
      <c r="D32" s="40" t="s">
        <v>2692</v>
      </c>
      <c r="E32" s="40" t="s">
        <v>2693</v>
      </c>
      <c r="F32" s="40">
        <v>5</v>
      </c>
      <c r="G32" s="41">
        <v>0</v>
      </c>
      <c r="H32" s="41">
        <v>25</v>
      </c>
      <c r="I32" s="41">
        <f t="shared" si="0"/>
        <v>-25</v>
      </c>
      <c r="J32" s="40" t="s">
        <v>1884</v>
      </c>
      <c r="K32" s="40" t="s">
        <v>25</v>
      </c>
      <c r="L32" s="40" t="s">
        <v>2616</v>
      </c>
      <c r="M32" s="40"/>
      <c r="N32" s="40"/>
      <c r="O32" s="40"/>
      <c r="P32" s="40"/>
      <c r="Q32" s="41">
        <v>1</v>
      </c>
      <c r="R32" s="43">
        <f>H32</f>
        <v>25</v>
      </c>
    </row>
    <row r="33" spans="1:18" s="42" customFormat="1" x14ac:dyDescent="0.25">
      <c r="A33" s="40"/>
      <c r="B33" s="40" t="s">
        <v>1827</v>
      </c>
      <c r="C33" s="40" t="s">
        <v>2694</v>
      </c>
      <c r="D33" s="40" t="s">
        <v>2695</v>
      </c>
      <c r="E33" s="40" t="s">
        <v>2696</v>
      </c>
      <c r="F33" s="40" t="s">
        <v>98</v>
      </c>
      <c r="G33" s="41">
        <v>1015</v>
      </c>
      <c r="H33" s="41">
        <v>25</v>
      </c>
      <c r="I33" s="41">
        <f t="shared" si="0"/>
        <v>990</v>
      </c>
      <c r="J33" s="40" t="s">
        <v>1884</v>
      </c>
      <c r="K33" s="40" t="s">
        <v>25</v>
      </c>
      <c r="L33" s="40" t="s">
        <v>2616</v>
      </c>
      <c r="M33" s="40"/>
      <c r="N33" s="40"/>
      <c r="O33" s="40"/>
      <c r="P33" s="40"/>
      <c r="Q33" s="41">
        <v>1</v>
      </c>
      <c r="R33" s="43"/>
    </row>
    <row r="34" spans="1:18" s="42" customFormat="1" x14ac:dyDescent="0.25">
      <c r="A34" s="40"/>
      <c r="B34" s="40" t="s">
        <v>1827</v>
      </c>
      <c r="C34" s="40" t="s">
        <v>2697</v>
      </c>
      <c r="D34" s="40" t="s">
        <v>2698</v>
      </c>
      <c r="E34" s="40" t="s">
        <v>2699</v>
      </c>
      <c r="F34" s="41">
        <v>4</v>
      </c>
      <c r="G34" s="41">
        <v>1445</v>
      </c>
      <c r="H34" s="41">
        <v>25</v>
      </c>
      <c r="I34" s="41">
        <f t="shared" si="0"/>
        <v>1420</v>
      </c>
      <c r="J34" s="40" t="s">
        <v>1884</v>
      </c>
      <c r="K34" s="40" t="s">
        <v>25</v>
      </c>
      <c r="L34" s="40" t="s">
        <v>2616</v>
      </c>
      <c r="M34" s="40"/>
      <c r="N34" s="40"/>
      <c r="O34" s="40"/>
      <c r="P34" s="40"/>
      <c r="Q34" s="41">
        <v>1</v>
      </c>
      <c r="R34" s="43"/>
    </row>
    <row r="35" spans="1:18" s="42" customFormat="1" x14ac:dyDescent="0.25">
      <c r="A35" s="40"/>
      <c r="B35" s="40" t="s">
        <v>1827</v>
      </c>
      <c r="C35" s="40" t="s">
        <v>2700</v>
      </c>
      <c r="D35" s="40" t="s">
        <v>2701</v>
      </c>
      <c r="E35" s="40" t="s">
        <v>2702</v>
      </c>
      <c r="F35" s="40">
        <v>1</v>
      </c>
      <c r="G35" s="41">
        <v>385</v>
      </c>
      <c r="H35" s="41">
        <v>25</v>
      </c>
      <c r="I35" s="41">
        <f t="shared" si="0"/>
        <v>360</v>
      </c>
      <c r="J35" s="40" t="s">
        <v>1884</v>
      </c>
      <c r="K35" s="40" t="s">
        <v>25</v>
      </c>
      <c r="L35" s="40" t="s">
        <v>2616</v>
      </c>
      <c r="M35" s="40"/>
      <c r="N35" s="40"/>
      <c r="O35" s="40"/>
      <c r="P35" s="40"/>
      <c r="Q35" s="41">
        <v>1</v>
      </c>
    </row>
    <row r="36" spans="1:18" s="42" customFormat="1" x14ac:dyDescent="0.25">
      <c r="A36" s="40"/>
      <c r="B36" s="40" t="s">
        <v>1827</v>
      </c>
      <c r="C36" s="40" t="s">
        <v>2703</v>
      </c>
      <c r="D36" s="40" t="s">
        <v>2704</v>
      </c>
      <c r="E36" s="40" t="s">
        <v>2705</v>
      </c>
      <c r="F36" s="40">
        <v>10</v>
      </c>
      <c r="G36" s="41">
        <v>845</v>
      </c>
      <c r="H36" s="41">
        <v>25</v>
      </c>
      <c r="I36" s="41">
        <f t="shared" si="0"/>
        <v>820</v>
      </c>
      <c r="J36" s="40" t="s">
        <v>1884</v>
      </c>
      <c r="K36" s="40" t="s">
        <v>25</v>
      </c>
      <c r="L36" s="40" t="s">
        <v>2616</v>
      </c>
      <c r="M36" s="40"/>
      <c r="N36" s="40"/>
      <c r="O36" s="40"/>
      <c r="P36" s="40"/>
      <c r="Q36" s="41">
        <v>1</v>
      </c>
    </row>
    <row r="37" spans="1:18" s="42" customFormat="1" x14ac:dyDescent="0.25">
      <c r="A37" s="40"/>
      <c r="B37" s="40" t="s">
        <v>1827</v>
      </c>
      <c r="C37" s="40" t="s">
        <v>2706</v>
      </c>
      <c r="D37" s="40" t="s">
        <v>2707</v>
      </c>
      <c r="E37" s="40" t="s">
        <v>2708</v>
      </c>
      <c r="F37" s="40">
        <v>10</v>
      </c>
      <c r="G37" s="41">
        <v>915</v>
      </c>
      <c r="H37" s="41">
        <v>25</v>
      </c>
      <c r="I37" s="41">
        <f t="shared" si="0"/>
        <v>890</v>
      </c>
      <c r="J37" s="40" t="s">
        <v>1884</v>
      </c>
      <c r="K37" s="40" t="s">
        <v>25</v>
      </c>
      <c r="L37" s="40" t="s">
        <v>2616</v>
      </c>
      <c r="M37" s="40"/>
      <c r="N37" s="40"/>
      <c r="O37" s="40"/>
      <c r="P37" s="40"/>
      <c r="Q37" s="41">
        <v>1</v>
      </c>
      <c r="R37" s="43"/>
    </row>
    <row r="39" spans="1:18" x14ac:dyDescent="0.25">
      <c r="G39">
        <f t="shared" ref="G39:R39" si="1">SUBTOTAL(9,G3:G38)</f>
        <v>25355</v>
      </c>
      <c r="H39">
        <f t="shared" si="1"/>
        <v>955</v>
      </c>
      <c r="I39">
        <f t="shared" si="1"/>
        <v>24400</v>
      </c>
      <c r="J39">
        <f t="shared" si="1"/>
        <v>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35</v>
      </c>
      <c r="R39">
        <f t="shared" si="1"/>
        <v>120</v>
      </c>
    </row>
    <row r="40" spans="1:18" x14ac:dyDescent="0.25">
      <c r="I40" s="29"/>
      <c r="J40" s="22"/>
    </row>
    <row r="41" spans="1:18" x14ac:dyDescent="0.25">
      <c r="I41" s="29"/>
      <c r="J41" s="22"/>
    </row>
    <row r="42" spans="1:18" x14ac:dyDescent="0.25">
      <c r="I42" s="29"/>
      <c r="J42" s="22"/>
    </row>
    <row r="43" spans="1:18" ht="18.75" customHeight="1" x14ac:dyDescent="0.3">
      <c r="H43" s="7" t="s">
        <v>2611</v>
      </c>
      <c r="I43" s="8" t="s">
        <v>313</v>
      </c>
      <c r="J43" s="9" t="s">
        <v>314</v>
      </c>
    </row>
    <row r="44" spans="1:18" ht="15.75" customHeight="1" x14ac:dyDescent="0.25">
      <c r="H44" s="10" t="s">
        <v>315</v>
      </c>
      <c r="I44" s="38">
        <f>SUM(I38:I42)</f>
        <v>24400</v>
      </c>
      <c r="J44" s="11">
        <f>Q39</f>
        <v>35</v>
      </c>
    </row>
    <row r="45" spans="1:18" x14ac:dyDescent="0.25">
      <c r="H45" s="12" t="s">
        <v>316</v>
      </c>
      <c r="I45" s="13">
        <f>R39</f>
        <v>120</v>
      </c>
      <c r="J45" s="14"/>
    </row>
    <row r="46" spans="1:18" x14ac:dyDescent="0.25">
      <c r="H46" s="12" t="s">
        <v>317</v>
      </c>
      <c r="I46" s="13">
        <f>S39</f>
        <v>0</v>
      </c>
      <c r="J46" s="14"/>
    </row>
    <row r="47" spans="1:18" x14ac:dyDescent="0.25">
      <c r="H47" s="12" t="s">
        <v>318</v>
      </c>
      <c r="I47" s="13">
        <f>T39</f>
        <v>0</v>
      </c>
      <c r="J47" s="14"/>
    </row>
    <row r="48" spans="1:18" x14ac:dyDescent="0.25">
      <c r="H48" s="12" t="s">
        <v>319</v>
      </c>
      <c r="I48" s="13">
        <f>U39</f>
        <v>0</v>
      </c>
      <c r="J48" s="14"/>
    </row>
    <row r="49" spans="8:10" ht="15.75" customHeight="1" x14ac:dyDescent="0.25">
      <c r="H49" s="15" t="s">
        <v>320</v>
      </c>
      <c r="I49" s="16"/>
      <c r="J49" s="16"/>
    </row>
    <row r="50" spans="8:10" ht="15.75" customHeight="1" x14ac:dyDescent="0.25">
      <c r="H50" s="17" t="s">
        <v>321</v>
      </c>
      <c r="I50" s="16"/>
      <c r="J50" s="16"/>
    </row>
    <row r="51" spans="8:10" ht="21" customHeight="1" x14ac:dyDescent="0.35">
      <c r="H51" s="18" t="s">
        <v>322</v>
      </c>
      <c r="I51" s="39">
        <f>SUM(I44:I50)</f>
        <v>24520</v>
      </c>
      <c r="J51" s="19">
        <f>SUM(J44:J48)</f>
        <v>35</v>
      </c>
    </row>
  </sheetData>
  <autoFilter ref="A2:P37" xr:uid="{00000000-0009-0000-0000-000012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63B0-D524-4739-A306-B58CA2B5CBC9}">
  <dimension ref="A1:R43"/>
  <sheetViews>
    <sheetView topLeftCell="A15" zoomScale="80" zoomScaleNormal="80" workbookViewId="0">
      <selection activeCell="I28" sqref="I28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2709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 t="s">
        <v>1833</v>
      </c>
      <c r="B3" s="40" t="s">
        <v>1827</v>
      </c>
      <c r="C3" s="40" t="s">
        <v>2711</v>
      </c>
      <c r="D3" s="40"/>
      <c r="E3" s="40" t="s">
        <v>2298</v>
      </c>
      <c r="F3" s="41">
        <v>6</v>
      </c>
      <c r="G3" s="41">
        <v>720</v>
      </c>
      <c r="H3" s="41">
        <v>30</v>
      </c>
      <c r="I3" s="41">
        <f>G3-H3</f>
        <v>690</v>
      </c>
      <c r="J3" s="40" t="s">
        <v>2712</v>
      </c>
      <c r="K3" s="40" t="s">
        <v>25</v>
      </c>
      <c r="L3" s="40" t="s">
        <v>2713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/>
      <c r="B4" s="40" t="s">
        <v>1827</v>
      </c>
      <c r="C4" s="40" t="s">
        <v>2714</v>
      </c>
      <c r="D4" s="40" t="s">
        <v>2715</v>
      </c>
      <c r="E4" s="40" t="s">
        <v>2716</v>
      </c>
      <c r="F4" s="41" t="s">
        <v>444</v>
      </c>
      <c r="G4" s="41">
        <v>925</v>
      </c>
      <c r="H4" s="41">
        <v>35</v>
      </c>
      <c r="I4" s="41">
        <f t="shared" ref="I4:I29" si="0">G4-H4</f>
        <v>890</v>
      </c>
      <c r="J4" s="40" t="s">
        <v>2712</v>
      </c>
      <c r="K4" s="40" t="s">
        <v>25</v>
      </c>
      <c r="L4" s="40" t="s">
        <v>2713</v>
      </c>
      <c r="M4" s="40"/>
      <c r="N4" s="40"/>
      <c r="O4" s="40"/>
      <c r="P4" s="40"/>
      <c r="Q4" s="41">
        <v>1</v>
      </c>
      <c r="R4" s="43"/>
    </row>
    <row r="5" spans="1:18" s="42" customFormat="1" x14ac:dyDescent="0.25">
      <c r="A5" s="40"/>
      <c r="B5" s="40" t="s">
        <v>1827</v>
      </c>
      <c r="C5" s="40" t="s">
        <v>2717</v>
      </c>
      <c r="D5" s="40" t="s">
        <v>2718</v>
      </c>
      <c r="E5" s="40" t="s">
        <v>2719</v>
      </c>
      <c r="F5" s="41">
        <v>8</v>
      </c>
      <c r="G5" s="41">
        <v>745</v>
      </c>
      <c r="H5" s="41">
        <v>25</v>
      </c>
      <c r="I5" s="41">
        <f t="shared" si="0"/>
        <v>720</v>
      </c>
      <c r="J5" s="40" t="s">
        <v>2712</v>
      </c>
      <c r="K5" s="40" t="s">
        <v>25</v>
      </c>
      <c r="L5" s="40" t="s">
        <v>2713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2627</v>
      </c>
      <c r="D6" s="40" t="s">
        <v>2720</v>
      </c>
      <c r="E6" s="40" t="s">
        <v>2629</v>
      </c>
      <c r="F6" s="40">
        <v>7</v>
      </c>
      <c r="G6" s="41">
        <v>700</v>
      </c>
      <c r="H6" s="41">
        <v>30</v>
      </c>
      <c r="I6" s="41">
        <f t="shared" si="0"/>
        <v>670</v>
      </c>
      <c r="J6" s="40" t="s">
        <v>2712</v>
      </c>
      <c r="K6" s="40" t="s">
        <v>25</v>
      </c>
      <c r="L6" s="40" t="s">
        <v>2713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2721</v>
      </c>
      <c r="D7" s="40" t="s">
        <v>2722</v>
      </c>
      <c r="E7" s="40" t="s">
        <v>2723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2712</v>
      </c>
      <c r="K7" s="40" t="s">
        <v>25</v>
      </c>
      <c r="L7" s="40" t="s">
        <v>2713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2724</v>
      </c>
      <c r="D8" s="40" t="s">
        <v>2725</v>
      </c>
      <c r="E8" s="40" t="s">
        <v>2726</v>
      </c>
      <c r="F8" s="41" t="s">
        <v>1989</v>
      </c>
      <c r="G8" s="41">
        <v>0</v>
      </c>
      <c r="H8" s="41">
        <v>35</v>
      </c>
      <c r="I8" s="41">
        <f t="shared" si="0"/>
        <v>-35</v>
      </c>
      <c r="J8" s="40" t="s">
        <v>2712</v>
      </c>
      <c r="K8" s="40" t="s">
        <v>25</v>
      </c>
      <c r="L8" s="40" t="s">
        <v>2713</v>
      </c>
      <c r="M8" s="40"/>
      <c r="N8" s="40"/>
      <c r="O8" s="40"/>
      <c r="P8" s="40"/>
      <c r="Q8" s="41">
        <v>1</v>
      </c>
      <c r="R8" s="43">
        <f>H8</f>
        <v>35</v>
      </c>
    </row>
    <row r="9" spans="1:18" s="42" customFormat="1" x14ac:dyDescent="0.25">
      <c r="A9" s="40"/>
      <c r="B9" s="40" t="s">
        <v>1827</v>
      </c>
      <c r="C9" s="40" t="s">
        <v>2727</v>
      </c>
      <c r="D9" s="40" t="s">
        <v>2728</v>
      </c>
      <c r="E9" s="40" t="s">
        <v>2729</v>
      </c>
      <c r="F9" s="41">
        <v>7</v>
      </c>
      <c r="G9" s="41">
        <v>410</v>
      </c>
      <c r="H9" s="41">
        <v>30</v>
      </c>
      <c r="I9" s="41">
        <f t="shared" si="0"/>
        <v>380</v>
      </c>
      <c r="J9" s="40" t="s">
        <v>2712</v>
      </c>
      <c r="K9" s="40" t="s">
        <v>25</v>
      </c>
      <c r="L9" s="40" t="s">
        <v>2713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2730</v>
      </c>
      <c r="D10" s="40" t="s">
        <v>2731</v>
      </c>
      <c r="E10" s="40" t="s">
        <v>2732</v>
      </c>
      <c r="F10" s="41">
        <v>6</v>
      </c>
      <c r="G10" s="41">
        <v>0</v>
      </c>
      <c r="H10" s="41">
        <v>25</v>
      </c>
      <c r="I10" s="41">
        <f t="shared" si="0"/>
        <v>-25</v>
      </c>
      <c r="J10" s="40" t="s">
        <v>2712</v>
      </c>
      <c r="K10" s="40" t="s">
        <v>25</v>
      </c>
      <c r="L10" s="40" t="s">
        <v>2713</v>
      </c>
      <c r="M10" s="40"/>
      <c r="N10" s="40"/>
      <c r="O10" s="40"/>
      <c r="P10" s="40"/>
      <c r="Q10" s="41">
        <v>1</v>
      </c>
      <c r="R10" s="43">
        <f>H10</f>
        <v>25</v>
      </c>
    </row>
    <row r="11" spans="1:18" s="42" customFormat="1" x14ac:dyDescent="0.25">
      <c r="A11" s="40"/>
      <c r="B11" s="40" t="s">
        <v>1827</v>
      </c>
      <c r="C11" s="40" t="s">
        <v>2118</v>
      </c>
      <c r="D11" s="40" t="s">
        <v>2733</v>
      </c>
      <c r="E11" s="40" t="s">
        <v>2120</v>
      </c>
      <c r="F11" s="40">
        <v>7</v>
      </c>
      <c r="G11" s="41">
        <v>750</v>
      </c>
      <c r="H11" s="41">
        <v>30</v>
      </c>
      <c r="I11" s="41">
        <f t="shared" si="0"/>
        <v>720</v>
      </c>
      <c r="J11" s="40" t="s">
        <v>2712</v>
      </c>
      <c r="K11" s="40" t="s">
        <v>25</v>
      </c>
      <c r="L11" s="40" t="s">
        <v>2713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2734</v>
      </c>
      <c r="D12" s="40" t="s">
        <v>2735</v>
      </c>
      <c r="E12" s="40" t="s">
        <v>2276</v>
      </c>
      <c r="F12" s="40" t="s">
        <v>1853</v>
      </c>
      <c r="G12" s="41">
        <v>0</v>
      </c>
      <c r="H12" s="41">
        <v>30</v>
      </c>
      <c r="I12" s="41">
        <f t="shared" si="0"/>
        <v>-30</v>
      </c>
      <c r="J12" s="40" t="s">
        <v>2712</v>
      </c>
      <c r="K12" s="40" t="s">
        <v>25</v>
      </c>
      <c r="L12" s="40" t="s">
        <v>2713</v>
      </c>
      <c r="M12" s="40"/>
      <c r="N12" s="40"/>
      <c r="O12" s="40"/>
      <c r="P12" s="40"/>
      <c r="Q12" s="41">
        <v>1</v>
      </c>
      <c r="R12" s="43">
        <f>H12</f>
        <v>30</v>
      </c>
    </row>
    <row r="13" spans="1:18" s="42" customFormat="1" x14ac:dyDescent="0.25">
      <c r="A13" s="40"/>
      <c r="B13" s="40" t="s">
        <v>1827</v>
      </c>
      <c r="C13" s="40" t="s">
        <v>2736</v>
      </c>
      <c r="D13" s="40" t="s">
        <v>2737</v>
      </c>
      <c r="E13" s="40" t="s">
        <v>2738</v>
      </c>
      <c r="F13" s="41">
        <v>7</v>
      </c>
      <c r="G13" s="41">
        <v>700</v>
      </c>
      <c r="H13" s="41">
        <v>30</v>
      </c>
      <c r="I13" s="41">
        <f t="shared" si="0"/>
        <v>670</v>
      </c>
      <c r="J13" s="40" t="s">
        <v>2712</v>
      </c>
      <c r="K13" s="40" t="s">
        <v>25</v>
      </c>
      <c r="L13" s="40" t="s">
        <v>2713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2739</v>
      </c>
      <c r="D14" s="40" t="s">
        <v>2740</v>
      </c>
      <c r="E14" s="40" t="s">
        <v>2741</v>
      </c>
      <c r="F14" s="40" t="s">
        <v>444</v>
      </c>
      <c r="G14" s="41">
        <v>855</v>
      </c>
      <c r="H14" s="41">
        <v>35</v>
      </c>
      <c r="I14" s="41">
        <f t="shared" si="0"/>
        <v>820</v>
      </c>
      <c r="J14" s="40" t="s">
        <v>2712</v>
      </c>
      <c r="K14" s="40" t="s">
        <v>25</v>
      </c>
      <c r="L14" s="40" t="s">
        <v>2713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2742</v>
      </c>
      <c r="D15" s="40" t="s">
        <v>2743</v>
      </c>
      <c r="E15" s="40" t="s">
        <v>2744</v>
      </c>
      <c r="F15" s="40" t="s">
        <v>1853</v>
      </c>
      <c r="G15" s="41">
        <v>920</v>
      </c>
      <c r="H15" s="41">
        <v>30</v>
      </c>
      <c r="I15" s="41">
        <f t="shared" si="0"/>
        <v>890</v>
      </c>
      <c r="J15" s="40" t="s">
        <v>2712</v>
      </c>
      <c r="K15" s="40" t="s">
        <v>25</v>
      </c>
      <c r="L15" s="40" t="s">
        <v>2713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2745</v>
      </c>
      <c r="D16" s="40" t="s">
        <v>2746</v>
      </c>
      <c r="E16" s="40" t="s">
        <v>2747</v>
      </c>
      <c r="F16" s="40" t="s">
        <v>103</v>
      </c>
      <c r="G16" s="41">
        <v>900</v>
      </c>
      <c r="H16" s="41">
        <v>30</v>
      </c>
      <c r="I16" s="41">
        <f t="shared" si="0"/>
        <v>870</v>
      </c>
      <c r="J16" s="40" t="s">
        <v>25</v>
      </c>
      <c r="K16" s="40" t="s">
        <v>25</v>
      </c>
      <c r="L16" s="40" t="s">
        <v>2713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2748</v>
      </c>
      <c r="D17" s="40" t="s">
        <v>2749</v>
      </c>
      <c r="E17" s="40" t="s">
        <v>2750</v>
      </c>
      <c r="F17" s="41" t="s">
        <v>58</v>
      </c>
      <c r="G17" s="41">
        <v>840</v>
      </c>
      <c r="H17" s="41">
        <v>20</v>
      </c>
      <c r="I17" s="41">
        <f t="shared" si="0"/>
        <v>820</v>
      </c>
      <c r="J17" s="40" t="s">
        <v>25</v>
      </c>
      <c r="K17" s="40" t="s">
        <v>25</v>
      </c>
      <c r="L17" s="40" t="s">
        <v>2713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2751</v>
      </c>
      <c r="D18" s="40" t="s">
        <v>2752</v>
      </c>
      <c r="E18" s="40" t="s">
        <v>2753</v>
      </c>
      <c r="F18" s="41" t="s">
        <v>58</v>
      </c>
      <c r="G18" s="41">
        <v>1670</v>
      </c>
      <c r="H18" s="41">
        <v>20</v>
      </c>
      <c r="I18" s="41">
        <f t="shared" si="0"/>
        <v>1650</v>
      </c>
      <c r="J18" s="40" t="s">
        <v>25</v>
      </c>
      <c r="K18" s="40" t="s">
        <v>25</v>
      </c>
      <c r="L18" s="40" t="s">
        <v>2713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2754</v>
      </c>
      <c r="D19" s="40" t="s">
        <v>2755</v>
      </c>
      <c r="E19" s="40" t="s">
        <v>2756</v>
      </c>
      <c r="F19" s="41">
        <v>2</v>
      </c>
      <c r="G19" s="41">
        <v>700</v>
      </c>
      <c r="H19" s="41">
        <v>30</v>
      </c>
      <c r="I19" s="41">
        <f t="shared" si="0"/>
        <v>670</v>
      </c>
      <c r="J19" s="40" t="s">
        <v>25</v>
      </c>
      <c r="K19" s="40" t="s">
        <v>25</v>
      </c>
      <c r="L19" s="40" t="s">
        <v>2713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2757</v>
      </c>
      <c r="D20" s="40" t="s">
        <v>2758</v>
      </c>
      <c r="E20" s="40" t="s">
        <v>2759</v>
      </c>
      <c r="F20" s="41">
        <v>2</v>
      </c>
      <c r="G20" s="41">
        <v>1770</v>
      </c>
      <c r="H20" s="41">
        <v>30</v>
      </c>
      <c r="I20" s="41">
        <f t="shared" si="0"/>
        <v>1740</v>
      </c>
      <c r="J20" s="40" t="s">
        <v>25</v>
      </c>
      <c r="K20" s="40" t="s">
        <v>25</v>
      </c>
      <c r="L20" s="40" t="s">
        <v>2713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2760</v>
      </c>
      <c r="D21" s="40" t="s">
        <v>2761</v>
      </c>
      <c r="E21" s="40" t="s">
        <v>2762</v>
      </c>
      <c r="F21" s="41">
        <v>5</v>
      </c>
      <c r="G21" s="41">
        <v>0</v>
      </c>
      <c r="H21" s="41">
        <v>25</v>
      </c>
      <c r="I21" s="41">
        <f t="shared" si="0"/>
        <v>-25</v>
      </c>
      <c r="J21" s="40" t="s">
        <v>1884</v>
      </c>
      <c r="K21" s="40" t="s">
        <v>25</v>
      </c>
      <c r="L21" s="40" t="s">
        <v>2713</v>
      </c>
      <c r="M21" s="40"/>
      <c r="N21" s="40"/>
      <c r="O21" s="40"/>
      <c r="P21" s="40"/>
      <c r="Q21" s="41">
        <v>1</v>
      </c>
      <c r="R21" s="43">
        <f>H21</f>
        <v>25</v>
      </c>
    </row>
    <row r="22" spans="1:18" s="42" customFormat="1" x14ac:dyDescent="0.25">
      <c r="A22" s="40"/>
      <c r="B22" s="40" t="s">
        <v>1827</v>
      </c>
      <c r="C22" s="40" t="s">
        <v>2763</v>
      </c>
      <c r="D22" s="40" t="s">
        <v>2764</v>
      </c>
      <c r="E22" s="40" t="s">
        <v>2765</v>
      </c>
      <c r="F22" s="41">
        <v>10</v>
      </c>
      <c r="G22" s="41">
        <v>845</v>
      </c>
      <c r="H22" s="41">
        <v>25</v>
      </c>
      <c r="I22" s="41">
        <f t="shared" si="0"/>
        <v>820</v>
      </c>
      <c r="J22" s="40" t="s">
        <v>1884</v>
      </c>
      <c r="K22" s="40" t="s">
        <v>25</v>
      </c>
      <c r="L22" s="40" t="s">
        <v>2713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2766</v>
      </c>
      <c r="D23" s="40" t="s">
        <v>2767</v>
      </c>
      <c r="E23" s="40" t="s">
        <v>2768</v>
      </c>
      <c r="F23" s="40">
        <v>3</v>
      </c>
      <c r="G23" s="41">
        <v>845</v>
      </c>
      <c r="H23" s="41">
        <v>25</v>
      </c>
      <c r="I23" s="41">
        <f t="shared" si="0"/>
        <v>820</v>
      </c>
      <c r="J23" s="40" t="s">
        <v>1884</v>
      </c>
      <c r="K23" s="40" t="s">
        <v>25</v>
      </c>
      <c r="L23" s="40" t="s">
        <v>2713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2769</v>
      </c>
      <c r="D24" s="40" t="s">
        <v>2770</v>
      </c>
      <c r="E24" s="40" t="s">
        <v>2771</v>
      </c>
      <c r="F24" s="41" t="s">
        <v>98</v>
      </c>
      <c r="G24" s="41">
        <v>0</v>
      </c>
      <c r="H24" s="41">
        <v>25</v>
      </c>
      <c r="I24" s="41">
        <f t="shared" si="0"/>
        <v>-25</v>
      </c>
      <c r="J24" s="40" t="s">
        <v>1884</v>
      </c>
      <c r="K24" s="40" t="s">
        <v>25</v>
      </c>
      <c r="L24" s="40" t="s">
        <v>2713</v>
      </c>
      <c r="M24" s="40"/>
      <c r="N24" s="40"/>
      <c r="O24" s="40"/>
      <c r="P24" s="40"/>
      <c r="Q24" s="41">
        <v>1</v>
      </c>
      <c r="R24" s="43">
        <f t="shared" ref="R24:R26" si="1">H24</f>
        <v>25</v>
      </c>
    </row>
    <row r="25" spans="1:18" s="42" customFormat="1" x14ac:dyDescent="0.25">
      <c r="A25" s="40"/>
      <c r="B25" s="40" t="s">
        <v>1827</v>
      </c>
      <c r="C25" s="40" t="s">
        <v>2772</v>
      </c>
      <c r="D25" s="40" t="s">
        <v>2773</v>
      </c>
      <c r="E25" s="40" t="s">
        <v>2774</v>
      </c>
      <c r="F25" s="41">
        <v>5</v>
      </c>
      <c r="G25" s="41">
        <v>0</v>
      </c>
      <c r="H25" s="41">
        <v>25</v>
      </c>
      <c r="I25" s="41">
        <f t="shared" si="0"/>
        <v>-25</v>
      </c>
      <c r="J25" s="40" t="s">
        <v>1884</v>
      </c>
      <c r="K25" s="40" t="s">
        <v>25</v>
      </c>
      <c r="L25" s="40" t="s">
        <v>2713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2775</v>
      </c>
      <c r="D26" s="40" t="s">
        <v>2776</v>
      </c>
      <c r="E26" s="40" t="s">
        <v>2777</v>
      </c>
      <c r="F26" s="41">
        <v>1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2713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2778</v>
      </c>
      <c r="D27" s="40" t="s">
        <v>2779</v>
      </c>
      <c r="E27" s="40" t="s">
        <v>2780</v>
      </c>
      <c r="F27" s="41" t="s">
        <v>98</v>
      </c>
      <c r="G27" s="41">
        <v>1595</v>
      </c>
      <c r="H27" s="41">
        <v>25</v>
      </c>
      <c r="I27" s="41">
        <f t="shared" si="0"/>
        <v>1570</v>
      </c>
      <c r="J27" s="40" t="s">
        <v>1884</v>
      </c>
      <c r="K27" s="40" t="s">
        <v>25</v>
      </c>
      <c r="L27" s="40" t="s">
        <v>2713</v>
      </c>
      <c r="M27" s="40"/>
      <c r="N27" s="40"/>
      <c r="O27" s="40"/>
      <c r="P27" s="40"/>
      <c r="Q27" s="41">
        <v>1</v>
      </c>
      <c r="R27" s="43"/>
    </row>
    <row r="28" spans="1:18" s="42" customFormat="1" x14ac:dyDescent="0.25">
      <c r="A28" s="40"/>
      <c r="B28" s="40" t="s">
        <v>1827</v>
      </c>
      <c r="C28" s="40" t="s">
        <v>2781</v>
      </c>
      <c r="D28" s="40" t="s">
        <v>2782</v>
      </c>
      <c r="E28" s="40" t="s">
        <v>2783</v>
      </c>
      <c r="F28" s="40">
        <v>10</v>
      </c>
      <c r="G28" s="41">
        <v>915</v>
      </c>
      <c r="H28" s="41">
        <v>25</v>
      </c>
      <c r="I28" s="41">
        <f t="shared" si="0"/>
        <v>890</v>
      </c>
      <c r="J28" s="40" t="s">
        <v>1884</v>
      </c>
      <c r="K28" s="40" t="s">
        <v>25</v>
      </c>
      <c r="L28" s="40" t="s">
        <v>2713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2784</v>
      </c>
      <c r="D29" s="40" t="s">
        <v>2785</v>
      </c>
      <c r="E29" s="40" t="s">
        <v>2350</v>
      </c>
      <c r="F29" s="41">
        <v>3</v>
      </c>
      <c r="G29" s="41">
        <v>845</v>
      </c>
      <c r="H29" s="41">
        <v>25</v>
      </c>
      <c r="I29" s="41">
        <f t="shared" si="0"/>
        <v>820</v>
      </c>
      <c r="J29" s="40" t="s">
        <v>1884</v>
      </c>
      <c r="K29" s="40" t="s">
        <v>25</v>
      </c>
      <c r="L29" s="40" t="s">
        <v>2713</v>
      </c>
      <c r="M29" s="40"/>
      <c r="N29" s="40"/>
      <c r="O29" s="40"/>
      <c r="P29" s="40"/>
      <c r="Q29" s="41">
        <v>1</v>
      </c>
      <c r="R29" s="43"/>
    </row>
    <row r="31" spans="1:18" x14ac:dyDescent="0.25">
      <c r="G31">
        <f t="shared" ref="G31:R31" si="2">SUBTOTAL(9,G3:G30)</f>
        <v>18495</v>
      </c>
      <c r="H31">
        <f t="shared" si="2"/>
        <v>745</v>
      </c>
      <c r="I31">
        <f t="shared" si="2"/>
        <v>17750</v>
      </c>
      <c r="J31">
        <f t="shared" si="2"/>
        <v>0</v>
      </c>
      <c r="K31">
        <f t="shared" si="2"/>
        <v>0</v>
      </c>
      <c r="L31">
        <f t="shared" si="2"/>
        <v>0</v>
      </c>
      <c r="M31">
        <f t="shared" si="2"/>
        <v>0</v>
      </c>
      <c r="N31">
        <f t="shared" si="2"/>
        <v>0</v>
      </c>
      <c r="O31">
        <f t="shared" si="2"/>
        <v>0</v>
      </c>
      <c r="P31">
        <f t="shared" si="2"/>
        <v>0</v>
      </c>
      <c r="Q31">
        <f t="shared" si="2"/>
        <v>27</v>
      </c>
      <c r="R31">
        <f t="shared" si="2"/>
        <v>190</v>
      </c>
    </row>
    <row r="32" spans="1:18" x14ac:dyDescent="0.25">
      <c r="I32" s="29"/>
      <c r="J32" s="22"/>
    </row>
    <row r="33" spans="8:10" x14ac:dyDescent="0.25">
      <c r="I33" s="29"/>
      <c r="J33" s="22"/>
    </row>
    <row r="34" spans="8:10" x14ac:dyDescent="0.25">
      <c r="I34" s="29"/>
      <c r="J34" s="22"/>
    </row>
    <row r="35" spans="8:10" ht="18.75" customHeight="1" x14ac:dyDescent="0.3">
      <c r="H35" s="7" t="s">
        <v>2710</v>
      </c>
      <c r="I35" s="8" t="s">
        <v>313</v>
      </c>
      <c r="J35" s="9" t="s">
        <v>314</v>
      </c>
    </row>
    <row r="36" spans="8:10" ht="15.75" customHeight="1" x14ac:dyDescent="0.25">
      <c r="H36" s="10" t="s">
        <v>315</v>
      </c>
      <c r="I36" s="38">
        <f>SUM(I30:I34)</f>
        <v>17750</v>
      </c>
      <c r="J36" s="11">
        <f>Q31</f>
        <v>27</v>
      </c>
    </row>
    <row r="37" spans="8:10" x14ac:dyDescent="0.25">
      <c r="H37" s="12" t="s">
        <v>316</v>
      </c>
      <c r="I37" s="13">
        <f>R31</f>
        <v>190</v>
      </c>
      <c r="J37" s="14"/>
    </row>
    <row r="38" spans="8:10" x14ac:dyDescent="0.25">
      <c r="H38" s="12" t="s">
        <v>317</v>
      </c>
      <c r="I38" s="13">
        <f>S31</f>
        <v>0</v>
      </c>
      <c r="J38" s="14"/>
    </row>
    <row r="39" spans="8:10" x14ac:dyDescent="0.25">
      <c r="H39" s="12" t="s">
        <v>318</v>
      </c>
      <c r="I39" s="13">
        <f>T31</f>
        <v>0</v>
      </c>
      <c r="J39" s="14"/>
    </row>
    <row r="40" spans="8:10" x14ac:dyDescent="0.25">
      <c r="H40" s="12" t="s">
        <v>319</v>
      </c>
      <c r="I40" s="13">
        <f>U31</f>
        <v>0</v>
      </c>
      <c r="J40" s="14"/>
    </row>
    <row r="41" spans="8:10" ht="15.75" customHeight="1" x14ac:dyDescent="0.25">
      <c r="H41" s="15" t="s">
        <v>320</v>
      </c>
      <c r="I41" s="16"/>
      <c r="J41" s="16"/>
    </row>
    <row r="42" spans="8:10" ht="15.75" customHeight="1" x14ac:dyDescent="0.25">
      <c r="H42" s="17" t="s">
        <v>321</v>
      </c>
      <c r="I42" s="16"/>
      <c r="J42" s="16"/>
    </row>
    <row r="43" spans="8:10" ht="21" customHeight="1" x14ac:dyDescent="0.35">
      <c r="H43" s="18" t="s">
        <v>322</v>
      </c>
      <c r="I43" s="39">
        <f>SUM(I36:I42)</f>
        <v>17940</v>
      </c>
      <c r="J43" s="19">
        <f>SUM(J36:J40)</f>
        <v>27</v>
      </c>
    </row>
  </sheetData>
  <autoFilter ref="A2:P29" xr:uid="{00000000-0009-0000-0000-000012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B45D-22F6-4E1D-B18B-A6C7E76C3F3D}">
  <dimension ref="A1:R82"/>
  <sheetViews>
    <sheetView topLeftCell="A48" zoomScale="80" zoomScaleNormal="80" workbookViewId="0">
      <selection activeCell="R36" sqref="R36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2786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x14ac:dyDescent="0.25">
      <c r="B3" t="s">
        <v>1827</v>
      </c>
      <c r="C3" t="s">
        <v>2869</v>
      </c>
      <c r="D3" t="s">
        <v>2870</v>
      </c>
      <c r="E3" t="s">
        <v>2871</v>
      </c>
      <c r="F3" s="25">
        <v>9</v>
      </c>
      <c r="G3" s="25">
        <v>750</v>
      </c>
      <c r="H3" s="25">
        <v>30</v>
      </c>
      <c r="I3" s="25">
        <f t="shared" ref="I3:I8" si="0">G3-H3</f>
        <v>720</v>
      </c>
      <c r="J3" t="s">
        <v>1831</v>
      </c>
      <c r="K3" t="s">
        <v>25</v>
      </c>
      <c r="L3" t="s">
        <v>2788</v>
      </c>
      <c r="Q3" s="25">
        <v>1</v>
      </c>
    </row>
    <row r="4" spans="1:18" x14ac:dyDescent="0.25">
      <c r="A4" t="s">
        <v>1833</v>
      </c>
      <c r="B4" t="s">
        <v>1827</v>
      </c>
      <c r="C4" t="s">
        <v>2292</v>
      </c>
      <c r="E4" t="s">
        <v>1841</v>
      </c>
      <c r="F4" s="25">
        <v>6</v>
      </c>
      <c r="G4" s="25">
        <v>30</v>
      </c>
      <c r="H4" s="25">
        <v>30</v>
      </c>
      <c r="I4" s="25">
        <f t="shared" si="0"/>
        <v>0</v>
      </c>
      <c r="J4" t="s">
        <v>2791</v>
      </c>
      <c r="K4" t="s">
        <v>25</v>
      </c>
      <c r="L4" t="s">
        <v>2788</v>
      </c>
      <c r="Q4" s="25">
        <v>1</v>
      </c>
    </row>
    <row r="5" spans="1:18" x14ac:dyDescent="0.25">
      <c r="A5" t="s">
        <v>1833</v>
      </c>
      <c r="B5" t="s">
        <v>1827</v>
      </c>
      <c r="C5" t="s">
        <v>1847</v>
      </c>
      <c r="E5" t="s">
        <v>2298</v>
      </c>
      <c r="F5" s="25">
        <v>6</v>
      </c>
      <c r="G5" s="25">
        <v>800</v>
      </c>
      <c r="H5" s="25">
        <v>30</v>
      </c>
      <c r="I5" s="25">
        <f t="shared" si="0"/>
        <v>770</v>
      </c>
      <c r="J5" t="s">
        <v>2791</v>
      </c>
      <c r="K5" t="s">
        <v>25</v>
      </c>
      <c r="L5" t="s">
        <v>2788</v>
      </c>
      <c r="Q5" s="25">
        <v>1</v>
      </c>
    </row>
    <row r="6" spans="1:18" x14ac:dyDescent="0.25">
      <c r="A6" t="s">
        <v>1833</v>
      </c>
      <c r="B6" t="s">
        <v>1827</v>
      </c>
      <c r="C6" t="s">
        <v>2792</v>
      </c>
      <c r="E6" t="s">
        <v>2793</v>
      </c>
      <c r="F6" s="25">
        <v>6</v>
      </c>
      <c r="G6" s="25">
        <v>35</v>
      </c>
      <c r="H6" s="25">
        <v>35</v>
      </c>
      <c r="I6" s="25">
        <f t="shared" si="0"/>
        <v>0</v>
      </c>
      <c r="J6" t="s">
        <v>2791</v>
      </c>
      <c r="K6" t="s">
        <v>25</v>
      </c>
      <c r="L6" t="s">
        <v>2788</v>
      </c>
      <c r="Q6" s="25">
        <v>1</v>
      </c>
    </row>
    <row r="7" spans="1:18" x14ac:dyDescent="0.25">
      <c r="B7" t="s">
        <v>1827</v>
      </c>
      <c r="C7" t="s">
        <v>2797</v>
      </c>
      <c r="D7" t="s">
        <v>2798</v>
      </c>
      <c r="E7" t="s">
        <v>2799</v>
      </c>
      <c r="F7" t="s">
        <v>1976</v>
      </c>
      <c r="G7" s="25">
        <v>755</v>
      </c>
      <c r="H7" s="25">
        <v>35</v>
      </c>
      <c r="I7" s="25">
        <f t="shared" si="0"/>
        <v>720</v>
      </c>
      <c r="J7" t="s">
        <v>2791</v>
      </c>
      <c r="K7" t="s">
        <v>25</v>
      </c>
      <c r="L7" t="s">
        <v>2788</v>
      </c>
      <c r="Q7">
        <v>1</v>
      </c>
    </row>
    <row r="8" spans="1:18" s="33" customFormat="1" x14ac:dyDescent="0.25">
      <c r="B8" s="33" t="s">
        <v>1827</v>
      </c>
      <c r="C8" s="33" t="s">
        <v>2627</v>
      </c>
      <c r="D8" s="33" t="s">
        <v>2803</v>
      </c>
      <c r="E8" s="33" t="s">
        <v>2629</v>
      </c>
      <c r="F8" s="34">
        <v>7</v>
      </c>
      <c r="G8" s="34">
        <v>30</v>
      </c>
      <c r="H8" s="34">
        <v>30</v>
      </c>
      <c r="I8" s="34">
        <f t="shared" si="0"/>
        <v>0</v>
      </c>
      <c r="J8" s="33" t="s">
        <v>2791</v>
      </c>
      <c r="K8" s="33" t="s">
        <v>25</v>
      </c>
      <c r="L8" s="33" t="s">
        <v>2788</v>
      </c>
      <c r="M8" s="33" t="s">
        <v>472</v>
      </c>
      <c r="Q8" s="34">
        <v>1</v>
      </c>
    </row>
    <row r="9" spans="1:18" x14ac:dyDescent="0.25">
      <c r="B9" t="s">
        <v>1827</v>
      </c>
      <c r="C9" t="s">
        <v>2807</v>
      </c>
      <c r="D9" t="s">
        <v>2808</v>
      </c>
      <c r="E9" t="s">
        <v>2809</v>
      </c>
      <c r="F9" s="25">
        <v>6</v>
      </c>
      <c r="G9" s="25">
        <v>0</v>
      </c>
      <c r="H9" s="25">
        <v>25</v>
      </c>
      <c r="I9" s="25">
        <f>-H9</f>
        <v>-25</v>
      </c>
      <c r="J9" t="s">
        <v>2791</v>
      </c>
      <c r="K9" t="s">
        <v>25</v>
      </c>
      <c r="L9" t="s">
        <v>2788</v>
      </c>
      <c r="Q9" s="25">
        <v>1</v>
      </c>
      <c r="R9" s="25">
        <f>H9</f>
        <v>25</v>
      </c>
    </row>
    <row r="10" spans="1:18" x14ac:dyDescent="0.25">
      <c r="B10" t="s">
        <v>1827</v>
      </c>
      <c r="C10" t="s">
        <v>2827</v>
      </c>
      <c r="D10" t="s">
        <v>2828</v>
      </c>
      <c r="E10" t="s">
        <v>2829</v>
      </c>
      <c r="F10" t="s">
        <v>1853</v>
      </c>
      <c r="G10" s="25">
        <v>750</v>
      </c>
      <c r="H10" s="25">
        <v>30</v>
      </c>
      <c r="I10" s="25">
        <f>G10-H10</f>
        <v>720</v>
      </c>
      <c r="J10" t="s">
        <v>2791</v>
      </c>
      <c r="K10" t="s">
        <v>25</v>
      </c>
      <c r="L10" t="s">
        <v>2788</v>
      </c>
      <c r="Q10" s="25">
        <v>1</v>
      </c>
    </row>
    <row r="11" spans="1:18" x14ac:dyDescent="0.25">
      <c r="B11" t="s">
        <v>1827</v>
      </c>
      <c r="C11" t="s">
        <v>2836</v>
      </c>
      <c r="D11" t="s">
        <v>2837</v>
      </c>
      <c r="E11" t="s">
        <v>2838</v>
      </c>
      <c r="F11" s="25">
        <v>11</v>
      </c>
      <c r="G11" s="25">
        <v>715</v>
      </c>
      <c r="H11" s="25">
        <v>25</v>
      </c>
      <c r="I11" s="25">
        <f>G11-H11</f>
        <v>690</v>
      </c>
      <c r="J11" t="s">
        <v>2791</v>
      </c>
      <c r="K11" t="s">
        <v>25</v>
      </c>
      <c r="L11" t="s">
        <v>2788</v>
      </c>
      <c r="Q11" s="25">
        <v>1</v>
      </c>
    </row>
    <row r="12" spans="1:18" x14ac:dyDescent="0.25">
      <c r="B12" t="s">
        <v>1827</v>
      </c>
      <c r="C12" t="s">
        <v>2842</v>
      </c>
      <c r="D12" t="s">
        <v>2843</v>
      </c>
      <c r="E12" t="s">
        <v>2844</v>
      </c>
      <c r="F12" t="s">
        <v>1853</v>
      </c>
      <c r="G12" s="25">
        <v>0</v>
      </c>
      <c r="H12" s="25">
        <v>30</v>
      </c>
      <c r="I12" s="25">
        <f>-H12</f>
        <v>-30</v>
      </c>
      <c r="J12" t="s">
        <v>2791</v>
      </c>
      <c r="K12" t="s">
        <v>25</v>
      </c>
      <c r="L12" t="s">
        <v>2788</v>
      </c>
      <c r="Q12" s="25">
        <v>1</v>
      </c>
      <c r="R12" s="25">
        <f>H12</f>
        <v>30</v>
      </c>
    </row>
    <row r="13" spans="1:18" x14ac:dyDescent="0.25">
      <c r="B13" t="s">
        <v>1827</v>
      </c>
      <c r="C13" t="s">
        <v>2845</v>
      </c>
      <c r="D13" t="s">
        <v>2846</v>
      </c>
      <c r="E13" t="s">
        <v>2847</v>
      </c>
      <c r="F13" t="s">
        <v>1853</v>
      </c>
      <c r="G13" s="25">
        <v>0</v>
      </c>
      <c r="H13" s="25">
        <v>30</v>
      </c>
      <c r="I13" s="25">
        <f t="shared" ref="I13:I18" si="1">G13-H13</f>
        <v>-30</v>
      </c>
      <c r="J13" t="s">
        <v>2791</v>
      </c>
      <c r="K13" t="s">
        <v>25</v>
      </c>
      <c r="L13" t="s">
        <v>2788</v>
      </c>
      <c r="Q13" s="25">
        <v>1</v>
      </c>
      <c r="R13" s="25">
        <f>H13</f>
        <v>30</v>
      </c>
    </row>
    <row r="14" spans="1:18" x14ac:dyDescent="0.25">
      <c r="B14" t="s">
        <v>1827</v>
      </c>
      <c r="C14" t="s">
        <v>2853</v>
      </c>
      <c r="D14" t="s">
        <v>2854</v>
      </c>
      <c r="E14" t="s">
        <v>2855</v>
      </c>
      <c r="F14" s="25">
        <v>12</v>
      </c>
      <c r="G14" s="25">
        <v>700</v>
      </c>
      <c r="H14" s="25">
        <v>30</v>
      </c>
      <c r="I14" s="25">
        <f t="shared" si="1"/>
        <v>670</v>
      </c>
      <c r="J14" t="s">
        <v>2791</v>
      </c>
      <c r="K14" t="s">
        <v>25</v>
      </c>
      <c r="L14" t="s">
        <v>2788</v>
      </c>
      <c r="Q14" s="25">
        <v>1</v>
      </c>
    </row>
    <row r="15" spans="1:18" x14ac:dyDescent="0.25">
      <c r="B15" t="s">
        <v>1827</v>
      </c>
      <c r="C15" t="s">
        <v>2362</v>
      </c>
      <c r="D15" t="s">
        <v>2861</v>
      </c>
      <c r="E15" t="s">
        <v>2862</v>
      </c>
      <c r="F15" t="s">
        <v>1853</v>
      </c>
      <c r="G15" s="25">
        <v>670</v>
      </c>
      <c r="H15" s="25">
        <v>30</v>
      </c>
      <c r="I15" s="25">
        <f t="shared" si="1"/>
        <v>640</v>
      </c>
      <c r="J15" t="s">
        <v>2791</v>
      </c>
      <c r="K15" t="s">
        <v>25</v>
      </c>
      <c r="L15" t="s">
        <v>2788</v>
      </c>
      <c r="Q15" s="25">
        <v>1</v>
      </c>
    </row>
    <row r="16" spans="1:18" x14ac:dyDescent="0.25">
      <c r="B16" t="s">
        <v>1827</v>
      </c>
      <c r="C16" t="s">
        <v>2876</v>
      </c>
      <c r="D16" t="s">
        <v>2877</v>
      </c>
      <c r="E16" t="s">
        <v>2878</v>
      </c>
      <c r="F16" s="25">
        <v>7</v>
      </c>
      <c r="G16" s="25">
        <v>750</v>
      </c>
      <c r="H16" s="25">
        <v>30</v>
      </c>
      <c r="I16" s="25">
        <f t="shared" si="1"/>
        <v>720</v>
      </c>
      <c r="J16" t="s">
        <v>2791</v>
      </c>
      <c r="K16" t="s">
        <v>25</v>
      </c>
      <c r="L16" t="s">
        <v>2788</v>
      </c>
      <c r="Q16" s="25">
        <v>1</v>
      </c>
    </row>
    <row r="17" spans="1:18" x14ac:dyDescent="0.25">
      <c r="B17" t="s">
        <v>1827</v>
      </c>
      <c r="C17" t="s">
        <v>2888</v>
      </c>
      <c r="D17" t="s">
        <v>2889</v>
      </c>
      <c r="E17" t="s">
        <v>2890</v>
      </c>
      <c r="F17" t="s">
        <v>1853</v>
      </c>
      <c r="G17" s="25">
        <v>1660</v>
      </c>
      <c r="H17" s="25">
        <v>30</v>
      </c>
      <c r="I17" s="25">
        <f t="shared" si="1"/>
        <v>1630</v>
      </c>
      <c r="J17" t="s">
        <v>2791</v>
      </c>
      <c r="K17" t="s">
        <v>25</v>
      </c>
      <c r="L17" t="s">
        <v>2788</v>
      </c>
      <c r="Q17" s="25">
        <v>1</v>
      </c>
    </row>
    <row r="18" spans="1:18" x14ac:dyDescent="0.25">
      <c r="B18" t="s">
        <v>1827</v>
      </c>
      <c r="C18" t="s">
        <v>2897</v>
      </c>
      <c r="D18" t="s">
        <v>2898</v>
      </c>
      <c r="E18" t="s">
        <v>2899</v>
      </c>
      <c r="F18" s="25">
        <v>11</v>
      </c>
      <c r="G18" s="25">
        <v>915</v>
      </c>
      <c r="H18" s="25">
        <v>25</v>
      </c>
      <c r="I18" s="25">
        <f t="shared" si="1"/>
        <v>890</v>
      </c>
      <c r="J18" t="s">
        <v>2791</v>
      </c>
      <c r="K18" t="s">
        <v>25</v>
      </c>
      <c r="L18" t="s">
        <v>2788</v>
      </c>
      <c r="Q18" s="25">
        <v>1</v>
      </c>
    </row>
    <row r="19" spans="1:18" x14ac:dyDescent="0.25">
      <c r="B19" t="s">
        <v>1827</v>
      </c>
      <c r="C19" t="s">
        <v>2912</v>
      </c>
      <c r="D19" t="s">
        <v>2913</v>
      </c>
      <c r="E19" t="s">
        <v>2914</v>
      </c>
      <c r="F19" s="25">
        <v>7</v>
      </c>
      <c r="G19" s="25">
        <v>0</v>
      </c>
      <c r="H19" s="25">
        <v>30</v>
      </c>
      <c r="I19" s="25">
        <f>-H19</f>
        <v>-30</v>
      </c>
      <c r="J19" t="s">
        <v>2791</v>
      </c>
      <c r="K19" t="s">
        <v>25</v>
      </c>
      <c r="L19" t="s">
        <v>2788</v>
      </c>
      <c r="Q19" s="25">
        <v>1</v>
      </c>
      <c r="R19" s="25">
        <f>H19</f>
        <v>30</v>
      </c>
    </row>
    <row r="20" spans="1:18" x14ac:dyDescent="0.25">
      <c r="B20" t="s">
        <v>1827</v>
      </c>
      <c r="C20" t="s">
        <v>2915</v>
      </c>
      <c r="D20" t="s">
        <v>2916</v>
      </c>
      <c r="E20" t="s">
        <v>2917</v>
      </c>
      <c r="F20" s="25">
        <v>12</v>
      </c>
      <c r="G20" s="25">
        <v>740</v>
      </c>
      <c r="H20" s="25">
        <v>30</v>
      </c>
      <c r="I20" s="25">
        <f>G20-H20</f>
        <v>710</v>
      </c>
      <c r="J20" t="s">
        <v>2791</v>
      </c>
      <c r="K20" t="s">
        <v>25</v>
      </c>
      <c r="L20" t="s">
        <v>2788</v>
      </c>
      <c r="Q20" s="25">
        <v>1</v>
      </c>
    </row>
    <row r="21" spans="1:18" x14ac:dyDescent="0.25">
      <c r="B21" t="s">
        <v>1827</v>
      </c>
      <c r="C21" t="s">
        <v>2918</v>
      </c>
      <c r="D21" t="s">
        <v>2919</v>
      </c>
      <c r="E21" t="s">
        <v>2920</v>
      </c>
      <c r="F21" t="s">
        <v>1853</v>
      </c>
      <c r="G21" s="25">
        <v>750</v>
      </c>
      <c r="H21" s="25">
        <v>30</v>
      </c>
      <c r="I21" s="25">
        <f>G21-H21</f>
        <v>720</v>
      </c>
      <c r="J21" t="s">
        <v>2791</v>
      </c>
      <c r="K21" t="s">
        <v>25</v>
      </c>
      <c r="L21" t="s">
        <v>2788</v>
      </c>
      <c r="Q21" s="25">
        <v>1</v>
      </c>
    </row>
    <row r="22" spans="1:18" x14ac:dyDescent="0.25">
      <c r="B22" t="s">
        <v>1827</v>
      </c>
      <c r="C22" t="s">
        <v>1907</v>
      </c>
      <c r="D22" t="s">
        <v>2924</v>
      </c>
      <c r="E22" t="s">
        <v>2925</v>
      </c>
      <c r="F22" s="25">
        <v>12</v>
      </c>
      <c r="G22" s="25">
        <v>0</v>
      </c>
      <c r="H22" s="25">
        <v>30</v>
      </c>
      <c r="I22" s="25">
        <f>-H22</f>
        <v>-30</v>
      </c>
      <c r="J22" t="s">
        <v>2791</v>
      </c>
      <c r="K22" t="s">
        <v>25</v>
      </c>
      <c r="L22" t="s">
        <v>2788</v>
      </c>
      <c r="Q22" s="25">
        <v>1</v>
      </c>
      <c r="R22" s="25">
        <f>H22</f>
        <v>30</v>
      </c>
    </row>
    <row r="23" spans="1:18" x14ac:dyDescent="0.25">
      <c r="B23" t="s">
        <v>1827</v>
      </c>
      <c r="C23" t="s">
        <v>2929</v>
      </c>
      <c r="D23" t="s">
        <v>2930</v>
      </c>
      <c r="E23" t="s">
        <v>2931</v>
      </c>
      <c r="F23" s="25">
        <v>12</v>
      </c>
      <c r="G23" s="25">
        <v>850</v>
      </c>
      <c r="H23" s="25">
        <v>30</v>
      </c>
      <c r="I23" s="25">
        <f>G23-H23</f>
        <v>820</v>
      </c>
      <c r="J23" t="s">
        <v>2791</v>
      </c>
      <c r="K23" t="s">
        <v>25</v>
      </c>
      <c r="L23" t="s">
        <v>2788</v>
      </c>
      <c r="Q23" s="25">
        <v>1</v>
      </c>
    </row>
    <row r="24" spans="1:18" x14ac:dyDescent="0.25">
      <c r="B24" t="s">
        <v>1827</v>
      </c>
      <c r="C24" t="s">
        <v>2935</v>
      </c>
      <c r="D24" t="s">
        <v>2936</v>
      </c>
      <c r="E24" t="s">
        <v>2937</v>
      </c>
      <c r="F24" s="25">
        <v>2</v>
      </c>
      <c r="G24" s="25">
        <v>700</v>
      </c>
      <c r="H24" s="25">
        <v>30</v>
      </c>
      <c r="I24" s="25">
        <f>G24-H24</f>
        <v>670</v>
      </c>
      <c r="J24" t="s">
        <v>2791</v>
      </c>
      <c r="K24" t="s">
        <v>25</v>
      </c>
      <c r="L24" t="s">
        <v>2788</v>
      </c>
      <c r="Q24" s="25">
        <v>1</v>
      </c>
    </row>
    <row r="25" spans="1:18" x14ac:dyDescent="0.25">
      <c r="B25" t="s">
        <v>1827</v>
      </c>
      <c r="C25" t="s">
        <v>2138</v>
      </c>
      <c r="D25" t="s">
        <v>2943</v>
      </c>
      <c r="E25" t="s">
        <v>2944</v>
      </c>
      <c r="F25" t="s">
        <v>444</v>
      </c>
      <c r="G25" s="25">
        <v>925</v>
      </c>
      <c r="H25" s="25">
        <v>35</v>
      </c>
      <c r="I25" s="25">
        <f>G25-H25</f>
        <v>890</v>
      </c>
      <c r="J25" t="s">
        <v>2791</v>
      </c>
      <c r="K25" t="s">
        <v>25</v>
      </c>
      <c r="L25" t="s">
        <v>2788</v>
      </c>
      <c r="Q25" s="25">
        <v>1</v>
      </c>
    </row>
    <row r="26" spans="1:18" x14ac:dyDescent="0.25">
      <c r="B26" t="s">
        <v>1827</v>
      </c>
      <c r="C26" t="s">
        <v>2945</v>
      </c>
      <c r="D26" t="s">
        <v>2946</v>
      </c>
      <c r="E26" t="s">
        <v>2947</v>
      </c>
      <c r="F26" s="25">
        <v>8</v>
      </c>
      <c r="G26" s="25">
        <v>700</v>
      </c>
      <c r="H26" s="25">
        <v>30</v>
      </c>
      <c r="I26" s="25">
        <f>G26-H26</f>
        <v>670</v>
      </c>
      <c r="J26" t="s">
        <v>2791</v>
      </c>
      <c r="K26" t="s">
        <v>25</v>
      </c>
      <c r="L26" t="s">
        <v>2788</v>
      </c>
      <c r="Q26" s="25">
        <v>1</v>
      </c>
    </row>
    <row r="27" spans="1:18" x14ac:dyDescent="0.25">
      <c r="B27" t="s">
        <v>1827</v>
      </c>
      <c r="C27" t="s">
        <v>2952</v>
      </c>
      <c r="D27" t="s">
        <v>2953</v>
      </c>
      <c r="E27" t="s">
        <v>2954</v>
      </c>
      <c r="F27" s="25">
        <v>7</v>
      </c>
      <c r="G27" s="25">
        <v>0</v>
      </c>
      <c r="H27" s="25">
        <v>30</v>
      </c>
      <c r="I27" s="25">
        <f>-H27</f>
        <v>-30</v>
      </c>
      <c r="J27" t="s">
        <v>2791</v>
      </c>
      <c r="K27" t="s">
        <v>25</v>
      </c>
      <c r="L27" t="s">
        <v>2788</v>
      </c>
      <c r="Q27" s="25">
        <v>1</v>
      </c>
      <c r="R27" s="25">
        <f>H27</f>
        <v>30</v>
      </c>
    </row>
    <row r="28" spans="1:18" x14ac:dyDescent="0.25">
      <c r="A28" t="s">
        <v>1833</v>
      </c>
      <c r="B28" t="s">
        <v>1827</v>
      </c>
      <c r="C28" t="s">
        <v>2015</v>
      </c>
      <c r="E28" t="s">
        <v>2016</v>
      </c>
      <c r="F28" t="s">
        <v>98</v>
      </c>
      <c r="G28" s="25">
        <v>30</v>
      </c>
      <c r="H28" s="25">
        <v>30</v>
      </c>
      <c r="I28" s="25">
        <f>G28-H28</f>
        <v>0</v>
      </c>
      <c r="J28" t="s">
        <v>25</v>
      </c>
      <c r="K28" t="s">
        <v>25</v>
      </c>
      <c r="L28" t="s">
        <v>2788</v>
      </c>
      <c r="Q28" s="25">
        <v>1</v>
      </c>
    </row>
    <row r="29" spans="1:18" x14ac:dyDescent="0.25">
      <c r="A29" t="s">
        <v>1833</v>
      </c>
      <c r="B29" t="s">
        <v>1827</v>
      </c>
      <c r="C29" t="s">
        <v>2789</v>
      </c>
      <c r="E29" t="s">
        <v>2790</v>
      </c>
      <c r="F29" t="s">
        <v>58</v>
      </c>
      <c r="G29" s="25">
        <v>955</v>
      </c>
      <c r="H29" s="25">
        <v>25</v>
      </c>
      <c r="I29" s="25">
        <f>G29-H29</f>
        <v>930</v>
      </c>
      <c r="J29" t="s">
        <v>25</v>
      </c>
      <c r="K29" t="s">
        <v>25</v>
      </c>
      <c r="L29" t="s">
        <v>2788</v>
      </c>
      <c r="Q29" s="25">
        <v>1</v>
      </c>
    </row>
    <row r="30" spans="1:18" x14ac:dyDescent="0.25">
      <c r="B30" t="s">
        <v>1827</v>
      </c>
      <c r="C30" t="s">
        <v>2800</v>
      </c>
      <c r="D30" t="s">
        <v>2801</v>
      </c>
      <c r="E30" t="s">
        <v>2802</v>
      </c>
      <c r="F30" s="25">
        <v>2</v>
      </c>
      <c r="G30" s="25">
        <v>720</v>
      </c>
      <c r="H30" s="25">
        <v>30</v>
      </c>
      <c r="I30" s="25">
        <f>G30-H30</f>
        <v>690</v>
      </c>
      <c r="J30" t="s">
        <v>25</v>
      </c>
      <c r="K30" t="s">
        <v>25</v>
      </c>
      <c r="L30" t="s">
        <v>2788</v>
      </c>
      <c r="Q30" s="25">
        <v>1</v>
      </c>
    </row>
    <row r="31" spans="1:18" x14ac:dyDescent="0.25">
      <c r="B31" t="s">
        <v>1827</v>
      </c>
      <c r="C31" t="s">
        <v>2810</v>
      </c>
      <c r="D31" t="s">
        <v>2811</v>
      </c>
      <c r="E31" t="s">
        <v>2812</v>
      </c>
      <c r="F31" t="s">
        <v>103</v>
      </c>
      <c r="G31" s="25">
        <v>760</v>
      </c>
      <c r="H31" s="25">
        <v>30</v>
      </c>
      <c r="I31" s="25">
        <f>G31-H31</f>
        <v>730</v>
      </c>
      <c r="J31" t="s">
        <v>25</v>
      </c>
      <c r="K31" t="s">
        <v>25</v>
      </c>
      <c r="L31" t="s">
        <v>2788</v>
      </c>
      <c r="Q31" s="25">
        <v>1</v>
      </c>
    </row>
    <row r="32" spans="1:18" x14ac:dyDescent="0.25">
      <c r="B32" t="s">
        <v>1827</v>
      </c>
      <c r="C32" t="s">
        <v>2819</v>
      </c>
      <c r="D32" t="s">
        <v>2820</v>
      </c>
      <c r="E32" t="s">
        <v>2304</v>
      </c>
      <c r="F32" t="s">
        <v>70</v>
      </c>
      <c r="G32" s="25">
        <v>745</v>
      </c>
      <c r="H32" s="25">
        <v>25</v>
      </c>
      <c r="I32" s="25">
        <f>G32-H32</f>
        <v>720</v>
      </c>
      <c r="J32" t="s">
        <v>25</v>
      </c>
      <c r="K32" t="s">
        <v>25</v>
      </c>
      <c r="L32" t="s">
        <v>2788</v>
      </c>
      <c r="Q32" s="25">
        <v>1</v>
      </c>
    </row>
    <row r="33" spans="1:18" x14ac:dyDescent="0.25">
      <c r="B33" t="s">
        <v>1827</v>
      </c>
      <c r="C33" t="s">
        <v>2821</v>
      </c>
      <c r="D33" t="s">
        <v>2822</v>
      </c>
      <c r="E33" t="s">
        <v>2823</v>
      </c>
      <c r="F33" s="25">
        <v>2</v>
      </c>
      <c r="G33" s="25">
        <v>0</v>
      </c>
      <c r="H33" s="25">
        <v>30</v>
      </c>
      <c r="I33" s="25">
        <f>-H33</f>
        <v>-30</v>
      </c>
      <c r="J33" t="s">
        <v>25</v>
      </c>
      <c r="K33" t="s">
        <v>25</v>
      </c>
      <c r="L33" t="s">
        <v>2788</v>
      </c>
      <c r="Q33" s="25">
        <v>1</v>
      </c>
      <c r="R33" s="25">
        <f t="shared" ref="R33:R34" si="2">H33</f>
        <v>30</v>
      </c>
    </row>
    <row r="34" spans="1:18" x14ac:dyDescent="0.25">
      <c r="B34" t="s">
        <v>1827</v>
      </c>
      <c r="C34" t="s">
        <v>2833</v>
      </c>
      <c r="D34" t="s">
        <v>2834</v>
      </c>
      <c r="E34" t="s">
        <v>2835</v>
      </c>
      <c r="F34" s="25">
        <v>2</v>
      </c>
      <c r="G34" s="25">
        <v>0</v>
      </c>
      <c r="H34" s="25">
        <v>30</v>
      </c>
      <c r="I34" s="25">
        <f>-H34</f>
        <v>-30</v>
      </c>
      <c r="J34" t="s">
        <v>25</v>
      </c>
      <c r="K34" t="s">
        <v>25</v>
      </c>
      <c r="L34" t="s">
        <v>2788</v>
      </c>
      <c r="Q34" s="25">
        <v>1</v>
      </c>
      <c r="R34" s="25">
        <f t="shared" si="2"/>
        <v>30</v>
      </c>
    </row>
    <row r="35" spans="1:18" x14ac:dyDescent="0.25">
      <c r="B35" t="s">
        <v>1827</v>
      </c>
      <c r="C35" t="s">
        <v>2679</v>
      </c>
      <c r="D35" t="s">
        <v>2848</v>
      </c>
      <c r="E35" t="s">
        <v>2849</v>
      </c>
      <c r="F35" t="s">
        <v>98</v>
      </c>
      <c r="G35" s="25">
        <v>2080</v>
      </c>
      <c r="H35" s="25">
        <v>30</v>
      </c>
      <c r="I35" s="25">
        <f>G35-H35</f>
        <v>2050</v>
      </c>
      <c r="J35" t="s">
        <v>25</v>
      </c>
      <c r="K35" t="s">
        <v>25</v>
      </c>
      <c r="L35" t="s">
        <v>2788</v>
      </c>
      <c r="M35" s="51" t="s">
        <v>2403</v>
      </c>
      <c r="Q35" s="25">
        <v>1</v>
      </c>
      <c r="R35" s="25">
        <f>H35</f>
        <v>30</v>
      </c>
    </row>
    <row r="36" spans="1:18" x14ac:dyDescent="0.25">
      <c r="B36" t="s">
        <v>1827</v>
      </c>
      <c r="C36" t="s">
        <v>2850</v>
      </c>
      <c r="D36" t="s">
        <v>2851</v>
      </c>
      <c r="E36" t="s">
        <v>2852</v>
      </c>
      <c r="F36" t="s">
        <v>103</v>
      </c>
      <c r="G36" s="25">
        <v>0</v>
      </c>
      <c r="H36" s="25">
        <v>30</v>
      </c>
      <c r="I36" s="25">
        <f>-H36</f>
        <v>-30</v>
      </c>
      <c r="J36" t="s">
        <v>25</v>
      </c>
      <c r="K36" t="s">
        <v>25</v>
      </c>
      <c r="L36" t="s">
        <v>2788</v>
      </c>
      <c r="Q36" s="25">
        <v>1</v>
      </c>
      <c r="R36" s="25">
        <f>H36</f>
        <v>30</v>
      </c>
    </row>
    <row r="37" spans="1:18" x14ac:dyDescent="0.25">
      <c r="B37" t="s">
        <v>1827</v>
      </c>
      <c r="C37" t="s">
        <v>2879</v>
      </c>
      <c r="D37" t="s">
        <v>2880</v>
      </c>
      <c r="E37" t="s">
        <v>2881</v>
      </c>
      <c r="F37" t="s">
        <v>70</v>
      </c>
      <c r="G37" s="25">
        <v>795</v>
      </c>
      <c r="H37" s="25">
        <v>25</v>
      </c>
      <c r="I37" s="25">
        <f>G37-H37</f>
        <v>770</v>
      </c>
      <c r="J37" t="s">
        <v>25</v>
      </c>
      <c r="K37" t="s">
        <v>25</v>
      </c>
      <c r="L37" t="s">
        <v>2788</v>
      </c>
      <c r="Q37" s="25">
        <v>1</v>
      </c>
    </row>
    <row r="38" spans="1:18" x14ac:dyDescent="0.25">
      <c r="B38" t="s">
        <v>1827</v>
      </c>
      <c r="C38" t="s">
        <v>2903</v>
      </c>
      <c r="D38" t="s">
        <v>2904</v>
      </c>
      <c r="E38" t="s">
        <v>2905</v>
      </c>
      <c r="F38" t="s">
        <v>103</v>
      </c>
      <c r="G38" s="25">
        <v>820</v>
      </c>
      <c r="H38" s="25">
        <v>30</v>
      </c>
      <c r="I38" s="25">
        <f>G38-H38</f>
        <v>790</v>
      </c>
      <c r="J38" t="s">
        <v>25</v>
      </c>
      <c r="K38" t="s">
        <v>25</v>
      </c>
      <c r="L38" t="s">
        <v>2788</v>
      </c>
      <c r="Q38" s="25">
        <v>1</v>
      </c>
    </row>
    <row r="39" spans="1:18" x14ac:dyDescent="0.25">
      <c r="B39" t="s">
        <v>1827</v>
      </c>
      <c r="C39" t="s">
        <v>2929</v>
      </c>
      <c r="D39" t="s">
        <v>2941</v>
      </c>
      <c r="E39" t="s">
        <v>2942</v>
      </c>
      <c r="F39" s="25">
        <v>2</v>
      </c>
      <c r="G39" s="25">
        <v>920</v>
      </c>
      <c r="H39" s="25">
        <v>30</v>
      </c>
      <c r="I39" s="25">
        <f>G39-H39</f>
        <v>890</v>
      </c>
      <c r="J39" t="s">
        <v>25</v>
      </c>
      <c r="K39" t="s">
        <v>25</v>
      </c>
      <c r="L39" t="s">
        <v>2788</v>
      </c>
      <c r="Q39" s="25">
        <v>1</v>
      </c>
    </row>
    <row r="40" spans="1:18" x14ac:dyDescent="0.25">
      <c r="B40" t="s">
        <v>1827</v>
      </c>
      <c r="C40" t="s">
        <v>2948</v>
      </c>
      <c r="D40" t="s">
        <v>2949</v>
      </c>
      <c r="E40" t="s">
        <v>2950</v>
      </c>
      <c r="F40" t="s">
        <v>58</v>
      </c>
      <c r="G40" s="25">
        <v>690</v>
      </c>
      <c r="H40" s="25">
        <v>20</v>
      </c>
      <c r="I40" s="25">
        <f>G40-H40</f>
        <v>670</v>
      </c>
      <c r="J40" t="s">
        <v>25</v>
      </c>
      <c r="K40" t="s">
        <v>25</v>
      </c>
      <c r="L40" t="s">
        <v>2788</v>
      </c>
      <c r="Q40" s="25">
        <v>1</v>
      </c>
    </row>
    <row r="41" spans="1:18" x14ac:dyDescent="0.25">
      <c r="B41" t="s">
        <v>1827</v>
      </c>
      <c r="C41" t="s">
        <v>1869</v>
      </c>
      <c r="D41" t="s">
        <v>2951</v>
      </c>
      <c r="E41" t="s">
        <v>1871</v>
      </c>
      <c r="F41" t="s">
        <v>58</v>
      </c>
      <c r="G41" s="25">
        <v>0</v>
      </c>
      <c r="H41" s="25">
        <v>20</v>
      </c>
      <c r="I41" s="25">
        <f>-H41</f>
        <v>-20</v>
      </c>
      <c r="J41" t="s">
        <v>25</v>
      </c>
      <c r="K41" t="s">
        <v>25</v>
      </c>
      <c r="L41" t="s">
        <v>2788</v>
      </c>
      <c r="Q41" s="25">
        <v>1</v>
      </c>
      <c r="R41" s="25">
        <f>H41</f>
        <v>20</v>
      </c>
    </row>
    <row r="42" spans="1:18" x14ac:dyDescent="0.25">
      <c r="A42" t="s">
        <v>1833</v>
      </c>
      <c r="B42" t="s">
        <v>1827</v>
      </c>
      <c r="C42" t="s">
        <v>2036</v>
      </c>
      <c r="E42" t="s">
        <v>2037</v>
      </c>
      <c r="F42" s="25">
        <v>4</v>
      </c>
      <c r="G42" s="25">
        <v>30</v>
      </c>
      <c r="H42" s="25">
        <v>30</v>
      </c>
      <c r="I42" s="25">
        <f t="shared" ref="I42:I48" si="3">G42-H42</f>
        <v>0</v>
      </c>
      <c r="J42" t="s">
        <v>1884</v>
      </c>
      <c r="K42" t="s">
        <v>25</v>
      </c>
      <c r="L42" t="s">
        <v>2788</v>
      </c>
      <c r="Q42" s="25">
        <v>1</v>
      </c>
    </row>
    <row r="43" spans="1:18" x14ac:dyDescent="0.25">
      <c r="B43" t="s">
        <v>1827</v>
      </c>
      <c r="C43" t="s">
        <v>2794</v>
      </c>
      <c r="D43" t="s">
        <v>2795</v>
      </c>
      <c r="E43" t="s">
        <v>2796</v>
      </c>
      <c r="F43" t="s">
        <v>98</v>
      </c>
      <c r="G43" s="25">
        <v>845</v>
      </c>
      <c r="H43" s="25">
        <v>25</v>
      </c>
      <c r="I43" s="25">
        <f t="shared" si="3"/>
        <v>820</v>
      </c>
      <c r="J43" t="s">
        <v>1884</v>
      </c>
      <c r="K43" t="s">
        <v>25</v>
      </c>
      <c r="L43" t="s">
        <v>2788</v>
      </c>
      <c r="Q43" s="25">
        <v>1</v>
      </c>
    </row>
    <row r="44" spans="1:18" x14ac:dyDescent="0.25">
      <c r="B44" t="s">
        <v>1827</v>
      </c>
      <c r="C44" t="s">
        <v>2804</v>
      </c>
      <c r="D44" t="s">
        <v>2805</v>
      </c>
      <c r="E44" t="s">
        <v>2806</v>
      </c>
      <c r="F44" s="25">
        <v>4</v>
      </c>
      <c r="G44" s="25">
        <v>745</v>
      </c>
      <c r="H44" s="25">
        <v>25</v>
      </c>
      <c r="I44" s="25">
        <f t="shared" si="3"/>
        <v>720</v>
      </c>
      <c r="J44" t="s">
        <v>1884</v>
      </c>
      <c r="K44" t="s">
        <v>25</v>
      </c>
      <c r="L44" t="s">
        <v>2788</v>
      </c>
      <c r="Q44" s="25">
        <v>1</v>
      </c>
    </row>
    <row r="45" spans="1:18" x14ac:dyDescent="0.25">
      <c r="B45" t="s">
        <v>1827</v>
      </c>
      <c r="C45" t="s">
        <v>2813</v>
      </c>
      <c r="D45" t="s">
        <v>2814</v>
      </c>
      <c r="E45" t="s">
        <v>2815</v>
      </c>
      <c r="F45" s="25">
        <v>1</v>
      </c>
      <c r="G45" s="25">
        <v>765</v>
      </c>
      <c r="H45" s="25">
        <v>25</v>
      </c>
      <c r="I45" s="25">
        <f t="shared" si="3"/>
        <v>740</v>
      </c>
      <c r="J45" t="s">
        <v>1884</v>
      </c>
      <c r="K45" t="s">
        <v>25</v>
      </c>
      <c r="L45" t="s">
        <v>2788</v>
      </c>
      <c r="Q45" s="25">
        <v>1</v>
      </c>
    </row>
    <row r="46" spans="1:18" x14ac:dyDescent="0.25">
      <c r="B46" t="s">
        <v>1827</v>
      </c>
      <c r="C46" t="s">
        <v>2816</v>
      </c>
      <c r="D46" t="s">
        <v>2817</v>
      </c>
      <c r="E46" t="s">
        <v>2818</v>
      </c>
      <c r="F46" s="25">
        <v>4</v>
      </c>
      <c r="G46" s="25">
        <v>695</v>
      </c>
      <c r="H46" s="25">
        <v>25</v>
      </c>
      <c r="I46" s="25">
        <f t="shared" si="3"/>
        <v>670</v>
      </c>
      <c r="J46" t="s">
        <v>1884</v>
      </c>
      <c r="K46" t="s">
        <v>25</v>
      </c>
      <c r="L46" t="s">
        <v>2788</v>
      </c>
      <c r="Q46" s="25">
        <v>1</v>
      </c>
    </row>
    <row r="47" spans="1:18" x14ac:dyDescent="0.25">
      <c r="B47" t="s">
        <v>1827</v>
      </c>
      <c r="C47" t="s">
        <v>2824</v>
      </c>
      <c r="D47" t="s">
        <v>2825</v>
      </c>
      <c r="E47" t="s">
        <v>2826</v>
      </c>
      <c r="F47" s="25">
        <v>4</v>
      </c>
      <c r="G47" s="25">
        <v>895</v>
      </c>
      <c r="H47" s="25">
        <v>25</v>
      </c>
      <c r="I47" s="25">
        <f t="shared" si="3"/>
        <v>870</v>
      </c>
      <c r="J47" t="s">
        <v>1884</v>
      </c>
      <c r="K47" t="s">
        <v>25</v>
      </c>
      <c r="L47" t="s">
        <v>2788</v>
      </c>
      <c r="Q47" s="25">
        <v>1</v>
      </c>
    </row>
    <row r="48" spans="1:18" x14ac:dyDescent="0.25">
      <c r="B48" t="s">
        <v>1827</v>
      </c>
      <c r="C48" t="s">
        <v>2830</v>
      </c>
      <c r="D48" t="s">
        <v>2831</v>
      </c>
      <c r="E48" t="s">
        <v>2832</v>
      </c>
      <c r="F48" t="s">
        <v>98</v>
      </c>
      <c r="G48" s="25">
        <v>745</v>
      </c>
      <c r="H48" s="25">
        <v>25</v>
      </c>
      <c r="I48" s="25">
        <f t="shared" si="3"/>
        <v>720</v>
      </c>
      <c r="J48" t="s">
        <v>1884</v>
      </c>
      <c r="K48" t="s">
        <v>25</v>
      </c>
      <c r="L48" t="s">
        <v>2788</v>
      </c>
      <c r="Q48" s="25">
        <v>1</v>
      </c>
    </row>
    <row r="49" spans="2:18" x14ac:dyDescent="0.25">
      <c r="B49" t="s">
        <v>1827</v>
      </c>
      <c r="C49" t="s">
        <v>2839</v>
      </c>
      <c r="D49" t="s">
        <v>2840</v>
      </c>
      <c r="E49" t="s">
        <v>2841</v>
      </c>
      <c r="F49" s="25">
        <v>1</v>
      </c>
      <c r="G49" s="25">
        <v>0</v>
      </c>
      <c r="H49" s="25">
        <v>25</v>
      </c>
      <c r="I49" s="25">
        <f>-H49</f>
        <v>-25</v>
      </c>
      <c r="J49" t="s">
        <v>1884</v>
      </c>
      <c r="K49" t="s">
        <v>25</v>
      </c>
      <c r="L49" t="s">
        <v>2788</v>
      </c>
      <c r="Q49" s="25">
        <v>1</v>
      </c>
      <c r="R49" s="25">
        <f>H49</f>
        <v>25</v>
      </c>
    </row>
    <row r="50" spans="2:18" x14ac:dyDescent="0.25">
      <c r="B50" t="s">
        <v>1827</v>
      </c>
      <c r="C50" t="s">
        <v>2856</v>
      </c>
      <c r="D50" t="s">
        <v>2857</v>
      </c>
      <c r="E50" t="s">
        <v>2683</v>
      </c>
      <c r="F50" t="s">
        <v>98</v>
      </c>
      <c r="G50" s="25">
        <v>405</v>
      </c>
      <c r="H50" s="25">
        <v>25</v>
      </c>
      <c r="I50" s="25">
        <f>G50-H50</f>
        <v>380</v>
      </c>
      <c r="J50" t="s">
        <v>1884</v>
      </c>
      <c r="K50" t="s">
        <v>25</v>
      </c>
      <c r="L50" t="s">
        <v>2788</v>
      </c>
      <c r="Q50" s="25">
        <v>1</v>
      </c>
    </row>
    <row r="51" spans="2:18" x14ac:dyDescent="0.25">
      <c r="B51" t="s">
        <v>1827</v>
      </c>
      <c r="C51" t="s">
        <v>2858</v>
      </c>
      <c r="D51" t="s">
        <v>2859</v>
      </c>
      <c r="E51" t="s">
        <v>2860</v>
      </c>
      <c r="F51" t="s">
        <v>98</v>
      </c>
      <c r="G51" s="25">
        <v>0</v>
      </c>
      <c r="H51" s="25">
        <v>25</v>
      </c>
      <c r="I51" s="25">
        <f>-H51</f>
        <v>-25</v>
      </c>
      <c r="J51" t="s">
        <v>1884</v>
      </c>
      <c r="K51" t="s">
        <v>25</v>
      </c>
      <c r="L51" t="s">
        <v>2788</v>
      </c>
      <c r="Q51" s="25">
        <v>1</v>
      </c>
      <c r="R51" s="25">
        <f>H51</f>
        <v>25</v>
      </c>
    </row>
    <row r="52" spans="2:18" x14ac:dyDescent="0.25">
      <c r="B52" t="s">
        <v>1827</v>
      </c>
      <c r="C52" t="s">
        <v>2863</v>
      </c>
      <c r="D52" t="s">
        <v>2864</v>
      </c>
      <c r="E52" t="s">
        <v>2865</v>
      </c>
      <c r="F52" t="s">
        <v>98</v>
      </c>
      <c r="G52" s="25">
        <v>695</v>
      </c>
      <c r="H52" s="25">
        <v>25</v>
      </c>
      <c r="I52" s="25">
        <f>G52-H52</f>
        <v>670</v>
      </c>
      <c r="J52" t="s">
        <v>1884</v>
      </c>
      <c r="K52" t="s">
        <v>25</v>
      </c>
      <c r="L52" t="s">
        <v>2788</v>
      </c>
      <c r="Q52" s="25">
        <v>1</v>
      </c>
    </row>
    <row r="53" spans="2:18" x14ac:dyDescent="0.25">
      <c r="B53" t="s">
        <v>1827</v>
      </c>
      <c r="C53" t="s">
        <v>2866</v>
      </c>
      <c r="D53" t="s">
        <v>2867</v>
      </c>
      <c r="E53" t="s">
        <v>2868</v>
      </c>
      <c r="F53" t="s">
        <v>151</v>
      </c>
      <c r="G53" s="25">
        <v>370</v>
      </c>
      <c r="H53" s="25">
        <v>20</v>
      </c>
      <c r="I53" s="25">
        <f>G53-H53</f>
        <v>350</v>
      </c>
      <c r="J53" t="s">
        <v>1884</v>
      </c>
      <c r="K53" t="s">
        <v>25</v>
      </c>
      <c r="L53" t="s">
        <v>2788</v>
      </c>
      <c r="Q53" s="25">
        <v>1</v>
      </c>
    </row>
    <row r="54" spans="2:18" x14ac:dyDescent="0.25">
      <c r="B54" t="s">
        <v>1827</v>
      </c>
      <c r="C54" t="s">
        <v>2872</v>
      </c>
      <c r="D54" t="s">
        <v>2873</v>
      </c>
      <c r="E54" t="s">
        <v>2874</v>
      </c>
      <c r="F54" s="25">
        <v>1</v>
      </c>
      <c r="G54" s="25">
        <v>405</v>
      </c>
      <c r="H54" s="25">
        <v>25</v>
      </c>
      <c r="I54" s="25">
        <f>G54-H54</f>
        <v>380</v>
      </c>
      <c r="J54" t="s">
        <v>1884</v>
      </c>
      <c r="K54" t="s">
        <v>25</v>
      </c>
      <c r="L54" t="s">
        <v>2788</v>
      </c>
      <c r="Q54" s="25">
        <v>1</v>
      </c>
    </row>
    <row r="55" spans="2:18" x14ac:dyDescent="0.25">
      <c r="B55" t="s">
        <v>1827</v>
      </c>
      <c r="C55" t="s">
        <v>1990</v>
      </c>
      <c r="D55" t="s">
        <v>2875</v>
      </c>
      <c r="E55" t="s">
        <v>1992</v>
      </c>
      <c r="F55" t="s">
        <v>98</v>
      </c>
      <c r="G55" s="25">
        <v>0</v>
      </c>
      <c r="H55" s="25">
        <v>25</v>
      </c>
      <c r="I55" s="25">
        <f>-H55</f>
        <v>-25</v>
      </c>
      <c r="J55" t="s">
        <v>1884</v>
      </c>
      <c r="K55" t="s">
        <v>25</v>
      </c>
      <c r="L55" t="s">
        <v>2788</v>
      </c>
      <c r="Q55" s="25">
        <v>1</v>
      </c>
      <c r="R55" s="25">
        <f>H55</f>
        <v>25</v>
      </c>
    </row>
    <row r="56" spans="2:18" x14ac:dyDescent="0.25">
      <c r="B56" t="s">
        <v>1827</v>
      </c>
      <c r="C56" t="s">
        <v>2882</v>
      </c>
      <c r="D56" t="s">
        <v>2883</v>
      </c>
      <c r="E56" t="s">
        <v>2884</v>
      </c>
      <c r="F56" t="s">
        <v>98</v>
      </c>
      <c r="G56" s="25">
        <v>735</v>
      </c>
      <c r="H56" s="25">
        <v>25</v>
      </c>
      <c r="I56" s="25">
        <f t="shared" ref="I56:I66" si="4">G56-H56</f>
        <v>710</v>
      </c>
      <c r="J56" t="s">
        <v>1884</v>
      </c>
      <c r="K56" t="s">
        <v>25</v>
      </c>
      <c r="L56" t="s">
        <v>2788</v>
      </c>
      <c r="Q56" s="25">
        <v>1</v>
      </c>
    </row>
    <row r="57" spans="2:18" x14ac:dyDescent="0.25">
      <c r="B57" t="s">
        <v>1827</v>
      </c>
      <c r="C57" t="s">
        <v>2885</v>
      </c>
      <c r="D57" t="s">
        <v>2886</v>
      </c>
      <c r="E57" t="s">
        <v>2887</v>
      </c>
      <c r="F57" s="25">
        <v>4</v>
      </c>
      <c r="G57" s="25">
        <v>695</v>
      </c>
      <c r="H57" s="25">
        <v>25</v>
      </c>
      <c r="I57" s="25">
        <f t="shared" si="4"/>
        <v>670</v>
      </c>
      <c r="J57" t="s">
        <v>1884</v>
      </c>
      <c r="K57" t="s">
        <v>25</v>
      </c>
      <c r="L57" t="s">
        <v>2788</v>
      </c>
      <c r="Q57" s="25">
        <v>1</v>
      </c>
    </row>
    <row r="58" spans="2:18" x14ac:dyDescent="0.25">
      <c r="B58" t="s">
        <v>1827</v>
      </c>
      <c r="C58" t="s">
        <v>2891</v>
      </c>
      <c r="D58" t="s">
        <v>2892</v>
      </c>
      <c r="E58" t="s">
        <v>2893</v>
      </c>
      <c r="F58" t="s">
        <v>151</v>
      </c>
      <c r="G58" s="25">
        <v>910</v>
      </c>
      <c r="H58" s="25">
        <v>20</v>
      </c>
      <c r="I58" s="25">
        <f t="shared" si="4"/>
        <v>890</v>
      </c>
      <c r="J58" t="s">
        <v>1884</v>
      </c>
      <c r="K58" t="s">
        <v>25</v>
      </c>
      <c r="L58" t="s">
        <v>2788</v>
      </c>
      <c r="Q58" s="25">
        <v>1</v>
      </c>
    </row>
    <row r="59" spans="2:18" x14ac:dyDescent="0.25">
      <c r="B59" t="s">
        <v>1827</v>
      </c>
      <c r="C59" t="s">
        <v>2894</v>
      </c>
      <c r="D59" t="s">
        <v>2895</v>
      </c>
      <c r="E59" t="s">
        <v>2896</v>
      </c>
      <c r="F59" t="s">
        <v>98</v>
      </c>
      <c r="G59" s="25">
        <v>815</v>
      </c>
      <c r="H59" s="25">
        <v>25</v>
      </c>
      <c r="I59" s="25">
        <f t="shared" si="4"/>
        <v>790</v>
      </c>
      <c r="J59" t="s">
        <v>1884</v>
      </c>
      <c r="K59" t="s">
        <v>25</v>
      </c>
      <c r="L59" t="s">
        <v>2788</v>
      </c>
      <c r="Q59" s="25">
        <v>1</v>
      </c>
    </row>
    <row r="60" spans="2:18" x14ac:dyDescent="0.25">
      <c r="B60" t="s">
        <v>1827</v>
      </c>
      <c r="C60" t="s">
        <v>2900</v>
      </c>
      <c r="D60" t="s">
        <v>2901</v>
      </c>
      <c r="E60" t="s">
        <v>2902</v>
      </c>
      <c r="F60" t="s">
        <v>98</v>
      </c>
      <c r="G60" s="25">
        <v>695</v>
      </c>
      <c r="H60" s="25">
        <v>25</v>
      </c>
      <c r="I60" s="25">
        <f t="shared" si="4"/>
        <v>670</v>
      </c>
      <c r="J60" t="s">
        <v>1884</v>
      </c>
      <c r="K60" t="s">
        <v>25</v>
      </c>
      <c r="L60" t="s">
        <v>2788</v>
      </c>
      <c r="Q60" s="25">
        <v>1</v>
      </c>
    </row>
    <row r="61" spans="2:18" x14ac:dyDescent="0.25">
      <c r="B61" t="s">
        <v>1827</v>
      </c>
      <c r="C61" t="s">
        <v>2906</v>
      </c>
      <c r="D61" t="s">
        <v>2907</v>
      </c>
      <c r="E61" t="s">
        <v>2908</v>
      </c>
      <c r="F61" s="25">
        <v>4</v>
      </c>
      <c r="G61" s="25">
        <v>695</v>
      </c>
      <c r="H61" s="25">
        <v>25</v>
      </c>
      <c r="I61" s="25">
        <f t="shared" si="4"/>
        <v>670</v>
      </c>
      <c r="J61" t="s">
        <v>1884</v>
      </c>
      <c r="K61" t="s">
        <v>25</v>
      </c>
      <c r="L61" t="s">
        <v>2788</v>
      </c>
      <c r="Q61" s="25">
        <v>1</v>
      </c>
    </row>
    <row r="62" spans="2:18" x14ac:dyDescent="0.25">
      <c r="B62" t="s">
        <v>1827</v>
      </c>
      <c r="C62" t="s">
        <v>2909</v>
      </c>
      <c r="D62" t="s">
        <v>2910</v>
      </c>
      <c r="E62" t="s">
        <v>2911</v>
      </c>
      <c r="F62" t="s">
        <v>98</v>
      </c>
      <c r="G62" s="25">
        <v>735</v>
      </c>
      <c r="H62" s="25">
        <v>25</v>
      </c>
      <c r="I62" s="25">
        <f t="shared" si="4"/>
        <v>710</v>
      </c>
      <c r="J62" t="s">
        <v>1884</v>
      </c>
      <c r="K62" t="s">
        <v>25</v>
      </c>
      <c r="L62" t="s">
        <v>2788</v>
      </c>
      <c r="Q62" s="25">
        <v>1</v>
      </c>
    </row>
    <row r="63" spans="2:18" s="33" customFormat="1" x14ac:dyDescent="0.25">
      <c r="B63" s="33" t="s">
        <v>1827</v>
      </c>
      <c r="C63" s="33" t="s">
        <v>2921</v>
      </c>
      <c r="D63" s="33" t="s">
        <v>2922</v>
      </c>
      <c r="E63" s="33" t="s">
        <v>2923</v>
      </c>
      <c r="F63" s="34">
        <v>4</v>
      </c>
      <c r="G63" s="34">
        <v>25</v>
      </c>
      <c r="H63" s="34">
        <v>25</v>
      </c>
      <c r="I63" s="34">
        <f t="shared" si="4"/>
        <v>0</v>
      </c>
      <c r="J63" s="33" t="s">
        <v>1884</v>
      </c>
      <c r="K63" s="33" t="s">
        <v>25</v>
      </c>
      <c r="L63" s="33" t="s">
        <v>2788</v>
      </c>
      <c r="M63" s="33" t="s">
        <v>472</v>
      </c>
      <c r="Q63" s="34">
        <v>1</v>
      </c>
    </row>
    <row r="64" spans="2:18" x14ac:dyDescent="0.25">
      <c r="B64" t="s">
        <v>1827</v>
      </c>
      <c r="C64" t="s">
        <v>2926</v>
      </c>
      <c r="D64" t="s">
        <v>2927</v>
      </c>
      <c r="E64" t="s">
        <v>2928</v>
      </c>
      <c r="F64" s="25">
        <v>10</v>
      </c>
      <c r="G64" s="25">
        <v>375</v>
      </c>
      <c r="H64" s="25">
        <v>25</v>
      </c>
      <c r="I64" s="25">
        <f t="shared" si="4"/>
        <v>350</v>
      </c>
      <c r="J64" t="s">
        <v>1884</v>
      </c>
      <c r="K64" t="s">
        <v>25</v>
      </c>
      <c r="L64" t="s">
        <v>2788</v>
      </c>
      <c r="Q64" s="25">
        <v>1</v>
      </c>
    </row>
    <row r="65" spans="2:18" x14ac:dyDescent="0.25">
      <c r="B65" t="s">
        <v>1827</v>
      </c>
      <c r="C65" t="s">
        <v>2932</v>
      </c>
      <c r="D65" t="s">
        <v>2933</v>
      </c>
      <c r="E65" t="s">
        <v>2934</v>
      </c>
      <c r="F65" s="25">
        <v>10</v>
      </c>
      <c r="G65" s="25">
        <v>745</v>
      </c>
      <c r="H65" s="25">
        <v>25</v>
      </c>
      <c r="I65" s="25">
        <f t="shared" si="4"/>
        <v>720</v>
      </c>
      <c r="J65" t="s">
        <v>1884</v>
      </c>
      <c r="K65" t="s">
        <v>25</v>
      </c>
      <c r="L65" t="s">
        <v>2788</v>
      </c>
      <c r="Q65" s="25">
        <v>1</v>
      </c>
    </row>
    <row r="66" spans="2:18" x14ac:dyDescent="0.25">
      <c r="B66" t="s">
        <v>1827</v>
      </c>
      <c r="C66" t="s">
        <v>2938</v>
      </c>
      <c r="D66" t="s">
        <v>2939</v>
      </c>
      <c r="E66" t="s">
        <v>2940</v>
      </c>
      <c r="F66" s="25">
        <v>1</v>
      </c>
      <c r="G66" s="25">
        <v>695</v>
      </c>
      <c r="H66" s="25">
        <v>25</v>
      </c>
      <c r="I66" s="25">
        <f t="shared" si="4"/>
        <v>670</v>
      </c>
      <c r="J66" t="s">
        <v>1884</v>
      </c>
      <c r="K66" t="s">
        <v>25</v>
      </c>
      <c r="L66" t="s">
        <v>2788</v>
      </c>
      <c r="Q66" s="25">
        <v>1</v>
      </c>
    </row>
    <row r="67" spans="2:18" s="33" customFormat="1" x14ac:dyDescent="0.25">
      <c r="B67" s="33" t="s">
        <v>1827</v>
      </c>
      <c r="C67" s="33" t="s">
        <v>2955</v>
      </c>
      <c r="D67" s="33" t="s">
        <v>2956</v>
      </c>
      <c r="E67" s="33" t="s">
        <v>2957</v>
      </c>
      <c r="F67" s="34">
        <v>1</v>
      </c>
      <c r="G67" s="34">
        <v>0</v>
      </c>
      <c r="H67" s="34">
        <v>25</v>
      </c>
      <c r="I67" s="34">
        <f>-H67</f>
        <v>-25</v>
      </c>
      <c r="J67" s="33" t="s">
        <v>1884</v>
      </c>
      <c r="K67" s="33" t="s">
        <v>25</v>
      </c>
      <c r="L67" s="33" t="s">
        <v>2788</v>
      </c>
      <c r="M67" s="33" t="s">
        <v>472</v>
      </c>
      <c r="Q67" s="34">
        <v>1</v>
      </c>
      <c r="R67" s="34">
        <f>H67</f>
        <v>25</v>
      </c>
    </row>
    <row r="68" spans="2:18" x14ac:dyDescent="0.25">
      <c r="B68" t="s">
        <v>1827</v>
      </c>
      <c r="C68" t="s">
        <v>2694</v>
      </c>
      <c r="D68" t="s">
        <v>2958</v>
      </c>
      <c r="E68" t="s">
        <v>2959</v>
      </c>
      <c r="F68" t="s">
        <v>98</v>
      </c>
      <c r="G68" s="25">
        <v>1075</v>
      </c>
      <c r="H68" s="25">
        <v>25</v>
      </c>
      <c r="I68" s="25">
        <f>G68-H68</f>
        <v>1050</v>
      </c>
      <c r="J68" t="s">
        <v>1884</v>
      </c>
      <c r="K68" t="s">
        <v>25</v>
      </c>
      <c r="L68" t="s">
        <v>2788</v>
      </c>
      <c r="Q68" s="25">
        <v>1</v>
      </c>
    </row>
    <row r="70" spans="2:18" x14ac:dyDescent="0.25">
      <c r="G70">
        <f t="shared" ref="G70:R70" si="5">SUBTOTAL(9,G3:G69)</f>
        <v>36530</v>
      </c>
      <c r="H70">
        <f t="shared" si="5"/>
        <v>1805</v>
      </c>
      <c r="I70">
        <f t="shared" si="5"/>
        <v>34725</v>
      </c>
      <c r="J70">
        <f t="shared" si="5"/>
        <v>0</v>
      </c>
      <c r="K70">
        <f t="shared" si="5"/>
        <v>0</v>
      </c>
      <c r="L70">
        <f t="shared" si="5"/>
        <v>0</v>
      </c>
      <c r="M70">
        <f t="shared" si="5"/>
        <v>0</v>
      </c>
      <c r="N70">
        <f t="shared" si="5"/>
        <v>0</v>
      </c>
      <c r="O70">
        <f t="shared" si="5"/>
        <v>0</v>
      </c>
      <c r="P70">
        <f t="shared" si="5"/>
        <v>0</v>
      </c>
      <c r="Q70">
        <f t="shared" si="5"/>
        <v>66</v>
      </c>
      <c r="R70">
        <f t="shared" si="5"/>
        <v>415</v>
      </c>
    </row>
    <row r="71" spans="2:18" x14ac:dyDescent="0.25">
      <c r="I71" s="29"/>
      <c r="J71" s="22"/>
    </row>
    <row r="72" spans="2:18" x14ac:dyDescent="0.25">
      <c r="I72" s="29"/>
      <c r="J72" s="22"/>
    </row>
    <row r="73" spans="2:18" x14ac:dyDescent="0.25">
      <c r="I73" s="29"/>
      <c r="J73" s="22"/>
    </row>
    <row r="74" spans="2:18" ht="18.75" customHeight="1" x14ac:dyDescent="0.3">
      <c r="H74" s="7" t="s">
        <v>2787</v>
      </c>
      <c r="I74" s="8" t="s">
        <v>313</v>
      </c>
      <c r="J74" s="9" t="s">
        <v>314</v>
      </c>
    </row>
    <row r="75" spans="2:18" ht="15.75" customHeight="1" x14ac:dyDescent="0.25">
      <c r="H75" s="10" t="s">
        <v>315</v>
      </c>
      <c r="I75" s="38">
        <f>SUM(I69:I73)</f>
        <v>34725</v>
      </c>
      <c r="J75" s="11">
        <f>Q70</f>
        <v>66</v>
      </c>
    </row>
    <row r="76" spans="2:18" x14ac:dyDescent="0.25">
      <c r="H76" s="12" t="s">
        <v>316</v>
      </c>
      <c r="I76" s="13">
        <f>R70</f>
        <v>415</v>
      </c>
      <c r="J76" s="14"/>
    </row>
    <row r="77" spans="2:18" x14ac:dyDescent="0.25">
      <c r="H77" s="12" t="s">
        <v>317</v>
      </c>
      <c r="I77" s="13">
        <f>S70</f>
        <v>0</v>
      </c>
      <c r="J77" s="14"/>
    </row>
    <row r="78" spans="2:18" x14ac:dyDescent="0.25">
      <c r="H78" s="12" t="s">
        <v>318</v>
      </c>
      <c r="I78" s="13">
        <f>T70</f>
        <v>0</v>
      </c>
      <c r="J78" s="14"/>
    </row>
    <row r="79" spans="2:18" x14ac:dyDescent="0.25">
      <c r="H79" s="12" t="s">
        <v>319</v>
      </c>
      <c r="I79" s="13">
        <f>U70</f>
        <v>0</v>
      </c>
      <c r="J79" s="14"/>
    </row>
    <row r="80" spans="2:18" ht="15.75" customHeight="1" x14ac:dyDescent="0.25">
      <c r="H80" s="15" t="s">
        <v>320</v>
      </c>
      <c r="I80" s="16"/>
      <c r="J80" s="16"/>
    </row>
    <row r="81" spans="8:10" ht="15.75" customHeight="1" x14ac:dyDescent="0.25">
      <c r="H81" s="17" t="s">
        <v>321</v>
      </c>
      <c r="I81" s="16"/>
      <c r="J81" s="16"/>
    </row>
    <row r="82" spans="8:10" ht="21" customHeight="1" x14ac:dyDescent="0.35">
      <c r="H82" s="18" t="s">
        <v>322</v>
      </c>
      <c r="I82" s="39">
        <f>SUM(I75:I81)</f>
        <v>35140</v>
      </c>
      <c r="J82" s="19">
        <f>SUM(J75:J79)</f>
        <v>66</v>
      </c>
    </row>
  </sheetData>
  <autoFilter ref="A2:P68" xr:uid="{00000000-0009-0000-0000-000012000000}">
    <sortState xmlns:xlrd2="http://schemas.microsoft.com/office/spreadsheetml/2017/richdata2" ref="A3:P68">
      <sortCondition ref="J2:J68"/>
    </sortState>
  </autoFilter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CAA7D-DAFD-43D3-91E7-B48D33E77E74}">
  <dimension ref="A1:R48"/>
  <sheetViews>
    <sheetView tabSelected="1" zoomScale="80" zoomScaleNormal="80" workbookViewId="0">
      <selection activeCell="I21" sqref="I21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2960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  <c r="R2" s="5"/>
    </row>
    <row r="3" spans="1:18" x14ac:dyDescent="0.25">
      <c r="A3" s="5"/>
      <c r="B3" s="5" t="s">
        <v>1827</v>
      </c>
      <c r="C3" s="5" t="s">
        <v>2965</v>
      </c>
      <c r="D3" s="5" t="s">
        <v>2966</v>
      </c>
      <c r="E3" s="5" t="s">
        <v>2967</v>
      </c>
      <c r="F3" s="23">
        <v>7</v>
      </c>
      <c r="G3" s="23">
        <v>700</v>
      </c>
      <c r="H3" s="23">
        <v>30</v>
      </c>
      <c r="I3" s="23">
        <f t="shared" ref="I3:I30" si="0">G3-H3</f>
        <v>670</v>
      </c>
      <c r="J3" s="5" t="s">
        <v>2968</v>
      </c>
      <c r="K3" s="5" t="s">
        <v>25</v>
      </c>
      <c r="L3" s="5" t="s">
        <v>2964</v>
      </c>
      <c r="M3" s="5"/>
      <c r="N3" s="5"/>
      <c r="O3" s="5"/>
      <c r="P3" s="5"/>
      <c r="Q3" s="23">
        <v>1</v>
      </c>
      <c r="R3" s="5"/>
    </row>
    <row r="4" spans="1:18" x14ac:dyDescent="0.25">
      <c r="A4" s="5"/>
      <c r="B4" s="5" t="s">
        <v>1827</v>
      </c>
      <c r="C4" s="5" t="s">
        <v>2969</v>
      </c>
      <c r="D4" s="5" t="s">
        <v>2970</v>
      </c>
      <c r="E4" s="5" t="s">
        <v>2276</v>
      </c>
      <c r="F4" s="5" t="s">
        <v>1853</v>
      </c>
      <c r="G4" s="23">
        <v>0</v>
      </c>
      <c r="H4" s="23">
        <v>30</v>
      </c>
      <c r="I4" s="23">
        <f t="shared" si="0"/>
        <v>-30</v>
      </c>
      <c r="J4" s="5" t="s">
        <v>2968</v>
      </c>
      <c r="K4" s="5" t="s">
        <v>25</v>
      </c>
      <c r="L4" s="5" t="s">
        <v>2964</v>
      </c>
      <c r="M4" s="5"/>
      <c r="N4" s="5"/>
      <c r="O4" s="5"/>
      <c r="P4" s="5"/>
      <c r="Q4" s="23">
        <v>1</v>
      </c>
      <c r="R4" s="23">
        <f>H4</f>
        <v>30</v>
      </c>
    </row>
    <row r="5" spans="1:18" x14ac:dyDescent="0.25">
      <c r="A5" s="5"/>
      <c r="B5" s="5" t="s">
        <v>1827</v>
      </c>
      <c r="C5" s="5" t="s">
        <v>2971</v>
      </c>
      <c r="D5" s="5" t="s">
        <v>2972</v>
      </c>
      <c r="E5" s="5" t="s">
        <v>2973</v>
      </c>
      <c r="F5" s="5" t="s">
        <v>1976</v>
      </c>
      <c r="G5" s="23">
        <v>415</v>
      </c>
      <c r="H5" s="23">
        <v>35</v>
      </c>
      <c r="I5" s="23">
        <f t="shared" si="0"/>
        <v>380</v>
      </c>
      <c r="J5" s="5" t="s">
        <v>2968</v>
      </c>
      <c r="K5" s="5" t="s">
        <v>25</v>
      </c>
      <c r="L5" s="5" t="s">
        <v>2964</v>
      </c>
      <c r="M5" s="5"/>
      <c r="N5" s="5"/>
      <c r="O5" s="5"/>
      <c r="P5" s="5"/>
      <c r="Q5" s="23">
        <v>1</v>
      </c>
      <c r="R5" s="5"/>
    </row>
    <row r="6" spans="1:18" x14ac:dyDescent="0.25">
      <c r="A6" s="5"/>
      <c r="B6" s="5" t="s">
        <v>1827</v>
      </c>
      <c r="C6" s="5" t="s">
        <v>2976</v>
      </c>
      <c r="D6" s="5" t="s">
        <v>2977</v>
      </c>
      <c r="E6" s="5" t="s">
        <v>2978</v>
      </c>
      <c r="F6" s="5" t="s">
        <v>1853</v>
      </c>
      <c r="G6" s="23">
        <v>0</v>
      </c>
      <c r="H6" s="23">
        <v>30</v>
      </c>
      <c r="I6" s="23">
        <f t="shared" si="0"/>
        <v>-30</v>
      </c>
      <c r="J6" s="5" t="s">
        <v>2968</v>
      </c>
      <c r="K6" s="5" t="s">
        <v>25</v>
      </c>
      <c r="L6" s="5" t="s">
        <v>2964</v>
      </c>
      <c r="M6" s="5"/>
      <c r="N6" s="5"/>
      <c r="O6" s="5"/>
      <c r="P6" s="5"/>
      <c r="Q6" s="23">
        <v>1</v>
      </c>
      <c r="R6" s="23">
        <f>H6</f>
        <v>30</v>
      </c>
    </row>
    <row r="7" spans="1:18" x14ac:dyDescent="0.25">
      <c r="A7" s="5"/>
      <c r="B7" s="5" t="s">
        <v>1827</v>
      </c>
      <c r="C7" s="5" t="s">
        <v>2982</v>
      </c>
      <c r="D7" s="5" t="s">
        <v>2983</v>
      </c>
      <c r="E7" s="5" t="s">
        <v>2984</v>
      </c>
      <c r="F7" s="5" t="s">
        <v>1853</v>
      </c>
      <c r="G7" s="23">
        <v>740</v>
      </c>
      <c r="H7" s="23">
        <v>30</v>
      </c>
      <c r="I7" s="23">
        <f t="shared" si="0"/>
        <v>710</v>
      </c>
      <c r="J7" s="5" t="s">
        <v>2968</v>
      </c>
      <c r="K7" s="5" t="s">
        <v>25</v>
      </c>
      <c r="L7" s="5" t="s">
        <v>2964</v>
      </c>
      <c r="M7" s="5"/>
      <c r="N7" s="5"/>
      <c r="O7" s="5"/>
      <c r="P7" s="5"/>
      <c r="Q7" s="23">
        <v>1</v>
      </c>
      <c r="R7" s="5"/>
    </row>
    <row r="8" spans="1:18" x14ac:dyDescent="0.25">
      <c r="A8" s="5"/>
      <c r="B8" s="5" t="s">
        <v>1827</v>
      </c>
      <c r="C8" s="5" t="s">
        <v>2985</v>
      </c>
      <c r="D8" s="5" t="s">
        <v>2986</v>
      </c>
      <c r="E8" s="5" t="s">
        <v>2987</v>
      </c>
      <c r="F8" s="23">
        <v>7</v>
      </c>
      <c r="G8" s="23">
        <v>0</v>
      </c>
      <c r="H8" s="23">
        <v>30</v>
      </c>
      <c r="I8" s="23">
        <f t="shared" si="0"/>
        <v>-30</v>
      </c>
      <c r="J8" s="5" t="s">
        <v>2968</v>
      </c>
      <c r="K8" s="5" t="s">
        <v>25</v>
      </c>
      <c r="L8" s="5" t="s">
        <v>2964</v>
      </c>
      <c r="M8" s="5"/>
      <c r="N8" s="5"/>
      <c r="O8" s="5"/>
      <c r="P8" s="5"/>
      <c r="Q8" s="23">
        <v>1</v>
      </c>
      <c r="R8" s="23">
        <f>H8</f>
        <v>30</v>
      </c>
    </row>
    <row r="9" spans="1:18" x14ac:dyDescent="0.25">
      <c r="A9" s="5"/>
      <c r="B9" s="5" t="s">
        <v>1827</v>
      </c>
      <c r="C9" s="5" t="s">
        <v>2988</v>
      </c>
      <c r="D9" s="5" t="s">
        <v>2989</v>
      </c>
      <c r="E9" s="5" t="s">
        <v>2990</v>
      </c>
      <c r="F9" s="5" t="s">
        <v>1853</v>
      </c>
      <c r="G9" s="23">
        <v>1030</v>
      </c>
      <c r="H9" s="23">
        <v>30</v>
      </c>
      <c r="I9" s="23">
        <f t="shared" si="0"/>
        <v>1000</v>
      </c>
      <c r="J9" s="5" t="s">
        <v>2968</v>
      </c>
      <c r="K9" s="5" t="s">
        <v>25</v>
      </c>
      <c r="L9" s="5" t="s">
        <v>2964</v>
      </c>
      <c r="M9" s="5"/>
      <c r="N9" s="5"/>
      <c r="O9" s="5"/>
      <c r="P9" s="5"/>
      <c r="Q9" s="23">
        <v>1</v>
      </c>
      <c r="R9" s="5"/>
    </row>
    <row r="10" spans="1:18" x14ac:dyDescent="0.25">
      <c r="A10" s="5"/>
      <c r="B10" s="5" t="s">
        <v>1827</v>
      </c>
      <c r="C10" s="5" t="s">
        <v>2999</v>
      </c>
      <c r="D10" s="5" t="s">
        <v>3000</v>
      </c>
      <c r="E10" s="5" t="s">
        <v>3001</v>
      </c>
      <c r="F10" s="5" t="s">
        <v>607</v>
      </c>
      <c r="G10" s="23">
        <v>915</v>
      </c>
      <c r="H10" s="23">
        <v>25</v>
      </c>
      <c r="I10" s="23">
        <f t="shared" si="0"/>
        <v>890</v>
      </c>
      <c r="J10" s="5" t="s">
        <v>2968</v>
      </c>
      <c r="K10" s="5" t="s">
        <v>25</v>
      </c>
      <c r="L10" s="5" t="s">
        <v>2964</v>
      </c>
      <c r="M10" s="5"/>
      <c r="N10" s="5"/>
      <c r="O10" s="5"/>
      <c r="P10" s="5"/>
      <c r="Q10" s="23">
        <v>1</v>
      </c>
      <c r="R10" s="5"/>
    </row>
    <row r="11" spans="1:18" x14ac:dyDescent="0.25">
      <c r="A11" s="5"/>
      <c r="B11" s="5" t="s">
        <v>1827</v>
      </c>
      <c r="C11" s="5" t="s">
        <v>2797</v>
      </c>
      <c r="D11" s="5" t="s">
        <v>3002</v>
      </c>
      <c r="E11" s="5" t="s">
        <v>3003</v>
      </c>
      <c r="F11" s="23">
        <v>7</v>
      </c>
      <c r="G11" s="23">
        <v>800</v>
      </c>
      <c r="H11" s="23">
        <v>30</v>
      </c>
      <c r="I11" s="23">
        <f t="shared" si="0"/>
        <v>770</v>
      </c>
      <c r="J11" s="5" t="s">
        <v>2968</v>
      </c>
      <c r="K11" s="5" t="s">
        <v>25</v>
      </c>
      <c r="L11" s="5" t="s">
        <v>2964</v>
      </c>
      <c r="M11" s="5"/>
      <c r="N11" s="5"/>
      <c r="O11" s="5"/>
      <c r="P11" s="5"/>
      <c r="Q11" s="23">
        <v>1</v>
      </c>
      <c r="R11" s="5"/>
    </row>
    <row r="12" spans="1:18" x14ac:dyDescent="0.25">
      <c r="A12" s="5"/>
      <c r="B12" s="5" t="s">
        <v>1827</v>
      </c>
      <c r="C12" s="5" t="s">
        <v>3007</v>
      </c>
      <c r="D12" s="5" t="s">
        <v>3008</v>
      </c>
      <c r="E12" s="5" t="s">
        <v>3009</v>
      </c>
      <c r="F12" s="5" t="s">
        <v>1976</v>
      </c>
      <c r="G12" s="23">
        <v>745</v>
      </c>
      <c r="H12" s="23">
        <v>35</v>
      </c>
      <c r="I12" s="23">
        <f t="shared" si="0"/>
        <v>710</v>
      </c>
      <c r="J12" s="5" t="s">
        <v>2968</v>
      </c>
      <c r="K12" s="5" t="s">
        <v>25</v>
      </c>
      <c r="L12" s="5" t="s">
        <v>2964</v>
      </c>
      <c r="M12" s="5"/>
      <c r="N12" s="5"/>
      <c r="O12" s="5"/>
      <c r="P12" s="5"/>
      <c r="Q12" s="23">
        <v>1</v>
      </c>
      <c r="R12" s="5"/>
    </row>
    <row r="13" spans="1:18" s="33" customFormat="1" x14ac:dyDescent="0.25">
      <c r="A13" s="36"/>
      <c r="B13" s="36" t="s">
        <v>1827</v>
      </c>
      <c r="C13" s="36" t="s">
        <v>2945</v>
      </c>
      <c r="D13" s="36" t="s">
        <v>3010</v>
      </c>
      <c r="E13" s="36" t="s">
        <v>2947</v>
      </c>
      <c r="F13" s="37">
        <v>8</v>
      </c>
      <c r="G13" s="37">
        <v>30</v>
      </c>
      <c r="H13" s="37">
        <v>30</v>
      </c>
      <c r="I13" s="37">
        <f t="shared" si="0"/>
        <v>0</v>
      </c>
      <c r="J13" s="36" t="s">
        <v>2968</v>
      </c>
      <c r="K13" s="36" t="s">
        <v>25</v>
      </c>
      <c r="L13" s="36" t="s">
        <v>2964</v>
      </c>
      <c r="M13" s="36" t="s">
        <v>472</v>
      </c>
      <c r="N13" s="36"/>
      <c r="O13" s="36"/>
      <c r="P13" s="36"/>
      <c r="Q13" s="37">
        <v>1</v>
      </c>
      <c r="R13" s="36"/>
    </row>
    <row r="14" spans="1:18" x14ac:dyDescent="0.25">
      <c r="A14" s="5" t="s">
        <v>1833</v>
      </c>
      <c r="B14" s="5" t="s">
        <v>1827</v>
      </c>
      <c r="C14" s="5" t="s">
        <v>2292</v>
      </c>
      <c r="D14" s="5"/>
      <c r="E14" s="5" t="s">
        <v>1841</v>
      </c>
      <c r="F14" s="23">
        <v>6</v>
      </c>
      <c r="G14" s="23">
        <v>0</v>
      </c>
      <c r="H14" s="23">
        <v>30</v>
      </c>
      <c r="I14" s="23">
        <f t="shared" si="0"/>
        <v>-30</v>
      </c>
      <c r="J14" s="5" t="s">
        <v>2968</v>
      </c>
      <c r="K14" s="5" t="s">
        <v>25</v>
      </c>
      <c r="L14" s="5" t="s">
        <v>2964</v>
      </c>
      <c r="M14" s="5"/>
      <c r="N14" s="5"/>
      <c r="O14" s="5"/>
      <c r="P14" s="5"/>
      <c r="Q14" s="23">
        <v>1</v>
      </c>
      <c r="R14" s="23">
        <f t="shared" ref="R14:R16" si="1">H14</f>
        <v>30</v>
      </c>
    </row>
    <row r="15" spans="1:18" x14ac:dyDescent="0.25">
      <c r="A15" s="5"/>
      <c r="B15" s="5" t="s">
        <v>1827</v>
      </c>
      <c r="C15" s="5" t="s">
        <v>2979</v>
      </c>
      <c r="D15" s="5" t="s">
        <v>2980</v>
      </c>
      <c r="E15" s="5" t="s">
        <v>2981</v>
      </c>
      <c r="F15" s="5" t="s">
        <v>70</v>
      </c>
      <c r="G15" s="23">
        <v>0</v>
      </c>
      <c r="H15" s="23">
        <v>25</v>
      </c>
      <c r="I15" s="23">
        <f t="shared" si="0"/>
        <v>-25</v>
      </c>
      <c r="J15" s="5" t="s">
        <v>25</v>
      </c>
      <c r="K15" s="5" t="s">
        <v>25</v>
      </c>
      <c r="L15" s="5" t="s">
        <v>2964</v>
      </c>
      <c r="M15" s="5"/>
      <c r="N15" s="5"/>
      <c r="O15" s="5"/>
      <c r="P15" s="5"/>
      <c r="Q15" s="23">
        <v>1</v>
      </c>
      <c r="R15" s="23">
        <f t="shared" si="1"/>
        <v>25</v>
      </c>
    </row>
    <row r="16" spans="1:18" x14ac:dyDescent="0.25">
      <c r="A16" s="5"/>
      <c r="B16" s="5" t="s">
        <v>1827</v>
      </c>
      <c r="C16" s="5" t="s">
        <v>2991</v>
      </c>
      <c r="D16" s="5" t="s">
        <v>2992</v>
      </c>
      <c r="E16" s="5" t="s">
        <v>2993</v>
      </c>
      <c r="F16" s="5" t="s">
        <v>70</v>
      </c>
      <c r="G16" s="23">
        <v>0</v>
      </c>
      <c r="H16" s="23">
        <v>25</v>
      </c>
      <c r="I16" s="23">
        <f t="shared" si="0"/>
        <v>-25</v>
      </c>
      <c r="J16" s="5" t="s">
        <v>25</v>
      </c>
      <c r="K16" s="5" t="s">
        <v>25</v>
      </c>
      <c r="L16" s="5" t="s">
        <v>2964</v>
      </c>
      <c r="M16" s="5"/>
      <c r="N16" s="5"/>
      <c r="O16" s="5"/>
      <c r="P16" s="5"/>
      <c r="Q16" s="23">
        <v>1</v>
      </c>
      <c r="R16" s="23">
        <f t="shared" si="1"/>
        <v>25</v>
      </c>
    </row>
    <row r="17" spans="1:18" x14ac:dyDescent="0.25">
      <c r="A17" s="5"/>
      <c r="B17" s="5" t="s">
        <v>1827</v>
      </c>
      <c r="C17" s="5" t="s">
        <v>2921</v>
      </c>
      <c r="D17" s="5" t="s">
        <v>2994</v>
      </c>
      <c r="E17" s="5" t="s">
        <v>2995</v>
      </c>
      <c r="F17" s="23">
        <v>2</v>
      </c>
      <c r="G17" s="23">
        <v>700</v>
      </c>
      <c r="H17" s="23">
        <v>30</v>
      </c>
      <c r="I17" s="23">
        <f t="shared" si="0"/>
        <v>670</v>
      </c>
      <c r="J17" s="5" t="s">
        <v>25</v>
      </c>
      <c r="K17" s="5" t="s">
        <v>25</v>
      </c>
      <c r="L17" s="5" t="s">
        <v>2964</v>
      </c>
      <c r="M17" s="5"/>
      <c r="N17" s="5"/>
      <c r="O17" s="5"/>
      <c r="P17" s="5"/>
      <c r="Q17" s="23">
        <v>1</v>
      </c>
      <c r="R17" s="5"/>
    </row>
    <row r="18" spans="1:18" x14ac:dyDescent="0.25">
      <c r="A18" s="5"/>
      <c r="B18" s="5" t="s">
        <v>1827</v>
      </c>
      <c r="C18" s="5" t="s">
        <v>3004</v>
      </c>
      <c r="D18" s="5" t="s">
        <v>3005</v>
      </c>
      <c r="E18" s="5" t="s">
        <v>3006</v>
      </c>
      <c r="F18" s="23">
        <v>2</v>
      </c>
      <c r="G18" s="23">
        <v>820</v>
      </c>
      <c r="H18" s="23">
        <v>30</v>
      </c>
      <c r="I18" s="23">
        <f t="shared" si="0"/>
        <v>790</v>
      </c>
      <c r="J18" s="5" t="s">
        <v>25</v>
      </c>
      <c r="K18" s="5" t="s">
        <v>25</v>
      </c>
      <c r="L18" s="5" t="s">
        <v>2964</v>
      </c>
      <c r="M18" s="5"/>
      <c r="N18" s="5"/>
      <c r="O18" s="5"/>
      <c r="P18" s="5"/>
      <c r="Q18" s="23">
        <v>1</v>
      </c>
      <c r="R18" s="5"/>
    </row>
    <row r="19" spans="1:18" x14ac:dyDescent="0.25">
      <c r="A19" s="5"/>
      <c r="B19" s="5" t="s">
        <v>1827</v>
      </c>
      <c r="C19" s="5" t="s">
        <v>3018</v>
      </c>
      <c r="D19" s="5" t="s">
        <v>3019</v>
      </c>
      <c r="E19" s="5" t="s">
        <v>3020</v>
      </c>
      <c r="F19" s="5" t="s">
        <v>70</v>
      </c>
      <c r="G19" s="23">
        <v>945</v>
      </c>
      <c r="H19" s="23">
        <v>25</v>
      </c>
      <c r="I19" s="23">
        <f t="shared" si="0"/>
        <v>920</v>
      </c>
      <c r="J19" s="5" t="s">
        <v>25</v>
      </c>
      <c r="K19" s="5" t="s">
        <v>25</v>
      </c>
      <c r="L19" s="5" t="s">
        <v>2964</v>
      </c>
      <c r="M19" s="5"/>
      <c r="N19" s="5"/>
      <c r="O19" s="5"/>
      <c r="P19" s="5"/>
      <c r="Q19" s="23">
        <v>1</v>
      </c>
      <c r="R19" s="5"/>
    </row>
    <row r="20" spans="1:18" x14ac:dyDescent="0.25">
      <c r="A20" s="5" t="s">
        <v>1833</v>
      </c>
      <c r="B20" s="5" t="s">
        <v>1827</v>
      </c>
      <c r="C20" s="5" t="s">
        <v>3021</v>
      </c>
      <c r="D20" s="5"/>
      <c r="E20" s="5" t="s">
        <v>3022</v>
      </c>
      <c r="F20" s="23">
        <v>12</v>
      </c>
      <c r="G20" s="23">
        <v>0</v>
      </c>
      <c r="H20" s="23">
        <v>35</v>
      </c>
      <c r="I20" s="23">
        <f t="shared" si="0"/>
        <v>-35</v>
      </c>
      <c r="J20" s="5" t="s">
        <v>25</v>
      </c>
      <c r="K20" s="5" t="s">
        <v>25</v>
      </c>
      <c r="L20" s="5" t="s">
        <v>2964</v>
      </c>
      <c r="M20" s="5"/>
      <c r="N20" s="5"/>
      <c r="O20" s="5"/>
      <c r="P20" s="5"/>
      <c r="Q20" s="23">
        <v>1</v>
      </c>
      <c r="R20" s="23">
        <f t="shared" ref="R20:R21" si="2">H20</f>
        <v>35</v>
      </c>
    </row>
    <row r="21" spans="1:18" x14ac:dyDescent="0.25">
      <c r="A21" s="5" t="s">
        <v>1833</v>
      </c>
      <c r="B21" s="5" t="s">
        <v>1827</v>
      </c>
      <c r="C21" s="5" t="s">
        <v>3023</v>
      </c>
      <c r="D21" s="5"/>
      <c r="E21" s="5" t="s">
        <v>1892</v>
      </c>
      <c r="F21" s="23">
        <v>12</v>
      </c>
      <c r="G21" s="23">
        <v>0</v>
      </c>
      <c r="H21" s="23">
        <v>45</v>
      </c>
      <c r="I21" s="23">
        <f t="shared" si="0"/>
        <v>-45</v>
      </c>
      <c r="J21" s="5" t="s">
        <v>25</v>
      </c>
      <c r="K21" s="5" t="s">
        <v>25</v>
      </c>
      <c r="L21" s="5" t="s">
        <v>2964</v>
      </c>
      <c r="M21" s="5"/>
      <c r="N21" s="5"/>
      <c r="O21" s="5"/>
      <c r="P21" s="5"/>
      <c r="Q21" s="23">
        <v>1</v>
      </c>
      <c r="R21" s="23">
        <f t="shared" si="2"/>
        <v>45</v>
      </c>
    </row>
    <row r="22" spans="1:18" x14ac:dyDescent="0.25">
      <c r="A22" s="5" t="s">
        <v>1833</v>
      </c>
      <c r="B22" s="5" t="s">
        <v>1827</v>
      </c>
      <c r="C22" s="5" t="s">
        <v>3024</v>
      </c>
      <c r="D22" s="5"/>
      <c r="E22" s="5" t="s">
        <v>3025</v>
      </c>
      <c r="F22" s="5" t="s">
        <v>98</v>
      </c>
      <c r="G22" s="23">
        <v>30</v>
      </c>
      <c r="H22" s="23">
        <v>30</v>
      </c>
      <c r="I22" s="23">
        <f t="shared" si="0"/>
        <v>0</v>
      </c>
      <c r="J22" s="5" t="s">
        <v>25</v>
      </c>
      <c r="K22" s="5" t="s">
        <v>25</v>
      </c>
      <c r="L22" s="5" t="s">
        <v>2964</v>
      </c>
      <c r="M22" s="5"/>
      <c r="N22" s="5"/>
      <c r="O22" s="5"/>
      <c r="P22" s="5"/>
      <c r="Q22" s="23">
        <v>1</v>
      </c>
      <c r="R22" s="5"/>
    </row>
    <row r="23" spans="1:18" x14ac:dyDescent="0.25">
      <c r="A23" s="5"/>
      <c r="B23" s="5" t="s">
        <v>1827</v>
      </c>
      <c r="C23" s="5" t="s">
        <v>3026</v>
      </c>
      <c r="D23" s="5" t="s">
        <v>3027</v>
      </c>
      <c r="E23" s="5" t="s">
        <v>3028</v>
      </c>
      <c r="F23" s="23">
        <v>2</v>
      </c>
      <c r="G23" s="23">
        <v>2910</v>
      </c>
      <c r="H23" s="23">
        <v>35</v>
      </c>
      <c r="I23" s="23">
        <f t="shared" si="0"/>
        <v>2875</v>
      </c>
      <c r="J23" s="5" t="s">
        <v>25</v>
      </c>
      <c r="K23" s="5" t="s">
        <v>25</v>
      </c>
      <c r="L23" s="5" t="s">
        <v>2964</v>
      </c>
      <c r="M23" s="6" t="s">
        <v>2403</v>
      </c>
      <c r="N23" s="5"/>
      <c r="O23" s="5"/>
      <c r="P23" s="5"/>
      <c r="Q23" s="23">
        <v>1</v>
      </c>
      <c r="R23" s="23">
        <f>H23</f>
        <v>35</v>
      </c>
    </row>
    <row r="24" spans="1:18" x14ac:dyDescent="0.25">
      <c r="A24" s="5"/>
      <c r="B24" s="5" t="s">
        <v>1827</v>
      </c>
      <c r="C24" s="5" t="s">
        <v>2961</v>
      </c>
      <c r="D24" s="5" t="s">
        <v>2962</v>
      </c>
      <c r="E24" s="5" t="s">
        <v>2963</v>
      </c>
      <c r="F24" s="23">
        <v>4</v>
      </c>
      <c r="G24" s="23">
        <v>815</v>
      </c>
      <c r="H24" s="23">
        <v>25</v>
      </c>
      <c r="I24" s="23">
        <f t="shared" si="0"/>
        <v>790</v>
      </c>
      <c r="J24" s="5" t="s">
        <v>1884</v>
      </c>
      <c r="K24" s="5" t="s">
        <v>25</v>
      </c>
      <c r="L24" s="5" t="s">
        <v>2964</v>
      </c>
      <c r="M24" s="5"/>
      <c r="N24" s="5"/>
      <c r="O24" s="5"/>
      <c r="P24" s="5"/>
      <c r="Q24" s="23">
        <v>1</v>
      </c>
      <c r="R24" s="5"/>
    </row>
    <row r="25" spans="1:18" x14ac:dyDescent="0.25">
      <c r="A25" s="5"/>
      <c r="B25" s="5" t="s">
        <v>1827</v>
      </c>
      <c r="C25" s="5" t="s">
        <v>1937</v>
      </c>
      <c r="D25" s="5" t="s">
        <v>2974</v>
      </c>
      <c r="E25" s="5" t="s">
        <v>1939</v>
      </c>
      <c r="F25" s="23">
        <v>10</v>
      </c>
      <c r="G25" s="23">
        <v>885</v>
      </c>
      <c r="H25" s="23">
        <v>25</v>
      </c>
      <c r="I25" s="23">
        <f t="shared" si="0"/>
        <v>860</v>
      </c>
      <c r="J25" s="5" t="s">
        <v>1884</v>
      </c>
      <c r="K25" s="5" t="s">
        <v>25</v>
      </c>
      <c r="L25" s="5" t="s">
        <v>2964</v>
      </c>
      <c r="M25" s="5"/>
      <c r="N25" s="5"/>
      <c r="O25" s="5"/>
      <c r="P25" s="5"/>
      <c r="Q25" s="23">
        <v>1</v>
      </c>
      <c r="R25" s="5"/>
    </row>
    <row r="26" spans="1:18" x14ac:dyDescent="0.25">
      <c r="A26" s="5"/>
      <c r="B26" s="5" t="s">
        <v>1827</v>
      </c>
      <c r="C26" s="5" t="s">
        <v>2017</v>
      </c>
      <c r="D26" s="5" t="s">
        <v>2975</v>
      </c>
      <c r="E26" s="5" t="s">
        <v>2019</v>
      </c>
      <c r="F26" s="23">
        <v>1</v>
      </c>
      <c r="G26" s="23">
        <v>815</v>
      </c>
      <c r="H26" s="23">
        <v>25</v>
      </c>
      <c r="I26" s="23">
        <f t="shared" si="0"/>
        <v>790</v>
      </c>
      <c r="J26" s="5" t="s">
        <v>1884</v>
      </c>
      <c r="K26" s="5" t="s">
        <v>25</v>
      </c>
      <c r="L26" s="5" t="s">
        <v>2964</v>
      </c>
      <c r="M26" s="5"/>
      <c r="N26" s="5"/>
      <c r="O26" s="5"/>
      <c r="P26" s="5"/>
      <c r="Q26" s="23">
        <v>1</v>
      </c>
      <c r="R26" s="5"/>
    </row>
    <row r="27" spans="1:18" x14ac:dyDescent="0.25">
      <c r="A27" s="5"/>
      <c r="B27" s="5" t="s">
        <v>1827</v>
      </c>
      <c r="C27" s="5" t="s">
        <v>2996</v>
      </c>
      <c r="D27" s="5" t="s">
        <v>2997</v>
      </c>
      <c r="E27" s="5" t="s">
        <v>2998</v>
      </c>
      <c r="F27" s="5" t="s">
        <v>151</v>
      </c>
      <c r="G27" s="23">
        <v>810</v>
      </c>
      <c r="H27" s="23">
        <v>20</v>
      </c>
      <c r="I27" s="23">
        <f t="shared" si="0"/>
        <v>790</v>
      </c>
      <c r="J27" s="5" t="s">
        <v>1884</v>
      </c>
      <c r="K27" s="5" t="s">
        <v>25</v>
      </c>
      <c r="L27" s="5" t="s">
        <v>2964</v>
      </c>
      <c r="M27" s="5"/>
      <c r="N27" s="5"/>
      <c r="O27" s="5"/>
      <c r="P27" s="5"/>
      <c r="Q27" s="23">
        <v>1</v>
      </c>
      <c r="R27" s="5"/>
    </row>
    <row r="28" spans="1:18" x14ac:dyDescent="0.25">
      <c r="A28" s="5"/>
      <c r="B28" s="5" t="s">
        <v>1827</v>
      </c>
      <c r="C28" s="5" t="s">
        <v>3011</v>
      </c>
      <c r="D28" s="5" t="s">
        <v>3012</v>
      </c>
      <c r="E28" s="5" t="s">
        <v>3013</v>
      </c>
      <c r="F28" s="5" t="s">
        <v>98</v>
      </c>
      <c r="G28" s="23">
        <v>845</v>
      </c>
      <c r="H28" s="23">
        <v>25</v>
      </c>
      <c r="I28" s="23">
        <f t="shared" si="0"/>
        <v>820</v>
      </c>
      <c r="J28" s="5" t="s">
        <v>1884</v>
      </c>
      <c r="K28" s="5" t="s">
        <v>25</v>
      </c>
      <c r="L28" s="5" t="s">
        <v>2964</v>
      </c>
      <c r="M28" s="5"/>
      <c r="N28" s="5"/>
      <c r="O28" s="5"/>
      <c r="P28" s="5"/>
      <c r="Q28" s="23">
        <v>1</v>
      </c>
      <c r="R28" s="5"/>
    </row>
    <row r="29" spans="1:18" x14ac:dyDescent="0.25">
      <c r="A29" s="5"/>
      <c r="B29" s="5" t="s">
        <v>1827</v>
      </c>
      <c r="C29" s="5" t="s">
        <v>3014</v>
      </c>
      <c r="D29" s="5" t="s">
        <v>3015</v>
      </c>
      <c r="E29" s="5" t="s">
        <v>2860</v>
      </c>
      <c r="F29" s="5" t="s">
        <v>98</v>
      </c>
      <c r="G29" s="23">
        <v>0</v>
      </c>
      <c r="H29" s="23">
        <v>25</v>
      </c>
      <c r="I29" s="23">
        <f t="shared" si="0"/>
        <v>-25</v>
      </c>
      <c r="J29" s="5" t="s">
        <v>1884</v>
      </c>
      <c r="K29" s="5" t="s">
        <v>25</v>
      </c>
      <c r="L29" s="5" t="s">
        <v>2964</v>
      </c>
      <c r="M29" s="5"/>
      <c r="N29" s="5"/>
      <c r="O29" s="5"/>
      <c r="P29" s="5"/>
      <c r="Q29" s="23">
        <v>1</v>
      </c>
      <c r="R29" s="23">
        <f>H29</f>
        <v>25</v>
      </c>
    </row>
    <row r="30" spans="1:18" s="33" customFormat="1" x14ac:dyDescent="0.25">
      <c r="A30" s="36"/>
      <c r="B30" s="36" t="s">
        <v>1827</v>
      </c>
      <c r="C30" s="36" t="s">
        <v>2824</v>
      </c>
      <c r="D30" s="36" t="s">
        <v>3016</v>
      </c>
      <c r="E30" s="36" t="s">
        <v>3017</v>
      </c>
      <c r="F30" s="37">
        <v>5</v>
      </c>
      <c r="G30" s="37">
        <v>55</v>
      </c>
      <c r="H30" s="37">
        <v>25</v>
      </c>
      <c r="I30" s="37">
        <f t="shared" si="0"/>
        <v>30</v>
      </c>
      <c r="J30" s="36" t="s">
        <v>1884</v>
      </c>
      <c r="K30" s="36" t="s">
        <v>25</v>
      </c>
      <c r="L30" s="36" t="s">
        <v>2964</v>
      </c>
      <c r="M30" s="36" t="s">
        <v>472</v>
      </c>
      <c r="N30" s="36"/>
      <c r="O30" s="36"/>
      <c r="P30" s="36"/>
      <c r="Q30" s="37">
        <v>1</v>
      </c>
      <c r="R30" s="36"/>
    </row>
    <row r="32" spans="1:18" x14ac:dyDescent="0.25">
      <c r="G32">
        <f t="shared" ref="G32:R32" si="3">SUBTOTAL(9,G3:G31)</f>
        <v>15005</v>
      </c>
      <c r="H32">
        <f t="shared" si="3"/>
        <v>815</v>
      </c>
      <c r="I32">
        <f t="shared" si="3"/>
        <v>14190</v>
      </c>
      <c r="J32">
        <f t="shared" si="3"/>
        <v>0</v>
      </c>
      <c r="K32">
        <f t="shared" si="3"/>
        <v>0</v>
      </c>
      <c r="L32">
        <f t="shared" si="3"/>
        <v>0</v>
      </c>
      <c r="M32">
        <f t="shared" si="3"/>
        <v>0</v>
      </c>
      <c r="N32">
        <f t="shared" si="3"/>
        <v>0</v>
      </c>
      <c r="O32">
        <f t="shared" si="3"/>
        <v>0</v>
      </c>
      <c r="P32">
        <f t="shared" si="3"/>
        <v>0</v>
      </c>
      <c r="Q32">
        <f t="shared" si="3"/>
        <v>28</v>
      </c>
      <c r="R32">
        <f t="shared" si="3"/>
        <v>310</v>
      </c>
    </row>
    <row r="33" spans="1:11" x14ac:dyDescent="0.25">
      <c r="I33" s="29">
        <v>-2630</v>
      </c>
      <c r="J33" s="22" t="s">
        <v>3029</v>
      </c>
    </row>
    <row r="34" spans="1:11" x14ac:dyDescent="0.25">
      <c r="I34" s="29">
        <v>-745</v>
      </c>
      <c r="J34" s="22" t="s">
        <v>311</v>
      </c>
    </row>
    <row r="35" spans="1:11" x14ac:dyDescent="0.25">
      <c r="I35" s="29"/>
      <c r="J35" s="22"/>
    </row>
    <row r="36" spans="1:11" ht="18.75" customHeight="1" x14ac:dyDescent="0.3">
      <c r="H36" s="7" t="s">
        <v>2787</v>
      </c>
      <c r="I36" s="8" t="s">
        <v>313</v>
      </c>
      <c r="J36" s="9" t="s">
        <v>314</v>
      </c>
    </row>
    <row r="37" spans="1:11" ht="15.75" customHeight="1" x14ac:dyDescent="0.25">
      <c r="H37" s="10" t="s">
        <v>315</v>
      </c>
      <c r="I37" s="38">
        <f>SUM(I31:I35)</f>
        <v>10815</v>
      </c>
      <c r="J37" s="11">
        <f>Q32</f>
        <v>28</v>
      </c>
    </row>
    <row r="38" spans="1:11" x14ac:dyDescent="0.25">
      <c r="H38" s="12" t="s">
        <v>316</v>
      </c>
      <c r="I38" s="13">
        <f>R32</f>
        <v>310</v>
      </c>
      <c r="J38" s="14"/>
    </row>
    <row r="39" spans="1:11" x14ac:dyDescent="0.25">
      <c r="H39" s="12" t="s">
        <v>317</v>
      </c>
      <c r="I39" s="13">
        <f>S32</f>
        <v>0</v>
      </c>
      <c r="J39" s="14"/>
    </row>
    <row r="40" spans="1:11" x14ac:dyDescent="0.25">
      <c r="H40" s="12" t="s">
        <v>318</v>
      </c>
      <c r="I40" s="13">
        <f>T32</f>
        <v>0</v>
      </c>
      <c r="J40" s="14"/>
    </row>
    <row r="41" spans="1:11" x14ac:dyDescent="0.25">
      <c r="H41" s="12" t="s">
        <v>319</v>
      </c>
      <c r="I41" s="13">
        <f>U32</f>
        <v>0</v>
      </c>
      <c r="J41" s="14"/>
    </row>
    <row r="42" spans="1:11" ht="15.75" customHeight="1" x14ac:dyDescent="0.25">
      <c r="H42" s="15" t="s">
        <v>320</v>
      </c>
      <c r="I42" s="16"/>
      <c r="J42" s="16"/>
    </row>
    <row r="43" spans="1:11" ht="15.75" customHeight="1" x14ac:dyDescent="0.25">
      <c r="H43" s="17" t="s">
        <v>321</v>
      </c>
      <c r="I43" s="16"/>
      <c r="J43" s="16"/>
    </row>
    <row r="44" spans="1:11" ht="21" customHeight="1" x14ac:dyDescent="0.35">
      <c r="H44" s="18" t="s">
        <v>322</v>
      </c>
      <c r="I44" s="39">
        <f>SUM(I37:I43)</f>
        <v>11125</v>
      </c>
      <c r="J44" s="19">
        <f>SUM(J37:J41)</f>
        <v>28</v>
      </c>
    </row>
    <row r="47" spans="1:11" x14ac:dyDescent="0.25">
      <c r="A47" t="s">
        <v>311</v>
      </c>
    </row>
    <row r="48" spans="1:11" s="4" customFormat="1" x14ac:dyDescent="0.25">
      <c r="A48" s="52" t="s">
        <v>2804</v>
      </c>
      <c r="B48" s="52" t="s">
        <v>2805</v>
      </c>
      <c r="C48" s="52" t="s">
        <v>2806</v>
      </c>
      <c r="D48" s="53">
        <v>4</v>
      </c>
      <c r="E48" s="53">
        <v>745</v>
      </c>
      <c r="F48" s="53">
        <v>0</v>
      </c>
      <c r="G48" s="53">
        <f t="shared" ref="G48" si="4">E48-F48</f>
        <v>745</v>
      </c>
      <c r="H48" s="52" t="s">
        <v>24</v>
      </c>
      <c r="I48" s="52" t="s">
        <v>25</v>
      </c>
      <c r="J48" s="52" t="s">
        <v>2788</v>
      </c>
      <c r="K48" s="3" t="s">
        <v>3030</v>
      </c>
    </row>
  </sheetData>
  <autoFilter ref="A2:P30" xr:uid="{00000000-0009-0000-0000-000012000000}">
    <sortState xmlns:xlrd2="http://schemas.microsoft.com/office/spreadsheetml/2017/richdata2" ref="A3:P30">
      <sortCondition ref="J2:J30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  <vt:lpstr>21-3</vt:lpstr>
      <vt:lpstr>23-3</vt:lpstr>
      <vt:lpstr>24-3</vt:lpstr>
      <vt:lpstr>25-3</vt:lpstr>
      <vt:lpstr>26-3</vt:lpstr>
      <vt:lpstr>27-3</vt:lpstr>
      <vt:lpstr>28-3</vt:lpstr>
      <vt:lpstr>30-3</vt:lpstr>
      <vt:lpstr>31-3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2026-04-01T03:56:46Z</dcterms:modified>
</cp:coreProperties>
</file>