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"/>
    </mc:Choice>
  </mc:AlternateContent>
  <xr:revisionPtr revIDLastSave="0" documentId="13_ncr:1_{F9DA4D2E-A3C9-49AF-B767-7A41BD9D22E2}" xr6:coauthVersionLast="47" xr6:coauthVersionMax="47" xr10:uidLastSave="{00000000-0000-0000-0000-000000000000}"/>
  <bookViews>
    <workbookView xWindow="-120" yWindow="-120" windowWidth="29040" windowHeight="15720" activeTab="7" xr2:uid="{07C974F8-99FB-4C7E-9A60-2AB7B39D2515}"/>
  </bookViews>
  <sheets>
    <sheet name="02-03" sheetId="1" r:id="rId1"/>
    <sheet name="09-03" sheetId="6" r:id="rId2"/>
    <sheet name="10-03" sheetId="7" r:id="rId3"/>
    <sheet name="11-03" sheetId="8" r:id="rId4"/>
    <sheet name="12-03" sheetId="9" r:id="rId5"/>
    <sheet name="13-03" sheetId="10" r:id="rId6"/>
    <sheet name="14-03" sheetId="11" r:id="rId7"/>
    <sheet name="18-03" sheetId="12" r:id="rId8"/>
  </sheets>
  <definedNames>
    <definedName name="_xlnm._FilterDatabase" localSheetId="1" hidden="1">'09-03'!$A$2:$Q$66</definedName>
    <definedName name="_xlnm._FilterDatabase" localSheetId="2" hidden="1">'10-03'!$A$2:$S$36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12" l="1"/>
  <c r="I18" i="1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G27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20" i="12"/>
</calcChain>
</file>

<file path=xl/sharedStrings.xml><?xml version="1.0" encoding="utf-8"?>
<sst xmlns="http://schemas.openxmlformats.org/spreadsheetml/2006/main" count="2740" uniqueCount="991">
  <si>
    <t>THU 2</t>
  </si>
  <si>
    <t>NGAY 02-03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</si>
  <si>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</si>
  <si>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</si>
  <si>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</si>
  <si>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</si>
  <si>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</si>
  <si>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</si>
  <si>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</si>
  <si>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</si>
  <si>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</si>
  <si>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</si>
  <si>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</si>
  <si>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</si>
  <si>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</si>
  <si>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</si>
  <si>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</si>
  <si>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</si>
  <si>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</si>
  <si>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Tường Vy</t>
  </si>
  <si>
    <t>HD133277</t>
  </si>
  <si>
    <t>256/40 phạm văn chí p4</t>
  </si>
  <si>
    <t>c.cuong</t>
  </si>
  <si>
    <t>28-02-2026</t>
  </si>
  <si>
    <t>Hằng</t>
  </si>
  <si>
    <t>HD133304</t>
  </si>
  <si>
    <t>547c cmt8</t>
  </si>
  <si>
    <t>c.hieu</t>
  </si>
  <si>
    <t>Thu 916 + ship</t>
  </si>
  <si>
    <t>_hanny_ne</t>
  </si>
  <si>
    <t>HD133306</t>
  </si>
  <si>
    <t>Giao về giua mình cả 51 nguyễn thị minh khai, phường Sài Gòn</t>
  </si>
  <si>
    <t>Phan Ngọc Hân</t>
  </si>
  <si>
    <t>HD133328</t>
  </si>
  <si>
    <t>Lumiere toà West địa chỉ 6284 Vũ Nguyên Giáp, phường An Khánh</t>
  </si>
  <si>
    <t>thu duc</t>
  </si>
  <si>
    <t>trần ngọc song</t>
  </si>
  <si>
    <t>HD133334</t>
  </si>
  <si>
    <t>Ehome nam Sài Gòn block C, Xã Bình Hưng</t>
  </si>
  <si>
    <t>binh chanh</t>
  </si>
  <si>
    <t>SHINE ANNA</t>
  </si>
  <si>
    <t>HD133353</t>
  </si>
  <si>
    <t>26a tam bình phường hiệp bình chánh</t>
  </si>
  <si>
    <t>Hồng Hạnh</t>
  </si>
  <si>
    <t>HD133360</t>
  </si>
  <si>
    <t>362/65 đường Hiệp Thành 13, KP7, Phường Hiệp Thành</t>
  </si>
  <si>
    <t>Fb: quỳnh vũ ( minh hải )</t>
  </si>
  <si>
    <t>HD133366</t>
  </si>
  <si>
    <t>Số 17 đường số 13 phường bình hưng hòa</t>
  </si>
  <si>
    <t>binh tan</t>
  </si>
  <si>
    <t>Lê Thu</t>
  </si>
  <si>
    <t>HD133367</t>
  </si>
  <si>
    <t>180/ 60A Nguyễn Hữu Cảnh, P Thạnh Mỹ Tây</t>
  </si>
  <si>
    <t>binh thanh</t>
  </si>
  <si>
    <t>Coco Coca</t>
  </si>
  <si>
    <t>HD133372</t>
  </si>
  <si>
    <t>730/129/3 hương lộ 2 bình trị đông A</t>
  </si>
  <si>
    <t>Đồ của Ánh hồ</t>
  </si>
  <si>
    <t>HD133382</t>
  </si>
  <si>
    <t>146 tên lửa bình trị đông b</t>
  </si>
  <si>
    <t>Thanh Trúc Ib Chloe Ha</t>
  </si>
  <si>
    <t>HD133394</t>
  </si>
  <si>
    <t>108/20/12 tô hiệu phường hiệp tân</t>
  </si>
  <si>
    <t>tan phu</t>
  </si>
  <si>
    <t>Nguyen Thuy Linh</t>
  </si>
  <si>
    <t>HD133399</t>
  </si>
  <si>
    <t>56 bến vân đồn, p13</t>
  </si>
  <si>
    <t>Sapphire Moon</t>
  </si>
  <si>
    <t>HD133423</t>
  </si>
  <si>
    <t>2/7c Liên khu 2-10, BHHA</t>
  </si>
  <si>
    <t>Nguyễn Thị Loan</t>
  </si>
  <si>
    <t>HD133443</t>
  </si>
  <si>
    <t>522 khu phố an hoà phường hoà lợi, bến cát, bình dương</t>
  </si>
  <si>
    <t>binh duong</t>
  </si>
  <si>
    <t>đơn trả</t>
  </si>
  <si>
    <t>Trang Nguyễn</t>
  </si>
  <si>
    <t>HD133454</t>
  </si>
  <si>
    <t>cc diamond brillant sơn kỳ b1.01.10 sành b1</t>
  </si>
  <si>
    <t>Hà Phan</t>
  </si>
  <si>
    <t>HD133471</t>
  </si>
  <si>
    <t>Khu Glen, số nhà V8-08 Cổng 1 Diamond Brilliant, Sơn Kì</t>
  </si>
  <si>
    <t>bii fb Mai Khanh Huyen</t>
  </si>
  <si>
    <t>HD133484</t>
  </si>
  <si>
    <t>32D/11B Nguyễn Văn Linh, Phường Bình Thuận</t>
  </si>
  <si>
    <t>Nguyễn Hàng Ý Nhi</t>
  </si>
  <si>
    <t>HD133492</t>
  </si>
  <si>
    <t>3B Tân hòa p14</t>
  </si>
  <si>
    <t>Nguyen Nhu</t>
  </si>
  <si>
    <t>HD133496</t>
  </si>
  <si>
    <t>Trường tiểu học Lê Quý Đôn 2A/58 Lê Ngung, Tân Tạo A</t>
  </si>
  <si>
    <t>Phạm Thị Phương Trinh</t>
  </si>
  <si>
    <t>HD133538</t>
  </si>
  <si>
    <t>541/64 Huỳnh Văn Bánh, P.13</t>
  </si>
  <si>
    <t>phu nhuan</t>
  </si>
  <si>
    <t>tên Xuân ( nhan gium Nhi Doan-( nhan gium Lan My Nguyen) )</t>
  </si>
  <si>
    <t>HD133570</t>
  </si>
  <si>
    <t>33/9 Quách Văn Tuấn phuong 12</t>
  </si>
  <si>
    <t>tan binh</t>
  </si>
  <si>
    <t>01-03-2026</t>
  </si>
  <si>
    <t>Đang Phượng</t>
  </si>
  <si>
    <t>HD133589</t>
  </si>
  <si>
    <t>21 đường 996 Tạ Quang Bửu Phường 6</t>
  </si>
  <si>
    <t>Dao Trần</t>
  </si>
  <si>
    <t>HD133595</t>
  </si>
  <si>
    <t>Block E2 Emerald Celadon, đường N4, Sơn Kỳ</t>
  </si>
  <si>
    <t>Cherry Thái</t>
  </si>
  <si>
    <t>HD133603</t>
  </si>
  <si>
    <t>19 tôn dật tiên pường tân phú</t>
  </si>
  <si>
    <t>Bông Xinh</t>
  </si>
  <si>
    <t>HD133614</t>
  </si>
  <si>
    <t>Số 19 đường 52, tml, Kdc Thạnh Mỹ Lợi</t>
  </si>
  <si>
    <t>Quỳnh Như</t>
  </si>
  <si>
    <t>HD133622</t>
  </si>
  <si>
    <t>66/68, Phổ Quang, Phường 2</t>
  </si>
  <si>
    <t>01-03-2025</t>
  </si>
  <si>
    <t>Kem Kem</t>
  </si>
  <si>
    <t>HD133630</t>
  </si>
  <si>
    <t>632/5 lê văn thọ p13</t>
  </si>
  <si>
    <t>go vap</t>
  </si>
  <si>
    <t>Diệu Hiền</t>
  </si>
  <si>
    <t>HD133635</t>
  </si>
  <si>
    <t>163/14/18 tô hiến thành p 13</t>
  </si>
  <si>
    <t>Mèo Chelsea</t>
  </si>
  <si>
    <t>HD133638</t>
  </si>
  <si>
    <t>76 đường số 7 tân kiểng</t>
  </si>
  <si>
    <t>Anh Thu Nguyen</t>
  </si>
  <si>
    <t>HD133643</t>
  </si>
  <si>
    <t>230 cao thắng, p12</t>
  </si>
  <si>
    <t>Ín Nile</t>
  </si>
  <si>
    <t>HD133648</t>
  </si>
  <si>
    <t>429/1 nguyễn kiệm p9</t>
  </si>
  <si>
    <t>Kim Tiên</t>
  </si>
  <si>
    <t>HD133659</t>
  </si>
  <si>
    <t>778 xô viết nghệ tĩnh p25</t>
  </si>
  <si>
    <t>Nguyễn Thuỳ Vân</t>
  </si>
  <si>
    <t>HD133668</t>
  </si>
  <si>
    <t>Phường Tăng Nhơn Phú</t>
  </si>
  <si>
    <t>Chúc</t>
  </si>
  <si>
    <t>HD133678</t>
  </si>
  <si>
    <t>321 An Dương Vương, An Lạc</t>
  </si>
  <si>
    <t>Bánh Đậu</t>
  </si>
  <si>
    <t>HD133680</t>
  </si>
  <si>
    <t>178 đường số 4 ấp 3 xã bà điểm</t>
  </si>
  <si>
    <t>hoc mon</t>
  </si>
  <si>
    <t>coca (kẹ)</t>
  </si>
  <si>
    <t>HD133691</t>
  </si>
  <si>
    <t>532/3/93 kinh dương vương, Phường an lạc</t>
  </si>
  <si>
    <t>Bé Cam</t>
  </si>
  <si>
    <t>HD133697</t>
  </si>
  <si>
    <t>Số 2 đường 31 bình trị đông B</t>
  </si>
  <si>
    <t>Lưu Thanh Thảo</t>
  </si>
  <si>
    <t>HD133702</t>
  </si>
  <si>
    <t>28 Bis Mạc Đỉnh Chi, Đa Kao</t>
  </si>
  <si>
    <t>Nhat Anh (inst naa_vox)</t>
  </si>
  <si>
    <t>HD133708</t>
  </si>
  <si>
    <t>331/70/74m phan huy ích p 14</t>
  </si>
  <si>
    <t>ELLY NGUYÊN - THẮM NGUYÊN</t>
  </si>
  <si>
    <t>HD133725</t>
  </si>
  <si>
    <t>120/3/11 Đặng Thùy Trâm, P13 ( CTY GIA HUY EXPRESS )</t>
  </si>
  <si>
    <t>Thúy Anh</t>
  </si>
  <si>
    <t>HD133729</t>
  </si>
  <si>
    <t>số nhà 56 đường 3A kdc vĩnh lộc, bình hưng hòa b</t>
  </si>
  <si>
    <t>Gạo</t>
  </si>
  <si>
    <t>HD133733</t>
  </si>
  <si>
    <t>48/9K Hồ Biểu Chánh,p11</t>
  </si>
  <si>
    <t>Khánh Thuận</t>
  </si>
  <si>
    <t>HD133734</t>
  </si>
  <si>
    <t>30 tùng thiện vương phường Phú định</t>
  </si>
  <si>
    <t>Phượng Kim</t>
  </si>
  <si>
    <t>HD133737</t>
  </si>
  <si>
    <t>668/16 ql13, hiệp bình phước</t>
  </si>
  <si>
    <t>Phương Nhi</t>
  </si>
  <si>
    <t>HD133744</t>
  </si>
  <si>
    <t>27 đường số 1 khu phố 5 tân tạo a</t>
  </si>
  <si>
    <t>MiMi Phạm</t>
  </si>
  <si>
    <t>HD133752</t>
  </si>
  <si>
    <t>Block A Rio Masteri An Phú, 179 Võ Nguyên Giáp, Thảo Điền</t>
  </si>
  <si>
    <t>Thu Thảo</t>
  </si>
  <si>
    <t>HD133761</t>
  </si>
  <si>
    <t>448/13 phạm văn chiêu p9</t>
  </si>
  <si>
    <t>Anh Nhi Phương hoa (ah ni )</t>
  </si>
  <si>
    <t>HD133765</t>
  </si>
  <si>
    <t>007 Lô B, Đường C6, C/c Tây Thạnh, P. Tây Thạnh</t>
  </si>
  <si>
    <t>Kim Ngân</t>
  </si>
  <si>
    <t>HD133814</t>
  </si>
  <si>
    <t>292/1 gò dầu</t>
  </si>
  <si>
    <t>Nguyễn Ngọc Mỹ Huyền</t>
  </si>
  <si>
    <t>HD133870</t>
  </si>
  <si>
    <t>813 tran xuan soạn tân hưng</t>
  </si>
  <si>
    <t>Bich Thuy</t>
  </si>
  <si>
    <t>HD133910</t>
  </si>
  <si>
    <t>Số 9 đường 10, kp37, ( phường Bình Chiểu )</t>
  </si>
  <si>
    <t>Phạm Đỗ Như Quỳnh</t>
  </si>
  <si>
    <t>HD133916</t>
  </si>
  <si>
    <t>47A Phổ Quang phường 2</t>
  </si>
  <si>
    <t>Cô Hoa - fb Tinou Huynh</t>
  </si>
  <si>
    <t>HD133918</t>
  </si>
  <si>
    <t>162/18/37 Nguyễn Duy Cung p12</t>
  </si>
  <si>
    <t>Xuan Ngoc An</t>
  </si>
  <si>
    <t>HD133923</t>
  </si>
  <si>
    <t>1002 Tạ Quang Bửu, chung cư Pegasuite - sảnh 2</t>
  </si>
  <si>
    <t>W24130 Miki (Chou)</t>
  </si>
  <si>
    <t>HD133930</t>
  </si>
  <si>
    <t>375 tân thới hiệp 21, Tổ 3,Kp3</t>
  </si>
  <si>
    <t>Huỳnh Như fb Bùi Quỳnh</t>
  </si>
  <si>
    <t>HD133944</t>
  </si>
  <si>
    <t>304/10/19, đường số 5, phường bình hưng hòa A</t>
  </si>
  <si>
    <t>Donna Kha</t>
  </si>
  <si>
    <t>HD133980</t>
  </si>
  <si>
    <t>45/88/2c bình tiên f7</t>
  </si>
  <si>
    <t>02-03-2026</t>
  </si>
  <si>
    <t>Chan Bảo Quyên</t>
  </si>
  <si>
    <t>HD133992</t>
  </si>
  <si>
    <t>49/77 đường số 51 p14</t>
  </si>
  <si>
    <t>Nguyễn Thị Diễm Trang</t>
  </si>
  <si>
    <t>HD133998</t>
  </si>
  <si>
    <t>Chung cư lavita charm block b 58 số 1</t>
  </si>
  <si>
    <t>Thế Diễm</t>
  </si>
  <si>
    <t>HD134006</t>
  </si>
  <si>
    <t>159 Võ Nguyên Giáp, P Thảo Điền Chung cư Masteri Thảo Điền (Tháp 3)</t>
  </si>
  <si>
    <t>Minh Hải Quỳnh Vũ</t>
  </si>
  <si>
    <t>HD134009</t>
  </si>
  <si>
    <t>17 Đường Số 13 Phường Bình Hưng Hòa</t>
  </si>
  <si>
    <t>Táo Đỏ</t>
  </si>
  <si>
    <t>HD134012</t>
  </si>
  <si>
    <t>The Sun Avenue S6 APARTMENT - 28 Mai Chí Thọ, Phường Bình Trưng</t>
  </si>
  <si>
    <t>Nguyễn Huyền Trang</t>
  </si>
  <si>
    <t>HD134017</t>
  </si>
  <si>
    <t>67 duong 14 khu lovera khang điền phong phú 4</t>
  </si>
  <si>
    <t>Nguyễn Thanh Vân</t>
  </si>
  <si>
    <t>HD134022</t>
  </si>
  <si>
    <t>29 do doc long f tân thành</t>
  </si>
  <si>
    <t>Ginny Tran</t>
  </si>
  <si>
    <t>HD134027</t>
  </si>
  <si>
    <t>153/12/1 cao thắng, p11</t>
  </si>
  <si>
    <t>Nguyễn Thuỷ</t>
  </si>
  <si>
    <t>HD134035</t>
  </si>
  <si>
    <t>702/6C Nguyễn thị định phường cát lái</t>
  </si>
  <si>
    <t>Huyền trang</t>
  </si>
  <si>
    <t>HD134036</t>
  </si>
  <si>
    <t>Shophouse C00.04, Tòa C, Masteri Centre Point, TP Thủ Đức (Gần trạm xe đạp công cộng Masteri C)</t>
  </si>
  <si>
    <t>a.quyen</t>
  </si>
  <si>
    <t>Tiara Dumawa (sumthingtopasabuy)</t>
  </si>
  <si>
    <t>HD134043</t>
  </si>
  <si>
    <t>Room #303 188BF2 Nguyen Van Huong St., P. Thao Dien</t>
  </si>
  <si>
    <t>02-03-2026.</t>
  </si>
  <si>
    <t>Huyền Nhung</t>
  </si>
  <si>
    <t>HD134054</t>
  </si>
  <si>
    <t>910 Nguyễn chí thanh, p4</t>
  </si>
  <si>
    <t>Đình Lâm</t>
  </si>
  <si>
    <t>HD134055</t>
  </si>
  <si>
    <t>78/21A Nguyễn Văn Khối, P11</t>
  </si>
  <si>
    <t>hiền - fb Jolie Ngoc Diem</t>
  </si>
  <si>
    <t>HD134062</t>
  </si>
  <si>
    <t>12A đường Bạch đằng, p2</t>
  </si>
  <si>
    <t>hàng sỉ</t>
  </si>
  <si>
    <t>Mie</t>
  </si>
  <si>
    <t>275/14B1 Đặng Nguyên Cẩn, Phường Phú Lâm</t>
  </si>
  <si>
    <t>Ly Clara Selena</t>
  </si>
  <si>
    <t>403 tân sơn p12</t>
  </si>
  <si>
    <t>SU ANH</t>
  </si>
  <si>
    <t>22/40 Yên Thế, P2</t>
  </si>
  <si>
    <t>TUYẾT NHI</t>
  </si>
  <si>
    <t>170F Tân Hòa Đông f14</t>
  </si>
  <si>
    <t>NGAY 9-3</t>
  </si>
  <si>
    <t>Bích Huyền</t>
  </si>
  <si>
    <t>HD135961</t>
  </si>
  <si>
    <t>453/120/49A, Lê Văn Khương, Hiệp Thành</t>
  </si>
  <si>
    <t>AT 9-3</t>
  </si>
  <si>
    <t>09-03-2026</t>
  </si>
  <si>
    <t>duyen my</t>
  </si>
  <si>
    <t>HD136089</t>
  </si>
  <si>
    <t>268/18a le van viet</t>
  </si>
  <si>
    <t>07-03-2026</t>
  </si>
  <si>
    <t>chuyển an tâm</t>
  </si>
  <si>
    <t>x</t>
  </si>
  <si>
    <t>Tô Hà Vi</t>
  </si>
  <si>
    <t>HD136128</t>
  </si>
  <si>
    <t>k04,05 chung cư kingston 223 Đ. Hoàng Văn Thụ, Ward 8</t>
  </si>
  <si>
    <t>HD136214</t>
  </si>
  <si>
    <t>310 phạm văn chiêu, p9, gvap</t>
  </si>
  <si>
    <t>Amy VD Tran</t>
  </si>
  <si>
    <t>HD136240</t>
  </si>
  <si>
    <t>85/8 Nguyễn Hồng Đào phường 14</t>
  </si>
  <si>
    <t>Giáng Hương</t>
  </si>
  <si>
    <t>HD136247</t>
  </si>
  <si>
    <t>111 đường số 10 phường 13</t>
  </si>
  <si>
    <t>Trần Thị Kim Ngân</t>
  </si>
  <si>
    <t>HD136248</t>
  </si>
  <si>
    <t>K3.37 số 36 đường D15A KDC Hưng Phú P. Phước Long B</t>
  </si>
  <si>
    <t>Jerry Lai</t>
  </si>
  <si>
    <t>HD136264</t>
  </si>
  <si>
    <t>341/18 xvnt p24 binh thanh</t>
  </si>
  <si>
    <t>Bảo Trân</t>
  </si>
  <si>
    <t>HD136277</t>
  </si>
  <si>
    <t>44/1 yên đỗ</t>
  </si>
  <si>
    <t>Phẩm Huỳnh</t>
  </si>
  <si>
    <t>HD136278</t>
  </si>
  <si>
    <t>84 phạm Hồng thái phường bến thành</t>
  </si>
  <si>
    <t>đổi hàng</t>
  </si>
  <si>
    <t>Thy Hồng</t>
  </si>
  <si>
    <t>HD136295</t>
  </si>
  <si>
    <t>361/23/3 phan huy ích p14</t>
  </si>
  <si>
    <t>W3227</t>
  </si>
  <si>
    <t>HD136306</t>
  </si>
  <si>
    <t>375 tân thời hiệp 21, Tổ 3 Kp3 ( nhớ gõ đủ)</t>
  </si>
  <si>
    <t>parichat jaiduang</t>
  </si>
  <si>
    <t>HD136313</t>
  </si>
  <si>
    <t>Central 2 Building (C2), Vinhomes Central Park, 208 Nguyen H</t>
  </si>
  <si>
    <t>gộp, shop chịu ship</t>
  </si>
  <si>
    <t>Trần Lê Bích Ngọc</t>
  </si>
  <si>
    <t>HD136314</t>
  </si>
  <si>
    <t>324/9/4 Lý Thường Kiệt, F14</t>
  </si>
  <si>
    <t>Lê Thị Mỹ Quyên</t>
  </si>
  <si>
    <t>HD136315</t>
  </si>
  <si>
    <t>Địa chỉ: 334 tô hiến thành p14 Chung cư kingdom block A</t>
  </si>
  <si>
    <t>Lữ Duyên</t>
  </si>
  <si>
    <t>HD136323</t>
  </si>
  <si>
    <t>76 Quang Trung Tăng nhơn phú B</t>
  </si>
  <si>
    <t>HD136332</t>
  </si>
  <si>
    <t>Emily</t>
  </si>
  <si>
    <t>HD136336</t>
  </si>
  <si>
    <t>36/15 yên thế p2</t>
  </si>
  <si>
    <t>Mẫn Dương</t>
  </si>
  <si>
    <t>HD136342</t>
  </si>
  <si>
    <t>55 đường 39 kdc Vạn Phúc hiệp bình</t>
  </si>
  <si>
    <t>Thuy Tien Le</t>
  </si>
  <si>
    <t>HD136343</t>
  </si>
  <si>
    <t>Chung cư Safira Khang điền 454 võ chí công</t>
  </si>
  <si>
    <t>Vinh Phạm</t>
  </si>
  <si>
    <t>HD136346</t>
  </si>
  <si>
    <t>Chung Cư Sadora, C - 06.02 C - 06.02, Khu Phố 1</t>
  </si>
  <si>
    <t>Thơm Thơm</t>
  </si>
  <si>
    <t>HD136355</t>
  </si>
  <si>
    <t>119 nguyễn văn công p. Hạnh thông</t>
  </si>
  <si>
    <t>Trần Lan</t>
  </si>
  <si>
    <t>HD136367</t>
  </si>
  <si>
    <t>545/16/35A nguyễn xiển, p.long thạnh mỹ</t>
  </si>
  <si>
    <t>Yến Linh</t>
  </si>
  <si>
    <t>HD136385</t>
  </si>
  <si>
    <t>183/50 đường số 28</t>
  </si>
  <si>
    <t>gộp</t>
  </si>
  <si>
    <t>HD136387</t>
  </si>
  <si>
    <t>183/50 đường số 28 phường an nhơn</t>
  </si>
  <si>
    <t>Nabee2530</t>
  </si>
  <si>
    <t>HD136392</t>
  </si>
  <si>
    <t>275/14b1, Đ. Đặng Nguyên Cẩn, Phường 14</t>
  </si>
  <si>
    <t>Thu Thương</t>
  </si>
  <si>
    <t>HD136397</t>
  </si>
  <si>
    <t>554/11 p13 cộng hoà</t>
  </si>
  <si>
    <t>Nhi Le</t>
  </si>
  <si>
    <t>HD136404</t>
  </si>
  <si>
    <t>743/11/10 Hồng Bàng P6</t>
  </si>
  <si>
    <t>HD136405</t>
  </si>
  <si>
    <t>HD136406</t>
  </si>
  <si>
    <t>Note : Bống Kẹo</t>
  </si>
  <si>
    <t>HD136424</t>
  </si>
  <si>
    <t>124 đường 24b bình trị đông binh tân</t>
  </si>
  <si>
    <t>Hi Ha</t>
  </si>
  <si>
    <t>HD136438</t>
  </si>
  <si>
    <t>căn hộ florita - tòa A đường c4, phường Tân Hưng</t>
  </si>
  <si>
    <t>Nhận hộ 15 Nguyễn Hà</t>
  </si>
  <si>
    <t>HD136448</t>
  </si>
  <si>
    <t>433/11/2 LÊ ĐỨC THỌ, Phường 17</t>
  </si>
  <si>
    <t>Hiếu Nguyễn</t>
  </si>
  <si>
    <t>HD136453</t>
  </si>
  <si>
    <t>495/18 tô hiến thành, phường 14</t>
  </si>
  <si>
    <t>Su Su</t>
  </si>
  <si>
    <t>HD136478</t>
  </si>
  <si>
    <t>26/33 đường số 59-p14</t>
  </si>
  <si>
    <t>HD136492</t>
  </si>
  <si>
    <t>86/22 thống nhất p10</t>
  </si>
  <si>
    <t>Trang Hồ Vĩnh Như</t>
  </si>
  <si>
    <t>HD136495</t>
  </si>
  <si>
    <t>35 đặng đức thuật, chung cư RIVERPARK PREMIER Block A, p.Tân Phong ( kế bên tiệm bánh tour les jours)</t>
  </si>
  <si>
    <t>Nguyễn Thị Như Ý</t>
  </si>
  <si>
    <t>HD136498</t>
  </si>
  <si>
    <t>48 Cô Bắc</t>
  </si>
  <si>
    <t>việt hoàng - fb Ly Ly</t>
  </si>
  <si>
    <t>HD136507</t>
  </si>
  <si>
    <t>62 đường số 4 cư xá đô thành</t>
  </si>
  <si>
    <t>đã ck</t>
  </si>
  <si>
    <t>Lý Ngọc Phương</t>
  </si>
  <si>
    <t>HD136509</t>
  </si>
  <si>
    <t>50 lê trực phường 7</t>
  </si>
  <si>
    <t>Tuyết Nguyễn</t>
  </si>
  <si>
    <t>HD136516</t>
  </si>
  <si>
    <t>91/5/17 đường 8 linh trung</t>
  </si>
  <si>
    <t>Hồng Phương</t>
  </si>
  <si>
    <t>HD136530</t>
  </si>
  <si>
    <t>Dc: Empire city - Toà Linden 283 Mai Chí Thọ, Phường Thủ Thiêm</t>
  </si>
  <si>
    <t>LêNguyễn Hải Đăng</t>
  </si>
  <si>
    <t>HD136561</t>
  </si>
  <si>
    <t>17 Mai Chí Thọ, P An Khánh, chung cư Newcity toà venice 2</t>
  </si>
  <si>
    <t>HD136563</t>
  </si>
  <si>
    <t>Nguyễn Trang</t>
  </si>
  <si>
    <t>HD136565</t>
  </si>
  <si>
    <t>132 đường 39 tân quy</t>
  </si>
  <si>
    <t>Nguyễn Quỳnh Nhi</t>
  </si>
  <si>
    <t>HD136597</t>
  </si>
  <si>
    <t>147 đường số An Miên spa an khánh spa an miên</t>
  </si>
  <si>
    <t>Ny-069 294154</t>
  </si>
  <si>
    <t>HD136604</t>
  </si>
  <si>
    <t>301 Phuong Pham Ngu Lao Street, District 1, Ho</t>
  </si>
  <si>
    <t>san san</t>
  </si>
  <si>
    <t>HD136606</t>
  </si>
  <si>
    <t>d/c 357/3 Trần Phú Phường 7</t>
  </si>
  <si>
    <t>Loan Nguyễn</t>
  </si>
  <si>
    <t>HD136612</t>
  </si>
  <si>
    <t>74 Trường Sa, P.17</t>
  </si>
  <si>
    <t>Phạm Thị Thanh Hà</t>
  </si>
  <si>
    <t>HD136620</t>
  </si>
  <si>
    <t>18/7 thanh đa</t>
  </si>
  <si>
    <t>Quyen Nguyễn</t>
  </si>
  <si>
    <t>HD136621</t>
  </si>
  <si>
    <t>Địa chỉ: 220/36/33 Nguyễn Văn khối p9</t>
  </si>
  <si>
    <t>Thuy Tien</t>
  </si>
  <si>
    <t>HD136659</t>
  </si>
  <si>
    <t>132 bến vân đồn f6</t>
  </si>
  <si>
    <t>Kiều fb Alula Phạm</t>
  </si>
  <si>
    <t>HD136668</t>
  </si>
  <si>
    <t>140B phan văn khoẻ p2</t>
  </si>
  <si>
    <t>Trinh @gpt107</t>
  </si>
  <si>
    <t>HD136672</t>
  </si>
  <si>
    <t>162A/1 Tiên Quang Diệu, KP., Phường An Phú</t>
  </si>
  <si>
    <t>luu tra</t>
  </si>
  <si>
    <t>hàng tỉnh</t>
  </si>
  <si>
    <t>xx</t>
  </si>
  <si>
    <t>boramey 015738168</t>
  </si>
  <si>
    <t>HD136676</t>
  </si>
  <si>
    <t>nhà xe khải nam 365 hùng vương</t>
  </si>
  <si>
    <t>Quyên Trần</t>
  </si>
  <si>
    <t>HD136680</t>
  </si>
  <si>
    <t>184 trần văn kiều p10</t>
  </si>
  <si>
    <t>BN182 miki</t>
  </si>
  <si>
    <t>HD136703</t>
  </si>
  <si>
    <t>163 Đường Trương Thị Hoa, phường Tân Thới Hiệp</t>
  </si>
  <si>
    <t>VIVI</t>
  </si>
  <si>
    <t>279 Đường 3/2 phường Vườn Lài</t>
  </si>
  <si>
    <t>thu ship 35k</t>
  </si>
  <si>
    <t>darin</t>
  </si>
  <si>
    <t>375 tân thới hiệp 21, Tổ 3, Kp3</t>
  </si>
  <si>
    <t>ko thu ship</t>
  </si>
  <si>
    <t>thu ship</t>
  </si>
  <si>
    <t>Name-May Oo(Isabella) Lavita Charm</t>
  </si>
  <si>
    <t>58 Đường Số 1, Trường Thọ</t>
  </si>
  <si>
    <t>275/14B1 Đặng Nguyễn Cẩn, Phường Phú Lâm</t>
  </si>
  <si>
    <t>Ari Boutique Hotel</t>
  </si>
  <si>
    <t>16-18 đường số 5, P. Hạnh Thông: Phòng 001</t>
  </si>
  <si>
    <t>THU 3</t>
  </si>
  <si>
    <t>NGAY 10-3</t>
  </si>
  <si>
    <t>Column1</t>
  </si>
  <si>
    <t>Column2</t>
  </si>
  <si>
    <t>Column3</t>
  </si>
  <si>
    <t>Thy Linh Nguyễn</t>
  </si>
  <si>
    <t>HD000056</t>
  </si>
  <si>
    <t>213/15 xóm chiếu phường 15</t>
  </si>
  <si>
    <t>10-03-2026</t>
  </si>
  <si>
    <t>Kim Anh Phạm</t>
  </si>
  <si>
    <t>HD000107</t>
  </si>
  <si>
    <t>16 cư xá tình minh, đường dương bá trạc, phường 1</t>
  </si>
  <si>
    <t>AT 10-3</t>
  </si>
  <si>
    <t>Nguyễn Thị Mỹ Phúc</t>
  </si>
  <si>
    <t>HD000123</t>
  </si>
  <si>
    <t>nhaThe Sun Avenue (tòa S5) 28 Mai Chí Thọ, An Phú</t>
  </si>
  <si>
    <t>HD000133</t>
  </si>
  <si>
    <t>22 Lô A đường số 1, Khu dân cư Phú Mỹ, phường Phú Mỹ</t>
  </si>
  <si>
    <t>Kelly Phan</t>
  </si>
  <si>
    <t>HD000136</t>
  </si>
  <si>
    <t>269/11 Nguyễn Trãi phường Nguyễn Cư Trinh</t>
  </si>
  <si>
    <t>Gia Minh Nguyen</t>
  </si>
  <si>
    <t>HD000142</t>
  </si>
  <si>
    <t>980 võ văn kiệt phường an đông</t>
  </si>
  <si>
    <t>Lộ Thúy Nga</t>
  </si>
  <si>
    <t>HD000143</t>
  </si>
  <si>
    <t>s503 vinhome gradpark đường nguyễn xiển Long thạnh mỹ Quận</t>
  </si>
  <si>
    <t>Hồng Hoa</t>
  </si>
  <si>
    <t>HD000146</t>
  </si>
  <si>
    <t>Địa chỉ. chung cư Feliz en vista số 1 lê hiến mai p thạnh mỹ lợi</t>
  </si>
  <si>
    <t>Tố Như</t>
  </si>
  <si>
    <t>HD000148</t>
  </si>
  <si>
    <t>Đinh Thiên Kim</t>
  </si>
  <si>
    <t>HD000159</t>
  </si>
  <si>
    <t>55/10 đường 181 phường bình Hưng hòa a</t>
  </si>
  <si>
    <t>Người nhận: Fb Phương Mai</t>
  </si>
  <si>
    <t>HD000166</t>
  </si>
  <si>
    <t>433/1 /2 Lê Đức Thọ, Phường 17</t>
  </si>
  <si>
    <t>Lâm Thị Oanh Kiều</t>
  </si>
  <si>
    <t>HD000167</t>
  </si>
  <si>
    <t>41 lê đình thụ p tân thành</t>
  </si>
  <si>
    <t>Thanh Xuân</t>
  </si>
  <si>
    <t>HD000176</t>
  </si>
  <si>
    <t>ba160: tòa Bahamas chung cư Diamond Island, p bình trưng</t>
  </si>
  <si>
    <t>HD000183</t>
  </si>
  <si>
    <t>Lê Ngọc</t>
  </si>
  <si>
    <t>HD000187</t>
  </si>
  <si>
    <t>a36 Cống Quỳnh, P cầu ông lãnh</t>
  </si>
  <si>
    <t>Keo Kimyou / Cambodia number: 093721757</t>
  </si>
  <si>
    <t>HD000189</t>
  </si>
  <si>
    <t>(HLH express): Tổng kho Sài Gòn 9, Lô G2, Đường K1, KCN Cát Lái</t>
  </si>
  <si>
    <t>HD000199</t>
  </si>
  <si>
    <t>361/23/3 phan huy ích phường 14</t>
  </si>
  <si>
    <t>MC Sanita Mao (MV01908)</t>
  </si>
  <si>
    <t>HD000222</t>
  </si>
  <si>
    <t>315/18/6 Nguyễn Thị Tú</t>
  </si>
  <si>
    <t>Trang Nhung Bui</t>
  </si>
  <si>
    <t>HD000248</t>
  </si>
  <si>
    <t>Toà Golden House - Sur wah Fearl 90 Nguyễn Hữu Cảnh - phường 22</t>
  </si>
  <si>
    <t>Như Ý</t>
  </si>
  <si>
    <t>HD000249</t>
  </si>
  <si>
    <t>chung cư Saigor River side - Số 4 đường đào trí, phường phú thuận</t>
  </si>
  <si>
    <t>Lê Thị Quỳnh Yến</t>
  </si>
  <si>
    <t>HD000266</t>
  </si>
  <si>
    <t>120 đề thám</t>
  </si>
  <si>
    <t>Phổn</t>
  </si>
  <si>
    <t>HD000269</t>
  </si>
  <si>
    <t>Cổng 7 đại học tồn Đức thắng, P. Tân Phong</t>
  </si>
  <si>
    <t>Trức linh</t>
  </si>
  <si>
    <t>HD000277</t>
  </si>
  <si>
    <t>The Pegasuite zonel</t>
  </si>
  <si>
    <t>Nguyễn Hoàng Thanh Trúc</t>
  </si>
  <si>
    <t>HD000307</t>
  </si>
  <si>
    <t>14/31 Hồ Văn Tư kp1 phường Trường Thọ</t>
  </si>
  <si>
    <t>Nguyễn Anh Thư</t>
  </si>
  <si>
    <t>HD000328</t>
  </si>
  <si>
    <t>453/16 đường Tô Ngọc Vân, p Tam Bình</t>
  </si>
  <si>
    <t>Thuy Duong Vo</t>
  </si>
  <si>
    <t>HD000340</t>
  </si>
  <si>
    <t>242 nguyên công tru</t>
  </si>
  <si>
    <t>Ngọc Dung (Wendy NZ) fb Ngọc Thu</t>
  </si>
  <si>
    <t>HD000348</t>
  </si>
  <si>
    <t>652/14 Cộng Hoà, P13</t>
  </si>
  <si>
    <t>Duyên Nguyễn</t>
  </si>
  <si>
    <t>HD000353</t>
  </si>
  <si>
    <t>1244/64/7 Lê Đức Thọ, p13</t>
  </si>
  <si>
    <t>W3136</t>
  </si>
  <si>
    <t>HD136608</t>
  </si>
  <si>
    <t>375 Tân Thới Hiệp</t>
  </si>
  <si>
    <t>Ánh Phương</t>
  </si>
  <si>
    <t>HD136685</t>
  </si>
  <si>
    <t>747 hoàng hữu nam</t>
  </si>
  <si>
    <t>NGÂN KIM</t>
  </si>
  <si>
    <t>T8-20 mahattan Vinhomes Grand park</t>
  </si>
  <si>
    <t>NGUYÊN NGUYÊN</t>
  </si>
  <si>
    <t>12 TÔN ĐÀN P13</t>
  </si>
  <si>
    <t>4</t>
  </si>
  <si>
    <t>jenny bouti</t>
  </si>
  <si>
    <t>401 Quang trung</t>
  </si>
  <si>
    <t>thu 2170 + ship 30, shop chịu ship</t>
  </si>
  <si>
    <t>LISA</t>
  </si>
  <si>
    <t>685 tân sơn phường 12</t>
  </si>
  <si>
    <t>THU 4</t>
  </si>
  <si>
    <t>NGAY 11-3</t>
  </si>
  <si>
    <t>HD000173</t>
  </si>
  <si>
    <t>230 ca thắng, p12</t>
  </si>
  <si>
    <t>10</t>
  </si>
  <si>
    <t>11-03-2026</t>
  </si>
  <si>
    <t>Yến Yến</t>
  </si>
  <si>
    <t>HD000278</t>
  </si>
  <si>
    <t>Toà 15 masteti thảo điền</t>
  </si>
  <si>
    <t>Kokoro Hat</t>
  </si>
  <si>
    <t>HD000331</t>
  </si>
  <si>
    <t>Cc Hope Garden hẻm 102 Phan Huy Ích, P15</t>
  </si>
  <si>
    <t>Ngọc Trang</t>
  </si>
  <si>
    <t>HD000367</t>
  </si>
  <si>
    <t>Foxshop 28 Lê Văn Duyệt, P1, Binh Thạnh</t>
  </si>
  <si>
    <t>Heng Roza (EV38382)</t>
  </si>
  <si>
    <t>HD000386</t>
  </si>
  <si>
    <t>315/18/6 Nhuyễn Thị Tú, Phường Bình Hưng Hòa B</t>
  </si>
  <si>
    <t>AT  11-03</t>
  </si>
  <si>
    <t>HD000426</t>
  </si>
  <si>
    <t>16 cư xá bình minh,đường dương bá trạc,phường 1</t>
  </si>
  <si>
    <t>8</t>
  </si>
  <si>
    <t>Khánh Linh</t>
  </si>
  <si>
    <t>HD000495</t>
  </si>
  <si>
    <t>346 bến vân đồn, Block A2 the gold view</t>
  </si>
  <si>
    <t>Pham Huong</t>
  </si>
  <si>
    <t>HD000519</t>
  </si>
  <si>
    <t>764/50/41 phạm văn chiêu p15</t>
  </si>
  <si>
    <t>Lê Tường Vy</t>
  </si>
  <si>
    <t>HD000535</t>
  </si>
  <si>
    <t>194/4/5 bùi đình tuý phường 14</t>
  </si>
  <si>
    <t>Ý Mỹ</t>
  </si>
  <si>
    <t>HD000581</t>
  </si>
  <si>
    <t>662/4 sư vạn hạnh p12</t>
  </si>
  <si>
    <t>Hoa tran</t>
  </si>
  <si>
    <t>HD000603</t>
  </si>
  <si>
    <t>23 duong so 8, Tan quy</t>
  </si>
  <si>
    <t>Sang phạm</t>
  </si>
  <si>
    <t>HD000606</t>
  </si>
  <si>
    <t>3, Địa chỉ: 221/7/2 đường Đất Thánh p6</t>
  </si>
  <si>
    <t>Cẩm Tú</t>
  </si>
  <si>
    <t>HD000609</t>
  </si>
  <si>
    <t>chung cư terrace 21 võ trường toản</t>
  </si>
  <si>
    <t>2</t>
  </si>
  <si>
    <t>JJ Huy Đặng</t>
  </si>
  <si>
    <t>HD000613</t>
  </si>
  <si>
    <t>423/21 đoàn văn bơ, phường 13</t>
  </si>
  <si>
    <t>Tran Quynh Giao</t>
  </si>
  <si>
    <t>HD000620</t>
  </si>
  <si>
    <t>26/22 đường số 7 phường 3</t>
  </si>
  <si>
    <t>Nguyễn Thu Thảo</t>
  </si>
  <si>
    <t>HD000621</t>
  </si>
  <si>
    <t>a5/16q quốc lộ 1A- tân tạo a- bình tân( sửa xe hữu toàn)</t>
  </si>
  <si>
    <t>Khoa Lê Đăng</t>
  </si>
  <si>
    <t>HD000626</t>
  </si>
  <si>
    <t>Chung Cư A2, Phim Xích Long, Cầu Kiệu</t>
  </si>
  <si>
    <t>Hi Hà</t>
  </si>
  <si>
    <t>HD000630</t>
  </si>
  <si>
    <t>ăn hộ florita - tòa A đường 14, phường Tân tưng, TP +CM</t>
  </si>
  <si>
    <t>7</t>
  </si>
  <si>
    <t>Lily Lim</t>
  </si>
  <si>
    <t>HD000640</t>
  </si>
  <si>
    <t>Địa chỉ nhà: 49 Trần Văn Dư - Phường 13</t>
  </si>
  <si>
    <t>Ngọc Elly</t>
  </si>
  <si>
    <t>HD000655</t>
  </si>
  <si>
    <t>54B nguyễn văn trỗi phường 15</t>
  </si>
  <si>
    <t>Yến Như</t>
  </si>
  <si>
    <t>HD000674</t>
  </si>
  <si>
    <t>213 Bưng Ông Thoàn, Tăng Nhơn Phú B</t>
  </si>
  <si>
    <t>9</t>
  </si>
  <si>
    <t>NABY 22</t>
  </si>
  <si>
    <t>90/35 Trần Văn Ơn, Phường Tân Sơn Nhì</t>
  </si>
  <si>
    <t>Thu 7800 + ship 50</t>
  </si>
  <si>
    <t>THU 5</t>
  </si>
  <si>
    <t>NGAY 12-3</t>
  </si>
  <si>
    <t>Mỹ Yến</t>
  </si>
  <si>
    <t>HD000727</t>
  </si>
  <si>
    <t>18 nguyễn văn lượng p6</t>
  </si>
  <si>
    <t>12-03-2026</t>
  </si>
  <si>
    <t>Anh Nguyên</t>
  </si>
  <si>
    <t>HD001050</t>
  </si>
  <si>
    <t>F1/7a đường Vĩnh lộc, Vĩnh lộc a</t>
  </si>
  <si>
    <t>AT  12-03</t>
  </si>
  <si>
    <t>HD001096</t>
  </si>
  <si>
    <t>6</t>
  </si>
  <si>
    <t>Nguyễn Yến Nhi</t>
  </si>
  <si>
    <t>HD000945</t>
  </si>
  <si>
    <t>Chung cư Citihome, block B, 71CL-Cát Lái, tp</t>
  </si>
  <si>
    <t>Ngọc Nguyễn</t>
  </si>
  <si>
    <t>HD000901</t>
  </si>
  <si>
    <t>Tòa T1B chung cư M-One, 35/12 bề văn cấm, p tân kiểng</t>
  </si>
  <si>
    <t>Huỳnh Phương Mỹ Duyên</t>
  </si>
  <si>
    <t>HD000776</t>
  </si>
  <si>
    <t>21 bis đường số 10, phường bình an</t>
  </si>
  <si>
    <t>Thảo Nguyên</t>
  </si>
  <si>
    <t>HD001079</t>
  </si>
  <si>
    <t>chung cư Garden Court 2, đ.Tôn Dật Tiên</t>
  </si>
  <si>
    <t>Jessie Beauty</t>
  </si>
  <si>
    <t>HD000732</t>
  </si>
  <si>
    <t>- Địa chỉ: 71/2/13 Nguyễn Bặc, Phường 3</t>
  </si>
  <si>
    <t>Lý Thảo</t>
  </si>
  <si>
    <t>HD000824</t>
  </si>
  <si>
    <t>181b/7 âu dương lên p2</t>
  </si>
  <si>
    <t>Dung Nguyễn</t>
  </si>
  <si>
    <t>HD000777</t>
  </si>
  <si>
    <t>192 Trần Bá Giao P5</t>
  </si>
  <si>
    <t>Huong Burrin</t>
  </si>
  <si>
    <t>HD000623</t>
  </si>
  <si>
    <t>193 nguyen thai học</t>
  </si>
  <si>
    <t>1</t>
  </si>
  <si>
    <t>Nguyễn Lê Tường Vi</t>
  </si>
  <si>
    <t>HD000767</t>
  </si>
  <si>
    <t>35/75/10 cao lỗ, p4</t>
  </si>
  <si>
    <t>Yumi Trân</t>
  </si>
  <si>
    <t>HD01064</t>
  </si>
  <si>
    <t>Số 4 đường 31 phường tân kiểng</t>
  </si>
  <si>
    <t>Bùi Hiền</t>
  </si>
  <si>
    <t>HD000780</t>
  </si>
  <si>
    <t>276 trần não phường an bình</t>
  </si>
  <si>
    <t>Tram Anh Nguyen</t>
  </si>
  <si>
    <t>HD000724</t>
  </si>
  <si>
    <t>Chung cư green view, đường số 17 để trong khay tròn màu trắng,mã căn hộ C7-2</t>
  </si>
  <si>
    <t>Tiên Tiên</t>
  </si>
  <si>
    <t>HD001087</t>
  </si>
  <si>
    <t>33 đường số 2, phường 6 ( khu dân cư phương việt )</t>
  </si>
  <si>
    <t>HD000898</t>
  </si>
  <si>
    <t>54B nguyễn văn trỗi phường 5</t>
  </si>
  <si>
    <t>Thao</t>
  </si>
  <si>
    <t>HD001093</t>
  </si>
  <si>
    <t>Thao 57 Tân tiến p8</t>
  </si>
  <si>
    <t>Đào Hạnh nhận hộ An Hy</t>
  </si>
  <si>
    <t>HD000829</t>
  </si>
  <si>
    <t>24 Yên Thế, Phường 2</t>
  </si>
  <si>
    <t>Thị trang (fb Selenia hạn)</t>
  </si>
  <si>
    <t>HD000709</t>
  </si>
  <si>
    <t>139/2 nguyễn văn lượng, f g cấp</t>
  </si>
  <si>
    <t>CUS COne Nine Nine Five Zero</t>
  </si>
  <si>
    <t>HD000997</t>
  </si>
  <si>
    <t>270B Lý thường kiệt, khu phố 1, Phường 6</t>
  </si>
  <si>
    <t>Harry Hung</t>
  </si>
  <si>
    <t>HD000706</t>
  </si>
  <si>
    <t>82 đường số 10, cityland park hill</t>
  </si>
  <si>
    <t>Thủy An</t>
  </si>
  <si>
    <t>HD001015</t>
  </si>
  <si>
    <t>100 25/5 Trần hưng đạo</t>
  </si>
  <si>
    <t>Trâm Nguyễn</t>
  </si>
  <si>
    <t>HD000772</t>
  </si>
  <si>
    <t>462/ A 17 Đường 3/2 P12</t>
  </si>
  <si>
    <t>Kim Thủy</t>
  </si>
  <si>
    <t>HD001089</t>
  </si>
  <si>
    <t>532/3/6 kinh dương vương</t>
  </si>
  <si>
    <t>Ngọc Mỹ Kim</t>
  </si>
  <si>
    <t>HD000694</t>
  </si>
  <si>
    <t>Chung cu topaz elite drgon 2c p4 ta quang buu</t>
  </si>
  <si>
    <t>Táo Táo</t>
  </si>
  <si>
    <t>HD000808</t>
  </si>
  <si>
    <t>149 đường số 39 Tân Hưng</t>
  </si>
  <si>
    <t>Ngọc Nhi</t>
  </si>
  <si>
    <t>HD000908</t>
  </si>
  <si>
    <t>Chung cư tara 1A tạ quang bửu p6</t>
  </si>
  <si>
    <t>Khánh Như</t>
  </si>
  <si>
    <t>HD000826</t>
  </si>
  <si>
    <t>688/23/1c Hương Lộ 2, phường Bình Trị Đông A</t>
  </si>
  <si>
    <t>Dong Nghi</t>
  </si>
  <si>
    <t>HD001112</t>
  </si>
  <si>
    <t>71-73 đường 53 tân quy</t>
  </si>
  <si>
    <t>Ngọc Nương</t>
  </si>
  <si>
    <t>HD000779</t>
  </si>
  <si>
    <t>71a đường 53 tân quy</t>
  </si>
  <si>
    <t>huỳnh hằng</t>
  </si>
  <si>
    <t>HD001104</t>
  </si>
  <si>
    <t>355/2 kênh tân hóa hòa thạnh</t>
  </si>
  <si>
    <t>HD001067</t>
  </si>
  <si>
    <t>Chung cư freshca lock b Phường bình chiểu</t>
  </si>
  <si>
    <t>Nguyễn Chi</t>
  </si>
  <si>
    <t>HD000926</t>
  </si>
  <si>
    <t>172 sư vạn hạnh p9</t>
  </si>
  <si>
    <t>5</t>
  </si>
  <si>
    <t>Hellen Nguyễn</t>
  </si>
  <si>
    <t>HD001062</t>
  </si>
  <si>
    <t>TPHCM: Số 34, Nguyễn Trọng Lội, P.4</t>
  </si>
  <si>
    <t>12 TÔN ĐÁN P13</t>
  </si>
  <si>
    <t>Thu ship</t>
  </si>
  <si>
    <t>403 Tân Sơn p12</t>
  </si>
  <si>
    <t>TRANG LÊ</t>
  </si>
  <si>
    <t>78 nguyễn duy trình, p Bình Trưng</t>
  </si>
  <si>
    <t>KIỀU OANH</t>
  </si>
  <si>
    <t>68/14 nguyễn tư giản p12</t>
  </si>
  <si>
    <t>Thu 590 + ship</t>
  </si>
  <si>
    <t>Xe Phy Phy</t>
  </si>
  <si>
    <t>Phnom penh</t>
  </si>
  <si>
    <t>Thu 1800 + ship</t>
  </si>
  <si>
    <t>Phuong truong</t>
  </si>
  <si>
    <t>41/8 Mai Lão Bạng, Phường 13</t>
  </si>
  <si>
    <t>THU 6</t>
  </si>
  <si>
    <t>NGAY 13-3</t>
  </si>
  <si>
    <t>Khách lẻ</t>
  </si>
  <si>
    <t>HD000921</t>
  </si>
  <si>
    <t>270/11 Phan Đình Phùng ( Cầu Kiệu Phú Nhuận )</t>
  </si>
  <si>
    <t>13-03-2026</t>
  </si>
  <si>
    <t>HD001374</t>
  </si>
  <si>
    <t>Số 2 đường 31 bình trị đông B tình Tân</t>
  </si>
  <si>
    <t>tinh</t>
  </si>
  <si>
    <t>AT 13-03</t>
  </si>
  <si>
    <t>Nguyen Anh Thư</t>
  </si>
  <si>
    <t>HD001429</t>
  </si>
  <si>
    <t>Hạnh Hạnh</t>
  </si>
  <si>
    <t>HD001011</t>
  </si>
  <si>
    <t>334 tôn hiến thành p14 Chung cư kingdom101 block a</t>
  </si>
  <si>
    <t>Thanh Tâm</t>
  </si>
  <si>
    <t>HD001428</t>
  </si>
  <si>
    <t>19/5 trần trọng khiêm, phường long bình</t>
  </si>
  <si>
    <t>Trung Hậu Trung Hậu</t>
  </si>
  <si>
    <t>HD001427</t>
  </si>
  <si>
    <t>sky 89 hoàng quốc việt phường phú thuận</t>
  </si>
  <si>
    <t>Lê hà fb Trang Le</t>
  </si>
  <si>
    <t>HD001402</t>
  </si>
  <si>
    <t>4034 nguyễn duy trinh, phường bình trưng đông</t>
  </si>
  <si>
    <t>Phương mai</t>
  </si>
  <si>
    <t>HD001192</t>
  </si>
  <si>
    <t>3/16 đường 25A</t>
  </si>
  <si>
    <t>Minh Khôi</t>
  </si>
  <si>
    <t>HD001284</t>
  </si>
  <si>
    <t>1/15 hẻm 1 Huỳnh Lan Khanh, phường 2</t>
  </si>
  <si>
    <t>Muội Muội</t>
  </si>
  <si>
    <t>HD001327</t>
  </si>
  <si>
    <t>74/4 trần thái tong p 15</t>
  </si>
  <si>
    <t>Mai Nhung</t>
  </si>
  <si>
    <t>HD001115</t>
  </si>
  <si>
    <t>346 bến vân đồn</t>
  </si>
  <si>
    <t>Khả Hân</t>
  </si>
  <si>
    <t>HD001309</t>
  </si>
  <si>
    <t>chung cư Flora Kikyo Phú Hữu Thử Đức</t>
  </si>
  <si>
    <t>Lê Ngọc Diễm</t>
  </si>
  <si>
    <t>HD001411</t>
  </si>
  <si>
    <t>Chung cư tara. Phường 6</t>
  </si>
  <si>
    <t>HD000628</t>
  </si>
  <si>
    <t>30 tùng thiện vương</t>
  </si>
  <si>
    <t>Phạm Minh Nguyệt</t>
  </si>
  <si>
    <t>HD001314</t>
  </si>
  <si>
    <t>88/5g nguyễn khoái - p. Vĩnh hội</t>
  </si>
  <si>
    <t>pham nhi</t>
  </si>
  <si>
    <t>HD001261</t>
  </si>
  <si>
    <t>Số 12, Đg 01 Hồ Học Lãm, P16</t>
  </si>
  <si>
    <t>shop chịu ship</t>
  </si>
  <si>
    <t>My Trần_Trần My</t>
  </si>
  <si>
    <t>HD000911</t>
  </si>
  <si>
    <t>47 le duan.P ben ghe</t>
  </si>
  <si>
    <t>Quỳnh Lê</t>
  </si>
  <si>
    <t>HD001312</t>
  </si>
  <si>
    <t>7/16 nguyễn trãi phương bến thành</t>
  </si>
  <si>
    <t>Mẫn</t>
  </si>
  <si>
    <t>HD001191</t>
  </si>
  <si>
    <t>người nhận Tâm mini</t>
  </si>
  <si>
    <t>HD001165</t>
  </si>
  <si>
    <t>202B, HOÀNG VĂN THỤ PHƯỜNG 9</t>
  </si>
  <si>
    <t>Diệu Linh</t>
  </si>
  <si>
    <t>HD001151</t>
  </si>
  <si>
    <t>600 Nguyễn lương bằng, P phú mỹ</t>
  </si>
  <si>
    <t>Quyền Trần - fb Trang Nguyễn</t>
  </si>
  <si>
    <t>HD001213</t>
  </si>
  <si>
    <t>184 trần văn kiểu p10</t>
  </si>
  <si>
    <t>thái an an</t>
  </si>
  <si>
    <t>HD001222</t>
  </si>
  <si>
    <t>21 đường số 7 p4</t>
  </si>
  <si>
    <t>Thụy An Dao</t>
  </si>
  <si>
    <t>HD001224</t>
  </si>
  <si>
    <t>Sảnh B2 chung cư Emerald</t>
  </si>
  <si>
    <t>Bánh The</t>
  </si>
  <si>
    <t>HD001211</t>
  </si>
  <si>
    <t>109/11/4 đường số 4 p16</t>
  </si>
  <si>
    <t>Hoàng Anh Thư</t>
  </si>
  <si>
    <t>HD001417</t>
  </si>
  <si>
    <t>109 Bến Vân Đồn P9</t>
  </si>
  <si>
    <t>Trần Phương Thảo</t>
  </si>
  <si>
    <t>HD001416</t>
  </si>
  <si>
    <t>41/14 đường tam bình, tam phú</t>
  </si>
  <si>
    <t>Hong Yang</t>
  </si>
  <si>
    <t>HD001414</t>
  </si>
  <si>
    <t>Scenic valley 2 - Block B Tôn dật tiên - p</t>
  </si>
  <si>
    <t>chị trang (fb Selena Phạm)</t>
  </si>
  <si>
    <t>HD001278</t>
  </si>
  <si>
    <t>139/2 nguyễn văn lượng</t>
  </si>
  <si>
    <t>Sun Na</t>
  </si>
  <si>
    <t>HD001256</t>
  </si>
  <si>
    <t>Chung cư cardinal court toà B</t>
  </si>
  <si>
    <t>Hoàng Kim</t>
  </si>
  <si>
    <t>HD001423</t>
  </si>
  <si>
    <t>Dream Home Palace (1436 Trịnh Quang Nghị, P7)</t>
  </si>
  <si>
    <t>g nghi</t>
  </si>
  <si>
    <t>Mai Mều</t>
  </si>
  <si>
    <t>HD001321</t>
  </si>
  <si>
    <t>168/8/1 Trần Văn Quang P10</t>
  </si>
  <si>
    <t>Ngọc - fb Duong Jade</t>
  </si>
  <si>
    <t>HD001413</t>
  </si>
  <si>
    <t>Ship và 55 Hiệp Nhất</t>
  </si>
  <si>
    <t>Thao San</t>
  </si>
  <si>
    <t>HD001209</t>
  </si>
  <si>
    <t>Hòm thư 35.10 zone B park 1 vinhomes tân cảng phường 22 quận</t>
  </si>
  <si>
    <t>linh</t>
  </si>
  <si>
    <t>Số nhà 97A, đường 22</t>
  </si>
  <si>
    <t>BELLA</t>
  </si>
  <si>
    <t>66 đường 17 p10</t>
  </si>
  <si>
    <t>Hong Nho + NGUYỄN THỊ DIỄM CHI
Luck Luck</t>
  </si>
  <si>
    <t>29/7 Yên Thế, Phường 2</t>
  </si>
  <si>
    <t>Minh Tuệ</t>
  </si>
  <si>
    <t>Anh Đào nhận dùm fb Ngô Thu</t>
  </si>
  <si>
    <t>HD001379</t>
  </si>
  <si>
    <t>72 Tân Hải, Phường 13</t>
  </si>
  <si>
    <t>THU 7</t>
  </si>
  <si>
    <t>NGAY 14-3</t>
  </si>
  <si>
    <t>12 TÔN ĐẢN P13</t>
  </si>
  <si>
    <t>14-03-2026</t>
  </si>
  <si>
    <t>LYKA</t>
  </si>
  <si>
    <t>xe Khải Nam 363 Đường Hùng vương P. 9</t>
  </si>
  <si>
    <t>170F Tân Hoà Đông f14</t>
  </si>
  <si>
    <t>AT 14-03</t>
  </si>
  <si>
    <t>Thu 740 + ship</t>
  </si>
  <si>
    <t>Bảo Thi</t>
  </si>
  <si>
    <t>HD001492</t>
  </si>
  <si>
    <t>47/15 Bùi thị lùng, xã hóc môn</t>
  </si>
  <si>
    <t>fb My Nhung</t>
  </si>
  <si>
    <t>HD001593</t>
  </si>
  <si>
    <t>số 13 đường số 9, P13</t>
  </si>
  <si>
    <t>Phan Thanh My</t>
  </si>
  <si>
    <t>HD001638</t>
  </si>
  <si>
    <t>730/7/2A Lê Đức Thọ, P. An Hội Đông</t>
  </si>
  <si>
    <t>HIẾU (fb Huyen Nguyen)</t>
  </si>
  <si>
    <t>HD001636</t>
  </si>
  <si>
    <t>623/43 CMT8 p15</t>
  </si>
  <si>
    <t>Yến Nhi</t>
  </si>
  <si>
    <t>HD000475</t>
  </si>
  <si>
    <t>312 nguyễn thượng hiền p5</t>
  </si>
  <si>
    <t>Phạm Như Ý</t>
  </si>
  <si>
    <t>HD001455</t>
  </si>
  <si>
    <t>49 đường f kdc bình điền p7</t>
  </si>
  <si>
    <t>Hằng Pu</t>
  </si>
  <si>
    <t>HD001523</t>
  </si>
  <si>
    <t>74/2 lê thị riêng p.bến thành</t>
  </si>
  <si>
    <t>Trang Phạm</t>
  </si>
  <si>
    <t>HD001633</t>
  </si>
  <si>
    <t>16/3 đường số 51 p hiệp bình chánh thủ đức kp8</t>
  </si>
  <si>
    <t>Tuyết Nhung ( Vy Vy - VY VY LE YUAN)</t>
  </si>
  <si>
    <t>HD001552</t>
  </si>
  <si>
    <t>66 đường số 17, phường 10</t>
  </si>
  <si>
    <t>Ngân Hà Hotel- phòng 502</t>
  </si>
  <si>
    <t>HD001607</t>
  </si>
  <si>
    <t>190 lê thánh tôn</t>
  </si>
  <si>
    <t>Dinh Luong</t>
  </si>
  <si>
    <t>HD031559</t>
  </si>
  <si>
    <t>246 nguyễn duy dương f4</t>
  </si>
  <si>
    <t>Sam</t>
  </si>
  <si>
    <t>HD001502</t>
  </si>
  <si>
    <t>Toà nhà Tea Garden 108/69A Trần Quang Diệu P14</t>
  </si>
  <si>
    <t>3</t>
  </si>
  <si>
    <t>Phạm Thị Bà . Trân</t>
  </si>
  <si>
    <t>HD001398</t>
  </si>
  <si>
    <t>13/28 đường số 36 hiệp bình chánh</t>
  </si>
  <si>
    <t>Miu Phụng nhận hộ fb Kiêu Nguyễn</t>
  </si>
  <si>
    <t>HD001634</t>
  </si>
  <si>
    <t>Diễm My</t>
  </si>
  <si>
    <t>HD001590</t>
  </si>
  <si>
    <t>số nhà 56 đường 29 cát lái</t>
  </si>
  <si>
    <t>Nguyễn Thị Kim Thoa</t>
  </si>
  <si>
    <t>HD001465</t>
  </si>
  <si>
    <t>số 25a đường 22 bình hưng hòa a</t>
  </si>
  <si>
    <t>Ngọc Phạm</t>
  </si>
  <si>
    <t>HD001576</t>
  </si>
  <si>
    <t>80 BÀ HUYỆN THANH QUAN, P.9</t>
  </si>
  <si>
    <t>Trần Thu Thảoo</t>
  </si>
  <si>
    <t>HD001499</t>
  </si>
  <si>
    <t>Topaz City sánh A1 39 cao lỗ phường chánh hưng</t>
  </si>
  <si>
    <t>Bé Loan</t>
  </si>
  <si>
    <t>HD001561</t>
  </si>
  <si>
    <t>631/49 tl10 p.bình trị đông</t>
  </si>
  <si>
    <t>Nhung Xuxy</t>
  </si>
  <si>
    <t>HD001631</t>
  </si>
  <si>
    <t>2/11 thiên phước phường 9</t>
  </si>
  <si>
    <t>Ly Ly Nguyen</t>
  </si>
  <si>
    <t>HD001619</t>
  </si>
  <si>
    <t>Chung cư A3 đường Phan xích Long phường 7</t>
  </si>
  <si>
    <t>HD001591</t>
  </si>
  <si>
    <t>HD001618</t>
  </si>
  <si>
    <t>CUS Oone Nine Nine Five Zero</t>
  </si>
  <si>
    <t>HD001620</t>
  </si>
  <si>
    <t>Quỳnh Tây</t>
  </si>
  <si>
    <t>HD001458</t>
  </si>
  <si>
    <t>Empire city - tòa tilis Thủ thiêm</t>
  </si>
  <si>
    <t>hsu_myat_tg</t>
  </si>
  <si>
    <t>HD001608</t>
  </si>
  <si>
    <t>2A/14, Nguyễn Thị Minh Khai, P. Đakao</t>
  </si>
  <si>
    <t>NGAY 18-3</t>
  </si>
  <si>
    <t>Nguyễn Kim Ngân</t>
  </si>
  <si>
    <t>HD002716</t>
  </si>
  <si>
    <t>Lavida Plus, Nguyễn Văn Linh, Tân Phong</t>
  </si>
  <si>
    <t>AT 18-03</t>
  </si>
  <si>
    <t>18-03-2026</t>
  </si>
  <si>
    <t>Phương Đào</t>
  </si>
  <si>
    <t>HD002836</t>
  </si>
  <si>
    <t>100/1 B khu phố1, đường Tân thới nhất 11,phường Tân thới nhất</t>
  </si>
  <si>
    <t>12</t>
  </si>
  <si>
    <t>Jenny Tran</t>
  </si>
  <si>
    <t>HD002603</t>
  </si>
  <si>
    <t>Pé Py</t>
  </si>
  <si>
    <t>HD002724</t>
  </si>
  <si>
    <t>HD002625</t>
  </si>
  <si>
    <t>Ngọc Trương</t>
  </si>
  <si>
    <t>HD002835</t>
  </si>
  <si>
    <t>462 phan xích long p2</t>
  </si>
  <si>
    <t>Ngọc Lan</t>
  </si>
  <si>
    <t>HD002643</t>
  </si>
  <si>
    <t>W3235</t>
  </si>
  <si>
    <t>HD002687</t>
  </si>
  <si>
    <t>Địa chỉ: 375 tân thới hiệp 21, Tổ 3,Kp3 ( nhớ gỗ đủ)</t>
  </si>
  <si>
    <t>Võ Thu Hà</t>
  </si>
  <si>
    <t>HD002809</t>
  </si>
  <si>
    <t>262/15 lũy bán bích, hòa thạch</t>
  </si>
  <si>
    <t>Chocopie Nguyen</t>
  </si>
  <si>
    <t>HD002660</t>
  </si>
  <si>
    <t>Thanh Tiên</t>
  </si>
  <si>
    <t>HD002513</t>
  </si>
  <si>
    <t>Cherry Nguyễn</t>
  </si>
  <si>
    <t>HD002837</t>
  </si>
  <si>
    <t>66 hùng vương p1</t>
  </si>
  <si>
    <t>HD002700</t>
  </si>
  <si>
    <t>Ly Na</t>
  </si>
  <si>
    <t>HD002697</t>
  </si>
  <si>
    <t>98 vũ tông phan, p bình trưng</t>
  </si>
  <si>
    <t>lindsiepham</t>
  </si>
  <si>
    <t>HD002689</t>
  </si>
  <si>
    <t>landmark 5b vinhomes central park</t>
  </si>
  <si>
    <t>VICKY TRAN</t>
  </si>
  <si>
    <t>737/1C Lạc Long Quân F10</t>
  </si>
  <si>
    <t>13 mai xuân thưởng, p11</t>
  </si>
  <si>
    <t>May Oo (Isabella)</t>
  </si>
  <si>
    <t>494/1/12 le quang dinh,P1</t>
  </si>
  <si>
    <t>127/17 bình lợi p13</t>
  </si>
  <si>
    <t>47 bùi đình tuý, P14</t>
  </si>
  <si>
    <t>2 đường 22 phường long bình</t>
  </si>
  <si>
    <t>54/17b tô ngọc vân, Thạnh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</si>
</sst>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left"/>
    </xf>
    <xf numFmtId="49" fontId="0" fillId="2" borderId="0" xfId="0" applyNumberFormat="1" applyFill="1"/>
    <xf numFmtId="0" fontId="0" fillId="0" borderId="0" xfId="0" quotePrefix="1"/>
    <xf numFmtId="0" fontId="3" fillId="2" borderId="0" xfId="0" applyFont="1" applyFill="1"/>
    <xf numFmtId="0" fontId="0" fillId="2" borderId="0" xfId="0" quotePrefix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0" fillId="4" borderId="0" xfId="0" applyFill="1"/>
    <xf numFmtId="49" fontId="0" fillId="2" borderId="0" xfId="0" applyNumberFormat="1" applyFill="1" applyAlignment="1">
      <alignment horizontal="left"/>
    </xf>
    <xf numFmtId="0" fontId="0" fillId="5" borderId="0" xfId="0" applyFill="1"/>
    <xf numFmtId="49" fontId="0" fillId="5" borderId="0" xfId="0" applyNumberFormat="1" applyFill="1" applyAlignment="1">
      <alignment horizontal="left"/>
    </xf>
    <xf numFmtId="49" fontId="2" fillId="2" borderId="0" xfId="0" applyNumberFormat="1" applyFont="1" applyFill="1"/>
    <xf numFmtId="0" fontId="0" fillId="6" borderId="0" xfId="0" applyFill="1"/>
    <xf numFmtId="49" fontId="0" fillId="6" borderId="0" xfId="0" applyNumberFormat="1" applyFill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49" fontId="2" fillId="4" borderId="0" xfId="0" applyNumberFormat="1" applyFont="1" applyFill="1"/>
    <xf numFmtId="0" fontId="0" fillId="7" borderId="0" xfId="0" applyFill="1"/>
    <xf numFmtId="49" fontId="0" fillId="7" borderId="0" xfId="0" applyNumberFormat="1" applyFill="1" applyAlignment="1">
      <alignment horizontal="left"/>
    </xf>
    <xf numFmtId="0" fontId="1" fillId="4" borderId="0" xfId="0" applyFont="1" applyFill="1"/>
    <xf numFmtId="0" fontId="3" fillId="2" borderId="0" xfId="0" applyFont="1" applyFill="1" applyAlignment="1">
      <alignment horizontal="left"/>
    </xf>
    <xf numFmtId="49" fontId="3" fillId="2" borderId="0" xfId="0" quotePrefix="1" applyNumberFormat="1" applyFont="1" applyFill="1"/>
    <xf numFmtId="0" fontId="0" fillId="8" borderId="0" xfId="0" applyFill="1"/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/>
    </xf>
    <xf numFmtId="49" fontId="0" fillId="8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/>
    <xf numFmtId="0" fontId="0" fillId="9" borderId="0" xfId="0" applyFill="1"/>
    <xf numFmtId="49" fontId="0" fillId="9" borderId="0" xfId="0" applyNumberFormat="1" applyFill="1"/>
    <xf numFmtId="0" fontId="0" fillId="9" borderId="0" xfId="0" quotePrefix="1" applyFill="1"/>
    <xf numFmtId="49" fontId="0" fillId="4" borderId="0" xfId="0" applyNumberFormat="1" applyFill="1"/>
    <xf numFmtId="0" fontId="0" fillId="10" borderId="0" xfId="0" applyFill="1"/>
    <xf numFmtId="0" fontId="0" fillId="9" borderId="0" xfId="0" applyFill="1" applyAlignment="1">
      <alignment wrapText="1"/>
    </xf>
    <xf numFmtId="0" fontId="0" fillId="11" borderId="0" xfId="0" applyFill="1"/>
    <xf numFmtId="49" fontId="0" fillId="11" borderId="0" xfId="0" applyNumberFormat="1" applyFill="1"/>
    <xf numFmtId="49" fontId="2" fillId="4" borderId="0" xfId="0" applyNumberFormat="1" applyFont="1" applyFill="1" applyAlignment="1">
      <alignment horizontal="left"/>
    </xf>
    <xf numFmtId="0" fontId="0" fillId="12" borderId="0" xfId="0" applyFill="1"/>
    <xf numFmtId="49" fontId="0" fillId="12" borderId="0" xfId="0" applyNumberFormat="1" applyFill="1"/>
  </cellXfs>
  <cellStyles count="1">
    <cellStyle name="Normal" xfId="0" builtinId="0"/>
  </cellStyles>
  <dxfs count="3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79E4-6AF1-4138-8EC4-BF56EAE92DF6}">
  <dimension ref="A1:P80"/>
  <sheetViews>
    <sheetView zoomScale="85" zoomScaleNormal="85" workbookViewId="0">
      <pane ySplit="2" topLeftCell="A3" activePane="bottomLeft" state="frozenSplit"/>
      <selection activeCell="J73" sqref="J73"/>
      <selection pane="bottomLeft" activeCell="J73" sqref="J73"/>
    </sheetView>
  </sheetViews>
  <sheetFormatPr defaultRowHeight="15" x14ac:dyDescent="0.25"/>
  <cols>
    <col min="1" max="1" width="9.140625" customWidth="1"/>
    <col min="2" max="2" width="17.5703125" bestFit="1" customWidth="1"/>
    <col min="3" max="3" width="56.5703125" bestFit="1" customWidth="1"/>
    <col min="4" max="4" width="9.5703125" bestFit="1" customWidth="1"/>
    <col min="5" max="5" width="90.5703125" bestFit="1" customWidth="1"/>
    <col min="6" max="6" width="11" bestFit="1" customWidth="1"/>
    <col min="7" max="11" width="9.140625" customWidth="1"/>
    <col min="12" max="12" width="11" bestFit="1" customWidth="1"/>
  </cols>
  <sheetData>
    <row r="1" spans="1:16" x14ac:dyDescent="0.25">
      <c r="B1" t="s">
        <v>0</v>
      </c>
      <c r="C1" t="s">
        <v>1</v>
      </c>
    </row>
    <row r="2" spans="1:16" ht="1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x14ac:dyDescent="0.25">
      <c r="B3" t="s">
        <v>0</v>
      </c>
      <c r="C3" t="s">
        <v>1</v>
      </c>
      <c r="F3" s="1"/>
      <c r="I3">
        <f t="shared" ref="I3:I34" si="0">G3-H3</f>
        <v>0</v>
      </c>
    </row>
    <row r="4" spans="1:16" x14ac:dyDescent="0.25">
      <c r="B4" t="s">
        <v>0</v>
      </c>
      <c r="C4" t="s">
        <v>1</v>
      </c>
      <c r="F4" s="1"/>
      <c r="I4">
        <f t="shared" si="0"/>
        <v>0</v>
      </c>
    </row>
    <row r="5" spans="1:16" x14ac:dyDescent="0.25">
      <c r="B5" t="s">
        <v>18</v>
      </c>
      <c r="C5" t="s">
        <v>19</v>
      </c>
      <c r="D5" t="s">
        <v>20</v>
      </c>
      <c r="E5" t="s">
        <v>21</v>
      </c>
      <c r="F5" s="1">
        <v>6</v>
      </c>
      <c r="G5">
        <v>810</v>
      </c>
      <c r="H5">
        <v>25</v>
      </c>
      <c r="I5">
        <f t="shared" si="0"/>
        <v>785</v>
      </c>
      <c r="K5" t="s">
        <v>22</v>
      </c>
      <c r="L5" t="s">
        <v>23</v>
      </c>
    </row>
    <row r="6" spans="1:16" x14ac:dyDescent="0.25">
      <c r="B6" t="s">
        <v>18</v>
      </c>
      <c r="C6" t="s">
        <v>24</v>
      </c>
      <c r="D6" t="s">
        <v>25</v>
      </c>
      <c r="E6" t="s">
        <v>26</v>
      </c>
      <c r="F6" s="1">
        <v>10</v>
      </c>
      <c r="G6">
        <v>990</v>
      </c>
      <c r="H6">
        <v>25</v>
      </c>
      <c r="I6">
        <f t="shared" si="0"/>
        <v>965</v>
      </c>
      <c r="J6" t="s">
        <v>27</v>
      </c>
      <c r="K6" t="s">
        <v>22</v>
      </c>
      <c r="L6" t="s">
        <v>23</v>
      </c>
      <c r="M6" t="s">
        <v>28</v>
      </c>
    </row>
    <row r="7" spans="1:16" x14ac:dyDescent="0.25">
      <c r="B7" t="s">
        <v>18</v>
      </c>
      <c r="C7" t="s">
        <v>29</v>
      </c>
      <c r="D7" t="s">
        <v>30</v>
      </c>
      <c r="E7" t="s">
        <v>31</v>
      </c>
      <c r="F7" s="1">
        <v>1</v>
      </c>
      <c r="G7">
        <v>740</v>
      </c>
      <c r="H7">
        <v>25</v>
      </c>
      <c r="I7">
        <f t="shared" si="0"/>
        <v>715</v>
      </c>
      <c r="J7" t="s">
        <v>27</v>
      </c>
      <c r="K7" t="s">
        <v>22</v>
      </c>
      <c r="L7" t="s">
        <v>23</v>
      </c>
    </row>
    <row r="8" spans="1:16" x14ac:dyDescent="0.25">
      <c r="B8" t="s">
        <v>18</v>
      </c>
      <c r="C8" t="s">
        <v>32</v>
      </c>
      <c r="D8" t="s">
        <v>33</v>
      </c>
      <c r="E8" t="s">
        <v>34</v>
      </c>
      <c r="F8" s="1" t="s">
        <v>35</v>
      </c>
      <c r="G8">
        <v>740</v>
      </c>
      <c r="H8">
        <v>30</v>
      </c>
      <c r="I8">
        <f t="shared" si="0"/>
        <v>710</v>
      </c>
      <c r="J8" t="s">
        <v>22</v>
      </c>
      <c r="K8" t="s">
        <v>22</v>
      </c>
      <c r="L8" t="s">
        <v>23</v>
      </c>
    </row>
    <row r="9" spans="1:16" x14ac:dyDescent="0.25">
      <c r="B9" t="s">
        <v>18</v>
      </c>
      <c r="C9" t="s">
        <v>36</v>
      </c>
      <c r="D9" t="s">
        <v>37</v>
      </c>
      <c r="E9" t="s">
        <v>38</v>
      </c>
      <c r="F9" s="1" t="s">
        <v>39</v>
      </c>
      <c r="G9">
        <v>670</v>
      </c>
      <c r="H9">
        <v>35</v>
      </c>
      <c r="I9">
        <f t="shared" si="0"/>
        <v>635</v>
      </c>
      <c r="K9" t="s">
        <v>22</v>
      </c>
      <c r="L9" t="s">
        <v>23</v>
      </c>
    </row>
    <row r="10" spans="1:16" x14ac:dyDescent="0.25">
      <c r="B10" t="s">
        <v>18</v>
      </c>
      <c r="C10" t="s">
        <v>40</v>
      </c>
      <c r="D10" t="s">
        <v>41</v>
      </c>
      <c r="E10" t="s">
        <v>42</v>
      </c>
      <c r="F10" s="1" t="s">
        <v>35</v>
      </c>
      <c r="G10">
        <v>342</v>
      </c>
      <c r="H10">
        <v>30</v>
      </c>
      <c r="I10">
        <f t="shared" si="0"/>
        <v>312</v>
      </c>
      <c r="J10" t="s">
        <v>22</v>
      </c>
      <c r="K10" t="s">
        <v>22</v>
      </c>
      <c r="L10" t="s">
        <v>23</v>
      </c>
    </row>
    <row r="11" spans="1:16" x14ac:dyDescent="0.25">
      <c r="B11" t="s">
        <v>18</v>
      </c>
      <c r="C11" t="s">
        <v>43</v>
      </c>
      <c r="D11" t="s">
        <v>44</v>
      </c>
      <c r="E11" t="s">
        <v>45</v>
      </c>
      <c r="F11" s="1">
        <v>1</v>
      </c>
      <c r="G11">
        <v>756</v>
      </c>
      <c r="H11">
        <v>25</v>
      </c>
      <c r="I11">
        <f t="shared" si="0"/>
        <v>731</v>
      </c>
      <c r="K11" t="s">
        <v>22</v>
      </c>
      <c r="L11" t="s">
        <v>23</v>
      </c>
    </row>
    <row r="12" spans="1:16" x14ac:dyDescent="0.25">
      <c r="B12" t="s">
        <v>18</v>
      </c>
      <c r="C12" t="s">
        <v>46</v>
      </c>
      <c r="D12" t="s">
        <v>47</v>
      </c>
      <c r="E12" t="s">
        <v>48</v>
      </c>
      <c r="F12" s="1" t="s">
        <v>49</v>
      </c>
      <c r="G12">
        <v>670</v>
      </c>
      <c r="H12">
        <v>30</v>
      </c>
      <c r="I12">
        <f t="shared" si="0"/>
        <v>640</v>
      </c>
      <c r="K12" t="s">
        <v>22</v>
      </c>
      <c r="L12" t="s">
        <v>23</v>
      </c>
    </row>
    <row r="13" spans="1:16" x14ac:dyDescent="0.25">
      <c r="B13" t="s">
        <v>18</v>
      </c>
      <c r="C13" t="s">
        <v>50</v>
      </c>
      <c r="D13" t="s">
        <v>51</v>
      </c>
      <c r="E13" t="s">
        <v>52</v>
      </c>
      <c r="F13" s="1" t="s">
        <v>53</v>
      </c>
      <c r="G13">
        <v>1630</v>
      </c>
      <c r="H13">
        <v>20</v>
      </c>
      <c r="I13">
        <f t="shared" si="0"/>
        <v>1610</v>
      </c>
      <c r="J13" t="s">
        <v>22</v>
      </c>
      <c r="K13" t="s">
        <v>22</v>
      </c>
      <c r="L13" t="s">
        <v>23</v>
      </c>
    </row>
    <row r="14" spans="1:16" x14ac:dyDescent="0.25">
      <c r="B14" t="s">
        <v>18</v>
      </c>
      <c r="C14" t="s">
        <v>54</v>
      </c>
      <c r="D14" t="s">
        <v>55</v>
      </c>
      <c r="E14" t="s">
        <v>56</v>
      </c>
      <c r="F14" s="1" t="s">
        <v>49</v>
      </c>
      <c r="G14">
        <v>380</v>
      </c>
      <c r="H14">
        <v>30</v>
      </c>
      <c r="I14">
        <f t="shared" si="0"/>
        <v>350</v>
      </c>
      <c r="K14" t="s">
        <v>22</v>
      </c>
      <c r="L14" t="s">
        <v>23</v>
      </c>
    </row>
    <row r="15" spans="1:16" x14ac:dyDescent="0.25">
      <c r="B15" t="s">
        <v>18</v>
      </c>
      <c r="C15" t="s">
        <v>57</v>
      </c>
      <c r="D15" t="s">
        <v>58</v>
      </c>
      <c r="E15" t="s">
        <v>59</v>
      </c>
      <c r="F15" s="1" t="s">
        <v>49</v>
      </c>
      <c r="G15">
        <v>380</v>
      </c>
      <c r="H15">
        <v>30</v>
      </c>
      <c r="I15">
        <f t="shared" si="0"/>
        <v>350</v>
      </c>
      <c r="K15" t="s">
        <v>22</v>
      </c>
      <c r="L15" t="s">
        <v>23</v>
      </c>
    </row>
    <row r="16" spans="1:16" x14ac:dyDescent="0.25">
      <c r="B16" t="s">
        <v>18</v>
      </c>
      <c r="C16" t="s">
        <v>60</v>
      </c>
      <c r="D16" t="s">
        <v>61</v>
      </c>
      <c r="E16" t="s">
        <v>62</v>
      </c>
      <c r="F16" s="1" t="s">
        <v>63</v>
      </c>
      <c r="G16">
        <v>840</v>
      </c>
      <c r="H16">
        <v>25</v>
      </c>
      <c r="I16">
        <f t="shared" si="0"/>
        <v>815</v>
      </c>
      <c r="K16" t="s">
        <v>22</v>
      </c>
      <c r="L16" t="s">
        <v>23</v>
      </c>
    </row>
    <row r="17" spans="2:13" x14ac:dyDescent="0.25">
      <c r="B17" t="s">
        <v>18</v>
      </c>
      <c r="C17" t="s">
        <v>64</v>
      </c>
      <c r="D17" t="s">
        <v>65</v>
      </c>
      <c r="E17" t="s">
        <v>66</v>
      </c>
      <c r="F17" s="1">
        <v>4</v>
      </c>
      <c r="G17">
        <v>1350</v>
      </c>
      <c r="H17">
        <v>25</v>
      </c>
      <c r="I17">
        <f t="shared" si="0"/>
        <v>1325</v>
      </c>
      <c r="J17" t="s">
        <v>27</v>
      </c>
      <c r="K17" t="s">
        <v>22</v>
      </c>
      <c r="L17" t="s">
        <v>23</v>
      </c>
    </row>
    <row r="18" spans="2:13" x14ac:dyDescent="0.25">
      <c r="B18" t="s">
        <v>18</v>
      </c>
      <c r="C18" t="s">
        <v>67</v>
      </c>
      <c r="D18" t="s">
        <v>68</v>
      </c>
      <c r="E18" t="s">
        <v>69</v>
      </c>
      <c r="F18" s="1" t="s">
        <v>49</v>
      </c>
      <c r="G18">
        <v>0</v>
      </c>
      <c r="H18">
        <v>30</v>
      </c>
      <c r="I18">
        <f t="shared" si="0"/>
        <v>-30</v>
      </c>
      <c r="K18" t="s">
        <v>22</v>
      </c>
      <c r="L18" t="s">
        <v>23</v>
      </c>
    </row>
    <row r="19" spans="2:13" x14ac:dyDescent="0.25">
      <c r="B19" t="s">
        <v>18</v>
      </c>
      <c r="C19" t="s">
        <v>70</v>
      </c>
      <c r="D19" t="s">
        <v>71</v>
      </c>
      <c r="E19" t="s">
        <v>72</v>
      </c>
      <c r="F19" s="1" t="s">
        <v>73</v>
      </c>
      <c r="G19">
        <v>0</v>
      </c>
      <c r="H19">
        <v>35</v>
      </c>
      <c r="I19">
        <f t="shared" si="0"/>
        <v>-35</v>
      </c>
      <c r="K19" t="s">
        <v>22</v>
      </c>
      <c r="L19" t="s">
        <v>23</v>
      </c>
      <c r="M19" t="s">
        <v>74</v>
      </c>
    </row>
    <row r="20" spans="2:13" x14ac:dyDescent="0.25">
      <c r="B20" t="s">
        <v>18</v>
      </c>
      <c r="C20" t="s">
        <v>75</v>
      </c>
      <c r="D20" t="s">
        <v>76</v>
      </c>
      <c r="E20" t="s">
        <v>77</v>
      </c>
      <c r="F20" s="1" t="s">
        <v>63</v>
      </c>
      <c r="G20">
        <v>670</v>
      </c>
      <c r="H20">
        <v>25</v>
      </c>
      <c r="I20">
        <f t="shared" si="0"/>
        <v>645</v>
      </c>
      <c r="K20" t="s">
        <v>22</v>
      </c>
      <c r="L20" t="s">
        <v>23</v>
      </c>
    </row>
    <row r="21" spans="2:13" x14ac:dyDescent="0.25">
      <c r="B21" t="s">
        <v>18</v>
      </c>
      <c r="C21" t="s">
        <v>78</v>
      </c>
      <c r="D21" t="s">
        <v>79</v>
      </c>
      <c r="E21" t="s">
        <v>80</v>
      </c>
      <c r="F21" s="1" t="s">
        <v>63</v>
      </c>
      <c r="G21">
        <v>940</v>
      </c>
      <c r="H21">
        <v>25</v>
      </c>
      <c r="I21">
        <f t="shared" si="0"/>
        <v>915</v>
      </c>
      <c r="K21" t="s">
        <v>22</v>
      </c>
      <c r="L21" t="s">
        <v>23</v>
      </c>
    </row>
    <row r="22" spans="2:13" x14ac:dyDescent="0.25">
      <c r="B22" t="s">
        <v>18</v>
      </c>
      <c r="C22" t="s">
        <v>81</v>
      </c>
      <c r="D22" t="s">
        <v>82</v>
      </c>
      <c r="E22" t="s">
        <v>83</v>
      </c>
      <c r="F22" s="1">
        <v>7</v>
      </c>
      <c r="G22">
        <v>0</v>
      </c>
      <c r="H22">
        <v>30</v>
      </c>
      <c r="I22">
        <f t="shared" si="0"/>
        <v>-30</v>
      </c>
      <c r="K22" t="s">
        <v>22</v>
      </c>
      <c r="L22" t="s">
        <v>23</v>
      </c>
    </row>
    <row r="23" spans="2:13" x14ac:dyDescent="0.25">
      <c r="B23" t="s">
        <v>18</v>
      </c>
      <c r="C23" t="s">
        <v>84</v>
      </c>
      <c r="D23" t="s">
        <v>85</v>
      </c>
      <c r="E23" t="s">
        <v>86</v>
      </c>
      <c r="F23" s="1">
        <v>6</v>
      </c>
      <c r="G23">
        <v>1680</v>
      </c>
      <c r="H23">
        <v>25</v>
      </c>
      <c r="I23">
        <f t="shared" si="0"/>
        <v>1655</v>
      </c>
      <c r="K23" t="s">
        <v>22</v>
      </c>
      <c r="L23" t="s">
        <v>23</v>
      </c>
    </row>
    <row r="24" spans="2:13" x14ac:dyDescent="0.25">
      <c r="B24" t="s">
        <v>18</v>
      </c>
      <c r="C24" t="s">
        <v>87</v>
      </c>
      <c r="D24" t="s">
        <v>88</v>
      </c>
      <c r="E24" t="s">
        <v>89</v>
      </c>
      <c r="F24" s="1" t="s">
        <v>49</v>
      </c>
      <c r="G24">
        <v>0</v>
      </c>
      <c r="H24">
        <v>30</v>
      </c>
      <c r="I24">
        <f t="shared" si="0"/>
        <v>-30</v>
      </c>
      <c r="K24" t="s">
        <v>22</v>
      </c>
      <c r="L24" t="s">
        <v>23</v>
      </c>
    </row>
    <row r="25" spans="2:13" x14ac:dyDescent="0.25">
      <c r="B25" t="s">
        <v>18</v>
      </c>
      <c r="C25" t="s">
        <v>90</v>
      </c>
      <c r="D25" t="s">
        <v>91</v>
      </c>
      <c r="E25" t="s">
        <v>92</v>
      </c>
      <c r="F25" s="1" t="s">
        <v>93</v>
      </c>
      <c r="G25">
        <v>670</v>
      </c>
      <c r="H25">
        <v>20</v>
      </c>
      <c r="I25">
        <f t="shared" si="0"/>
        <v>650</v>
      </c>
      <c r="J25" t="s">
        <v>27</v>
      </c>
      <c r="K25" t="s">
        <v>22</v>
      </c>
      <c r="L25" t="s">
        <v>23</v>
      </c>
    </row>
    <row r="26" spans="2:13" x14ac:dyDescent="0.25">
      <c r="B26" t="s">
        <v>18</v>
      </c>
      <c r="C26" t="s">
        <v>94</v>
      </c>
      <c r="D26" t="s">
        <v>95</v>
      </c>
      <c r="E26" t="s">
        <v>96</v>
      </c>
      <c r="F26" s="1" t="s">
        <v>97</v>
      </c>
      <c r="G26">
        <v>0</v>
      </c>
      <c r="H26">
        <v>25</v>
      </c>
      <c r="I26">
        <f t="shared" si="0"/>
        <v>-25</v>
      </c>
      <c r="J26" t="s">
        <v>22</v>
      </c>
      <c r="K26" t="s">
        <v>22</v>
      </c>
      <c r="L26" t="s">
        <v>98</v>
      </c>
    </row>
    <row r="27" spans="2:13" x14ac:dyDescent="0.25">
      <c r="B27" t="s">
        <v>18</v>
      </c>
      <c r="C27" t="s">
        <v>99</v>
      </c>
      <c r="D27" t="s">
        <v>100</v>
      </c>
      <c r="E27" t="s">
        <v>101</v>
      </c>
      <c r="F27" s="1">
        <v>8</v>
      </c>
      <c r="G27">
        <v>0</v>
      </c>
      <c r="H27">
        <v>25</v>
      </c>
      <c r="I27">
        <f t="shared" si="0"/>
        <v>-25</v>
      </c>
      <c r="K27" t="s">
        <v>22</v>
      </c>
      <c r="L27" t="s">
        <v>98</v>
      </c>
    </row>
    <row r="28" spans="2:13" x14ac:dyDescent="0.25">
      <c r="B28" t="s">
        <v>18</v>
      </c>
      <c r="C28" t="s">
        <v>102</v>
      </c>
      <c r="D28" t="s">
        <v>103</v>
      </c>
      <c r="E28" t="s">
        <v>104</v>
      </c>
      <c r="F28" s="1" t="s">
        <v>63</v>
      </c>
      <c r="G28">
        <v>740</v>
      </c>
      <c r="H28">
        <v>25</v>
      </c>
      <c r="I28">
        <f t="shared" si="0"/>
        <v>715</v>
      </c>
      <c r="K28" t="s">
        <v>22</v>
      </c>
      <c r="L28" t="s">
        <v>98</v>
      </c>
    </row>
    <row r="29" spans="2:13" x14ac:dyDescent="0.25">
      <c r="B29" t="s">
        <v>18</v>
      </c>
      <c r="C29" t="s">
        <v>105</v>
      </c>
      <c r="D29" t="s">
        <v>106</v>
      </c>
      <c r="E29" t="s">
        <v>107</v>
      </c>
      <c r="F29" s="1">
        <v>7</v>
      </c>
      <c r="G29">
        <v>790</v>
      </c>
      <c r="H29">
        <v>30</v>
      </c>
      <c r="I29">
        <f t="shared" si="0"/>
        <v>760</v>
      </c>
      <c r="K29" t="s">
        <v>22</v>
      </c>
      <c r="L29" t="s">
        <v>98</v>
      </c>
    </row>
    <row r="30" spans="2:13" x14ac:dyDescent="0.25">
      <c r="B30" t="s">
        <v>18</v>
      </c>
      <c r="C30" t="s">
        <v>108</v>
      </c>
      <c r="D30" t="s">
        <v>109</v>
      </c>
      <c r="E30" t="s">
        <v>110</v>
      </c>
      <c r="F30" s="1">
        <v>2</v>
      </c>
      <c r="G30">
        <v>0</v>
      </c>
      <c r="H30">
        <v>30</v>
      </c>
      <c r="I30">
        <f t="shared" si="0"/>
        <v>-30</v>
      </c>
      <c r="J30" t="s">
        <v>22</v>
      </c>
      <c r="K30" t="s">
        <v>22</v>
      </c>
      <c r="L30" t="s">
        <v>98</v>
      </c>
    </row>
    <row r="31" spans="2:13" x14ac:dyDescent="0.25">
      <c r="B31" t="s">
        <v>18</v>
      </c>
      <c r="C31" t="s">
        <v>111</v>
      </c>
      <c r="D31" t="s">
        <v>112</v>
      </c>
      <c r="E31" t="s">
        <v>113</v>
      </c>
      <c r="F31" s="1" t="s">
        <v>97</v>
      </c>
      <c r="G31">
        <v>1630</v>
      </c>
      <c r="H31">
        <v>25</v>
      </c>
      <c r="I31">
        <f t="shared" si="0"/>
        <v>1605</v>
      </c>
      <c r="J31" t="s">
        <v>27</v>
      </c>
      <c r="K31" t="s">
        <v>22</v>
      </c>
      <c r="L31" t="s">
        <v>114</v>
      </c>
    </row>
    <row r="32" spans="2:13" x14ac:dyDescent="0.25">
      <c r="B32" t="s">
        <v>18</v>
      </c>
      <c r="C32" t="s">
        <v>115</v>
      </c>
      <c r="D32" t="s">
        <v>116</v>
      </c>
      <c r="E32" t="s">
        <v>117</v>
      </c>
      <c r="F32" s="1" t="s">
        <v>118</v>
      </c>
      <c r="G32">
        <v>690</v>
      </c>
      <c r="H32">
        <v>25</v>
      </c>
      <c r="I32">
        <f t="shared" si="0"/>
        <v>665</v>
      </c>
      <c r="J32" t="s">
        <v>22</v>
      </c>
      <c r="K32" t="s">
        <v>22</v>
      </c>
      <c r="L32" t="s">
        <v>98</v>
      </c>
    </row>
    <row r="33" spans="2:12" x14ac:dyDescent="0.25">
      <c r="B33" t="s">
        <v>18</v>
      </c>
      <c r="C33" t="s">
        <v>119</v>
      </c>
      <c r="D33" t="s">
        <v>120</v>
      </c>
      <c r="E33" t="s">
        <v>121</v>
      </c>
      <c r="F33" s="1">
        <v>10</v>
      </c>
      <c r="G33">
        <v>780</v>
      </c>
      <c r="H33">
        <v>25</v>
      </c>
      <c r="I33">
        <f t="shared" si="0"/>
        <v>755</v>
      </c>
      <c r="J33" t="s">
        <v>27</v>
      </c>
      <c r="K33" t="s">
        <v>22</v>
      </c>
      <c r="L33" t="s">
        <v>98</v>
      </c>
    </row>
    <row r="34" spans="2:12" x14ac:dyDescent="0.25">
      <c r="B34" t="s">
        <v>18</v>
      </c>
      <c r="C34" t="s">
        <v>122</v>
      </c>
      <c r="D34" t="s">
        <v>123</v>
      </c>
      <c r="E34" t="s">
        <v>124</v>
      </c>
      <c r="F34" s="1">
        <v>7</v>
      </c>
      <c r="G34">
        <v>790</v>
      </c>
      <c r="H34">
        <v>30</v>
      </c>
      <c r="I34">
        <f t="shared" si="0"/>
        <v>760</v>
      </c>
      <c r="K34" t="s">
        <v>22</v>
      </c>
      <c r="L34" t="s">
        <v>98</v>
      </c>
    </row>
    <row r="35" spans="2:12" x14ac:dyDescent="0.25">
      <c r="B35" t="s">
        <v>18</v>
      </c>
      <c r="C35" t="s">
        <v>125</v>
      </c>
      <c r="D35" t="s">
        <v>126</v>
      </c>
      <c r="E35" t="s">
        <v>127</v>
      </c>
      <c r="F35" s="1">
        <v>10</v>
      </c>
      <c r="G35">
        <v>670</v>
      </c>
      <c r="H35">
        <v>25</v>
      </c>
      <c r="I35">
        <f t="shared" ref="I35:I66" si="1">G35-H35</f>
        <v>645</v>
      </c>
      <c r="J35" t="s">
        <v>27</v>
      </c>
      <c r="K35" t="s">
        <v>22</v>
      </c>
      <c r="L35" t="s">
        <v>98</v>
      </c>
    </row>
    <row r="36" spans="2:12" x14ac:dyDescent="0.25">
      <c r="B36" t="s">
        <v>18</v>
      </c>
      <c r="C36" t="s">
        <v>128</v>
      </c>
      <c r="D36" t="s">
        <v>129</v>
      </c>
      <c r="E36" t="s">
        <v>130</v>
      </c>
      <c r="F36" s="1" t="s">
        <v>93</v>
      </c>
      <c r="G36">
        <v>670</v>
      </c>
      <c r="H36">
        <v>20</v>
      </c>
      <c r="I36">
        <f t="shared" si="1"/>
        <v>650</v>
      </c>
      <c r="J36" t="s">
        <v>27</v>
      </c>
      <c r="K36" t="s">
        <v>22</v>
      </c>
      <c r="L36" t="s">
        <v>98</v>
      </c>
    </row>
    <row r="37" spans="2:12" x14ac:dyDescent="0.25">
      <c r="B37" t="s">
        <v>18</v>
      </c>
      <c r="C37" t="s">
        <v>131</v>
      </c>
      <c r="D37" t="s">
        <v>132</v>
      </c>
      <c r="E37" t="s">
        <v>133</v>
      </c>
      <c r="F37" s="1" t="s">
        <v>53</v>
      </c>
      <c r="G37">
        <v>840</v>
      </c>
      <c r="H37">
        <v>20</v>
      </c>
      <c r="I37">
        <f t="shared" si="1"/>
        <v>820</v>
      </c>
      <c r="J37" t="s">
        <v>22</v>
      </c>
      <c r="K37" t="s">
        <v>22</v>
      </c>
      <c r="L37" t="s">
        <v>98</v>
      </c>
    </row>
    <row r="38" spans="2:12" x14ac:dyDescent="0.25">
      <c r="B38" t="s">
        <v>18</v>
      </c>
      <c r="C38" t="s">
        <v>134</v>
      </c>
      <c r="D38" t="s">
        <v>135</v>
      </c>
      <c r="E38" t="s">
        <v>136</v>
      </c>
      <c r="F38" s="1" t="s">
        <v>63</v>
      </c>
      <c r="G38">
        <v>0</v>
      </c>
      <c r="H38">
        <v>25</v>
      </c>
      <c r="I38">
        <f t="shared" si="1"/>
        <v>-25</v>
      </c>
      <c r="K38" t="s">
        <v>22</v>
      </c>
      <c r="L38" t="s">
        <v>98</v>
      </c>
    </row>
    <row r="39" spans="2:12" x14ac:dyDescent="0.25">
      <c r="B39" t="s">
        <v>18</v>
      </c>
      <c r="C39" t="s">
        <v>137</v>
      </c>
      <c r="D39" t="s">
        <v>138</v>
      </c>
      <c r="E39" t="s">
        <v>139</v>
      </c>
      <c r="F39" s="1" t="s">
        <v>49</v>
      </c>
      <c r="G39">
        <v>780</v>
      </c>
      <c r="H39">
        <v>30</v>
      </c>
      <c r="I39">
        <f t="shared" si="1"/>
        <v>750</v>
      </c>
      <c r="K39" t="s">
        <v>22</v>
      </c>
      <c r="L39" t="s">
        <v>98</v>
      </c>
    </row>
    <row r="40" spans="2:12" x14ac:dyDescent="0.25">
      <c r="B40" t="s">
        <v>18</v>
      </c>
      <c r="C40" t="s">
        <v>140</v>
      </c>
      <c r="D40" t="s">
        <v>141</v>
      </c>
      <c r="E40" t="s">
        <v>142</v>
      </c>
      <c r="F40" s="1" t="s">
        <v>143</v>
      </c>
      <c r="G40">
        <v>670</v>
      </c>
      <c r="H40">
        <v>35</v>
      </c>
      <c r="I40">
        <f t="shared" si="1"/>
        <v>635</v>
      </c>
      <c r="K40" t="s">
        <v>22</v>
      </c>
      <c r="L40" t="s">
        <v>98</v>
      </c>
    </row>
    <row r="41" spans="2:12" x14ac:dyDescent="0.25">
      <c r="B41" t="s">
        <v>18</v>
      </c>
      <c r="C41" t="s">
        <v>144</v>
      </c>
      <c r="D41" t="s">
        <v>145</v>
      </c>
      <c r="E41" t="s">
        <v>146</v>
      </c>
      <c r="F41" s="1" t="s">
        <v>49</v>
      </c>
      <c r="G41">
        <v>1540</v>
      </c>
      <c r="H41">
        <v>30</v>
      </c>
      <c r="I41">
        <f t="shared" si="1"/>
        <v>1510</v>
      </c>
      <c r="K41" t="s">
        <v>22</v>
      </c>
      <c r="L41" t="s">
        <v>98</v>
      </c>
    </row>
    <row r="42" spans="2:12" x14ac:dyDescent="0.25">
      <c r="B42" t="s">
        <v>18</v>
      </c>
      <c r="C42" t="s">
        <v>147</v>
      </c>
      <c r="D42" t="s">
        <v>148</v>
      </c>
      <c r="E42" t="s">
        <v>149</v>
      </c>
      <c r="F42" s="1" t="s">
        <v>49</v>
      </c>
      <c r="G42">
        <v>810</v>
      </c>
      <c r="H42">
        <v>30</v>
      </c>
      <c r="I42">
        <f t="shared" si="1"/>
        <v>780</v>
      </c>
      <c r="K42" t="s">
        <v>22</v>
      </c>
      <c r="L42" t="s">
        <v>98</v>
      </c>
    </row>
    <row r="43" spans="2:12" x14ac:dyDescent="0.25">
      <c r="B43" t="s">
        <v>18</v>
      </c>
      <c r="C43" t="s">
        <v>150</v>
      </c>
      <c r="D43" t="s">
        <v>151</v>
      </c>
      <c r="E43" t="s">
        <v>152</v>
      </c>
      <c r="F43" s="1">
        <v>1</v>
      </c>
      <c r="G43">
        <v>740</v>
      </c>
      <c r="H43">
        <v>25</v>
      </c>
      <c r="I43">
        <f t="shared" si="1"/>
        <v>715</v>
      </c>
      <c r="J43" t="s">
        <v>27</v>
      </c>
      <c r="K43" t="s">
        <v>22</v>
      </c>
      <c r="L43" t="s">
        <v>98</v>
      </c>
    </row>
    <row r="44" spans="2:12" x14ac:dyDescent="0.25">
      <c r="B44" t="s">
        <v>18</v>
      </c>
      <c r="C44" t="s">
        <v>153</v>
      </c>
      <c r="D44" t="s">
        <v>154</v>
      </c>
      <c r="E44" t="s">
        <v>155</v>
      </c>
      <c r="F44" s="1" t="s">
        <v>118</v>
      </c>
      <c r="G44">
        <v>780</v>
      </c>
      <c r="H44">
        <v>25</v>
      </c>
      <c r="I44">
        <f t="shared" si="1"/>
        <v>755</v>
      </c>
      <c r="J44" t="s">
        <v>22</v>
      </c>
      <c r="K44" t="s">
        <v>22</v>
      </c>
      <c r="L44" t="s">
        <v>98</v>
      </c>
    </row>
    <row r="45" spans="2:12" x14ac:dyDescent="0.25">
      <c r="B45" t="s">
        <v>18</v>
      </c>
      <c r="C45" t="s">
        <v>156</v>
      </c>
      <c r="D45" t="s">
        <v>157</v>
      </c>
      <c r="E45" t="s">
        <v>158</v>
      </c>
      <c r="F45" s="1" t="s">
        <v>53</v>
      </c>
      <c r="G45">
        <v>0</v>
      </c>
      <c r="H45">
        <v>20</v>
      </c>
      <c r="I45">
        <f t="shared" si="1"/>
        <v>-20</v>
      </c>
      <c r="J45" t="s">
        <v>22</v>
      </c>
      <c r="K45" t="s">
        <v>22</v>
      </c>
      <c r="L45" t="s">
        <v>98</v>
      </c>
    </row>
    <row r="46" spans="2:12" x14ac:dyDescent="0.25">
      <c r="B46" t="s">
        <v>18</v>
      </c>
      <c r="C46" t="s">
        <v>159</v>
      </c>
      <c r="D46" t="s">
        <v>160</v>
      </c>
      <c r="E46" t="s">
        <v>161</v>
      </c>
      <c r="F46" s="1" t="s">
        <v>49</v>
      </c>
      <c r="G46">
        <v>0</v>
      </c>
      <c r="H46">
        <v>30</v>
      </c>
      <c r="I46">
        <f t="shared" si="1"/>
        <v>-30</v>
      </c>
      <c r="K46" t="s">
        <v>22</v>
      </c>
      <c r="L46" t="s">
        <v>98</v>
      </c>
    </row>
    <row r="47" spans="2:12" x14ac:dyDescent="0.25">
      <c r="B47" t="s">
        <v>18</v>
      </c>
      <c r="C47" t="s">
        <v>162</v>
      </c>
      <c r="D47" t="s">
        <v>163</v>
      </c>
      <c r="E47" t="s">
        <v>164</v>
      </c>
      <c r="F47" s="1" t="s">
        <v>93</v>
      </c>
      <c r="G47">
        <v>670</v>
      </c>
      <c r="H47">
        <v>20</v>
      </c>
      <c r="I47">
        <f t="shared" si="1"/>
        <v>650</v>
      </c>
      <c r="J47" t="s">
        <v>27</v>
      </c>
      <c r="K47" t="s">
        <v>22</v>
      </c>
      <c r="L47" t="s">
        <v>98</v>
      </c>
    </row>
    <row r="48" spans="2:12" x14ac:dyDescent="0.25">
      <c r="B48" t="s">
        <v>18</v>
      </c>
      <c r="C48" t="s">
        <v>165</v>
      </c>
      <c r="D48" t="s">
        <v>166</v>
      </c>
      <c r="E48" t="s">
        <v>167</v>
      </c>
      <c r="F48" s="1">
        <v>8</v>
      </c>
      <c r="G48">
        <v>670</v>
      </c>
      <c r="H48">
        <v>25</v>
      </c>
      <c r="I48">
        <f t="shared" si="1"/>
        <v>645</v>
      </c>
      <c r="K48" t="s">
        <v>22</v>
      </c>
      <c r="L48" t="s">
        <v>98</v>
      </c>
    </row>
    <row r="49" spans="2:12" x14ac:dyDescent="0.25">
      <c r="B49" t="s">
        <v>18</v>
      </c>
      <c r="C49" t="s">
        <v>168</v>
      </c>
      <c r="D49" t="s">
        <v>169</v>
      </c>
      <c r="E49" t="s">
        <v>170</v>
      </c>
      <c r="F49" s="1" t="s">
        <v>35</v>
      </c>
      <c r="G49">
        <v>670</v>
      </c>
      <c r="H49">
        <v>30</v>
      </c>
      <c r="I49">
        <f t="shared" si="1"/>
        <v>640</v>
      </c>
      <c r="J49" t="s">
        <v>22</v>
      </c>
      <c r="K49" t="s">
        <v>22</v>
      </c>
      <c r="L49" t="s">
        <v>98</v>
      </c>
    </row>
    <row r="50" spans="2:12" x14ac:dyDescent="0.25">
      <c r="B50" t="s">
        <v>18</v>
      </c>
      <c r="C50" t="s">
        <v>171</v>
      </c>
      <c r="D50" t="s">
        <v>172</v>
      </c>
      <c r="E50" t="s">
        <v>173</v>
      </c>
      <c r="F50" s="1" t="s">
        <v>49</v>
      </c>
      <c r="G50">
        <v>1200</v>
      </c>
      <c r="H50">
        <v>30</v>
      </c>
      <c r="I50">
        <f t="shared" si="1"/>
        <v>1170</v>
      </c>
      <c r="K50" t="s">
        <v>22</v>
      </c>
      <c r="L50" t="s">
        <v>98</v>
      </c>
    </row>
    <row r="51" spans="2:12" x14ac:dyDescent="0.25">
      <c r="B51" t="s">
        <v>18</v>
      </c>
      <c r="C51" t="s">
        <v>174</v>
      </c>
      <c r="D51" t="s">
        <v>175</v>
      </c>
      <c r="E51" t="s">
        <v>176</v>
      </c>
      <c r="F51" s="1">
        <v>2</v>
      </c>
      <c r="G51">
        <v>0</v>
      </c>
      <c r="H51">
        <v>30</v>
      </c>
      <c r="I51">
        <f t="shared" si="1"/>
        <v>-30</v>
      </c>
      <c r="J51" t="s">
        <v>22</v>
      </c>
      <c r="K51" t="s">
        <v>22</v>
      </c>
      <c r="L51" t="s">
        <v>98</v>
      </c>
    </row>
    <row r="52" spans="2:12" x14ac:dyDescent="0.25">
      <c r="B52" t="s">
        <v>18</v>
      </c>
      <c r="C52" t="s">
        <v>177</v>
      </c>
      <c r="D52" t="s">
        <v>178</v>
      </c>
      <c r="E52" t="s">
        <v>179</v>
      </c>
      <c r="F52" s="1" t="s">
        <v>118</v>
      </c>
      <c r="G52">
        <v>660</v>
      </c>
      <c r="H52">
        <v>25</v>
      </c>
      <c r="I52">
        <f t="shared" si="1"/>
        <v>635</v>
      </c>
      <c r="J52" t="s">
        <v>22</v>
      </c>
      <c r="K52" t="s">
        <v>22</v>
      </c>
      <c r="L52" t="s">
        <v>98</v>
      </c>
    </row>
    <row r="53" spans="2:12" x14ac:dyDescent="0.25">
      <c r="B53" t="s">
        <v>18</v>
      </c>
      <c r="C53" t="s">
        <v>180</v>
      </c>
      <c r="D53" t="s">
        <v>181</v>
      </c>
      <c r="E53" t="s">
        <v>182</v>
      </c>
      <c r="F53" s="1" t="s">
        <v>63</v>
      </c>
      <c r="G53">
        <v>670</v>
      </c>
      <c r="H53">
        <v>25</v>
      </c>
      <c r="I53">
        <f t="shared" si="1"/>
        <v>645</v>
      </c>
      <c r="K53" t="s">
        <v>22</v>
      </c>
      <c r="L53" t="s">
        <v>114</v>
      </c>
    </row>
    <row r="54" spans="2:12" x14ac:dyDescent="0.25">
      <c r="B54" t="s">
        <v>18</v>
      </c>
      <c r="C54" t="s">
        <v>183</v>
      </c>
      <c r="D54" t="s">
        <v>184</v>
      </c>
      <c r="E54" t="s">
        <v>185</v>
      </c>
      <c r="F54" s="1" t="s">
        <v>63</v>
      </c>
      <c r="G54">
        <v>670</v>
      </c>
      <c r="H54">
        <v>25</v>
      </c>
      <c r="I54">
        <f t="shared" si="1"/>
        <v>645</v>
      </c>
      <c r="K54" t="s">
        <v>22</v>
      </c>
      <c r="L54" t="s">
        <v>98</v>
      </c>
    </row>
    <row r="55" spans="2:12" x14ac:dyDescent="0.25">
      <c r="B55" t="s">
        <v>18</v>
      </c>
      <c r="C55" t="s">
        <v>186</v>
      </c>
      <c r="D55" t="s">
        <v>187</v>
      </c>
      <c r="E55" t="s">
        <v>188</v>
      </c>
      <c r="F55" s="1">
        <v>7</v>
      </c>
      <c r="G55">
        <v>780</v>
      </c>
      <c r="H55">
        <v>30</v>
      </c>
      <c r="I55">
        <f t="shared" si="1"/>
        <v>750</v>
      </c>
      <c r="K55" t="s">
        <v>22</v>
      </c>
      <c r="L55" t="s">
        <v>98</v>
      </c>
    </row>
    <row r="56" spans="2:12" x14ac:dyDescent="0.25">
      <c r="B56" t="s">
        <v>18</v>
      </c>
      <c r="C56" t="s">
        <v>189</v>
      </c>
      <c r="D56" t="s">
        <v>190</v>
      </c>
      <c r="E56" t="s">
        <v>191</v>
      </c>
      <c r="F56" s="1" t="s">
        <v>35</v>
      </c>
      <c r="G56">
        <v>700</v>
      </c>
      <c r="H56">
        <v>30</v>
      </c>
      <c r="I56">
        <f t="shared" si="1"/>
        <v>670</v>
      </c>
      <c r="J56" t="s">
        <v>22</v>
      </c>
      <c r="K56" t="s">
        <v>22</v>
      </c>
      <c r="L56" t="s">
        <v>114</v>
      </c>
    </row>
    <row r="57" spans="2:12" x14ac:dyDescent="0.25">
      <c r="B57" t="s">
        <v>18</v>
      </c>
      <c r="C57" t="s">
        <v>192</v>
      </c>
      <c r="D57" t="s">
        <v>193</v>
      </c>
      <c r="E57" t="s">
        <v>194</v>
      </c>
      <c r="F57" s="1" t="s">
        <v>97</v>
      </c>
      <c r="G57">
        <v>670</v>
      </c>
      <c r="H57">
        <v>25</v>
      </c>
      <c r="I57">
        <f t="shared" si="1"/>
        <v>645</v>
      </c>
      <c r="J57" t="s">
        <v>27</v>
      </c>
      <c r="K57" t="s">
        <v>22</v>
      </c>
      <c r="L57" t="s">
        <v>98</v>
      </c>
    </row>
    <row r="58" spans="2:12" x14ac:dyDescent="0.25">
      <c r="B58" t="s">
        <v>18</v>
      </c>
      <c r="C58" t="s">
        <v>195</v>
      </c>
      <c r="D58" t="s">
        <v>196</v>
      </c>
      <c r="E58" t="s">
        <v>197</v>
      </c>
      <c r="F58" s="1" t="s">
        <v>118</v>
      </c>
      <c r="G58">
        <v>670</v>
      </c>
      <c r="H58">
        <v>25</v>
      </c>
      <c r="I58">
        <f t="shared" si="1"/>
        <v>645</v>
      </c>
      <c r="J58" t="s">
        <v>22</v>
      </c>
      <c r="K58" t="s">
        <v>22</v>
      </c>
      <c r="L58" t="s">
        <v>98</v>
      </c>
    </row>
    <row r="59" spans="2:12" x14ac:dyDescent="0.25">
      <c r="B59" t="s">
        <v>18</v>
      </c>
      <c r="C59" t="s">
        <v>198</v>
      </c>
      <c r="D59" t="s">
        <v>199</v>
      </c>
      <c r="E59" t="s">
        <v>200</v>
      </c>
      <c r="F59" s="1">
        <v>8</v>
      </c>
      <c r="G59">
        <v>670</v>
      </c>
      <c r="H59">
        <v>25</v>
      </c>
      <c r="I59">
        <f t="shared" si="1"/>
        <v>645</v>
      </c>
      <c r="K59" t="s">
        <v>22</v>
      </c>
      <c r="L59" t="s">
        <v>98</v>
      </c>
    </row>
    <row r="60" spans="2:12" x14ac:dyDescent="0.25">
      <c r="B60" t="s">
        <v>18</v>
      </c>
      <c r="C60" t="s">
        <v>201</v>
      </c>
      <c r="D60" t="s">
        <v>202</v>
      </c>
      <c r="E60" t="s">
        <v>203</v>
      </c>
      <c r="F60" s="1">
        <v>12</v>
      </c>
      <c r="G60">
        <v>0</v>
      </c>
      <c r="H60">
        <v>30</v>
      </c>
      <c r="I60">
        <f t="shared" si="1"/>
        <v>-30</v>
      </c>
      <c r="K60" t="s">
        <v>22</v>
      </c>
      <c r="L60" t="s">
        <v>98</v>
      </c>
    </row>
    <row r="61" spans="2:12" x14ac:dyDescent="0.25">
      <c r="B61" t="s">
        <v>18</v>
      </c>
      <c r="C61" t="s">
        <v>204</v>
      </c>
      <c r="D61" t="s">
        <v>205</v>
      </c>
      <c r="E61" t="s">
        <v>206</v>
      </c>
      <c r="F61" s="1" t="s">
        <v>49</v>
      </c>
      <c r="G61">
        <v>840</v>
      </c>
      <c r="H61">
        <v>30</v>
      </c>
      <c r="I61">
        <f t="shared" si="1"/>
        <v>810</v>
      </c>
      <c r="K61" t="s">
        <v>22</v>
      </c>
      <c r="L61" t="s">
        <v>98</v>
      </c>
    </row>
    <row r="62" spans="2:12" x14ac:dyDescent="0.25">
      <c r="B62" t="s">
        <v>18</v>
      </c>
      <c r="C62" t="s">
        <v>207</v>
      </c>
      <c r="D62" t="s">
        <v>208</v>
      </c>
      <c r="E62" t="s">
        <v>209</v>
      </c>
      <c r="F62" s="1">
        <v>6</v>
      </c>
      <c r="G62">
        <v>670</v>
      </c>
      <c r="H62">
        <v>25</v>
      </c>
      <c r="I62">
        <f t="shared" si="1"/>
        <v>645</v>
      </c>
      <c r="K62" t="s">
        <v>22</v>
      </c>
      <c r="L62" t="s">
        <v>210</v>
      </c>
    </row>
    <row r="63" spans="2:12" x14ac:dyDescent="0.25">
      <c r="B63" t="s">
        <v>18</v>
      </c>
      <c r="C63" t="s">
        <v>211</v>
      </c>
      <c r="D63" t="s">
        <v>212</v>
      </c>
      <c r="E63" t="s">
        <v>213</v>
      </c>
      <c r="F63" s="1" t="s">
        <v>118</v>
      </c>
      <c r="G63">
        <v>0</v>
      </c>
      <c r="H63">
        <v>25</v>
      </c>
      <c r="I63">
        <f t="shared" si="1"/>
        <v>-25</v>
      </c>
      <c r="J63" t="s">
        <v>22</v>
      </c>
      <c r="K63" t="s">
        <v>22</v>
      </c>
      <c r="L63" t="s">
        <v>210</v>
      </c>
    </row>
    <row r="64" spans="2:12" x14ac:dyDescent="0.25">
      <c r="B64" t="s">
        <v>18</v>
      </c>
      <c r="C64" t="s">
        <v>214</v>
      </c>
      <c r="D64" t="s">
        <v>215</v>
      </c>
      <c r="E64" t="s">
        <v>216</v>
      </c>
      <c r="F64" s="1" t="s">
        <v>35</v>
      </c>
      <c r="G64">
        <v>980</v>
      </c>
      <c r="H64">
        <v>30</v>
      </c>
      <c r="I64">
        <f t="shared" si="1"/>
        <v>950</v>
      </c>
      <c r="J64" t="s">
        <v>22</v>
      </c>
      <c r="K64" t="s">
        <v>22</v>
      </c>
      <c r="L64" t="s">
        <v>210</v>
      </c>
    </row>
    <row r="65" spans="1:12" x14ac:dyDescent="0.25">
      <c r="B65" t="s">
        <v>18</v>
      </c>
      <c r="C65" t="s">
        <v>217</v>
      </c>
      <c r="D65" t="s">
        <v>218</v>
      </c>
      <c r="E65" t="s">
        <v>219</v>
      </c>
      <c r="F65" s="1">
        <v>2</v>
      </c>
      <c r="G65">
        <v>1160</v>
      </c>
      <c r="H65">
        <v>30</v>
      </c>
      <c r="I65">
        <f t="shared" si="1"/>
        <v>1130</v>
      </c>
      <c r="J65" t="s">
        <v>22</v>
      </c>
      <c r="K65" t="s">
        <v>22</v>
      </c>
      <c r="L65" t="s">
        <v>210</v>
      </c>
    </row>
    <row r="66" spans="1:12" x14ac:dyDescent="0.25">
      <c r="B66" t="s">
        <v>18</v>
      </c>
      <c r="C66" t="s">
        <v>220</v>
      </c>
      <c r="D66" t="s">
        <v>221</v>
      </c>
      <c r="E66" t="s">
        <v>222</v>
      </c>
      <c r="F66" s="1" t="s">
        <v>49</v>
      </c>
      <c r="G66">
        <v>0</v>
      </c>
      <c r="H66">
        <v>30</v>
      </c>
      <c r="I66">
        <f t="shared" si="1"/>
        <v>-30</v>
      </c>
      <c r="K66" t="s">
        <v>22</v>
      </c>
      <c r="L66" t="s">
        <v>210</v>
      </c>
    </row>
    <row r="67" spans="1:12" x14ac:dyDescent="0.25">
      <c r="B67" t="s">
        <v>18</v>
      </c>
      <c r="C67" t="s">
        <v>223</v>
      </c>
      <c r="D67" t="s">
        <v>224</v>
      </c>
      <c r="E67" t="s">
        <v>225</v>
      </c>
      <c r="F67" s="1">
        <v>2</v>
      </c>
      <c r="G67">
        <v>840</v>
      </c>
      <c r="H67">
        <v>30</v>
      </c>
      <c r="I67">
        <f t="shared" ref="I67:I98" si="2">G67-H67</f>
        <v>810</v>
      </c>
      <c r="J67" t="s">
        <v>22</v>
      </c>
      <c r="K67" t="s">
        <v>22</v>
      </c>
      <c r="L67" t="s">
        <v>210</v>
      </c>
    </row>
    <row r="68" spans="1:12" x14ac:dyDescent="0.25">
      <c r="B68" t="s">
        <v>18</v>
      </c>
      <c r="C68" t="s">
        <v>226</v>
      </c>
      <c r="D68" t="s">
        <v>227</v>
      </c>
      <c r="E68" t="s">
        <v>228</v>
      </c>
      <c r="F68" s="1" t="s">
        <v>39</v>
      </c>
      <c r="G68">
        <v>790</v>
      </c>
      <c r="H68">
        <v>35</v>
      </c>
      <c r="I68">
        <f t="shared" si="2"/>
        <v>755</v>
      </c>
      <c r="K68" t="s">
        <v>22</v>
      </c>
      <c r="L68" t="s">
        <v>210</v>
      </c>
    </row>
    <row r="69" spans="1:12" x14ac:dyDescent="0.25">
      <c r="B69" t="s">
        <v>18</v>
      </c>
      <c r="C69" t="s">
        <v>229</v>
      </c>
      <c r="D69" t="s">
        <v>230</v>
      </c>
      <c r="E69" t="s">
        <v>231</v>
      </c>
      <c r="F69" s="1" t="s">
        <v>63</v>
      </c>
      <c r="G69">
        <v>690</v>
      </c>
      <c r="H69">
        <v>25</v>
      </c>
      <c r="I69">
        <f t="shared" si="2"/>
        <v>665</v>
      </c>
      <c r="K69" t="s">
        <v>22</v>
      </c>
      <c r="L69" t="s">
        <v>210</v>
      </c>
    </row>
    <row r="70" spans="1:12" x14ac:dyDescent="0.25">
      <c r="B70" t="s">
        <v>18</v>
      </c>
      <c r="C70" t="s">
        <v>232</v>
      </c>
      <c r="D70" t="s">
        <v>233</v>
      </c>
      <c r="E70" t="s">
        <v>234</v>
      </c>
      <c r="F70" s="1">
        <v>10</v>
      </c>
      <c r="G70">
        <v>890</v>
      </c>
      <c r="H70">
        <v>25</v>
      </c>
      <c r="I70">
        <f t="shared" si="2"/>
        <v>865</v>
      </c>
      <c r="J70" t="s">
        <v>27</v>
      </c>
      <c r="K70" t="s">
        <v>22</v>
      </c>
      <c r="L70" t="s">
        <v>210</v>
      </c>
    </row>
    <row r="71" spans="1:12" x14ac:dyDescent="0.25">
      <c r="B71" t="s">
        <v>18</v>
      </c>
      <c r="C71" t="s">
        <v>235</v>
      </c>
      <c r="D71" t="s">
        <v>236</v>
      </c>
      <c r="E71" t="s">
        <v>237</v>
      </c>
      <c r="F71" s="1">
        <v>2</v>
      </c>
      <c r="G71">
        <v>520</v>
      </c>
      <c r="H71">
        <v>30</v>
      </c>
      <c r="I71">
        <f t="shared" si="2"/>
        <v>490</v>
      </c>
      <c r="J71" t="s">
        <v>22</v>
      </c>
      <c r="K71" t="s">
        <v>22</v>
      </c>
      <c r="L71" t="s">
        <v>210</v>
      </c>
    </row>
    <row r="72" spans="1:12" x14ac:dyDescent="0.25">
      <c r="B72" t="s">
        <v>18</v>
      </c>
      <c r="C72" t="s">
        <v>238</v>
      </c>
      <c r="D72" t="s">
        <v>239</v>
      </c>
      <c r="E72" t="s">
        <v>240</v>
      </c>
      <c r="F72" s="1">
        <v>9</v>
      </c>
      <c r="G72">
        <v>860</v>
      </c>
      <c r="H72">
        <v>30</v>
      </c>
      <c r="I72">
        <f t="shared" si="2"/>
        <v>830</v>
      </c>
      <c r="J72" t="s">
        <v>241</v>
      </c>
      <c r="K72" t="s">
        <v>22</v>
      </c>
      <c r="L72" t="s">
        <v>210</v>
      </c>
    </row>
    <row r="73" spans="1:12" x14ac:dyDescent="0.25">
      <c r="B73" t="s">
        <v>18</v>
      </c>
      <c r="C73" t="s">
        <v>242</v>
      </c>
      <c r="D73" t="s">
        <v>243</v>
      </c>
      <c r="E73" t="s">
        <v>244</v>
      </c>
      <c r="F73" s="1">
        <v>2</v>
      </c>
      <c r="G73">
        <v>890</v>
      </c>
      <c r="H73">
        <v>30</v>
      </c>
      <c r="I73">
        <f t="shared" si="2"/>
        <v>860</v>
      </c>
      <c r="J73" t="s">
        <v>22</v>
      </c>
      <c r="K73" t="s">
        <v>22</v>
      </c>
      <c r="L73" t="s">
        <v>245</v>
      </c>
    </row>
    <row r="74" spans="1:12" x14ac:dyDescent="0.25">
      <c r="B74" t="s">
        <v>18</v>
      </c>
      <c r="C74" t="s">
        <v>246</v>
      </c>
      <c r="D74" t="s">
        <v>247</v>
      </c>
      <c r="E74" t="s">
        <v>248</v>
      </c>
      <c r="F74" s="1">
        <v>11</v>
      </c>
      <c r="G74">
        <v>670</v>
      </c>
      <c r="H74">
        <v>25</v>
      </c>
      <c r="I74">
        <f t="shared" si="2"/>
        <v>645</v>
      </c>
      <c r="K74" t="s">
        <v>22</v>
      </c>
      <c r="L74" t="s">
        <v>210</v>
      </c>
    </row>
    <row r="75" spans="1:12" x14ac:dyDescent="0.25">
      <c r="B75" t="s">
        <v>18</v>
      </c>
      <c r="C75" t="s">
        <v>249</v>
      </c>
      <c r="D75" t="s">
        <v>250</v>
      </c>
      <c r="E75" t="s">
        <v>251</v>
      </c>
      <c r="F75" s="1" t="s">
        <v>118</v>
      </c>
      <c r="G75">
        <v>790</v>
      </c>
      <c r="H75">
        <v>25</v>
      </c>
      <c r="I75">
        <f t="shared" si="2"/>
        <v>765</v>
      </c>
      <c r="J75" t="s">
        <v>22</v>
      </c>
      <c r="K75" t="s">
        <v>22</v>
      </c>
      <c r="L75" t="s">
        <v>210</v>
      </c>
    </row>
    <row r="76" spans="1:12" x14ac:dyDescent="0.25">
      <c r="B76" t="s">
        <v>18</v>
      </c>
      <c r="C76" t="s">
        <v>252</v>
      </c>
      <c r="D76" t="s">
        <v>253</v>
      </c>
      <c r="E76" t="s">
        <v>254</v>
      </c>
      <c r="F76" s="1" t="s">
        <v>97</v>
      </c>
      <c r="G76">
        <v>670</v>
      </c>
      <c r="H76">
        <v>25</v>
      </c>
      <c r="I76">
        <f t="shared" si="2"/>
        <v>645</v>
      </c>
      <c r="J76" t="s">
        <v>27</v>
      </c>
      <c r="K76" t="s">
        <v>22</v>
      </c>
      <c r="L76" t="s">
        <v>210</v>
      </c>
    </row>
    <row r="77" spans="1:12" x14ac:dyDescent="0.25">
      <c r="A77" t="s">
        <v>255</v>
      </c>
      <c r="B77" t="s">
        <v>18</v>
      </c>
      <c r="C77" t="s">
        <v>256</v>
      </c>
      <c r="E77" t="s">
        <v>257</v>
      </c>
      <c r="F77" s="1">
        <v>6</v>
      </c>
      <c r="G77">
        <v>0</v>
      </c>
      <c r="H77">
        <v>25</v>
      </c>
      <c r="I77">
        <f t="shared" si="2"/>
        <v>-25</v>
      </c>
      <c r="K77" t="s">
        <v>22</v>
      </c>
      <c r="L77" t="s">
        <v>245</v>
      </c>
    </row>
    <row r="78" spans="1:12" x14ac:dyDescent="0.25">
      <c r="A78" t="s">
        <v>255</v>
      </c>
      <c r="B78" t="s">
        <v>18</v>
      </c>
      <c r="C78" t="s">
        <v>258</v>
      </c>
      <c r="E78" t="s">
        <v>259</v>
      </c>
      <c r="F78" s="1" t="s">
        <v>118</v>
      </c>
      <c r="G78">
        <v>0</v>
      </c>
      <c r="H78">
        <v>25</v>
      </c>
      <c r="I78">
        <f t="shared" si="2"/>
        <v>-25</v>
      </c>
      <c r="J78" t="s">
        <v>22</v>
      </c>
      <c r="K78" t="s">
        <v>22</v>
      </c>
      <c r="L78" t="s">
        <v>245</v>
      </c>
    </row>
    <row r="79" spans="1:12" x14ac:dyDescent="0.25">
      <c r="A79" t="s">
        <v>255</v>
      </c>
      <c r="B79" t="s">
        <v>18</v>
      </c>
      <c r="C79" t="s">
        <v>260</v>
      </c>
      <c r="E79" t="s">
        <v>261</v>
      </c>
      <c r="F79" t="s">
        <v>97</v>
      </c>
      <c r="G79">
        <v>0</v>
      </c>
      <c r="H79">
        <v>25</v>
      </c>
      <c r="I79">
        <v>-25</v>
      </c>
      <c r="J79" t="s">
        <v>27</v>
      </c>
      <c r="K79" t="s">
        <v>22</v>
      </c>
      <c r="L79" t="s">
        <v>245</v>
      </c>
    </row>
    <row r="80" spans="1:12" x14ac:dyDescent="0.25">
      <c r="A80" t="s">
        <v>255</v>
      </c>
      <c r="B80" t="s">
        <v>18</v>
      </c>
      <c r="C80" t="s">
        <v>262</v>
      </c>
      <c r="E80" t="s">
        <v>263</v>
      </c>
      <c r="F80">
        <v>6</v>
      </c>
      <c r="G80">
        <v>2020</v>
      </c>
      <c r="H80">
        <v>25</v>
      </c>
      <c r="I80">
        <v>1995</v>
      </c>
      <c r="K80" t="s">
        <v>22</v>
      </c>
      <c r="L80" t="s">
        <v>245</v>
      </c>
    </row>
  </sheetData>
  <sortState xmlns:xlrd2="http://schemas.microsoft.com/office/spreadsheetml/2017/richdata2" ref="A3:P78">
    <sortCondition ref="D2:D78"/>
  </sortState>
  <conditionalFormatting sqref="D1:D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7"/>
  <sheetViews>
    <sheetView topLeftCell="A16" zoomScale="80" zoomScaleNormal="80" workbookViewId="0">
      <selection activeCell="A49" sqref="A49 A49:XFD49"/>
    </sheetView>
  </sheetViews>
  <sheetFormatPr defaultRowHeight="15" x14ac:dyDescent="0.25"/>
  <cols>
    <col min="1" max="2" width="17.5703125" bestFit="1" customWidth="1"/>
    <col min="3" max="3" width="30.85546875" customWidth="1"/>
    <col min="4" max="4" width="9.85546875" bestFit="1" customWidth="1"/>
    <col min="5" max="5" width="28.42578125" customWidth="1"/>
    <col min="6" max="6" width="29.28515625" bestFit="1" customWidth="1"/>
    <col min="7" max="11" width="9.140625" customWidth="1"/>
    <col min="12" max="12" width="10.5703125" bestFit="1" customWidth="1"/>
    <col min="13" max="13" width="18.140625" bestFit="1" customWidth="1"/>
  </cols>
  <sheetData>
    <row r="1" spans="1:17" ht="15" customHeight="1" x14ac:dyDescent="0.25">
      <c r="B1" s="3" t="s">
        <v>0</v>
      </c>
      <c r="C1" s="3" t="s">
        <v>264</v>
      </c>
      <c r="F1" s="4"/>
    </row>
    <row r="2" spans="1:17" ht="15" customHeigh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</row>
    <row r="3" spans="1:17" s="5" customFormat="1" x14ac:dyDescent="0.25">
      <c r="B3" s="5" t="s">
        <v>0</v>
      </c>
      <c r="C3" s="5" t="s">
        <v>264</v>
      </c>
      <c r="F3" s="7"/>
      <c r="I3" s="5">
        <f t="shared" ref="I3:I40" si="0">G3-H3</f>
        <v>0</v>
      </c>
      <c r="L3" s="8"/>
    </row>
    <row r="4" spans="1:17" s="5" customFormat="1" x14ac:dyDescent="0.25">
      <c r="A4"/>
      <c r="B4" s="5" t="s">
        <v>18</v>
      </c>
      <c r="C4" t="s">
        <v>265</v>
      </c>
      <c r="D4" t="s">
        <v>266</v>
      </c>
      <c r="E4" t="s">
        <v>267</v>
      </c>
      <c r="F4" s="1">
        <v>12</v>
      </c>
      <c r="G4">
        <v>0</v>
      </c>
      <c r="H4">
        <v>30</v>
      </c>
      <c r="I4">
        <f t="shared" si="0"/>
        <v>-30</v>
      </c>
      <c r="J4" t="s">
        <v>268</v>
      </c>
      <c r="K4" t="s">
        <v>22</v>
      </c>
      <c r="L4" s="9" t="s">
        <v>269</v>
      </c>
      <c r="N4"/>
      <c r="O4"/>
      <c r="P4"/>
      <c r="Q4">
        <v>1</v>
      </c>
    </row>
    <row r="5" spans="1:17" s="5" customFormat="1" x14ac:dyDescent="0.25">
      <c r="B5" s="5" t="s">
        <v>18</v>
      </c>
      <c r="C5" s="5" t="s">
        <v>270</v>
      </c>
      <c r="D5" s="5" t="s">
        <v>271</v>
      </c>
      <c r="E5" s="5" t="s">
        <v>272</v>
      </c>
      <c r="F5" s="7">
        <v>9</v>
      </c>
      <c r="G5" s="5">
        <v>850</v>
      </c>
      <c r="H5" s="5">
        <v>30</v>
      </c>
      <c r="I5" s="5">
        <f t="shared" si="0"/>
        <v>820</v>
      </c>
      <c r="J5" s="5" t="s">
        <v>268</v>
      </c>
      <c r="K5" s="5" t="s">
        <v>22</v>
      </c>
      <c r="L5" s="8" t="s">
        <v>273</v>
      </c>
      <c r="M5" s="5" t="s">
        <v>274</v>
      </c>
      <c r="O5" s="5" t="s">
        <v>275</v>
      </c>
      <c r="Q5" s="5">
        <v>1</v>
      </c>
    </row>
    <row r="6" spans="1:17" s="5" customFormat="1" x14ac:dyDescent="0.25">
      <c r="B6" s="5" t="s">
        <v>18</v>
      </c>
      <c r="C6" s="5" t="s">
        <v>276</v>
      </c>
      <c r="D6" s="5" t="s">
        <v>277</v>
      </c>
      <c r="E6" s="5" t="s">
        <v>278</v>
      </c>
      <c r="F6" s="7" t="s">
        <v>93</v>
      </c>
      <c r="G6" s="5">
        <v>840</v>
      </c>
      <c r="H6" s="5">
        <v>20</v>
      </c>
      <c r="I6" s="5">
        <f t="shared" si="0"/>
        <v>820</v>
      </c>
      <c r="J6" s="5" t="s">
        <v>27</v>
      </c>
      <c r="K6" s="5" t="s">
        <v>22</v>
      </c>
      <c r="L6" s="8" t="s">
        <v>269</v>
      </c>
      <c r="Q6" s="5">
        <v>1</v>
      </c>
    </row>
    <row r="7" spans="1:17" s="5" customFormat="1" x14ac:dyDescent="0.25">
      <c r="B7" s="5" t="s">
        <v>18</v>
      </c>
      <c r="C7" s="5" t="s">
        <v>75</v>
      </c>
      <c r="D7" s="5" t="s">
        <v>279</v>
      </c>
      <c r="E7" s="5" t="s">
        <v>280</v>
      </c>
      <c r="F7" s="7" t="s">
        <v>118</v>
      </c>
      <c r="G7" s="5">
        <v>845</v>
      </c>
      <c r="H7" s="5">
        <v>25</v>
      </c>
      <c r="I7" s="5">
        <f t="shared" si="0"/>
        <v>820</v>
      </c>
      <c r="J7" s="5" t="s">
        <v>22</v>
      </c>
      <c r="K7" s="5" t="s">
        <v>22</v>
      </c>
      <c r="L7" s="8" t="s">
        <v>269</v>
      </c>
      <c r="Q7" s="5">
        <v>1</v>
      </c>
    </row>
    <row r="8" spans="1:17" s="5" customFormat="1" x14ac:dyDescent="0.25">
      <c r="B8" s="5" t="s">
        <v>18</v>
      </c>
      <c r="C8" s="5" t="s">
        <v>281</v>
      </c>
      <c r="D8" s="5" t="s">
        <v>282</v>
      </c>
      <c r="E8" s="5" t="s">
        <v>283</v>
      </c>
      <c r="F8" s="7" t="s">
        <v>97</v>
      </c>
      <c r="G8" s="5">
        <v>845</v>
      </c>
      <c r="H8" s="5">
        <v>25</v>
      </c>
      <c r="I8" s="5">
        <f t="shared" si="0"/>
        <v>820</v>
      </c>
      <c r="J8" s="5" t="s">
        <v>268</v>
      </c>
      <c r="K8" s="5" t="s">
        <v>22</v>
      </c>
      <c r="L8" s="8" t="s">
        <v>269</v>
      </c>
      <c r="Q8" s="5">
        <v>1</v>
      </c>
    </row>
    <row r="9" spans="1:17" s="5" customFormat="1" x14ac:dyDescent="0.25">
      <c r="B9" s="5" t="s">
        <v>18</v>
      </c>
      <c r="C9" s="5" t="s">
        <v>284</v>
      </c>
      <c r="D9" s="5" t="s">
        <v>285</v>
      </c>
      <c r="E9" s="5" t="s">
        <v>286</v>
      </c>
      <c r="F9" s="7">
        <v>6</v>
      </c>
      <c r="G9" s="5">
        <v>845</v>
      </c>
      <c r="H9" s="5">
        <v>25</v>
      </c>
      <c r="I9" s="5">
        <f t="shared" si="0"/>
        <v>820</v>
      </c>
      <c r="J9" s="5" t="s">
        <v>268</v>
      </c>
      <c r="K9" s="5" t="s">
        <v>22</v>
      </c>
      <c r="L9" s="8" t="s">
        <v>269</v>
      </c>
      <c r="Q9" s="5">
        <v>1</v>
      </c>
    </row>
    <row r="10" spans="1:17" s="5" customFormat="1" x14ac:dyDescent="0.25">
      <c r="B10" s="5" t="s">
        <v>18</v>
      </c>
      <c r="C10" s="5" t="s">
        <v>287</v>
      </c>
      <c r="D10" s="5" t="s">
        <v>288</v>
      </c>
      <c r="E10" s="5" t="s">
        <v>289</v>
      </c>
      <c r="F10" s="7">
        <v>9</v>
      </c>
      <c r="G10" s="5">
        <v>410</v>
      </c>
      <c r="H10" s="5">
        <v>30</v>
      </c>
      <c r="I10" s="5">
        <f t="shared" si="0"/>
        <v>380</v>
      </c>
      <c r="J10" s="5" t="s">
        <v>241</v>
      </c>
      <c r="K10" s="5" t="s">
        <v>22</v>
      </c>
      <c r="L10" s="8" t="s">
        <v>269</v>
      </c>
      <c r="Q10" s="5">
        <v>1</v>
      </c>
    </row>
    <row r="11" spans="1:17" s="5" customFormat="1" x14ac:dyDescent="0.25">
      <c r="B11" s="5" t="s">
        <v>18</v>
      </c>
      <c r="C11" s="5" t="s">
        <v>290</v>
      </c>
      <c r="D11" s="5" t="s">
        <v>291</v>
      </c>
      <c r="E11" s="5" t="s">
        <v>292</v>
      </c>
      <c r="F11" s="7" t="s">
        <v>53</v>
      </c>
      <c r="G11" s="5">
        <v>600</v>
      </c>
      <c r="H11" s="5">
        <v>20</v>
      </c>
      <c r="I11" s="5">
        <f t="shared" si="0"/>
        <v>580</v>
      </c>
      <c r="J11" s="5" t="s">
        <v>22</v>
      </c>
      <c r="K11" s="5" t="s">
        <v>22</v>
      </c>
      <c r="L11" s="8" t="s">
        <v>269</v>
      </c>
      <c r="Q11" s="5">
        <v>1</v>
      </c>
    </row>
    <row r="12" spans="1:17" s="6" customFormat="1" x14ac:dyDescent="0.25">
      <c r="A12" s="5"/>
      <c r="B12" s="5" t="s">
        <v>18</v>
      </c>
      <c r="C12" s="5" t="s">
        <v>293</v>
      </c>
      <c r="D12" s="5" t="s">
        <v>294</v>
      </c>
      <c r="E12" s="5" t="s">
        <v>295</v>
      </c>
      <c r="F12" s="7" t="s">
        <v>53</v>
      </c>
      <c r="G12" s="5">
        <v>980</v>
      </c>
      <c r="H12" s="5">
        <v>20</v>
      </c>
      <c r="I12" s="5">
        <f t="shared" si="0"/>
        <v>960</v>
      </c>
      <c r="J12" s="5" t="s">
        <v>22</v>
      </c>
      <c r="K12" s="5" t="s">
        <v>22</v>
      </c>
      <c r="L12" s="8" t="s">
        <v>269</v>
      </c>
      <c r="M12" s="5"/>
      <c r="N12" s="5"/>
      <c r="O12" s="5"/>
      <c r="P12" s="5"/>
      <c r="Q12" s="5">
        <v>1</v>
      </c>
    </row>
    <row r="13" spans="1:17" s="5" customFormat="1" x14ac:dyDescent="0.25">
      <c r="B13" s="5" t="s">
        <v>18</v>
      </c>
      <c r="C13" s="5" t="s">
        <v>296</v>
      </c>
      <c r="D13" s="5" t="s">
        <v>297</v>
      </c>
      <c r="E13" s="5" t="s">
        <v>298</v>
      </c>
      <c r="F13" s="7">
        <v>1</v>
      </c>
      <c r="G13" s="5">
        <v>0</v>
      </c>
      <c r="H13" s="5">
        <v>25</v>
      </c>
      <c r="I13" s="5">
        <f t="shared" si="0"/>
        <v>-25</v>
      </c>
      <c r="J13" s="5" t="s">
        <v>27</v>
      </c>
      <c r="K13" s="5" t="s">
        <v>22</v>
      </c>
      <c r="L13" s="8" t="s">
        <v>269</v>
      </c>
      <c r="M13" s="5" t="s">
        <v>299</v>
      </c>
      <c r="Q13" s="5">
        <v>1</v>
      </c>
    </row>
    <row r="14" spans="1:17" s="5" customFormat="1" x14ac:dyDescent="0.25">
      <c r="B14" s="5" t="s">
        <v>18</v>
      </c>
      <c r="C14" s="5" t="s">
        <v>300</v>
      </c>
      <c r="D14" s="5" t="s">
        <v>301</v>
      </c>
      <c r="E14" s="5" t="s">
        <v>302</v>
      </c>
      <c r="F14" s="7" t="s">
        <v>118</v>
      </c>
      <c r="G14" s="5">
        <v>855</v>
      </c>
      <c r="H14" s="5">
        <v>25</v>
      </c>
      <c r="I14" s="5">
        <f t="shared" si="0"/>
        <v>830</v>
      </c>
      <c r="J14" s="5" t="s">
        <v>22</v>
      </c>
      <c r="K14" s="5" t="s">
        <v>22</v>
      </c>
      <c r="L14" s="8" t="s">
        <v>269</v>
      </c>
      <c r="Q14" s="5">
        <v>1</v>
      </c>
    </row>
    <row r="15" spans="1:17" s="5" customFormat="1" x14ac:dyDescent="0.25">
      <c r="B15" s="5" t="s">
        <v>18</v>
      </c>
      <c r="C15" s="5" t="s">
        <v>303</v>
      </c>
      <c r="D15" s="5" t="s">
        <v>304</v>
      </c>
      <c r="E15" s="5" t="s">
        <v>305</v>
      </c>
      <c r="F15" s="7">
        <v>12</v>
      </c>
      <c r="G15" s="5">
        <v>0</v>
      </c>
      <c r="H15" s="5">
        <v>30</v>
      </c>
      <c r="I15" s="5">
        <f t="shared" si="0"/>
        <v>-30</v>
      </c>
      <c r="J15" s="5" t="s">
        <v>268</v>
      </c>
      <c r="K15" s="5" t="s">
        <v>22</v>
      </c>
      <c r="L15" s="8" t="s">
        <v>269</v>
      </c>
      <c r="Q15" s="5">
        <v>1</v>
      </c>
    </row>
    <row r="16" spans="1:17" s="5" customFormat="1" x14ac:dyDescent="0.25">
      <c r="B16" s="5" t="s">
        <v>18</v>
      </c>
      <c r="C16" s="5" t="s">
        <v>306</v>
      </c>
      <c r="D16" s="5" t="s">
        <v>307</v>
      </c>
      <c r="E16" s="5" t="s">
        <v>308</v>
      </c>
      <c r="F16" s="7" t="s">
        <v>53</v>
      </c>
      <c r="G16" s="5">
        <v>2600</v>
      </c>
      <c r="H16" s="5">
        <v>25</v>
      </c>
      <c r="I16" s="5">
        <f t="shared" si="0"/>
        <v>2575</v>
      </c>
      <c r="J16" s="5" t="s">
        <v>22</v>
      </c>
      <c r="K16" s="5" t="s">
        <v>22</v>
      </c>
      <c r="L16" s="8" t="s">
        <v>269</v>
      </c>
      <c r="M16" s="5" t="s">
        <v>309</v>
      </c>
      <c r="Q16" s="5">
        <v>1</v>
      </c>
    </row>
    <row r="17" spans="2:17" s="5" customFormat="1" x14ac:dyDescent="0.25">
      <c r="B17" s="5" t="s">
        <v>18</v>
      </c>
      <c r="C17" s="5" t="s">
        <v>310</v>
      </c>
      <c r="D17" s="5" t="s">
        <v>311</v>
      </c>
      <c r="E17" s="5" t="s">
        <v>312</v>
      </c>
      <c r="F17" s="7">
        <v>10</v>
      </c>
      <c r="G17" s="5">
        <v>865</v>
      </c>
      <c r="H17" s="5">
        <v>25</v>
      </c>
      <c r="I17" s="5">
        <f t="shared" si="0"/>
        <v>840</v>
      </c>
      <c r="J17" s="5" t="s">
        <v>27</v>
      </c>
      <c r="K17" s="5" t="s">
        <v>22</v>
      </c>
      <c r="L17" s="8" t="s">
        <v>269</v>
      </c>
      <c r="Q17" s="5">
        <v>1</v>
      </c>
    </row>
    <row r="18" spans="2:17" s="5" customFormat="1" x14ac:dyDescent="0.25">
      <c r="B18" s="5" t="s">
        <v>18</v>
      </c>
      <c r="C18" s="5" t="s">
        <v>313</v>
      </c>
      <c r="D18" s="5" t="s">
        <v>314</v>
      </c>
      <c r="E18" s="5" t="s">
        <v>315</v>
      </c>
      <c r="F18" s="7">
        <v>10</v>
      </c>
      <c r="G18" s="5">
        <v>25</v>
      </c>
      <c r="H18" s="5">
        <v>25</v>
      </c>
      <c r="I18" s="5">
        <f t="shared" si="0"/>
        <v>0</v>
      </c>
      <c r="J18" s="10" t="s">
        <v>27</v>
      </c>
      <c r="K18" s="5" t="s">
        <v>22</v>
      </c>
      <c r="L18" s="8" t="s">
        <v>269</v>
      </c>
      <c r="M18" s="5" t="s">
        <v>299</v>
      </c>
      <c r="Q18" s="5">
        <v>1</v>
      </c>
    </row>
    <row r="19" spans="2:17" s="5" customFormat="1" x14ac:dyDescent="0.25">
      <c r="B19" s="5" t="s">
        <v>18</v>
      </c>
      <c r="C19" s="5" t="s">
        <v>316</v>
      </c>
      <c r="D19" s="5" t="s">
        <v>317</v>
      </c>
      <c r="E19" s="5" t="s">
        <v>318</v>
      </c>
      <c r="F19" s="7">
        <v>9</v>
      </c>
      <c r="G19" s="5">
        <v>870</v>
      </c>
      <c r="H19" s="5">
        <v>30</v>
      </c>
      <c r="I19" s="5">
        <f t="shared" si="0"/>
        <v>840</v>
      </c>
      <c r="J19" s="5" t="s">
        <v>241</v>
      </c>
      <c r="K19" s="5" t="s">
        <v>22</v>
      </c>
      <c r="L19" s="8" t="s">
        <v>269</v>
      </c>
      <c r="Q19" s="5">
        <v>1</v>
      </c>
    </row>
    <row r="20" spans="2:17" s="5" customFormat="1" x14ac:dyDescent="0.25">
      <c r="B20" s="5" t="s">
        <v>18</v>
      </c>
      <c r="C20" s="5" t="s">
        <v>180</v>
      </c>
      <c r="D20" s="5" t="s">
        <v>319</v>
      </c>
      <c r="E20" s="5" t="s">
        <v>182</v>
      </c>
      <c r="F20" s="7" t="s">
        <v>63</v>
      </c>
      <c r="G20" s="5">
        <v>1075</v>
      </c>
      <c r="H20" s="5">
        <v>25</v>
      </c>
      <c r="I20" s="5">
        <f t="shared" si="0"/>
        <v>1050</v>
      </c>
      <c r="J20" s="5" t="s">
        <v>268</v>
      </c>
      <c r="K20" s="5" t="s">
        <v>22</v>
      </c>
      <c r="L20" s="8" t="s">
        <v>269</v>
      </c>
      <c r="Q20" s="5">
        <v>1</v>
      </c>
    </row>
    <row r="21" spans="2:17" s="5" customFormat="1" x14ac:dyDescent="0.25">
      <c r="B21" s="5" t="s">
        <v>18</v>
      </c>
      <c r="C21" s="5" t="s">
        <v>320</v>
      </c>
      <c r="D21" s="5" t="s">
        <v>321</v>
      </c>
      <c r="E21" s="5" t="s">
        <v>322</v>
      </c>
      <c r="F21" s="7" t="s">
        <v>97</v>
      </c>
      <c r="G21" s="5">
        <v>845</v>
      </c>
      <c r="H21" s="5">
        <v>25</v>
      </c>
      <c r="I21" s="5">
        <f t="shared" si="0"/>
        <v>820</v>
      </c>
      <c r="J21" s="5" t="s">
        <v>27</v>
      </c>
      <c r="K21" s="5" t="s">
        <v>22</v>
      </c>
      <c r="L21" s="8" t="s">
        <v>269</v>
      </c>
      <c r="Q21" s="5">
        <v>1</v>
      </c>
    </row>
    <row r="22" spans="2:17" s="5" customFormat="1" x14ac:dyDescent="0.25">
      <c r="B22" s="5" t="s">
        <v>18</v>
      </c>
      <c r="C22" s="5" t="s">
        <v>323</v>
      </c>
      <c r="D22" s="5" t="s">
        <v>324</v>
      </c>
      <c r="E22" s="5" t="s">
        <v>325</v>
      </c>
      <c r="F22" s="7" t="s">
        <v>53</v>
      </c>
      <c r="G22" s="5">
        <v>850</v>
      </c>
      <c r="H22" s="5">
        <v>30</v>
      </c>
      <c r="I22" s="5">
        <f t="shared" si="0"/>
        <v>820</v>
      </c>
      <c r="J22" s="5" t="s">
        <v>22</v>
      </c>
      <c r="K22" s="5" t="s">
        <v>22</v>
      </c>
      <c r="L22" s="8" t="s">
        <v>269</v>
      </c>
      <c r="Q22" s="5">
        <v>1</v>
      </c>
    </row>
    <row r="23" spans="2:17" s="5" customFormat="1" x14ac:dyDescent="0.25">
      <c r="B23" s="5" t="s">
        <v>18</v>
      </c>
      <c r="C23" s="5" t="s">
        <v>326</v>
      </c>
      <c r="D23" s="5" t="s">
        <v>327</v>
      </c>
      <c r="E23" s="5" t="s">
        <v>328</v>
      </c>
      <c r="F23" s="7">
        <v>9</v>
      </c>
      <c r="G23" s="5">
        <v>470</v>
      </c>
      <c r="H23" s="5">
        <v>30</v>
      </c>
      <c r="I23" s="5">
        <f t="shared" si="0"/>
        <v>440</v>
      </c>
      <c r="J23" s="5" t="s">
        <v>241</v>
      </c>
      <c r="K23" s="5" t="s">
        <v>22</v>
      </c>
      <c r="L23" s="8" t="s">
        <v>269</v>
      </c>
      <c r="Q23" s="5">
        <v>1</v>
      </c>
    </row>
    <row r="24" spans="2:17" s="5" customFormat="1" x14ac:dyDescent="0.25">
      <c r="B24" s="5" t="s">
        <v>18</v>
      </c>
      <c r="C24" s="5" t="s">
        <v>329</v>
      </c>
      <c r="D24" s="5" t="s">
        <v>330</v>
      </c>
      <c r="E24" s="5" t="s">
        <v>331</v>
      </c>
      <c r="F24" s="7">
        <v>2</v>
      </c>
      <c r="G24" s="5">
        <v>0</v>
      </c>
      <c r="H24" s="5">
        <v>30</v>
      </c>
      <c r="I24" s="5">
        <f t="shared" si="0"/>
        <v>-30</v>
      </c>
      <c r="J24" s="5" t="s">
        <v>22</v>
      </c>
      <c r="K24" s="5" t="s">
        <v>22</v>
      </c>
      <c r="L24" s="8" t="s">
        <v>269</v>
      </c>
      <c r="Q24" s="5">
        <v>1</v>
      </c>
    </row>
    <row r="25" spans="2:17" s="5" customFormat="1" x14ac:dyDescent="0.25">
      <c r="B25" s="5" t="s">
        <v>18</v>
      </c>
      <c r="C25" s="5" t="s">
        <v>332</v>
      </c>
      <c r="D25" s="5" t="s">
        <v>333</v>
      </c>
      <c r="E25" s="5" t="s">
        <v>334</v>
      </c>
      <c r="F25" s="7" t="s">
        <v>118</v>
      </c>
      <c r="G25" s="5">
        <v>855</v>
      </c>
      <c r="H25" s="5">
        <v>25</v>
      </c>
      <c r="I25" s="5">
        <f t="shared" si="0"/>
        <v>830</v>
      </c>
      <c r="J25" s="5" t="s">
        <v>22</v>
      </c>
      <c r="K25" s="5" t="s">
        <v>22</v>
      </c>
      <c r="L25" s="8" t="s">
        <v>269</v>
      </c>
      <c r="Q25" s="5">
        <v>1</v>
      </c>
    </row>
    <row r="26" spans="2:17" s="5" customFormat="1" x14ac:dyDescent="0.25">
      <c r="B26" s="5" t="s">
        <v>18</v>
      </c>
      <c r="C26" s="5" t="s">
        <v>335</v>
      </c>
      <c r="D26" s="5" t="s">
        <v>336</v>
      </c>
      <c r="E26" s="5" t="s">
        <v>337</v>
      </c>
      <c r="F26" s="7">
        <v>9</v>
      </c>
      <c r="G26" s="5">
        <v>520</v>
      </c>
      <c r="H26" s="5">
        <v>30</v>
      </c>
      <c r="I26" s="5">
        <f t="shared" si="0"/>
        <v>490</v>
      </c>
      <c r="J26" s="5" t="s">
        <v>241</v>
      </c>
      <c r="K26" s="5" t="s">
        <v>22</v>
      </c>
      <c r="L26" s="8" t="s">
        <v>269</v>
      </c>
      <c r="Q26" s="5">
        <v>1</v>
      </c>
    </row>
    <row r="27" spans="2:17" s="5" customFormat="1" x14ac:dyDescent="0.25">
      <c r="B27" s="5" t="s">
        <v>18</v>
      </c>
      <c r="C27" s="5" t="s">
        <v>338</v>
      </c>
      <c r="D27" s="5" t="s">
        <v>339</v>
      </c>
      <c r="E27" s="5" t="s">
        <v>340</v>
      </c>
      <c r="F27" s="7" t="s">
        <v>118</v>
      </c>
      <c r="G27" s="5">
        <v>735</v>
      </c>
      <c r="H27" s="5">
        <v>25</v>
      </c>
      <c r="I27" s="5">
        <f t="shared" si="0"/>
        <v>710</v>
      </c>
      <c r="J27" s="5" t="s">
        <v>22</v>
      </c>
      <c r="K27" s="5" t="s">
        <v>22</v>
      </c>
      <c r="L27" s="8" t="s">
        <v>269</v>
      </c>
      <c r="M27" s="5" t="s">
        <v>341</v>
      </c>
      <c r="Q27" s="5">
        <v>1</v>
      </c>
    </row>
    <row r="28" spans="2:17" s="5" customFormat="1" x14ac:dyDescent="0.25">
      <c r="B28" s="5" t="s">
        <v>18</v>
      </c>
      <c r="C28" s="5" t="s">
        <v>338</v>
      </c>
      <c r="D28" s="5" t="s">
        <v>342</v>
      </c>
      <c r="E28" s="5" t="s">
        <v>343</v>
      </c>
      <c r="F28" s="7" t="s">
        <v>118</v>
      </c>
      <c r="G28" s="5">
        <v>580</v>
      </c>
      <c r="H28" s="5">
        <v>0</v>
      </c>
      <c r="I28" s="5">
        <f t="shared" si="0"/>
        <v>580</v>
      </c>
      <c r="J28" s="5" t="s">
        <v>268</v>
      </c>
      <c r="K28" s="5" t="s">
        <v>22</v>
      </c>
      <c r="L28" s="8" t="s">
        <v>269</v>
      </c>
      <c r="M28" s="5" t="s">
        <v>341</v>
      </c>
      <c r="Q28" s="5">
        <v>1</v>
      </c>
    </row>
    <row r="29" spans="2:17" s="5" customFormat="1" x14ac:dyDescent="0.25">
      <c r="B29" s="5" t="s">
        <v>18</v>
      </c>
      <c r="C29" s="5" t="s">
        <v>344</v>
      </c>
      <c r="D29" s="5" t="s">
        <v>345</v>
      </c>
      <c r="E29" s="5" t="s">
        <v>346</v>
      </c>
      <c r="F29" s="7">
        <v>6</v>
      </c>
      <c r="G29" s="5">
        <v>0</v>
      </c>
      <c r="H29" s="5">
        <v>25</v>
      </c>
      <c r="I29" s="5">
        <f t="shared" si="0"/>
        <v>-25</v>
      </c>
      <c r="J29" s="5" t="s">
        <v>268</v>
      </c>
      <c r="K29" s="5" t="s">
        <v>22</v>
      </c>
      <c r="L29" s="8" t="s">
        <v>269</v>
      </c>
      <c r="Q29" s="5">
        <v>1</v>
      </c>
    </row>
    <row r="30" spans="2:17" s="5" customFormat="1" x14ac:dyDescent="0.25">
      <c r="B30" s="5" t="s">
        <v>18</v>
      </c>
      <c r="C30" s="5" t="s">
        <v>347</v>
      </c>
      <c r="D30" s="5" t="s">
        <v>348</v>
      </c>
      <c r="E30" s="5" t="s">
        <v>349</v>
      </c>
      <c r="F30" s="7" t="s">
        <v>97</v>
      </c>
      <c r="G30" s="5">
        <v>815</v>
      </c>
      <c r="H30" s="5">
        <v>25</v>
      </c>
      <c r="I30" s="5">
        <f t="shared" si="0"/>
        <v>790</v>
      </c>
      <c r="J30" s="5" t="s">
        <v>27</v>
      </c>
      <c r="K30" s="5" t="s">
        <v>22</v>
      </c>
      <c r="L30" s="8" t="s">
        <v>269</v>
      </c>
      <c r="Q30" s="5">
        <v>1</v>
      </c>
    </row>
    <row r="31" spans="2:17" s="5" customFormat="1" x14ac:dyDescent="0.25">
      <c r="B31" s="5" t="s">
        <v>18</v>
      </c>
      <c r="C31" s="5" t="s">
        <v>350</v>
      </c>
      <c r="D31" s="5" t="s">
        <v>351</v>
      </c>
      <c r="E31" s="5" t="s">
        <v>352</v>
      </c>
      <c r="F31" s="7">
        <v>6</v>
      </c>
      <c r="G31" s="5">
        <v>710</v>
      </c>
      <c r="H31" s="5">
        <v>0</v>
      </c>
      <c r="I31" s="5">
        <f t="shared" si="0"/>
        <v>710</v>
      </c>
      <c r="J31" s="5" t="s">
        <v>268</v>
      </c>
      <c r="K31" s="5" t="s">
        <v>22</v>
      </c>
      <c r="L31" s="8" t="s">
        <v>269</v>
      </c>
      <c r="M31" s="5" t="s">
        <v>341</v>
      </c>
      <c r="Q31" s="5">
        <v>1</v>
      </c>
    </row>
    <row r="32" spans="2:17" s="5" customFormat="1" x14ac:dyDescent="0.25">
      <c r="B32" s="5" t="s">
        <v>18</v>
      </c>
      <c r="C32" s="5" t="s">
        <v>350</v>
      </c>
      <c r="D32" s="5" t="s">
        <v>353</v>
      </c>
      <c r="E32" s="5" t="s">
        <v>352</v>
      </c>
      <c r="F32" s="7">
        <v>6</v>
      </c>
      <c r="G32" s="5">
        <v>820</v>
      </c>
      <c r="H32" s="5">
        <v>0</v>
      </c>
      <c r="I32" s="5">
        <f t="shared" si="0"/>
        <v>820</v>
      </c>
      <c r="J32" s="5" t="s">
        <v>268</v>
      </c>
      <c r="K32" s="5" t="s">
        <v>22</v>
      </c>
      <c r="L32" s="8" t="s">
        <v>269</v>
      </c>
      <c r="M32" s="5" t="s">
        <v>341</v>
      </c>
      <c r="Q32" s="5">
        <v>1</v>
      </c>
    </row>
    <row r="33" spans="2:17" s="5" customFormat="1" x14ac:dyDescent="0.25">
      <c r="B33" s="5" t="s">
        <v>18</v>
      </c>
      <c r="C33" s="5" t="s">
        <v>350</v>
      </c>
      <c r="D33" s="5" t="s">
        <v>354</v>
      </c>
      <c r="E33" s="5" t="s">
        <v>352</v>
      </c>
      <c r="F33" s="7">
        <v>6</v>
      </c>
      <c r="G33" s="5">
        <v>1040</v>
      </c>
      <c r="H33" s="5">
        <v>30</v>
      </c>
      <c r="I33" s="5">
        <f t="shared" si="0"/>
        <v>1010</v>
      </c>
      <c r="J33" s="5" t="s">
        <v>268</v>
      </c>
      <c r="K33" s="5" t="s">
        <v>22</v>
      </c>
      <c r="L33" s="8" t="s">
        <v>269</v>
      </c>
      <c r="M33" s="5" t="s">
        <v>341</v>
      </c>
      <c r="Q33" s="5">
        <v>1</v>
      </c>
    </row>
    <row r="34" spans="2:17" s="5" customFormat="1" x14ac:dyDescent="0.25">
      <c r="B34" s="5" t="s">
        <v>18</v>
      </c>
      <c r="C34" s="5" t="s">
        <v>355</v>
      </c>
      <c r="D34" s="5" t="s">
        <v>356</v>
      </c>
      <c r="E34" s="5" t="s">
        <v>357</v>
      </c>
      <c r="F34" s="7" t="s">
        <v>49</v>
      </c>
      <c r="G34" s="5">
        <v>850</v>
      </c>
      <c r="H34" s="5">
        <v>30</v>
      </c>
      <c r="I34" s="5">
        <f t="shared" si="0"/>
        <v>820</v>
      </c>
      <c r="J34" s="5" t="s">
        <v>268</v>
      </c>
      <c r="K34" s="5" t="s">
        <v>22</v>
      </c>
      <c r="L34" s="8" t="s">
        <v>269</v>
      </c>
      <c r="Q34" s="5">
        <v>1</v>
      </c>
    </row>
    <row r="35" spans="2:17" s="5" customFormat="1" x14ac:dyDescent="0.25">
      <c r="B35" s="5" t="s">
        <v>18</v>
      </c>
      <c r="C35" s="5" t="s">
        <v>358</v>
      </c>
      <c r="D35" s="5" t="s">
        <v>359</v>
      </c>
      <c r="E35" s="5" t="s">
        <v>360</v>
      </c>
      <c r="F35" s="7">
        <v>7</v>
      </c>
      <c r="G35" s="5">
        <v>590</v>
      </c>
      <c r="H35" s="5">
        <v>30</v>
      </c>
      <c r="I35" s="5">
        <f t="shared" si="0"/>
        <v>560</v>
      </c>
      <c r="J35" s="5" t="s">
        <v>268</v>
      </c>
      <c r="K35" s="5" t="s">
        <v>22</v>
      </c>
      <c r="L35" s="8" t="s">
        <v>269</v>
      </c>
      <c r="Q35" s="5">
        <v>1</v>
      </c>
    </row>
    <row r="36" spans="2:17" s="5" customFormat="1" x14ac:dyDescent="0.25">
      <c r="B36" s="5" t="s">
        <v>18</v>
      </c>
      <c r="C36" s="5" t="s">
        <v>361</v>
      </c>
      <c r="D36" s="5" t="s">
        <v>362</v>
      </c>
      <c r="E36" s="5" t="s">
        <v>363</v>
      </c>
      <c r="F36" s="7" t="s">
        <v>118</v>
      </c>
      <c r="G36" s="5">
        <v>605</v>
      </c>
      <c r="H36" s="5">
        <v>25</v>
      </c>
      <c r="I36" s="5">
        <f t="shared" si="0"/>
        <v>580</v>
      </c>
      <c r="J36" s="5" t="s">
        <v>22</v>
      </c>
      <c r="K36" s="5" t="s">
        <v>22</v>
      </c>
      <c r="L36" s="8" t="s">
        <v>269</v>
      </c>
      <c r="Q36" s="5">
        <v>1</v>
      </c>
    </row>
    <row r="37" spans="2:17" s="5" customFormat="1" x14ac:dyDescent="0.25">
      <c r="B37" s="5" t="s">
        <v>18</v>
      </c>
      <c r="C37" s="5" t="s">
        <v>364</v>
      </c>
      <c r="D37" s="5" t="s">
        <v>365</v>
      </c>
      <c r="E37" s="5" t="s">
        <v>366</v>
      </c>
      <c r="F37" s="7">
        <v>10</v>
      </c>
      <c r="G37" s="5">
        <v>715</v>
      </c>
      <c r="H37" s="5">
        <v>25</v>
      </c>
      <c r="I37" s="5">
        <f t="shared" si="0"/>
        <v>690</v>
      </c>
      <c r="J37" s="5" t="s">
        <v>27</v>
      </c>
      <c r="K37" s="5" t="s">
        <v>22</v>
      </c>
      <c r="L37" s="8" t="s">
        <v>269</v>
      </c>
      <c r="Q37" s="5">
        <v>1</v>
      </c>
    </row>
    <row r="38" spans="2:17" s="5" customFormat="1" x14ac:dyDescent="0.25">
      <c r="B38" s="5" t="s">
        <v>18</v>
      </c>
      <c r="C38" s="5" t="s">
        <v>367</v>
      </c>
      <c r="D38" s="5" t="s">
        <v>368</v>
      </c>
      <c r="E38" s="5" t="s">
        <v>369</v>
      </c>
      <c r="F38" s="7" t="s">
        <v>118</v>
      </c>
      <c r="G38" s="5">
        <v>405</v>
      </c>
      <c r="H38" s="5">
        <v>25</v>
      </c>
      <c r="I38" s="5">
        <f t="shared" si="0"/>
        <v>380</v>
      </c>
      <c r="J38" s="5" t="s">
        <v>22</v>
      </c>
      <c r="K38" s="5" t="s">
        <v>22</v>
      </c>
      <c r="L38" s="8" t="s">
        <v>269</v>
      </c>
      <c r="Q38" s="5">
        <v>1</v>
      </c>
    </row>
    <row r="39" spans="2:17" s="5" customFormat="1" x14ac:dyDescent="0.25">
      <c r="B39" s="5" t="s">
        <v>18</v>
      </c>
      <c r="C39" s="5" t="s">
        <v>24</v>
      </c>
      <c r="D39" s="5" t="s">
        <v>370</v>
      </c>
      <c r="E39" s="5" t="s">
        <v>371</v>
      </c>
      <c r="F39" s="7" t="s">
        <v>118</v>
      </c>
      <c r="G39" s="5">
        <v>0</v>
      </c>
      <c r="H39" s="5">
        <v>25</v>
      </c>
      <c r="I39" s="5">
        <f t="shared" si="0"/>
        <v>-25</v>
      </c>
      <c r="J39" s="5" t="s">
        <v>22</v>
      </c>
      <c r="K39" s="5" t="s">
        <v>22</v>
      </c>
      <c r="L39" s="8" t="s">
        <v>269</v>
      </c>
      <c r="Q39" s="5">
        <v>1</v>
      </c>
    </row>
    <row r="40" spans="2:17" s="5" customFormat="1" x14ac:dyDescent="0.25">
      <c r="B40" s="5" t="s">
        <v>18</v>
      </c>
      <c r="C40" s="5" t="s">
        <v>372</v>
      </c>
      <c r="D40" s="5" t="s">
        <v>373</v>
      </c>
      <c r="E40" s="5" t="s">
        <v>374</v>
      </c>
      <c r="F40" s="7">
        <v>7</v>
      </c>
      <c r="G40" s="5">
        <v>850</v>
      </c>
      <c r="H40" s="5">
        <v>30</v>
      </c>
      <c r="I40" s="5">
        <f t="shared" si="0"/>
        <v>820</v>
      </c>
      <c r="J40" s="5" t="s">
        <v>268</v>
      </c>
      <c r="K40" s="5" t="s">
        <v>22</v>
      </c>
      <c r="L40" s="8" t="s">
        <v>269</v>
      </c>
      <c r="Q40" s="5">
        <v>1</v>
      </c>
    </row>
    <row r="41" spans="2:17" s="5" customFormat="1" x14ac:dyDescent="0.25">
      <c r="B41" s="5" t="s">
        <v>18</v>
      </c>
      <c r="C41" s="5" t="s">
        <v>375</v>
      </c>
      <c r="D41" s="5" t="s">
        <v>376</v>
      </c>
      <c r="E41" s="5" t="s">
        <v>377</v>
      </c>
      <c r="F41" s="7">
        <v>1</v>
      </c>
      <c r="G41" s="5">
        <v>765</v>
      </c>
      <c r="H41" s="5">
        <v>25</v>
      </c>
      <c r="I41" s="5">
        <f>-H41</f>
        <v>-25</v>
      </c>
      <c r="J41" s="5" t="s">
        <v>27</v>
      </c>
      <c r="K41" s="5" t="s">
        <v>22</v>
      </c>
      <c r="L41" s="8" t="s">
        <v>269</v>
      </c>
      <c r="Q41" s="5">
        <v>1</v>
      </c>
    </row>
    <row r="42" spans="2:17" s="5" customFormat="1" x14ac:dyDescent="0.25">
      <c r="B42" s="5" t="s">
        <v>18</v>
      </c>
      <c r="C42" s="5" t="s">
        <v>378</v>
      </c>
      <c r="D42" s="5" t="s">
        <v>379</v>
      </c>
      <c r="E42" s="5" t="s">
        <v>380</v>
      </c>
      <c r="F42" s="7">
        <v>3</v>
      </c>
      <c r="G42" s="5">
        <v>0</v>
      </c>
      <c r="H42" s="5">
        <v>25</v>
      </c>
      <c r="I42" s="5">
        <f t="shared" ref="I42:I60" si="1">G42-H42</f>
        <v>-25</v>
      </c>
      <c r="J42" s="5" t="s">
        <v>27</v>
      </c>
      <c r="K42" s="5" t="s">
        <v>22</v>
      </c>
      <c r="L42" s="8" t="s">
        <v>269</v>
      </c>
      <c r="M42" s="5" t="s">
        <v>381</v>
      </c>
      <c r="Q42" s="5">
        <v>1</v>
      </c>
    </row>
    <row r="43" spans="2:17" s="5" customFormat="1" x14ac:dyDescent="0.25">
      <c r="B43" s="5" t="s">
        <v>18</v>
      </c>
      <c r="C43" s="5" t="s">
        <v>382</v>
      </c>
      <c r="D43" s="5" t="s">
        <v>383</v>
      </c>
      <c r="E43" s="5" t="s">
        <v>384</v>
      </c>
      <c r="F43" s="7" t="s">
        <v>53</v>
      </c>
      <c r="G43" s="5">
        <v>600</v>
      </c>
      <c r="H43" s="5">
        <v>20</v>
      </c>
      <c r="I43" s="5">
        <f t="shared" si="1"/>
        <v>580</v>
      </c>
      <c r="J43" s="5" t="s">
        <v>22</v>
      </c>
      <c r="K43" s="5" t="s">
        <v>22</v>
      </c>
      <c r="L43" s="8" t="s">
        <v>269</v>
      </c>
      <c r="Q43" s="5">
        <v>1</v>
      </c>
    </row>
    <row r="44" spans="2:17" s="5" customFormat="1" x14ac:dyDescent="0.25">
      <c r="B44" s="5" t="s">
        <v>18</v>
      </c>
      <c r="C44" s="5" t="s">
        <v>385</v>
      </c>
      <c r="D44" s="5" t="s">
        <v>386</v>
      </c>
      <c r="E44" s="5" t="s">
        <v>387</v>
      </c>
      <c r="F44" s="7" t="s">
        <v>35</v>
      </c>
      <c r="G44" s="5">
        <v>470</v>
      </c>
      <c r="H44" s="5">
        <v>30</v>
      </c>
      <c r="I44" s="5">
        <f t="shared" si="1"/>
        <v>440</v>
      </c>
      <c r="J44" s="5" t="s">
        <v>22</v>
      </c>
      <c r="K44" s="5" t="s">
        <v>22</v>
      </c>
      <c r="L44" s="8" t="s">
        <v>269</v>
      </c>
      <c r="Q44" s="5">
        <v>1</v>
      </c>
    </row>
    <row r="45" spans="2:17" s="5" customFormat="1" x14ac:dyDescent="0.25">
      <c r="B45" s="5" t="s">
        <v>18</v>
      </c>
      <c r="C45" s="5" t="s">
        <v>388</v>
      </c>
      <c r="D45" s="5" t="s">
        <v>389</v>
      </c>
      <c r="E45" s="5" t="s">
        <v>390</v>
      </c>
      <c r="F45" s="7">
        <v>2</v>
      </c>
      <c r="G45" s="5">
        <v>470</v>
      </c>
      <c r="H45" s="5">
        <v>30</v>
      </c>
      <c r="I45" s="5">
        <f t="shared" si="1"/>
        <v>440</v>
      </c>
      <c r="J45" s="5" t="s">
        <v>22</v>
      </c>
      <c r="K45" s="5" t="s">
        <v>22</v>
      </c>
      <c r="L45" s="8" t="s">
        <v>269</v>
      </c>
      <c r="Q45" s="5">
        <v>1</v>
      </c>
    </row>
    <row r="46" spans="2:17" s="5" customFormat="1" x14ac:dyDescent="0.25">
      <c r="B46" s="5" t="s">
        <v>18</v>
      </c>
      <c r="C46" s="5" t="s">
        <v>391</v>
      </c>
      <c r="D46" s="5" t="s">
        <v>392</v>
      </c>
      <c r="E46" s="5" t="s">
        <v>393</v>
      </c>
      <c r="F46" s="7">
        <v>2</v>
      </c>
      <c r="G46" s="5">
        <v>870</v>
      </c>
      <c r="H46" s="5">
        <v>30</v>
      </c>
      <c r="I46" s="5">
        <f t="shared" si="1"/>
        <v>840</v>
      </c>
      <c r="J46" s="5" t="s">
        <v>22</v>
      </c>
      <c r="K46" s="5" t="s">
        <v>22</v>
      </c>
      <c r="L46" s="8" t="s">
        <v>269</v>
      </c>
      <c r="Q46" s="5">
        <v>1</v>
      </c>
    </row>
    <row r="47" spans="2:17" s="5" customFormat="1" x14ac:dyDescent="0.25">
      <c r="B47" s="5" t="s">
        <v>18</v>
      </c>
      <c r="C47" s="5" t="s">
        <v>57</v>
      </c>
      <c r="D47" s="5" t="s">
        <v>394</v>
      </c>
      <c r="E47" s="5" t="s">
        <v>59</v>
      </c>
      <c r="F47" s="7" t="s">
        <v>49</v>
      </c>
      <c r="G47" s="5">
        <v>860</v>
      </c>
      <c r="H47" s="5">
        <v>30</v>
      </c>
      <c r="I47" s="5">
        <f t="shared" si="1"/>
        <v>830</v>
      </c>
      <c r="J47" s="5" t="s">
        <v>268</v>
      </c>
      <c r="K47" s="5" t="s">
        <v>22</v>
      </c>
      <c r="L47" s="8" t="s">
        <v>269</v>
      </c>
      <c r="Q47" s="5">
        <v>1</v>
      </c>
    </row>
    <row r="48" spans="2:17" s="5" customFormat="1" x14ac:dyDescent="0.25">
      <c r="B48" s="5" t="s">
        <v>18</v>
      </c>
      <c r="C48" s="5" t="s">
        <v>395</v>
      </c>
      <c r="D48" s="5" t="s">
        <v>396</v>
      </c>
      <c r="E48" s="5" t="s">
        <v>397</v>
      </c>
      <c r="F48" s="7">
        <v>7</v>
      </c>
      <c r="G48" s="5">
        <v>850</v>
      </c>
      <c r="H48" s="5">
        <v>30</v>
      </c>
      <c r="I48" s="5">
        <f t="shared" si="1"/>
        <v>820</v>
      </c>
      <c r="J48" s="5" t="s">
        <v>268</v>
      </c>
      <c r="K48" s="5" t="s">
        <v>22</v>
      </c>
      <c r="L48" s="8" t="s">
        <v>269</v>
      </c>
      <c r="Q48" s="5">
        <v>1</v>
      </c>
    </row>
    <row r="49" spans="1:17" s="5" customFormat="1" x14ac:dyDescent="0.25">
      <c r="B49" s="5" t="s">
        <v>18</v>
      </c>
      <c r="C49" s="5" t="s">
        <v>398</v>
      </c>
      <c r="D49" s="5" t="s">
        <v>399</v>
      </c>
      <c r="E49" s="5" t="s">
        <v>400</v>
      </c>
      <c r="F49" s="7">
        <v>2</v>
      </c>
      <c r="G49" s="5">
        <v>0</v>
      </c>
      <c r="H49" s="5">
        <v>30</v>
      </c>
      <c r="I49" s="5">
        <f t="shared" si="1"/>
        <v>-30</v>
      </c>
      <c r="J49" s="5" t="s">
        <v>22</v>
      </c>
      <c r="K49" s="5" t="s">
        <v>22</v>
      </c>
      <c r="L49" s="8" t="s">
        <v>269</v>
      </c>
      <c r="M49" s="5" t="s">
        <v>299</v>
      </c>
      <c r="Q49" s="5">
        <v>1</v>
      </c>
    </row>
    <row r="50" spans="1:17" s="5" customFormat="1" x14ac:dyDescent="0.25">
      <c r="B50" s="5" t="s">
        <v>18</v>
      </c>
      <c r="C50" s="11" t="s">
        <v>401</v>
      </c>
      <c r="D50" s="5" t="s">
        <v>402</v>
      </c>
      <c r="E50" s="5" t="s">
        <v>403</v>
      </c>
      <c r="F50" s="7">
        <v>1</v>
      </c>
      <c r="G50" s="5">
        <v>0</v>
      </c>
      <c r="H50" s="5">
        <v>25</v>
      </c>
      <c r="I50" s="5">
        <f t="shared" si="1"/>
        <v>-25</v>
      </c>
      <c r="J50" s="5" t="s">
        <v>27</v>
      </c>
      <c r="K50" s="5" t="s">
        <v>22</v>
      </c>
      <c r="L50" s="8" t="s">
        <v>269</v>
      </c>
      <c r="Q50" s="5">
        <v>1</v>
      </c>
    </row>
    <row r="51" spans="1:17" s="5" customFormat="1" x14ac:dyDescent="0.25">
      <c r="B51" s="5" t="s">
        <v>18</v>
      </c>
      <c r="C51" s="5" t="s">
        <v>404</v>
      </c>
      <c r="D51" s="5" t="s">
        <v>405</v>
      </c>
      <c r="E51" s="5" t="s">
        <v>406</v>
      </c>
      <c r="F51" s="7">
        <v>5</v>
      </c>
      <c r="G51" s="5">
        <v>865</v>
      </c>
      <c r="H51" s="5">
        <v>25</v>
      </c>
      <c r="I51" s="5">
        <f t="shared" si="1"/>
        <v>840</v>
      </c>
      <c r="J51" s="5" t="s">
        <v>27</v>
      </c>
      <c r="K51" s="5" t="s">
        <v>22</v>
      </c>
      <c r="L51" s="8" t="s">
        <v>269</v>
      </c>
      <c r="Q51" s="5">
        <v>1</v>
      </c>
    </row>
    <row r="52" spans="1:17" s="5" customFormat="1" x14ac:dyDescent="0.25">
      <c r="B52" s="5" t="s">
        <v>18</v>
      </c>
      <c r="C52" s="5" t="s">
        <v>407</v>
      </c>
      <c r="D52" s="5" t="s">
        <v>408</v>
      </c>
      <c r="E52" s="5" t="s">
        <v>409</v>
      </c>
      <c r="F52" s="7" t="s">
        <v>53</v>
      </c>
      <c r="G52" s="5">
        <v>400</v>
      </c>
      <c r="H52" s="5">
        <v>20</v>
      </c>
      <c r="I52" s="5">
        <f t="shared" si="1"/>
        <v>380</v>
      </c>
      <c r="J52" s="5" t="s">
        <v>22</v>
      </c>
      <c r="K52" s="5" t="s">
        <v>22</v>
      </c>
      <c r="L52" s="8" t="s">
        <v>269</v>
      </c>
      <c r="Q52" s="5">
        <v>1</v>
      </c>
    </row>
    <row r="53" spans="1:17" s="5" customFormat="1" x14ac:dyDescent="0.25">
      <c r="B53" s="5" t="s">
        <v>18</v>
      </c>
      <c r="C53" s="5" t="s">
        <v>410</v>
      </c>
      <c r="D53" s="5" t="s">
        <v>411</v>
      </c>
      <c r="E53" s="5" t="s">
        <v>412</v>
      </c>
      <c r="F53" s="7" t="s">
        <v>53</v>
      </c>
      <c r="G53" s="5">
        <v>0</v>
      </c>
      <c r="H53" s="5">
        <v>20</v>
      </c>
      <c r="I53" s="5">
        <f t="shared" si="1"/>
        <v>-20</v>
      </c>
      <c r="J53" s="5" t="s">
        <v>22</v>
      </c>
      <c r="K53" s="5" t="s">
        <v>22</v>
      </c>
      <c r="L53" s="8" t="s">
        <v>269</v>
      </c>
      <c r="Q53" s="5">
        <v>1</v>
      </c>
    </row>
    <row r="54" spans="1:17" s="5" customFormat="1" x14ac:dyDescent="0.25">
      <c r="B54" s="5" t="s">
        <v>18</v>
      </c>
      <c r="C54" s="5" t="s">
        <v>413</v>
      </c>
      <c r="D54" s="5" t="s">
        <v>414</v>
      </c>
      <c r="E54" s="5" t="s">
        <v>415</v>
      </c>
      <c r="F54" s="7" t="s">
        <v>118</v>
      </c>
      <c r="G54" s="5">
        <v>1555</v>
      </c>
      <c r="H54" s="5">
        <v>25</v>
      </c>
      <c r="I54" s="5">
        <f t="shared" si="1"/>
        <v>1530</v>
      </c>
      <c r="J54" s="5" t="s">
        <v>22</v>
      </c>
      <c r="K54" s="5" t="s">
        <v>22</v>
      </c>
      <c r="L54" s="8" t="s">
        <v>269</v>
      </c>
      <c r="Q54" s="5">
        <v>1</v>
      </c>
    </row>
    <row r="55" spans="1:17" s="5" customFormat="1" x14ac:dyDescent="0.25">
      <c r="B55" s="5" t="s">
        <v>18</v>
      </c>
      <c r="C55" s="5" t="s">
        <v>416</v>
      </c>
      <c r="D55" s="5" t="s">
        <v>417</v>
      </c>
      <c r="E55" s="5" t="s">
        <v>418</v>
      </c>
      <c r="F55" s="7">
        <v>4</v>
      </c>
      <c r="G55" s="5">
        <v>515</v>
      </c>
      <c r="H55" s="5">
        <v>25</v>
      </c>
      <c r="I55" s="5">
        <f t="shared" si="1"/>
        <v>490</v>
      </c>
      <c r="J55" s="5" t="s">
        <v>27</v>
      </c>
      <c r="K55" s="5" t="s">
        <v>22</v>
      </c>
      <c r="L55" s="8" t="s">
        <v>269</v>
      </c>
      <c r="Q55" s="5">
        <v>1</v>
      </c>
    </row>
    <row r="56" spans="1:17" s="10" customFormat="1" x14ac:dyDescent="0.25">
      <c r="B56" s="10" t="s">
        <v>18</v>
      </c>
      <c r="C56" s="10" t="s">
        <v>419</v>
      </c>
      <c r="D56" s="10" t="s">
        <v>420</v>
      </c>
      <c r="E56" s="10" t="s">
        <v>421</v>
      </c>
      <c r="F56" s="27">
        <v>6</v>
      </c>
      <c r="G56" s="10">
        <v>605</v>
      </c>
      <c r="H56" s="10">
        <v>25</v>
      </c>
      <c r="I56" s="10">
        <f t="shared" si="1"/>
        <v>580</v>
      </c>
      <c r="J56" s="10" t="s">
        <v>268</v>
      </c>
      <c r="K56" s="10" t="s">
        <v>22</v>
      </c>
      <c r="L56" s="28" t="s">
        <v>269</v>
      </c>
      <c r="Q56" s="10">
        <v>1</v>
      </c>
    </row>
    <row r="57" spans="1:17" s="6" customFormat="1" x14ac:dyDescent="0.25">
      <c r="B57" s="6" t="s">
        <v>18</v>
      </c>
      <c r="C57" s="6" t="s">
        <v>422</v>
      </c>
      <c r="D57" s="6" t="s">
        <v>423</v>
      </c>
      <c r="E57" s="6" t="s">
        <v>424</v>
      </c>
      <c r="F57" s="12">
        <v>2</v>
      </c>
      <c r="G57" s="6">
        <v>870</v>
      </c>
      <c r="H57" s="6">
        <v>30</v>
      </c>
      <c r="I57" s="6">
        <f t="shared" si="1"/>
        <v>840</v>
      </c>
      <c r="J57" s="6" t="s">
        <v>425</v>
      </c>
      <c r="K57" s="6" t="s">
        <v>22</v>
      </c>
      <c r="L57" s="18" t="s">
        <v>269</v>
      </c>
      <c r="M57" s="6" t="s">
        <v>426</v>
      </c>
      <c r="N57" s="6" t="s">
        <v>275</v>
      </c>
      <c r="P57" s="6" t="s">
        <v>427</v>
      </c>
      <c r="Q57" s="6">
        <v>1</v>
      </c>
    </row>
    <row r="58" spans="1:17" s="5" customFormat="1" x14ac:dyDescent="0.25">
      <c r="B58" s="5" t="s">
        <v>18</v>
      </c>
      <c r="C58" s="5" t="s">
        <v>428</v>
      </c>
      <c r="D58" s="5" t="s">
        <v>429</v>
      </c>
      <c r="E58" s="5" t="s">
        <v>430</v>
      </c>
      <c r="F58" s="7">
        <v>5</v>
      </c>
      <c r="G58" s="5">
        <v>0</v>
      </c>
      <c r="H58" s="5">
        <v>25</v>
      </c>
      <c r="I58" s="5">
        <f t="shared" si="1"/>
        <v>-25</v>
      </c>
      <c r="J58" s="5" t="s">
        <v>27</v>
      </c>
      <c r="K58" s="5" t="s">
        <v>22</v>
      </c>
      <c r="L58" s="8" t="s">
        <v>269</v>
      </c>
      <c r="Q58" s="5">
        <v>1</v>
      </c>
    </row>
    <row r="59" spans="1:17" s="5" customFormat="1" ht="14.25" customHeight="1" x14ac:dyDescent="0.25">
      <c r="B59" s="5" t="s">
        <v>18</v>
      </c>
      <c r="C59" s="5" t="s">
        <v>431</v>
      </c>
      <c r="D59" s="5" t="s">
        <v>432</v>
      </c>
      <c r="E59" s="5" t="s">
        <v>433</v>
      </c>
      <c r="F59" s="7">
        <v>6</v>
      </c>
      <c r="G59" s="5">
        <v>815</v>
      </c>
      <c r="H59" s="5">
        <v>25</v>
      </c>
      <c r="I59" s="5">
        <f t="shared" si="1"/>
        <v>790</v>
      </c>
      <c r="J59" s="5" t="s">
        <v>268</v>
      </c>
      <c r="K59" s="5" t="s">
        <v>22</v>
      </c>
      <c r="L59" s="8" t="s">
        <v>269</v>
      </c>
      <c r="Q59" s="5">
        <v>1</v>
      </c>
    </row>
    <row r="60" spans="1:17" s="5" customFormat="1" x14ac:dyDescent="0.25">
      <c r="B60" s="5" t="s">
        <v>18</v>
      </c>
      <c r="C60" s="5" t="s">
        <v>434</v>
      </c>
      <c r="D60" s="5" t="s">
        <v>435</v>
      </c>
      <c r="E60" s="5" t="s">
        <v>436</v>
      </c>
      <c r="F60" s="7">
        <v>12</v>
      </c>
      <c r="G60" s="5">
        <v>0</v>
      </c>
      <c r="H60" s="5">
        <v>30</v>
      </c>
      <c r="I60" s="5">
        <f t="shared" si="1"/>
        <v>-30</v>
      </c>
      <c r="J60" s="5" t="s">
        <v>268</v>
      </c>
      <c r="K60" s="5" t="s">
        <v>22</v>
      </c>
      <c r="L60" s="8" t="s">
        <v>269</v>
      </c>
      <c r="Q60" s="5">
        <v>1</v>
      </c>
    </row>
    <row r="61" spans="1:17" s="5" customFormat="1" x14ac:dyDescent="0.25">
      <c r="A61" s="5" t="s">
        <v>255</v>
      </c>
      <c r="B61" s="5" t="s">
        <v>18</v>
      </c>
      <c r="C61" s="5" t="s">
        <v>437</v>
      </c>
      <c r="E61" s="5" t="s">
        <v>438</v>
      </c>
      <c r="F61" s="7">
        <v>6</v>
      </c>
      <c r="G61" s="5">
        <v>35</v>
      </c>
      <c r="H61" s="5">
        <v>35</v>
      </c>
      <c r="I61" s="5">
        <f>-H61</f>
        <v>-35</v>
      </c>
      <c r="J61" s="5" t="s">
        <v>27</v>
      </c>
      <c r="K61" s="5" t="s">
        <v>22</v>
      </c>
      <c r="L61" s="8" t="s">
        <v>269</v>
      </c>
      <c r="M61" s="14" t="s">
        <v>439</v>
      </c>
      <c r="Q61" s="5">
        <v>1</v>
      </c>
    </row>
    <row r="62" spans="1:17" s="5" customFormat="1" x14ac:dyDescent="0.25">
      <c r="A62" s="5" t="s">
        <v>255</v>
      </c>
      <c r="B62" s="5" t="s">
        <v>18</v>
      </c>
      <c r="C62" s="5" t="s">
        <v>440</v>
      </c>
      <c r="E62" s="5" t="s">
        <v>441</v>
      </c>
      <c r="F62" s="7">
        <v>12</v>
      </c>
      <c r="G62" s="5">
        <v>0</v>
      </c>
      <c r="H62" s="5">
        <v>35</v>
      </c>
      <c r="I62" s="5">
        <f>G62-H62</f>
        <v>-35</v>
      </c>
      <c r="J62" s="5" t="s">
        <v>268</v>
      </c>
      <c r="K62" s="5" t="s">
        <v>22</v>
      </c>
      <c r="L62" s="8" t="s">
        <v>269</v>
      </c>
      <c r="M62" s="14" t="s">
        <v>442</v>
      </c>
      <c r="Q62" s="5">
        <v>1</v>
      </c>
    </row>
    <row r="63" spans="1:17" s="5" customFormat="1" x14ac:dyDescent="0.25">
      <c r="A63" s="5" t="s">
        <v>255</v>
      </c>
      <c r="B63" s="5" t="s">
        <v>18</v>
      </c>
      <c r="C63" s="5" t="s">
        <v>258</v>
      </c>
      <c r="E63" s="5" t="s">
        <v>259</v>
      </c>
      <c r="F63" s="7" t="s">
        <v>118</v>
      </c>
      <c r="G63" s="5">
        <v>30</v>
      </c>
      <c r="H63" s="5">
        <v>30</v>
      </c>
      <c r="I63" s="5">
        <f>H63</f>
        <v>30</v>
      </c>
      <c r="J63" s="5" t="s">
        <v>22</v>
      </c>
      <c r="K63" s="5" t="s">
        <v>22</v>
      </c>
      <c r="L63" s="8" t="s">
        <v>269</v>
      </c>
      <c r="M63" s="14" t="s">
        <v>443</v>
      </c>
      <c r="Q63" s="5">
        <v>1</v>
      </c>
    </row>
    <row r="64" spans="1:17" s="5" customFormat="1" x14ac:dyDescent="0.25">
      <c r="A64" s="5" t="s">
        <v>255</v>
      </c>
      <c r="B64" s="5" t="s">
        <v>18</v>
      </c>
      <c r="C64" s="5" t="s">
        <v>260</v>
      </c>
      <c r="E64" s="5" t="s">
        <v>261</v>
      </c>
      <c r="F64" s="7" t="s">
        <v>97</v>
      </c>
      <c r="G64" s="5">
        <v>0</v>
      </c>
      <c r="H64" s="5">
        <v>25</v>
      </c>
      <c r="I64" s="5">
        <f>G64-H64</f>
        <v>-25</v>
      </c>
      <c r="J64" s="5" t="s">
        <v>27</v>
      </c>
      <c r="K64" s="5" t="s">
        <v>22</v>
      </c>
      <c r="L64" s="8" t="s">
        <v>269</v>
      </c>
      <c r="M64" s="14" t="s">
        <v>443</v>
      </c>
      <c r="Q64" s="5">
        <v>1</v>
      </c>
    </row>
    <row r="65" spans="1:17" s="5" customFormat="1" x14ac:dyDescent="0.25">
      <c r="A65" s="5" t="s">
        <v>255</v>
      </c>
      <c r="B65" s="5" t="s">
        <v>18</v>
      </c>
      <c r="C65" s="5" t="s">
        <v>444</v>
      </c>
      <c r="E65" s="5" t="s">
        <v>445</v>
      </c>
      <c r="F65" s="7" t="s">
        <v>35</v>
      </c>
      <c r="G65" s="5">
        <v>35</v>
      </c>
      <c r="H65" s="5">
        <v>35</v>
      </c>
      <c r="I65" s="5">
        <f>-H65</f>
        <v>-35</v>
      </c>
      <c r="J65" s="5" t="s">
        <v>22</v>
      </c>
      <c r="K65" s="5" t="s">
        <v>22</v>
      </c>
      <c r="L65" s="8" t="s">
        <v>269</v>
      </c>
      <c r="M65" s="14" t="s">
        <v>443</v>
      </c>
      <c r="Q65" s="5">
        <v>1</v>
      </c>
    </row>
    <row r="66" spans="1:17" x14ac:dyDescent="0.25">
      <c r="A66" s="5" t="s">
        <v>255</v>
      </c>
      <c r="B66" s="5" t="s">
        <v>18</v>
      </c>
      <c r="C66" s="5" t="s">
        <v>256</v>
      </c>
      <c r="D66" s="5"/>
      <c r="E66" s="5" t="s">
        <v>446</v>
      </c>
      <c r="F66" s="7">
        <v>6</v>
      </c>
      <c r="G66" s="5">
        <v>0</v>
      </c>
      <c r="H66" s="5">
        <v>30</v>
      </c>
      <c r="I66" s="5">
        <f>G66-H66</f>
        <v>-30</v>
      </c>
      <c r="J66" s="5" t="s">
        <v>268</v>
      </c>
      <c r="K66" s="5" t="s">
        <v>22</v>
      </c>
      <c r="L66" s="8" t="s">
        <v>269</v>
      </c>
      <c r="M66" s="14" t="s">
        <v>442</v>
      </c>
      <c r="N66" s="5"/>
      <c r="O66" s="5"/>
      <c r="P66" s="5"/>
      <c r="Q66" s="5">
        <v>1</v>
      </c>
    </row>
    <row r="67" spans="1:17" x14ac:dyDescent="0.25">
      <c r="A67" t="s">
        <v>255</v>
      </c>
      <c r="B67" t="s">
        <v>18</v>
      </c>
      <c r="C67" t="s">
        <v>447</v>
      </c>
      <c r="E67" t="s">
        <v>448</v>
      </c>
      <c r="F67" t="s">
        <v>118</v>
      </c>
      <c r="G67">
        <v>30</v>
      </c>
      <c r="H67">
        <v>30</v>
      </c>
      <c r="I67">
        <v>0</v>
      </c>
      <c r="J67" t="s">
        <v>22</v>
      </c>
      <c r="K67" t="s">
        <v>22</v>
      </c>
      <c r="L67" t="s">
        <v>269</v>
      </c>
      <c r="M67" s="14" t="s">
        <v>443</v>
      </c>
      <c r="Q67">
        <v>1</v>
      </c>
    </row>
  </sheetData>
  <autoFilter ref="A2:Q66" xr:uid="{00000000-0009-0000-0000-000001000000}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workbookViewId="0">
      <selection activeCell="A9" sqref="A9 A9:XFD9"/>
    </sheetView>
  </sheetViews>
  <sheetFormatPr defaultColWidth="9" defaultRowHeight="15" x14ac:dyDescent="0.25"/>
  <cols>
    <col min="1" max="1" width="9" style="14" customWidth="1"/>
    <col min="2" max="2" width="17.42578125" style="14" bestFit="1" customWidth="1"/>
    <col min="3" max="3" width="38.28515625" style="14" bestFit="1" customWidth="1"/>
    <col min="4" max="4" width="9.42578125" style="14" bestFit="1" customWidth="1"/>
    <col min="5" max="5" width="59.140625" style="14" bestFit="1" customWidth="1"/>
    <col min="6" max="11" width="9" style="14" customWidth="1"/>
    <col min="12" max="12" width="12.140625" style="14" bestFit="1" customWidth="1"/>
    <col min="13" max="13" width="9" style="14" customWidth="1"/>
    <col min="14" max="16384" width="9" style="14"/>
  </cols>
  <sheetData>
    <row r="1" spans="1:19" ht="15" customHeight="1" x14ac:dyDescent="0.25">
      <c r="B1" s="3" t="s">
        <v>449</v>
      </c>
      <c r="C1" s="3" t="s">
        <v>450</v>
      </c>
    </row>
    <row r="2" spans="1:19" ht="15" customHeight="1" x14ac:dyDescent="0.25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451</v>
      </c>
      <c r="R2" s="26" t="s">
        <v>452</v>
      </c>
      <c r="S2" s="26" t="s">
        <v>453</v>
      </c>
    </row>
    <row r="3" spans="1:19" x14ac:dyDescent="0.25">
      <c r="A3" s="16"/>
      <c r="B3" s="16" t="s">
        <v>18</v>
      </c>
      <c r="C3" s="16" t="s">
        <v>454</v>
      </c>
      <c r="D3" s="16" t="s">
        <v>455</v>
      </c>
      <c r="E3" s="16" t="s">
        <v>456</v>
      </c>
      <c r="F3" s="17">
        <v>4</v>
      </c>
      <c r="G3" s="16">
        <v>895</v>
      </c>
      <c r="H3" s="16">
        <v>25</v>
      </c>
      <c r="I3" s="16">
        <f t="shared" ref="I3:I37" si="0">G3-H3</f>
        <v>870</v>
      </c>
      <c r="J3" s="16" t="s">
        <v>27</v>
      </c>
      <c r="K3" s="16" t="s">
        <v>22</v>
      </c>
      <c r="L3" s="16" t="s">
        <v>457</v>
      </c>
      <c r="M3" s="16"/>
      <c r="N3" s="16"/>
      <c r="O3" s="16"/>
      <c r="P3" s="16"/>
      <c r="Q3" s="16">
        <v>1</v>
      </c>
    </row>
    <row r="4" spans="1:19" x14ac:dyDescent="0.25">
      <c r="A4" s="24"/>
      <c r="B4" s="24" t="s">
        <v>18</v>
      </c>
      <c r="C4" s="24" t="s">
        <v>458</v>
      </c>
      <c r="D4" s="24" t="s">
        <v>459</v>
      </c>
      <c r="E4" s="24" t="s">
        <v>460</v>
      </c>
      <c r="F4" s="25">
        <v>8</v>
      </c>
      <c r="G4" s="24">
        <v>745</v>
      </c>
      <c r="H4" s="24">
        <v>25</v>
      </c>
      <c r="I4" s="24">
        <f t="shared" si="0"/>
        <v>720</v>
      </c>
      <c r="J4" s="24" t="s">
        <v>461</v>
      </c>
      <c r="K4" s="24" t="s">
        <v>22</v>
      </c>
      <c r="L4" s="24" t="s">
        <v>457</v>
      </c>
      <c r="M4" s="24"/>
      <c r="N4" s="24"/>
      <c r="O4" s="24"/>
      <c r="P4" s="24"/>
      <c r="Q4" s="24">
        <v>1</v>
      </c>
    </row>
    <row r="5" spans="1:19" x14ac:dyDescent="0.25">
      <c r="A5" s="5"/>
      <c r="B5" s="5" t="s">
        <v>18</v>
      </c>
      <c r="C5" s="5" t="s">
        <v>462</v>
      </c>
      <c r="D5" s="5" t="s">
        <v>463</v>
      </c>
      <c r="E5" s="5" t="s">
        <v>464</v>
      </c>
      <c r="F5" s="15">
        <v>2</v>
      </c>
      <c r="G5" s="5">
        <v>0</v>
      </c>
      <c r="H5" s="5">
        <v>30</v>
      </c>
      <c r="I5" s="5">
        <f t="shared" si="0"/>
        <v>-30</v>
      </c>
      <c r="J5" s="5" t="s">
        <v>22</v>
      </c>
      <c r="K5" s="5" t="s">
        <v>22</v>
      </c>
      <c r="L5" s="5" t="s">
        <v>457</v>
      </c>
      <c r="M5" s="5"/>
      <c r="N5" s="5"/>
      <c r="O5" s="5"/>
      <c r="P5" s="5"/>
      <c r="Q5" s="5">
        <v>1</v>
      </c>
    </row>
    <row r="6" spans="1:19" x14ac:dyDescent="0.25">
      <c r="A6" s="24"/>
      <c r="B6" s="24" t="s">
        <v>18</v>
      </c>
      <c r="C6" s="24" t="s">
        <v>293</v>
      </c>
      <c r="D6" s="24" t="s">
        <v>465</v>
      </c>
      <c r="E6" s="24" t="s">
        <v>466</v>
      </c>
      <c r="F6" s="25">
        <v>7</v>
      </c>
      <c r="G6" s="24">
        <v>850</v>
      </c>
      <c r="H6" s="24">
        <v>30</v>
      </c>
      <c r="I6" s="24">
        <f t="shared" si="0"/>
        <v>820</v>
      </c>
      <c r="J6" s="24" t="s">
        <v>461</v>
      </c>
      <c r="K6" s="24" t="s">
        <v>22</v>
      </c>
      <c r="L6" s="24" t="s">
        <v>457</v>
      </c>
      <c r="M6" s="24"/>
      <c r="N6" s="24"/>
      <c r="O6" s="24"/>
      <c r="P6" s="24"/>
      <c r="Q6" s="24">
        <v>1</v>
      </c>
    </row>
    <row r="7" spans="1:19" x14ac:dyDescent="0.25">
      <c r="A7" s="16"/>
      <c r="B7" s="16" t="s">
        <v>18</v>
      </c>
      <c r="C7" s="16" t="s">
        <v>467</v>
      </c>
      <c r="D7" s="16" t="s">
        <v>468</v>
      </c>
      <c r="E7" s="16" t="s">
        <v>469</v>
      </c>
      <c r="F7" s="17">
        <v>1</v>
      </c>
      <c r="G7" s="16">
        <v>815</v>
      </c>
      <c r="H7" s="16">
        <v>25</v>
      </c>
      <c r="I7" s="16">
        <f t="shared" si="0"/>
        <v>790</v>
      </c>
      <c r="J7" s="16" t="s">
        <v>27</v>
      </c>
      <c r="K7" s="16" t="s">
        <v>22</v>
      </c>
      <c r="L7" s="16" t="s">
        <v>457</v>
      </c>
      <c r="M7" s="16"/>
      <c r="N7" s="16"/>
      <c r="O7" s="16"/>
      <c r="P7" s="16"/>
      <c r="Q7" s="16">
        <v>1</v>
      </c>
    </row>
    <row r="8" spans="1:19" x14ac:dyDescent="0.25">
      <c r="A8" s="16"/>
      <c r="B8" s="16" t="s">
        <v>18</v>
      </c>
      <c r="C8" s="16" t="s">
        <v>470</v>
      </c>
      <c r="D8" s="16" t="s">
        <v>471</v>
      </c>
      <c r="E8" s="16" t="s">
        <v>472</v>
      </c>
      <c r="F8" s="17">
        <v>5</v>
      </c>
      <c r="G8" s="16">
        <v>385</v>
      </c>
      <c r="H8" s="16">
        <v>25</v>
      </c>
      <c r="I8" s="16">
        <f t="shared" si="0"/>
        <v>360</v>
      </c>
      <c r="J8" s="16" t="s">
        <v>27</v>
      </c>
      <c r="K8" s="16" t="s">
        <v>22</v>
      </c>
      <c r="L8" s="16" t="s">
        <v>457</v>
      </c>
      <c r="M8" s="16"/>
      <c r="N8" s="16"/>
      <c r="O8" s="16"/>
      <c r="P8" s="16"/>
      <c r="Q8" s="16">
        <v>1</v>
      </c>
    </row>
    <row r="9" spans="1:19" x14ac:dyDescent="0.25">
      <c r="A9" s="19"/>
      <c r="B9" s="19" t="s">
        <v>18</v>
      </c>
      <c r="C9" s="19" t="s">
        <v>473</v>
      </c>
      <c r="D9" s="19" t="s">
        <v>474</v>
      </c>
      <c r="E9" s="19" t="s">
        <v>475</v>
      </c>
      <c r="F9" s="20">
        <v>9</v>
      </c>
      <c r="G9" s="19">
        <v>390</v>
      </c>
      <c r="H9" s="19">
        <v>30</v>
      </c>
      <c r="I9" s="19">
        <f t="shared" si="0"/>
        <v>360</v>
      </c>
      <c r="J9" s="19" t="s">
        <v>241</v>
      </c>
      <c r="K9" s="19" t="s">
        <v>22</v>
      </c>
      <c r="L9" s="19" t="s">
        <v>457</v>
      </c>
      <c r="M9" s="19"/>
      <c r="N9" s="19"/>
      <c r="O9" s="19"/>
      <c r="P9" s="19"/>
      <c r="Q9" s="19">
        <v>1</v>
      </c>
    </row>
    <row r="10" spans="1:19" x14ac:dyDescent="0.25">
      <c r="A10" s="5"/>
      <c r="B10" s="5" t="s">
        <v>18</v>
      </c>
      <c r="C10" s="5" t="s">
        <v>476</v>
      </c>
      <c r="D10" s="5" t="s">
        <v>477</v>
      </c>
      <c r="E10" s="5" t="s">
        <v>478</v>
      </c>
      <c r="F10" s="15">
        <v>2</v>
      </c>
      <c r="G10" s="5">
        <v>850</v>
      </c>
      <c r="H10" s="5">
        <v>30</v>
      </c>
      <c r="I10" s="5">
        <f t="shared" si="0"/>
        <v>820</v>
      </c>
      <c r="J10" s="5" t="s">
        <v>22</v>
      </c>
      <c r="K10" s="5" t="s">
        <v>22</v>
      </c>
      <c r="L10" s="5" t="s">
        <v>457</v>
      </c>
      <c r="M10" s="5"/>
      <c r="N10" s="5"/>
      <c r="O10" s="5"/>
      <c r="P10" s="5"/>
      <c r="Q10" s="5">
        <v>1</v>
      </c>
    </row>
    <row r="11" spans="1:19" x14ac:dyDescent="0.25">
      <c r="A11" s="16"/>
      <c r="B11" s="16" t="s">
        <v>18</v>
      </c>
      <c r="C11" s="16" t="s">
        <v>479</v>
      </c>
      <c r="D11" s="16" t="s">
        <v>480</v>
      </c>
      <c r="E11" s="16" t="s">
        <v>234</v>
      </c>
      <c r="F11" s="17">
        <v>10</v>
      </c>
      <c r="G11" s="16">
        <v>0</v>
      </c>
      <c r="H11" s="16">
        <v>25</v>
      </c>
      <c r="I11" s="16">
        <f t="shared" si="0"/>
        <v>-25</v>
      </c>
      <c r="J11" s="16" t="s">
        <v>27</v>
      </c>
      <c r="K11" s="16" t="s">
        <v>22</v>
      </c>
      <c r="L11" s="16" t="s">
        <v>457</v>
      </c>
      <c r="M11" s="16"/>
      <c r="N11" s="16"/>
      <c r="O11" s="16"/>
      <c r="P11" s="16"/>
      <c r="Q11" s="16">
        <v>1</v>
      </c>
    </row>
    <row r="12" spans="1:19" x14ac:dyDescent="0.25">
      <c r="A12" s="24"/>
      <c r="B12" s="24" t="s">
        <v>18</v>
      </c>
      <c r="C12" s="24" t="s">
        <v>481</v>
      </c>
      <c r="D12" s="24" t="s">
        <v>482</v>
      </c>
      <c r="E12" s="24" t="s">
        <v>483</v>
      </c>
      <c r="F12" s="25" t="s">
        <v>49</v>
      </c>
      <c r="G12" s="24">
        <v>0</v>
      </c>
      <c r="H12" s="24">
        <v>30</v>
      </c>
      <c r="I12" s="24">
        <f t="shared" si="0"/>
        <v>-30</v>
      </c>
      <c r="J12" s="24" t="s">
        <v>461</v>
      </c>
      <c r="K12" s="24" t="s">
        <v>22</v>
      </c>
      <c r="L12" s="24" t="s">
        <v>457</v>
      </c>
      <c r="M12" s="24"/>
      <c r="N12" s="24"/>
      <c r="O12" s="24"/>
      <c r="P12" s="24"/>
      <c r="Q12" s="24">
        <v>1</v>
      </c>
    </row>
    <row r="13" spans="1:19" x14ac:dyDescent="0.25">
      <c r="A13" s="5"/>
      <c r="B13" s="5" t="s">
        <v>18</v>
      </c>
      <c r="C13" s="5" t="s">
        <v>484</v>
      </c>
      <c r="D13" s="5" t="s">
        <v>485</v>
      </c>
      <c r="E13" s="5" t="s">
        <v>486</v>
      </c>
      <c r="F13" s="15" t="s">
        <v>118</v>
      </c>
      <c r="G13" s="5">
        <v>1105</v>
      </c>
      <c r="H13" s="5">
        <v>25</v>
      </c>
      <c r="I13" s="5">
        <f t="shared" si="0"/>
        <v>1080</v>
      </c>
      <c r="J13" s="5" t="s">
        <v>22</v>
      </c>
      <c r="K13" s="5" t="s">
        <v>22</v>
      </c>
      <c r="L13" s="5" t="s">
        <v>457</v>
      </c>
      <c r="M13" s="5"/>
      <c r="N13" s="5"/>
      <c r="O13" s="5"/>
      <c r="P13" s="5"/>
      <c r="Q13" s="5">
        <v>1</v>
      </c>
    </row>
    <row r="14" spans="1:19" x14ac:dyDescent="0.25">
      <c r="A14" s="24"/>
      <c r="B14" s="24" t="s">
        <v>18</v>
      </c>
      <c r="C14" s="24" t="s">
        <v>487</v>
      </c>
      <c r="D14" s="24" t="s">
        <v>488</v>
      </c>
      <c r="E14" s="24" t="s">
        <v>489</v>
      </c>
      <c r="F14" s="25" t="s">
        <v>63</v>
      </c>
      <c r="G14" s="24">
        <v>835</v>
      </c>
      <c r="H14" s="24">
        <v>25</v>
      </c>
      <c r="I14" s="24">
        <f t="shared" si="0"/>
        <v>810</v>
      </c>
      <c r="J14" s="24" t="s">
        <v>461</v>
      </c>
      <c r="K14" s="24" t="s">
        <v>22</v>
      </c>
      <c r="L14" s="24" t="s">
        <v>457</v>
      </c>
      <c r="M14" s="24"/>
      <c r="N14" s="24"/>
      <c r="O14" s="24"/>
      <c r="P14" s="24"/>
      <c r="Q14" s="24">
        <v>1</v>
      </c>
    </row>
    <row r="15" spans="1:19" x14ac:dyDescent="0.25">
      <c r="A15" s="5"/>
      <c r="B15" s="5" t="s">
        <v>18</v>
      </c>
      <c r="C15" s="5" t="s">
        <v>490</v>
      </c>
      <c r="D15" s="5" t="s">
        <v>491</v>
      </c>
      <c r="E15" s="5" t="s">
        <v>492</v>
      </c>
      <c r="F15" s="15">
        <v>2</v>
      </c>
      <c r="G15" s="5">
        <v>820</v>
      </c>
      <c r="H15" s="5">
        <v>30</v>
      </c>
      <c r="I15" s="5">
        <f t="shared" si="0"/>
        <v>790</v>
      </c>
      <c r="J15" s="5" t="s">
        <v>22</v>
      </c>
      <c r="K15" s="5" t="s">
        <v>22</v>
      </c>
      <c r="L15" s="5" t="s">
        <v>457</v>
      </c>
      <c r="M15" s="5"/>
      <c r="N15" s="5"/>
      <c r="O15" s="5"/>
      <c r="P15" s="5"/>
      <c r="Q15" s="5">
        <v>1</v>
      </c>
    </row>
    <row r="16" spans="1:19" x14ac:dyDescent="0.25">
      <c r="A16" s="16"/>
      <c r="B16" s="16" t="s">
        <v>18</v>
      </c>
      <c r="C16" s="16" t="s">
        <v>428</v>
      </c>
      <c r="D16" s="16" t="s">
        <v>493</v>
      </c>
      <c r="E16" s="16" t="s">
        <v>430</v>
      </c>
      <c r="F16" s="17">
        <v>5</v>
      </c>
      <c r="G16" s="16">
        <v>0</v>
      </c>
      <c r="H16" s="16">
        <v>25</v>
      </c>
      <c r="I16" s="16">
        <f t="shared" si="0"/>
        <v>-25</v>
      </c>
      <c r="J16" s="16" t="s">
        <v>27</v>
      </c>
      <c r="K16" s="16" t="s">
        <v>22</v>
      </c>
      <c r="L16" s="16" t="s">
        <v>457</v>
      </c>
      <c r="M16" s="16"/>
      <c r="N16" s="16"/>
      <c r="O16" s="16"/>
      <c r="P16" s="16"/>
      <c r="Q16" s="16">
        <v>1</v>
      </c>
    </row>
    <row r="17" spans="1:19" x14ac:dyDescent="0.25">
      <c r="A17" s="16"/>
      <c r="B17" s="16" t="s">
        <v>18</v>
      </c>
      <c r="C17" s="16" t="s">
        <v>494</v>
      </c>
      <c r="D17" s="16" t="s">
        <v>495</v>
      </c>
      <c r="E17" s="16" t="s">
        <v>496</v>
      </c>
      <c r="F17" s="17">
        <v>1</v>
      </c>
      <c r="G17" s="16">
        <v>0</v>
      </c>
      <c r="H17" s="16">
        <v>25</v>
      </c>
      <c r="I17" s="16">
        <f t="shared" si="0"/>
        <v>-25</v>
      </c>
      <c r="J17" s="16" t="s">
        <v>27</v>
      </c>
      <c r="K17" s="16" t="s">
        <v>22</v>
      </c>
      <c r="L17" s="16" t="s">
        <v>457</v>
      </c>
      <c r="M17" s="16"/>
      <c r="N17" s="16"/>
      <c r="O17" s="16"/>
      <c r="P17" s="16"/>
      <c r="Q17" s="16">
        <v>1</v>
      </c>
    </row>
    <row r="18" spans="1:19" x14ac:dyDescent="0.25">
      <c r="A18" s="5"/>
      <c r="B18" s="5" t="s">
        <v>18</v>
      </c>
      <c r="C18" s="5" t="s">
        <v>497</v>
      </c>
      <c r="D18" s="5" t="s">
        <v>498</v>
      </c>
      <c r="E18" s="5" t="s">
        <v>499</v>
      </c>
      <c r="F18" s="15">
        <v>2</v>
      </c>
      <c r="G18" s="5">
        <v>0</v>
      </c>
      <c r="H18" s="5">
        <v>30</v>
      </c>
      <c r="I18" s="5">
        <f t="shared" si="0"/>
        <v>-30</v>
      </c>
      <c r="J18" s="5" t="s">
        <v>22</v>
      </c>
      <c r="K18" s="5" t="s">
        <v>22</v>
      </c>
      <c r="L18" s="5" t="s">
        <v>457</v>
      </c>
      <c r="M18" s="5"/>
      <c r="N18" s="5"/>
      <c r="O18" s="5"/>
      <c r="P18" s="5"/>
      <c r="Q18" s="5">
        <v>1</v>
      </c>
    </row>
    <row r="19" spans="1:19" x14ac:dyDescent="0.25">
      <c r="A19" s="5"/>
      <c r="B19" s="5" t="s">
        <v>18</v>
      </c>
      <c r="C19" s="5" t="s">
        <v>300</v>
      </c>
      <c r="D19" s="5" t="s">
        <v>500</v>
      </c>
      <c r="E19" s="5" t="s">
        <v>501</v>
      </c>
      <c r="F19" s="15" t="s">
        <v>118</v>
      </c>
      <c r="G19" s="5">
        <v>0</v>
      </c>
      <c r="H19" s="5">
        <v>25</v>
      </c>
      <c r="I19" s="5">
        <f t="shared" si="0"/>
        <v>-25</v>
      </c>
      <c r="J19" s="5" t="s">
        <v>22</v>
      </c>
      <c r="K19" s="5" t="s">
        <v>22</v>
      </c>
      <c r="L19" s="5" t="s">
        <v>457</v>
      </c>
      <c r="M19" s="5" t="s">
        <v>299</v>
      </c>
      <c r="N19" s="5"/>
      <c r="O19" s="5"/>
      <c r="P19" s="5"/>
      <c r="Q19" s="5">
        <v>1</v>
      </c>
    </row>
    <row r="20" spans="1:19" x14ac:dyDescent="0.25">
      <c r="A20" s="24"/>
      <c r="B20" s="24" t="s">
        <v>18</v>
      </c>
      <c r="C20" s="24" t="s">
        <v>502</v>
      </c>
      <c r="D20" s="24" t="s">
        <v>503</v>
      </c>
      <c r="E20" s="24" t="s">
        <v>504</v>
      </c>
      <c r="F20" s="25" t="s">
        <v>49</v>
      </c>
      <c r="G20" s="24">
        <v>0</v>
      </c>
      <c r="H20" s="24">
        <v>30</v>
      </c>
      <c r="I20" s="24">
        <f t="shared" si="0"/>
        <v>-30</v>
      </c>
      <c r="J20" s="24" t="s">
        <v>461</v>
      </c>
      <c r="K20" s="24" t="s">
        <v>22</v>
      </c>
      <c r="L20" s="24" t="s">
        <v>457</v>
      </c>
      <c r="M20" s="24"/>
      <c r="N20" s="24"/>
      <c r="O20" s="24"/>
      <c r="P20" s="24"/>
      <c r="Q20" s="24">
        <v>1</v>
      </c>
    </row>
    <row r="21" spans="1:19" x14ac:dyDescent="0.25">
      <c r="A21" s="5"/>
      <c r="B21" s="5" t="s">
        <v>18</v>
      </c>
      <c r="C21" s="5" t="s">
        <v>505</v>
      </c>
      <c r="D21" s="5" t="s">
        <v>506</v>
      </c>
      <c r="E21" s="5" t="s">
        <v>507</v>
      </c>
      <c r="F21" s="15" t="s">
        <v>53</v>
      </c>
      <c r="G21" s="5">
        <v>810</v>
      </c>
      <c r="H21" s="5">
        <v>20</v>
      </c>
      <c r="I21" s="5">
        <f t="shared" si="0"/>
        <v>790</v>
      </c>
      <c r="J21" s="5" t="s">
        <v>22</v>
      </c>
      <c r="K21" s="5" t="s">
        <v>22</v>
      </c>
      <c r="L21" s="5" t="s">
        <v>457</v>
      </c>
      <c r="M21" s="5"/>
      <c r="N21" s="5"/>
      <c r="O21" s="5"/>
      <c r="P21" s="5"/>
      <c r="Q21" s="5">
        <v>1</v>
      </c>
    </row>
    <row r="22" spans="1:19" x14ac:dyDescent="0.25">
      <c r="A22" s="24"/>
      <c r="B22" s="24" t="s">
        <v>18</v>
      </c>
      <c r="C22" s="24" t="s">
        <v>508</v>
      </c>
      <c r="D22" s="24" t="s">
        <v>509</v>
      </c>
      <c r="E22" s="24" t="s">
        <v>510</v>
      </c>
      <c r="F22" s="25">
        <v>7</v>
      </c>
      <c r="G22" s="24">
        <v>470</v>
      </c>
      <c r="H22" s="24">
        <v>30</v>
      </c>
      <c r="I22" s="24">
        <f t="shared" si="0"/>
        <v>440</v>
      </c>
      <c r="J22" s="24" t="s">
        <v>461</v>
      </c>
      <c r="K22" s="24" t="s">
        <v>22</v>
      </c>
      <c r="L22" s="24" t="s">
        <v>457</v>
      </c>
      <c r="M22" s="24"/>
      <c r="N22" s="24"/>
      <c r="O22" s="24"/>
      <c r="P22" s="24"/>
      <c r="Q22" s="24">
        <v>1</v>
      </c>
    </row>
    <row r="23" spans="1:19" x14ac:dyDescent="0.25">
      <c r="A23" s="16"/>
      <c r="B23" s="16" t="s">
        <v>18</v>
      </c>
      <c r="C23" s="16" t="s">
        <v>511</v>
      </c>
      <c r="D23" s="16" t="s">
        <v>512</v>
      </c>
      <c r="E23" s="16" t="s">
        <v>513</v>
      </c>
      <c r="F23" s="17">
        <v>1</v>
      </c>
      <c r="G23" s="16">
        <v>745</v>
      </c>
      <c r="H23" s="16">
        <v>25</v>
      </c>
      <c r="I23" s="16">
        <f t="shared" si="0"/>
        <v>720</v>
      </c>
      <c r="J23" s="16" t="s">
        <v>27</v>
      </c>
      <c r="K23" s="16" t="s">
        <v>22</v>
      </c>
      <c r="L23" s="16" t="s">
        <v>457</v>
      </c>
      <c r="M23" s="16"/>
      <c r="N23" s="16"/>
      <c r="O23" s="16"/>
      <c r="P23" s="16"/>
      <c r="Q23" s="16">
        <v>1</v>
      </c>
    </row>
    <row r="24" spans="1:19" x14ac:dyDescent="0.25">
      <c r="A24" s="24"/>
      <c r="B24" s="24" t="s">
        <v>18</v>
      </c>
      <c r="C24" s="24" t="s">
        <v>514</v>
      </c>
      <c r="D24" s="24" t="s">
        <v>515</v>
      </c>
      <c r="E24" s="24" t="s">
        <v>516</v>
      </c>
      <c r="F24" s="25">
        <v>7</v>
      </c>
      <c r="G24" s="24">
        <v>750</v>
      </c>
      <c r="H24" s="24">
        <v>30</v>
      </c>
      <c r="I24" s="24">
        <f t="shared" si="0"/>
        <v>720</v>
      </c>
      <c r="J24" s="24" t="s">
        <v>461</v>
      </c>
      <c r="K24" s="24" t="s">
        <v>22</v>
      </c>
      <c r="L24" s="24" t="s">
        <v>457</v>
      </c>
      <c r="M24" s="24"/>
      <c r="N24" s="24"/>
      <c r="O24" s="24"/>
      <c r="P24" s="24"/>
      <c r="Q24" s="24">
        <v>1</v>
      </c>
    </row>
    <row r="25" spans="1:19" x14ac:dyDescent="0.25">
      <c r="A25" s="24"/>
      <c r="B25" s="24" t="s">
        <v>18</v>
      </c>
      <c r="C25" s="24" t="s">
        <v>517</v>
      </c>
      <c r="D25" s="24" t="s">
        <v>518</v>
      </c>
      <c r="E25" s="24" t="s">
        <v>519</v>
      </c>
      <c r="F25" s="25">
        <v>8</v>
      </c>
      <c r="G25" s="24">
        <v>1065</v>
      </c>
      <c r="H25" s="24">
        <v>25</v>
      </c>
      <c r="I25" s="24">
        <f t="shared" si="0"/>
        <v>1040</v>
      </c>
      <c r="J25" s="24" t="s">
        <v>461</v>
      </c>
      <c r="K25" s="24" t="s">
        <v>22</v>
      </c>
      <c r="L25" s="24" t="s">
        <v>457</v>
      </c>
      <c r="M25" s="24"/>
      <c r="N25" s="24"/>
      <c r="O25" s="24"/>
      <c r="P25" s="24"/>
      <c r="Q25" s="24">
        <v>1</v>
      </c>
    </row>
    <row r="26" spans="1:19" x14ac:dyDescent="0.25">
      <c r="A26" s="5"/>
      <c r="B26" s="5" t="s">
        <v>18</v>
      </c>
      <c r="C26" s="5" t="s">
        <v>520</v>
      </c>
      <c r="D26" s="5" t="s">
        <v>521</v>
      </c>
      <c r="E26" s="5" t="s">
        <v>522</v>
      </c>
      <c r="F26" s="15" t="s">
        <v>35</v>
      </c>
      <c r="G26" s="5">
        <v>820</v>
      </c>
      <c r="H26" s="5">
        <v>30</v>
      </c>
      <c r="I26" s="5">
        <f t="shared" si="0"/>
        <v>790</v>
      </c>
      <c r="J26" s="5" t="s">
        <v>22</v>
      </c>
      <c r="K26" s="5" t="s">
        <v>22</v>
      </c>
      <c r="L26" s="5" t="s">
        <v>457</v>
      </c>
      <c r="M26" s="5"/>
      <c r="N26" s="5"/>
      <c r="O26" s="5"/>
      <c r="P26" s="5"/>
      <c r="Q26" s="5">
        <v>1</v>
      </c>
    </row>
    <row r="27" spans="1:19" x14ac:dyDescent="0.25">
      <c r="A27" s="5"/>
      <c r="B27" s="5" t="s">
        <v>18</v>
      </c>
      <c r="C27" s="5" t="s">
        <v>523</v>
      </c>
      <c r="D27" s="5" t="s">
        <v>524</v>
      </c>
      <c r="E27" s="5" t="s">
        <v>525</v>
      </c>
      <c r="F27" s="15" t="s">
        <v>35</v>
      </c>
      <c r="G27" s="5">
        <v>610</v>
      </c>
      <c r="H27" s="5">
        <v>30</v>
      </c>
      <c r="I27" s="5">
        <f t="shared" si="0"/>
        <v>580</v>
      </c>
      <c r="J27" s="5" t="s">
        <v>22</v>
      </c>
      <c r="K27" s="5" t="s">
        <v>22</v>
      </c>
      <c r="L27" s="5" t="s">
        <v>457</v>
      </c>
      <c r="M27" s="5"/>
      <c r="N27" s="5"/>
      <c r="O27" s="5"/>
      <c r="P27" s="5"/>
      <c r="Q27" s="5">
        <v>1</v>
      </c>
    </row>
    <row r="28" spans="1:19" x14ac:dyDescent="0.25">
      <c r="A28" s="16"/>
      <c r="B28" s="16" t="s">
        <v>18</v>
      </c>
      <c r="C28" s="16" t="s">
        <v>526</v>
      </c>
      <c r="D28" s="16" t="s">
        <v>527</v>
      </c>
      <c r="E28" s="16" t="s">
        <v>528</v>
      </c>
      <c r="F28" s="17">
        <v>1</v>
      </c>
      <c r="G28" s="16">
        <v>815</v>
      </c>
      <c r="H28" s="16">
        <v>25</v>
      </c>
      <c r="I28" s="16">
        <f t="shared" si="0"/>
        <v>790</v>
      </c>
      <c r="J28" s="16" t="s">
        <v>27</v>
      </c>
      <c r="K28" s="16" t="s">
        <v>22</v>
      </c>
      <c r="L28" s="16" t="s">
        <v>457</v>
      </c>
      <c r="M28" s="16"/>
      <c r="N28" s="16"/>
      <c r="O28" s="16"/>
      <c r="P28" s="16"/>
      <c r="Q28" s="16">
        <v>1</v>
      </c>
    </row>
    <row r="29" spans="1:19" x14ac:dyDescent="0.25">
      <c r="A29" s="5"/>
      <c r="B29" s="5" t="s">
        <v>18</v>
      </c>
      <c r="C29" s="5" t="s">
        <v>529</v>
      </c>
      <c r="D29" s="5" t="s">
        <v>530</v>
      </c>
      <c r="E29" s="5" t="s">
        <v>531</v>
      </c>
      <c r="F29" s="15" t="s">
        <v>97</v>
      </c>
      <c r="G29" s="5">
        <v>745</v>
      </c>
      <c r="H29" s="5">
        <v>25</v>
      </c>
      <c r="I29" s="5">
        <f t="shared" si="0"/>
        <v>720</v>
      </c>
      <c r="J29" s="5" t="s">
        <v>22</v>
      </c>
      <c r="K29" s="5" t="s">
        <v>22</v>
      </c>
      <c r="L29" s="5" t="s">
        <v>457</v>
      </c>
      <c r="M29" s="5"/>
      <c r="N29" s="5"/>
      <c r="O29" s="5"/>
      <c r="P29" s="5"/>
      <c r="Q29" s="5">
        <v>1</v>
      </c>
    </row>
    <row r="30" spans="1:19" x14ac:dyDescent="0.25">
      <c r="A30" s="5"/>
      <c r="B30" s="5" t="s">
        <v>18</v>
      </c>
      <c r="C30" s="5" t="s">
        <v>532</v>
      </c>
      <c r="D30" s="5" t="s">
        <v>533</v>
      </c>
      <c r="E30" s="5" t="s">
        <v>534</v>
      </c>
      <c r="F30" s="15" t="s">
        <v>118</v>
      </c>
      <c r="G30" s="5">
        <v>1595</v>
      </c>
      <c r="H30" s="5">
        <v>25</v>
      </c>
      <c r="I30" s="5">
        <f t="shared" si="0"/>
        <v>1570</v>
      </c>
      <c r="J30" s="5" t="s">
        <v>22</v>
      </c>
      <c r="K30" s="5" t="s">
        <v>22</v>
      </c>
      <c r="L30" s="5" t="s">
        <v>457</v>
      </c>
      <c r="M30" s="5"/>
      <c r="N30" s="5"/>
      <c r="O30" s="5"/>
      <c r="P30" s="5"/>
      <c r="Q30" s="5">
        <v>1</v>
      </c>
    </row>
    <row r="31" spans="1:19" x14ac:dyDescent="0.25">
      <c r="A31" s="21"/>
      <c r="B31" s="21" t="s">
        <v>18</v>
      </c>
      <c r="C31" s="21" t="s">
        <v>75</v>
      </c>
      <c r="D31" s="21" t="s">
        <v>279</v>
      </c>
      <c r="E31" s="21" t="s">
        <v>280</v>
      </c>
      <c r="F31" s="22" t="s">
        <v>118</v>
      </c>
      <c r="G31" s="21">
        <v>845</v>
      </c>
      <c r="H31" s="21">
        <v>25</v>
      </c>
      <c r="I31" s="21">
        <f t="shared" si="0"/>
        <v>820</v>
      </c>
      <c r="J31" s="21" t="s">
        <v>425</v>
      </c>
      <c r="K31" s="21" t="s">
        <v>22</v>
      </c>
      <c r="L31" s="23" t="s">
        <v>269</v>
      </c>
      <c r="M31" s="21" t="s">
        <v>74</v>
      </c>
      <c r="N31" s="21" t="s">
        <v>275</v>
      </c>
      <c r="O31" s="21"/>
      <c r="P31" s="21" t="s">
        <v>427</v>
      </c>
      <c r="Q31" s="21">
        <v>1</v>
      </c>
      <c r="R31" s="21"/>
      <c r="S31" s="21"/>
    </row>
    <row r="32" spans="1:19" x14ac:dyDescent="0.25">
      <c r="A32" s="21"/>
      <c r="B32" s="21" t="s">
        <v>18</v>
      </c>
      <c r="C32" s="21" t="s">
        <v>296</v>
      </c>
      <c r="D32" s="21" t="s">
        <v>297</v>
      </c>
      <c r="E32" s="21" t="s">
        <v>298</v>
      </c>
      <c r="F32" s="22">
        <v>1</v>
      </c>
      <c r="G32" s="21">
        <v>0</v>
      </c>
      <c r="H32" s="21">
        <v>25</v>
      </c>
      <c r="I32" s="21">
        <f t="shared" si="0"/>
        <v>-25</v>
      </c>
      <c r="J32" s="21" t="s">
        <v>425</v>
      </c>
      <c r="K32" s="21" t="s">
        <v>22</v>
      </c>
      <c r="L32" s="23" t="s">
        <v>269</v>
      </c>
      <c r="M32" s="21" t="s">
        <v>74</v>
      </c>
      <c r="N32" s="21" t="s">
        <v>275</v>
      </c>
      <c r="O32" s="21"/>
      <c r="P32" s="21" t="s">
        <v>427</v>
      </c>
      <c r="Q32" s="21">
        <v>1</v>
      </c>
      <c r="R32" s="21"/>
      <c r="S32" s="21"/>
    </row>
    <row r="33" spans="1:19" x14ac:dyDescent="0.25">
      <c r="A33" s="21"/>
      <c r="B33" s="21" t="s">
        <v>18</v>
      </c>
      <c r="C33" s="21" t="s">
        <v>306</v>
      </c>
      <c r="D33" s="21" t="s">
        <v>307</v>
      </c>
      <c r="E33" s="21" t="s">
        <v>308</v>
      </c>
      <c r="F33" s="22" t="s">
        <v>53</v>
      </c>
      <c r="G33" s="21">
        <v>2600</v>
      </c>
      <c r="H33" s="21">
        <v>25</v>
      </c>
      <c r="I33" s="21">
        <f t="shared" si="0"/>
        <v>2575</v>
      </c>
      <c r="J33" s="21" t="s">
        <v>425</v>
      </c>
      <c r="K33" s="21" t="s">
        <v>22</v>
      </c>
      <c r="L33" s="23" t="s">
        <v>269</v>
      </c>
      <c r="M33" s="21" t="s">
        <v>74</v>
      </c>
      <c r="N33" s="21" t="s">
        <v>275</v>
      </c>
      <c r="O33" s="21"/>
      <c r="P33" s="21" t="s">
        <v>427</v>
      </c>
      <c r="Q33" s="21">
        <v>1</v>
      </c>
      <c r="R33" s="21"/>
      <c r="S33" s="21"/>
    </row>
    <row r="34" spans="1:19" x14ac:dyDescent="0.25">
      <c r="A34" s="21"/>
      <c r="B34" s="21" t="s">
        <v>18</v>
      </c>
      <c r="C34" s="21" t="s">
        <v>313</v>
      </c>
      <c r="D34" s="21" t="s">
        <v>314</v>
      </c>
      <c r="E34" s="21" t="s">
        <v>315</v>
      </c>
      <c r="F34" s="22">
        <v>10</v>
      </c>
      <c r="G34" s="21">
        <v>25</v>
      </c>
      <c r="H34" s="21">
        <v>25</v>
      </c>
      <c r="I34" s="21">
        <f t="shared" si="0"/>
        <v>0</v>
      </c>
      <c r="J34" s="21" t="s">
        <v>425</v>
      </c>
      <c r="K34" s="21" t="s">
        <v>22</v>
      </c>
      <c r="L34" s="23" t="s">
        <v>269</v>
      </c>
      <c r="M34" s="21" t="s">
        <v>74</v>
      </c>
      <c r="N34" s="21" t="s">
        <v>275</v>
      </c>
      <c r="O34" s="21"/>
      <c r="P34" s="21" t="s">
        <v>427</v>
      </c>
      <c r="Q34" s="21">
        <v>1</v>
      </c>
      <c r="R34" s="21"/>
      <c r="S34" s="21"/>
    </row>
    <row r="35" spans="1:19" x14ac:dyDescent="0.25">
      <c r="A35" s="24"/>
      <c r="B35" s="24" t="s">
        <v>18</v>
      </c>
      <c r="C35" s="24" t="s">
        <v>535</v>
      </c>
      <c r="D35" s="24" t="s">
        <v>536</v>
      </c>
      <c r="E35" s="24" t="s">
        <v>537</v>
      </c>
      <c r="F35" s="25">
        <v>12</v>
      </c>
      <c r="G35" s="24">
        <v>0</v>
      </c>
      <c r="H35" s="24">
        <v>30</v>
      </c>
      <c r="I35" s="24">
        <f t="shared" si="0"/>
        <v>-30</v>
      </c>
      <c r="J35" s="24" t="s">
        <v>461</v>
      </c>
      <c r="K35" s="24" t="s">
        <v>22</v>
      </c>
      <c r="L35" s="24" t="s">
        <v>457</v>
      </c>
      <c r="M35" s="24"/>
      <c r="N35" s="24"/>
      <c r="O35" s="24"/>
      <c r="P35" s="24"/>
      <c r="Q35" s="24">
        <v>1</v>
      </c>
    </row>
    <row r="36" spans="1:19" x14ac:dyDescent="0.25">
      <c r="A36" s="24"/>
      <c r="B36" s="24" t="s">
        <v>18</v>
      </c>
      <c r="C36" s="24" t="s">
        <v>538</v>
      </c>
      <c r="D36" s="24" t="s">
        <v>539</v>
      </c>
      <c r="E36" s="24" t="s">
        <v>540</v>
      </c>
      <c r="F36" s="25">
        <v>9</v>
      </c>
      <c r="G36" s="24">
        <v>850</v>
      </c>
      <c r="H36" s="24">
        <v>30</v>
      </c>
      <c r="I36" s="24">
        <f t="shared" si="0"/>
        <v>820</v>
      </c>
      <c r="J36" s="24" t="s">
        <v>461</v>
      </c>
      <c r="K36" s="24" t="s">
        <v>22</v>
      </c>
      <c r="L36" s="24" t="s">
        <v>457</v>
      </c>
      <c r="M36" s="24"/>
      <c r="N36" s="24"/>
      <c r="O36" s="24"/>
      <c r="P36" s="24"/>
      <c r="Q36" s="24">
        <v>1</v>
      </c>
    </row>
    <row r="37" spans="1:19" s="21" customFormat="1" x14ac:dyDescent="0.25">
      <c r="A37" s="19" t="s">
        <v>255</v>
      </c>
      <c r="B37" s="19" t="s">
        <v>18</v>
      </c>
      <c r="C37" s="19" t="s">
        <v>541</v>
      </c>
      <c r="D37" s="19"/>
      <c r="E37" s="19" t="s">
        <v>542</v>
      </c>
      <c r="F37" s="20">
        <v>9</v>
      </c>
      <c r="G37" s="19">
        <v>1065</v>
      </c>
      <c r="H37" s="19">
        <v>35</v>
      </c>
      <c r="I37" s="19">
        <f t="shared" si="0"/>
        <v>1030</v>
      </c>
      <c r="J37" s="19" t="s">
        <v>241</v>
      </c>
      <c r="K37" s="19" t="s">
        <v>22</v>
      </c>
      <c r="L37" s="19" t="s">
        <v>457</v>
      </c>
      <c r="M37" s="19"/>
      <c r="N37" s="19"/>
      <c r="O37" s="19"/>
      <c r="P37" s="19"/>
      <c r="Q37" s="19">
        <v>1</v>
      </c>
      <c r="R37" s="14"/>
      <c r="S37" s="14"/>
    </row>
    <row r="38" spans="1:19" s="21" customFormat="1" x14ac:dyDescent="0.25">
      <c r="A38" s="16" t="s">
        <v>255</v>
      </c>
      <c r="B38" s="16" t="s">
        <v>18</v>
      </c>
      <c r="C38" s="16" t="s">
        <v>543</v>
      </c>
      <c r="D38" s="16"/>
      <c r="E38" s="16" t="s">
        <v>544</v>
      </c>
      <c r="F38" s="17" t="s">
        <v>545</v>
      </c>
      <c r="G38" s="16">
        <v>0</v>
      </c>
      <c r="H38" s="16">
        <v>25</v>
      </c>
      <c r="I38" s="16">
        <f>-H38</f>
        <v>-25</v>
      </c>
      <c r="J38" s="16" t="s">
        <v>27</v>
      </c>
      <c r="K38" s="16" t="s">
        <v>22</v>
      </c>
      <c r="L38" s="16" t="s">
        <v>457</v>
      </c>
      <c r="M38" s="16" t="s">
        <v>443</v>
      </c>
      <c r="N38" s="16"/>
      <c r="O38" s="16"/>
      <c r="P38" s="16"/>
      <c r="Q38" s="16">
        <v>1</v>
      </c>
      <c r="R38" s="14"/>
      <c r="S38" s="14"/>
    </row>
    <row r="39" spans="1:19" s="21" customFormat="1" x14ac:dyDescent="0.25">
      <c r="A39" s="5" t="s">
        <v>255</v>
      </c>
      <c r="B39" s="5" t="s">
        <v>18</v>
      </c>
      <c r="C39" s="5" t="s">
        <v>546</v>
      </c>
      <c r="D39" s="5"/>
      <c r="E39" s="5" t="s">
        <v>547</v>
      </c>
      <c r="F39" s="15" t="s">
        <v>118</v>
      </c>
      <c r="G39" s="5">
        <v>2170</v>
      </c>
      <c r="H39" s="5">
        <v>30</v>
      </c>
      <c r="I39" s="5">
        <f>G39-H39</f>
        <v>2140</v>
      </c>
      <c r="J39" s="5" t="s">
        <v>22</v>
      </c>
      <c r="K39" s="5" t="s">
        <v>22</v>
      </c>
      <c r="L39" s="5" t="s">
        <v>457</v>
      </c>
      <c r="M39" s="5" t="s">
        <v>548</v>
      </c>
      <c r="N39" s="5"/>
      <c r="O39" s="5"/>
      <c r="P39" s="5"/>
      <c r="Q39" s="5">
        <v>1</v>
      </c>
      <c r="R39" s="14"/>
      <c r="S39" s="14"/>
    </row>
    <row r="40" spans="1:19" s="21" customFormat="1" x14ac:dyDescent="0.25">
      <c r="A40" s="5" t="s">
        <v>255</v>
      </c>
      <c r="B40" s="5" t="s">
        <v>18</v>
      </c>
      <c r="C40" s="5" t="s">
        <v>549</v>
      </c>
      <c r="D40" s="5"/>
      <c r="E40" s="5" t="s">
        <v>550</v>
      </c>
      <c r="F40" s="15" t="s">
        <v>118</v>
      </c>
      <c r="G40" s="5">
        <v>30</v>
      </c>
      <c r="H40" s="5">
        <v>30</v>
      </c>
      <c r="I40" s="5">
        <f>G40-H40</f>
        <v>0</v>
      </c>
      <c r="J40" s="5" t="s">
        <v>22</v>
      </c>
      <c r="K40" s="5" t="s">
        <v>22</v>
      </c>
      <c r="L40" s="5" t="s">
        <v>457</v>
      </c>
      <c r="M40" s="5" t="s">
        <v>443</v>
      </c>
      <c r="N40" s="5"/>
      <c r="O40" s="5"/>
      <c r="P40" s="5"/>
      <c r="Q40" s="5">
        <v>1</v>
      </c>
      <c r="R40" s="14"/>
      <c r="S40" s="14"/>
    </row>
  </sheetData>
  <autoFilter ref="A2:S36" xr:uid="{00000000-0009-0000-0000-000002000000}">
    <sortState xmlns:xlrd2="http://schemas.microsoft.com/office/spreadsheetml/2017/richdata2" ref="A3:S36">
      <sortCondition ref="D2:D36"/>
    </sortState>
  </autoFilter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workbookViewId="0">
      <selection activeCell="M27" sqref="M27"/>
    </sheetView>
  </sheetViews>
  <sheetFormatPr defaultRowHeight="15" x14ac:dyDescent="0.25"/>
  <cols>
    <col min="1" max="1" width="9.140625" customWidth="1"/>
    <col min="2" max="2" width="17.5703125" bestFit="1" customWidth="1"/>
    <col min="3" max="3" width="19.42578125" bestFit="1" customWidth="1"/>
    <col min="4" max="4" width="9.5703125" bestFit="1" customWidth="1"/>
    <col min="5" max="5" width="51" bestFit="1" customWidth="1"/>
    <col min="6" max="6" width="10.5703125" bestFit="1" customWidth="1"/>
    <col min="7" max="11" width="9.140625" customWidth="1"/>
    <col min="12" max="12" width="10.42578125" bestFit="1" customWidth="1"/>
    <col min="13" max="13" width="17" bestFit="1" customWidth="1"/>
    <col min="14" max="14" width="10" bestFit="1" customWidth="1"/>
    <col min="15" max="15" width="10.7109375" bestFit="1" customWidth="1"/>
    <col min="16" max="16" width="4.7109375" bestFit="1" customWidth="1"/>
  </cols>
  <sheetData>
    <row r="1" spans="1:17" x14ac:dyDescent="0.25">
      <c r="B1" s="3" t="s">
        <v>551</v>
      </c>
      <c r="C1" s="3" t="s">
        <v>552</v>
      </c>
    </row>
    <row r="2" spans="1:17" x14ac:dyDescent="0.25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</row>
    <row r="3" spans="1:17" s="5" customFormat="1" x14ac:dyDescent="0.25">
      <c r="A3" s="16"/>
      <c r="B3" s="16" t="s">
        <v>18</v>
      </c>
      <c r="C3" s="16" t="s">
        <v>125</v>
      </c>
      <c r="D3" s="16" t="s">
        <v>553</v>
      </c>
      <c r="E3" s="16" t="s">
        <v>554</v>
      </c>
      <c r="F3" s="30" t="s">
        <v>555</v>
      </c>
      <c r="G3" s="16">
        <v>715</v>
      </c>
      <c r="H3" s="16">
        <v>25</v>
      </c>
      <c r="I3" s="16">
        <v>690</v>
      </c>
      <c r="J3" s="16" t="s">
        <v>27</v>
      </c>
      <c r="K3" s="16" t="s">
        <v>22</v>
      </c>
      <c r="L3" s="16" t="s">
        <v>556</v>
      </c>
      <c r="M3" s="16"/>
      <c r="N3" s="16"/>
      <c r="O3" s="16"/>
      <c r="P3" s="16"/>
      <c r="Q3" s="16">
        <v>1</v>
      </c>
    </row>
    <row r="4" spans="1:17" s="16" customFormat="1" x14ac:dyDescent="0.25">
      <c r="A4" s="5"/>
      <c r="B4" s="5" t="s">
        <v>18</v>
      </c>
      <c r="C4" s="5" t="s">
        <v>557</v>
      </c>
      <c r="D4" s="5" t="s">
        <v>558</v>
      </c>
      <c r="E4" s="5" t="s">
        <v>559</v>
      </c>
      <c r="F4" s="7">
        <v>2</v>
      </c>
      <c r="G4" s="5">
        <v>1690</v>
      </c>
      <c r="H4" s="5">
        <v>30</v>
      </c>
      <c r="I4" s="5">
        <v>1660</v>
      </c>
      <c r="J4" s="5" t="s">
        <v>22</v>
      </c>
      <c r="K4" s="5" t="s">
        <v>22</v>
      </c>
      <c r="L4" s="5" t="s">
        <v>556</v>
      </c>
      <c r="M4" s="5"/>
      <c r="N4" s="5"/>
      <c r="O4" s="5"/>
      <c r="P4" s="5"/>
      <c r="Q4" s="5">
        <v>1</v>
      </c>
    </row>
    <row r="5" spans="1:17" s="16" customFormat="1" x14ac:dyDescent="0.25">
      <c r="A5" s="5"/>
      <c r="B5" s="5" t="s">
        <v>18</v>
      </c>
      <c r="C5" s="5" t="s">
        <v>560</v>
      </c>
      <c r="D5" s="5" t="s">
        <v>561</v>
      </c>
      <c r="E5" s="5" t="s">
        <v>562</v>
      </c>
      <c r="F5" s="7" t="s">
        <v>97</v>
      </c>
      <c r="G5" s="5">
        <v>385</v>
      </c>
      <c r="H5" s="5">
        <v>25</v>
      </c>
      <c r="I5" s="5">
        <v>360</v>
      </c>
      <c r="J5" s="5" t="s">
        <v>22</v>
      </c>
      <c r="K5" s="5" t="s">
        <v>22</v>
      </c>
      <c r="L5" s="5" t="s">
        <v>556</v>
      </c>
      <c r="M5" s="5"/>
      <c r="N5" s="5"/>
      <c r="O5" s="5"/>
      <c r="P5" s="5"/>
      <c r="Q5" s="5">
        <v>1</v>
      </c>
    </row>
    <row r="6" spans="1:17" s="16" customFormat="1" x14ac:dyDescent="0.25">
      <c r="A6" s="5"/>
      <c r="B6" s="5" t="s">
        <v>18</v>
      </c>
      <c r="C6" s="5" t="s">
        <v>563</v>
      </c>
      <c r="D6" s="5" t="s">
        <v>564</v>
      </c>
      <c r="E6" s="5" t="s">
        <v>565</v>
      </c>
      <c r="F6" s="7" t="s">
        <v>53</v>
      </c>
      <c r="G6" s="5">
        <v>740</v>
      </c>
      <c r="H6" s="5">
        <v>20</v>
      </c>
      <c r="I6" s="5">
        <v>720</v>
      </c>
      <c r="J6" s="5" t="s">
        <v>22</v>
      </c>
      <c r="K6" s="5" t="s">
        <v>22</v>
      </c>
      <c r="L6" s="5" t="s">
        <v>556</v>
      </c>
      <c r="M6" s="5"/>
      <c r="N6" s="5"/>
      <c r="O6" s="5"/>
      <c r="P6" s="5"/>
      <c r="Q6" s="5">
        <v>1</v>
      </c>
    </row>
    <row r="7" spans="1:17" s="16" customFormat="1" x14ac:dyDescent="0.25">
      <c r="A7" s="29"/>
      <c r="B7" s="29" t="s">
        <v>18</v>
      </c>
      <c r="C7" s="29" t="s">
        <v>566</v>
      </c>
      <c r="D7" s="29" t="s">
        <v>567</v>
      </c>
      <c r="E7" s="29" t="s">
        <v>568</v>
      </c>
      <c r="F7" s="31" t="s">
        <v>49</v>
      </c>
      <c r="G7" s="29">
        <v>0</v>
      </c>
      <c r="H7" s="29">
        <v>30</v>
      </c>
      <c r="I7" s="29">
        <v>-30</v>
      </c>
      <c r="J7" s="29" t="s">
        <v>569</v>
      </c>
      <c r="K7" s="29" t="s">
        <v>22</v>
      </c>
      <c r="L7" s="29" t="s">
        <v>556</v>
      </c>
      <c r="M7" s="29"/>
      <c r="N7" s="29"/>
      <c r="O7" s="29"/>
      <c r="P7" s="29"/>
      <c r="Q7" s="29">
        <v>1</v>
      </c>
    </row>
    <row r="8" spans="1:17" x14ac:dyDescent="0.25">
      <c r="A8" s="29"/>
      <c r="B8" s="29" t="s">
        <v>18</v>
      </c>
      <c r="C8" s="29" t="s">
        <v>458</v>
      </c>
      <c r="D8" s="29" t="s">
        <v>570</v>
      </c>
      <c r="E8" s="29" t="s">
        <v>571</v>
      </c>
      <c r="F8" s="31" t="s">
        <v>572</v>
      </c>
      <c r="G8" s="29">
        <v>365</v>
      </c>
      <c r="H8" s="29">
        <v>25</v>
      </c>
      <c r="I8" s="29">
        <v>340</v>
      </c>
      <c r="J8" s="29" t="s">
        <v>569</v>
      </c>
      <c r="K8" s="29" t="s">
        <v>22</v>
      </c>
      <c r="L8" s="29" t="s">
        <v>556</v>
      </c>
      <c r="M8" s="29"/>
      <c r="N8" s="29"/>
      <c r="O8" s="29"/>
      <c r="P8" s="29"/>
      <c r="Q8" s="29">
        <v>1</v>
      </c>
    </row>
    <row r="9" spans="1:17" s="16" customFormat="1" x14ac:dyDescent="0.25">
      <c r="B9" s="16" t="s">
        <v>18</v>
      </c>
      <c r="C9" s="16" t="s">
        <v>573</v>
      </c>
      <c r="D9" s="16" t="s">
        <v>574</v>
      </c>
      <c r="E9" s="16" t="s">
        <v>575</v>
      </c>
      <c r="F9" s="30" t="s">
        <v>545</v>
      </c>
      <c r="G9" s="16">
        <v>605</v>
      </c>
      <c r="H9" s="16">
        <v>25</v>
      </c>
      <c r="I9" s="16">
        <v>580</v>
      </c>
      <c r="J9" s="16" t="s">
        <v>27</v>
      </c>
      <c r="K9" s="16" t="s">
        <v>22</v>
      </c>
      <c r="L9" s="16" t="s">
        <v>556</v>
      </c>
      <c r="Q9" s="16">
        <v>1</v>
      </c>
    </row>
    <row r="10" spans="1:17" s="5" customFormat="1" x14ac:dyDescent="0.25">
      <c r="B10" s="5" t="s">
        <v>18</v>
      </c>
      <c r="C10" s="5" t="s">
        <v>576</v>
      </c>
      <c r="D10" s="5" t="s">
        <v>577</v>
      </c>
      <c r="E10" s="5" t="s">
        <v>578</v>
      </c>
      <c r="F10" s="7" t="s">
        <v>118</v>
      </c>
      <c r="G10" s="5">
        <v>815</v>
      </c>
      <c r="H10" s="5">
        <v>25</v>
      </c>
      <c r="I10" s="5">
        <v>790</v>
      </c>
      <c r="J10" s="5" t="s">
        <v>22</v>
      </c>
      <c r="K10" s="5" t="s">
        <v>22</v>
      </c>
      <c r="L10" s="5" t="s">
        <v>556</v>
      </c>
      <c r="Q10" s="5">
        <v>1</v>
      </c>
    </row>
    <row r="11" spans="1:17" s="5" customFormat="1" x14ac:dyDescent="0.25">
      <c r="B11" s="5" t="s">
        <v>18</v>
      </c>
      <c r="C11" s="5" t="s">
        <v>579</v>
      </c>
      <c r="D11" s="5" t="s">
        <v>580</v>
      </c>
      <c r="E11" s="5" t="s">
        <v>581</v>
      </c>
      <c r="F11" s="7" t="s">
        <v>53</v>
      </c>
      <c r="G11" s="5">
        <v>0</v>
      </c>
      <c r="H11" s="5">
        <v>20</v>
      </c>
      <c r="I11" s="5">
        <v>-20</v>
      </c>
      <c r="J11" s="5" t="s">
        <v>22</v>
      </c>
      <c r="K11" s="5" t="s">
        <v>22</v>
      </c>
      <c r="L11" s="5" t="s">
        <v>556</v>
      </c>
      <c r="Q11" s="5">
        <v>1</v>
      </c>
    </row>
    <row r="12" spans="1:17" s="5" customFormat="1" x14ac:dyDescent="0.25">
      <c r="A12" s="16"/>
      <c r="B12" s="16" t="s">
        <v>18</v>
      </c>
      <c r="C12" s="16" t="s">
        <v>582</v>
      </c>
      <c r="D12" s="16" t="s">
        <v>583</v>
      </c>
      <c r="E12" s="16" t="s">
        <v>584</v>
      </c>
      <c r="F12" s="17">
        <v>10</v>
      </c>
      <c r="G12" s="16">
        <v>760</v>
      </c>
      <c r="H12" s="16">
        <v>30</v>
      </c>
      <c r="I12" s="16">
        <v>730</v>
      </c>
      <c r="J12" s="16" t="s">
        <v>27</v>
      </c>
      <c r="K12" s="16" t="s">
        <v>22</v>
      </c>
      <c r="L12" s="16" t="s">
        <v>556</v>
      </c>
      <c r="M12" s="16"/>
      <c r="N12" s="16"/>
      <c r="O12" s="16"/>
      <c r="P12" s="16"/>
      <c r="Q12" s="16">
        <v>1</v>
      </c>
    </row>
    <row r="13" spans="1:17" s="5" customFormat="1" x14ac:dyDescent="0.25">
      <c r="A13" s="29"/>
      <c r="B13" s="29" t="s">
        <v>18</v>
      </c>
      <c r="C13" s="29" t="s">
        <v>585</v>
      </c>
      <c r="D13" s="29" t="s">
        <v>586</v>
      </c>
      <c r="E13" s="29" t="s">
        <v>587</v>
      </c>
      <c r="F13" s="32">
        <v>7</v>
      </c>
      <c r="G13" s="29">
        <v>395</v>
      </c>
      <c r="H13" s="29">
        <v>25</v>
      </c>
      <c r="I13" s="29">
        <v>370</v>
      </c>
      <c r="J13" s="29" t="s">
        <v>569</v>
      </c>
      <c r="K13" s="29" t="s">
        <v>22</v>
      </c>
      <c r="L13" s="29" t="s">
        <v>556</v>
      </c>
      <c r="M13" s="29"/>
      <c r="N13" s="29"/>
      <c r="O13" s="29"/>
      <c r="P13" s="29"/>
      <c r="Q13" s="29">
        <v>1</v>
      </c>
    </row>
    <row r="14" spans="1:17" s="16" customFormat="1" x14ac:dyDescent="0.25">
      <c r="B14" s="16" t="s">
        <v>18</v>
      </c>
      <c r="C14" s="16" t="s">
        <v>588</v>
      </c>
      <c r="D14" s="16" t="s">
        <v>589</v>
      </c>
      <c r="E14" s="16" t="s">
        <v>590</v>
      </c>
      <c r="F14" s="30" t="s">
        <v>97</v>
      </c>
      <c r="G14" s="16">
        <v>30</v>
      </c>
      <c r="H14" s="16">
        <v>30</v>
      </c>
      <c r="I14" s="16">
        <v>0</v>
      </c>
      <c r="J14" s="16" t="s">
        <v>27</v>
      </c>
      <c r="K14" s="16" t="s">
        <v>22</v>
      </c>
      <c r="L14" s="16" t="s">
        <v>556</v>
      </c>
      <c r="Q14" s="16">
        <v>1</v>
      </c>
    </row>
    <row r="15" spans="1:17" s="5" customFormat="1" x14ac:dyDescent="0.25">
      <c r="B15" s="5" t="s">
        <v>18</v>
      </c>
      <c r="C15" s="5" t="s">
        <v>591</v>
      </c>
      <c r="D15" s="5" t="s">
        <v>592</v>
      </c>
      <c r="E15" s="5" t="s">
        <v>593</v>
      </c>
      <c r="F15" s="7" t="s">
        <v>594</v>
      </c>
      <c r="G15" s="5">
        <v>0</v>
      </c>
      <c r="H15" s="5">
        <v>25</v>
      </c>
      <c r="I15" s="5">
        <v>-25</v>
      </c>
      <c r="J15" s="5" t="s">
        <v>22</v>
      </c>
      <c r="K15" s="5" t="s">
        <v>22</v>
      </c>
      <c r="L15" s="5" t="s">
        <v>556</v>
      </c>
      <c r="M15" s="5" t="s">
        <v>299</v>
      </c>
      <c r="Q15" s="5">
        <v>1</v>
      </c>
    </row>
    <row r="16" spans="1:17" s="16" customFormat="1" x14ac:dyDescent="0.25">
      <c r="B16" s="16" t="s">
        <v>18</v>
      </c>
      <c r="C16" s="16" t="s">
        <v>595</v>
      </c>
      <c r="D16" s="16" t="s">
        <v>596</v>
      </c>
      <c r="E16" s="16" t="s">
        <v>597</v>
      </c>
      <c r="F16" s="30" t="s">
        <v>545</v>
      </c>
      <c r="G16" s="16">
        <v>490</v>
      </c>
      <c r="H16" s="16">
        <v>0</v>
      </c>
      <c r="I16" s="16">
        <v>490</v>
      </c>
      <c r="J16" s="16" t="s">
        <v>27</v>
      </c>
      <c r="K16" s="16" t="s">
        <v>22</v>
      </c>
      <c r="L16" s="16" t="s">
        <v>556</v>
      </c>
      <c r="Q16" s="16">
        <v>1</v>
      </c>
    </row>
    <row r="17" spans="1:17" s="29" customFormat="1" x14ac:dyDescent="0.25">
      <c r="A17" s="6"/>
      <c r="B17" s="6" t="s">
        <v>18</v>
      </c>
      <c r="C17" s="6" t="s">
        <v>598</v>
      </c>
      <c r="D17" s="6" t="s">
        <v>599</v>
      </c>
      <c r="E17" s="6" t="s">
        <v>600</v>
      </c>
      <c r="F17" s="12" t="s">
        <v>118</v>
      </c>
      <c r="G17" s="6">
        <v>710</v>
      </c>
      <c r="H17" s="6">
        <v>30</v>
      </c>
      <c r="I17" s="6">
        <v>680</v>
      </c>
      <c r="J17" s="6" t="s">
        <v>425</v>
      </c>
      <c r="K17" s="6" t="s">
        <v>22</v>
      </c>
      <c r="L17" s="6" t="s">
        <v>556</v>
      </c>
      <c r="M17" s="6"/>
      <c r="N17" s="6" t="s">
        <v>275</v>
      </c>
      <c r="O17" s="6"/>
      <c r="P17" s="6" t="s">
        <v>427</v>
      </c>
      <c r="Q17" s="6">
        <v>1</v>
      </c>
    </row>
    <row r="18" spans="1:17" s="29" customFormat="1" x14ac:dyDescent="0.25">
      <c r="B18" s="29" t="s">
        <v>18</v>
      </c>
      <c r="C18" s="29" t="s">
        <v>601</v>
      </c>
      <c r="D18" s="29" t="s">
        <v>602</v>
      </c>
      <c r="E18" s="29" t="s">
        <v>603</v>
      </c>
      <c r="F18" s="31" t="s">
        <v>49</v>
      </c>
      <c r="G18" s="29">
        <v>840</v>
      </c>
      <c r="H18" s="29">
        <v>20</v>
      </c>
      <c r="I18" s="29">
        <v>820</v>
      </c>
      <c r="J18" s="29" t="s">
        <v>569</v>
      </c>
      <c r="K18" s="29" t="s">
        <v>22</v>
      </c>
      <c r="L18" s="29" t="s">
        <v>556</v>
      </c>
      <c r="Q18" s="29">
        <v>1</v>
      </c>
    </row>
    <row r="19" spans="1:17" s="16" customFormat="1" x14ac:dyDescent="0.25">
      <c r="B19" s="16" t="s">
        <v>18</v>
      </c>
      <c r="C19" s="16" t="s">
        <v>604</v>
      </c>
      <c r="D19" s="16" t="s">
        <v>605</v>
      </c>
      <c r="E19" s="16" t="s">
        <v>606</v>
      </c>
      <c r="F19" s="30" t="s">
        <v>93</v>
      </c>
      <c r="G19" s="16">
        <v>130</v>
      </c>
      <c r="H19" s="16">
        <v>30</v>
      </c>
      <c r="I19" s="16">
        <v>100</v>
      </c>
      <c r="J19" s="16" t="s">
        <v>27</v>
      </c>
      <c r="K19" s="16" t="s">
        <v>22</v>
      </c>
      <c r="L19" s="16" t="s">
        <v>556</v>
      </c>
      <c r="Q19" s="16">
        <v>1</v>
      </c>
    </row>
    <row r="20" spans="1:17" s="29" customFormat="1" x14ac:dyDescent="0.25">
      <c r="A20" s="16"/>
      <c r="B20" s="16" t="s">
        <v>18</v>
      </c>
      <c r="C20" s="16" t="s">
        <v>607</v>
      </c>
      <c r="D20" s="16" t="s">
        <v>608</v>
      </c>
      <c r="E20" s="16" t="s">
        <v>609</v>
      </c>
      <c r="F20" s="30" t="s">
        <v>610</v>
      </c>
      <c r="G20" s="16">
        <v>1565</v>
      </c>
      <c r="H20" s="16">
        <v>25</v>
      </c>
      <c r="I20" s="16">
        <v>1540</v>
      </c>
      <c r="J20" s="16" t="s">
        <v>27</v>
      </c>
      <c r="K20" s="16" t="s">
        <v>22</v>
      </c>
      <c r="L20" s="16" t="s">
        <v>556</v>
      </c>
      <c r="M20" s="16" t="s">
        <v>299</v>
      </c>
      <c r="N20" s="16"/>
      <c r="O20" s="16"/>
      <c r="P20" s="16"/>
      <c r="Q20" s="16">
        <v>1</v>
      </c>
    </row>
    <row r="21" spans="1:17" s="6" customFormat="1" x14ac:dyDescent="0.25">
      <c r="A21" s="5"/>
      <c r="B21" s="5" t="s">
        <v>18</v>
      </c>
      <c r="C21" s="5" t="s">
        <v>611</v>
      </c>
      <c r="D21" s="5" t="s">
        <v>612</v>
      </c>
      <c r="E21" s="5" t="s">
        <v>613</v>
      </c>
      <c r="F21" s="7" t="s">
        <v>97</v>
      </c>
      <c r="G21" s="5">
        <v>390</v>
      </c>
      <c r="H21" s="5">
        <v>20</v>
      </c>
      <c r="I21" s="5">
        <v>370</v>
      </c>
      <c r="J21" s="5" t="s">
        <v>22</v>
      </c>
      <c r="K21" s="5" t="s">
        <v>22</v>
      </c>
      <c r="L21" s="5" t="s">
        <v>556</v>
      </c>
      <c r="M21" s="5"/>
      <c r="N21" s="5"/>
      <c r="O21" s="5"/>
      <c r="P21" s="5"/>
      <c r="Q21" s="5">
        <v>1</v>
      </c>
    </row>
    <row r="22" spans="1:17" s="29" customFormat="1" x14ac:dyDescent="0.25">
      <c r="A22" s="16"/>
      <c r="B22" s="16" t="s">
        <v>18</v>
      </c>
      <c r="C22" s="16" t="s">
        <v>614</v>
      </c>
      <c r="D22" s="16" t="s">
        <v>615</v>
      </c>
      <c r="E22" s="16" t="s">
        <v>616</v>
      </c>
      <c r="F22" s="30" t="s">
        <v>93</v>
      </c>
      <c r="G22" s="16">
        <v>820</v>
      </c>
      <c r="H22" s="16">
        <v>30</v>
      </c>
      <c r="I22" s="16">
        <v>790</v>
      </c>
      <c r="J22" s="16" t="s">
        <v>27</v>
      </c>
      <c r="K22" s="16" t="s">
        <v>22</v>
      </c>
      <c r="L22" s="16" t="s">
        <v>556</v>
      </c>
      <c r="M22" s="16"/>
      <c r="N22" s="16"/>
      <c r="O22" s="16"/>
      <c r="P22" s="16"/>
      <c r="Q22" s="16">
        <v>1</v>
      </c>
    </row>
    <row r="23" spans="1:17" s="5" customFormat="1" x14ac:dyDescent="0.25">
      <c r="A23"/>
      <c r="B23" t="s">
        <v>18</v>
      </c>
      <c r="C23" t="s">
        <v>617</v>
      </c>
      <c r="D23" t="s">
        <v>618</v>
      </c>
      <c r="E23" t="s">
        <v>619</v>
      </c>
      <c r="F23" s="33" t="s">
        <v>620</v>
      </c>
      <c r="G23">
        <v>385</v>
      </c>
      <c r="H23">
        <v>25</v>
      </c>
      <c r="I23">
        <v>360</v>
      </c>
      <c r="J23" t="s">
        <v>241</v>
      </c>
      <c r="K23" t="s">
        <v>22</v>
      </c>
      <c r="L23" t="s">
        <v>556</v>
      </c>
      <c r="M23"/>
      <c r="N23"/>
      <c r="O23"/>
      <c r="P23"/>
      <c r="Q23">
        <v>1</v>
      </c>
    </row>
    <row r="24" spans="1:17" s="29" customFormat="1" x14ac:dyDescent="0.25">
      <c r="A24" s="21"/>
      <c r="B24" s="21" t="s">
        <v>18</v>
      </c>
      <c r="C24" s="21" t="s">
        <v>385</v>
      </c>
      <c r="D24" s="21" t="s">
        <v>386</v>
      </c>
      <c r="E24" s="21" t="s">
        <v>387</v>
      </c>
      <c r="F24" s="22" t="s">
        <v>35</v>
      </c>
      <c r="G24" s="21">
        <v>440</v>
      </c>
      <c r="H24" s="21">
        <v>0</v>
      </c>
      <c r="I24" s="21">
        <v>440</v>
      </c>
      <c r="J24" s="21" t="s">
        <v>425</v>
      </c>
      <c r="K24" s="21" t="s">
        <v>22</v>
      </c>
      <c r="L24" s="23" t="s">
        <v>269</v>
      </c>
      <c r="M24" s="21" t="s">
        <v>74</v>
      </c>
      <c r="N24" s="21" t="s">
        <v>275</v>
      </c>
      <c r="O24" s="21" t="s">
        <v>275</v>
      </c>
      <c r="P24" s="21" t="s">
        <v>427</v>
      </c>
      <c r="Q24" s="21">
        <v>1</v>
      </c>
    </row>
    <row r="25" spans="1:17" s="21" customFormat="1" x14ac:dyDescent="0.25">
      <c r="A25" s="29" t="s">
        <v>255</v>
      </c>
      <c r="B25" s="29" t="s">
        <v>18</v>
      </c>
      <c r="C25" s="29" t="s">
        <v>621</v>
      </c>
      <c r="D25" s="29"/>
      <c r="E25" s="29" t="s">
        <v>622</v>
      </c>
      <c r="F25" s="31" t="s">
        <v>63</v>
      </c>
      <c r="G25" s="29">
        <v>7850</v>
      </c>
      <c r="H25" s="29">
        <v>50</v>
      </c>
      <c r="I25" s="29">
        <v>7800</v>
      </c>
      <c r="J25" s="29" t="s">
        <v>569</v>
      </c>
      <c r="K25" s="29" t="s">
        <v>22</v>
      </c>
      <c r="L25" s="29" t="s">
        <v>556</v>
      </c>
      <c r="M25" s="29" t="s">
        <v>623</v>
      </c>
      <c r="N25" s="29"/>
      <c r="O25" s="29"/>
      <c r="P25" s="29"/>
      <c r="Q25" s="29">
        <v>1</v>
      </c>
    </row>
    <row r="27" spans="1:17" x14ac:dyDescent="0.25">
      <c r="G27">
        <f>SUM(G3:G25)</f>
        <v>20120</v>
      </c>
    </row>
  </sheetData>
  <sortState xmlns:xlrd2="http://schemas.microsoft.com/office/spreadsheetml/2017/richdata2" ref="A3:Q25">
    <sortCondition ref="D2:D25"/>
  </sortState>
  <pageMargins left="0.75" right="0.75" top="0.75" bottom="0.5" header="0.5" footer="0.7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5"/>
  <sheetViews>
    <sheetView topLeftCell="A10" zoomScale="90" zoomScaleNormal="90" workbookViewId="0">
      <selection activeCell="E36" sqref="E36"/>
    </sheetView>
  </sheetViews>
  <sheetFormatPr defaultRowHeight="15" x14ac:dyDescent="0.25"/>
  <cols>
    <col min="1" max="1" width="9.140625" customWidth="1"/>
    <col min="2" max="2" width="17.85546875" bestFit="1" customWidth="1"/>
    <col min="3" max="3" width="27.42578125" bestFit="1" customWidth="1"/>
    <col min="4" max="4" width="10.28515625" bestFit="1" customWidth="1"/>
    <col min="5" max="5" width="70.42578125" bestFit="1" customWidth="1"/>
    <col min="6" max="6" width="10.5703125" bestFit="1" customWidth="1"/>
    <col min="7" max="11" width="9.140625" customWidth="1"/>
    <col min="12" max="12" width="10.42578125" bestFit="1" customWidth="1"/>
    <col min="13" max="13" width="13.5703125" bestFit="1" customWidth="1"/>
  </cols>
  <sheetData>
    <row r="1" spans="1:17" x14ac:dyDescent="0.25">
      <c r="B1" s="3" t="s">
        <v>624</v>
      </c>
      <c r="C1" s="3" t="s">
        <v>625</v>
      </c>
    </row>
    <row r="2" spans="1:17" x14ac:dyDescent="0.25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</row>
    <row r="3" spans="1:17" s="5" customFormat="1" x14ac:dyDescent="0.25">
      <c r="B3" s="5" t="s">
        <v>18</v>
      </c>
      <c r="C3" s="5" t="s">
        <v>626</v>
      </c>
      <c r="D3" s="5" t="s">
        <v>627</v>
      </c>
      <c r="E3" s="5" t="s">
        <v>628</v>
      </c>
      <c r="F3" s="8" t="s">
        <v>118</v>
      </c>
      <c r="G3" s="5">
        <v>785</v>
      </c>
      <c r="H3" s="5">
        <v>25</v>
      </c>
      <c r="I3" s="5">
        <f t="shared" ref="I3:I16" si="0">G3-H3</f>
        <v>760</v>
      </c>
      <c r="J3" s="5" t="s">
        <v>22</v>
      </c>
      <c r="K3" s="5" t="s">
        <v>22</v>
      </c>
      <c r="L3" s="5" t="s">
        <v>629</v>
      </c>
      <c r="Q3" s="5">
        <v>1</v>
      </c>
    </row>
    <row r="4" spans="1:17" x14ac:dyDescent="0.25">
      <c r="B4" t="s">
        <v>18</v>
      </c>
      <c r="C4" t="s">
        <v>630</v>
      </c>
      <c r="D4" t="s">
        <v>631</v>
      </c>
      <c r="E4" t="s">
        <v>632</v>
      </c>
      <c r="F4" s="1" t="s">
        <v>39</v>
      </c>
      <c r="G4">
        <v>795</v>
      </c>
      <c r="H4">
        <v>35</v>
      </c>
      <c r="I4">
        <f t="shared" si="0"/>
        <v>760</v>
      </c>
      <c r="J4" t="s">
        <v>633</v>
      </c>
      <c r="K4" t="s">
        <v>22</v>
      </c>
      <c r="L4" t="s">
        <v>629</v>
      </c>
      <c r="Q4">
        <v>1</v>
      </c>
    </row>
    <row r="5" spans="1:17" x14ac:dyDescent="0.25">
      <c r="B5" t="s">
        <v>18</v>
      </c>
      <c r="C5" t="s">
        <v>284</v>
      </c>
      <c r="D5" t="s">
        <v>634</v>
      </c>
      <c r="E5" t="s">
        <v>286</v>
      </c>
      <c r="F5" s="1" t="s">
        <v>635</v>
      </c>
      <c r="G5">
        <v>1525</v>
      </c>
      <c r="H5">
        <v>25</v>
      </c>
      <c r="I5">
        <f t="shared" si="0"/>
        <v>1500</v>
      </c>
      <c r="J5" t="s">
        <v>633</v>
      </c>
      <c r="K5" t="s">
        <v>22</v>
      </c>
      <c r="L5" t="s">
        <v>629</v>
      </c>
      <c r="Q5">
        <v>1</v>
      </c>
    </row>
    <row r="6" spans="1:17" s="5" customFormat="1" x14ac:dyDescent="0.25">
      <c r="B6" s="5" t="s">
        <v>18</v>
      </c>
      <c r="C6" s="5" t="s">
        <v>636</v>
      </c>
      <c r="D6" s="5" t="s">
        <v>637</v>
      </c>
      <c r="E6" s="5" t="s">
        <v>638</v>
      </c>
      <c r="F6" s="8" t="s">
        <v>594</v>
      </c>
      <c r="G6" s="5">
        <v>750</v>
      </c>
      <c r="H6" s="5">
        <v>30</v>
      </c>
      <c r="I6" s="5">
        <f t="shared" si="0"/>
        <v>720</v>
      </c>
      <c r="J6" s="5" t="s">
        <v>22</v>
      </c>
      <c r="K6" s="5" t="s">
        <v>22</v>
      </c>
      <c r="L6" s="5" t="s">
        <v>629</v>
      </c>
      <c r="Q6" s="5">
        <v>1</v>
      </c>
    </row>
    <row r="7" spans="1:17" x14ac:dyDescent="0.25">
      <c r="B7" t="s">
        <v>18</v>
      </c>
      <c r="C7" t="s">
        <v>639</v>
      </c>
      <c r="D7" t="s">
        <v>640</v>
      </c>
      <c r="E7" t="s">
        <v>641</v>
      </c>
      <c r="F7" s="1" t="s">
        <v>610</v>
      </c>
      <c r="G7">
        <v>1620</v>
      </c>
      <c r="H7">
        <v>30</v>
      </c>
      <c r="I7">
        <f t="shared" si="0"/>
        <v>1590</v>
      </c>
      <c r="J7" t="s">
        <v>633</v>
      </c>
      <c r="K7" t="s">
        <v>22</v>
      </c>
      <c r="L7" t="s">
        <v>629</v>
      </c>
      <c r="Q7">
        <v>1</v>
      </c>
    </row>
    <row r="8" spans="1:17" s="5" customFormat="1" x14ac:dyDescent="0.25">
      <c r="B8" s="5" t="s">
        <v>18</v>
      </c>
      <c r="C8" s="5" t="s">
        <v>642</v>
      </c>
      <c r="D8" s="5" t="s">
        <v>643</v>
      </c>
      <c r="E8" s="5" t="s">
        <v>644</v>
      </c>
      <c r="F8" s="8" t="s">
        <v>594</v>
      </c>
      <c r="G8" s="5">
        <v>850</v>
      </c>
      <c r="H8" s="5">
        <v>30</v>
      </c>
      <c r="I8" s="5">
        <f t="shared" si="0"/>
        <v>820</v>
      </c>
      <c r="J8" s="5" t="s">
        <v>22</v>
      </c>
      <c r="K8" s="5" t="s">
        <v>22</v>
      </c>
      <c r="L8" s="5" t="s">
        <v>629</v>
      </c>
      <c r="Q8" s="5">
        <v>1</v>
      </c>
    </row>
    <row r="9" spans="1:17" x14ac:dyDescent="0.25">
      <c r="B9" t="s">
        <v>18</v>
      </c>
      <c r="C9" t="s">
        <v>645</v>
      </c>
      <c r="D9" t="s">
        <v>646</v>
      </c>
      <c r="E9" t="s">
        <v>647</v>
      </c>
      <c r="F9" s="1" t="s">
        <v>610</v>
      </c>
      <c r="G9">
        <v>790</v>
      </c>
      <c r="H9">
        <v>30</v>
      </c>
      <c r="I9">
        <f t="shared" si="0"/>
        <v>760</v>
      </c>
      <c r="J9" t="s">
        <v>633</v>
      </c>
      <c r="K9" t="s">
        <v>22</v>
      </c>
      <c r="L9" t="s">
        <v>629</v>
      </c>
      <c r="Q9">
        <v>1</v>
      </c>
    </row>
    <row r="10" spans="1:17" s="35" customFormat="1" x14ac:dyDescent="0.25">
      <c r="B10" s="35" t="s">
        <v>18</v>
      </c>
      <c r="C10" s="35" t="s">
        <v>648</v>
      </c>
      <c r="D10" s="35" t="s">
        <v>649</v>
      </c>
      <c r="E10" s="37" t="s">
        <v>650</v>
      </c>
      <c r="F10" s="36" t="s">
        <v>97</v>
      </c>
      <c r="G10" s="35">
        <v>605</v>
      </c>
      <c r="H10" s="35">
        <v>25</v>
      </c>
      <c r="I10" s="35">
        <f t="shared" si="0"/>
        <v>580</v>
      </c>
      <c r="J10" s="35" t="s">
        <v>27</v>
      </c>
      <c r="K10" s="35" t="s">
        <v>22</v>
      </c>
      <c r="L10" s="35" t="s">
        <v>629</v>
      </c>
      <c r="Q10" s="35">
        <v>1</v>
      </c>
    </row>
    <row r="11" spans="1:17" x14ac:dyDescent="0.25">
      <c r="B11" t="s">
        <v>18</v>
      </c>
      <c r="C11" t="s">
        <v>651</v>
      </c>
      <c r="D11" t="s">
        <v>652</v>
      </c>
      <c r="E11" t="s">
        <v>653</v>
      </c>
      <c r="F11" s="1" t="s">
        <v>572</v>
      </c>
      <c r="G11">
        <v>605</v>
      </c>
      <c r="H11">
        <v>25</v>
      </c>
      <c r="I11">
        <f t="shared" si="0"/>
        <v>580</v>
      </c>
      <c r="J11" t="s">
        <v>633</v>
      </c>
      <c r="K11" t="s">
        <v>22</v>
      </c>
      <c r="L11" t="s">
        <v>629</v>
      </c>
      <c r="Q11">
        <v>1</v>
      </c>
    </row>
    <row r="12" spans="1:17" s="5" customFormat="1" x14ac:dyDescent="0.25">
      <c r="B12" s="5" t="s">
        <v>18</v>
      </c>
      <c r="C12" s="5" t="s">
        <v>654</v>
      </c>
      <c r="D12" s="5" t="s">
        <v>655</v>
      </c>
      <c r="E12" s="5" t="s">
        <v>656</v>
      </c>
      <c r="F12" s="8" t="s">
        <v>118</v>
      </c>
      <c r="G12" s="5">
        <v>1045</v>
      </c>
      <c r="H12" s="5">
        <v>25</v>
      </c>
      <c r="I12" s="5">
        <f t="shared" si="0"/>
        <v>1020</v>
      </c>
      <c r="J12" s="5" t="s">
        <v>22</v>
      </c>
      <c r="K12" s="5" t="s">
        <v>22</v>
      </c>
      <c r="L12" s="5" t="s">
        <v>629</v>
      </c>
      <c r="Q12" s="5">
        <v>1</v>
      </c>
    </row>
    <row r="13" spans="1:17" s="35" customFormat="1" x14ac:dyDescent="0.25">
      <c r="B13" s="35" t="s">
        <v>18</v>
      </c>
      <c r="C13" s="35" t="s">
        <v>657</v>
      </c>
      <c r="D13" s="35" t="s">
        <v>658</v>
      </c>
      <c r="E13" s="35" t="s">
        <v>659</v>
      </c>
      <c r="F13" s="36" t="s">
        <v>660</v>
      </c>
      <c r="G13" s="35">
        <v>655</v>
      </c>
      <c r="H13" s="35">
        <v>25</v>
      </c>
      <c r="I13" s="35">
        <f t="shared" si="0"/>
        <v>630</v>
      </c>
      <c r="J13" s="35" t="s">
        <v>27</v>
      </c>
      <c r="K13" s="35" t="s">
        <v>22</v>
      </c>
      <c r="L13" s="35" t="s">
        <v>629</v>
      </c>
      <c r="Q13" s="35">
        <v>1</v>
      </c>
    </row>
    <row r="14" spans="1:17" x14ac:dyDescent="0.25">
      <c r="B14" t="s">
        <v>18</v>
      </c>
      <c r="C14" t="s">
        <v>661</v>
      </c>
      <c r="D14" t="s">
        <v>662</v>
      </c>
      <c r="E14" t="s">
        <v>663</v>
      </c>
      <c r="F14" s="1" t="s">
        <v>572</v>
      </c>
      <c r="G14">
        <v>715</v>
      </c>
      <c r="H14">
        <v>25</v>
      </c>
      <c r="I14">
        <f t="shared" si="0"/>
        <v>690</v>
      </c>
      <c r="J14" t="s">
        <v>633</v>
      </c>
      <c r="K14" t="s">
        <v>22</v>
      </c>
      <c r="L14" t="s">
        <v>629</v>
      </c>
      <c r="Q14">
        <v>1</v>
      </c>
    </row>
    <row r="15" spans="1:17" x14ac:dyDescent="0.25">
      <c r="B15" t="s">
        <v>18</v>
      </c>
      <c r="C15" t="s">
        <v>664</v>
      </c>
      <c r="D15" t="s">
        <v>665</v>
      </c>
      <c r="E15" t="s">
        <v>666</v>
      </c>
      <c r="F15" s="1" t="s">
        <v>610</v>
      </c>
      <c r="G15">
        <v>790</v>
      </c>
      <c r="H15">
        <v>30</v>
      </c>
      <c r="I15">
        <f t="shared" si="0"/>
        <v>760</v>
      </c>
      <c r="J15" t="s">
        <v>633</v>
      </c>
      <c r="K15" t="s">
        <v>22</v>
      </c>
      <c r="L15" t="s">
        <v>629</v>
      </c>
      <c r="Q15">
        <v>1</v>
      </c>
    </row>
    <row r="16" spans="1:17" s="5" customFormat="1" x14ac:dyDescent="0.25">
      <c r="B16" s="5" t="s">
        <v>18</v>
      </c>
      <c r="C16" s="5" t="s">
        <v>667</v>
      </c>
      <c r="D16" s="5" t="s">
        <v>668</v>
      </c>
      <c r="E16" s="5" t="s">
        <v>669</v>
      </c>
      <c r="F16" s="8" t="s">
        <v>594</v>
      </c>
      <c r="G16" s="5">
        <v>0</v>
      </c>
      <c r="H16" s="5">
        <v>30</v>
      </c>
      <c r="I16" s="5">
        <f t="shared" si="0"/>
        <v>-30</v>
      </c>
      <c r="J16" s="5" t="s">
        <v>22</v>
      </c>
      <c r="K16" s="5" t="s">
        <v>22</v>
      </c>
      <c r="L16" s="5" t="s">
        <v>629</v>
      </c>
      <c r="Q16" s="5">
        <v>1</v>
      </c>
    </row>
    <row r="17" spans="2:17" x14ac:dyDescent="0.25">
      <c r="B17" t="s">
        <v>18</v>
      </c>
      <c r="C17" t="s">
        <v>670</v>
      </c>
      <c r="D17" t="s">
        <v>671</v>
      </c>
      <c r="E17" t="s">
        <v>672</v>
      </c>
      <c r="F17" s="1" t="s">
        <v>610</v>
      </c>
      <c r="G17">
        <v>0</v>
      </c>
      <c r="H17">
        <v>30</v>
      </c>
      <c r="I17">
        <f>-H17</f>
        <v>-30</v>
      </c>
      <c r="J17" t="s">
        <v>633</v>
      </c>
      <c r="K17" t="s">
        <v>22</v>
      </c>
      <c r="L17" t="s">
        <v>629</v>
      </c>
      <c r="Q17">
        <v>1</v>
      </c>
    </row>
    <row r="18" spans="2:17" x14ac:dyDescent="0.25">
      <c r="B18" t="s">
        <v>18</v>
      </c>
      <c r="C18" t="s">
        <v>673</v>
      </c>
      <c r="D18" t="s">
        <v>674</v>
      </c>
      <c r="E18" t="s">
        <v>675</v>
      </c>
      <c r="F18" s="1" t="s">
        <v>572</v>
      </c>
      <c r="G18">
        <v>855</v>
      </c>
      <c r="H18">
        <v>25</v>
      </c>
      <c r="I18">
        <f t="shared" ref="I18:I39" si="1">G18-H18</f>
        <v>830</v>
      </c>
      <c r="J18" t="s">
        <v>633</v>
      </c>
      <c r="K18" t="s">
        <v>22</v>
      </c>
      <c r="L18" t="s">
        <v>629</v>
      </c>
      <c r="Q18">
        <v>1</v>
      </c>
    </row>
    <row r="19" spans="2:17" s="35" customFormat="1" x14ac:dyDescent="0.25">
      <c r="B19" s="35" t="s">
        <v>18</v>
      </c>
      <c r="C19" s="35" t="s">
        <v>614</v>
      </c>
      <c r="D19" s="35" t="s">
        <v>676</v>
      </c>
      <c r="E19" s="35" t="s">
        <v>677</v>
      </c>
      <c r="F19" s="36" t="s">
        <v>93</v>
      </c>
      <c r="G19" s="35">
        <v>390</v>
      </c>
      <c r="H19" s="35">
        <v>20</v>
      </c>
      <c r="I19" s="35">
        <f t="shared" si="1"/>
        <v>370</v>
      </c>
      <c r="J19" s="35" t="s">
        <v>27</v>
      </c>
      <c r="K19" s="35" t="s">
        <v>22</v>
      </c>
      <c r="L19" s="35" t="s">
        <v>629</v>
      </c>
      <c r="Q19" s="35">
        <v>1</v>
      </c>
    </row>
    <row r="20" spans="2:17" s="35" customFormat="1" x14ac:dyDescent="0.25">
      <c r="B20" s="35" t="s">
        <v>18</v>
      </c>
      <c r="C20" s="35" t="s">
        <v>678</v>
      </c>
      <c r="D20" s="35" t="s">
        <v>679</v>
      </c>
      <c r="E20" s="35" t="s">
        <v>680</v>
      </c>
      <c r="F20" s="36" t="s">
        <v>97</v>
      </c>
      <c r="G20" s="35">
        <v>385</v>
      </c>
      <c r="H20" s="35">
        <v>25</v>
      </c>
      <c r="I20" s="35">
        <f t="shared" si="1"/>
        <v>360</v>
      </c>
      <c r="J20" s="35" t="s">
        <v>27</v>
      </c>
      <c r="K20" s="35" t="s">
        <v>22</v>
      </c>
      <c r="L20" s="35" t="s">
        <v>629</v>
      </c>
      <c r="Q20" s="35">
        <v>1</v>
      </c>
    </row>
    <row r="21" spans="2:17" s="35" customFormat="1" x14ac:dyDescent="0.25">
      <c r="B21" s="35" t="s">
        <v>18</v>
      </c>
      <c r="C21" s="35" t="s">
        <v>681</v>
      </c>
      <c r="D21" s="35" t="s">
        <v>682</v>
      </c>
      <c r="E21" s="35" t="s">
        <v>683</v>
      </c>
      <c r="F21" s="36" t="s">
        <v>97</v>
      </c>
      <c r="G21" s="35">
        <v>995</v>
      </c>
      <c r="H21" s="35">
        <v>25</v>
      </c>
      <c r="I21" s="35">
        <f t="shared" si="1"/>
        <v>970</v>
      </c>
      <c r="J21" s="35" t="s">
        <v>27</v>
      </c>
      <c r="K21" s="35" t="s">
        <v>22</v>
      </c>
      <c r="L21" s="35" t="s">
        <v>629</v>
      </c>
      <c r="Q21" s="35">
        <v>1</v>
      </c>
    </row>
    <row r="22" spans="2:17" s="5" customFormat="1" x14ac:dyDescent="0.25">
      <c r="B22" s="5" t="s">
        <v>18</v>
      </c>
      <c r="C22" s="5" t="s">
        <v>684</v>
      </c>
      <c r="D22" s="5" t="s">
        <v>685</v>
      </c>
      <c r="E22" s="5" t="s">
        <v>686</v>
      </c>
      <c r="F22" s="8" t="s">
        <v>118</v>
      </c>
      <c r="G22" s="5">
        <v>815</v>
      </c>
      <c r="H22" s="5">
        <v>25</v>
      </c>
      <c r="I22" s="5">
        <f t="shared" si="1"/>
        <v>790</v>
      </c>
      <c r="J22" s="5" t="s">
        <v>22</v>
      </c>
      <c r="K22" s="5" t="s">
        <v>22</v>
      </c>
      <c r="L22" s="5" t="s">
        <v>629</v>
      </c>
      <c r="Q22" s="5">
        <v>1</v>
      </c>
    </row>
    <row r="23" spans="2:17" s="35" customFormat="1" x14ac:dyDescent="0.25">
      <c r="B23" s="35" t="s">
        <v>18</v>
      </c>
      <c r="C23" s="35" t="s">
        <v>687</v>
      </c>
      <c r="D23" s="35" t="s">
        <v>688</v>
      </c>
      <c r="E23" s="35" t="s">
        <v>689</v>
      </c>
      <c r="F23" s="36" t="s">
        <v>97</v>
      </c>
      <c r="G23" s="35">
        <v>0</v>
      </c>
      <c r="H23" s="35">
        <v>25</v>
      </c>
      <c r="I23" s="35">
        <f t="shared" si="1"/>
        <v>-25</v>
      </c>
      <c r="J23" s="35" t="s">
        <v>27</v>
      </c>
      <c r="K23" s="35" t="s">
        <v>22</v>
      </c>
      <c r="L23" s="35" t="s">
        <v>629</v>
      </c>
      <c r="Q23" s="35">
        <v>1</v>
      </c>
    </row>
    <row r="24" spans="2:17" s="5" customFormat="1" x14ac:dyDescent="0.25">
      <c r="B24" s="5" t="s">
        <v>18</v>
      </c>
      <c r="C24" s="5" t="s">
        <v>690</v>
      </c>
      <c r="D24" s="5" t="s">
        <v>691</v>
      </c>
      <c r="E24" s="5" t="s">
        <v>692</v>
      </c>
      <c r="F24" s="8" t="s">
        <v>118</v>
      </c>
      <c r="G24" s="5">
        <v>1435</v>
      </c>
      <c r="H24" s="5">
        <v>25</v>
      </c>
      <c r="I24" s="5">
        <f t="shared" si="1"/>
        <v>1410</v>
      </c>
      <c r="J24" s="5" t="s">
        <v>22</v>
      </c>
      <c r="K24" s="5" t="s">
        <v>22</v>
      </c>
      <c r="L24" s="5" t="s">
        <v>629</v>
      </c>
      <c r="Q24" s="5">
        <v>1</v>
      </c>
    </row>
    <row r="25" spans="2:17" s="35" customFormat="1" x14ac:dyDescent="0.25">
      <c r="B25" s="35" t="s">
        <v>18</v>
      </c>
      <c r="C25" s="35" t="s">
        <v>693</v>
      </c>
      <c r="D25" s="35" t="s">
        <v>694</v>
      </c>
      <c r="E25" s="35" t="s">
        <v>695</v>
      </c>
      <c r="F25" s="36" t="s">
        <v>660</v>
      </c>
      <c r="G25" s="35">
        <v>745</v>
      </c>
      <c r="H25" s="35">
        <v>25</v>
      </c>
      <c r="I25" s="35">
        <f t="shared" si="1"/>
        <v>720</v>
      </c>
      <c r="J25" s="35" t="s">
        <v>27</v>
      </c>
      <c r="K25" s="35" t="s">
        <v>22</v>
      </c>
      <c r="L25" s="35" t="s">
        <v>629</v>
      </c>
      <c r="Q25" s="35">
        <v>1</v>
      </c>
    </row>
    <row r="26" spans="2:17" s="35" customFormat="1" x14ac:dyDescent="0.25">
      <c r="B26" s="35" t="s">
        <v>18</v>
      </c>
      <c r="C26" s="35" t="s">
        <v>696</v>
      </c>
      <c r="D26" s="35" t="s">
        <v>697</v>
      </c>
      <c r="E26" s="35" t="s">
        <v>698</v>
      </c>
      <c r="F26" s="36" t="s">
        <v>555</v>
      </c>
      <c r="G26" s="35">
        <v>705</v>
      </c>
      <c r="H26" s="35">
        <v>25</v>
      </c>
      <c r="I26" s="35">
        <f t="shared" si="1"/>
        <v>680</v>
      </c>
      <c r="J26" s="35" t="s">
        <v>27</v>
      </c>
      <c r="K26" s="35" t="s">
        <v>22</v>
      </c>
      <c r="L26" s="35" t="s">
        <v>629</v>
      </c>
      <c r="Q26" s="35">
        <v>1</v>
      </c>
    </row>
    <row r="27" spans="2:17" x14ac:dyDescent="0.25">
      <c r="B27" t="s">
        <v>18</v>
      </c>
      <c r="C27" t="s">
        <v>699</v>
      </c>
      <c r="D27" t="s">
        <v>700</v>
      </c>
      <c r="E27" t="s">
        <v>701</v>
      </c>
      <c r="F27" s="1" t="s">
        <v>49</v>
      </c>
      <c r="G27">
        <v>0</v>
      </c>
      <c r="H27">
        <v>30</v>
      </c>
      <c r="I27">
        <f t="shared" si="1"/>
        <v>-30</v>
      </c>
      <c r="J27" t="s">
        <v>633</v>
      </c>
      <c r="K27" t="s">
        <v>22</v>
      </c>
      <c r="L27" t="s">
        <v>629</v>
      </c>
      <c r="Q27">
        <v>1</v>
      </c>
    </row>
    <row r="28" spans="2:17" x14ac:dyDescent="0.25">
      <c r="B28" t="s">
        <v>18</v>
      </c>
      <c r="C28" t="s">
        <v>702</v>
      </c>
      <c r="D28" t="s">
        <v>703</v>
      </c>
      <c r="E28" t="s">
        <v>704</v>
      </c>
      <c r="F28" s="1" t="s">
        <v>572</v>
      </c>
      <c r="G28">
        <v>0</v>
      </c>
      <c r="H28">
        <v>25</v>
      </c>
      <c r="I28">
        <f t="shared" si="1"/>
        <v>-25</v>
      </c>
      <c r="J28" t="s">
        <v>633</v>
      </c>
      <c r="K28" t="s">
        <v>22</v>
      </c>
      <c r="L28" t="s">
        <v>629</v>
      </c>
      <c r="Q28">
        <v>1</v>
      </c>
    </row>
    <row r="29" spans="2:17" x14ac:dyDescent="0.25">
      <c r="B29" t="s">
        <v>18</v>
      </c>
      <c r="C29" t="s">
        <v>705</v>
      </c>
      <c r="D29" t="s">
        <v>706</v>
      </c>
      <c r="E29" t="s">
        <v>707</v>
      </c>
      <c r="F29" s="1" t="s">
        <v>610</v>
      </c>
      <c r="G29">
        <v>790</v>
      </c>
      <c r="H29">
        <v>30</v>
      </c>
      <c r="I29">
        <f t="shared" si="1"/>
        <v>760</v>
      </c>
      <c r="J29" t="s">
        <v>633</v>
      </c>
      <c r="K29" t="s">
        <v>22</v>
      </c>
      <c r="L29" t="s">
        <v>629</v>
      </c>
      <c r="Q29">
        <v>1</v>
      </c>
    </row>
    <row r="30" spans="2:17" x14ac:dyDescent="0.25">
      <c r="B30" t="s">
        <v>18</v>
      </c>
      <c r="C30" t="s">
        <v>708</v>
      </c>
      <c r="D30" t="s">
        <v>709</v>
      </c>
      <c r="E30" t="s">
        <v>710</v>
      </c>
      <c r="F30" s="1" t="s">
        <v>572</v>
      </c>
      <c r="G30">
        <v>745</v>
      </c>
      <c r="H30">
        <v>25</v>
      </c>
      <c r="I30">
        <f t="shared" si="1"/>
        <v>720</v>
      </c>
      <c r="J30" t="s">
        <v>633</v>
      </c>
      <c r="K30" t="s">
        <v>22</v>
      </c>
      <c r="L30" t="s">
        <v>629</v>
      </c>
      <c r="Q30">
        <v>1</v>
      </c>
    </row>
    <row r="31" spans="2:17" x14ac:dyDescent="0.25">
      <c r="B31" t="s">
        <v>18</v>
      </c>
      <c r="C31" t="s">
        <v>711</v>
      </c>
      <c r="D31" t="s">
        <v>712</v>
      </c>
      <c r="E31" t="s">
        <v>713</v>
      </c>
      <c r="F31" s="1" t="s">
        <v>49</v>
      </c>
      <c r="G31">
        <v>740</v>
      </c>
      <c r="H31">
        <v>30</v>
      </c>
      <c r="I31">
        <f t="shared" si="1"/>
        <v>710</v>
      </c>
      <c r="J31" t="s">
        <v>633</v>
      </c>
      <c r="K31" t="s">
        <v>22</v>
      </c>
      <c r="L31" t="s">
        <v>629</v>
      </c>
      <c r="Q31">
        <v>1</v>
      </c>
    </row>
    <row r="32" spans="2:17" x14ac:dyDescent="0.25">
      <c r="B32" t="s">
        <v>18</v>
      </c>
      <c r="C32" t="s">
        <v>714</v>
      </c>
      <c r="D32" t="s">
        <v>715</v>
      </c>
      <c r="E32" t="s">
        <v>716</v>
      </c>
      <c r="F32" s="1" t="s">
        <v>610</v>
      </c>
      <c r="G32">
        <v>790</v>
      </c>
      <c r="H32">
        <v>30</v>
      </c>
      <c r="I32">
        <f t="shared" si="1"/>
        <v>760</v>
      </c>
      <c r="J32" t="s">
        <v>633</v>
      </c>
      <c r="K32" t="s">
        <v>22</v>
      </c>
      <c r="L32" t="s">
        <v>629</v>
      </c>
      <c r="Q32">
        <v>1</v>
      </c>
    </row>
    <row r="33" spans="1:17" x14ac:dyDescent="0.25">
      <c r="B33" t="s">
        <v>18</v>
      </c>
      <c r="C33" t="s">
        <v>717</v>
      </c>
      <c r="D33" t="s">
        <v>718</v>
      </c>
      <c r="E33" t="s">
        <v>719</v>
      </c>
      <c r="F33" s="1" t="s">
        <v>610</v>
      </c>
      <c r="G33">
        <v>820</v>
      </c>
      <c r="H33">
        <v>30</v>
      </c>
      <c r="I33">
        <f t="shared" si="1"/>
        <v>790</v>
      </c>
      <c r="J33" t="s">
        <v>633</v>
      </c>
      <c r="K33" t="s">
        <v>22</v>
      </c>
      <c r="L33" t="s">
        <v>629</v>
      </c>
      <c r="Q33">
        <v>1</v>
      </c>
    </row>
    <row r="34" spans="1:17" x14ac:dyDescent="0.25">
      <c r="B34" t="s">
        <v>18</v>
      </c>
      <c r="C34" t="s">
        <v>720</v>
      </c>
      <c r="D34" t="s">
        <v>721</v>
      </c>
      <c r="E34" t="s">
        <v>722</v>
      </c>
      <c r="F34" s="1" t="s">
        <v>63</v>
      </c>
      <c r="G34">
        <v>365</v>
      </c>
      <c r="H34">
        <v>25</v>
      </c>
      <c r="I34">
        <f t="shared" si="1"/>
        <v>340</v>
      </c>
      <c r="J34" t="s">
        <v>633</v>
      </c>
      <c r="K34" t="s">
        <v>22</v>
      </c>
      <c r="L34" t="s">
        <v>629</v>
      </c>
      <c r="Q34">
        <v>1</v>
      </c>
    </row>
    <row r="35" spans="1:17" s="5" customFormat="1" x14ac:dyDescent="0.25">
      <c r="B35" s="5" t="s">
        <v>18</v>
      </c>
      <c r="C35" s="5" t="s">
        <v>395</v>
      </c>
      <c r="D35" s="5" t="s">
        <v>723</v>
      </c>
      <c r="E35" s="5" t="s">
        <v>724</v>
      </c>
      <c r="F35" s="8" t="s">
        <v>35</v>
      </c>
      <c r="G35" s="5">
        <v>790</v>
      </c>
      <c r="H35" s="5">
        <v>30</v>
      </c>
      <c r="I35" s="5">
        <f t="shared" si="1"/>
        <v>760</v>
      </c>
      <c r="J35" s="5" t="s">
        <v>22</v>
      </c>
      <c r="K35" s="5" t="s">
        <v>22</v>
      </c>
      <c r="L35" s="5" t="s">
        <v>629</v>
      </c>
      <c r="Q35" s="5">
        <v>1</v>
      </c>
    </row>
    <row r="36" spans="1:17" s="35" customFormat="1" x14ac:dyDescent="0.25">
      <c r="B36" s="35" t="s">
        <v>18</v>
      </c>
      <c r="C36" s="35" t="s">
        <v>725</v>
      </c>
      <c r="D36" s="35" t="s">
        <v>726</v>
      </c>
      <c r="E36" s="35" t="s">
        <v>727</v>
      </c>
      <c r="F36" s="36" t="s">
        <v>728</v>
      </c>
      <c r="G36" s="35">
        <v>605</v>
      </c>
      <c r="H36" s="35">
        <v>25</v>
      </c>
      <c r="I36" s="35">
        <f t="shared" si="1"/>
        <v>580</v>
      </c>
      <c r="J36" s="35" t="s">
        <v>27</v>
      </c>
      <c r="K36" s="35" t="s">
        <v>22</v>
      </c>
      <c r="L36" s="35" t="s">
        <v>629</v>
      </c>
      <c r="Q36" s="35">
        <v>1</v>
      </c>
    </row>
    <row r="37" spans="1:17" s="35" customFormat="1" x14ac:dyDescent="0.25">
      <c r="B37" s="35" t="s">
        <v>18</v>
      </c>
      <c r="C37" s="35" t="s">
        <v>729</v>
      </c>
      <c r="D37" s="35" t="s">
        <v>730</v>
      </c>
      <c r="E37" s="35" t="s">
        <v>731</v>
      </c>
      <c r="F37" s="36" t="s">
        <v>97</v>
      </c>
      <c r="G37" s="35">
        <v>0</v>
      </c>
      <c r="H37" s="35">
        <v>25</v>
      </c>
      <c r="I37" s="35">
        <f t="shared" si="1"/>
        <v>-25</v>
      </c>
      <c r="J37" s="35" t="s">
        <v>27</v>
      </c>
      <c r="K37" s="35" t="s">
        <v>22</v>
      </c>
      <c r="L37" s="35" t="s">
        <v>629</v>
      </c>
      <c r="Q37" s="35">
        <v>1</v>
      </c>
    </row>
    <row r="38" spans="1:17" s="35" customFormat="1" x14ac:dyDescent="0.25">
      <c r="A38" s="35" t="s">
        <v>255</v>
      </c>
      <c r="B38" s="35" t="s">
        <v>18</v>
      </c>
      <c r="C38" s="35" t="s">
        <v>543</v>
      </c>
      <c r="E38" s="35" t="s">
        <v>732</v>
      </c>
      <c r="F38" s="36" t="s">
        <v>545</v>
      </c>
      <c r="G38" s="35">
        <v>25</v>
      </c>
      <c r="H38" s="35">
        <v>25</v>
      </c>
      <c r="I38" s="35">
        <f t="shared" si="1"/>
        <v>0</v>
      </c>
      <c r="J38" s="35" t="s">
        <v>27</v>
      </c>
      <c r="K38" s="35" t="s">
        <v>22</v>
      </c>
      <c r="L38" s="35" t="s">
        <v>629</v>
      </c>
      <c r="M38" s="35" t="s">
        <v>733</v>
      </c>
      <c r="Q38" s="35">
        <v>1</v>
      </c>
    </row>
    <row r="39" spans="1:17" s="5" customFormat="1" x14ac:dyDescent="0.25">
      <c r="A39" s="5" t="s">
        <v>255</v>
      </c>
      <c r="B39" s="5" t="s">
        <v>18</v>
      </c>
      <c r="C39" s="5" t="s">
        <v>258</v>
      </c>
      <c r="E39" s="5" t="s">
        <v>734</v>
      </c>
      <c r="F39" s="8" t="s">
        <v>118</v>
      </c>
      <c r="G39" s="5">
        <v>30</v>
      </c>
      <c r="H39" s="5">
        <v>30</v>
      </c>
      <c r="I39" s="5">
        <f t="shared" si="1"/>
        <v>0</v>
      </c>
      <c r="J39" s="5" t="s">
        <v>22</v>
      </c>
      <c r="K39" s="5" t="s">
        <v>22</v>
      </c>
      <c r="L39" s="5" t="s">
        <v>629</v>
      </c>
      <c r="M39" s="5" t="s">
        <v>733</v>
      </c>
      <c r="Q39" s="5">
        <v>1</v>
      </c>
    </row>
    <row r="40" spans="1:17" s="5" customFormat="1" x14ac:dyDescent="0.25">
      <c r="A40" s="5" t="s">
        <v>255</v>
      </c>
      <c r="B40" s="5" t="s">
        <v>18</v>
      </c>
      <c r="C40" s="5" t="s">
        <v>735</v>
      </c>
      <c r="E40" s="5" t="s">
        <v>736</v>
      </c>
      <c r="F40" s="8" t="s">
        <v>594</v>
      </c>
      <c r="G40" s="5">
        <v>35</v>
      </c>
      <c r="H40" s="5">
        <v>35</v>
      </c>
      <c r="I40" s="5">
        <f>H40</f>
        <v>35</v>
      </c>
      <c r="J40" s="5" t="s">
        <v>22</v>
      </c>
      <c r="K40" s="5" t="s">
        <v>22</v>
      </c>
      <c r="L40" s="5" t="s">
        <v>629</v>
      </c>
      <c r="M40" s="5" t="s">
        <v>733</v>
      </c>
      <c r="Q40" s="5">
        <v>1</v>
      </c>
    </row>
    <row r="41" spans="1:17" s="14" customFormat="1" x14ac:dyDescent="0.25">
      <c r="A41" s="14" t="s">
        <v>255</v>
      </c>
      <c r="B41" s="14" t="s">
        <v>18</v>
      </c>
      <c r="C41" s="14" t="s">
        <v>737</v>
      </c>
      <c r="E41" s="14" t="s">
        <v>738</v>
      </c>
      <c r="F41" s="38" t="s">
        <v>118</v>
      </c>
      <c r="G41" s="14">
        <v>615</v>
      </c>
      <c r="H41" s="14">
        <v>25</v>
      </c>
      <c r="I41" s="14">
        <f>G41-H41</f>
        <v>590</v>
      </c>
      <c r="J41" s="14" t="s">
        <v>22</v>
      </c>
      <c r="K41" s="14" t="s">
        <v>22</v>
      </c>
      <c r="L41" s="14" t="s">
        <v>629</v>
      </c>
      <c r="M41" s="14" t="s">
        <v>739</v>
      </c>
      <c r="Q41" s="14">
        <v>1</v>
      </c>
    </row>
    <row r="42" spans="1:17" x14ac:dyDescent="0.25">
      <c r="A42" t="s">
        <v>255</v>
      </c>
      <c r="B42" t="s">
        <v>18</v>
      </c>
      <c r="C42" t="s">
        <v>740</v>
      </c>
      <c r="E42" t="s">
        <v>741</v>
      </c>
      <c r="F42" s="1"/>
      <c r="G42">
        <v>1830</v>
      </c>
      <c r="H42">
        <v>30</v>
      </c>
      <c r="I42">
        <f>G42-H42</f>
        <v>1800</v>
      </c>
      <c r="J42" t="s">
        <v>633</v>
      </c>
      <c r="K42" t="s">
        <v>22</v>
      </c>
      <c r="L42" t="s">
        <v>629</v>
      </c>
      <c r="M42" t="s">
        <v>742</v>
      </c>
      <c r="Q42">
        <v>1</v>
      </c>
    </row>
    <row r="43" spans="1:17" s="35" customFormat="1" x14ac:dyDescent="0.25">
      <c r="A43" s="35" t="s">
        <v>255</v>
      </c>
      <c r="B43" s="35" t="s">
        <v>18</v>
      </c>
      <c r="C43" s="35" t="s">
        <v>260</v>
      </c>
      <c r="E43" s="35" t="s">
        <v>261</v>
      </c>
      <c r="F43" s="36" t="s">
        <v>97</v>
      </c>
      <c r="G43" s="35">
        <v>0</v>
      </c>
      <c r="H43" s="35">
        <v>25</v>
      </c>
      <c r="I43" s="35">
        <f>-H43</f>
        <v>-25</v>
      </c>
      <c r="J43" s="35" t="s">
        <v>27</v>
      </c>
      <c r="K43" s="35" t="s">
        <v>22</v>
      </c>
      <c r="L43" s="35" t="s">
        <v>629</v>
      </c>
      <c r="Q43" s="35">
        <v>1</v>
      </c>
    </row>
    <row r="44" spans="1:17" s="35" customFormat="1" x14ac:dyDescent="0.25">
      <c r="A44" s="35" t="s">
        <v>255</v>
      </c>
      <c r="B44" s="35" t="s">
        <v>18</v>
      </c>
      <c r="C44" s="35" t="s">
        <v>743</v>
      </c>
      <c r="E44" s="35" t="s">
        <v>744</v>
      </c>
      <c r="F44" s="36" t="s">
        <v>97</v>
      </c>
      <c r="G44" s="35">
        <v>1270</v>
      </c>
      <c r="H44" s="35">
        <v>30</v>
      </c>
      <c r="I44" s="35">
        <f>G44-H44</f>
        <v>1240</v>
      </c>
      <c r="J44" s="35" t="s">
        <v>27</v>
      </c>
      <c r="K44" s="35" t="s">
        <v>22</v>
      </c>
      <c r="L44" s="35" t="s">
        <v>629</v>
      </c>
      <c r="Q44" s="35">
        <v>1</v>
      </c>
    </row>
    <row r="45" spans="1:17" s="34" customFormat="1" x14ac:dyDescent="0.25">
      <c r="B45" s="34" t="s">
        <v>18</v>
      </c>
      <c r="C45" s="34" t="s">
        <v>523</v>
      </c>
      <c r="D45" s="34" t="s">
        <v>524</v>
      </c>
      <c r="E45" s="34" t="s">
        <v>525</v>
      </c>
      <c r="F45" s="34" t="s">
        <v>35</v>
      </c>
      <c r="G45" s="34">
        <v>610</v>
      </c>
      <c r="H45" s="34">
        <v>30</v>
      </c>
      <c r="I45" s="34">
        <v>580</v>
      </c>
      <c r="J45" s="34" t="s">
        <v>425</v>
      </c>
      <c r="K45" s="34" t="s">
        <v>22</v>
      </c>
      <c r="L45" s="34" t="s">
        <v>457</v>
      </c>
      <c r="M45" s="34" t="s">
        <v>74</v>
      </c>
      <c r="N45" s="34" t="s">
        <v>275</v>
      </c>
      <c r="O45" s="34" t="s">
        <v>275</v>
      </c>
      <c r="P45" s="34" t="s">
        <v>427</v>
      </c>
      <c r="Q45" s="34">
        <v>1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1"/>
  <sheetViews>
    <sheetView topLeftCell="A13" workbookViewId="0">
      <selection activeCell="C18" sqref="C18"/>
    </sheetView>
  </sheetViews>
  <sheetFormatPr defaultRowHeight="15" x14ac:dyDescent="0.25"/>
  <cols>
    <col min="1" max="1" width="9.140625" customWidth="1"/>
    <col min="2" max="2" width="17.5703125" bestFit="1" customWidth="1"/>
    <col min="3" max="3" width="31.28515625" bestFit="1" customWidth="1"/>
    <col min="4" max="4" width="11.5703125" bestFit="1" customWidth="1"/>
    <col min="5" max="5" width="67.85546875" bestFit="1" customWidth="1"/>
    <col min="6" max="6" width="10.5703125" bestFit="1" customWidth="1"/>
    <col min="7" max="11" width="9.140625" customWidth="1"/>
    <col min="12" max="12" width="10.42578125" bestFit="1" customWidth="1"/>
  </cols>
  <sheetData>
    <row r="1" spans="1:17" x14ac:dyDescent="0.25">
      <c r="B1" s="3" t="s">
        <v>745</v>
      </c>
      <c r="C1" s="3" t="s">
        <v>746</v>
      </c>
    </row>
    <row r="2" spans="1:17" x14ac:dyDescent="0.25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</row>
    <row r="3" spans="1:17" s="35" customFormat="1" x14ac:dyDescent="0.25">
      <c r="B3" s="35" t="s">
        <v>18</v>
      </c>
      <c r="C3" s="35" t="s">
        <v>747</v>
      </c>
      <c r="D3" s="35" t="s">
        <v>748</v>
      </c>
      <c r="E3" s="35" t="s">
        <v>749</v>
      </c>
      <c r="F3" s="35" t="s">
        <v>93</v>
      </c>
      <c r="G3" s="35">
        <v>0</v>
      </c>
      <c r="H3" s="35">
        <v>20</v>
      </c>
      <c r="I3" s="35">
        <f t="shared" ref="I3:I41" si="0">G3-H3</f>
        <v>-20</v>
      </c>
      <c r="J3" s="35" t="s">
        <v>27</v>
      </c>
      <c r="K3" s="35" t="s">
        <v>22</v>
      </c>
      <c r="L3" s="35" t="s">
        <v>750</v>
      </c>
      <c r="Q3" s="35">
        <v>1</v>
      </c>
    </row>
    <row r="4" spans="1:17" s="41" customFormat="1" x14ac:dyDescent="0.25">
      <c r="B4" s="41" t="s">
        <v>18</v>
      </c>
      <c r="C4" s="41" t="s">
        <v>147</v>
      </c>
      <c r="D4" s="41" t="s">
        <v>751</v>
      </c>
      <c r="E4" s="41" t="s">
        <v>752</v>
      </c>
      <c r="F4" s="41" t="s">
        <v>753</v>
      </c>
      <c r="G4" s="41">
        <v>780</v>
      </c>
      <c r="H4" s="41">
        <v>30</v>
      </c>
      <c r="I4" s="41">
        <f t="shared" si="0"/>
        <v>750</v>
      </c>
      <c r="J4" s="41" t="s">
        <v>754</v>
      </c>
      <c r="K4" s="41" t="s">
        <v>22</v>
      </c>
      <c r="L4" s="41" t="s">
        <v>750</v>
      </c>
      <c r="Q4" s="41">
        <v>1</v>
      </c>
    </row>
    <row r="5" spans="1:17" s="5" customFormat="1" x14ac:dyDescent="0.25">
      <c r="B5" s="5" t="s">
        <v>18</v>
      </c>
      <c r="C5" s="5" t="s">
        <v>755</v>
      </c>
      <c r="D5" s="5" t="s">
        <v>756</v>
      </c>
      <c r="E5" s="5" t="s">
        <v>525</v>
      </c>
      <c r="F5" s="5" t="s">
        <v>35</v>
      </c>
      <c r="G5" s="5">
        <v>0</v>
      </c>
      <c r="H5" s="5">
        <v>30</v>
      </c>
      <c r="I5" s="5">
        <f t="shared" si="0"/>
        <v>-30</v>
      </c>
      <c r="J5" s="5" t="s">
        <v>22</v>
      </c>
      <c r="K5" s="5" t="s">
        <v>22</v>
      </c>
      <c r="L5" s="5" t="s">
        <v>750</v>
      </c>
      <c r="Q5" s="5">
        <v>1</v>
      </c>
    </row>
    <row r="6" spans="1:17" s="35" customFormat="1" x14ac:dyDescent="0.25">
      <c r="B6" s="35" t="s">
        <v>18</v>
      </c>
      <c r="C6" s="35" t="s">
        <v>757</v>
      </c>
      <c r="D6" s="35" t="s">
        <v>758</v>
      </c>
      <c r="E6" s="35" t="s">
        <v>759</v>
      </c>
      <c r="F6" s="35" t="s">
        <v>555</v>
      </c>
      <c r="G6" s="35">
        <v>785</v>
      </c>
      <c r="H6" s="35">
        <v>25</v>
      </c>
      <c r="I6" s="35">
        <f t="shared" si="0"/>
        <v>760</v>
      </c>
      <c r="J6" s="35" t="s">
        <v>27</v>
      </c>
      <c r="K6" s="35" t="s">
        <v>22</v>
      </c>
      <c r="L6" s="35" t="s">
        <v>750</v>
      </c>
      <c r="Q6" s="35">
        <v>1</v>
      </c>
    </row>
    <row r="7" spans="1:17" s="41" customFormat="1" x14ac:dyDescent="0.25">
      <c r="B7" s="41" t="s">
        <v>18</v>
      </c>
      <c r="C7" s="41" t="s">
        <v>760</v>
      </c>
      <c r="D7" s="41" t="s">
        <v>761</v>
      </c>
      <c r="E7" s="41" t="s">
        <v>762</v>
      </c>
      <c r="F7" s="42">
        <v>9</v>
      </c>
      <c r="G7" s="41">
        <v>750</v>
      </c>
      <c r="H7" s="41">
        <v>30</v>
      </c>
      <c r="I7" s="41">
        <f t="shared" si="0"/>
        <v>720</v>
      </c>
      <c r="J7" s="41" t="s">
        <v>754</v>
      </c>
      <c r="K7" s="41" t="s">
        <v>22</v>
      </c>
      <c r="L7" s="41" t="s">
        <v>750</v>
      </c>
      <c r="Q7" s="41">
        <v>1</v>
      </c>
    </row>
    <row r="8" spans="1:17" s="41" customFormat="1" x14ac:dyDescent="0.25">
      <c r="B8" s="41" t="s">
        <v>18</v>
      </c>
      <c r="C8" s="41" t="s">
        <v>763</v>
      </c>
      <c r="D8" s="41" t="s">
        <v>764</v>
      </c>
      <c r="E8" s="41" t="s">
        <v>765</v>
      </c>
      <c r="F8" s="41" t="s">
        <v>610</v>
      </c>
      <c r="G8" s="41">
        <v>790</v>
      </c>
      <c r="H8" s="41">
        <v>30</v>
      </c>
      <c r="I8" s="41">
        <f t="shared" si="0"/>
        <v>760</v>
      </c>
      <c r="J8" s="41" t="s">
        <v>754</v>
      </c>
      <c r="K8" s="41" t="s">
        <v>22</v>
      </c>
      <c r="L8" s="41" t="s">
        <v>750</v>
      </c>
      <c r="Q8" s="41">
        <v>1</v>
      </c>
    </row>
    <row r="9" spans="1:17" s="5" customFormat="1" x14ac:dyDescent="0.25">
      <c r="B9" s="5" t="s">
        <v>18</v>
      </c>
      <c r="C9" s="5" t="s">
        <v>766</v>
      </c>
      <c r="D9" s="5" t="s">
        <v>767</v>
      </c>
      <c r="E9" s="5" t="s">
        <v>768</v>
      </c>
      <c r="F9" s="5" t="s">
        <v>594</v>
      </c>
      <c r="G9" s="5">
        <v>790</v>
      </c>
      <c r="H9" s="5">
        <v>30</v>
      </c>
      <c r="I9" s="5">
        <f t="shared" si="0"/>
        <v>760</v>
      </c>
      <c r="J9" s="5" t="s">
        <v>22</v>
      </c>
      <c r="K9" s="5" t="s">
        <v>22</v>
      </c>
      <c r="L9" s="5" t="s">
        <v>750</v>
      </c>
      <c r="Q9" s="5">
        <v>1</v>
      </c>
    </row>
    <row r="10" spans="1:17" s="41" customFormat="1" x14ac:dyDescent="0.25">
      <c r="B10" s="41" t="s">
        <v>18</v>
      </c>
      <c r="C10" s="41" t="s">
        <v>769</v>
      </c>
      <c r="D10" s="41" t="s">
        <v>770</v>
      </c>
      <c r="E10" s="41" t="s">
        <v>771</v>
      </c>
      <c r="F10" s="42" t="s">
        <v>610</v>
      </c>
      <c r="G10" s="41">
        <v>390</v>
      </c>
      <c r="H10" s="41">
        <v>30</v>
      </c>
      <c r="I10" s="41">
        <f t="shared" si="0"/>
        <v>360</v>
      </c>
      <c r="J10" s="41" t="s">
        <v>754</v>
      </c>
      <c r="K10" s="41" t="s">
        <v>22</v>
      </c>
      <c r="L10" s="41" t="s">
        <v>750</v>
      </c>
      <c r="Q10" s="41">
        <v>1</v>
      </c>
    </row>
    <row r="11" spans="1:17" s="35" customFormat="1" x14ac:dyDescent="0.25">
      <c r="B11" s="35" t="s">
        <v>18</v>
      </c>
      <c r="C11" s="35" t="s">
        <v>772</v>
      </c>
      <c r="D11" s="35" t="s">
        <v>773</v>
      </c>
      <c r="E11" s="35" t="s">
        <v>774</v>
      </c>
      <c r="F11" s="35" t="s">
        <v>97</v>
      </c>
      <c r="G11" s="35">
        <v>815</v>
      </c>
      <c r="H11" s="35">
        <v>25</v>
      </c>
      <c r="I11" s="35">
        <f t="shared" si="0"/>
        <v>790</v>
      </c>
      <c r="J11" s="35" t="s">
        <v>27</v>
      </c>
      <c r="K11" s="35" t="s">
        <v>22</v>
      </c>
      <c r="L11" s="35" t="s">
        <v>750</v>
      </c>
      <c r="Q11" s="35">
        <v>1</v>
      </c>
    </row>
    <row r="12" spans="1:17" s="5" customFormat="1" x14ac:dyDescent="0.25">
      <c r="B12" s="5" t="s">
        <v>18</v>
      </c>
      <c r="C12" s="5" t="s">
        <v>775</v>
      </c>
      <c r="D12" s="5" t="s">
        <v>776</v>
      </c>
      <c r="E12" s="5" t="s">
        <v>777</v>
      </c>
      <c r="F12" s="5" t="s">
        <v>97</v>
      </c>
      <c r="G12" s="5">
        <v>1535</v>
      </c>
      <c r="H12" s="5">
        <v>25</v>
      </c>
      <c r="I12" s="5">
        <f t="shared" si="0"/>
        <v>1510</v>
      </c>
      <c r="J12" s="5" t="s">
        <v>22</v>
      </c>
      <c r="K12" s="5" t="s">
        <v>22</v>
      </c>
      <c r="L12" s="5" t="s">
        <v>750</v>
      </c>
      <c r="Q12" s="5">
        <v>1</v>
      </c>
    </row>
    <row r="13" spans="1:17" s="35" customFormat="1" x14ac:dyDescent="0.25">
      <c r="B13" s="35" t="s">
        <v>18</v>
      </c>
      <c r="C13" s="35" t="s">
        <v>778</v>
      </c>
      <c r="D13" s="35" t="s">
        <v>779</v>
      </c>
      <c r="E13" s="35" t="s">
        <v>780</v>
      </c>
      <c r="F13" s="35" t="s">
        <v>545</v>
      </c>
      <c r="G13" s="35">
        <v>775</v>
      </c>
      <c r="H13" s="35">
        <v>25</v>
      </c>
      <c r="I13" s="35">
        <f t="shared" si="0"/>
        <v>750</v>
      </c>
      <c r="J13" s="35" t="s">
        <v>27</v>
      </c>
      <c r="K13" s="35" t="s">
        <v>22</v>
      </c>
      <c r="L13" s="35" t="s">
        <v>750</v>
      </c>
      <c r="Q13" s="35">
        <v>1</v>
      </c>
    </row>
    <row r="14" spans="1:17" s="39" customFormat="1" x14ac:dyDescent="0.25">
      <c r="B14" s="39" t="s">
        <v>18</v>
      </c>
      <c r="C14" s="39" t="s">
        <v>781</v>
      </c>
      <c r="D14" s="39" t="s">
        <v>782</v>
      </c>
      <c r="E14" s="39" t="s">
        <v>783</v>
      </c>
      <c r="F14" s="39" t="s">
        <v>620</v>
      </c>
      <c r="G14" s="39">
        <v>750</v>
      </c>
      <c r="H14" s="39">
        <v>30</v>
      </c>
      <c r="I14" s="39">
        <f t="shared" si="0"/>
        <v>720</v>
      </c>
      <c r="J14" s="39" t="s">
        <v>241</v>
      </c>
      <c r="K14" s="39" t="s">
        <v>22</v>
      </c>
      <c r="L14" s="39" t="s">
        <v>750</v>
      </c>
      <c r="Q14" s="39">
        <v>1</v>
      </c>
    </row>
    <row r="15" spans="1:17" s="41" customFormat="1" x14ac:dyDescent="0.25">
      <c r="B15" s="41" t="s">
        <v>18</v>
      </c>
      <c r="C15" s="41" t="s">
        <v>784</v>
      </c>
      <c r="D15" s="41" t="s">
        <v>785</v>
      </c>
      <c r="E15" s="41" t="s">
        <v>786</v>
      </c>
      <c r="F15" s="41" t="s">
        <v>572</v>
      </c>
      <c r="G15" s="41">
        <v>400</v>
      </c>
      <c r="H15" s="41">
        <v>30</v>
      </c>
      <c r="I15" s="41">
        <f t="shared" si="0"/>
        <v>370</v>
      </c>
      <c r="J15" s="41" t="s">
        <v>754</v>
      </c>
      <c r="K15" s="41" t="s">
        <v>22</v>
      </c>
      <c r="L15" s="41" t="s">
        <v>750</v>
      </c>
      <c r="Q15" s="41">
        <v>1</v>
      </c>
    </row>
    <row r="16" spans="1:17" s="41" customFormat="1" x14ac:dyDescent="0.25">
      <c r="B16" s="41" t="s">
        <v>18</v>
      </c>
      <c r="C16" s="41" t="s">
        <v>165</v>
      </c>
      <c r="D16" s="41" t="s">
        <v>787</v>
      </c>
      <c r="E16" s="41" t="s">
        <v>788</v>
      </c>
      <c r="F16" s="41" t="s">
        <v>572</v>
      </c>
      <c r="G16" s="41">
        <v>985</v>
      </c>
      <c r="H16" s="41">
        <v>25</v>
      </c>
      <c r="I16" s="41">
        <f t="shared" si="0"/>
        <v>960</v>
      </c>
      <c r="J16" s="41" t="s">
        <v>754</v>
      </c>
      <c r="K16" s="41" t="s">
        <v>22</v>
      </c>
      <c r="L16" s="41" t="s">
        <v>750</v>
      </c>
      <c r="Q16" s="41">
        <v>1</v>
      </c>
    </row>
    <row r="17" spans="2:17" s="35" customFormat="1" x14ac:dyDescent="0.25">
      <c r="B17" s="35" t="s">
        <v>18</v>
      </c>
      <c r="C17" s="35" t="s">
        <v>789</v>
      </c>
      <c r="D17" s="35" t="s">
        <v>790</v>
      </c>
      <c r="E17" s="35" t="s">
        <v>791</v>
      </c>
      <c r="F17" s="35" t="s">
        <v>545</v>
      </c>
      <c r="G17" s="35">
        <v>605</v>
      </c>
      <c r="H17" s="35">
        <v>25</v>
      </c>
      <c r="I17" s="35">
        <f t="shared" si="0"/>
        <v>580</v>
      </c>
      <c r="J17" s="35" t="s">
        <v>27</v>
      </c>
      <c r="K17" s="35" t="s">
        <v>22</v>
      </c>
      <c r="L17" s="35" t="s">
        <v>750</v>
      </c>
      <c r="Q17" s="35">
        <v>1</v>
      </c>
    </row>
    <row r="18" spans="2:17" s="41" customFormat="1" x14ac:dyDescent="0.25">
      <c r="B18" s="41" t="s">
        <v>18</v>
      </c>
      <c r="C18" s="41" t="s">
        <v>792</v>
      </c>
      <c r="D18" s="41" t="s">
        <v>793</v>
      </c>
      <c r="E18" s="41" t="s">
        <v>794</v>
      </c>
      <c r="F18" s="41" t="s">
        <v>572</v>
      </c>
      <c r="G18" s="41">
        <v>2770</v>
      </c>
      <c r="H18" s="41">
        <v>35</v>
      </c>
      <c r="I18" s="41">
        <f t="shared" si="0"/>
        <v>2735</v>
      </c>
      <c r="J18" s="41" t="s">
        <v>754</v>
      </c>
      <c r="K18" s="41" t="s">
        <v>22</v>
      </c>
      <c r="L18" s="41" t="s">
        <v>750</v>
      </c>
      <c r="M18" s="41" t="s">
        <v>795</v>
      </c>
      <c r="Q18" s="41">
        <v>1</v>
      </c>
    </row>
    <row r="19" spans="2:17" s="35" customFormat="1" x14ac:dyDescent="0.25">
      <c r="B19" s="35" t="s">
        <v>18</v>
      </c>
      <c r="C19" s="35" t="s">
        <v>796</v>
      </c>
      <c r="D19" s="35" t="s">
        <v>797</v>
      </c>
      <c r="E19" s="35" t="s">
        <v>798</v>
      </c>
      <c r="F19" s="35" t="s">
        <v>660</v>
      </c>
      <c r="G19" s="35">
        <v>785</v>
      </c>
      <c r="H19" s="35">
        <v>25</v>
      </c>
      <c r="I19" s="35">
        <f t="shared" si="0"/>
        <v>760</v>
      </c>
      <c r="J19" s="35" t="s">
        <v>27</v>
      </c>
      <c r="K19" s="35" t="s">
        <v>22</v>
      </c>
      <c r="L19" s="35" t="s">
        <v>750</v>
      </c>
      <c r="Q19" s="35">
        <v>1</v>
      </c>
    </row>
    <row r="20" spans="2:17" s="35" customFormat="1" x14ac:dyDescent="0.25">
      <c r="B20" s="35" t="s">
        <v>18</v>
      </c>
      <c r="C20" s="35" t="s">
        <v>799</v>
      </c>
      <c r="D20" s="35" t="s">
        <v>800</v>
      </c>
      <c r="E20" s="35" t="s">
        <v>801</v>
      </c>
      <c r="F20" s="35" t="s">
        <v>660</v>
      </c>
      <c r="G20" s="35">
        <v>785</v>
      </c>
      <c r="H20" s="35">
        <v>25</v>
      </c>
      <c r="I20" s="35">
        <f t="shared" si="0"/>
        <v>760</v>
      </c>
      <c r="J20" s="35" t="s">
        <v>27</v>
      </c>
      <c r="K20" s="35" t="s">
        <v>22</v>
      </c>
      <c r="L20" s="35" t="s">
        <v>750</v>
      </c>
      <c r="Q20" s="35">
        <v>1</v>
      </c>
    </row>
    <row r="21" spans="2:17" s="5" customFormat="1" x14ac:dyDescent="0.25">
      <c r="B21" s="5" t="s">
        <v>18</v>
      </c>
      <c r="C21" s="5" t="s">
        <v>802</v>
      </c>
      <c r="D21" s="5" t="s">
        <v>803</v>
      </c>
      <c r="E21" s="5" t="s">
        <v>325</v>
      </c>
      <c r="F21" s="5" t="s">
        <v>35</v>
      </c>
      <c r="G21" s="5">
        <v>750</v>
      </c>
      <c r="H21" s="5">
        <v>30</v>
      </c>
      <c r="I21" s="5">
        <f t="shared" si="0"/>
        <v>720</v>
      </c>
      <c r="J21" s="5" t="s">
        <v>22</v>
      </c>
      <c r="K21" s="5" t="s">
        <v>22</v>
      </c>
      <c r="L21" s="5" t="s">
        <v>750</v>
      </c>
      <c r="Q21" s="5">
        <v>1</v>
      </c>
    </row>
    <row r="22" spans="2:17" s="41" customFormat="1" x14ac:dyDescent="0.25">
      <c r="B22" s="41" t="s">
        <v>18</v>
      </c>
      <c r="C22" s="41" t="s">
        <v>804</v>
      </c>
      <c r="D22" s="41" t="s">
        <v>805</v>
      </c>
      <c r="E22" s="41" t="s">
        <v>806</v>
      </c>
      <c r="F22" s="41" t="s">
        <v>49</v>
      </c>
      <c r="G22" s="41">
        <v>1070</v>
      </c>
      <c r="H22" s="41">
        <v>30</v>
      </c>
      <c r="I22" s="41">
        <f t="shared" si="0"/>
        <v>1040</v>
      </c>
      <c r="J22" s="41" t="s">
        <v>754</v>
      </c>
      <c r="K22" s="41" t="s">
        <v>22</v>
      </c>
      <c r="L22" s="41" t="s">
        <v>750</v>
      </c>
      <c r="Q22" s="41">
        <v>1</v>
      </c>
    </row>
    <row r="23" spans="2:17" s="41" customFormat="1" x14ac:dyDescent="0.25">
      <c r="B23" s="41" t="s">
        <v>18</v>
      </c>
      <c r="C23" s="41" t="s">
        <v>807</v>
      </c>
      <c r="D23" s="41" t="s">
        <v>808</v>
      </c>
      <c r="E23" s="41" t="s">
        <v>809</v>
      </c>
      <c r="F23" s="41" t="s">
        <v>610</v>
      </c>
      <c r="G23" s="41">
        <v>870</v>
      </c>
      <c r="H23" s="41">
        <v>30</v>
      </c>
      <c r="I23" s="41">
        <f t="shared" si="0"/>
        <v>840</v>
      </c>
      <c r="J23" s="41" t="s">
        <v>754</v>
      </c>
      <c r="K23" s="41" t="s">
        <v>22</v>
      </c>
      <c r="L23" s="41" t="s">
        <v>750</v>
      </c>
      <c r="Q23" s="41">
        <v>1</v>
      </c>
    </row>
    <row r="24" spans="2:17" s="41" customFormat="1" x14ac:dyDescent="0.25">
      <c r="B24" s="41" t="s">
        <v>18</v>
      </c>
      <c r="C24" s="41" t="s">
        <v>810</v>
      </c>
      <c r="D24" s="41" t="s">
        <v>811</v>
      </c>
      <c r="E24" s="41" t="s">
        <v>812</v>
      </c>
      <c r="F24" s="41" t="s">
        <v>635</v>
      </c>
      <c r="G24" s="41">
        <v>785</v>
      </c>
      <c r="H24" s="41">
        <v>25</v>
      </c>
      <c r="I24" s="41">
        <f t="shared" si="0"/>
        <v>760</v>
      </c>
      <c r="J24" s="41" t="s">
        <v>754</v>
      </c>
      <c r="K24" s="41" t="s">
        <v>22</v>
      </c>
      <c r="L24" s="41" t="s">
        <v>750</v>
      </c>
      <c r="Q24" s="41">
        <v>1</v>
      </c>
    </row>
    <row r="25" spans="2:17" s="35" customFormat="1" x14ac:dyDescent="0.25">
      <c r="B25" s="35" t="s">
        <v>18</v>
      </c>
      <c r="C25" s="35" t="s">
        <v>813</v>
      </c>
      <c r="D25" s="35" t="s">
        <v>814</v>
      </c>
      <c r="E25" s="35" t="s">
        <v>815</v>
      </c>
      <c r="F25" s="35" t="s">
        <v>545</v>
      </c>
      <c r="G25" s="35">
        <v>605</v>
      </c>
      <c r="H25" s="35">
        <v>25</v>
      </c>
      <c r="I25" s="35">
        <f t="shared" si="0"/>
        <v>580</v>
      </c>
      <c r="J25" s="35" t="s">
        <v>27</v>
      </c>
      <c r="K25" s="35" t="s">
        <v>22</v>
      </c>
      <c r="L25" s="35" t="s">
        <v>750</v>
      </c>
      <c r="Q25" s="35">
        <v>1</v>
      </c>
    </row>
    <row r="26" spans="2:17" s="41" customFormat="1" x14ac:dyDescent="0.25">
      <c r="B26" s="41" t="s">
        <v>18</v>
      </c>
      <c r="C26" s="41" t="s">
        <v>816</v>
      </c>
      <c r="D26" s="41" t="s">
        <v>817</v>
      </c>
      <c r="E26" s="41" t="s">
        <v>818</v>
      </c>
      <c r="F26" s="41" t="s">
        <v>63</v>
      </c>
      <c r="G26" s="41">
        <v>1015</v>
      </c>
      <c r="H26" s="41">
        <v>25</v>
      </c>
      <c r="I26" s="41">
        <f t="shared" si="0"/>
        <v>990</v>
      </c>
      <c r="J26" s="41" t="s">
        <v>754</v>
      </c>
      <c r="K26" s="41" t="s">
        <v>22</v>
      </c>
      <c r="L26" s="41" t="s">
        <v>750</v>
      </c>
      <c r="Q26" s="41">
        <v>1</v>
      </c>
    </row>
    <row r="27" spans="2:17" s="5" customFormat="1" x14ac:dyDescent="0.25">
      <c r="B27" s="5" t="s">
        <v>18</v>
      </c>
      <c r="C27" s="5" t="s">
        <v>819</v>
      </c>
      <c r="D27" s="5" t="s">
        <v>820</v>
      </c>
      <c r="E27" s="5" t="s">
        <v>821</v>
      </c>
      <c r="F27" s="5" t="s">
        <v>118</v>
      </c>
      <c r="G27" s="5">
        <v>1505</v>
      </c>
      <c r="H27" s="5">
        <v>25</v>
      </c>
      <c r="I27" s="5">
        <f t="shared" si="0"/>
        <v>1480</v>
      </c>
      <c r="J27" s="5" t="s">
        <v>22</v>
      </c>
      <c r="K27" s="5" t="s">
        <v>22</v>
      </c>
      <c r="L27" s="5" t="s">
        <v>750</v>
      </c>
      <c r="Q27" s="5">
        <v>1</v>
      </c>
    </row>
    <row r="28" spans="2:17" s="35" customFormat="1" x14ac:dyDescent="0.25">
      <c r="B28" s="35" t="s">
        <v>18</v>
      </c>
      <c r="C28" s="35" t="s">
        <v>822</v>
      </c>
      <c r="D28" s="35" t="s">
        <v>823</v>
      </c>
      <c r="E28" s="35" t="s">
        <v>824</v>
      </c>
      <c r="F28" s="35" t="s">
        <v>545</v>
      </c>
      <c r="G28" s="35">
        <v>655</v>
      </c>
      <c r="H28" s="35">
        <v>25</v>
      </c>
      <c r="I28" s="35">
        <f t="shared" si="0"/>
        <v>630</v>
      </c>
      <c r="J28" s="35" t="s">
        <v>27</v>
      </c>
      <c r="K28" s="35" t="s">
        <v>22</v>
      </c>
      <c r="L28" s="35" t="s">
        <v>750</v>
      </c>
      <c r="Q28" s="35">
        <v>1</v>
      </c>
    </row>
    <row r="29" spans="2:17" s="5" customFormat="1" x14ac:dyDescent="0.25">
      <c r="B29" s="5" t="s">
        <v>18</v>
      </c>
      <c r="C29" s="5" t="s">
        <v>825</v>
      </c>
      <c r="D29" s="5" t="s">
        <v>826</v>
      </c>
      <c r="E29" s="5" t="s">
        <v>827</v>
      </c>
      <c r="F29" s="5" t="s">
        <v>35</v>
      </c>
      <c r="G29" s="5">
        <v>800</v>
      </c>
      <c r="H29" s="5">
        <v>30</v>
      </c>
      <c r="I29" s="5">
        <f t="shared" si="0"/>
        <v>770</v>
      </c>
      <c r="J29" s="5" t="s">
        <v>22</v>
      </c>
      <c r="K29" s="5" t="s">
        <v>22</v>
      </c>
      <c r="L29" s="5" t="s">
        <v>750</v>
      </c>
      <c r="Q29" s="5">
        <v>1</v>
      </c>
    </row>
    <row r="30" spans="2:17" s="41" customFormat="1" x14ac:dyDescent="0.25">
      <c r="B30" s="41" t="s">
        <v>18</v>
      </c>
      <c r="C30" s="41" t="s">
        <v>828</v>
      </c>
      <c r="D30" s="41" t="s">
        <v>829</v>
      </c>
      <c r="E30" s="41" t="s">
        <v>830</v>
      </c>
      <c r="F30" s="41" t="s">
        <v>610</v>
      </c>
      <c r="G30" s="41">
        <v>750</v>
      </c>
      <c r="H30" s="41">
        <v>30</v>
      </c>
      <c r="I30" s="41">
        <f t="shared" si="0"/>
        <v>720</v>
      </c>
      <c r="J30" s="41" t="s">
        <v>754</v>
      </c>
      <c r="K30" s="41" t="s">
        <v>22</v>
      </c>
      <c r="L30" s="41" t="s">
        <v>750</v>
      </c>
      <c r="Q30" s="41">
        <v>1</v>
      </c>
    </row>
    <row r="31" spans="2:17" s="5" customFormat="1" x14ac:dyDescent="0.25">
      <c r="B31" s="5" t="s">
        <v>18</v>
      </c>
      <c r="C31" s="5" t="s">
        <v>831</v>
      </c>
      <c r="D31" s="5" t="s">
        <v>832</v>
      </c>
      <c r="E31" s="5" t="s">
        <v>833</v>
      </c>
      <c r="F31" s="5" t="s">
        <v>118</v>
      </c>
      <c r="G31" s="5">
        <v>85</v>
      </c>
      <c r="H31" s="5">
        <v>25</v>
      </c>
      <c r="I31" s="5">
        <f t="shared" si="0"/>
        <v>60</v>
      </c>
      <c r="J31" s="5" t="s">
        <v>22</v>
      </c>
      <c r="K31" s="5" t="s">
        <v>22</v>
      </c>
      <c r="L31" s="5" t="s">
        <v>750</v>
      </c>
      <c r="M31" s="5" t="s">
        <v>299</v>
      </c>
      <c r="Q31" s="5">
        <v>1</v>
      </c>
    </row>
    <row r="32" spans="2:17" s="41" customFormat="1" x14ac:dyDescent="0.25">
      <c r="B32" s="41" t="s">
        <v>18</v>
      </c>
      <c r="C32" s="41" t="s">
        <v>834</v>
      </c>
      <c r="D32" s="41" t="s">
        <v>835</v>
      </c>
      <c r="E32" s="41" t="s">
        <v>836</v>
      </c>
      <c r="F32" s="41" t="s">
        <v>610</v>
      </c>
      <c r="G32" s="41">
        <v>710</v>
      </c>
      <c r="H32" s="41">
        <v>30</v>
      </c>
      <c r="I32" s="41">
        <f t="shared" si="0"/>
        <v>680</v>
      </c>
      <c r="J32" s="41" t="s">
        <v>754</v>
      </c>
      <c r="K32" s="41" t="s">
        <v>22</v>
      </c>
      <c r="L32" s="41" t="s">
        <v>750</v>
      </c>
      <c r="Q32" s="41">
        <v>1</v>
      </c>
    </row>
    <row r="33" spans="1:17" s="41" customFormat="1" x14ac:dyDescent="0.25">
      <c r="B33" s="41" t="s">
        <v>18</v>
      </c>
      <c r="C33" s="41" t="s">
        <v>837</v>
      </c>
      <c r="D33" s="41" t="s">
        <v>838</v>
      </c>
      <c r="E33" s="41" t="s">
        <v>839</v>
      </c>
      <c r="F33" s="41" t="s">
        <v>840</v>
      </c>
      <c r="G33" s="41">
        <v>790</v>
      </c>
      <c r="H33" s="41">
        <v>30</v>
      </c>
      <c r="I33" s="41">
        <f t="shared" si="0"/>
        <v>760</v>
      </c>
      <c r="J33" s="41" t="s">
        <v>754</v>
      </c>
      <c r="K33" s="41" t="s">
        <v>22</v>
      </c>
      <c r="L33" s="41" t="s">
        <v>750</v>
      </c>
      <c r="Q33" s="41">
        <v>1</v>
      </c>
    </row>
    <row r="34" spans="1:17" s="41" customFormat="1" x14ac:dyDescent="0.25">
      <c r="B34" s="41" t="s">
        <v>18</v>
      </c>
      <c r="C34" s="41" t="s">
        <v>841</v>
      </c>
      <c r="D34" s="41" t="s">
        <v>842</v>
      </c>
      <c r="E34" s="41" t="s">
        <v>843</v>
      </c>
      <c r="F34" s="41" t="s">
        <v>97</v>
      </c>
      <c r="G34" s="41">
        <v>605</v>
      </c>
      <c r="H34" s="41">
        <v>25</v>
      </c>
      <c r="I34" s="41">
        <f t="shared" si="0"/>
        <v>580</v>
      </c>
      <c r="J34" s="41" t="s">
        <v>754</v>
      </c>
      <c r="K34" s="41" t="s">
        <v>22</v>
      </c>
      <c r="L34" s="41" t="s">
        <v>750</v>
      </c>
      <c r="Q34" s="41">
        <v>1</v>
      </c>
    </row>
    <row r="35" spans="1:17" s="35" customFormat="1" x14ac:dyDescent="0.25">
      <c r="B35" s="35" t="s">
        <v>18</v>
      </c>
      <c r="C35" s="35" t="s">
        <v>844</v>
      </c>
      <c r="D35" s="35" t="s">
        <v>845</v>
      </c>
      <c r="E35" s="35" t="s">
        <v>846</v>
      </c>
      <c r="F35" s="35" t="s">
        <v>97</v>
      </c>
      <c r="G35" s="35">
        <v>745</v>
      </c>
      <c r="H35" s="35">
        <v>25</v>
      </c>
      <c r="I35" s="35">
        <f t="shared" si="0"/>
        <v>720</v>
      </c>
      <c r="J35" s="35" t="s">
        <v>27</v>
      </c>
      <c r="K35" s="35" t="s">
        <v>22</v>
      </c>
      <c r="L35" s="35" t="s">
        <v>750</v>
      </c>
      <c r="Q35" s="35">
        <v>1</v>
      </c>
    </row>
    <row r="36" spans="1:17" s="5" customFormat="1" x14ac:dyDescent="0.25">
      <c r="B36" s="5" t="s">
        <v>18</v>
      </c>
      <c r="C36" s="5" t="s">
        <v>847</v>
      </c>
      <c r="D36" s="5" t="s">
        <v>848</v>
      </c>
      <c r="E36" s="5" t="s">
        <v>849</v>
      </c>
      <c r="F36" s="5" t="s">
        <v>53</v>
      </c>
      <c r="G36" s="5">
        <v>390</v>
      </c>
      <c r="H36" s="5">
        <v>20</v>
      </c>
      <c r="I36" s="5">
        <f t="shared" si="0"/>
        <v>370</v>
      </c>
      <c r="J36" s="5" t="s">
        <v>22</v>
      </c>
      <c r="K36" s="5" t="s">
        <v>22</v>
      </c>
      <c r="L36" s="5" t="s">
        <v>750</v>
      </c>
      <c r="Q36" s="5">
        <v>1</v>
      </c>
    </row>
    <row r="37" spans="1:17" s="39" customFormat="1" x14ac:dyDescent="0.25">
      <c r="A37" s="39" t="s">
        <v>255</v>
      </c>
      <c r="B37" s="39" t="s">
        <v>18</v>
      </c>
      <c r="C37" s="39" t="s">
        <v>850</v>
      </c>
      <c r="E37" s="39" t="s">
        <v>851</v>
      </c>
      <c r="F37" s="39">
        <v>9</v>
      </c>
      <c r="G37" s="39">
        <v>35</v>
      </c>
      <c r="H37" s="39">
        <v>35</v>
      </c>
      <c r="I37" s="39">
        <f t="shared" si="0"/>
        <v>0</v>
      </c>
      <c r="J37" s="39" t="s">
        <v>241</v>
      </c>
      <c r="K37" s="39" t="s">
        <v>22</v>
      </c>
      <c r="L37" s="39" t="s">
        <v>750</v>
      </c>
      <c r="Q37" s="39">
        <v>1</v>
      </c>
    </row>
    <row r="38" spans="1:17" s="41" customFormat="1" x14ac:dyDescent="0.25">
      <c r="A38" s="41" t="s">
        <v>255</v>
      </c>
      <c r="B38" s="41" t="s">
        <v>18</v>
      </c>
      <c r="C38" s="41" t="s">
        <v>852</v>
      </c>
      <c r="E38" s="41" t="s">
        <v>853</v>
      </c>
      <c r="F38" s="41" t="s">
        <v>635</v>
      </c>
      <c r="G38" s="41">
        <v>30</v>
      </c>
      <c r="H38" s="41">
        <v>30</v>
      </c>
      <c r="I38" s="41">
        <f t="shared" si="0"/>
        <v>0</v>
      </c>
      <c r="J38" s="41" t="s">
        <v>754</v>
      </c>
      <c r="K38" s="41" t="s">
        <v>22</v>
      </c>
      <c r="L38" s="41" t="s">
        <v>750</v>
      </c>
      <c r="Q38" s="41">
        <v>1</v>
      </c>
    </row>
    <row r="39" spans="1:17" s="35" customFormat="1" ht="30" customHeight="1" x14ac:dyDescent="0.25">
      <c r="A39" s="35" t="s">
        <v>255</v>
      </c>
      <c r="B39" s="35" t="s">
        <v>18</v>
      </c>
      <c r="C39" s="40" t="s">
        <v>854</v>
      </c>
      <c r="E39" s="35" t="s">
        <v>855</v>
      </c>
      <c r="F39" s="35" t="s">
        <v>97</v>
      </c>
      <c r="G39" s="35">
        <v>25</v>
      </c>
      <c r="H39" s="35">
        <v>25</v>
      </c>
      <c r="I39" s="35">
        <f t="shared" si="0"/>
        <v>0</v>
      </c>
      <c r="J39" s="35" t="s">
        <v>27</v>
      </c>
      <c r="K39" s="35" t="s">
        <v>22</v>
      </c>
      <c r="L39" s="35" t="s">
        <v>750</v>
      </c>
      <c r="Q39" s="35">
        <v>1</v>
      </c>
    </row>
    <row r="40" spans="1:17" s="5" customFormat="1" x14ac:dyDescent="0.25">
      <c r="A40" s="5" t="s">
        <v>255</v>
      </c>
      <c r="B40" s="5" t="s">
        <v>18</v>
      </c>
      <c r="C40" s="5" t="s">
        <v>856</v>
      </c>
      <c r="E40" s="5" t="s">
        <v>855</v>
      </c>
      <c r="F40" s="5" t="s">
        <v>97</v>
      </c>
      <c r="G40" s="5">
        <v>30</v>
      </c>
      <c r="H40" s="5">
        <v>30</v>
      </c>
      <c r="I40" s="5">
        <f t="shared" si="0"/>
        <v>0</v>
      </c>
      <c r="J40" s="5" t="s">
        <v>22</v>
      </c>
      <c r="K40" s="5" t="s">
        <v>22</v>
      </c>
      <c r="L40" s="5" t="s">
        <v>750</v>
      </c>
      <c r="Q40" s="5">
        <v>1</v>
      </c>
    </row>
    <row r="41" spans="1:17" s="5" customFormat="1" x14ac:dyDescent="0.25">
      <c r="B41" s="5" t="s">
        <v>18</v>
      </c>
      <c r="C41" s="5" t="s">
        <v>857</v>
      </c>
      <c r="D41" s="5" t="s">
        <v>858</v>
      </c>
      <c r="E41" s="5" t="s">
        <v>859</v>
      </c>
      <c r="F41" s="5" t="s">
        <v>97</v>
      </c>
      <c r="G41" s="5">
        <v>1505</v>
      </c>
      <c r="H41" s="5">
        <v>25</v>
      </c>
      <c r="I41" s="5">
        <f t="shared" si="0"/>
        <v>1480</v>
      </c>
      <c r="J41" s="5" t="s">
        <v>22</v>
      </c>
      <c r="K41" s="5" t="s">
        <v>22</v>
      </c>
      <c r="L41" s="5" t="s">
        <v>750</v>
      </c>
      <c r="Q41" s="5">
        <v>1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workbookViewId="0">
      <selection activeCell="P35" sqref="P35"/>
    </sheetView>
  </sheetViews>
  <sheetFormatPr defaultRowHeight="15" x14ac:dyDescent="0.25"/>
  <cols>
    <col min="1" max="1" width="9.140625" customWidth="1"/>
    <col min="2" max="2" width="17.5703125" bestFit="1" customWidth="1"/>
    <col min="3" max="3" width="33.140625" bestFit="1" customWidth="1"/>
    <col min="4" max="4" width="9.5703125" bestFit="1" customWidth="1"/>
    <col min="5" max="5" width="58.140625" bestFit="1" customWidth="1"/>
    <col min="6" max="6" width="11" bestFit="1" customWidth="1"/>
    <col min="7" max="11" width="9.140625" customWidth="1"/>
    <col min="12" max="12" width="10.42578125" bestFit="1" customWidth="1"/>
  </cols>
  <sheetData>
    <row r="1" spans="1:17" x14ac:dyDescent="0.25">
      <c r="B1" s="3" t="s">
        <v>860</v>
      </c>
      <c r="C1" s="3" t="s">
        <v>861</v>
      </c>
    </row>
    <row r="2" spans="1:17" x14ac:dyDescent="0.25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</row>
    <row r="3" spans="1:17" s="35" customFormat="1" x14ac:dyDescent="0.25">
      <c r="A3" s="35" t="s">
        <v>255</v>
      </c>
      <c r="B3" s="35" t="s">
        <v>18</v>
      </c>
      <c r="C3" s="35" t="s">
        <v>543</v>
      </c>
      <c r="E3" s="35" t="s">
        <v>862</v>
      </c>
      <c r="F3" s="35" t="s">
        <v>545</v>
      </c>
      <c r="G3" s="35">
        <v>30</v>
      </c>
      <c r="H3" s="35">
        <v>30</v>
      </c>
      <c r="I3" s="35">
        <f t="shared" ref="I3:I33" si="0">G3-H3</f>
        <v>0</v>
      </c>
      <c r="J3" s="35" t="s">
        <v>27</v>
      </c>
      <c r="K3" s="35" t="s">
        <v>22</v>
      </c>
      <c r="L3" s="35" t="s">
        <v>863</v>
      </c>
      <c r="Q3" s="35">
        <v>1</v>
      </c>
    </row>
    <row r="4" spans="1:17" s="5" customFormat="1" x14ac:dyDescent="0.25">
      <c r="A4" s="5" t="s">
        <v>255</v>
      </c>
      <c r="B4" s="5" t="s">
        <v>18</v>
      </c>
      <c r="C4" s="5" t="s">
        <v>549</v>
      </c>
      <c r="E4" s="5" t="s">
        <v>550</v>
      </c>
      <c r="F4" s="5" t="s">
        <v>118</v>
      </c>
      <c r="G4" s="5">
        <v>650</v>
      </c>
      <c r="H4" s="5">
        <v>30</v>
      </c>
      <c r="I4" s="5">
        <f t="shared" si="0"/>
        <v>620</v>
      </c>
      <c r="J4" s="5" t="s">
        <v>22</v>
      </c>
      <c r="K4" s="5" t="s">
        <v>22</v>
      </c>
      <c r="L4" s="5" t="s">
        <v>863</v>
      </c>
      <c r="Q4" s="5">
        <v>1</v>
      </c>
    </row>
    <row r="5" spans="1:17" s="35" customFormat="1" x14ac:dyDescent="0.25">
      <c r="A5" s="35" t="s">
        <v>255</v>
      </c>
      <c r="B5" s="35" t="s">
        <v>18</v>
      </c>
      <c r="C5" s="35" t="s">
        <v>864</v>
      </c>
      <c r="E5" s="35" t="s">
        <v>865</v>
      </c>
      <c r="F5" s="35" t="s">
        <v>728</v>
      </c>
      <c r="G5" s="35">
        <v>25</v>
      </c>
      <c r="H5" s="35">
        <v>25</v>
      </c>
      <c r="I5" s="35">
        <f t="shared" si="0"/>
        <v>0</v>
      </c>
      <c r="J5" s="35" t="s">
        <v>27</v>
      </c>
      <c r="K5" s="35" t="s">
        <v>22</v>
      </c>
      <c r="L5" s="35" t="s">
        <v>863</v>
      </c>
      <c r="Q5" s="35">
        <v>1</v>
      </c>
    </row>
    <row r="6" spans="1:17" s="44" customFormat="1" x14ac:dyDescent="0.25">
      <c r="A6" s="44" t="s">
        <v>255</v>
      </c>
      <c r="B6" s="44" t="s">
        <v>18</v>
      </c>
      <c r="C6" s="44" t="s">
        <v>262</v>
      </c>
      <c r="E6" s="44" t="s">
        <v>866</v>
      </c>
      <c r="F6" s="44" t="s">
        <v>635</v>
      </c>
      <c r="G6" s="44">
        <v>765</v>
      </c>
      <c r="H6" s="44">
        <v>25</v>
      </c>
      <c r="I6" s="44">
        <f t="shared" si="0"/>
        <v>740</v>
      </c>
      <c r="J6" s="44" t="s">
        <v>867</v>
      </c>
      <c r="K6" s="44" t="s">
        <v>22</v>
      </c>
      <c r="L6" s="44" t="s">
        <v>863</v>
      </c>
      <c r="M6" s="44" t="s">
        <v>868</v>
      </c>
      <c r="Q6" s="44">
        <v>1</v>
      </c>
    </row>
    <row r="7" spans="1:17" s="44" customFormat="1" x14ac:dyDescent="0.25">
      <c r="B7" s="44" t="s">
        <v>18</v>
      </c>
      <c r="C7" s="44" t="s">
        <v>869</v>
      </c>
      <c r="D7" s="44" t="s">
        <v>870</v>
      </c>
      <c r="E7" s="44" t="s">
        <v>871</v>
      </c>
      <c r="F7" s="44" t="s">
        <v>143</v>
      </c>
      <c r="G7" s="44">
        <v>825</v>
      </c>
      <c r="H7" s="44">
        <v>35</v>
      </c>
      <c r="I7" s="44">
        <f t="shared" si="0"/>
        <v>790</v>
      </c>
      <c r="J7" s="44" t="s">
        <v>867</v>
      </c>
      <c r="K7" s="44" t="s">
        <v>22</v>
      </c>
      <c r="L7" s="44" t="s">
        <v>863</v>
      </c>
      <c r="Q7" s="44">
        <v>1</v>
      </c>
    </row>
    <row r="8" spans="1:17" s="44" customFormat="1" x14ac:dyDescent="0.25">
      <c r="B8" s="44" t="s">
        <v>18</v>
      </c>
      <c r="C8" s="44" t="s">
        <v>872</v>
      </c>
      <c r="D8" s="44" t="s">
        <v>873</v>
      </c>
      <c r="E8" s="44" t="s">
        <v>874</v>
      </c>
      <c r="F8" s="44" t="s">
        <v>635</v>
      </c>
      <c r="G8" s="44">
        <v>735</v>
      </c>
      <c r="H8" s="44">
        <v>25</v>
      </c>
      <c r="I8" s="44">
        <f t="shared" si="0"/>
        <v>710</v>
      </c>
      <c r="J8" s="44" t="s">
        <v>867</v>
      </c>
      <c r="K8" s="44" t="s">
        <v>22</v>
      </c>
      <c r="L8" s="44" t="s">
        <v>863</v>
      </c>
      <c r="Q8" s="44">
        <v>1</v>
      </c>
    </row>
    <row r="9" spans="1:17" s="5" customFormat="1" x14ac:dyDescent="0.25">
      <c r="B9" s="5" t="s">
        <v>18</v>
      </c>
      <c r="C9" s="5" t="s">
        <v>875</v>
      </c>
      <c r="D9" s="5" t="s">
        <v>876</v>
      </c>
      <c r="E9" s="5" t="s">
        <v>877</v>
      </c>
      <c r="F9" s="5" t="s">
        <v>118</v>
      </c>
      <c r="G9" s="5">
        <v>1575</v>
      </c>
      <c r="H9" s="5">
        <v>25</v>
      </c>
      <c r="I9" s="5">
        <f t="shared" si="0"/>
        <v>1550</v>
      </c>
      <c r="J9" s="5" t="s">
        <v>22</v>
      </c>
      <c r="K9" s="5" t="s">
        <v>22</v>
      </c>
      <c r="L9" s="5" t="s">
        <v>863</v>
      </c>
      <c r="Q9" s="5">
        <v>1</v>
      </c>
    </row>
    <row r="10" spans="1:17" s="35" customFormat="1" x14ac:dyDescent="0.25">
      <c r="B10" s="35" t="s">
        <v>18</v>
      </c>
      <c r="C10" s="35" t="s">
        <v>878</v>
      </c>
      <c r="D10" s="35" t="s">
        <v>879</v>
      </c>
      <c r="E10" s="35" t="s">
        <v>880</v>
      </c>
      <c r="F10" s="35" t="s">
        <v>555</v>
      </c>
      <c r="G10" s="35">
        <v>2250</v>
      </c>
      <c r="H10" s="35">
        <v>25</v>
      </c>
      <c r="I10" s="35">
        <f t="shared" si="0"/>
        <v>2225</v>
      </c>
      <c r="J10" s="35" t="s">
        <v>27</v>
      </c>
      <c r="K10" s="35" t="s">
        <v>22</v>
      </c>
      <c r="L10" s="35" t="s">
        <v>863</v>
      </c>
      <c r="M10" s="35" t="s">
        <v>795</v>
      </c>
      <c r="Q10" s="35">
        <v>1</v>
      </c>
    </row>
    <row r="11" spans="1:17" s="35" customFormat="1" x14ac:dyDescent="0.25">
      <c r="B11" s="35" t="s">
        <v>18</v>
      </c>
      <c r="C11" s="35" t="s">
        <v>881</v>
      </c>
      <c r="D11" s="35" t="s">
        <v>882</v>
      </c>
      <c r="E11" s="35" t="s">
        <v>883</v>
      </c>
      <c r="F11" s="35" t="s">
        <v>93</v>
      </c>
      <c r="G11" s="35">
        <v>520</v>
      </c>
      <c r="H11" s="35">
        <v>20</v>
      </c>
      <c r="I11" s="35">
        <f t="shared" si="0"/>
        <v>500</v>
      </c>
      <c r="J11" s="35" t="s">
        <v>27</v>
      </c>
      <c r="K11" s="35" t="s">
        <v>22</v>
      </c>
      <c r="L11" s="35" t="s">
        <v>863</v>
      </c>
      <c r="Q11" s="35">
        <v>1</v>
      </c>
    </row>
    <row r="12" spans="1:17" s="44" customFormat="1" x14ac:dyDescent="0.25">
      <c r="B12" s="44" t="s">
        <v>18</v>
      </c>
      <c r="C12" s="44" t="s">
        <v>884</v>
      </c>
      <c r="D12" s="44" t="s">
        <v>885</v>
      </c>
      <c r="E12" s="44" t="s">
        <v>886</v>
      </c>
      <c r="F12" s="44" t="s">
        <v>572</v>
      </c>
      <c r="G12" s="44">
        <v>405</v>
      </c>
      <c r="H12" s="44">
        <v>25</v>
      </c>
      <c r="I12" s="44">
        <f t="shared" si="0"/>
        <v>380</v>
      </c>
      <c r="J12" s="44" t="s">
        <v>867</v>
      </c>
      <c r="K12" s="44" t="s">
        <v>22</v>
      </c>
      <c r="L12" s="44" t="s">
        <v>863</v>
      </c>
      <c r="Q12" s="44">
        <v>1</v>
      </c>
    </row>
    <row r="13" spans="1:17" s="35" customFormat="1" x14ac:dyDescent="0.25">
      <c r="B13" s="35" t="s">
        <v>18</v>
      </c>
      <c r="C13" s="35" t="s">
        <v>887</v>
      </c>
      <c r="D13" s="35" t="s">
        <v>888</v>
      </c>
      <c r="E13" s="35" t="s">
        <v>889</v>
      </c>
      <c r="F13" s="35" t="s">
        <v>660</v>
      </c>
      <c r="G13" s="35">
        <v>395</v>
      </c>
      <c r="H13" s="35">
        <v>25</v>
      </c>
      <c r="I13" s="35">
        <f t="shared" si="0"/>
        <v>370</v>
      </c>
      <c r="J13" s="35" t="s">
        <v>27</v>
      </c>
      <c r="K13" s="35" t="s">
        <v>22</v>
      </c>
      <c r="L13" s="35" t="s">
        <v>863</v>
      </c>
      <c r="Q13" s="35">
        <v>1</v>
      </c>
    </row>
    <row r="14" spans="1:17" s="5" customFormat="1" x14ac:dyDescent="0.25">
      <c r="B14" s="5" t="s">
        <v>18</v>
      </c>
      <c r="C14" s="5" t="s">
        <v>890</v>
      </c>
      <c r="D14" s="5" t="s">
        <v>891</v>
      </c>
      <c r="E14" s="5" t="s">
        <v>892</v>
      </c>
      <c r="F14" s="5" t="s">
        <v>39</v>
      </c>
      <c r="G14" s="5">
        <v>820</v>
      </c>
      <c r="H14" s="5">
        <v>30</v>
      </c>
      <c r="I14" s="5">
        <f t="shared" si="0"/>
        <v>790</v>
      </c>
      <c r="J14" s="5" t="s">
        <v>22</v>
      </c>
      <c r="K14" s="5" t="s">
        <v>22</v>
      </c>
      <c r="L14" s="5" t="s">
        <v>863</v>
      </c>
      <c r="Q14" s="5">
        <v>1</v>
      </c>
    </row>
    <row r="15" spans="1:17" s="44" customFormat="1" x14ac:dyDescent="0.25">
      <c r="B15" s="44" t="s">
        <v>18</v>
      </c>
      <c r="C15" s="44" t="s">
        <v>893</v>
      </c>
      <c r="D15" s="44" t="s">
        <v>894</v>
      </c>
      <c r="E15" s="44" t="s">
        <v>895</v>
      </c>
      <c r="F15" s="44" t="s">
        <v>635</v>
      </c>
      <c r="G15" s="44">
        <v>0</v>
      </c>
      <c r="H15" s="44">
        <v>25</v>
      </c>
      <c r="I15" s="44">
        <f t="shared" si="0"/>
        <v>-25</v>
      </c>
      <c r="J15" s="44" t="s">
        <v>867</v>
      </c>
      <c r="K15" s="44" t="s">
        <v>22</v>
      </c>
      <c r="L15" s="44" t="s">
        <v>863</v>
      </c>
      <c r="Q15" s="44">
        <v>1</v>
      </c>
    </row>
    <row r="16" spans="1:17" s="35" customFormat="1" x14ac:dyDescent="0.25">
      <c r="B16" s="35" t="s">
        <v>18</v>
      </c>
      <c r="C16" s="35" t="s">
        <v>896</v>
      </c>
      <c r="D16" s="35" t="s">
        <v>897</v>
      </c>
      <c r="E16" s="35" t="s">
        <v>898</v>
      </c>
      <c r="F16" s="35" t="s">
        <v>660</v>
      </c>
      <c r="G16" s="35">
        <v>0</v>
      </c>
      <c r="H16" s="35">
        <v>25</v>
      </c>
      <c r="I16" s="35">
        <f t="shared" si="0"/>
        <v>-25</v>
      </c>
      <c r="J16" s="35" t="s">
        <v>27</v>
      </c>
      <c r="K16" s="35" t="s">
        <v>22</v>
      </c>
      <c r="L16" s="35" t="s">
        <v>863</v>
      </c>
      <c r="Q16" s="35">
        <v>1</v>
      </c>
    </row>
    <row r="17" spans="2:17" s="35" customFormat="1" x14ac:dyDescent="0.25">
      <c r="B17" s="35" t="s">
        <v>18</v>
      </c>
      <c r="C17" s="35" t="s">
        <v>899</v>
      </c>
      <c r="D17" s="35" t="s">
        <v>900</v>
      </c>
      <c r="E17" s="35" t="s">
        <v>901</v>
      </c>
      <c r="F17" s="35" t="s">
        <v>555</v>
      </c>
      <c r="G17" s="35">
        <v>785</v>
      </c>
      <c r="H17" s="35">
        <v>25</v>
      </c>
      <c r="I17" s="35">
        <f t="shared" si="0"/>
        <v>760</v>
      </c>
      <c r="J17" s="35" t="s">
        <v>27</v>
      </c>
      <c r="K17" s="35" t="s">
        <v>22</v>
      </c>
      <c r="L17" s="35" t="s">
        <v>863</v>
      </c>
      <c r="Q17" s="35">
        <v>1</v>
      </c>
    </row>
    <row r="18" spans="2:17" s="35" customFormat="1" x14ac:dyDescent="0.25">
      <c r="B18" s="35" t="s">
        <v>18</v>
      </c>
      <c r="C18" s="35" t="s">
        <v>902</v>
      </c>
      <c r="D18" s="35" t="s">
        <v>903</v>
      </c>
      <c r="E18" s="35" t="s">
        <v>904</v>
      </c>
      <c r="F18" s="35" t="s">
        <v>905</v>
      </c>
      <c r="G18" s="35">
        <v>405</v>
      </c>
      <c r="H18" s="35">
        <v>25</v>
      </c>
      <c r="I18" s="35">
        <f t="shared" si="0"/>
        <v>380</v>
      </c>
      <c r="J18" s="35" t="s">
        <v>27</v>
      </c>
      <c r="K18" s="35" t="s">
        <v>22</v>
      </c>
      <c r="L18" s="35" t="s">
        <v>863</v>
      </c>
      <c r="Q18" s="35">
        <v>1</v>
      </c>
    </row>
    <row r="19" spans="2:17" s="5" customFormat="1" x14ac:dyDescent="0.25">
      <c r="B19" s="5" t="s">
        <v>18</v>
      </c>
      <c r="C19" s="5" t="s">
        <v>906</v>
      </c>
      <c r="D19" s="5" t="s">
        <v>907</v>
      </c>
      <c r="E19" s="5" t="s">
        <v>908</v>
      </c>
      <c r="F19" s="5" t="s">
        <v>35</v>
      </c>
      <c r="G19" s="5">
        <v>390</v>
      </c>
      <c r="H19" s="5">
        <v>30</v>
      </c>
      <c r="I19" s="5">
        <f t="shared" si="0"/>
        <v>360</v>
      </c>
      <c r="J19" s="5" t="s">
        <v>22</v>
      </c>
      <c r="K19" s="5" t="s">
        <v>22</v>
      </c>
      <c r="L19" s="5" t="s">
        <v>863</v>
      </c>
      <c r="Q19" s="5">
        <v>1</v>
      </c>
    </row>
    <row r="20" spans="2:17" s="35" customFormat="1" x14ac:dyDescent="0.25">
      <c r="B20" s="35" t="s">
        <v>18</v>
      </c>
      <c r="C20" s="35" t="s">
        <v>909</v>
      </c>
      <c r="D20" s="35" t="s">
        <v>910</v>
      </c>
      <c r="E20" s="35" t="s">
        <v>824</v>
      </c>
      <c r="F20" s="35" t="s">
        <v>545</v>
      </c>
      <c r="G20" s="35">
        <v>875</v>
      </c>
      <c r="H20" s="35">
        <v>25</v>
      </c>
      <c r="I20" s="35">
        <f t="shared" si="0"/>
        <v>850</v>
      </c>
      <c r="J20" s="35" t="s">
        <v>27</v>
      </c>
      <c r="K20" s="35" t="s">
        <v>22</v>
      </c>
      <c r="L20" s="35" t="s">
        <v>863</v>
      </c>
      <c r="Q20" s="35">
        <v>1</v>
      </c>
    </row>
    <row r="21" spans="2:17" s="5" customFormat="1" x14ac:dyDescent="0.25">
      <c r="B21" s="5" t="s">
        <v>18</v>
      </c>
      <c r="C21" s="5" t="s">
        <v>911</v>
      </c>
      <c r="D21" s="5" t="s">
        <v>912</v>
      </c>
      <c r="E21" s="5" t="s">
        <v>913</v>
      </c>
      <c r="F21" s="5" t="s">
        <v>594</v>
      </c>
      <c r="G21" s="5">
        <v>1350</v>
      </c>
      <c r="H21" s="5">
        <v>30</v>
      </c>
      <c r="I21" s="5">
        <f t="shared" si="0"/>
        <v>1320</v>
      </c>
      <c r="J21" s="5" t="s">
        <v>22</v>
      </c>
      <c r="K21" s="5" t="s">
        <v>22</v>
      </c>
      <c r="L21" s="5" t="s">
        <v>863</v>
      </c>
      <c r="Q21" s="5">
        <v>1</v>
      </c>
    </row>
    <row r="22" spans="2:17" s="44" customFormat="1" x14ac:dyDescent="0.25">
      <c r="B22" s="44" t="s">
        <v>18</v>
      </c>
      <c r="C22" s="44" t="s">
        <v>914</v>
      </c>
      <c r="D22" s="44" t="s">
        <v>915</v>
      </c>
      <c r="E22" s="44" t="s">
        <v>916</v>
      </c>
      <c r="F22" s="44" t="s">
        <v>49</v>
      </c>
      <c r="G22" s="44">
        <v>1640</v>
      </c>
      <c r="H22" s="44">
        <v>30</v>
      </c>
      <c r="I22" s="44">
        <f t="shared" si="0"/>
        <v>1610</v>
      </c>
      <c r="J22" s="44" t="s">
        <v>867</v>
      </c>
      <c r="K22" s="44" t="s">
        <v>22</v>
      </c>
      <c r="L22" s="44" t="s">
        <v>863</v>
      </c>
      <c r="Q22" s="44">
        <v>1</v>
      </c>
    </row>
    <row r="23" spans="2:17" s="35" customFormat="1" x14ac:dyDescent="0.25">
      <c r="B23" s="35" t="s">
        <v>18</v>
      </c>
      <c r="C23" s="35" t="s">
        <v>917</v>
      </c>
      <c r="D23" s="35" t="s">
        <v>918</v>
      </c>
      <c r="E23" s="35" t="s">
        <v>919</v>
      </c>
      <c r="F23" s="35" t="s">
        <v>905</v>
      </c>
      <c r="G23" s="35">
        <v>0</v>
      </c>
      <c r="H23" s="35">
        <v>25</v>
      </c>
      <c r="I23" s="35">
        <f t="shared" si="0"/>
        <v>-25</v>
      </c>
      <c r="J23" s="35" t="s">
        <v>27</v>
      </c>
      <c r="K23" s="35" t="s">
        <v>22</v>
      </c>
      <c r="L23" s="35" t="s">
        <v>863</v>
      </c>
      <c r="Q23" s="35">
        <v>1</v>
      </c>
    </row>
    <row r="24" spans="2:17" s="44" customFormat="1" x14ac:dyDescent="0.25">
      <c r="B24" s="44" t="s">
        <v>18</v>
      </c>
      <c r="C24" s="44" t="s">
        <v>920</v>
      </c>
      <c r="D24" s="44" t="s">
        <v>921</v>
      </c>
      <c r="E24" s="44" t="s">
        <v>922</v>
      </c>
      <c r="F24" s="45" t="s">
        <v>572</v>
      </c>
      <c r="G24" s="44">
        <v>815</v>
      </c>
      <c r="H24" s="44">
        <v>25</v>
      </c>
      <c r="I24" s="44">
        <f t="shared" si="0"/>
        <v>790</v>
      </c>
      <c r="J24" s="44" t="s">
        <v>867</v>
      </c>
      <c r="K24" s="44" t="s">
        <v>22</v>
      </c>
      <c r="L24" s="44" t="s">
        <v>863</v>
      </c>
      <c r="Q24" s="44">
        <v>1</v>
      </c>
    </row>
    <row r="25" spans="2:17" s="44" customFormat="1" x14ac:dyDescent="0.25">
      <c r="B25" s="44" t="s">
        <v>18</v>
      </c>
      <c r="C25" s="44" t="s">
        <v>923</v>
      </c>
      <c r="D25" s="44" t="s">
        <v>924</v>
      </c>
      <c r="E25" s="44" t="s">
        <v>925</v>
      </c>
      <c r="F25" s="44" t="s">
        <v>49</v>
      </c>
      <c r="G25" s="44">
        <v>820</v>
      </c>
      <c r="H25" s="44">
        <v>30</v>
      </c>
      <c r="I25" s="44">
        <f t="shared" si="0"/>
        <v>790</v>
      </c>
      <c r="J25" s="44" t="s">
        <v>867</v>
      </c>
      <c r="K25" s="44" t="s">
        <v>22</v>
      </c>
      <c r="L25" s="44" t="s">
        <v>863</v>
      </c>
      <c r="Q25" s="44">
        <v>1</v>
      </c>
    </row>
    <row r="26" spans="2:17" s="35" customFormat="1" x14ac:dyDescent="0.25">
      <c r="B26" s="35" t="s">
        <v>18</v>
      </c>
      <c r="C26" s="35" t="s">
        <v>926</v>
      </c>
      <c r="D26" s="35" t="s">
        <v>927</v>
      </c>
      <c r="E26" s="35" t="s">
        <v>928</v>
      </c>
      <c r="F26" s="35" t="s">
        <v>97</v>
      </c>
      <c r="G26" s="35">
        <v>945</v>
      </c>
      <c r="H26" s="35">
        <v>25</v>
      </c>
      <c r="I26" s="35">
        <f t="shared" si="0"/>
        <v>920</v>
      </c>
      <c r="J26" s="35" t="s">
        <v>27</v>
      </c>
      <c r="K26" s="35" t="s">
        <v>22</v>
      </c>
      <c r="L26" s="35" t="s">
        <v>863</v>
      </c>
      <c r="Q26" s="35">
        <v>1</v>
      </c>
    </row>
    <row r="27" spans="2:17" s="35" customFormat="1" x14ac:dyDescent="0.25">
      <c r="B27" s="35" t="s">
        <v>18</v>
      </c>
      <c r="C27" s="35" t="s">
        <v>929</v>
      </c>
      <c r="D27" s="35" t="s">
        <v>930</v>
      </c>
      <c r="E27" s="35" t="s">
        <v>931</v>
      </c>
      <c r="F27" s="35" t="s">
        <v>93</v>
      </c>
      <c r="G27" s="35">
        <v>730</v>
      </c>
      <c r="H27" s="35">
        <v>20</v>
      </c>
      <c r="I27" s="35">
        <f t="shared" si="0"/>
        <v>710</v>
      </c>
      <c r="J27" s="35" t="s">
        <v>27</v>
      </c>
      <c r="K27" s="35" t="s">
        <v>22</v>
      </c>
      <c r="L27" s="35" t="s">
        <v>863</v>
      </c>
      <c r="Q27" s="35">
        <v>1</v>
      </c>
    </row>
    <row r="28" spans="2:17" s="5" customFormat="1" x14ac:dyDescent="0.25">
      <c r="B28" s="5" t="s">
        <v>18</v>
      </c>
      <c r="C28" s="5" t="s">
        <v>395</v>
      </c>
      <c r="D28" s="5" t="s">
        <v>932</v>
      </c>
      <c r="E28" s="5" t="s">
        <v>724</v>
      </c>
      <c r="F28" s="5" t="s">
        <v>35</v>
      </c>
      <c r="G28" s="5">
        <v>770</v>
      </c>
      <c r="H28" s="5">
        <v>30</v>
      </c>
      <c r="I28" s="5">
        <f t="shared" si="0"/>
        <v>740</v>
      </c>
      <c r="J28" s="5" t="s">
        <v>22</v>
      </c>
      <c r="K28" s="5" t="s">
        <v>22</v>
      </c>
      <c r="L28" s="5" t="s">
        <v>863</v>
      </c>
      <c r="Q28" s="5">
        <v>1</v>
      </c>
    </row>
    <row r="29" spans="2:17" s="44" customFormat="1" x14ac:dyDescent="0.25">
      <c r="B29" s="44" t="s">
        <v>18</v>
      </c>
      <c r="C29" s="44" t="s">
        <v>165</v>
      </c>
      <c r="D29" s="44" t="s">
        <v>933</v>
      </c>
      <c r="E29" s="44" t="s">
        <v>167</v>
      </c>
      <c r="F29" s="44" t="s">
        <v>572</v>
      </c>
      <c r="G29" s="44">
        <v>835</v>
      </c>
      <c r="H29" s="44">
        <v>25</v>
      </c>
      <c r="I29" s="44">
        <f t="shared" si="0"/>
        <v>810</v>
      </c>
      <c r="J29" s="44" t="s">
        <v>867</v>
      </c>
      <c r="K29" s="44" t="s">
        <v>22</v>
      </c>
      <c r="L29" s="44" t="s">
        <v>863</v>
      </c>
      <c r="Q29" s="44">
        <v>1</v>
      </c>
    </row>
    <row r="30" spans="2:17" s="35" customFormat="1" x14ac:dyDescent="0.25">
      <c r="B30" s="35" t="s">
        <v>18</v>
      </c>
      <c r="C30" s="35" t="s">
        <v>934</v>
      </c>
      <c r="D30" s="35" t="s">
        <v>935</v>
      </c>
      <c r="E30" s="35" t="s">
        <v>689</v>
      </c>
      <c r="F30" s="35" t="s">
        <v>97</v>
      </c>
      <c r="G30" s="35">
        <v>0</v>
      </c>
      <c r="H30" s="35">
        <v>25</v>
      </c>
      <c r="I30" s="35">
        <f t="shared" si="0"/>
        <v>-25</v>
      </c>
      <c r="J30" s="35" t="s">
        <v>27</v>
      </c>
      <c r="K30" s="35" t="s">
        <v>22</v>
      </c>
      <c r="L30" s="35" t="s">
        <v>863</v>
      </c>
      <c r="Q30" s="35">
        <v>1</v>
      </c>
    </row>
    <row r="31" spans="2:17" s="5" customFormat="1" x14ac:dyDescent="0.25">
      <c r="B31" s="5" t="s">
        <v>18</v>
      </c>
      <c r="C31" s="5" t="s">
        <v>936</v>
      </c>
      <c r="D31" s="5" t="s">
        <v>937</v>
      </c>
      <c r="E31" s="5" t="s">
        <v>938</v>
      </c>
      <c r="F31" s="8">
        <v>2</v>
      </c>
      <c r="G31" s="5">
        <v>410</v>
      </c>
      <c r="H31" s="5">
        <v>30</v>
      </c>
      <c r="I31" s="5">
        <f t="shared" si="0"/>
        <v>380</v>
      </c>
      <c r="J31" s="5" t="s">
        <v>22</v>
      </c>
      <c r="K31" s="5" t="s">
        <v>22</v>
      </c>
      <c r="L31" s="5" t="s">
        <v>863</v>
      </c>
      <c r="Q31" s="5">
        <v>1</v>
      </c>
    </row>
    <row r="32" spans="2:17" s="21" customFormat="1" x14ac:dyDescent="0.25">
      <c r="B32" s="21" t="s">
        <v>18</v>
      </c>
      <c r="C32" s="21" t="s">
        <v>473</v>
      </c>
      <c r="D32" s="21" t="s">
        <v>474</v>
      </c>
      <c r="E32" s="21" t="s">
        <v>475</v>
      </c>
      <c r="F32" s="43">
        <v>9</v>
      </c>
      <c r="G32" s="21">
        <v>390</v>
      </c>
      <c r="H32" s="21">
        <v>30</v>
      </c>
      <c r="I32" s="21">
        <f t="shared" si="0"/>
        <v>360</v>
      </c>
      <c r="J32" s="21" t="s">
        <v>425</v>
      </c>
      <c r="K32" s="21" t="s">
        <v>22</v>
      </c>
      <c r="L32" s="21" t="s">
        <v>457</v>
      </c>
      <c r="N32" s="21" t="s">
        <v>275</v>
      </c>
      <c r="O32" s="21" t="s">
        <v>275</v>
      </c>
      <c r="P32" s="21" t="s">
        <v>427</v>
      </c>
      <c r="Q32" s="21">
        <v>1</v>
      </c>
    </row>
    <row r="33" spans="2:17" s="35" customFormat="1" x14ac:dyDescent="0.25">
      <c r="B33" s="35" t="s">
        <v>18</v>
      </c>
      <c r="C33" s="35" t="s">
        <v>939</v>
      </c>
      <c r="D33" s="35" t="s">
        <v>940</v>
      </c>
      <c r="E33" s="35" t="s">
        <v>941</v>
      </c>
      <c r="F33" s="35">
        <v>1</v>
      </c>
      <c r="G33" s="35">
        <v>0</v>
      </c>
      <c r="H33" s="35">
        <v>25</v>
      </c>
      <c r="I33" s="35">
        <f t="shared" si="0"/>
        <v>-25</v>
      </c>
      <c r="J33" s="35" t="s">
        <v>27</v>
      </c>
      <c r="K33" s="35" t="s">
        <v>22</v>
      </c>
      <c r="L33" s="35" t="s">
        <v>863</v>
      </c>
      <c r="Q33" s="35">
        <v>1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"/>
  <sheetViews>
    <sheetView tabSelected="1" workbookViewId="0">
      <selection activeCell="E10" sqref="E10"/>
    </sheetView>
  </sheetViews>
  <sheetFormatPr defaultRowHeight="15" x14ac:dyDescent="0.25"/>
  <cols>
    <col min="2" max="2" width="17.5703125" bestFit="1" customWidth="1"/>
    <col min="3" max="3" width="16.7109375" bestFit="1" customWidth="1"/>
    <col min="4" max="4" width="9.5703125" bestFit="1" customWidth="1"/>
    <col min="5" max="5" width="57.7109375" bestFit="1" customWidth="1"/>
    <col min="6" max="6" width="10.5703125" bestFit="1" customWidth="1"/>
    <col min="12" max="12" width="10.42578125" bestFit="1" customWidth="1"/>
  </cols>
  <sheetData>
    <row r="1" spans="1:16" x14ac:dyDescent="0.25">
      <c r="B1" s="3" t="s">
        <v>551</v>
      </c>
      <c r="C1" s="3" t="s">
        <v>942</v>
      </c>
    </row>
    <row r="2" spans="1:16" x14ac:dyDescent="0.25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</row>
    <row r="3" spans="1:16" s="44" customFormat="1" x14ac:dyDescent="0.25">
      <c r="B3" s="44" t="s">
        <v>18</v>
      </c>
      <c r="C3" s="44" t="s">
        <v>943</v>
      </c>
      <c r="D3" s="44" t="s">
        <v>944</v>
      </c>
      <c r="E3" s="44" t="s">
        <v>945</v>
      </c>
      <c r="F3" s="44" t="s">
        <v>610</v>
      </c>
      <c r="G3" s="44">
        <v>670</v>
      </c>
      <c r="H3" s="44">
        <v>30</v>
      </c>
      <c r="I3" s="44">
        <f t="shared" ref="I3:I19" si="0">G3-H3</f>
        <v>640</v>
      </c>
      <c r="J3" s="44" t="s">
        <v>946</v>
      </c>
      <c r="K3" s="44" t="s">
        <v>22</v>
      </c>
      <c r="L3" s="44" t="s">
        <v>947</v>
      </c>
      <c r="M3" s="44" t="s">
        <v>341</v>
      </c>
    </row>
    <row r="4" spans="1:16" s="44" customFormat="1" x14ac:dyDescent="0.25">
      <c r="B4" s="44" t="s">
        <v>18</v>
      </c>
      <c r="C4" s="44" t="s">
        <v>948</v>
      </c>
      <c r="D4" s="44" t="s">
        <v>949</v>
      </c>
      <c r="E4" s="44" t="s">
        <v>950</v>
      </c>
      <c r="F4" s="44" t="s">
        <v>951</v>
      </c>
      <c r="G4" s="44">
        <v>730</v>
      </c>
      <c r="H4" s="44">
        <v>30</v>
      </c>
      <c r="I4" s="44">
        <f t="shared" si="0"/>
        <v>700</v>
      </c>
      <c r="J4" s="44" t="s">
        <v>946</v>
      </c>
      <c r="K4" s="44" t="s">
        <v>22</v>
      </c>
      <c r="L4" s="44" t="s">
        <v>947</v>
      </c>
    </row>
    <row r="5" spans="1:16" s="35" customFormat="1" x14ac:dyDescent="0.25">
      <c r="B5" s="35" t="s">
        <v>18</v>
      </c>
      <c r="C5" s="35" t="s">
        <v>952</v>
      </c>
      <c r="D5" s="35" t="s">
        <v>953</v>
      </c>
      <c r="E5" s="35" t="s">
        <v>983</v>
      </c>
      <c r="F5" s="35" t="s">
        <v>97</v>
      </c>
      <c r="G5" s="35">
        <v>875</v>
      </c>
      <c r="H5" s="35">
        <v>25</v>
      </c>
      <c r="I5" s="35">
        <f t="shared" si="0"/>
        <v>850</v>
      </c>
      <c r="J5" s="35" t="s">
        <v>27</v>
      </c>
      <c r="K5" s="35" t="s">
        <v>22</v>
      </c>
      <c r="L5" s="35" t="s">
        <v>947</v>
      </c>
    </row>
    <row r="6" spans="1:16" s="5" customFormat="1" x14ac:dyDescent="0.25">
      <c r="B6" s="5" t="s">
        <v>18</v>
      </c>
      <c r="C6" s="5" t="s">
        <v>954</v>
      </c>
      <c r="D6" s="5" t="s">
        <v>955</v>
      </c>
      <c r="E6" s="5" t="s">
        <v>988</v>
      </c>
      <c r="F6" s="5" t="s">
        <v>53</v>
      </c>
      <c r="G6" s="5">
        <v>1630</v>
      </c>
      <c r="H6" s="5">
        <v>20</v>
      </c>
      <c r="I6" s="5">
        <f t="shared" si="0"/>
        <v>1610</v>
      </c>
      <c r="J6" s="5" t="s">
        <v>22</v>
      </c>
      <c r="K6" s="5" t="s">
        <v>22</v>
      </c>
      <c r="L6" s="5" t="s">
        <v>947</v>
      </c>
    </row>
    <row r="7" spans="1:16" s="44" customFormat="1" x14ac:dyDescent="0.25">
      <c r="B7" s="44" t="s">
        <v>18</v>
      </c>
      <c r="C7" s="44" t="s">
        <v>943</v>
      </c>
      <c r="D7" s="44" t="s">
        <v>956</v>
      </c>
      <c r="E7" s="44" t="s">
        <v>945</v>
      </c>
      <c r="F7" s="44" t="s">
        <v>610</v>
      </c>
      <c r="G7" s="44">
        <v>380</v>
      </c>
      <c r="H7" s="44">
        <v>30</v>
      </c>
      <c r="I7" s="44">
        <f t="shared" si="0"/>
        <v>350</v>
      </c>
      <c r="J7" s="44" t="s">
        <v>946</v>
      </c>
      <c r="K7" s="44" t="s">
        <v>22</v>
      </c>
      <c r="L7" s="44" t="s">
        <v>947</v>
      </c>
      <c r="M7" s="44" t="s">
        <v>341</v>
      </c>
    </row>
    <row r="8" spans="1:16" s="35" customFormat="1" x14ac:dyDescent="0.25">
      <c r="B8" s="35" t="s">
        <v>18</v>
      </c>
      <c r="C8" s="35" t="s">
        <v>957</v>
      </c>
      <c r="D8" s="35" t="s">
        <v>958</v>
      </c>
      <c r="E8" s="35" t="s">
        <v>959</v>
      </c>
      <c r="F8" s="35" t="s">
        <v>93</v>
      </c>
      <c r="G8" s="35">
        <v>660</v>
      </c>
      <c r="H8" s="35">
        <v>20</v>
      </c>
      <c r="I8" s="35">
        <f t="shared" si="0"/>
        <v>640</v>
      </c>
      <c r="J8" s="35" t="s">
        <v>27</v>
      </c>
      <c r="K8" s="35" t="s">
        <v>22</v>
      </c>
      <c r="L8" s="35" t="s">
        <v>947</v>
      </c>
    </row>
    <row r="9" spans="1:16" s="5" customFormat="1" x14ac:dyDescent="0.25">
      <c r="B9" s="5" t="s">
        <v>18</v>
      </c>
      <c r="C9" s="5" t="s">
        <v>960</v>
      </c>
      <c r="D9" s="5" t="s">
        <v>961</v>
      </c>
      <c r="E9" s="5" t="s">
        <v>984</v>
      </c>
      <c r="F9" s="5" t="s">
        <v>53</v>
      </c>
      <c r="G9" s="5">
        <v>0</v>
      </c>
      <c r="H9" s="5">
        <v>20</v>
      </c>
      <c r="I9" s="5">
        <f t="shared" si="0"/>
        <v>-20</v>
      </c>
      <c r="J9" s="5" t="s">
        <v>22</v>
      </c>
      <c r="K9" s="5" t="s">
        <v>22</v>
      </c>
      <c r="L9" s="5" t="s">
        <v>947</v>
      </c>
    </row>
    <row r="10" spans="1:16" s="44" customFormat="1" x14ac:dyDescent="0.25">
      <c r="B10" s="44" t="s">
        <v>18</v>
      </c>
      <c r="C10" s="44" t="s">
        <v>962</v>
      </c>
      <c r="D10" s="44" t="s">
        <v>963</v>
      </c>
      <c r="E10" s="44" t="s">
        <v>964</v>
      </c>
      <c r="F10" s="44" t="s">
        <v>951</v>
      </c>
      <c r="G10" s="44">
        <v>0</v>
      </c>
      <c r="H10" s="44">
        <v>30</v>
      </c>
      <c r="I10" s="44">
        <f t="shared" si="0"/>
        <v>-30</v>
      </c>
      <c r="J10" s="44" t="s">
        <v>946</v>
      </c>
      <c r="K10" s="44" t="s">
        <v>22</v>
      </c>
      <c r="L10" s="44" t="s">
        <v>947</v>
      </c>
    </row>
    <row r="11" spans="1:16" s="44" customFormat="1" x14ac:dyDescent="0.25">
      <c r="B11" s="44" t="s">
        <v>18</v>
      </c>
      <c r="C11" s="44" t="s">
        <v>965</v>
      </c>
      <c r="D11" s="44" t="s">
        <v>966</v>
      </c>
      <c r="E11" s="44" t="s">
        <v>967</v>
      </c>
      <c r="F11" s="44" t="s">
        <v>63</v>
      </c>
      <c r="G11" s="44">
        <v>755</v>
      </c>
      <c r="H11" s="44">
        <v>25</v>
      </c>
      <c r="I11" s="44">
        <f t="shared" si="0"/>
        <v>730</v>
      </c>
      <c r="J11" s="44" t="s">
        <v>946</v>
      </c>
      <c r="K11" s="44" t="s">
        <v>22</v>
      </c>
      <c r="L11" s="44" t="s">
        <v>947</v>
      </c>
    </row>
    <row r="12" spans="1:16" s="44" customFormat="1" x14ac:dyDescent="0.25">
      <c r="B12" s="44" t="s">
        <v>18</v>
      </c>
      <c r="C12" s="44" t="s">
        <v>968</v>
      </c>
      <c r="D12" s="44" t="s">
        <v>969</v>
      </c>
      <c r="E12" s="44" t="s">
        <v>989</v>
      </c>
      <c r="F12" s="45" t="s">
        <v>620</v>
      </c>
      <c r="G12" s="44">
        <v>670</v>
      </c>
      <c r="H12" s="44">
        <v>30</v>
      </c>
      <c r="I12" s="44">
        <f t="shared" si="0"/>
        <v>640</v>
      </c>
      <c r="J12" s="44" t="s">
        <v>946</v>
      </c>
      <c r="K12" s="44" t="s">
        <v>22</v>
      </c>
      <c r="L12" s="44" t="s">
        <v>947</v>
      </c>
    </row>
    <row r="13" spans="1:16" s="44" customFormat="1" x14ac:dyDescent="0.25">
      <c r="B13" s="44" t="s">
        <v>18</v>
      </c>
      <c r="C13" s="44" t="s">
        <v>970</v>
      </c>
      <c r="D13" s="44" t="s">
        <v>971</v>
      </c>
      <c r="E13" s="44" t="s">
        <v>990</v>
      </c>
      <c r="F13" s="45">
        <v>12</v>
      </c>
      <c r="G13" s="44">
        <v>0</v>
      </c>
      <c r="H13" s="44">
        <v>30</v>
      </c>
      <c r="I13" s="44">
        <f t="shared" si="0"/>
        <v>-30</v>
      </c>
      <c r="J13" s="44" t="s">
        <v>946</v>
      </c>
      <c r="K13" s="44" t="s">
        <v>22</v>
      </c>
      <c r="L13" s="44" t="s">
        <v>947</v>
      </c>
      <c r="M13" s="44" t="s">
        <v>299</v>
      </c>
    </row>
    <row r="14" spans="1:16" s="35" customFormat="1" x14ac:dyDescent="0.25">
      <c r="B14" s="35" t="s">
        <v>18</v>
      </c>
      <c r="C14" s="35" t="s">
        <v>972</v>
      </c>
      <c r="D14" s="35" t="s">
        <v>973</v>
      </c>
      <c r="E14" s="35" t="s">
        <v>974</v>
      </c>
      <c r="F14" s="35" t="s">
        <v>555</v>
      </c>
      <c r="G14" s="35">
        <v>1455</v>
      </c>
      <c r="H14" s="35">
        <v>25</v>
      </c>
      <c r="I14" s="35">
        <f t="shared" si="0"/>
        <v>1430</v>
      </c>
      <c r="J14" s="35" t="s">
        <v>27</v>
      </c>
      <c r="K14" s="35" t="s">
        <v>22</v>
      </c>
      <c r="L14" s="35" t="s">
        <v>947</v>
      </c>
    </row>
    <row r="15" spans="1:16" s="35" customFormat="1" x14ac:dyDescent="0.25">
      <c r="B15" s="35" t="s">
        <v>18</v>
      </c>
      <c r="C15" s="35" t="s">
        <v>128</v>
      </c>
      <c r="D15" s="35" t="s">
        <v>975</v>
      </c>
      <c r="E15" s="35" t="s">
        <v>130</v>
      </c>
      <c r="F15" s="35" t="s">
        <v>93</v>
      </c>
      <c r="G15" s="35">
        <v>600</v>
      </c>
      <c r="H15" s="35">
        <v>20</v>
      </c>
      <c r="I15" s="35">
        <f t="shared" si="0"/>
        <v>580</v>
      </c>
      <c r="J15" s="35" t="s">
        <v>27</v>
      </c>
      <c r="K15" s="35" t="s">
        <v>22</v>
      </c>
      <c r="L15" s="35" t="s">
        <v>947</v>
      </c>
    </row>
    <row r="16" spans="1:16" s="5" customFormat="1" x14ac:dyDescent="0.25">
      <c r="B16" s="5" t="s">
        <v>18</v>
      </c>
      <c r="C16" s="5" t="s">
        <v>976</v>
      </c>
      <c r="D16" s="5" t="s">
        <v>977</v>
      </c>
      <c r="E16" s="5" t="s">
        <v>978</v>
      </c>
      <c r="F16" s="5" t="s">
        <v>594</v>
      </c>
      <c r="G16" s="5">
        <v>870</v>
      </c>
      <c r="H16" s="5">
        <v>30</v>
      </c>
      <c r="I16" s="5">
        <f t="shared" si="0"/>
        <v>840</v>
      </c>
      <c r="J16" s="5" t="s">
        <v>22</v>
      </c>
      <c r="K16" s="5" t="s">
        <v>22</v>
      </c>
      <c r="L16" s="5" t="s">
        <v>947</v>
      </c>
    </row>
    <row r="17" spans="1:12" s="5" customFormat="1" x14ac:dyDescent="0.25">
      <c r="B17" s="5" t="s">
        <v>18</v>
      </c>
      <c r="C17" s="5" t="s">
        <v>979</v>
      </c>
      <c r="D17" s="5" t="s">
        <v>980</v>
      </c>
      <c r="E17" s="5" t="s">
        <v>981</v>
      </c>
      <c r="F17" s="5" t="s">
        <v>53</v>
      </c>
      <c r="G17" s="5">
        <v>810</v>
      </c>
      <c r="H17" s="5">
        <v>20</v>
      </c>
      <c r="I17" s="5">
        <f t="shared" si="0"/>
        <v>790</v>
      </c>
      <c r="J17" s="5" t="s">
        <v>22</v>
      </c>
      <c r="K17" s="5" t="s">
        <v>22</v>
      </c>
      <c r="L17" s="5" t="s">
        <v>947</v>
      </c>
    </row>
    <row r="18" spans="1:12" s="5" customFormat="1" x14ac:dyDescent="0.25">
      <c r="A18" s="5" t="s">
        <v>255</v>
      </c>
      <c r="B18" s="5" t="s">
        <v>18</v>
      </c>
      <c r="C18" s="5" t="s">
        <v>258</v>
      </c>
      <c r="E18" s="5" t="s">
        <v>259</v>
      </c>
      <c r="F18" s="5" t="s">
        <v>118</v>
      </c>
      <c r="G18" s="5">
        <v>30</v>
      </c>
      <c r="H18" s="5">
        <v>30</v>
      </c>
      <c r="I18" s="5">
        <f t="shared" si="0"/>
        <v>0</v>
      </c>
      <c r="J18" s="5" t="s">
        <v>22</v>
      </c>
      <c r="K18" s="5" t="s">
        <v>22</v>
      </c>
      <c r="L18" s="5" t="s">
        <v>947</v>
      </c>
    </row>
    <row r="19" spans="1:12" s="5" customFormat="1" x14ac:dyDescent="0.25">
      <c r="A19" s="5" t="s">
        <v>255</v>
      </c>
      <c r="B19" s="5" t="s">
        <v>18</v>
      </c>
      <c r="C19" s="5" t="s">
        <v>982</v>
      </c>
      <c r="E19" s="5" t="s">
        <v>987</v>
      </c>
      <c r="F19" s="5" t="s">
        <v>53</v>
      </c>
      <c r="G19" s="5">
        <v>30</v>
      </c>
      <c r="H19" s="5">
        <v>30</v>
      </c>
      <c r="I19" s="5">
        <f t="shared" si="0"/>
        <v>0</v>
      </c>
      <c r="J19" s="5" t="s">
        <v>22</v>
      </c>
      <c r="K19" s="5" t="s">
        <v>22</v>
      </c>
      <c r="L19" s="5" t="s">
        <v>947</v>
      </c>
    </row>
    <row r="20" spans="1:12" s="5" customFormat="1" x14ac:dyDescent="0.25">
      <c r="A20" s="5" t="s">
        <v>255</v>
      </c>
      <c r="B20" s="5" t="s">
        <v>18</v>
      </c>
      <c r="C20" s="5" t="s">
        <v>985</v>
      </c>
      <c r="E20" s="5" t="s">
        <v>986</v>
      </c>
      <c r="F20" s="5" t="s">
        <v>118</v>
      </c>
      <c r="G20" s="5">
        <v>0</v>
      </c>
      <c r="H20" s="5">
        <v>30</v>
      </c>
      <c r="I20" s="5">
        <f>G20-H20</f>
        <v>-30</v>
      </c>
      <c r="J20" s="5" t="s">
        <v>22</v>
      </c>
      <c r="K20" s="5" t="s">
        <v>22</v>
      </c>
      <c r="L20" s="5" t="s">
        <v>947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02-03</vt:lpstr>
      <vt:lpstr>09-03</vt:lpstr>
      <vt:lpstr>10-03</vt:lpstr>
      <vt:lpstr>11-03</vt:lpstr>
      <vt:lpstr>12-03</vt:lpstr>
      <vt:lpstr>13-03</vt:lpstr>
      <vt:lpstr>14-03</vt:lpstr>
      <vt:lpstr>18-03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 Pham</dc:creator>
  <cp:lastModifiedBy>Sei Pham</cp:lastModifiedBy>
  <dcterms:created xsi:type="dcterms:W3CDTF">2026-03-02T14:12:02Z</dcterms:created>
  <dcterms:modified xsi:type="dcterms:W3CDTF">2026-03-18T08:25:43Z</dcterms:modified>
</cp:coreProperties>
</file>